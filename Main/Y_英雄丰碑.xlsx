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G:\excel_AOEMTrunk\excel\new_xls\Main\"/>
    </mc:Choice>
  </mc:AlternateContent>
  <xr:revisionPtr revIDLastSave="0" documentId="13_ncr:1_{48191AA9-A4D4-4BE4-BDBD-7D3475B23DD6}" xr6:coauthVersionLast="47" xr6:coauthVersionMax="47" xr10:uidLastSave="{00000000-0000-0000-0000-000000000000}"/>
  <bookViews>
    <workbookView xWindow="38180" yWindow="0" windowWidth="38620" windowHeight="21000" activeTab="1" xr2:uid="{00000000-000D-0000-FFFF-FFFF00000000}"/>
  </bookViews>
  <sheets>
    <sheet name="英雄流派" sheetId="1" r:id="rId1"/>
    <sheet name="英雄成就" sheetId="2" r:id="rId2"/>
    <sheet name="成就条件映射" sheetId="3" r:id="rId3"/>
    <sheet name="成就关键字" sheetId="4" r:id="rId4"/>
    <sheet name="技能场景配置" sheetId="5" r:id="rId5"/>
    <sheet name="杂项配置" sheetId="6" r:id="rId6"/>
    <sheet name="阶段奖励领取限制" sheetId="7" r:id="rId7"/>
    <sheet name="英雄推荐配置" sheetId="8" r:id="rId8"/>
    <sheet name="#Sheet1" sheetId="9" r:id="rId9"/>
    <sheet name="#TID_base_up" sheetId="10" r:id="rId10"/>
  </sheets>
  <definedNames>
    <definedName name="_xlnm._FilterDatabase" localSheetId="1" hidden="1">英雄成就!$A$2:$O$318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14" i="9" l="1"/>
  <c r="S214" i="9"/>
  <c r="R214" i="9"/>
  <c r="T213" i="9"/>
  <c r="S213" i="9"/>
  <c r="R213" i="9"/>
  <c r="T212" i="9"/>
  <c r="S212" i="9"/>
  <c r="R212" i="9"/>
  <c r="T211" i="9"/>
  <c r="S211" i="9"/>
  <c r="R211" i="9"/>
  <c r="U47" i="9"/>
  <c r="U46" i="9"/>
  <c r="U45" i="9"/>
  <c r="U44" i="9"/>
  <c r="U43" i="9"/>
  <c r="U42" i="9"/>
  <c r="U41" i="9"/>
  <c r="U40" i="9"/>
  <c r="U39" i="9"/>
  <c r="U38" i="9"/>
  <c r="U37" i="9"/>
  <c r="U36" i="9"/>
  <c r="U35" i="9"/>
  <c r="U34" i="9"/>
  <c r="U33" i="9"/>
  <c r="U32" i="9"/>
  <c r="U31" i="9"/>
  <c r="U30" i="9"/>
  <c r="U29" i="9"/>
  <c r="U28" i="9"/>
  <c r="U27" i="9"/>
  <c r="U26" i="9"/>
  <c r="U25" i="9"/>
  <c r="U24" i="9"/>
  <c r="U23" i="9"/>
  <c r="U22" i="9"/>
  <c r="Z21" i="9"/>
  <c r="U21" i="9"/>
  <c r="Z20" i="9"/>
  <c r="U20" i="9"/>
  <c r="Z19" i="9"/>
  <c r="U19" i="9"/>
  <c r="Z18" i="9"/>
  <c r="U18" i="9"/>
  <c r="Z17" i="9"/>
  <c r="U17" i="9"/>
  <c r="Z16" i="9"/>
  <c r="U16" i="9"/>
  <c r="Z15" i="9"/>
  <c r="U15" i="9"/>
  <c r="Z14" i="9"/>
  <c r="U14" i="9"/>
  <c r="Z13" i="9"/>
  <c r="U13" i="9"/>
  <c r="Z12" i="9"/>
  <c r="U12" i="9"/>
  <c r="Z11" i="9"/>
  <c r="U11" i="9"/>
  <c r="Z10" i="9"/>
  <c r="U10" i="9"/>
  <c r="Z9" i="9"/>
  <c r="U9" i="9"/>
  <c r="Z8" i="9"/>
  <c r="U8" i="9"/>
  <c r="Z7" i="9"/>
  <c r="U7" i="9"/>
  <c r="Z6" i="9"/>
  <c r="U6" i="9"/>
  <c r="Z5" i="9"/>
  <c r="U5" i="9"/>
  <c r="Z4" i="9"/>
  <c r="U4" i="9"/>
  <c r="Z3" i="9"/>
  <c r="U3" i="9"/>
  <c r="Z2" i="9"/>
  <c r="U2" i="9"/>
  <c r="AP30" i="8"/>
  <c r="AO30" i="8"/>
  <c r="AN30" i="8"/>
  <c r="AM30" i="8"/>
  <c r="AL30" i="8"/>
  <c r="AK30" i="8"/>
  <c r="AJ30" i="8"/>
  <c r="AI30" i="8"/>
  <c r="AH30" i="8"/>
  <c r="AG30" i="8"/>
  <c r="AF30" i="8"/>
  <c r="AE30" i="8"/>
  <c r="AD30" i="8"/>
  <c r="AC30" i="8"/>
  <c r="AB30" i="8"/>
  <c r="Z30" i="8"/>
  <c r="Y30" i="8"/>
  <c r="AP29" i="8"/>
  <c r="AO29" i="8"/>
  <c r="AN29" i="8"/>
  <c r="AM29" i="8"/>
  <c r="AL29" i="8"/>
  <c r="AK29" i="8"/>
  <c r="AJ29" i="8"/>
  <c r="AI29" i="8"/>
  <c r="AH29" i="8"/>
  <c r="AG29" i="8"/>
  <c r="AF29" i="8"/>
  <c r="AE29" i="8"/>
  <c r="AD29" i="8"/>
  <c r="AC29" i="8"/>
  <c r="AB29" i="8"/>
  <c r="Z29" i="8"/>
  <c r="Y29" i="8"/>
  <c r="AP28" i="8"/>
  <c r="AO28" i="8"/>
  <c r="AN28" i="8"/>
  <c r="AM28" i="8"/>
  <c r="AL28" i="8"/>
  <c r="AK28" i="8"/>
  <c r="AJ28" i="8"/>
  <c r="AI28" i="8"/>
  <c r="AH28" i="8"/>
  <c r="AG28" i="8"/>
  <c r="AF28" i="8"/>
  <c r="AE28" i="8"/>
  <c r="AD28" i="8"/>
  <c r="AC28" i="8"/>
  <c r="AB28" i="8"/>
  <c r="Z28" i="8"/>
  <c r="Y28" i="8"/>
  <c r="AP27" i="8"/>
  <c r="AO27" i="8"/>
  <c r="AN27" i="8"/>
  <c r="AM27" i="8"/>
  <c r="AL27" i="8"/>
  <c r="AK27" i="8"/>
  <c r="AJ27" i="8"/>
  <c r="AI27" i="8"/>
  <c r="AH27" i="8"/>
  <c r="AG27" i="8"/>
  <c r="AF27" i="8"/>
  <c r="AE27" i="8"/>
  <c r="AD27" i="8"/>
  <c r="AC27" i="8"/>
  <c r="AB27" i="8"/>
  <c r="Z27" i="8"/>
  <c r="Y27" i="8"/>
  <c r="AP26" i="8"/>
  <c r="AO26" i="8"/>
  <c r="AN26" i="8"/>
  <c r="AM26" i="8"/>
  <c r="AL26" i="8"/>
  <c r="AK26" i="8"/>
  <c r="AJ26" i="8"/>
  <c r="AI26" i="8"/>
  <c r="AH26" i="8"/>
  <c r="AG26" i="8"/>
  <c r="AF26" i="8"/>
  <c r="AE26" i="8"/>
  <c r="AD26" i="8"/>
  <c r="AC26" i="8"/>
  <c r="AB26" i="8"/>
  <c r="Z26" i="8"/>
  <c r="Y26" i="8"/>
  <c r="AP25" i="8"/>
  <c r="AO25" i="8"/>
  <c r="AN25" i="8"/>
  <c r="AM25" i="8"/>
  <c r="AL25" i="8"/>
  <c r="AK25" i="8"/>
  <c r="AJ25" i="8"/>
  <c r="AI25" i="8"/>
  <c r="AH25" i="8"/>
  <c r="AG25" i="8"/>
  <c r="AF25" i="8"/>
  <c r="AE25" i="8"/>
  <c r="AD25" i="8"/>
  <c r="AC25" i="8"/>
  <c r="AB25" i="8"/>
  <c r="Z25" i="8"/>
  <c r="Y25" i="8"/>
  <c r="AP24" i="8"/>
  <c r="AO24" i="8"/>
  <c r="AN24" i="8"/>
  <c r="AM24" i="8"/>
  <c r="AL24" i="8"/>
  <c r="AK24" i="8"/>
  <c r="AJ24" i="8"/>
  <c r="AI24" i="8"/>
  <c r="AH24" i="8"/>
  <c r="AG24" i="8"/>
  <c r="AF24" i="8"/>
  <c r="AE24" i="8"/>
  <c r="AD24" i="8"/>
  <c r="AC24" i="8"/>
  <c r="AB24" i="8"/>
  <c r="Z24" i="8"/>
  <c r="Y24" i="8"/>
  <c r="AP23" i="8"/>
  <c r="AO23" i="8"/>
  <c r="AN23" i="8"/>
  <c r="AM23" i="8"/>
  <c r="AL23" i="8"/>
  <c r="AK23" i="8"/>
  <c r="AJ23" i="8"/>
  <c r="AI23" i="8"/>
  <c r="AH23" i="8"/>
  <c r="AG23" i="8"/>
  <c r="AF23" i="8"/>
  <c r="AE23" i="8"/>
  <c r="AD23" i="8"/>
  <c r="AC23" i="8"/>
  <c r="AB23" i="8"/>
  <c r="Z23" i="8"/>
  <c r="Y23" i="8"/>
  <c r="AP22" i="8"/>
  <c r="AO22" i="8"/>
  <c r="AN22" i="8"/>
  <c r="AM22" i="8"/>
  <c r="AL22" i="8"/>
  <c r="AK22" i="8"/>
  <c r="AJ22" i="8"/>
  <c r="AI22" i="8"/>
  <c r="AH22" i="8"/>
  <c r="AG22" i="8"/>
  <c r="AF22" i="8"/>
  <c r="AE22" i="8"/>
  <c r="AD22" i="8"/>
  <c r="AC22" i="8"/>
  <c r="AB22" i="8"/>
  <c r="Z22" i="8"/>
  <c r="Y22" i="8"/>
  <c r="AP21" i="8"/>
  <c r="AO21" i="8"/>
  <c r="AN21" i="8"/>
  <c r="AM21" i="8"/>
  <c r="AL21" i="8"/>
  <c r="AK21" i="8"/>
  <c r="AJ21" i="8"/>
  <c r="AI21" i="8"/>
  <c r="AH21" i="8"/>
  <c r="AG21" i="8"/>
  <c r="AF21" i="8"/>
  <c r="AE21" i="8"/>
  <c r="AD21" i="8"/>
  <c r="AC21" i="8"/>
  <c r="AB21" i="8"/>
  <c r="Z21" i="8"/>
  <c r="Y21" i="8"/>
  <c r="AP20" i="8"/>
  <c r="AO20" i="8"/>
  <c r="AN20" i="8"/>
  <c r="AM20" i="8"/>
  <c r="AL20" i="8"/>
  <c r="AK20" i="8"/>
  <c r="AJ20" i="8"/>
  <c r="AI20" i="8"/>
  <c r="AH20" i="8"/>
  <c r="AG20" i="8"/>
  <c r="AF20" i="8"/>
  <c r="AE20" i="8"/>
  <c r="AD20" i="8"/>
  <c r="AC20" i="8"/>
  <c r="AB20" i="8"/>
  <c r="Z20" i="8"/>
  <c r="Y20" i="8"/>
  <c r="AP19" i="8"/>
  <c r="AO19" i="8"/>
  <c r="AN19" i="8"/>
  <c r="AM19" i="8"/>
  <c r="AL19" i="8"/>
  <c r="AK19" i="8"/>
  <c r="AJ19" i="8"/>
  <c r="AI19" i="8"/>
  <c r="AH19" i="8"/>
  <c r="AG19" i="8"/>
  <c r="AF19" i="8"/>
  <c r="AE19" i="8"/>
  <c r="AD19" i="8"/>
  <c r="AC19" i="8"/>
  <c r="AB19" i="8"/>
  <c r="Z19" i="8"/>
  <c r="Y19" i="8"/>
  <c r="AP18" i="8"/>
  <c r="AO18" i="8"/>
  <c r="AN18" i="8"/>
  <c r="AM18" i="8"/>
  <c r="AL18" i="8"/>
  <c r="AK18" i="8"/>
  <c r="AJ18" i="8"/>
  <c r="AI18" i="8"/>
  <c r="AH18" i="8"/>
  <c r="AG18" i="8"/>
  <c r="AF18" i="8"/>
  <c r="AE18" i="8"/>
  <c r="AD18" i="8"/>
  <c r="AC18" i="8"/>
  <c r="AB18" i="8"/>
  <c r="Z18" i="8"/>
  <c r="Y18" i="8"/>
  <c r="AP17" i="8"/>
  <c r="AO17" i="8"/>
  <c r="AN17" i="8"/>
  <c r="AM17" i="8"/>
  <c r="AL17" i="8"/>
  <c r="AK17" i="8"/>
  <c r="AJ17" i="8"/>
  <c r="AI17" i="8"/>
  <c r="AH17" i="8"/>
  <c r="AG17" i="8"/>
  <c r="AF17" i="8"/>
  <c r="AE17" i="8"/>
  <c r="AD17" i="8"/>
  <c r="AC17" i="8"/>
  <c r="AB17" i="8"/>
  <c r="Z17" i="8"/>
  <c r="Y17" i="8"/>
  <c r="AP16" i="8"/>
  <c r="AO16" i="8"/>
  <c r="AN16" i="8"/>
  <c r="AM16" i="8"/>
  <c r="AL16" i="8"/>
  <c r="AK16" i="8"/>
  <c r="AJ16" i="8"/>
  <c r="AI16" i="8"/>
  <c r="AH16" i="8"/>
  <c r="AG16" i="8"/>
  <c r="AF16" i="8"/>
  <c r="AE16" i="8"/>
  <c r="AD16" i="8"/>
  <c r="AC16" i="8"/>
  <c r="AB16" i="8"/>
  <c r="Z16" i="8"/>
  <c r="Y16" i="8"/>
  <c r="AP15" i="8"/>
  <c r="AO15" i="8"/>
  <c r="AN15" i="8"/>
  <c r="AM15" i="8"/>
  <c r="AL15" i="8"/>
  <c r="AK15" i="8"/>
  <c r="AJ15" i="8"/>
  <c r="AI15" i="8"/>
  <c r="AH15" i="8"/>
  <c r="AG15" i="8"/>
  <c r="AF15" i="8"/>
  <c r="AE15" i="8"/>
  <c r="AD15" i="8"/>
  <c r="AC15" i="8"/>
  <c r="AB15" i="8"/>
  <c r="Z15" i="8"/>
  <c r="Y15" i="8"/>
  <c r="AP14" i="8"/>
  <c r="AO14" i="8"/>
  <c r="AN14" i="8"/>
  <c r="AM14" i="8"/>
  <c r="AL14" i="8"/>
  <c r="AK14" i="8"/>
  <c r="AJ14" i="8"/>
  <c r="AI14" i="8"/>
  <c r="AH14" i="8"/>
  <c r="AG14" i="8"/>
  <c r="AF14" i="8"/>
  <c r="AE14" i="8"/>
  <c r="AD14" i="8"/>
  <c r="AC14" i="8"/>
  <c r="AB14" i="8"/>
  <c r="Z14" i="8"/>
  <c r="Y14" i="8"/>
  <c r="AP13" i="8"/>
  <c r="AO13" i="8"/>
  <c r="AN13" i="8"/>
  <c r="AM13" i="8"/>
  <c r="AL13" i="8"/>
  <c r="AK13" i="8"/>
  <c r="AJ13" i="8"/>
  <c r="AI13" i="8"/>
  <c r="AH13" i="8"/>
  <c r="AG13" i="8"/>
  <c r="AF13" i="8"/>
  <c r="AE13" i="8"/>
  <c r="AD13" i="8"/>
  <c r="AC13" i="8"/>
  <c r="AB13" i="8"/>
  <c r="Z13" i="8"/>
  <c r="Y13" i="8"/>
  <c r="AP12" i="8"/>
  <c r="AO12" i="8"/>
  <c r="AN12" i="8"/>
  <c r="AM12" i="8"/>
  <c r="AL12" i="8"/>
  <c r="AK12" i="8"/>
  <c r="AJ12" i="8"/>
  <c r="AI12" i="8"/>
  <c r="AH12" i="8"/>
  <c r="AG12" i="8"/>
  <c r="AF12" i="8"/>
  <c r="AE12" i="8"/>
  <c r="AD12" i="8"/>
  <c r="AC12" i="8"/>
  <c r="AB12" i="8"/>
  <c r="Z12" i="8"/>
  <c r="Y12" i="8"/>
  <c r="AP11" i="8"/>
  <c r="AO11" i="8"/>
  <c r="AN11" i="8"/>
  <c r="AM11" i="8"/>
  <c r="AL11" i="8"/>
  <c r="AK11" i="8"/>
  <c r="AJ11" i="8"/>
  <c r="AI11" i="8"/>
  <c r="AH11" i="8"/>
  <c r="AG11" i="8"/>
  <c r="AF11" i="8"/>
  <c r="AE11" i="8"/>
  <c r="AD11" i="8"/>
  <c r="AC11" i="8"/>
  <c r="AB11" i="8"/>
  <c r="Z11" i="8"/>
  <c r="Y11" i="8"/>
  <c r="AP10" i="8"/>
  <c r="AO10" i="8"/>
  <c r="AN10" i="8"/>
  <c r="AM10" i="8"/>
  <c r="AL10" i="8"/>
  <c r="AK10" i="8"/>
  <c r="AJ10" i="8"/>
  <c r="AI10" i="8"/>
  <c r="AH10" i="8"/>
  <c r="AG10" i="8"/>
  <c r="AF10" i="8"/>
  <c r="AE10" i="8"/>
  <c r="AD10" i="8"/>
  <c r="AC10" i="8"/>
  <c r="AB10" i="8"/>
  <c r="Z10" i="8"/>
  <c r="Y10" i="8"/>
  <c r="AP9" i="8"/>
  <c r="AO9" i="8"/>
  <c r="AN9" i="8"/>
  <c r="AM9" i="8"/>
  <c r="AL9" i="8"/>
  <c r="AK9" i="8"/>
  <c r="AJ9" i="8"/>
  <c r="AI9" i="8"/>
  <c r="AH9" i="8"/>
  <c r="AG9" i="8"/>
  <c r="AF9" i="8"/>
  <c r="AE9" i="8"/>
  <c r="AD9" i="8"/>
  <c r="AC9" i="8"/>
  <c r="AB9" i="8"/>
  <c r="Z9" i="8"/>
  <c r="Y9" i="8"/>
  <c r="AP8" i="8"/>
  <c r="AO8" i="8"/>
  <c r="AN8" i="8"/>
  <c r="AM8" i="8"/>
  <c r="AL8" i="8"/>
  <c r="AK8" i="8"/>
  <c r="AJ8" i="8"/>
  <c r="AI8" i="8"/>
  <c r="AH8" i="8"/>
  <c r="AG8" i="8"/>
  <c r="AF8" i="8"/>
  <c r="AE8" i="8"/>
  <c r="AD8" i="8"/>
  <c r="AC8" i="8"/>
  <c r="AB8" i="8"/>
  <c r="Z8" i="8"/>
  <c r="Y8" i="8"/>
  <c r="AP7" i="8"/>
  <c r="AO7" i="8"/>
  <c r="AN7" i="8"/>
  <c r="AM7" i="8"/>
  <c r="AL7" i="8"/>
  <c r="AK7" i="8"/>
  <c r="AJ7" i="8"/>
  <c r="AI7" i="8"/>
  <c r="AH7" i="8"/>
  <c r="AG7" i="8"/>
  <c r="AF7" i="8"/>
  <c r="AE7" i="8"/>
  <c r="AD7" i="8"/>
  <c r="AC7" i="8"/>
  <c r="AB7" i="8"/>
  <c r="Z7" i="8"/>
  <c r="Y7" i="8"/>
  <c r="AP6" i="8"/>
  <c r="AO6" i="8"/>
  <c r="AN6" i="8"/>
  <c r="AM6" i="8"/>
  <c r="AL6" i="8"/>
  <c r="AK6" i="8"/>
  <c r="AJ6" i="8"/>
  <c r="AI6" i="8"/>
  <c r="AH6" i="8"/>
  <c r="AG6" i="8"/>
  <c r="AF6" i="8"/>
  <c r="AE6" i="8"/>
  <c r="AD6" i="8"/>
  <c r="AC6" i="8"/>
  <c r="AB6" i="8"/>
  <c r="Z6" i="8"/>
  <c r="Y6" i="8"/>
  <c r="AP5" i="8"/>
  <c r="AO5" i="8"/>
  <c r="AN5" i="8"/>
  <c r="AM5" i="8"/>
  <c r="AL5" i="8"/>
  <c r="AK5" i="8"/>
  <c r="AJ5" i="8"/>
  <c r="AI5" i="8"/>
  <c r="AH5" i="8"/>
  <c r="AG5" i="8"/>
  <c r="AF5" i="8"/>
  <c r="AE5" i="8"/>
  <c r="AD5" i="8"/>
  <c r="AC5" i="8"/>
  <c r="AB5" i="8"/>
  <c r="Z5" i="8"/>
  <c r="Y5" i="8"/>
  <c r="AP4" i="8"/>
  <c r="AO4" i="8"/>
  <c r="AN4" i="8"/>
  <c r="AM4" i="8"/>
  <c r="AL4" i="8"/>
  <c r="AK4" i="8"/>
  <c r="AJ4" i="8"/>
  <c r="AI4" i="8"/>
  <c r="AH4" i="8"/>
  <c r="AG4" i="8"/>
  <c r="AF4" i="8"/>
  <c r="AE4" i="8"/>
  <c r="AD4" i="8"/>
  <c r="AC4" i="8"/>
  <c r="AB4" i="8"/>
  <c r="Z4" i="8"/>
  <c r="Y4" i="8"/>
  <c r="O66" i="3"/>
  <c r="A66" i="3"/>
  <c r="O65" i="3"/>
  <c r="A65" i="3" s="1"/>
  <c r="O64" i="3"/>
  <c r="A64" i="3" s="1"/>
  <c r="O63" i="3"/>
  <c r="A63" i="3" s="1"/>
  <c r="AB309" i="2" s="1"/>
  <c r="O62" i="3"/>
  <c r="A62" i="3"/>
  <c r="O61" i="3"/>
  <c r="A61" i="3" s="1"/>
  <c r="O60" i="3"/>
  <c r="A60" i="3" s="1"/>
  <c r="O59" i="3"/>
  <c r="A59" i="3" s="1"/>
  <c r="O58" i="3"/>
  <c r="A58" i="3"/>
  <c r="O57" i="3"/>
  <c r="A57" i="3" s="1"/>
  <c r="D269" i="2" s="1"/>
  <c r="O56" i="3"/>
  <c r="A56" i="3" s="1"/>
  <c r="O55" i="3"/>
  <c r="A55" i="3" s="1"/>
  <c r="O54" i="3"/>
  <c r="A54" i="3"/>
  <c r="O53" i="3"/>
  <c r="A53" i="3" s="1"/>
  <c r="O52" i="3"/>
  <c r="A52" i="3" s="1"/>
  <c r="O51" i="3"/>
  <c r="A51" i="3" s="1"/>
  <c r="O50" i="3"/>
  <c r="A50" i="3"/>
  <c r="O49" i="3"/>
  <c r="A49" i="3" s="1"/>
  <c r="O48" i="3"/>
  <c r="A48" i="3" s="1"/>
  <c r="O47" i="3"/>
  <c r="A47" i="3" s="1"/>
  <c r="O46" i="3"/>
  <c r="A46" i="3"/>
  <c r="O45" i="3"/>
  <c r="A45" i="3" s="1"/>
  <c r="O44" i="3"/>
  <c r="A44" i="3" s="1"/>
  <c r="O43" i="3"/>
  <c r="A43" i="3" s="1"/>
  <c r="O42" i="3"/>
  <c r="A42" i="3"/>
  <c r="O41" i="3"/>
  <c r="A41" i="3" s="1"/>
  <c r="O40" i="3"/>
  <c r="A40" i="3" s="1"/>
  <c r="O39" i="3"/>
  <c r="A39" i="3" s="1"/>
  <c r="O38" i="3"/>
  <c r="A38" i="3"/>
  <c r="O37" i="3"/>
  <c r="A37" i="3" s="1"/>
  <c r="O36" i="3"/>
  <c r="A36" i="3" s="1"/>
  <c r="O35" i="3"/>
  <c r="A35" i="3" s="1"/>
  <c r="Z234" i="2" s="1"/>
  <c r="O34" i="3"/>
  <c r="A34" i="3"/>
  <c r="O33" i="3"/>
  <c r="A33" i="3" s="1"/>
  <c r="O32" i="3"/>
  <c r="A32" i="3" s="1"/>
  <c r="O31" i="3"/>
  <c r="A31" i="3" s="1"/>
  <c r="O30" i="3"/>
  <c r="A30" i="3"/>
  <c r="O29" i="3"/>
  <c r="A29" i="3" s="1"/>
  <c r="O28" i="3"/>
  <c r="A28" i="3" s="1"/>
  <c r="O27" i="3"/>
  <c r="A27" i="3" s="1"/>
  <c r="O26" i="3"/>
  <c r="A26" i="3"/>
  <c r="O25" i="3"/>
  <c r="A25" i="3" s="1"/>
  <c r="Z104" i="2" s="1"/>
  <c r="O24" i="3"/>
  <c r="A24" i="3" s="1"/>
  <c r="O23" i="3"/>
  <c r="A23" i="3" s="1"/>
  <c r="O22" i="3"/>
  <c r="A22" i="3"/>
  <c r="O21" i="3"/>
  <c r="A21" i="3" s="1"/>
  <c r="O20" i="3"/>
  <c r="A20" i="3" s="1"/>
  <c r="O19" i="3"/>
  <c r="A19" i="3" s="1"/>
  <c r="O18" i="3"/>
  <c r="A18" i="3"/>
  <c r="O17" i="3"/>
  <c r="A17" i="3" s="1"/>
  <c r="O16" i="3"/>
  <c r="A16" i="3" s="1"/>
  <c r="O15" i="3"/>
  <c r="A15" i="3" s="1"/>
  <c r="O14" i="3"/>
  <c r="A14" i="3"/>
  <c r="O13" i="3"/>
  <c r="A13" i="3" s="1"/>
  <c r="O12" i="3"/>
  <c r="A12" i="3" s="1"/>
  <c r="AA39" i="2" s="1"/>
  <c r="O11" i="3"/>
  <c r="A11" i="3" s="1"/>
  <c r="O10" i="3"/>
  <c r="A10" i="3"/>
  <c r="O9" i="3"/>
  <c r="A9" i="3" s="1"/>
  <c r="O8" i="3"/>
  <c r="A8" i="3" s="1"/>
  <c r="O7" i="3"/>
  <c r="A7" i="3" s="1"/>
  <c r="O6" i="3"/>
  <c r="A6" i="3"/>
  <c r="O5" i="3"/>
  <c r="A5" i="3" s="1"/>
  <c r="O4" i="3"/>
  <c r="A4" i="3" s="1"/>
  <c r="J318" i="2"/>
  <c r="E318" i="2"/>
  <c r="D318" i="2"/>
  <c r="C318" i="2"/>
  <c r="B318" i="2"/>
  <c r="J317" i="2"/>
  <c r="E317" i="2"/>
  <c r="D317" i="2"/>
  <c r="C317" i="2"/>
  <c r="B317" i="2"/>
  <c r="J316" i="2"/>
  <c r="E316" i="2"/>
  <c r="D316" i="2"/>
  <c r="C316" i="2"/>
  <c r="J315" i="2"/>
  <c r="E315" i="2"/>
  <c r="D315" i="2"/>
  <c r="C315" i="2"/>
  <c r="J314" i="2"/>
  <c r="H314" i="2"/>
  <c r="A314" i="2"/>
  <c r="J313" i="2"/>
  <c r="I313" i="2"/>
  <c r="E313" i="2"/>
  <c r="D313" i="2"/>
  <c r="C313" i="2"/>
  <c r="J312" i="2"/>
  <c r="E312" i="2"/>
  <c r="D312" i="2"/>
  <c r="C312" i="2"/>
  <c r="B312" i="2"/>
  <c r="J311" i="2"/>
  <c r="E311" i="2"/>
  <c r="D311" i="2"/>
  <c r="C311" i="2"/>
  <c r="B311" i="2"/>
  <c r="Q310" i="2"/>
  <c r="M310" i="2" s="1"/>
  <c r="J310" i="2"/>
  <c r="E310" i="2"/>
  <c r="D310" i="2"/>
  <c r="C310" i="2"/>
  <c r="B310" i="2"/>
  <c r="Q309" i="2"/>
  <c r="M309" i="2"/>
  <c r="J309" i="2"/>
  <c r="I309" i="2"/>
  <c r="H309" i="2"/>
  <c r="B309" i="2"/>
  <c r="A309" i="2"/>
  <c r="I312" i="2" s="1"/>
  <c r="J308" i="2"/>
  <c r="I308" i="2"/>
  <c r="E308" i="2"/>
  <c r="D308" i="2"/>
  <c r="C308" i="2"/>
  <c r="B308" i="2"/>
  <c r="J307" i="2"/>
  <c r="I307" i="2"/>
  <c r="E307" i="2"/>
  <c r="D307" i="2"/>
  <c r="C307" i="2"/>
  <c r="B307" i="2"/>
  <c r="J306" i="2"/>
  <c r="I306" i="2"/>
  <c r="E306" i="2"/>
  <c r="D306" i="2"/>
  <c r="C306" i="2"/>
  <c r="B306" i="2"/>
  <c r="J305" i="2"/>
  <c r="I305" i="2"/>
  <c r="E305" i="2"/>
  <c r="D305" i="2"/>
  <c r="C305" i="2"/>
  <c r="B305" i="2"/>
  <c r="Q304" i="2"/>
  <c r="Q305" i="2" s="1"/>
  <c r="M304" i="2"/>
  <c r="J304" i="2"/>
  <c r="I304" i="2"/>
  <c r="H304" i="2"/>
  <c r="B304" i="2"/>
  <c r="A304" i="2"/>
  <c r="J303" i="2"/>
  <c r="E303" i="2"/>
  <c r="D303" i="2"/>
  <c r="C303" i="2"/>
  <c r="B303" i="2"/>
  <c r="J302" i="2"/>
  <c r="E302" i="2"/>
  <c r="D302" i="2"/>
  <c r="C302" i="2"/>
  <c r="B302" i="2"/>
  <c r="J301" i="2"/>
  <c r="E301" i="2"/>
  <c r="D301" i="2"/>
  <c r="C301" i="2"/>
  <c r="J300" i="2"/>
  <c r="I300" i="2"/>
  <c r="E300" i="2"/>
  <c r="D300" i="2"/>
  <c r="C300" i="2"/>
  <c r="J299" i="2"/>
  <c r="I299" i="2"/>
  <c r="H299" i="2"/>
  <c r="A299" i="2"/>
  <c r="I303" i="2" s="1"/>
  <c r="J298" i="2"/>
  <c r="I298" i="2"/>
  <c r="E298" i="2"/>
  <c r="D298" i="2"/>
  <c r="C298" i="2"/>
  <c r="J297" i="2"/>
  <c r="I297" i="2"/>
  <c r="E297" i="2"/>
  <c r="D297" i="2"/>
  <c r="C297" i="2"/>
  <c r="J296" i="2"/>
  <c r="E296" i="2"/>
  <c r="D296" i="2"/>
  <c r="C296" i="2"/>
  <c r="B296" i="2"/>
  <c r="J295" i="2"/>
  <c r="E295" i="2"/>
  <c r="D295" i="2"/>
  <c r="C295" i="2"/>
  <c r="B295" i="2"/>
  <c r="J294" i="2"/>
  <c r="H294" i="2"/>
  <c r="A294" i="2"/>
  <c r="J293" i="2"/>
  <c r="I293" i="2"/>
  <c r="E293" i="2"/>
  <c r="D293" i="2"/>
  <c r="C293" i="2"/>
  <c r="B293" i="2"/>
  <c r="J292" i="2"/>
  <c r="I292" i="2"/>
  <c r="E292" i="2"/>
  <c r="D292" i="2"/>
  <c r="C292" i="2"/>
  <c r="B292" i="2"/>
  <c r="J291" i="2"/>
  <c r="I291" i="2"/>
  <c r="E291" i="2"/>
  <c r="D291" i="2"/>
  <c r="C291" i="2"/>
  <c r="B291" i="2"/>
  <c r="J290" i="2"/>
  <c r="I290" i="2"/>
  <c r="E290" i="2"/>
  <c r="D290" i="2"/>
  <c r="C290" i="2"/>
  <c r="B290" i="2"/>
  <c r="Q289" i="2"/>
  <c r="Q290" i="2" s="1"/>
  <c r="J289" i="2"/>
  <c r="H289" i="2"/>
  <c r="A289" i="2"/>
  <c r="J288" i="2"/>
  <c r="I288" i="2"/>
  <c r="E288" i="2"/>
  <c r="D288" i="2"/>
  <c r="C288" i="2"/>
  <c r="B288" i="2"/>
  <c r="J287" i="2"/>
  <c r="I287" i="2"/>
  <c r="E287" i="2"/>
  <c r="D287" i="2"/>
  <c r="C287" i="2"/>
  <c r="B287" i="2"/>
  <c r="J286" i="2"/>
  <c r="I286" i="2"/>
  <c r="E286" i="2"/>
  <c r="D286" i="2"/>
  <c r="C286" i="2"/>
  <c r="B286" i="2"/>
  <c r="J285" i="2"/>
  <c r="I285" i="2"/>
  <c r="E285" i="2"/>
  <c r="D285" i="2"/>
  <c r="C285" i="2"/>
  <c r="B285" i="2"/>
  <c r="Q284" i="2"/>
  <c r="J284" i="2"/>
  <c r="H284" i="2"/>
  <c r="A284" i="2"/>
  <c r="I284" i="2" s="1"/>
  <c r="J283" i="2"/>
  <c r="E283" i="2"/>
  <c r="D283" i="2"/>
  <c r="C283" i="2"/>
  <c r="B283" i="2"/>
  <c r="J282" i="2"/>
  <c r="E282" i="2"/>
  <c r="D282" i="2"/>
  <c r="C282" i="2"/>
  <c r="B282" i="2"/>
  <c r="J281" i="2"/>
  <c r="E281" i="2"/>
  <c r="D281" i="2"/>
  <c r="C281" i="2"/>
  <c r="B281" i="2"/>
  <c r="J280" i="2"/>
  <c r="E280" i="2"/>
  <c r="D280" i="2"/>
  <c r="C280" i="2"/>
  <c r="B280" i="2"/>
  <c r="J279" i="2"/>
  <c r="H279" i="2"/>
  <c r="A279" i="2"/>
  <c r="J278" i="2"/>
  <c r="E278" i="2"/>
  <c r="D278" i="2"/>
  <c r="C278" i="2"/>
  <c r="B278" i="2"/>
  <c r="J277" i="2"/>
  <c r="E277" i="2"/>
  <c r="D277" i="2"/>
  <c r="C277" i="2"/>
  <c r="B277" i="2"/>
  <c r="J276" i="2"/>
  <c r="E276" i="2"/>
  <c r="D276" i="2"/>
  <c r="C276" i="2"/>
  <c r="B276" i="2"/>
  <c r="J275" i="2"/>
  <c r="E275" i="2"/>
  <c r="D275" i="2"/>
  <c r="C275" i="2"/>
  <c r="B275" i="2"/>
  <c r="J274" i="2"/>
  <c r="H274" i="2"/>
  <c r="A274" i="2"/>
  <c r="Z274" i="2" s="1"/>
  <c r="J273" i="2"/>
  <c r="I273" i="2"/>
  <c r="E273" i="2"/>
  <c r="D273" i="2"/>
  <c r="C273" i="2"/>
  <c r="B273" i="2"/>
  <c r="J272" i="2"/>
  <c r="I272" i="2"/>
  <c r="E272" i="2"/>
  <c r="D272" i="2"/>
  <c r="C272" i="2"/>
  <c r="B272" i="2"/>
  <c r="J271" i="2"/>
  <c r="I271" i="2"/>
  <c r="E271" i="2"/>
  <c r="D271" i="2"/>
  <c r="C271" i="2"/>
  <c r="B271" i="2"/>
  <c r="J270" i="2"/>
  <c r="I270" i="2"/>
  <c r="E270" i="2"/>
  <c r="D270" i="2"/>
  <c r="C270" i="2"/>
  <c r="J269" i="2"/>
  <c r="I269" i="2"/>
  <c r="H269" i="2"/>
  <c r="A269" i="2"/>
  <c r="J268" i="2"/>
  <c r="I268" i="2"/>
  <c r="E268" i="2"/>
  <c r="D268" i="2"/>
  <c r="C268" i="2"/>
  <c r="J267" i="2"/>
  <c r="I267" i="2"/>
  <c r="E267" i="2"/>
  <c r="D267" i="2"/>
  <c r="C267" i="2"/>
  <c r="B267" i="2"/>
  <c r="J266" i="2"/>
  <c r="I266" i="2"/>
  <c r="E266" i="2"/>
  <c r="D266" i="2"/>
  <c r="C266" i="2"/>
  <c r="B266" i="2"/>
  <c r="J265" i="2"/>
  <c r="I265" i="2"/>
  <c r="E265" i="2"/>
  <c r="D265" i="2"/>
  <c r="C265" i="2"/>
  <c r="B265" i="2"/>
  <c r="Q264" i="2"/>
  <c r="Q265" i="2" s="1"/>
  <c r="M264" i="2"/>
  <c r="J264" i="2"/>
  <c r="I264" i="2"/>
  <c r="H264" i="2"/>
  <c r="B264" i="2"/>
  <c r="A264" i="2"/>
  <c r="J263" i="2"/>
  <c r="E263" i="2"/>
  <c r="D263" i="2"/>
  <c r="C263" i="2"/>
  <c r="B263" i="2"/>
  <c r="J262" i="2"/>
  <c r="E262" i="2"/>
  <c r="D262" i="2"/>
  <c r="C262" i="2"/>
  <c r="B262" i="2"/>
  <c r="J261" i="2"/>
  <c r="E261" i="2"/>
  <c r="D261" i="2"/>
  <c r="C261" i="2"/>
  <c r="B261" i="2"/>
  <c r="J260" i="2"/>
  <c r="E260" i="2"/>
  <c r="D260" i="2"/>
  <c r="C260" i="2"/>
  <c r="B260" i="2"/>
  <c r="J259" i="2"/>
  <c r="H259" i="2"/>
  <c r="A259" i="2"/>
  <c r="AB259" i="2" s="1"/>
  <c r="J258" i="2"/>
  <c r="E258" i="2"/>
  <c r="D258" i="2"/>
  <c r="C258" i="2"/>
  <c r="B258" i="2"/>
  <c r="J257" i="2"/>
  <c r="E257" i="2"/>
  <c r="D257" i="2"/>
  <c r="C257" i="2"/>
  <c r="B257" i="2"/>
  <c r="J256" i="2"/>
  <c r="E256" i="2"/>
  <c r="D256" i="2"/>
  <c r="C256" i="2"/>
  <c r="B256" i="2"/>
  <c r="J255" i="2"/>
  <c r="E255" i="2"/>
  <c r="D255" i="2"/>
  <c r="C255" i="2"/>
  <c r="J254" i="2"/>
  <c r="I254" i="2"/>
  <c r="H254" i="2"/>
  <c r="A254" i="2"/>
  <c r="J253" i="2"/>
  <c r="E253" i="2"/>
  <c r="D253" i="2"/>
  <c r="C253" i="2"/>
  <c r="J252" i="2"/>
  <c r="E252" i="2"/>
  <c r="D252" i="2"/>
  <c r="C252" i="2"/>
  <c r="B252" i="2"/>
  <c r="J251" i="2"/>
  <c r="E251" i="2"/>
  <c r="D251" i="2"/>
  <c r="C251" i="2"/>
  <c r="B251" i="2"/>
  <c r="J250" i="2"/>
  <c r="E250" i="2"/>
  <c r="D250" i="2"/>
  <c r="C250" i="2"/>
  <c r="B250" i="2"/>
  <c r="Q249" i="2"/>
  <c r="J249" i="2"/>
  <c r="H249" i="2"/>
  <c r="A249" i="2"/>
  <c r="I252" i="2" s="1"/>
  <c r="J248" i="2"/>
  <c r="E248" i="2"/>
  <c r="D248" i="2"/>
  <c r="C248" i="2"/>
  <c r="B248" i="2"/>
  <c r="J247" i="2"/>
  <c r="E247" i="2"/>
  <c r="D247" i="2"/>
  <c r="C247" i="2"/>
  <c r="B247" i="2"/>
  <c r="J246" i="2"/>
  <c r="E246" i="2"/>
  <c r="D246" i="2"/>
  <c r="C246" i="2"/>
  <c r="B246" i="2"/>
  <c r="J245" i="2"/>
  <c r="E245" i="2"/>
  <c r="D245" i="2"/>
  <c r="C245" i="2"/>
  <c r="B245" i="2"/>
  <c r="J244" i="2"/>
  <c r="H244" i="2"/>
  <c r="A244" i="2"/>
  <c r="AA244" i="2" s="1"/>
  <c r="J243" i="2"/>
  <c r="E243" i="2"/>
  <c r="D243" i="2"/>
  <c r="C243" i="2"/>
  <c r="B243" i="2"/>
  <c r="J242" i="2"/>
  <c r="E242" i="2"/>
  <c r="D242" i="2"/>
  <c r="C242" i="2"/>
  <c r="B242" i="2"/>
  <c r="J241" i="2"/>
  <c r="E241" i="2"/>
  <c r="D241" i="2"/>
  <c r="C241" i="2"/>
  <c r="B241" i="2"/>
  <c r="J240" i="2"/>
  <c r="E240" i="2"/>
  <c r="D240" i="2"/>
  <c r="C240" i="2"/>
  <c r="B240" i="2"/>
  <c r="J239" i="2"/>
  <c r="H239" i="2"/>
  <c r="A239" i="2"/>
  <c r="Z239" i="2" s="1"/>
  <c r="J238" i="2"/>
  <c r="I238" i="2"/>
  <c r="E238" i="2"/>
  <c r="D238" i="2"/>
  <c r="C238" i="2"/>
  <c r="B238" i="2"/>
  <c r="J237" i="2"/>
  <c r="I237" i="2"/>
  <c r="E237" i="2"/>
  <c r="D237" i="2"/>
  <c r="C237" i="2"/>
  <c r="B237" i="2"/>
  <c r="J236" i="2"/>
  <c r="I236" i="2" s="1"/>
  <c r="E236" i="2"/>
  <c r="D236" i="2"/>
  <c r="C236" i="2"/>
  <c r="B236" i="2"/>
  <c r="J235" i="2"/>
  <c r="I235" i="2" s="1"/>
  <c r="E235" i="2"/>
  <c r="D235" i="2"/>
  <c r="C235" i="2"/>
  <c r="B235" i="2"/>
  <c r="Q234" i="2"/>
  <c r="J234" i="2"/>
  <c r="I234" i="2" s="1"/>
  <c r="H234" i="2"/>
  <c r="A234" i="2"/>
  <c r="AB234" i="2" s="1"/>
  <c r="J233" i="2"/>
  <c r="E233" i="2"/>
  <c r="D233" i="2"/>
  <c r="C233" i="2"/>
  <c r="B233" i="2"/>
  <c r="J232" i="2"/>
  <c r="E232" i="2"/>
  <c r="D232" i="2"/>
  <c r="C232" i="2"/>
  <c r="B232" i="2"/>
  <c r="J231" i="2"/>
  <c r="E231" i="2"/>
  <c r="D231" i="2"/>
  <c r="C231" i="2"/>
  <c r="B231" i="2"/>
  <c r="J230" i="2"/>
  <c r="E230" i="2"/>
  <c r="D230" i="2"/>
  <c r="C230" i="2"/>
  <c r="B230" i="2"/>
  <c r="Q229" i="2"/>
  <c r="M229" i="2" s="1"/>
  <c r="J229" i="2"/>
  <c r="H229" i="2"/>
  <c r="B229" i="2"/>
  <c r="A229" i="2"/>
  <c r="AB229" i="2" s="1"/>
  <c r="J228" i="2"/>
  <c r="I228" i="2"/>
  <c r="E228" i="2"/>
  <c r="D228" i="2"/>
  <c r="C228" i="2"/>
  <c r="B228" i="2"/>
  <c r="J227" i="2"/>
  <c r="I227" i="2"/>
  <c r="E227" i="2"/>
  <c r="D227" i="2"/>
  <c r="C227" i="2"/>
  <c r="B227" i="2"/>
  <c r="J226" i="2"/>
  <c r="I226" i="2"/>
  <c r="E226" i="2"/>
  <c r="D226" i="2"/>
  <c r="C226" i="2"/>
  <c r="B226" i="2"/>
  <c r="J225" i="2"/>
  <c r="I225" i="2"/>
  <c r="E225" i="2"/>
  <c r="D225" i="2"/>
  <c r="C225" i="2"/>
  <c r="B225" i="2"/>
  <c r="J224" i="2"/>
  <c r="I224" i="2"/>
  <c r="H224" i="2"/>
  <c r="D224" i="2"/>
  <c r="A224" i="2"/>
  <c r="J223" i="2"/>
  <c r="E223" i="2"/>
  <c r="D223" i="2"/>
  <c r="C223" i="2"/>
  <c r="J222" i="2"/>
  <c r="E222" i="2"/>
  <c r="D222" i="2"/>
  <c r="C222" i="2"/>
  <c r="B222" i="2"/>
  <c r="J221" i="2"/>
  <c r="E221" i="2"/>
  <c r="D221" i="2"/>
  <c r="C221" i="2"/>
  <c r="B221" i="2"/>
  <c r="J220" i="2"/>
  <c r="E220" i="2"/>
  <c r="D220" i="2"/>
  <c r="C220" i="2"/>
  <c r="B220" i="2"/>
  <c r="J219" i="2"/>
  <c r="H219" i="2"/>
  <c r="A219" i="2"/>
  <c r="J218" i="2"/>
  <c r="E218" i="2"/>
  <c r="D218" i="2"/>
  <c r="C218" i="2"/>
  <c r="B218" i="2"/>
  <c r="J217" i="2"/>
  <c r="E217" i="2"/>
  <c r="D217" i="2"/>
  <c r="C217" i="2"/>
  <c r="B217" i="2"/>
  <c r="J216" i="2"/>
  <c r="E216" i="2"/>
  <c r="D216" i="2"/>
  <c r="C216" i="2"/>
  <c r="B216" i="2"/>
  <c r="J215" i="2"/>
  <c r="E215" i="2"/>
  <c r="D215" i="2"/>
  <c r="C215" i="2"/>
  <c r="B215" i="2"/>
  <c r="J214" i="2"/>
  <c r="H214" i="2"/>
  <c r="A214" i="2"/>
  <c r="J213" i="2"/>
  <c r="I213" i="2"/>
  <c r="E213" i="2"/>
  <c r="D213" i="2"/>
  <c r="C213" i="2"/>
  <c r="B213" i="2"/>
  <c r="J212" i="2"/>
  <c r="I212" i="2" s="1"/>
  <c r="E212" i="2"/>
  <c r="D212" i="2"/>
  <c r="C212" i="2"/>
  <c r="B212" i="2"/>
  <c r="J211" i="2"/>
  <c r="I211" i="2" s="1"/>
  <c r="E211" i="2"/>
  <c r="D211" i="2"/>
  <c r="C211" i="2"/>
  <c r="J210" i="2"/>
  <c r="I210" i="2"/>
  <c r="E210" i="2"/>
  <c r="D210" i="2"/>
  <c r="C210" i="2"/>
  <c r="J209" i="2"/>
  <c r="H209" i="2"/>
  <c r="C209" i="2"/>
  <c r="A209" i="2"/>
  <c r="I209" i="2" s="1"/>
  <c r="J208" i="2"/>
  <c r="I208" i="2"/>
  <c r="E208" i="2"/>
  <c r="D208" i="2"/>
  <c r="C208" i="2"/>
  <c r="J207" i="2"/>
  <c r="E207" i="2"/>
  <c r="D207" i="2"/>
  <c r="C207" i="2"/>
  <c r="B207" i="2"/>
  <c r="J206" i="2"/>
  <c r="E206" i="2"/>
  <c r="D206" i="2"/>
  <c r="C206" i="2"/>
  <c r="B206" i="2"/>
  <c r="J205" i="2"/>
  <c r="E205" i="2"/>
  <c r="D205" i="2"/>
  <c r="C205" i="2"/>
  <c r="B205" i="2"/>
  <c r="J204" i="2"/>
  <c r="I204" i="2" s="1"/>
  <c r="H204" i="2"/>
  <c r="A204" i="2"/>
  <c r="J203" i="2"/>
  <c r="I203" i="2"/>
  <c r="E203" i="2"/>
  <c r="D203" i="2"/>
  <c r="C203" i="2"/>
  <c r="B203" i="2"/>
  <c r="J202" i="2"/>
  <c r="I202" i="2" s="1"/>
  <c r="E202" i="2"/>
  <c r="D202" i="2"/>
  <c r="C202" i="2"/>
  <c r="B202" i="2"/>
  <c r="J201" i="2"/>
  <c r="I201" i="2" s="1"/>
  <c r="E201" i="2"/>
  <c r="D201" i="2"/>
  <c r="C201" i="2"/>
  <c r="B201" i="2"/>
  <c r="J200" i="2"/>
  <c r="I200" i="2"/>
  <c r="E200" i="2"/>
  <c r="D200" i="2"/>
  <c r="C200" i="2"/>
  <c r="B200" i="2"/>
  <c r="Q199" i="2"/>
  <c r="J199" i="2"/>
  <c r="I199" i="2" s="1"/>
  <c r="H199" i="2"/>
  <c r="B199" i="2"/>
  <c r="A199" i="2"/>
  <c r="J198" i="2"/>
  <c r="I198" i="2"/>
  <c r="E198" i="2"/>
  <c r="D198" i="2"/>
  <c r="C198" i="2"/>
  <c r="B198" i="2"/>
  <c r="J197" i="2"/>
  <c r="I197" i="2"/>
  <c r="E197" i="2"/>
  <c r="D197" i="2"/>
  <c r="C197" i="2"/>
  <c r="B197" i="2"/>
  <c r="Q196" i="2"/>
  <c r="M196" i="2" s="1"/>
  <c r="J196" i="2"/>
  <c r="I196" i="2"/>
  <c r="E196" i="2"/>
  <c r="D196" i="2"/>
  <c r="C196" i="2"/>
  <c r="B196" i="2"/>
  <c r="Q195" i="2"/>
  <c r="M195" i="2" s="1"/>
  <c r="J195" i="2"/>
  <c r="I195" i="2"/>
  <c r="E195" i="2"/>
  <c r="D195" i="2"/>
  <c r="C195" i="2"/>
  <c r="B195" i="2"/>
  <c r="AB194" i="2"/>
  <c r="Q194" i="2"/>
  <c r="M194" i="2" s="1"/>
  <c r="J194" i="2"/>
  <c r="H194" i="2"/>
  <c r="A194" i="2"/>
  <c r="AA194" i="2" s="1"/>
  <c r="J193" i="2"/>
  <c r="E193" i="2"/>
  <c r="D193" i="2"/>
  <c r="C193" i="2"/>
  <c r="B193" i="2"/>
  <c r="J192" i="2"/>
  <c r="E192" i="2"/>
  <c r="D192" i="2"/>
  <c r="C192" i="2"/>
  <c r="B192" i="2"/>
  <c r="J191" i="2"/>
  <c r="E191" i="2"/>
  <c r="D191" i="2"/>
  <c r="C191" i="2"/>
  <c r="B191" i="2"/>
  <c r="J190" i="2"/>
  <c r="E190" i="2"/>
  <c r="D190" i="2"/>
  <c r="C190" i="2"/>
  <c r="B190" i="2"/>
  <c r="Q189" i="2"/>
  <c r="J189" i="2"/>
  <c r="I189" i="2"/>
  <c r="H189" i="2"/>
  <c r="A189" i="2"/>
  <c r="AB189" i="2" s="1"/>
  <c r="J188" i="2"/>
  <c r="E188" i="2"/>
  <c r="D188" i="2"/>
  <c r="C188" i="2"/>
  <c r="B188" i="2"/>
  <c r="J187" i="2"/>
  <c r="E187" i="2"/>
  <c r="D187" i="2"/>
  <c r="C187" i="2"/>
  <c r="B187" i="2"/>
  <c r="J186" i="2"/>
  <c r="E186" i="2"/>
  <c r="D186" i="2"/>
  <c r="C186" i="2"/>
  <c r="B186" i="2"/>
  <c r="J185" i="2"/>
  <c r="E185" i="2"/>
  <c r="D185" i="2"/>
  <c r="C185" i="2"/>
  <c r="B185" i="2"/>
  <c r="J184" i="2"/>
  <c r="H184" i="2"/>
  <c r="A184" i="2"/>
  <c r="AA184" i="2" s="1"/>
  <c r="J183" i="2"/>
  <c r="E183" i="2"/>
  <c r="D183" i="2"/>
  <c r="C183" i="2"/>
  <c r="B183" i="2"/>
  <c r="J182" i="2"/>
  <c r="I182" i="2"/>
  <c r="E182" i="2"/>
  <c r="D182" i="2"/>
  <c r="C182" i="2"/>
  <c r="B182" i="2"/>
  <c r="J181" i="2"/>
  <c r="E181" i="2"/>
  <c r="D181" i="2"/>
  <c r="C181" i="2"/>
  <c r="B181" i="2"/>
  <c r="J180" i="2"/>
  <c r="E180" i="2"/>
  <c r="D180" i="2"/>
  <c r="C180" i="2"/>
  <c r="Q179" i="2"/>
  <c r="J179" i="2"/>
  <c r="H179" i="2"/>
  <c r="D179" i="2"/>
  <c r="A179" i="2"/>
  <c r="I183" i="2" s="1"/>
  <c r="J178" i="2"/>
  <c r="E178" i="2"/>
  <c r="D178" i="2"/>
  <c r="C178" i="2"/>
  <c r="J177" i="2"/>
  <c r="I177" i="2"/>
  <c r="E177" i="2"/>
  <c r="D177" i="2"/>
  <c r="C177" i="2"/>
  <c r="B177" i="2"/>
  <c r="Q176" i="2"/>
  <c r="M176" i="2" s="1"/>
  <c r="J176" i="2"/>
  <c r="I176" i="2"/>
  <c r="E176" i="2"/>
  <c r="D176" i="2"/>
  <c r="C176" i="2"/>
  <c r="B176" i="2"/>
  <c r="Q175" i="2"/>
  <c r="M175" i="2" s="1"/>
  <c r="J175" i="2"/>
  <c r="I175" i="2"/>
  <c r="E175" i="2"/>
  <c r="D175" i="2"/>
  <c r="C175" i="2"/>
  <c r="B175" i="2"/>
  <c r="AA174" i="2"/>
  <c r="M174" i="2"/>
  <c r="J174" i="2"/>
  <c r="H174" i="2"/>
  <c r="B174" i="2"/>
  <c r="A174" i="2"/>
  <c r="Q174" i="2" s="1"/>
  <c r="J173" i="2"/>
  <c r="I173" i="2"/>
  <c r="E173" i="2"/>
  <c r="D173" i="2"/>
  <c r="C173" i="2"/>
  <c r="B173" i="2"/>
  <c r="J172" i="2"/>
  <c r="I172" i="2" s="1"/>
  <c r="E172" i="2"/>
  <c r="D172" i="2"/>
  <c r="C172" i="2"/>
  <c r="B172" i="2"/>
  <c r="J171" i="2"/>
  <c r="I171" i="2"/>
  <c r="E171" i="2"/>
  <c r="D171" i="2"/>
  <c r="C171" i="2"/>
  <c r="B171" i="2"/>
  <c r="J170" i="2"/>
  <c r="I170" i="2" s="1"/>
  <c r="E170" i="2"/>
  <c r="D170" i="2"/>
  <c r="C170" i="2"/>
  <c r="B170" i="2"/>
  <c r="AB169" i="2"/>
  <c r="Z169" i="2"/>
  <c r="Q169" i="2"/>
  <c r="Q170" i="2" s="1"/>
  <c r="J169" i="2"/>
  <c r="I169" i="2" s="1"/>
  <c r="H169" i="2"/>
  <c r="B169" i="2"/>
  <c r="A169" i="2"/>
  <c r="AA169" i="2" s="1"/>
  <c r="J168" i="2"/>
  <c r="I168" i="2"/>
  <c r="E168" i="2"/>
  <c r="D168" i="2"/>
  <c r="C168" i="2"/>
  <c r="B168" i="2"/>
  <c r="J167" i="2"/>
  <c r="I167" i="2"/>
  <c r="E167" i="2"/>
  <c r="D167" i="2"/>
  <c r="C167" i="2"/>
  <c r="B167" i="2"/>
  <c r="J166" i="2"/>
  <c r="I166" i="2"/>
  <c r="E166" i="2"/>
  <c r="D166" i="2"/>
  <c r="C166" i="2"/>
  <c r="B166" i="2"/>
  <c r="J165" i="2"/>
  <c r="I165" i="2"/>
  <c r="E165" i="2"/>
  <c r="D165" i="2"/>
  <c r="C165" i="2"/>
  <c r="J164" i="2"/>
  <c r="I164" i="2" s="1"/>
  <c r="H164" i="2"/>
  <c r="E164" i="2"/>
  <c r="D164" i="2"/>
  <c r="C164" i="2"/>
  <c r="A164" i="2"/>
  <c r="Q164" i="2" s="1"/>
  <c r="M164" i="2" s="1"/>
  <c r="J163" i="2"/>
  <c r="E163" i="2"/>
  <c r="D163" i="2"/>
  <c r="C163" i="2"/>
  <c r="B163" i="2"/>
  <c r="J162" i="2"/>
  <c r="E162" i="2"/>
  <c r="D162" i="2"/>
  <c r="C162" i="2"/>
  <c r="B162" i="2"/>
  <c r="J161" i="2"/>
  <c r="E161" i="2"/>
  <c r="D161" i="2"/>
  <c r="C161" i="2"/>
  <c r="B161" i="2"/>
  <c r="J160" i="2"/>
  <c r="E160" i="2"/>
  <c r="D160" i="2"/>
  <c r="C160" i="2"/>
  <c r="B160" i="2"/>
  <c r="J159" i="2"/>
  <c r="I159" i="2"/>
  <c r="H159" i="2"/>
  <c r="A159" i="2"/>
  <c r="AB159" i="2" s="1"/>
  <c r="J158" i="2"/>
  <c r="I158" i="2" s="1"/>
  <c r="E158" i="2"/>
  <c r="D158" i="2"/>
  <c r="C158" i="2"/>
  <c r="B158" i="2"/>
  <c r="J157" i="2"/>
  <c r="I157" i="2" s="1"/>
  <c r="E157" i="2"/>
  <c r="D157" i="2"/>
  <c r="C157" i="2"/>
  <c r="B157" i="2"/>
  <c r="J156" i="2"/>
  <c r="I156" i="2" s="1"/>
  <c r="E156" i="2"/>
  <c r="D156" i="2"/>
  <c r="C156" i="2"/>
  <c r="B156" i="2"/>
  <c r="Q155" i="2"/>
  <c r="Q156" i="2" s="1"/>
  <c r="J155" i="2"/>
  <c r="I155" i="2" s="1"/>
  <c r="E155" i="2"/>
  <c r="D155" i="2"/>
  <c r="C155" i="2"/>
  <c r="B155" i="2"/>
  <c r="Q154" i="2"/>
  <c r="M154" i="2"/>
  <c r="J154" i="2"/>
  <c r="I154" i="2" s="1"/>
  <c r="H154" i="2"/>
  <c r="B154" i="2"/>
  <c r="A154" i="2"/>
  <c r="J153" i="2"/>
  <c r="I153" i="2"/>
  <c r="E153" i="2"/>
  <c r="D153" i="2"/>
  <c r="C153" i="2"/>
  <c r="B153" i="2"/>
  <c r="Q152" i="2"/>
  <c r="M152" i="2" s="1"/>
  <c r="J152" i="2"/>
  <c r="I152" i="2"/>
  <c r="E152" i="2"/>
  <c r="D152" i="2"/>
  <c r="C152" i="2"/>
  <c r="B152" i="2"/>
  <c r="Q151" i="2"/>
  <c r="M151" i="2" s="1"/>
  <c r="J151" i="2"/>
  <c r="I151" i="2"/>
  <c r="E151" i="2"/>
  <c r="D151" i="2"/>
  <c r="C151" i="2"/>
  <c r="B151" i="2"/>
  <c r="Q150" i="2"/>
  <c r="M150" i="2" s="1"/>
  <c r="J150" i="2"/>
  <c r="I150" i="2"/>
  <c r="E150" i="2"/>
  <c r="D150" i="2"/>
  <c r="C150" i="2"/>
  <c r="B150" i="2"/>
  <c r="AB149" i="2"/>
  <c r="Q149" i="2"/>
  <c r="M149" i="2" s="1"/>
  <c r="J149" i="2"/>
  <c r="I149" i="2" s="1"/>
  <c r="H149" i="2"/>
  <c r="B149" i="2"/>
  <c r="A149" i="2"/>
  <c r="J148" i="2"/>
  <c r="E148" i="2"/>
  <c r="D148" i="2"/>
  <c r="C148" i="2"/>
  <c r="B148" i="2"/>
  <c r="J147" i="2"/>
  <c r="E147" i="2"/>
  <c r="D147" i="2"/>
  <c r="C147" i="2"/>
  <c r="B147" i="2"/>
  <c r="J146" i="2"/>
  <c r="E146" i="2"/>
  <c r="D146" i="2"/>
  <c r="C146" i="2"/>
  <c r="B146" i="2"/>
  <c r="J145" i="2"/>
  <c r="E145" i="2"/>
  <c r="D145" i="2"/>
  <c r="C145" i="2"/>
  <c r="B145" i="2"/>
  <c r="J144" i="2"/>
  <c r="I144" i="2"/>
  <c r="H144" i="2"/>
  <c r="A144" i="2"/>
  <c r="J143" i="2"/>
  <c r="E143" i="2"/>
  <c r="D143" i="2"/>
  <c r="C143" i="2"/>
  <c r="B143" i="2"/>
  <c r="J142" i="2"/>
  <c r="E142" i="2"/>
  <c r="D142" i="2"/>
  <c r="C142" i="2"/>
  <c r="B142" i="2"/>
  <c r="J141" i="2"/>
  <c r="E141" i="2"/>
  <c r="D141" i="2"/>
  <c r="C141" i="2"/>
  <c r="B141" i="2"/>
  <c r="J140" i="2"/>
  <c r="E140" i="2"/>
  <c r="D140" i="2"/>
  <c r="C140" i="2"/>
  <c r="B140" i="2"/>
  <c r="J139" i="2"/>
  <c r="I139" i="2"/>
  <c r="H139" i="2"/>
  <c r="A139" i="2"/>
  <c r="J138" i="2"/>
  <c r="E138" i="2"/>
  <c r="D138" i="2"/>
  <c r="C138" i="2"/>
  <c r="B138" i="2"/>
  <c r="J137" i="2"/>
  <c r="E137" i="2"/>
  <c r="D137" i="2"/>
  <c r="C137" i="2"/>
  <c r="J136" i="2"/>
  <c r="E136" i="2"/>
  <c r="D136" i="2"/>
  <c r="C136" i="2"/>
  <c r="J135" i="2"/>
  <c r="E135" i="2"/>
  <c r="D135" i="2"/>
  <c r="C135" i="2"/>
  <c r="J134" i="2"/>
  <c r="H134" i="2"/>
  <c r="A134" i="2"/>
  <c r="I136" i="2" s="1"/>
  <c r="J133" i="2"/>
  <c r="E133" i="2"/>
  <c r="D133" i="2"/>
  <c r="C133" i="2"/>
  <c r="J132" i="2"/>
  <c r="E132" i="2"/>
  <c r="D132" i="2"/>
  <c r="C132" i="2"/>
  <c r="J131" i="2"/>
  <c r="E131" i="2"/>
  <c r="D131" i="2"/>
  <c r="C131" i="2"/>
  <c r="B131" i="2"/>
  <c r="J130" i="2"/>
  <c r="E130" i="2"/>
  <c r="D130" i="2"/>
  <c r="C130" i="2"/>
  <c r="B130" i="2"/>
  <c r="J129" i="2"/>
  <c r="H129" i="2"/>
  <c r="A129" i="2"/>
  <c r="J128" i="2"/>
  <c r="E128" i="2"/>
  <c r="D128" i="2"/>
  <c r="C128" i="2"/>
  <c r="B128" i="2"/>
  <c r="J127" i="2"/>
  <c r="E127" i="2"/>
  <c r="D127" i="2"/>
  <c r="C127" i="2"/>
  <c r="B127" i="2"/>
  <c r="J126" i="2"/>
  <c r="E126" i="2"/>
  <c r="D126" i="2"/>
  <c r="C126" i="2"/>
  <c r="B126" i="2"/>
  <c r="J125" i="2"/>
  <c r="E125" i="2"/>
  <c r="D125" i="2"/>
  <c r="C125" i="2"/>
  <c r="B125" i="2"/>
  <c r="J124" i="2"/>
  <c r="I124" i="2"/>
  <c r="H124" i="2"/>
  <c r="A124" i="2"/>
  <c r="AB124" i="2" s="1"/>
  <c r="J123" i="2"/>
  <c r="E123" i="2"/>
  <c r="D123" i="2"/>
  <c r="C123" i="2"/>
  <c r="B123" i="2"/>
  <c r="J122" i="2"/>
  <c r="E122" i="2"/>
  <c r="D122" i="2"/>
  <c r="C122" i="2"/>
  <c r="B122" i="2"/>
  <c r="J121" i="2"/>
  <c r="E121" i="2"/>
  <c r="D121" i="2"/>
  <c r="C121" i="2"/>
  <c r="B121" i="2"/>
  <c r="J120" i="2"/>
  <c r="E120" i="2"/>
  <c r="D120" i="2"/>
  <c r="C120" i="2"/>
  <c r="B120" i="2"/>
  <c r="Z119" i="2"/>
  <c r="J119" i="2"/>
  <c r="H119" i="2"/>
  <c r="A119" i="2"/>
  <c r="I119" i="2" s="1"/>
  <c r="J118" i="2"/>
  <c r="E118" i="2"/>
  <c r="D118" i="2"/>
  <c r="C118" i="2"/>
  <c r="B118" i="2"/>
  <c r="J117" i="2"/>
  <c r="E117" i="2"/>
  <c r="D117" i="2"/>
  <c r="C117" i="2"/>
  <c r="B117" i="2"/>
  <c r="J116" i="2"/>
  <c r="E116" i="2"/>
  <c r="D116" i="2"/>
  <c r="C116" i="2"/>
  <c r="B116" i="2"/>
  <c r="J115" i="2"/>
  <c r="E115" i="2"/>
  <c r="D115" i="2"/>
  <c r="C115" i="2"/>
  <c r="B115" i="2"/>
  <c r="J114" i="2"/>
  <c r="H114" i="2"/>
  <c r="A114" i="2"/>
  <c r="AA114" i="2" s="1"/>
  <c r="J113" i="2"/>
  <c r="E113" i="2"/>
  <c r="D113" i="2"/>
  <c r="C113" i="2"/>
  <c r="B113" i="2"/>
  <c r="J112" i="2"/>
  <c r="E112" i="2"/>
  <c r="D112" i="2"/>
  <c r="C112" i="2"/>
  <c r="B112" i="2"/>
  <c r="J111" i="2"/>
  <c r="E111" i="2"/>
  <c r="D111" i="2"/>
  <c r="C111" i="2"/>
  <c r="B111" i="2"/>
  <c r="J110" i="2"/>
  <c r="E110" i="2"/>
  <c r="D110" i="2"/>
  <c r="C110" i="2"/>
  <c r="B110" i="2"/>
  <c r="J109" i="2"/>
  <c r="H109" i="2"/>
  <c r="A109" i="2"/>
  <c r="I113" i="2" s="1"/>
  <c r="J108" i="2"/>
  <c r="I108" i="2"/>
  <c r="E108" i="2"/>
  <c r="D108" i="2"/>
  <c r="C108" i="2"/>
  <c r="B108" i="2"/>
  <c r="J107" i="2"/>
  <c r="I107" i="2"/>
  <c r="E107" i="2"/>
  <c r="D107" i="2"/>
  <c r="C107" i="2"/>
  <c r="B107" i="2"/>
  <c r="J106" i="2"/>
  <c r="I106" i="2"/>
  <c r="E106" i="2"/>
  <c r="D106" i="2"/>
  <c r="C106" i="2"/>
  <c r="B106" i="2"/>
  <c r="Q105" i="2"/>
  <c r="M105" i="2" s="1"/>
  <c r="J105" i="2"/>
  <c r="I105" i="2"/>
  <c r="E105" i="2"/>
  <c r="D105" i="2"/>
  <c r="C105" i="2"/>
  <c r="B105" i="2"/>
  <c r="Q104" i="2"/>
  <c r="M104" i="2" s="1"/>
  <c r="J104" i="2"/>
  <c r="I104" i="2" s="1"/>
  <c r="H104" i="2"/>
  <c r="B104" i="2"/>
  <c r="A104" i="2"/>
  <c r="J103" i="2"/>
  <c r="I103" i="2"/>
  <c r="E103" i="2"/>
  <c r="D103" i="2"/>
  <c r="C103" i="2"/>
  <c r="B103" i="2"/>
  <c r="J102" i="2"/>
  <c r="I102" i="2"/>
  <c r="E102" i="2"/>
  <c r="D102" i="2"/>
  <c r="C102" i="2"/>
  <c r="B102" i="2"/>
  <c r="J101" i="2"/>
  <c r="I101" i="2"/>
  <c r="E101" i="2"/>
  <c r="D101" i="2"/>
  <c r="C101" i="2"/>
  <c r="B101" i="2"/>
  <c r="J100" i="2"/>
  <c r="I100" i="2"/>
  <c r="E100" i="2"/>
  <c r="D100" i="2"/>
  <c r="C100" i="2"/>
  <c r="B100" i="2"/>
  <c r="Q99" i="2"/>
  <c r="J99" i="2"/>
  <c r="I99" i="2"/>
  <c r="H99" i="2"/>
  <c r="A99" i="2"/>
  <c r="AB99" i="2" s="1"/>
  <c r="J98" i="2"/>
  <c r="E98" i="2"/>
  <c r="D98" i="2"/>
  <c r="C98" i="2"/>
  <c r="B98" i="2"/>
  <c r="J97" i="2"/>
  <c r="E97" i="2"/>
  <c r="D97" i="2"/>
  <c r="C97" i="2"/>
  <c r="B97" i="2"/>
  <c r="J96" i="2"/>
  <c r="E96" i="2"/>
  <c r="D96" i="2"/>
  <c r="C96" i="2"/>
  <c r="B96" i="2"/>
  <c r="J95" i="2"/>
  <c r="E95" i="2"/>
  <c r="D95" i="2"/>
  <c r="C95" i="2"/>
  <c r="B95" i="2"/>
  <c r="AA94" i="2"/>
  <c r="J94" i="2"/>
  <c r="H94" i="2"/>
  <c r="A94" i="2"/>
  <c r="J93" i="2"/>
  <c r="E93" i="2"/>
  <c r="D93" i="2"/>
  <c r="C93" i="2"/>
  <c r="B93" i="2"/>
  <c r="J92" i="2"/>
  <c r="E92" i="2"/>
  <c r="D92" i="2"/>
  <c r="C92" i="2"/>
  <c r="B92" i="2"/>
  <c r="J91" i="2"/>
  <c r="E91" i="2"/>
  <c r="D91" i="2"/>
  <c r="C91" i="2"/>
  <c r="B91" i="2"/>
  <c r="J90" i="2"/>
  <c r="E90" i="2"/>
  <c r="D90" i="2"/>
  <c r="C90" i="2"/>
  <c r="Q89" i="2"/>
  <c r="J89" i="2"/>
  <c r="I89" i="2"/>
  <c r="H89" i="2"/>
  <c r="A89" i="2"/>
  <c r="J88" i="2"/>
  <c r="E88" i="2"/>
  <c r="D88" i="2"/>
  <c r="C88" i="2"/>
  <c r="J87" i="2"/>
  <c r="I87" i="2"/>
  <c r="E87" i="2"/>
  <c r="D87" i="2"/>
  <c r="C87" i="2"/>
  <c r="B87" i="2"/>
  <c r="J86" i="2"/>
  <c r="I86" i="2"/>
  <c r="E86" i="2"/>
  <c r="D86" i="2"/>
  <c r="C86" i="2"/>
  <c r="B86" i="2"/>
  <c r="J85" i="2"/>
  <c r="I85" i="2"/>
  <c r="E85" i="2"/>
  <c r="D85" i="2"/>
  <c r="C85" i="2"/>
  <c r="B85" i="2"/>
  <c r="AB84" i="2"/>
  <c r="Z84" i="2"/>
  <c r="Q84" i="2"/>
  <c r="M84" i="2" s="1"/>
  <c r="J84" i="2"/>
  <c r="I84" i="2"/>
  <c r="H84" i="2"/>
  <c r="B84" i="2"/>
  <c r="A84" i="2"/>
  <c r="I88" i="2" s="1"/>
  <c r="J83" i="2"/>
  <c r="E83" i="2"/>
  <c r="D83" i="2"/>
  <c r="C83" i="2"/>
  <c r="B83" i="2"/>
  <c r="J82" i="2"/>
  <c r="E82" i="2"/>
  <c r="D82" i="2"/>
  <c r="C82" i="2"/>
  <c r="B82" i="2"/>
  <c r="J81" i="2"/>
  <c r="E81" i="2"/>
  <c r="D81" i="2"/>
  <c r="C81" i="2"/>
  <c r="B81" i="2"/>
  <c r="J80" i="2"/>
  <c r="E80" i="2"/>
  <c r="D80" i="2"/>
  <c r="C80" i="2"/>
  <c r="B80" i="2"/>
  <c r="AA79" i="2"/>
  <c r="J79" i="2"/>
  <c r="I79" i="2"/>
  <c r="H79" i="2"/>
  <c r="A79" i="2"/>
  <c r="J78" i="2"/>
  <c r="I78" i="2" s="1"/>
  <c r="E78" i="2"/>
  <c r="D78" i="2"/>
  <c r="C78" i="2"/>
  <c r="B78" i="2"/>
  <c r="J77" i="2"/>
  <c r="I77" i="2" s="1"/>
  <c r="E77" i="2"/>
  <c r="D77" i="2"/>
  <c r="C77" i="2"/>
  <c r="B77" i="2"/>
  <c r="J76" i="2"/>
  <c r="I76" i="2" s="1"/>
  <c r="E76" i="2"/>
  <c r="D76" i="2"/>
  <c r="C76" i="2"/>
  <c r="B76" i="2"/>
  <c r="J75" i="2"/>
  <c r="I75" i="2" s="1"/>
  <c r="E75" i="2"/>
  <c r="D75" i="2"/>
  <c r="C75" i="2"/>
  <c r="B75" i="2"/>
  <c r="Z74" i="2"/>
  <c r="Q74" i="2"/>
  <c r="Q75" i="2" s="1"/>
  <c r="M74" i="2"/>
  <c r="J74" i="2"/>
  <c r="I74" i="2"/>
  <c r="H74" i="2"/>
  <c r="A74" i="2"/>
  <c r="AB74" i="2" s="1"/>
  <c r="J73" i="2"/>
  <c r="I73" i="2"/>
  <c r="E73" i="2"/>
  <c r="D73" i="2"/>
  <c r="C73" i="2"/>
  <c r="B73" i="2"/>
  <c r="J72" i="2"/>
  <c r="I72" i="2"/>
  <c r="E72" i="2"/>
  <c r="D72" i="2"/>
  <c r="C72" i="2"/>
  <c r="B72" i="2"/>
  <c r="J71" i="2"/>
  <c r="I71" i="2"/>
  <c r="E71" i="2"/>
  <c r="D71" i="2"/>
  <c r="C71" i="2"/>
  <c r="B71" i="2"/>
  <c r="J70" i="2"/>
  <c r="I70" i="2"/>
  <c r="E70" i="2"/>
  <c r="D70" i="2"/>
  <c r="C70" i="2"/>
  <c r="B70" i="2"/>
  <c r="Q69" i="2"/>
  <c r="J69" i="2"/>
  <c r="I69" i="2"/>
  <c r="H69" i="2"/>
  <c r="A69" i="2"/>
  <c r="AB69" i="2" s="1"/>
  <c r="J68" i="2"/>
  <c r="E68" i="2"/>
  <c r="D68" i="2"/>
  <c r="C68" i="2"/>
  <c r="B68" i="2"/>
  <c r="J67" i="2"/>
  <c r="E67" i="2"/>
  <c r="D67" i="2"/>
  <c r="C67" i="2"/>
  <c r="B67" i="2"/>
  <c r="J66" i="2"/>
  <c r="E66" i="2"/>
  <c r="D66" i="2"/>
  <c r="C66" i="2"/>
  <c r="B66" i="2"/>
  <c r="J65" i="2"/>
  <c r="E65" i="2"/>
  <c r="D65" i="2"/>
  <c r="C65" i="2"/>
  <c r="B65" i="2"/>
  <c r="AA64" i="2"/>
  <c r="J64" i="2"/>
  <c r="H64" i="2"/>
  <c r="A64" i="2"/>
  <c r="J63" i="2"/>
  <c r="E63" i="2"/>
  <c r="D63" i="2"/>
  <c r="C63" i="2"/>
  <c r="B63" i="2"/>
  <c r="J62" i="2"/>
  <c r="E62" i="2"/>
  <c r="D62" i="2"/>
  <c r="C62" i="2"/>
  <c r="B62" i="2"/>
  <c r="J61" i="2"/>
  <c r="E61" i="2"/>
  <c r="D61" i="2"/>
  <c r="C61" i="2"/>
  <c r="B61" i="2"/>
  <c r="J60" i="2"/>
  <c r="E60" i="2"/>
  <c r="D60" i="2"/>
  <c r="C60" i="2"/>
  <c r="B60" i="2"/>
  <c r="Z59" i="2"/>
  <c r="J59" i="2"/>
  <c r="H59" i="2"/>
  <c r="A59" i="2"/>
  <c r="J58" i="2"/>
  <c r="I58" i="2"/>
  <c r="E58" i="2"/>
  <c r="D58" i="2"/>
  <c r="C58" i="2"/>
  <c r="B58" i="2"/>
  <c r="J57" i="2"/>
  <c r="I57" i="2"/>
  <c r="E57" i="2"/>
  <c r="D57" i="2"/>
  <c r="C57" i="2"/>
  <c r="B57" i="2"/>
  <c r="J56" i="2"/>
  <c r="I56" i="2"/>
  <c r="E56" i="2"/>
  <c r="D56" i="2"/>
  <c r="C56" i="2"/>
  <c r="B56" i="2"/>
  <c r="J55" i="2"/>
  <c r="I55" i="2"/>
  <c r="E55" i="2"/>
  <c r="D55" i="2"/>
  <c r="C55" i="2"/>
  <c r="B55" i="2"/>
  <c r="AB54" i="2"/>
  <c r="Q54" i="2"/>
  <c r="M54" i="2" s="1"/>
  <c r="J54" i="2"/>
  <c r="I54" i="2" s="1"/>
  <c r="H54" i="2"/>
  <c r="B54" i="2"/>
  <c r="A54" i="2"/>
  <c r="AA54" i="2" s="1"/>
  <c r="J53" i="2"/>
  <c r="E53" i="2"/>
  <c r="D53" i="2"/>
  <c r="C53" i="2"/>
  <c r="B53" i="2"/>
  <c r="J52" i="2"/>
  <c r="I52" i="2"/>
  <c r="E52" i="2"/>
  <c r="D52" i="2"/>
  <c r="C52" i="2"/>
  <c r="B52" i="2"/>
  <c r="J51" i="2"/>
  <c r="E51" i="2"/>
  <c r="D51" i="2"/>
  <c r="C51" i="2"/>
  <c r="B51" i="2"/>
  <c r="J50" i="2"/>
  <c r="E50" i="2"/>
  <c r="D50" i="2"/>
  <c r="C50" i="2"/>
  <c r="B50" i="2"/>
  <c r="AA49" i="2"/>
  <c r="J49" i="2"/>
  <c r="H49" i="2"/>
  <c r="A49" i="2"/>
  <c r="J48" i="2"/>
  <c r="E48" i="2"/>
  <c r="D48" i="2"/>
  <c r="C48" i="2"/>
  <c r="B48" i="2"/>
  <c r="J47" i="2"/>
  <c r="E47" i="2"/>
  <c r="D47" i="2"/>
  <c r="C47" i="2"/>
  <c r="B47" i="2"/>
  <c r="J46" i="2"/>
  <c r="E46" i="2"/>
  <c r="D46" i="2"/>
  <c r="C46" i="2"/>
  <c r="B46" i="2"/>
  <c r="J45" i="2"/>
  <c r="E45" i="2"/>
  <c r="D45" i="2"/>
  <c r="C45" i="2"/>
  <c r="B45" i="2"/>
  <c r="J44" i="2"/>
  <c r="I44" i="2"/>
  <c r="H44" i="2"/>
  <c r="A44" i="2"/>
  <c r="J43" i="2"/>
  <c r="I43" i="2" s="1"/>
  <c r="E43" i="2"/>
  <c r="D43" i="2"/>
  <c r="C43" i="2"/>
  <c r="B43" i="2"/>
  <c r="J42" i="2"/>
  <c r="I42" i="2" s="1"/>
  <c r="E42" i="2"/>
  <c r="D42" i="2"/>
  <c r="C42" i="2"/>
  <c r="B42" i="2"/>
  <c r="J41" i="2"/>
  <c r="I41" i="2" s="1"/>
  <c r="E41" i="2"/>
  <c r="D41" i="2"/>
  <c r="C41" i="2"/>
  <c r="B41" i="2"/>
  <c r="J40" i="2"/>
  <c r="I40" i="2" s="1"/>
  <c r="E40" i="2"/>
  <c r="D40" i="2"/>
  <c r="C40" i="2"/>
  <c r="B40" i="2"/>
  <c r="Q39" i="2"/>
  <c r="M39" i="2" s="1"/>
  <c r="J39" i="2"/>
  <c r="I39" i="2"/>
  <c r="H39" i="2"/>
  <c r="B39" i="2"/>
  <c r="A39" i="2"/>
  <c r="AB39" i="2" s="1"/>
  <c r="J38" i="2"/>
  <c r="E38" i="2"/>
  <c r="D38" i="2"/>
  <c r="C38" i="2"/>
  <c r="B38" i="2"/>
  <c r="J37" i="2"/>
  <c r="E37" i="2"/>
  <c r="D37" i="2"/>
  <c r="C37" i="2"/>
  <c r="B37" i="2"/>
  <c r="J36" i="2"/>
  <c r="I36" i="2" s="1"/>
  <c r="E36" i="2"/>
  <c r="D36" i="2"/>
  <c r="C36" i="2"/>
  <c r="B36" i="2"/>
  <c r="Q35" i="2"/>
  <c r="M35" i="2" s="1"/>
  <c r="J35" i="2"/>
  <c r="I35" i="2" s="1"/>
  <c r="E35" i="2"/>
  <c r="D35" i="2"/>
  <c r="C35" i="2"/>
  <c r="B35" i="2"/>
  <c r="AB34" i="2"/>
  <c r="Z34" i="2"/>
  <c r="Q34" i="2"/>
  <c r="M34" i="2"/>
  <c r="J34" i="2"/>
  <c r="I34" i="2" s="1"/>
  <c r="H34" i="2"/>
  <c r="B34" i="2"/>
  <c r="A34" i="2"/>
  <c r="J33" i="2"/>
  <c r="I33" i="2"/>
  <c r="E33" i="2"/>
  <c r="D33" i="2"/>
  <c r="C33" i="2"/>
  <c r="B33" i="2"/>
  <c r="J32" i="2"/>
  <c r="I32" i="2"/>
  <c r="E32" i="2"/>
  <c r="D32" i="2"/>
  <c r="C32" i="2"/>
  <c r="B32" i="2"/>
  <c r="J31" i="2"/>
  <c r="I31" i="2"/>
  <c r="E31" i="2"/>
  <c r="D31" i="2"/>
  <c r="C31" i="2"/>
  <c r="B31" i="2"/>
  <c r="J30" i="2"/>
  <c r="I30" i="2"/>
  <c r="E30" i="2"/>
  <c r="D30" i="2"/>
  <c r="C30" i="2"/>
  <c r="B30" i="2"/>
  <c r="Z29" i="2"/>
  <c r="Q29" i="2"/>
  <c r="Q30" i="2" s="1"/>
  <c r="J29" i="2"/>
  <c r="I29" i="2"/>
  <c r="H29" i="2"/>
  <c r="A29" i="2"/>
  <c r="AB29" i="2" s="1"/>
  <c r="J28" i="2"/>
  <c r="E28" i="2"/>
  <c r="D28" i="2"/>
  <c r="C28" i="2"/>
  <c r="B28" i="2"/>
  <c r="J27" i="2"/>
  <c r="E27" i="2"/>
  <c r="D27" i="2"/>
  <c r="C27" i="2"/>
  <c r="B27" i="2"/>
  <c r="J26" i="2"/>
  <c r="E26" i="2"/>
  <c r="D26" i="2"/>
  <c r="C26" i="2"/>
  <c r="B26" i="2"/>
  <c r="J25" i="2"/>
  <c r="E25" i="2"/>
  <c r="D25" i="2"/>
  <c r="C25" i="2"/>
  <c r="B25" i="2"/>
  <c r="Z24" i="2"/>
  <c r="J24" i="2"/>
  <c r="H24" i="2"/>
  <c r="A24" i="2"/>
  <c r="I24" i="2" s="1"/>
  <c r="J23" i="2"/>
  <c r="I23" i="2"/>
  <c r="E23" i="2"/>
  <c r="D23" i="2"/>
  <c r="C23" i="2"/>
  <c r="B23" i="2"/>
  <c r="J22" i="2"/>
  <c r="I22" i="2"/>
  <c r="E22" i="2"/>
  <c r="D22" i="2"/>
  <c r="C22" i="2"/>
  <c r="B22" i="2"/>
  <c r="J21" i="2"/>
  <c r="I21" i="2"/>
  <c r="E21" i="2"/>
  <c r="D21" i="2"/>
  <c r="C21" i="2"/>
  <c r="B21" i="2"/>
  <c r="Q20" i="2"/>
  <c r="Q21" i="2" s="1"/>
  <c r="J20" i="2"/>
  <c r="I20" i="2"/>
  <c r="E20" i="2"/>
  <c r="D20" i="2"/>
  <c r="C20" i="2"/>
  <c r="B20" i="2"/>
  <c r="AB19" i="2"/>
  <c r="Z19" i="2"/>
  <c r="Q19" i="2"/>
  <c r="M19" i="2" s="1"/>
  <c r="J19" i="2"/>
  <c r="H19" i="2"/>
  <c r="B19" i="2"/>
  <c r="A19" i="2"/>
  <c r="I19" i="2" s="1"/>
  <c r="J18" i="2"/>
  <c r="E18" i="2"/>
  <c r="D18" i="2"/>
  <c r="C18" i="2"/>
  <c r="B18" i="2"/>
  <c r="J17" i="2"/>
  <c r="E17" i="2"/>
  <c r="D17" i="2"/>
  <c r="C17" i="2"/>
  <c r="B17" i="2"/>
  <c r="J16" i="2"/>
  <c r="E16" i="2"/>
  <c r="D16" i="2"/>
  <c r="C16" i="2"/>
  <c r="B16" i="2"/>
  <c r="J15" i="2"/>
  <c r="E15" i="2"/>
  <c r="D15" i="2"/>
  <c r="C15" i="2"/>
  <c r="B15" i="2"/>
  <c r="AA14" i="2"/>
  <c r="J14" i="2"/>
  <c r="I14" i="2"/>
  <c r="H14" i="2"/>
  <c r="A14" i="2"/>
  <c r="Z14" i="2" s="1"/>
  <c r="J13" i="2"/>
  <c r="I13" i="2"/>
  <c r="E13" i="2"/>
  <c r="D13" i="2"/>
  <c r="C13" i="2"/>
  <c r="B13" i="2"/>
  <c r="J12" i="2"/>
  <c r="I12" i="2"/>
  <c r="E12" i="2"/>
  <c r="D12" i="2"/>
  <c r="C12" i="2"/>
  <c r="B12" i="2"/>
  <c r="J11" i="2"/>
  <c r="I11" i="2"/>
  <c r="E11" i="2"/>
  <c r="D11" i="2"/>
  <c r="C11" i="2"/>
  <c r="B11" i="2"/>
  <c r="J10" i="2"/>
  <c r="I10" i="2"/>
  <c r="E10" i="2"/>
  <c r="D10" i="2"/>
  <c r="C10" i="2"/>
  <c r="B10" i="2"/>
  <c r="Z9" i="2"/>
  <c r="Q9" i="2"/>
  <c r="Q10" i="2" s="1"/>
  <c r="M9" i="2"/>
  <c r="J9" i="2"/>
  <c r="I9" i="2"/>
  <c r="H9" i="2"/>
  <c r="A9" i="2"/>
  <c r="AB9" i="2" s="1"/>
  <c r="J8" i="2"/>
  <c r="E8" i="2"/>
  <c r="D8" i="2"/>
  <c r="C8" i="2"/>
  <c r="B8" i="2"/>
  <c r="J7" i="2"/>
  <c r="E7" i="2"/>
  <c r="D7" i="2"/>
  <c r="C7" i="2"/>
  <c r="B7" i="2"/>
  <c r="J6" i="2"/>
  <c r="E6" i="2"/>
  <c r="D6" i="2"/>
  <c r="C6" i="2"/>
  <c r="B6" i="2"/>
  <c r="J5" i="2"/>
  <c r="E5" i="2"/>
  <c r="D5" i="2"/>
  <c r="C5" i="2"/>
  <c r="B5" i="2"/>
  <c r="Z4" i="2"/>
  <c r="J4" i="2"/>
  <c r="H4" i="2"/>
  <c r="A4" i="2"/>
  <c r="I4" i="2" s="1"/>
  <c r="AD11" i="1"/>
  <c r="AC11" i="1"/>
  <c r="AB11" i="1"/>
  <c r="AA11" i="1"/>
  <c r="Z11" i="1"/>
  <c r="Y11" i="1"/>
  <c r="X11" i="1"/>
  <c r="W11" i="1"/>
  <c r="V11" i="1"/>
  <c r="R11" i="1"/>
  <c r="P11" i="1"/>
  <c r="N11" i="1"/>
  <c r="L11" i="1"/>
  <c r="J11" i="1"/>
  <c r="AD10" i="1"/>
  <c r="AC10" i="1"/>
  <c r="AB10" i="1"/>
  <c r="AA10" i="1"/>
  <c r="Z10" i="1"/>
  <c r="Y10" i="1"/>
  <c r="X10" i="1"/>
  <c r="W10" i="1"/>
  <c r="V10" i="1"/>
  <c r="H10" i="1" s="1"/>
  <c r="R10" i="1"/>
  <c r="P10" i="1"/>
  <c r="N10" i="1"/>
  <c r="L10" i="1"/>
  <c r="J10" i="1"/>
  <c r="AD9" i="1"/>
  <c r="AC9" i="1"/>
  <c r="AB9" i="1"/>
  <c r="AA9" i="1"/>
  <c r="Z9" i="1"/>
  <c r="Y9" i="1"/>
  <c r="X9" i="1"/>
  <c r="H9" i="1" s="1"/>
  <c r="W9" i="1"/>
  <c r="V9" i="1"/>
  <c r="R9" i="1"/>
  <c r="P9" i="1"/>
  <c r="N9" i="1"/>
  <c r="L9" i="1"/>
  <c r="J9" i="1"/>
  <c r="AD8" i="1"/>
  <c r="AC8" i="1"/>
  <c r="AB8" i="1"/>
  <c r="AA8" i="1"/>
  <c r="Z8" i="1"/>
  <c r="Y8" i="1"/>
  <c r="X8" i="1"/>
  <c r="W8" i="1"/>
  <c r="H8" i="1" s="1"/>
  <c r="V8" i="1"/>
  <c r="R8" i="1"/>
  <c r="P8" i="1"/>
  <c r="N8" i="1"/>
  <c r="L8" i="1"/>
  <c r="J8" i="1"/>
  <c r="AD7" i="1"/>
  <c r="AC7" i="1"/>
  <c r="AB7" i="1"/>
  <c r="AA7" i="1"/>
  <c r="Z7" i="1"/>
  <c r="Y7" i="1"/>
  <c r="X7" i="1"/>
  <c r="W7" i="1"/>
  <c r="V7" i="1"/>
  <c r="H7" i="1" s="1"/>
  <c r="R7" i="1"/>
  <c r="P7" i="1"/>
  <c r="N7" i="1"/>
  <c r="L7" i="1"/>
  <c r="J7" i="1"/>
  <c r="AD6" i="1"/>
  <c r="AC6" i="1"/>
  <c r="AB6" i="1"/>
  <c r="AA6" i="1"/>
  <c r="Z6" i="1"/>
  <c r="Y6" i="1"/>
  <c r="X6" i="1"/>
  <c r="W6" i="1"/>
  <c r="V6" i="1"/>
  <c r="R6" i="1"/>
  <c r="P6" i="1"/>
  <c r="N6" i="1"/>
  <c r="L6" i="1"/>
  <c r="J6" i="1"/>
  <c r="H6" i="1"/>
  <c r="AD5" i="1"/>
  <c r="AC5" i="1"/>
  <c r="AB5" i="1"/>
  <c r="AA5" i="1"/>
  <c r="Z5" i="1"/>
  <c r="Y5" i="1"/>
  <c r="X5" i="1"/>
  <c r="W5" i="1"/>
  <c r="H5" i="1" s="1"/>
  <c r="V5" i="1"/>
  <c r="R5" i="1"/>
  <c r="P5" i="1"/>
  <c r="N5" i="1"/>
  <c r="L5" i="1"/>
  <c r="J5" i="1"/>
  <c r="AD4" i="1"/>
  <c r="AC4" i="1"/>
  <c r="AB4" i="1"/>
  <c r="AA4" i="1"/>
  <c r="Z4" i="1"/>
  <c r="Y4" i="1"/>
  <c r="X4" i="1"/>
  <c r="W4" i="1"/>
  <c r="V4" i="1"/>
  <c r="H4" i="1" s="1"/>
  <c r="R4" i="1"/>
  <c r="P4" i="1"/>
  <c r="N4" i="1"/>
  <c r="L4" i="1"/>
  <c r="J4" i="1"/>
  <c r="Q31" i="2" l="1"/>
  <c r="M30" i="2"/>
  <c r="Q11" i="2"/>
  <c r="M10" i="2"/>
  <c r="Q22" i="2"/>
  <c r="M21" i="2"/>
  <c r="E44" i="2"/>
  <c r="D44" i="2"/>
  <c r="Q44" i="2"/>
  <c r="B14" i="2"/>
  <c r="AB14" i="2"/>
  <c r="C44" i="2"/>
  <c r="I46" i="2"/>
  <c r="Q55" i="2"/>
  <c r="AB104" i="2"/>
  <c r="Z109" i="2"/>
  <c r="Q36" i="2"/>
  <c r="Q70" i="2"/>
  <c r="M69" i="2"/>
  <c r="Q4" i="2"/>
  <c r="I5" i="2"/>
  <c r="I6" i="2"/>
  <c r="I7" i="2"/>
  <c r="I8" i="2"/>
  <c r="AA19" i="2"/>
  <c r="M20" i="2"/>
  <c r="Q24" i="2"/>
  <c r="I25" i="2"/>
  <c r="I26" i="2"/>
  <c r="I27" i="2"/>
  <c r="I28" i="2"/>
  <c r="M29" i="2"/>
  <c r="I45" i="2"/>
  <c r="AB49" i="2"/>
  <c r="B49" i="2"/>
  <c r="Z49" i="2"/>
  <c r="I53" i="2"/>
  <c r="I93" i="2"/>
  <c r="I92" i="2"/>
  <c r="I91" i="2"/>
  <c r="I90" i="2"/>
  <c r="E89" i="2"/>
  <c r="D89" i="2"/>
  <c r="C89" i="2"/>
  <c r="I94" i="2"/>
  <c r="AB94" i="2"/>
  <c r="B94" i="2"/>
  <c r="Z94" i="2"/>
  <c r="I98" i="2"/>
  <c r="I97" i="2"/>
  <c r="I96" i="2"/>
  <c r="I95" i="2"/>
  <c r="Q94" i="2"/>
  <c r="Q134" i="2"/>
  <c r="Q177" i="2"/>
  <c r="Q197" i="2"/>
  <c r="AA4" i="2"/>
  <c r="AA24" i="2"/>
  <c r="I49" i="2"/>
  <c r="I51" i="2"/>
  <c r="Z79" i="2"/>
  <c r="I83" i="2"/>
  <c r="I82" i="2"/>
  <c r="I81" i="2"/>
  <c r="I80" i="2"/>
  <c r="Q79" i="2"/>
  <c r="AB79" i="2"/>
  <c r="B79" i="2"/>
  <c r="AA104" i="2"/>
  <c r="Z129" i="2"/>
  <c r="I131" i="2"/>
  <c r="I130" i="2"/>
  <c r="Q129" i="2"/>
  <c r="I132" i="2"/>
  <c r="I133" i="2"/>
  <c r="AB129" i="2"/>
  <c r="B129" i="2"/>
  <c r="Q157" i="2"/>
  <c r="M156" i="2"/>
  <c r="M189" i="2"/>
  <c r="Q190" i="2"/>
  <c r="I314" i="2"/>
  <c r="I315" i="2"/>
  <c r="I318" i="2"/>
  <c r="I317" i="2"/>
  <c r="I316" i="2"/>
  <c r="E314" i="2"/>
  <c r="D314" i="2"/>
  <c r="C314" i="2"/>
  <c r="Q314" i="2"/>
  <c r="AB154" i="2"/>
  <c r="Z139" i="2"/>
  <c r="Z124" i="2"/>
  <c r="Z149" i="2"/>
  <c r="B4" i="2"/>
  <c r="AB4" i="2"/>
  <c r="B24" i="2"/>
  <c r="AB24" i="2"/>
  <c r="AA29" i="2"/>
  <c r="Z39" i="2"/>
  <c r="I50" i="2"/>
  <c r="AB139" i="2"/>
  <c r="AA9" i="2"/>
  <c r="Q14" i="2"/>
  <c r="I15" i="2"/>
  <c r="I16" i="2"/>
  <c r="I17" i="2"/>
  <c r="I18" i="2"/>
  <c r="Q76" i="2"/>
  <c r="M75" i="2"/>
  <c r="Q90" i="2"/>
  <c r="M89" i="2"/>
  <c r="I114" i="2"/>
  <c r="AB114" i="2"/>
  <c r="B114" i="2"/>
  <c r="Z114" i="2"/>
  <c r="I118" i="2"/>
  <c r="I117" i="2"/>
  <c r="I116" i="2"/>
  <c r="I115" i="2"/>
  <c r="Q114" i="2"/>
  <c r="I129" i="2"/>
  <c r="I134" i="2"/>
  <c r="I135" i="2"/>
  <c r="I138" i="2"/>
  <c r="I137" i="2"/>
  <c r="D134" i="2"/>
  <c r="C134" i="2"/>
  <c r="AA144" i="2"/>
  <c r="AA149" i="2"/>
  <c r="Z154" i="2"/>
  <c r="M170" i="2"/>
  <c r="Q171" i="2"/>
  <c r="M305" i="2"/>
  <c r="Q306" i="2"/>
  <c r="Q100" i="2"/>
  <c r="M99" i="2"/>
  <c r="B9" i="2"/>
  <c r="I38" i="2"/>
  <c r="I37" i="2"/>
  <c r="AA34" i="2"/>
  <c r="Q40" i="2"/>
  <c r="I48" i="2"/>
  <c r="Q49" i="2"/>
  <c r="I63" i="2"/>
  <c r="I64" i="2"/>
  <c r="AB64" i="2"/>
  <c r="B64" i="2"/>
  <c r="Z64" i="2"/>
  <c r="I68" i="2"/>
  <c r="I67" i="2"/>
  <c r="I66" i="2"/>
  <c r="I65" i="2"/>
  <c r="Q64" i="2"/>
  <c r="Q85" i="2"/>
  <c r="Q106" i="2"/>
  <c r="E134" i="2"/>
  <c r="Q153" i="2"/>
  <c r="M153" i="2" s="1"/>
  <c r="I47" i="2"/>
  <c r="AA129" i="2"/>
  <c r="AA154" i="2"/>
  <c r="AA59" i="2"/>
  <c r="AA109" i="2"/>
  <c r="B144" i="2"/>
  <c r="AB144" i="2"/>
  <c r="Z199" i="2"/>
  <c r="AA219" i="2"/>
  <c r="E224" i="2"/>
  <c r="AA229" i="2"/>
  <c r="AA249" i="2"/>
  <c r="AA264" i="2"/>
  <c r="Q285" i="2"/>
  <c r="M284" i="2"/>
  <c r="B59" i="2"/>
  <c r="AB59" i="2"/>
  <c r="AA84" i="2"/>
  <c r="B109" i="2"/>
  <c r="AB109" i="2"/>
  <c r="Q119" i="2"/>
  <c r="I120" i="2"/>
  <c r="I121" i="2"/>
  <c r="I122" i="2"/>
  <c r="I123" i="2"/>
  <c r="Z174" i="2"/>
  <c r="C179" i="2"/>
  <c r="I181" i="2"/>
  <c r="I184" i="2"/>
  <c r="I190" i="2"/>
  <c r="I191" i="2"/>
  <c r="I192" i="2"/>
  <c r="I193" i="2"/>
  <c r="Z204" i="2"/>
  <c r="C224" i="2"/>
  <c r="Q230" i="2"/>
  <c r="I244" i="2"/>
  <c r="I279" i="2"/>
  <c r="AB279" i="2"/>
  <c r="B279" i="2"/>
  <c r="Z279" i="2"/>
  <c r="I283" i="2"/>
  <c r="I282" i="2"/>
  <c r="I281" i="2"/>
  <c r="I280" i="2"/>
  <c r="Q279" i="2"/>
  <c r="AB289" i="2"/>
  <c r="I59" i="2"/>
  <c r="Z69" i="2"/>
  <c r="Z99" i="2"/>
  <c r="I109" i="2"/>
  <c r="AA119" i="2"/>
  <c r="Q124" i="2"/>
  <c r="I125" i="2"/>
  <c r="I126" i="2"/>
  <c r="I127" i="2"/>
  <c r="I128" i="2"/>
  <c r="Q139" i="2"/>
  <c r="I140" i="2"/>
  <c r="I141" i="2"/>
  <c r="I142" i="2"/>
  <c r="I143" i="2"/>
  <c r="M155" i="2"/>
  <c r="Q159" i="2"/>
  <c r="I160" i="2"/>
  <c r="I161" i="2"/>
  <c r="I162" i="2"/>
  <c r="I163" i="2"/>
  <c r="M169" i="2"/>
  <c r="E179" i="2"/>
  <c r="I180" i="2"/>
  <c r="AA189" i="2"/>
  <c r="AA199" i="2"/>
  <c r="E209" i="2"/>
  <c r="I229" i="2"/>
  <c r="Z229" i="2"/>
  <c r="D254" i="2"/>
  <c r="Z259" i="2"/>
  <c r="AA69" i="2"/>
  <c r="AA99" i="2"/>
  <c r="AB119" i="2"/>
  <c r="Z159" i="2"/>
  <c r="I194" i="2"/>
  <c r="Z194" i="2"/>
  <c r="Z214" i="2"/>
  <c r="I223" i="2"/>
  <c r="AB219" i="2"/>
  <c r="B219" i="2"/>
  <c r="Z219" i="2"/>
  <c r="I222" i="2"/>
  <c r="I221" i="2"/>
  <c r="I220" i="2"/>
  <c r="Q219" i="2"/>
  <c r="I249" i="2"/>
  <c r="AB249" i="2"/>
  <c r="B249" i="2"/>
  <c r="Z249" i="2"/>
  <c r="I253" i="2"/>
  <c r="I251" i="2"/>
  <c r="AA279" i="2"/>
  <c r="Q291" i="2"/>
  <c r="M290" i="2"/>
  <c r="AA304" i="2"/>
  <c r="Z54" i="2"/>
  <c r="B69" i="2"/>
  <c r="AA74" i="2"/>
  <c r="B99" i="2"/>
  <c r="AA124" i="2"/>
  <c r="AA139" i="2"/>
  <c r="Q144" i="2"/>
  <c r="I145" i="2"/>
  <c r="I146" i="2"/>
  <c r="I147" i="2"/>
  <c r="I148" i="2"/>
  <c r="AA159" i="2"/>
  <c r="Q165" i="2"/>
  <c r="I179" i="2"/>
  <c r="Z189" i="2"/>
  <c r="B194" i="2"/>
  <c r="Q235" i="2"/>
  <c r="M234" i="2"/>
  <c r="I250" i="2"/>
  <c r="Z294" i="2"/>
  <c r="D299" i="2"/>
  <c r="Q59" i="2"/>
  <c r="I60" i="2"/>
  <c r="I61" i="2"/>
  <c r="I62" i="2"/>
  <c r="Q109" i="2"/>
  <c r="I110" i="2"/>
  <c r="I111" i="2"/>
  <c r="I112" i="2"/>
  <c r="B124" i="2"/>
  <c r="B139" i="2"/>
  <c r="Z144" i="2"/>
  <c r="B159" i="2"/>
  <c r="I174" i="2"/>
  <c r="I178" i="2"/>
  <c r="B189" i="2"/>
  <c r="I219" i="2"/>
  <c r="I230" i="2"/>
  <c r="I231" i="2"/>
  <c r="I232" i="2"/>
  <c r="I233" i="2"/>
  <c r="M265" i="2"/>
  <c r="Q266" i="2"/>
  <c r="E269" i="2"/>
  <c r="Q311" i="2"/>
  <c r="Q180" i="2"/>
  <c r="M179" i="2"/>
  <c r="Z184" i="2"/>
  <c r="I188" i="2"/>
  <c r="I187" i="2"/>
  <c r="I186" i="2"/>
  <c r="I185" i="2"/>
  <c r="Q184" i="2"/>
  <c r="AB184" i="2"/>
  <c r="B184" i="2"/>
  <c r="Q200" i="2"/>
  <c r="M199" i="2"/>
  <c r="AB244" i="2"/>
  <c r="B244" i="2"/>
  <c r="Z244" i="2"/>
  <c r="I248" i="2"/>
  <c r="I247" i="2"/>
  <c r="I246" i="2"/>
  <c r="I245" i="2"/>
  <c r="Q244" i="2"/>
  <c r="Q250" i="2"/>
  <c r="M249" i="2"/>
  <c r="AB199" i="2"/>
  <c r="Z304" i="2"/>
  <c r="Z264" i="2"/>
  <c r="Z289" i="2"/>
  <c r="D209" i="2"/>
  <c r="Z309" i="2"/>
  <c r="AB304" i="2"/>
  <c r="AB264" i="2"/>
  <c r="AA204" i="2"/>
  <c r="AA214" i="2"/>
  <c r="AA239" i="2"/>
  <c r="E254" i="2"/>
  <c r="I259" i="2"/>
  <c r="Q269" i="2"/>
  <c r="AA274" i="2"/>
  <c r="AA294" i="2"/>
  <c r="Q299" i="2"/>
  <c r="B204" i="2"/>
  <c r="AB204" i="2"/>
  <c r="Q209" i="2"/>
  <c r="B214" i="2"/>
  <c r="AB214" i="2"/>
  <c r="B239" i="2"/>
  <c r="AB239" i="2"/>
  <c r="I255" i="2"/>
  <c r="I256" i="2"/>
  <c r="I257" i="2"/>
  <c r="I258" i="2"/>
  <c r="C269" i="2"/>
  <c r="B274" i="2"/>
  <c r="AB274" i="2"/>
  <c r="I289" i="2"/>
  <c r="B294" i="2"/>
  <c r="AB294" i="2"/>
  <c r="C299" i="2"/>
  <c r="AA309" i="2"/>
  <c r="I214" i="2"/>
  <c r="Q224" i="2"/>
  <c r="I239" i="2"/>
  <c r="Q259" i="2"/>
  <c r="I260" i="2"/>
  <c r="I261" i="2"/>
  <c r="I262" i="2"/>
  <c r="I263" i="2"/>
  <c r="I274" i="2"/>
  <c r="Z284" i="2"/>
  <c r="M289" i="2"/>
  <c r="I294" i="2"/>
  <c r="E299" i="2"/>
  <c r="I301" i="2"/>
  <c r="I302" i="2"/>
  <c r="AA284" i="2"/>
  <c r="Q254" i="2"/>
  <c r="AA259" i="2"/>
  <c r="B284" i="2"/>
  <c r="AB284" i="2"/>
  <c r="Q204" i="2"/>
  <c r="I205" i="2"/>
  <c r="I206" i="2"/>
  <c r="I207" i="2"/>
  <c r="Q214" i="2"/>
  <c r="I215" i="2"/>
  <c r="I216" i="2"/>
  <c r="I217" i="2"/>
  <c r="I218" i="2"/>
  <c r="AA234" i="2"/>
  <c r="Q239" i="2"/>
  <c r="I240" i="2"/>
  <c r="I241" i="2"/>
  <c r="I242" i="2"/>
  <c r="I243" i="2"/>
  <c r="C254" i="2"/>
  <c r="B259" i="2"/>
  <c r="Q274" i="2"/>
  <c r="I275" i="2"/>
  <c r="I276" i="2"/>
  <c r="I277" i="2"/>
  <c r="I278" i="2"/>
  <c r="AA289" i="2"/>
  <c r="Q294" i="2"/>
  <c r="I295" i="2"/>
  <c r="I296" i="2"/>
  <c r="B234" i="2"/>
  <c r="B289" i="2"/>
  <c r="I310" i="2"/>
  <c r="I311" i="2"/>
  <c r="M59" i="2" l="1"/>
  <c r="Q60" i="2"/>
  <c r="Q292" i="2"/>
  <c r="M291" i="2"/>
  <c r="Q120" i="2"/>
  <c r="M119" i="2"/>
  <c r="Q205" i="2"/>
  <c r="M204" i="2"/>
  <c r="M294" i="2"/>
  <c r="Q295" i="2"/>
  <c r="Q260" i="2"/>
  <c r="M259" i="2"/>
  <c r="M266" i="2"/>
  <c r="Q267" i="2"/>
  <c r="Q140" i="2"/>
  <c r="M139" i="2"/>
  <c r="Q50" i="2"/>
  <c r="M49" i="2"/>
  <c r="Q101" i="2"/>
  <c r="M100" i="2"/>
  <c r="M14" i="2"/>
  <c r="Q15" i="2"/>
  <c r="M197" i="2"/>
  <c r="Q198" i="2"/>
  <c r="M198" i="2" s="1"/>
  <c r="Q300" i="2"/>
  <c r="M299" i="2"/>
  <c r="Q251" i="2"/>
  <c r="M250" i="2"/>
  <c r="M109" i="2"/>
  <c r="Q110" i="2"/>
  <c r="M306" i="2"/>
  <c r="Q307" i="2"/>
  <c r="Q91" i="2"/>
  <c r="M90" i="2"/>
  <c r="Q178" i="2"/>
  <c r="M178" i="2" s="1"/>
  <c r="M177" i="2"/>
  <c r="Q240" i="2"/>
  <c r="M239" i="2"/>
  <c r="Q225" i="2"/>
  <c r="M224" i="2"/>
  <c r="Q270" i="2"/>
  <c r="M269" i="2"/>
  <c r="Q160" i="2"/>
  <c r="M159" i="2"/>
  <c r="Q158" i="2"/>
  <c r="M158" i="2" s="1"/>
  <c r="M157" i="2"/>
  <c r="M55" i="2"/>
  <c r="Q56" i="2"/>
  <c r="M254" i="2"/>
  <c r="Q255" i="2"/>
  <c r="Q201" i="2"/>
  <c r="M200" i="2"/>
  <c r="M171" i="2"/>
  <c r="Q172" i="2"/>
  <c r="Q77" i="2"/>
  <c r="M76" i="2"/>
  <c r="Q95" i="2"/>
  <c r="M94" i="2"/>
  <c r="Q23" i="2"/>
  <c r="M23" i="2" s="1"/>
  <c r="M22" i="2"/>
  <c r="Q125" i="2"/>
  <c r="M124" i="2"/>
  <c r="M244" i="2"/>
  <c r="Q245" i="2"/>
  <c r="Q236" i="2"/>
  <c r="M235" i="2"/>
  <c r="Q41" i="2"/>
  <c r="M40" i="2"/>
  <c r="Q135" i="2"/>
  <c r="M134" i="2"/>
  <c r="Q215" i="2"/>
  <c r="M214" i="2"/>
  <c r="Q210" i="2"/>
  <c r="M209" i="2"/>
  <c r="M144" i="2"/>
  <c r="Q145" i="2"/>
  <c r="M279" i="2"/>
  <c r="Q280" i="2"/>
  <c r="Q286" i="2"/>
  <c r="M285" i="2"/>
  <c r="M106" i="2"/>
  <c r="Q107" i="2"/>
  <c r="Q5" i="2"/>
  <c r="M4" i="2"/>
  <c r="M219" i="2"/>
  <c r="Q220" i="2"/>
  <c r="M85" i="2"/>
  <c r="Q86" i="2"/>
  <c r="Q25" i="2"/>
  <c r="M24" i="2"/>
  <c r="Q12" i="2"/>
  <c r="M11" i="2"/>
  <c r="M274" i="2"/>
  <c r="Q275" i="2"/>
  <c r="Q185" i="2"/>
  <c r="M184" i="2"/>
  <c r="M311" i="2"/>
  <c r="Q312" i="2"/>
  <c r="Q166" i="2"/>
  <c r="M165" i="2"/>
  <c r="Q231" i="2"/>
  <c r="M230" i="2"/>
  <c r="Q65" i="2"/>
  <c r="M64" i="2"/>
  <c r="Q315" i="2"/>
  <c r="M314" i="2"/>
  <c r="M79" i="2"/>
  <c r="Q80" i="2"/>
  <c r="Q71" i="2"/>
  <c r="M70" i="2"/>
  <c r="Q181" i="2"/>
  <c r="M180" i="2"/>
  <c r="Q115" i="2"/>
  <c r="M114" i="2"/>
  <c r="Q191" i="2"/>
  <c r="M190" i="2"/>
  <c r="M129" i="2"/>
  <c r="Q130" i="2"/>
  <c r="Q37" i="2"/>
  <c r="M36" i="2"/>
  <c r="Q45" i="2"/>
  <c r="M44" i="2"/>
  <c r="Q32" i="2"/>
  <c r="M31" i="2"/>
  <c r="Q192" i="2" l="1"/>
  <c r="M191" i="2"/>
  <c r="Q13" i="2"/>
  <c r="M13" i="2" s="1"/>
  <c r="M12" i="2"/>
  <c r="Q42" i="2"/>
  <c r="M41" i="2"/>
  <c r="Q102" i="2"/>
  <c r="M101" i="2"/>
  <c r="Q313" i="2"/>
  <c r="M313" i="2" s="1"/>
  <c r="M312" i="2"/>
  <c r="M255" i="2"/>
  <c r="Q256" i="2"/>
  <c r="Q211" i="2"/>
  <c r="M210" i="2"/>
  <c r="Q92" i="2"/>
  <c r="M91" i="2"/>
  <c r="Q51" i="2"/>
  <c r="M50" i="2"/>
  <c r="M86" i="2"/>
  <c r="Q87" i="2"/>
  <c r="Q246" i="2"/>
  <c r="M245" i="2"/>
  <c r="M56" i="2"/>
  <c r="Q57" i="2"/>
  <c r="M307" i="2"/>
  <c r="Q308" i="2"/>
  <c r="M308" i="2" s="1"/>
  <c r="Q167" i="2"/>
  <c r="M166" i="2"/>
  <c r="Q202" i="2"/>
  <c r="M201" i="2"/>
  <c r="Q252" i="2"/>
  <c r="M251" i="2"/>
  <c r="Q61" i="2"/>
  <c r="M60" i="2"/>
  <c r="Q116" i="2"/>
  <c r="M115" i="2"/>
  <c r="Q26" i="2"/>
  <c r="M25" i="2"/>
  <c r="Q237" i="2"/>
  <c r="M236" i="2"/>
  <c r="Q96" i="2"/>
  <c r="M95" i="2"/>
  <c r="Q271" i="2"/>
  <c r="M270" i="2"/>
  <c r="Q301" i="2"/>
  <c r="M300" i="2"/>
  <c r="Q38" i="2"/>
  <c r="M38" i="2" s="1"/>
  <c r="M37" i="2"/>
  <c r="Q182" i="2"/>
  <c r="M181" i="2"/>
  <c r="Q66" i="2"/>
  <c r="M65" i="2"/>
  <c r="Q186" i="2"/>
  <c r="M185" i="2"/>
  <c r="Q287" i="2"/>
  <c r="M286" i="2"/>
  <c r="Q216" i="2"/>
  <c r="M215" i="2"/>
  <c r="Q78" i="2"/>
  <c r="M78" i="2" s="1"/>
  <c r="M77" i="2"/>
  <c r="Q226" i="2"/>
  <c r="M225" i="2"/>
  <c r="Q141" i="2"/>
  <c r="M140" i="2"/>
  <c r="Q206" i="2"/>
  <c r="M205" i="2"/>
  <c r="Q6" i="2"/>
  <c r="M5" i="2"/>
  <c r="Q293" i="2"/>
  <c r="M293" i="2" s="1"/>
  <c r="M292" i="2"/>
  <c r="Q46" i="2"/>
  <c r="M45" i="2"/>
  <c r="Q316" i="2"/>
  <c r="M315" i="2"/>
  <c r="Q131" i="2"/>
  <c r="M130" i="2"/>
  <c r="Q221" i="2"/>
  <c r="M220" i="2"/>
  <c r="Q281" i="2"/>
  <c r="M280" i="2"/>
  <c r="M172" i="2"/>
  <c r="Q173" i="2"/>
  <c r="M173" i="2" s="1"/>
  <c r="Q111" i="2"/>
  <c r="M110" i="2"/>
  <c r="Q16" i="2"/>
  <c r="M15" i="2"/>
  <c r="Q268" i="2"/>
  <c r="M268" i="2" s="1"/>
  <c r="M267" i="2"/>
  <c r="Q72" i="2"/>
  <c r="M71" i="2"/>
  <c r="Q232" i="2"/>
  <c r="M231" i="2"/>
  <c r="Q136" i="2"/>
  <c r="M135" i="2"/>
  <c r="Q126" i="2"/>
  <c r="M125" i="2"/>
  <c r="Q241" i="2"/>
  <c r="M240" i="2"/>
  <c r="Q121" i="2"/>
  <c r="M120" i="2"/>
  <c r="Q33" i="2"/>
  <c r="M33" i="2" s="1"/>
  <c r="M32" i="2"/>
  <c r="Q161" i="2"/>
  <c r="M160" i="2"/>
  <c r="Q261" i="2"/>
  <c r="M260" i="2"/>
  <c r="M107" i="2"/>
  <c r="Q108" i="2"/>
  <c r="M108" i="2" s="1"/>
  <c r="Q296" i="2"/>
  <c r="M295" i="2"/>
  <c r="Q276" i="2"/>
  <c r="M275" i="2"/>
  <c r="Q81" i="2"/>
  <c r="M80" i="2"/>
  <c r="M145" i="2"/>
  <c r="Q146" i="2"/>
  <c r="Q122" i="2" l="1"/>
  <c r="M121" i="2"/>
  <c r="Q112" i="2"/>
  <c r="M111" i="2"/>
  <c r="Q67" i="2"/>
  <c r="M66" i="2"/>
  <c r="M316" i="2"/>
  <c r="Q317" i="2"/>
  <c r="Q217" i="2"/>
  <c r="M216" i="2"/>
  <c r="Q97" i="2"/>
  <c r="M96" i="2"/>
  <c r="Q62" i="2"/>
  <c r="M61" i="2"/>
  <c r="M57" i="2"/>
  <c r="Q58" i="2"/>
  <c r="M58" i="2" s="1"/>
  <c r="Q233" i="2"/>
  <c r="M233" i="2" s="1"/>
  <c r="M232" i="2"/>
  <c r="Q7" i="2"/>
  <c r="M6" i="2"/>
  <c r="Q272" i="2"/>
  <c r="M271" i="2"/>
  <c r="Q82" i="2"/>
  <c r="M81" i="2"/>
  <c r="Q73" i="2"/>
  <c r="M73" i="2" s="1"/>
  <c r="M72" i="2"/>
  <c r="Q207" i="2"/>
  <c r="M206" i="2"/>
  <c r="Q183" i="2"/>
  <c r="M183" i="2" s="1"/>
  <c r="M182" i="2"/>
  <c r="Q52" i="2"/>
  <c r="M51" i="2"/>
  <c r="Q193" i="2"/>
  <c r="M193" i="2" s="1"/>
  <c r="M192" i="2"/>
  <c r="Q277" i="2"/>
  <c r="M276" i="2"/>
  <c r="Q162" i="2"/>
  <c r="M161" i="2"/>
  <c r="Q127" i="2"/>
  <c r="M126" i="2"/>
  <c r="Q282" i="2"/>
  <c r="M281" i="2"/>
  <c r="Q47" i="2"/>
  <c r="M46" i="2"/>
  <c r="Q142" i="2"/>
  <c r="M141" i="2"/>
  <c r="Q288" i="2"/>
  <c r="M288" i="2" s="1"/>
  <c r="M287" i="2"/>
  <c r="Q238" i="2"/>
  <c r="M238" i="2" s="1"/>
  <c r="M237" i="2"/>
  <c r="M252" i="2"/>
  <c r="Q253" i="2"/>
  <c r="M253" i="2" s="1"/>
  <c r="Q93" i="2"/>
  <c r="M93" i="2" s="1"/>
  <c r="M92" i="2"/>
  <c r="Q103" i="2"/>
  <c r="M103" i="2" s="1"/>
  <c r="M102" i="2"/>
  <c r="Q117" i="2"/>
  <c r="M116" i="2"/>
  <c r="Q168" i="2"/>
  <c r="M168" i="2" s="1"/>
  <c r="M167" i="2"/>
  <c r="Q242" i="2"/>
  <c r="M241" i="2"/>
  <c r="Q297" i="2"/>
  <c r="M296" i="2"/>
  <c r="Q137" i="2"/>
  <c r="M136" i="2"/>
  <c r="M16" i="2"/>
  <c r="Q17" i="2"/>
  <c r="Q222" i="2"/>
  <c r="M221" i="2"/>
  <c r="Q227" i="2"/>
  <c r="M226" i="2"/>
  <c r="Q187" i="2"/>
  <c r="M186" i="2"/>
  <c r="Q302" i="2"/>
  <c r="M301" i="2"/>
  <c r="Q27" i="2"/>
  <c r="M26" i="2"/>
  <c r="Q203" i="2"/>
  <c r="M203" i="2" s="1"/>
  <c r="M202" i="2"/>
  <c r="Q247" i="2"/>
  <c r="M246" i="2"/>
  <c r="Q212" i="2"/>
  <c r="M211" i="2"/>
  <c r="Q43" i="2"/>
  <c r="M43" i="2" s="1"/>
  <c r="M42" i="2"/>
  <c r="M131" i="2"/>
  <c r="Q132" i="2"/>
  <c r="Q262" i="2"/>
  <c r="M261" i="2"/>
  <c r="M146" i="2"/>
  <c r="Q147" i="2"/>
  <c r="Q88" i="2"/>
  <c r="M88" i="2" s="1"/>
  <c r="M87" i="2"/>
  <c r="M256" i="2"/>
  <c r="Q257" i="2"/>
  <c r="Q278" i="2" l="1"/>
  <c r="M278" i="2" s="1"/>
  <c r="M277" i="2"/>
  <c r="Q98" i="2"/>
  <c r="M98" i="2" s="1"/>
  <c r="M97" i="2"/>
  <c r="Q248" i="2"/>
  <c r="M248" i="2" s="1"/>
  <c r="M247" i="2"/>
  <c r="Q123" i="2"/>
  <c r="M123" i="2" s="1"/>
  <c r="M122" i="2"/>
  <c r="M257" i="2"/>
  <c r="Q258" i="2"/>
  <c r="M258" i="2" s="1"/>
  <c r="Q133" i="2"/>
  <c r="M133" i="2" s="1"/>
  <c r="M132" i="2"/>
  <c r="M317" i="2"/>
  <c r="Q318" i="2"/>
  <c r="M318" i="2" s="1"/>
  <c r="Q8" i="2"/>
  <c r="M8" i="2" s="1"/>
  <c r="M7" i="2"/>
  <c r="Q283" i="2"/>
  <c r="M283" i="2" s="1"/>
  <c r="M282" i="2"/>
  <c r="Q218" i="2"/>
  <c r="M218" i="2" s="1"/>
  <c r="M217" i="2"/>
  <c r="Q228" i="2"/>
  <c r="M228" i="2" s="1"/>
  <c r="M227" i="2"/>
  <c r="Q298" i="2"/>
  <c r="M298" i="2" s="1"/>
  <c r="M297" i="2"/>
  <c r="Q128" i="2"/>
  <c r="M128" i="2" s="1"/>
  <c r="M127" i="2"/>
  <c r="Q53" i="2"/>
  <c r="M53" i="2" s="1"/>
  <c r="M52" i="2"/>
  <c r="Q83" i="2"/>
  <c r="M83" i="2" s="1"/>
  <c r="M82" i="2"/>
  <c r="Q213" i="2"/>
  <c r="M213" i="2" s="1"/>
  <c r="M212" i="2"/>
  <c r="Q303" i="2"/>
  <c r="M303" i="2" s="1"/>
  <c r="M302" i="2"/>
  <c r="Q48" i="2"/>
  <c r="M48" i="2" s="1"/>
  <c r="M47" i="2"/>
  <c r="Q113" i="2"/>
  <c r="M113" i="2" s="1"/>
  <c r="M112" i="2"/>
  <c r="Q263" i="2"/>
  <c r="M263" i="2" s="1"/>
  <c r="M262" i="2"/>
  <c r="Q138" i="2"/>
  <c r="M138" i="2" s="1"/>
  <c r="M137" i="2"/>
  <c r="Q28" i="2"/>
  <c r="M28" i="2" s="1"/>
  <c r="M27" i="2"/>
  <c r="Q223" i="2"/>
  <c r="M223" i="2" s="1"/>
  <c r="M222" i="2"/>
  <c r="Q243" i="2"/>
  <c r="M243" i="2" s="1"/>
  <c r="M242" i="2"/>
  <c r="Q143" i="2"/>
  <c r="M143" i="2" s="1"/>
  <c r="M142" i="2"/>
  <c r="Q163" i="2"/>
  <c r="M163" i="2" s="1"/>
  <c r="M162" i="2"/>
  <c r="Q273" i="2"/>
  <c r="M273" i="2" s="1"/>
  <c r="M272" i="2"/>
  <c r="Q63" i="2"/>
  <c r="M63" i="2" s="1"/>
  <c r="M62" i="2"/>
  <c r="Q68" i="2"/>
  <c r="M68" i="2" s="1"/>
  <c r="M67" i="2"/>
  <c r="Q208" i="2"/>
  <c r="M208" i="2" s="1"/>
  <c r="M207" i="2"/>
  <c r="Q188" i="2"/>
  <c r="M188" i="2" s="1"/>
  <c r="M187" i="2"/>
  <c r="Q118" i="2"/>
  <c r="M118" i="2" s="1"/>
  <c r="M117" i="2"/>
  <c r="M147" i="2"/>
  <c r="Q148" i="2"/>
  <c r="M148" i="2" s="1"/>
  <c r="Q18" i="2"/>
  <c r="M18" i="2" s="1"/>
  <c r="M17" i="2"/>
</calcChain>
</file>

<file path=xl/sharedStrings.xml><?xml version="1.0" encoding="utf-8"?>
<sst xmlns="http://schemas.openxmlformats.org/spreadsheetml/2006/main" count="3240" uniqueCount="1332">
  <si>
    <t>convert(ResHero.proto, table_HeroFactionConf, HeroFactionConf.pbin)</t>
  </si>
  <si>
    <t>流派id</t>
  </si>
  <si>
    <t>要不要</t>
  </si>
  <si>
    <t>流派说明（策划用）</t>
  </si>
  <si>
    <t>流派名称</t>
  </si>
  <si>
    <t>流派推荐描述</t>
  </si>
  <si>
    <t>流派Icon图集</t>
  </si>
  <si>
    <t>流派icon名称</t>
  </si>
  <si>
    <t>成就Id</t>
  </si>
  <si>
    <t>推荐阵容</t>
  </si>
  <si>
    <t>第1阶段等级</t>
  </si>
  <si>
    <t>第1阶段奖励</t>
  </si>
  <si>
    <t>第2阶段等级</t>
  </si>
  <si>
    <t>第2阶段奖励</t>
  </si>
  <si>
    <t>第3阶段等级</t>
  </si>
  <si>
    <t>第3阶段奖励</t>
  </si>
  <si>
    <t>第4阶段等级</t>
  </si>
  <si>
    <t>第4阶段奖励</t>
  </si>
  <si>
    <t>第5阶段等级</t>
  </si>
  <si>
    <t>第5阶段奖励</t>
  </si>
  <si>
    <t>factionId</t>
  </si>
  <si>
    <t>open</t>
  </si>
  <si>
    <t>factionName</t>
  </si>
  <si>
    <t>des</t>
  </si>
  <si>
    <t>iconAtlas</t>
  </si>
  <si>
    <t>iconName</t>
  </si>
  <si>
    <t>heroAchievementId[;]</t>
  </si>
  <si>
    <t>recommend[|]</t>
  </si>
  <si>
    <t>stageReward[0].totalLevel</t>
  </si>
  <si>
    <t>stageReward[0].rewardId</t>
  </si>
  <si>
    <t>stageReward[1].totalLevel</t>
  </si>
  <si>
    <t>stageReward[1].rewardId</t>
  </si>
  <si>
    <t>stageReward[2].totalLevel</t>
  </si>
  <si>
    <t>stageReward[2].rewardId</t>
  </si>
  <si>
    <t>stageReward[3].totalLevel</t>
  </si>
  <si>
    <t>stageReward[3].rewardId</t>
  </si>
  <si>
    <t>stageReward[4].totalLevel</t>
  </si>
  <si>
    <t>stageReward[4].rewardId</t>
  </si>
  <si>
    <t>智谋剑</t>
  </si>
  <si>
    <t>TID_HeroFactionConf_1_factionName_CN_Main</t>
  </si>
  <si>
    <t>TID_HeroFactionConf_1_des_CN_Main</t>
  </si>
  <si>
    <t>icon_n_hero</t>
  </si>
  <si>
    <t>icon_achievement_01</t>
  </si>
  <si>
    <t>1001|1002|1003</t>
  </si>
  <si>
    <t>智谋弓</t>
  </si>
  <si>
    <t>TID_HeroFactionConf_2_factionName_CN_Main</t>
  </si>
  <si>
    <t>TID_HeroFactionConf_2_des_CN_Main</t>
  </si>
  <si>
    <t>icon_achievement_07</t>
  </si>
  <si>
    <t>2001|2002|2003</t>
  </si>
  <si>
    <t>指挥剑/指挥枪</t>
  </si>
  <si>
    <t>TID_HeroFactionConf_3_factionName_CN_Main</t>
  </si>
  <si>
    <t>TID_HeroFactionConf_3_des_CN_Main</t>
  </si>
  <si>
    <t>icon_achievement_02</t>
  </si>
  <si>
    <t>3001|3002|3003|3004|3005|3006</t>
  </si>
  <si>
    <t>反击枪</t>
  </si>
  <si>
    <t>TID_HeroFactionConf_4_factionName_CN_Main</t>
  </si>
  <si>
    <t>TID_HeroFactionConf_4_des_CN_Main</t>
  </si>
  <si>
    <t>icon_achievement_03</t>
  </si>
  <si>
    <t>4001|4002|4003|4004</t>
  </si>
  <si>
    <t>勇武骑/勇武弓/亚瑟骑</t>
  </si>
  <si>
    <t>TID_HeroFactionConf_5_factionName_CN_Main</t>
  </si>
  <si>
    <t>TID_HeroFactionConf_5_des_CN_Main</t>
  </si>
  <si>
    <t>icon_achievement_04</t>
  </si>
  <si>
    <t>5001|5002|5003|5004|5005|5006</t>
  </si>
  <si>
    <t>智谋骑</t>
  </si>
  <si>
    <t>TID_HeroFactionConf_6_factionName_CN_Main</t>
  </si>
  <si>
    <t>TID_HeroFactionConf_6_des_CN_Main</t>
  </si>
  <si>
    <t>icon_achievement_05</t>
  </si>
  <si>
    <t>6001|6002|6003</t>
  </si>
  <si>
    <t>女帝弓</t>
  </si>
  <si>
    <t>TID_HeroFactionConf_7_factionName_CN_Main</t>
  </si>
  <si>
    <t>TID_HeroFactionConf_7_des_CN_Main</t>
  </si>
  <si>
    <t>icon_achievement_06</t>
  </si>
  <si>
    <t>7001|7002</t>
  </si>
  <si>
    <t>智谋剑/智谋弓</t>
  </si>
  <si>
    <t>TID_HeroFactionConf_8_factionName_CN_Main</t>
  </si>
  <si>
    <t>3001|3002</t>
  </si>
  <si>
    <t>convert(ResHero.proto, table_HeroAchievementConf, HeroAchievementConf.pbin)</t>
  </si>
  <si>
    <t>流派Id</t>
  </si>
  <si>
    <t>成就名称</t>
  </si>
  <si>
    <t>成就描述</t>
  </si>
  <si>
    <t>进度值描述</t>
  </si>
  <si>
    <t>成就品质</t>
  </si>
  <si>
    <t>成就icon图集</t>
  </si>
  <si>
    <t>成就icon名称</t>
  </si>
  <si>
    <t>目标id</t>
  </si>
  <si>
    <t>目标等级</t>
  </si>
  <si>
    <t>跳转id</t>
  </si>
  <si>
    <t>跳转id(不关闭界面的跳转id)</t>
  </si>
  <si>
    <t>实现条件组</t>
  </si>
  <si>
    <t>条件关系</t>
  </si>
  <si>
    <t>奖励id</t>
  </si>
  <si>
    <t>参数1</t>
  </si>
  <si>
    <t>参数2</t>
  </si>
  <si>
    <t>流派</t>
  </si>
  <si>
    <t>成就id</t>
  </si>
  <si>
    <t>icon</t>
  </si>
  <si>
    <t>成就名称(源文本)</t>
  </si>
  <si>
    <t>成就描述(源文本)</t>
  </si>
  <si>
    <t>进度值描述(源文本)</t>
  </si>
  <si>
    <t>id</t>
  </si>
  <si>
    <t>name</t>
  </si>
  <si>
    <t>des2</t>
  </si>
  <si>
    <t>level</t>
  </si>
  <si>
    <t>realize.targetId</t>
  </si>
  <si>
    <t>realize.targetLevel</t>
  </si>
  <si>
    <t>realize.jumpId</t>
  </si>
  <si>
    <t>realize.jumpId2</t>
  </si>
  <si>
    <t>realize.conditionGroup.condition.condOneOf</t>
  </si>
  <si>
    <t>realize.conditionGroup.conditionRelation</t>
  </si>
  <si>
    <t>realize.rewardId</t>
  </si>
  <si>
    <t>TID_HeroAchievementConf_1001_name_CN_Main</t>
  </si>
  <si>
    <t>TID_HeroAchievementConf_1001_des_CN_Main</t>
  </si>
  <si>
    <t>TID_HeroAchievementConf_1001_des2_CN_Main</t>
  </si>
  <si>
    <t>icon_n_challengemanual</t>
  </si>
  <si>
    <t>条件与</t>
  </si>
  <si>
    <t>07</t>
  </si>
  <si>
    <t>TID_HeroAchievementConf_1002_name_CN_Main</t>
  </si>
  <si>
    <t>TID_HeroAchievementConf_1002_des_CN_Main</t>
  </si>
  <si>
    <t>10</t>
  </si>
  <si>
    <t>TID_HeroAchievementConf_1003_name_CN_Main</t>
  </si>
  <si>
    <t>TID_HeroAchievementConf_1003_des_CN_Main</t>
  </si>
  <si>
    <t>04</t>
  </si>
  <si>
    <t>TID_HeroAchievementConf_1011_name_CN_Main</t>
  </si>
  <si>
    <t>TID_HeroAchievementConf_1011_des_CN_Main</t>
  </si>
  <si>
    <t>17</t>
  </si>
  <si>
    <t>TID_HeroAchievementConf_1012_name_CN_Main</t>
  </si>
  <si>
    <t>TID_HeroAchievementConf_1012_des_CN_Main</t>
  </si>
  <si>
    <t>TID_HeroAchievementConf_1012_des2_CN_Main</t>
  </si>
  <si>
    <t>08</t>
  </si>
  <si>
    <t>TID_HeroAchievementConf_1013_name_CN_Main</t>
  </si>
  <si>
    <t>TID_HeroAchievementConf_1013_des_CN_Main</t>
  </si>
  <si>
    <t>09</t>
  </si>
  <si>
    <t>TID_HeroAchievementConf_1021_name_CN_Main</t>
  </si>
  <si>
    <t>TID_HeroAchievementConf_1021_des_CN_Main</t>
  </si>
  <si>
    <t>TID_HeroAchievementConf_1021_des2_CN_Main</t>
  </si>
  <si>
    <t>20</t>
  </si>
  <si>
    <t>TID_HeroAchievementConf_1022_name_CN_Main</t>
  </si>
  <si>
    <t>TID_HeroAchievementConf_1022_des_CN_Main</t>
  </si>
  <si>
    <t>05</t>
  </si>
  <si>
    <t>TID_HeroAchievementConf_2001_des_CN_Main</t>
  </si>
  <si>
    <t>TID_HeroAchievementConf_2002_des_CN_Main</t>
  </si>
  <si>
    <t>TID_HeroAchievementConf_2003_des_CN_Main</t>
  </si>
  <si>
    <t>TID_HeroAchievementConf_2011_name_CN_Main</t>
  </si>
  <si>
    <t>TID_HeroAchievementConf_2011_des_CN_Main</t>
  </si>
  <si>
    <t>19</t>
  </si>
  <si>
    <t>TID_HeroAchievementConf_2012_name_CN_Main</t>
  </si>
  <si>
    <t>TID_HeroAchievementConf_2012_des_CN_Main</t>
  </si>
  <si>
    <t>TID_HeroAchievementConf_2013_name_CN_Main</t>
  </si>
  <si>
    <t>TID_HeroAchievementConf_2013_des_CN_Main</t>
  </si>
  <si>
    <t>TID_AchievementKeyWordsConf_12_name_CN_Main</t>
  </si>
  <si>
    <t>TID_HeroAchievementConf_2021_des_CN_Main</t>
  </si>
  <si>
    <t>TID_HeroAchievementConf_2021_des2_CN_Main</t>
  </si>
  <si>
    <t>TID_HeroAchievementConf_2022_name_CN_Main</t>
  </si>
  <si>
    <t>TID_HeroAchievementConf_2022_des_CN_Main</t>
  </si>
  <si>
    <t>TID_HeroAchievementConf_3001_des_CN_Main</t>
  </si>
  <si>
    <t>TID_HeroAchievementConf_3002_des_CN_Main</t>
  </si>
  <si>
    <t>TID_HeroAchievementConf_3003_des_CN_Main</t>
  </si>
  <si>
    <t>TID_HeroAchievementConf_3011_name_CN_Main</t>
  </si>
  <si>
    <t>TID_HeroAchievementConf_3011_des_CN_Main</t>
  </si>
  <si>
    <t>TID_HeroAchievementConf_3012_name_CN_Main</t>
  </si>
  <si>
    <t>TID_HeroAchievementConf_3012_des_CN_Main</t>
  </si>
  <si>
    <t>TID_HeroAchievementConf_3013_name_CN_Main</t>
  </si>
  <si>
    <t>TID_HeroAchievementConf_3013_des_CN_Main</t>
  </si>
  <si>
    <t>18</t>
  </si>
  <si>
    <t>TID_HeroAchievementConf_3021_name_CN_Main</t>
  </si>
  <si>
    <t>TID_HeroAchievementConf_3021_des_CN_Main</t>
  </si>
  <si>
    <t>14</t>
  </si>
  <si>
    <t>TID_HeroAchievementConf_3022_name_CN_Main</t>
  </si>
  <si>
    <t>TID_HeroAchievementConf_3022_des_CN_Main</t>
  </si>
  <si>
    <t>02</t>
  </si>
  <si>
    <t>TID_HeroAchievementConf_4001_des_CN_Main</t>
  </si>
  <si>
    <t>TID_HeroAchievementConf_4002_des_CN_Main</t>
  </si>
  <si>
    <t>TID_HeroAchievementConf_4003_des_CN_Main</t>
  </si>
  <si>
    <t>TID_HeroAchievementConf_4011_name_CN_Main</t>
  </si>
  <si>
    <t>TID_HeroAchievementConf_4011_des_CN_Main</t>
  </si>
  <si>
    <t>TID_HeroAchievementConf_4012_name_CN_Main</t>
  </si>
  <si>
    <t>TID_HeroAchievementConf_4012_des_CN_Main</t>
  </si>
  <si>
    <t>TID_HeroAchievementConf_4021_name_CN_Main</t>
  </si>
  <si>
    <t>TID_HeroAchievementConf_4021_des_CN_Main</t>
  </si>
  <si>
    <t>TID_HeroAchievementConf_4022_name_CN_Main</t>
  </si>
  <si>
    <t>TID_HeroAchievementConf_4022_des_CN_Main</t>
  </si>
  <si>
    <t>TID_HeroAchievementConf_5001_des_CN_Main</t>
  </si>
  <si>
    <t>TID_HeroAchievementConf_5002_des_CN_Main</t>
  </si>
  <si>
    <t>TID_HeroAchievementConf_5003_des_CN_Main</t>
  </si>
  <si>
    <t>TID_HeroAchievementConf_5011_name_CN_Main</t>
  </si>
  <si>
    <t>TID_HeroAchievementConf_5011_des_CN_Main</t>
  </si>
  <si>
    <t>21</t>
  </si>
  <si>
    <t>TID_HeroAchievementConf_5012_name_CN_Main</t>
  </si>
  <si>
    <t>TID_HeroAchievementConf_5012_des_CN_Main</t>
  </si>
  <si>
    <t>TID_HeroAchievementConf_5021_name_CN_Main</t>
  </si>
  <si>
    <t>TID_HeroAchievementConf_5021_des_CN_Main</t>
  </si>
  <si>
    <t>01</t>
  </si>
  <si>
    <t>TID_HeroAchievementConf_5022_name_CN_Main</t>
  </si>
  <si>
    <t>TID_HeroAchievementConf_5022_des_CN_Main</t>
  </si>
  <si>
    <t>15</t>
  </si>
  <si>
    <t>TID_HeroAchievementConf_6001_des_CN_Main</t>
  </si>
  <si>
    <t>TID_HeroAchievementConf_6002_des_CN_Main</t>
  </si>
  <si>
    <t>TID_HeroAchievementConf_6003_des_CN_Main</t>
  </si>
  <si>
    <t>TID_HeroAchievementConf_6011_name_CN_Main</t>
  </si>
  <si>
    <t>TID_HeroAchievementConf_6011_des_CN_Main</t>
  </si>
  <si>
    <t>TID_HeroAchievementConf_6012_name_CN_Main</t>
  </si>
  <si>
    <t>TID_HeroAchievementConf_6012_des_CN_Main</t>
  </si>
  <si>
    <t>TID_HeroAchievementConf_6021_name_CN_Main</t>
  </si>
  <si>
    <t>TID_HeroAchievementConf_6021_des_CN_Main</t>
  </si>
  <si>
    <t>13</t>
  </si>
  <si>
    <t>TID_HeroAchievementConf_6022_name_CN_Main</t>
  </si>
  <si>
    <t>TID_HeroAchievementConf_6022_des_CN_Main</t>
  </si>
  <si>
    <t>12</t>
  </si>
  <si>
    <t>TID_HeroAchievementConf_7001_des_CN_Main</t>
  </si>
  <si>
    <t>TID_HeroAchievementConf_7002_des_CN_Main</t>
  </si>
  <si>
    <t>TID_HeroAchievementConf_7003_des_CN_Main</t>
  </si>
  <si>
    <t>TID_HeroAchievementConf_7011_name_CN_Main</t>
  </si>
  <si>
    <t>TID_HeroAchievementConf_7011_des_CN_Main</t>
  </si>
  <si>
    <t>TID_HeroAchievementConf_7012_name_CN_Main</t>
  </si>
  <si>
    <t>TID_HeroAchievementConf_7012_des_CN_Main</t>
  </si>
  <si>
    <t>TID_HeroAchievementConf_7012_des2_CN_Main</t>
  </si>
  <si>
    <t>TID_HeroAchievementConf_7021_name_CN_Main</t>
  </si>
  <si>
    <t>TID_HeroAchievementConf_7021_des_CN_Main</t>
  </si>
  <si>
    <t>TID_HeroAchievementConf_7022_name_CN_Main</t>
  </si>
  <si>
    <t>TID_HeroAchievementConf_7022_des_CN_Main</t>
  </si>
  <si>
    <t>convert(ResHero.proto, table_AchievementRealizeCondition, AchievementRealizeCondition.pbin)</t>
  </si>
  <si>
    <t>成就目标Id</t>
  </si>
  <si>
    <t>目标描述</t>
  </si>
  <si>
    <t>条件类别</t>
  </si>
  <si>
    <t>己方兵种</t>
  </si>
  <si>
    <t>战场环境</t>
  </si>
  <si>
    <t>技能类别</t>
  </si>
  <si>
    <t>技能类别关系</t>
  </si>
  <si>
    <t>技能id</t>
  </si>
  <si>
    <t>计数类别</t>
  </si>
  <si>
    <t>额外参数</t>
  </si>
  <si>
    <t>时间参数</t>
  </si>
  <si>
    <t>achieveId</t>
  </si>
  <si>
    <t>conditionType</t>
  </si>
  <si>
    <t>soldierType</t>
  </si>
  <si>
    <t>envType[;]</t>
  </si>
  <si>
    <t>skillType[;]</t>
  </si>
  <si>
    <t>skillTypeRelation</t>
  </si>
  <si>
    <t>skillId[;]</t>
  </si>
  <si>
    <t>countType</t>
  </si>
  <si>
    <t>extraInfo</t>
  </si>
  <si>
    <t>timeDurationSec</t>
  </si>
  <si>
    <t>攻克资源点</t>
  </si>
  <si>
    <t>在与&lt;color=#ffc766&gt;资源点守军&lt;/color&gt;战斗中，我方&lt;color=#ffc766&gt;剑士&lt;/color&gt;部队使用&lt;color=#ffc766&gt;固有&lt;/color&gt;&lt;color=#ffc766&gt;主动技能&lt;/color&gt;累计造成的&lt;color=#ffc766&gt;伤害量&lt;/color&gt;</t>
  </si>
  <si>
    <t>当前累计伤害</t>
  </si>
  <si>
    <t>累计型</t>
  </si>
  <si>
    <t>剑士</t>
  </si>
  <si>
    <t>打田</t>
  </si>
  <si>
    <t>主动技;固有技能</t>
  </si>
  <si>
    <t>伤害量</t>
  </si>
  <si>
    <t>蛮族讨伐</t>
  </si>
  <si>
    <t>在与&lt;color=#ffc766&gt;野外蛮族&lt;/color&gt;战斗中，我方&lt;color=#ffc766&gt;剑士&lt;/color&gt;部队使用&lt;color=#ffc766&gt;固有&lt;/color&gt;&lt;color=#ffc766&gt;主动技能&lt;/color&gt;累计造成的&lt;color=#ffc766&gt;伤害量&lt;/color&gt;</t>
  </si>
  <si>
    <t>打野</t>
  </si>
  <si>
    <t>野战先锋</t>
  </si>
  <si>
    <t>野外与&lt;color=#ffc766&gt;玩家&lt;/color&gt;部队战斗中，我方&lt;color=#ffc766&gt;剑士&lt;/color&gt;部队使用&lt;color=#ffc766&gt;固有&lt;/color&gt;&lt;color=#ffc766&gt;主动技能&lt;/color&gt;累计对敌方玩家造成的&lt;color=#ffc766&gt;伤害量&lt;/color&gt;</t>
  </si>
  <si>
    <t>PVP</t>
  </si>
  <si>
    <t>临而不发</t>
  </si>
  <si>
    <t>&lt;color=#ffc766&gt;60秒&lt;/color&gt;内，我方部队使用&lt;color=#ffc766&gt;准备技能&lt;/color&gt;累计造成的&lt;color=#ffc766&gt;最大伤害量&lt;/color&gt;</t>
  </si>
  <si>
    <t>限时型</t>
  </si>
  <si>
    <t>全部</t>
  </si>
  <si>
    <t>准备技能</t>
  </si>
  <si>
    <t>一剑西来</t>
  </si>
  <si>
    <t>我方&lt;color=#ffc766&gt;剑士&lt;/color&gt;部队使用&lt;color=#ffc766&gt;固有&lt;/color&gt;&lt;color=#ffc766&gt;主动技能&lt;/color&gt;造成的&lt;color=#ffc766&gt;单次最大伤害量&lt;/color&gt;</t>
  </si>
  <si>
    <t>当前造成伤害</t>
  </si>
  <si>
    <t>单次触发型</t>
  </si>
  <si>
    <t>单次触发最大</t>
  </si>
  <si>
    <t>北斗七星阵</t>
  </si>
  <si>
    <t>&lt;color=#ffc766&gt;集结战斗&lt;/color&gt;中，我方&lt;color=#ffc766&gt;剑士&lt;/color&gt;部队使用&lt;color=#ffc766&gt;固有&lt;/color&gt;&lt;color=#ffc766&gt;主动技能&lt;/color&gt;累计造成的&lt;color=#ffc766&gt;伤害量&lt;/color&gt;</t>
  </si>
  <si>
    <t>身处集结</t>
  </si>
  <si>
    <t>兵家至圣</t>
  </si>
  <si>
    <t>我方部队进入&lt;color=#ffc766&gt;兵圣状态&lt;/color&gt;的次数</t>
  </si>
  <si>
    <t>当前累计次数</t>
  </si>
  <si>
    <t>101400;101401;101402;101403;101404</t>
  </si>
  <si>
    <t>触发次数</t>
  </si>
  <si>
    <t>决胜须臾</t>
  </si>
  <si>
    <t>我方&lt;color=#ffc766&gt;剑士&lt;/color&gt;部队&lt;color=#ffc766&gt;准备技能&lt;/color&gt;进入准备状态后，&lt;color=#ffc766&gt;直接发动效果&lt;/color&gt;的总次数</t>
  </si>
  <si>
    <t>直接触发次数</t>
  </si>
  <si>
    <t>在与&lt;color=#ffc766&gt;资源点守军&lt;/color&gt;战斗中，我方部队累计对敌军施加&lt;color=#ffc766&gt;燃烧&lt;/color&gt;或&lt;color=#ffc766&gt;决水&lt;/color&gt;状态的次数</t>
  </si>
  <si>
    <t>121201;121202;121203;121204;200001;200060;200073;102001;102002;102003;102004</t>
  </si>
  <si>
    <t>在与&lt;color=#ffc766&gt;野外蛮族&lt;/color&gt;战斗中，我方部队累计对敌军施加&lt;color=#ffc766&gt;燃烧&lt;/color&gt;或&lt;color=#ffc766&gt;决水&lt;/color&gt;状态的次数</t>
  </si>
  <si>
    <t>野外与&lt;color=#ffc766&gt;玩家&lt;/color&gt;部队战斗中，我方部队累计对敌军施加&lt;color=#ffc766&gt;燃烧&lt;/color&gt;或&lt;color=#ffc766&gt;决水&lt;/color&gt;状态的次数</t>
  </si>
  <si>
    <t>才思泉涌</t>
  </si>
  <si>
    <t>&lt;color=#ffc766&gt;30秒&lt;/color&gt;内，我方部队累计发动&lt;color=#ffc766&gt;固有&lt;/color&gt;&lt;color=#ffc766&gt;主动技能&lt;/color&gt;的&lt;color=#ffc766&gt;最大次数&lt;/color&gt;</t>
  </si>
  <si>
    <t>神箭天降</t>
  </si>
  <si>
    <t>我方&lt;color=#ffc766&gt;弓兵&lt;/color&gt;部队使用&lt;color=#ffc766&gt;固有&lt;/color&gt;&lt;color=#ffc766&gt;主动技能&lt;/color&gt;造成的&lt;color=#ffc766&gt;单次最大伤害量&lt;/color&gt;</t>
  </si>
  <si>
    <t>弓兵</t>
  </si>
  <si>
    <t>万军射潮</t>
  </si>
  <si>
    <t>&lt;color=#ffc766&gt;集结战斗&lt;/color&gt;中，我方&lt;color=#ffc766&gt;弓兵&lt;/color&gt;部队使用&lt;color=#ffc766&gt;固有&lt;/color&gt;&lt;color=#ffc766&gt;主动技能&lt;/color&gt;累计造成的&lt;color=#ffc766&gt;伤害量&lt;/color&gt;</t>
  </si>
  <si>
    <t>万象奇门</t>
  </si>
  <si>
    <t>&lt;color=#ffc766&gt;万象奇门&lt;/color&gt;技能累计&lt;color=#ffc766&gt;治疗&lt;/color&gt;的士兵数</t>
  </si>
  <si>
    <t>当前累计治疗</t>
  </si>
  <si>
    <t>103301;103302;103303;103304</t>
  </si>
  <si>
    <t>治疗量</t>
  </si>
  <si>
    <t>神乎其技</t>
  </si>
  <si>
    <t>我方&lt;color=#ffc766&gt;弓兵&lt;/color&gt;部队&lt;color=#ffc766&gt;准备技能&lt;/color&gt;进入准备状态后，&lt;color=#ffc766&gt;直接发动效果&lt;/color&gt;的总次数</t>
  </si>
  <si>
    <t>在与&lt;color=#ffc766&gt;资源点守军&lt;/color&gt;战斗中，我方部队使用&lt;color=#ffc766&gt;指挥技能&lt;/color&gt;累计造成的&lt;color=#ffc766&gt;伤害量&lt;/color&gt;</t>
  </si>
  <si>
    <t>指挥技</t>
  </si>
  <si>
    <t>在与&lt;color=#ffc766&gt;野外蛮族&lt;/color&gt;战斗中，我方部队使用&lt;color=#ffc766&gt;指挥技能&lt;/color&gt;累计造成的&lt;color=#ffc766&gt;伤害量&lt;/color&gt;</t>
  </si>
  <si>
    <t>野外与&lt;color=#ffc766&gt;玩家&lt;/color&gt;部队战斗中，我方部队使用&lt;color=#ffc766&gt;指挥技能&lt;/color&gt;累计对敌方玩家造成的&lt;color=#ffc766&gt;伤害量&lt;/color&gt;</t>
  </si>
  <si>
    <t>驭兵之道</t>
  </si>
  <si>
    <t>&lt;color=#ffc766&gt;30秒&lt;/color&gt;内，我方部队累计发动&lt;color=#ffc766&gt;指挥技能&lt;/color&gt;的&lt;color=#ffc766&gt;最大次数&lt;/color&gt;</t>
  </si>
  <si>
    <t>铁军威严</t>
  </si>
  <si>
    <t>&lt;color=#ffc766&gt;集结战斗&lt;/color&gt;中，我方部队使用&lt;color=#ffc766&gt;指挥技能&lt;/color&gt;累计造成的&lt;color=#ffc766&gt;伤害量&lt;/color&gt;</t>
  </si>
  <si>
    <t>手足同心</t>
  </si>
  <si>
    <t>&lt;color=#ffc766&gt;60秒&lt;/color&gt;内，我方部队累计&lt;color=#ffc766&gt;治疗&lt;/color&gt;的士兵数</t>
  </si>
  <si>
    <t>荣耀之证</t>
  </si>
  <si>
    <t>&lt;color=#ffc766&gt;30秒&lt;/color&gt;内，我方部队使用&lt;color=#ffc766&gt;指挥技能&lt;/color&gt;累计造成的&lt;color=#ffc766&gt;最大伤害量&lt;/color&gt;</t>
  </si>
  <si>
    <t>将军！</t>
  </si>
  <si>
    <t>我方部队使用&lt;color=#ffc766&gt;指挥技能&lt;/color&gt;造成的&lt;color=#ffc766&gt;单次最大伤害量&lt;/color&gt;</t>
  </si>
  <si>
    <t>在与&lt;color=#ffc766&gt;资源点守军&lt;/color&gt;战斗中，我方部队使用&lt;color=#ffc766&gt;被动技能&lt;/color&gt;累计造成的&lt;color=#ffc766&gt;伤害量&lt;/color&gt;</t>
  </si>
  <si>
    <t>被动技</t>
  </si>
  <si>
    <t>在与&lt;color=#ffc766&gt;野外蛮族&lt;/color&gt;战斗中，我方部队使用&lt;color=#ffc766&gt;被动技能&lt;/color&gt;累计造成的&lt;color=#ffc766&gt;伤害量&lt;/color&gt;</t>
  </si>
  <si>
    <t>野外与&lt;color=#ffc766&gt;玩家&lt;/color&gt;部队战斗中，我方部队使用&lt;color=#ffc766&gt;被动技能&lt;/color&gt;累计对敌方玩家造成的&lt;color=#ffc766&gt;伤害量&lt;/color&gt;</t>
  </si>
  <si>
    <t>以牙还牙</t>
  </si>
  <si>
    <t>&lt;color=#ffc766&gt;30秒&lt;/color&gt;内，我方部队累计发动&lt;color=#ffc766&gt;反击&lt;/color&gt;攻击的&lt;color=#ffc766&gt;最大次数&lt;/color&gt;</t>
  </si>
  <si>
    <t>101101;101102;101103;101104;102501;102502;102503;102504;102701;102703;102704;200037;200040;200100;200119</t>
  </si>
  <si>
    <t>巴巴罗萨</t>
  </si>
  <si>
    <t>&lt;color=#ffc766&gt;不败誓言&lt;/color&gt;技能累计&lt;color=#ffc766&gt;治疗&lt;/color&gt;的士兵数</t>
  </si>
  <si>
    <t>101701;101702;101703;101704</t>
  </si>
  <si>
    <t>谁在打我？</t>
  </si>
  <si>
    <t>&lt;color=#ffc766&gt;30秒&lt;/color&gt;内，我方部队使用&lt;color=#ffc766&gt;反击&lt;/color&gt;类技能累计造成的&lt;color=#ffc766&gt;最大伤害量&lt;/color&gt;</t>
  </si>
  <si>
    <t>绝处逢生</t>
  </si>
  <si>
    <t>我方部队使用&lt;color=#ffc766&gt;被动技能&lt;/color&gt;造成的&lt;color=#ffc766&gt;单次最大伤害量&lt;/color&gt;</t>
  </si>
  <si>
    <t>当前战胜人数</t>
  </si>
  <si>
    <t>在与&lt;color=#ffc766&gt;资源点守军&lt;/color&gt;战斗中，我方部队使用&lt;color=#ffc766&gt;追击技能&lt;/color&gt;累计造成的&lt;color=#ffc766&gt;武力&lt;/color&gt;&lt;color=#ffc766&gt;伤害量&lt;/color&gt;</t>
  </si>
  <si>
    <t>追击技</t>
  </si>
  <si>
    <t>武力伤害</t>
  </si>
  <si>
    <t>在与&lt;color=#ffc766&gt;野外蛮族&lt;/color&gt;战斗中，我方部队使用&lt;color=#ffc766&gt;追击技能&lt;/color&gt;累计造成的&lt;color=#ffc766&gt;武力&lt;/color&gt;&lt;color=#ffc766&gt;伤害量&lt;/color&gt;</t>
  </si>
  <si>
    <t>野外与&lt;color=#ffc766&gt;玩家&lt;/color&gt;部队战斗中，我方部队使用&lt;color=#ffc766&gt;追击技能&lt;/color&gt;累计对敌方玩家造成的&lt;color=#ffc766&gt;武力&lt;/color&gt;&lt;color=#ffc766&gt;伤害量&lt;/color&gt;</t>
  </si>
  <si>
    <t>无尽追击</t>
  </si>
  <si>
    <t>&lt;color=#ffc766&gt;30秒&lt;/color&gt;内，我方部队累计发动&lt;color=#ffc766&gt;追击技能&lt;/color&gt;的&lt;color=#ffc766&gt;最大次数&lt;/color&gt;</t>
  </si>
  <si>
    <t>狼群狂猎</t>
  </si>
  <si>
    <t>&lt;color=#ffc766&gt;集结战斗&lt;/color&gt;中，我方部队使用&lt;color=#ffc766&gt;追击技能&lt;/color&gt;累计造成的&lt;color=#ffc766&gt;武力&lt;/color&gt;&lt;color=#ffc766&gt;伤害量&lt;/color&gt;</t>
  </si>
  <si>
    <t>真正的野蛮</t>
  </si>
  <si>
    <t>在&lt;color=#ffc766&gt;单场战斗&lt;/color&gt;中，&lt;color=#ffc766&gt;普通攻击&lt;/color&gt;累计造成的&lt;color=#ffc766&gt;最大伤害量&lt;/color&gt;（包括暴击）</t>
  </si>
  <si>
    <t>单次战斗中</t>
  </si>
  <si>
    <t>累计普攻伤害</t>
  </si>
  <si>
    <t>一刺穿心</t>
  </si>
  <si>
    <t>我方部队&lt;color=#ffc766&gt;追击技能&lt;/color&gt;造成的&lt;color=#ffc766&gt;单次最大武力&lt;/color&gt;&lt;color=#ffc766&gt;伤害量&lt;/color&gt;</t>
  </si>
  <si>
    <t>单次触发武力最大</t>
  </si>
  <si>
    <t>在与&lt;color=#ffc766&gt;资源点守军&lt;/color&gt;战斗中，我方部队使用&lt;color=#ffc766&gt;追击技能&lt;/color&gt;累计造成的&lt;color=#ffc766&gt;谋略&lt;/color&gt;&lt;color=#ffc766&gt;伤害量&lt;/color&gt;</t>
  </si>
  <si>
    <t>谋略伤害</t>
  </si>
  <si>
    <t>在与&lt;color=#ffc766&gt;野外蛮族&lt;/color&gt;战斗中，我方部队使用&lt;color=#ffc766&gt;追击技能&lt;/color&gt;累造成的&lt;color=#ffc766&gt;谋略&lt;/color&gt;&lt;color=#ffc766&gt;伤害量&lt;/color&gt;</t>
  </si>
  <si>
    <t>野外与&lt;color=#ffc766&gt;玩家&lt;/color&gt;部队战斗中，我方部队使用&lt;color=#ffc766&gt;追击技能&lt;/color&gt;累计对敌方玩家造成的&lt;color=#ffc766&gt;谋略&lt;/color&gt;&lt;color=#ffc766&gt;伤害量&lt;/color&gt;</t>
  </si>
  <si>
    <t>法典之佑</t>
  </si>
  <si>
    <t>&lt;color=#ffc766&gt;防御突击&lt;/color&gt;技能累计&lt;color=#ffc766&gt;治疗&lt;/color&gt;的士兵数</t>
  </si>
  <si>
    <t>101001;101002;101003;101004</t>
  </si>
  <si>
    <t>文明倾轧</t>
  </si>
  <si>
    <t>在&lt;color=#ffc766&gt;集结战斗&lt;/color&gt;中，我方部队使用&lt;color=#ffc766&gt;追击技能&lt;/color&gt;累计造成的&lt;color=#ffc766&gt;谋略&lt;/color&gt;&lt;color=#ffc766&gt;伤害量&lt;/color&gt;</t>
  </si>
  <si>
    <t>翻越阿尔卑斯</t>
  </si>
  <si>
    <t>我方部队累计获取敌军玩家主将&lt;color=#ffc766&gt;属性弱化&lt;/color&gt;值的次数</t>
  </si>
  <si>
    <t>文武双全</t>
  </si>
  <si>
    <t>我方部队使用&lt;color=#ffc766&gt;追击技能&lt;/color&gt;造成的&lt;color=#ffc766&gt;单次最大谋略&lt;/color&gt;&lt;color=#ffc766&gt;伤害量&lt;/color&gt;</t>
  </si>
  <si>
    <t>单次触发谋略最大</t>
  </si>
  <si>
    <t>在与&lt;color=#ffc766&gt;资源点守军&lt;/color&gt;战斗中，我方部队使用&lt;color=#ffc766&gt;主将技&lt;/color&gt;累计造成的&lt;color=#ffc766&gt;伤害量&lt;/color&gt;</t>
  </si>
  <si>
    <t>主将技</t>
  </si>
  <si>
    <t>在与&lt;color=#ffc766&gt;野外蛮族&lt;/color&gt;战斗中，我方部队使用&lt;color=#ffc766&gt;主将技&lt;/color&gt;累计造成的&lt;color=#ffc766&gt;伤害量&lt;/color&gt;</t>
  </si>
  <si>
    <t>野外与&lt;color=#ffc766&gt;玩家&lt;/color&gt;部队战斗中，我方部队使用&lt;color=#ffc766&gt;主将技&lt;/color&gt;累计对敌方玩家造成的&lt;color=#ffc766&gt;伤害量&lt;/color&gt;</t>
  </si>
  <si>
    <t>品德教育</t>
  </si>
  <si>
    <t>我方部队使用&lt;color=#ffc766&gt;固有&lt;/color&gt;&lt;color=#ffc766&gt;主动技能&lt;/color&gt;，降低敌方玩家属性的次数</t>
  </si>
  <si>
    <t>101501;100801;100802;100803;100804</t>
  </si>
  <si>
    <t>天子一怒</t>
  </si>
  <si>
    <t>我方部队使用&lt;color=#ffc766&gt;固有技能&lt;/color&gt;，累计回复的怒气量</t>
  </si>
  <si>
    <t>当前累计回复</t>
  </si>
  <si>
    <t>固有技能</t>
  </si>
  <si>
    <t>100601;100602;100603;100604;101201;101202;101203;101204</t>
  </si>
  <si>
    <t>回魔量</t>
  </si>
  <si>
    <t>众卿平身</t>
  </si>
  <si>
    <t>我方部队&lt;color=#ffc766&gt;主将技&lt;/color&gt;造成的&lt;color=#ffc766&gt;单次最大伤害量&lt;/color&gt;</t>
  </si>
  <si>
    <t>六合绝艺</t>
  </si>
  <si>
    <t>&lt;color=#ffc766&gt;60秒&lt;/color&gt;内，我方部队累计发动的&lt;color=#ffc766&gt;主将技&lt;/color&gt;次数</t>
  </si>
  <si>
    <t>convert(ResHero.proto, table_AchievementKeyWordsConf, AchievementKeyWordsConf.pbin)</t>
  </si>
  <si>
    <t>特性名</t>
  </si>
  <si>
    <t>特性解释</t>
  </si>
  <si>
    <t>desc</t>
  </si>
  <si>
    <t>TID_AchievementKeyWordsConf_1_name_CN_Main</t>
  </si>
  <si>
    <t>TID_AchievementKeyWordsConf_1_desc_CN_Main</t>
  </si>
  <si>
    <t>TID_AchievementKeyWordsConf_2_name_CN_Main</t>
  </si>
  <si>
    <t>TID_AchievementKeyWordsConf_2_desc_CN_Main</t>
  </si>
  <si>
    <t>TID_AchievementKeyWordsConf_3_name_CN_Main</t>
  </si>
  <si>
    <t>TID_AchievementKeyWordsConf_3_desc_CN_Main</t>
  </si>
  <si>
    <t>TID_AchievementKeyWordsConf_4_name_CN_Main</t>
  </si>
  <si>
    <t>TID_AchievementKeyWordsConf_4_desc_CN_Main</t>
  </si>
  <si>
    <t>TID_AchievementKeyWordsConf_5_name_CN_Main</t>
  </si>
  <si>
    <t>TID_AchievementKeyWordsConf_5_desc_CN_Main</t>
  </si>
  <si>
    <t>TID_AchievementKeyWordsConf_6_name_CN_Main</t>
  </si>
  <si>
    <t>TID_AchievementKeyWordsConf_6_desc_CN_Main</t>
  </si>
  <si>
    <t>TID_AchievementKeyWordsConf_7_name_CN_Main</t>
  </si>
  <si>
    <t>TID_AchievementKeyWordsConf_7_desc_CN_Main</t>
  </si>
  <si>
    <t>TID_AchievementKeyWordsConf_8_name_CN_Main</t>
  </si>
  <si>
    <t>TID_AchievementKeyWordsConf_8_desc_CN_Main</t>
  </si>
  <si>
    <t>TID_AchievementKeyWordsConf_9_name_CN_Main</t>
  </si>
  <si>
    <t>TID_AchievementKeyWordsConf_9_desc_CN_Main</t>
  </si>
  <si>
    <t>TID_AchievementKeyWordsConf_10_name_CN_Main</t>
  </si>
  <si>
    <t>TID_AchievementKeyWordsConf_10_desc_CN_Main</t>
  </si>
  <si>
    <t>TID_AchievementKeyWordsConf_11_name_CN_Main</t>
  </si>
  <si>
    <t>TID_AchievementKeyWordsConf_11_desc_CN_Main</t>
  </si>
  <si>
    <t>TID_AchievementKeyWordsConf_12_desc_CN_Main</t>
  </si>
  <si>
    <t>TID_AchievementKeyWordsConf_13_name_CN_Main</t>
  </si>
  <si>
    <t>TID_AchievementKeyWordsConf_13_desc_CN_Main</t>
  </si>
  <si>
    <t>TID_AchievementKeyWordsConf_14_name_CN_Main</t>
  </si>
  <si>
    <t>TID_AchievementKeyWordsConf_14_desc_CN_Main</t>
  </si>
  <si>
    <t>TID_AchievementKeyWordsConf_15_name_CN_Main</t>
  </si>
  <si>
    <t>TID_AchievementKeyWordsConf_15_desc_CN_Main</t>
  </si>
  <si>
    <t>TID_AchievementKeyWordsConf_16_name_CN_Main</t>
  </si>
  <si>
    <t>TID_AchievementKeyWordsConf_16_desc_CN_Main</t>
  </si>
  <si>
    <t>convert(ResBattleCore.proto, table_CombatEnv4HeroAchievementConf, CombatEnv4HeroAchievementConf.pbin)</t>
  </si>
  <si>
    <t>攻击方类型</t>
  </si>
  <si>
    <t>防御方类型</t>
  </si>
  <si>
    <t>战斗地图场景</t>
  </si>
  <si>
    <t>env</t>
  </si>
  <si>
    <t>combatEnvUnits.attackerType</t>
  </si>
  <si>
    <t>combatEnvUnits.defenderType</t>
  </si>
  <si>
    <t>combatEnvUnits.worldScene</t>
  </si>
  <si>
    <t>部队</t>
  </si>
  <si>
    <t>大地图</t>
  </si>
  <si>
    <t>集结部队</t>
  </si>
  <si>
    <t>野怪</t>
  </si>
  <si>
    <t>挑衅野怪</t>
  </si>
  <si>
    <t>资源田野怪</t>
  </si>
  <si>
    <t>所有类型</t>
  </si>
  <si>
    <t>玩家主城</t>
  </si>
  <si>
    <t>皇城主城</t>
  </si>
  <si>
    <t>皇城中立建筑</t>
  </si>
  <si>
    <t>名城关卡</t>
  </si>
  <si>
    <t>名城码头</t>
  </si>
  <si>
    <t>名城箭塔</t>
  </si>
  <si>
    <t>名城城墙</t>
  </si>
  <si>
    <t>名城其他建筑</t>
  </si>
  <si>
    <t>名城内城粮仓</t>
  </si>
  <si>
    <t>名城城门</t>
  </si>
  <si>
    <t>名城主城</t>
  </si>
  <si>
    <t>城镇</t>
  </si>
  <si>
    <t>convertTrans(ResHero.proto, table_HeroAchievementMiscConf, HeroAchievementMiscConf.pbin)</t>
  </si>
  <si>
    <t>ID</t>
  </si>
  <si>
    <t>对应时代的解锁流派个数</t>
  </si>
  <si>
    <t>ageUnlockCount[|]</t>
  </si>
  <si>
    <t>0|1|2|3</t>
  </si>
  <si>
    <t>成就阶段名称</t>
  </si>
  <si>
    <t>stageName[|]</t>
  </si>
  <si>
    <t>TID_HeroAchievementMiscConf_0_stageName_CN_Main|TID_HeroAchievementMiscConf_0_stageName_1057848373033_CN_Main|TID_HeroAchievementMiscConf_0_stageName_682240917164_CN_Main|TID_HeroAchievementMiscConf_0_stageName_440872424509_CN_Main|TID_HeroAchievementMiscConf_0_stageName_156580853841_CN_Main</t>
  </si>
  <si>
    <t>convert(ResHero.proto, table_StageRewardLimitConf, StageRewardLimitConf.pbin)</t>
  </si>
  <si>
    <t>阶段</t>
  </si>
  <si>
    <t>可领取次数</t>
  </si>
  <si>
    <t>stateLevel</t>
  </si>
  <si>
    <t>rewardCnt</t>
  </si>
  <si>
    <t>convert(ResHero.proto, table_HeroFactionRecommend, HeroFactionRecommend.pbin)</t>
  </si>
  <si>
    <t>推荐Id</t>
  </si>
  <si>
    <t>阵容名称</t>
  </si>
  <si>
    <t>推荐标签（付费）</t>
  </si>
  <si>
    <t>战斗风格</t>
  </si>
  <si>
    <t>兵种类型</t>
  </si>
  <si>
    <t>阵容说明</t>
  </si>
  <si>
    <t>英雄1id</t>
  </si>
  <si>
    <t>英雄1技能1【备注】</t>
  </si>
  <si>
    <t>英雄1技能1</t>
  </si>
  <si>
    <t>英雄1技能2【备注】</t>
  </si>
  <si>
    <t>英雄1技能2</t>
  </si>
  <si>
    <t>英雄1坐骑id</t>
  </si>
  <si>
    <t>英雄2id</t>
  </si>
  <si>
    <t>英雄2技能1【备注】</t>
  </si>
  <si>
    <t>英雄2技能1</t>
  </si>
  <si>
    <t>英雄2技能2【备注】</t>
  </si>
  <si>
    <t>英雄2技能2</t>
  </si>
  <si>
    <t>英雄2坐骑id</t>
  </si>
  <si>
    <t>英雄3id</t>
  </si>
  <si>
    <t>英雄3技能1【备注】</t>
  </si>
  <si>
    <t>英雄3技能1</t>
  </si>
  <si>
    <t>英雄3技能2【备注】</t>
  </si>
  <si>
    <t>英雄3技能2</t>
  </si>
  <si>
    <t>英雄3坐骑id</t>
  </si>
  <si>
    <t>阵容大标题</t>
  </si>
  <si>
    <t>标签1背景</t>
  </si>
  <si>
    <t>推荐标签（赛季）</t>
  </si>
  <si>
    <t>推荐英雄Id</t>
  </si>
  <si>
    <t>推荐英雄技能</t>
  </si>
  <si>
    <t>推荐马</t>
  </si>
  <si>
    <t>推荐英雄技能1</t>
  </si>
  <si>
    <t>推荐英雄技能2</t>
  </si>
  <si>
    <t>tags[1]</t>
  </si>
  <si>
    <t>battleStyle</t>
  </si>
  <si>
    <t>title</t>
  </si>
  <si>
    <t>imgIdx</t>
  </si>
  <si>
    <t>tags[2]</t>
  </si>
  <si>
    <t>heros[1].heroId</t>
  </si>
  <si>
    <t>heros[1].skillId[|]</t>
  </si>
  <si>
    <t>heros[1].horseId</t>
  </si>
  <si>
    <t>heros[2].heroId</t>
  </si>
  <si>
    <t>heros[2].skillId[|]</t>
  </si>
  <si>
    <t>heros[2].horseId</t>
  </si>
  <si>
    <t>heros[3].heroId</t>
  </si>
  <si>
    <t>heros[3].skillId[|]</t>
  </si>
  <si>
    <t>heros[3].horseId</t>
  </si>
  <si>
    <t>heroSkill[1].skillId[|]</t>
  </si>
  <si>
    <t>heroSkill[2].skillId[|]</t>
  </si>
  <si>
    <t>heroSkill[3].skillId[|]</t>
  </si>
  <si>
    <t>heroSkill[4].skillId[|]</t>
  </si>
  <si>
    <t>heroSkill[5].skillId[|]</t>
  </si>
  <si>
    <t>heroSkill[6].skillId[|]</t>
  </si>
  <si>
    <t>heroSkill[7].skillId[|]</t>
  </si>
  <si>
    <t>heroSkill[8].skillId[|]</t>
  </si>
  <si>
    <t>heroSkill[9].skillId[|]</t>
  </si>
  <si>
    <t>heroSkill[10].skillId[|]</t>
  </si>
  <si>
    <t>heroSkill[11].skillId[|]</t>
  </si>
  <si>
    <t>heroSkill[12].skillId[|]</t>
  </si>
  <si>
    <t>TID_HeroFactionRecommend_1001_name_CN_Main</t>
  </si>
  <si>
    <t>TID_HeroFactionRecommend_1001_tags_CN_Main</t>
  </si>
  <si>
    <t>智谋</t>
  </si>
  <si>
    <t>TID_HeroFactionRecommend_1001_des_CN_Main</t>
  </si>
  <si>
    <t>军神赠礼</t>
  </si>
  <si>
    <t>灵光乍现</t>
  </si>
  <si>
    <t>避芒击惰</t>
  </si>
  <si>
    <t>毁灭的预示</t>
  </si>
  <si>
    <t>胜利的代价</t>
  </si>
  <si>
    <t>燎天之火</t>
  </si>
  <si>
    <t>S1</t>
  </si>
  <si>
    <t>战争祝福</t>
  </si>
  <si>
    <t>百战之体</t>
  </si>
  <si>
    <t>丰收祝福</t>
  </si>
  <si>
    <t>机变</t>
  </si>
  <si>
    <t>TID_HeroFactionRecommend_1002_name_CN_Main</t>
  </si>
  <si>
    <t>TID_HeroFactionRecommend_1002_tags_CN_Main</t>
  </si>
  <si>
    <t>TID_HeroFactionRecommend_1002_des_CN_Main</t>
  </si>
  <si>
    <t>连击</t>
  </si>
  <si>
    <t>压迫之袭</t>
  </si>
  <si>
    <t>反间</t>
  </si>
  <si>
    <t>TID_HeroFactionRecommend_1003_name_CN_Main</t>
  </si>
  <si>
    <t>TID_HeroFactionRecommend_1003_tags_CN_Main</t>
  </si>
  <si>
    <t>TID_HeroFactionRecommend_1003_des_CN_Main</t>
  </si>
  <si>
    <t>以战养战</t>
  </si>
  <si>
    <t>冲冠一怒</t>
  </si>
  <si>
    <t>光明护佑</t>
  </si>
  <si>
    <t>火球轰击</t>
  </si>
  <si>
    <t>TID_HeroFactionRecommend_2001_name_CN_Main</t>
  </si>
  <si>
    <t>TID_HeroFactionRecommend_2001_des_CN_Main</t>
  </si>
  <si>
    <t>侵蚀之焰</t>
  </si>
  <si>
    <t>TID_HeroFactionRecommend_2002_name_CN_Main</t>
  </si>
  <si>
    <t>TID_HeroFactionRecommend_2002_des_CN_Main</t>
  </si>
  <si>
    <t>火球冲击</t>
  </si>
  <si>
    <t>TID_HeroFactionRecommend_2003_name_CN_Main</t>
  </si>
  <si>
    <t>TID_HeroFactionRecommend_2003_des_CN_Main</t>
  </si>
  <si>
    <t>命运操弄</t>
  </si>
  <si>
    <t>钢铁之躯</t>
  </si>
  <si>
    <t>TID_HeroFactionRecommend_3001_name_CN_Main</t>
  </si>
  <si>
    <t>TID_HeroFactionRecommend_3001_tags_CN_Main</t>
  </si>
  <si>
    <t>统率</t>
  </si>
  <si>
    <t>枪兵</t>
  </si>
  <si>
    <t>TID_HeroFactionRecommend_3001_des_CN_Main</t>
  </si>
  <si>
    <t>蛮勇侵袭</t>
  </si>
  <si>
    <t>怒火猛攻</t>
  </si>
  <si>
    <t>王者之剑</t>
  </si>
  <si>
    <t>沉默誓言</t>
  </si>
  <si>
    <t>三重攻势</t>
  </si>
  <si>
    <t>恩泽庇护</t>
  </si>
  <si>
    <t>泰山压顶</t>
  </si>
  <si>
    <t>反戈一击</t>
  </si>
  <si>
    <t>列阵御敌</t>
  </si>
  <si>
    <t>变阵</t>
  </si>
  <si>
    <t>掌军</t>
  </si>
  <si>
    <t>TID_HeroFactionRecommend_3002_name_CN_Main</t>
  </si>
  <si>
    <t>TID_HeroFactionRecommend_3002_des_CN_Main</t>
  </si>
  <si>
    <t>TID_HeroFactionRecommend_3003_name_CN_Main</t>
  </si>
  <si>
    <t>TID_HeroFactionRecommend_3003_des_CN_Main</t>
  </si>
  <si>
    <t>TID_HeroFactionRecommend_3004_name_CN_Main</t>
  </si>
  <si>
    <t>TID_HeroFactionRecommend_3004_des_CN_Main</t>
  </si>
  <si>
    <t>风卷残云</t>
  </si>
  <si>
    <t>反击</t>
  </si>
  <si>
    <t>不屈信念</t>
  </si>
  <si>
    <t>TID_HeroFactionRecommend_3005_name_CN_Main</t>
  </si>
  <si>
    <t>TID_HeroFactionRecommend_3005_des_CN_Main</t>
  </si>
  <si>
    <t>TID_HeroFactionRecommend_3006_name_CN_Main</t>
  </si>
  <si>
    <t>TID_HeroFactionRecommend_3006_des_CN_Main</t>
  </si>
  <si>
    <t>天地无双斩</t>
  </si>
  <si>
    <t>巨石冲击</t>
  </si>
  <si>
    <t>TID_HeroFactionRecommend_4001_name_CN_Main</t>
  </si>
  <si>
    <t>勇武</t>
  </si>
  <si>
    <t>TID_HeroFactionRecommend_4001_des_CN_Main</t>
  </si>
  <si>
    <t>敏锐洞察</t>
  </si>
  <si>
    <t>决意强袭</t>
  </si>
  <si>
    <t>戒备</t>
  </si>
  <si>
    <t>固本</t>
  </si>
  <si>
    <t>TID_HeroFactionRecommend_4002_name_CN_Main</t>
  </si>
  <si>
    <t>TID_HeroFactionRecommend_4002_des_CN_Main</t>
  </si>
  <si>
    <t>剑盾突击</t>
  </si>
  <si>
    <t>余烬之灼</t>
  </si>
  <si>
    <t>TID_HeroFactionRecommend_4003_name_CN_Main</t>
  </si>
  <si>
    <t>TID_HeroFactionRecommend_4003_des_CN_Main</t>
  </si>
  <si>
    <t>冲锋的极意</t>
  </si>
  <si>
    <t>慈悲终结</t>
  </si>
  <si>
    <t>怒涛之击</t>
  </si>
  <si>
    <t>TID_HeroFactionRecommend_4004_name_CN_Main</t>
  </si>
  <si>
    <t>TID_HeroFactionRecommend_4004_des_CN_Main</t>
  </si>
  <si>
    <t>苦肉</t>
  </si>
  <si>
    <t>TID_HeroFactionRecommend_5001_name_CN_Main</t>
  </si>
  <si>
    <t>骑兵</t>
  </si>
  <si>
    <t>TID_HeroFactionRecommend_5001_des_CN_Main</t>
  </si>
  <si>
    <t>弱点进攻</t>
  </si>
  <si>
    <t>正义裁决</t>
  </si>
  <si>
    <t>胜利怒吼</t>
  </si>
  <si>
    <t>燃身战意</t>
  </si>
  <si>
    <t>TID_HeroFactionRecommend_5002_name_CN_Main</t>
  </si>
  <si>
    <t>TID_HeroFactionRecommend_5002_des_CN_Main</t>
  </si>
  <si>
    <t>致命一击</t>
  </si>
  <si>
    <t>战争狂热</t>
  </si>
  <si>
    <t>胜利军规</t>
  </si>
  <si>
    <t>破敌之眼</t>
  </si>
  <si>
    <t>激昂</t>
  </si>
  <si>
    <t>TID_HeroFactionRecommend_5003_name_CN_Main</t>
  </si>
  <si>
    <t>TID_HeroFactionRecommend_5003_des_CN_Main</t>
  </si>
  <si>
    <t>撕裂</t>
  </si>
  <si>
    <t>破怒斩</t>
  </si>
  <si>
    <t>TID_HeroFactionRecommend_5004_name_CN_Main</t>
  </si>
  <si>
    <t>TID_HeroFactionRecommend_5004_des_CN_Main</t>
  </si>
  <si>
    <t>饥渴之刃</t>
  </si>
  <si>
    <t>持久战</t>
  </si>
  <si>
    <t>TID_HeroFactionRecommend_5005_name_CN_Main</t>
  </si>
  <si>
    <t>TID_HeroFactionRecommend_5005_des_CN_Main</t>
  </si>
  <si>
    <t>TID_HeroFactionRecommend_5006_name_CN_Main</t>
  </si>
  <si>
    <t>TID_HeroFactionRecommend_5006_des_CN_Main</t>
  </si>
  <si>
    <t>TID_HeroFactionRecommend_6001_name_CN_Main</t>
  </si>
  <si>
    <t>TID_HeroFactionRecommend_6001_des_CN_Main</t>
  </si>
  <si>
    <t>波澜攻势</t>
  </si>
  <si>
    <t>战术冲锋</t>
  </si>
  <si>
    <t>TID_HeroFactionRecommend_6002_name_CN_Main</t>
  </si>
  <si>
    <t>TID_HeroFactionRecommend_6002_des_CN_Main</t>
  </si>
  <si>
    <t>惩戒者</t>
  </si>
  <si>
    <t>TID_HeroFactionRecommend_6003_name_CN_Main</t>
  </si>
  <si>
    <t>TID_HeroFactionRecommend_6003_des_CN_Main</t>
  </si>
  <si>
    <t>TID_HeroFactionRecommend_7001_name_CN_Main</t>
  </si>
  <si>
    <t>TID_HeroFactionRecommend_7001_des_CN_Main</t>
  </si>
  <si>
    <t>狂怒血脉</t>
  </si>
  <si>
    <t>孤注一掷</t>
  </si>
  <si>
    <t>怒不可遏</t>
  </si>
  <si>
    <t>TID_HeroFactionRecommend_7002_name_CN_Main</t>
  </si>
  <si>
    <t>TID_HeroFactionRecommend_7002_des_CN_Main</t>
  </si>
  <si>
    <t>阳谋</t>
  </si>
  <si>
    <t>名门之后</t>
  </si>
  <si>
    <t>伏击</t>
  </si>
  <si>
    <t>英雄名称</t>
  </si>
  <si>
    <t>艺名</t>
  </si>
  <si>
    <t>主将技能</t>
  </si>
  <si>
    <t>兵种ID</t>
  </si>
  <si>
    <t>兵种</t>
  </si>
  <si>
    <t>技能名称</t>
  </si>
  <si>
    <t>装配技能</t>
  </si>
  <si>
    <t>琼恩</t>
  </si>
  <si>
    <t>胜者旗帜</t>
  </si>
  <si>
    <t>钢铁意志</t>
  </si>
  <si>
    <t>剑士1</t>
  </si>
  <si>
    <t>友军英雄每次发动固有主动技能、固有指挥技能或固有追击技能时，叠加1层旗帜印记。叠满6层后消耗印记，回复我军一定兵力（治疗率：320%，谋略加成），并造成一次谋略伤害（伤害率：500%，谋略加成）</t>
  </si>
  <si>
    <t>影武者</t>
  </si>
  <si>
    <t>神速斩</t>
  </si>
  <si>
    <t>落樱斩</t>
  </si>
  <si>
    <t>剑士2</t>
  </si>
  <si>
    <t>天下布武</t>
  </si>
  <si>
    <t>每9s一次，对敌军造成武力伤害（伤害率180%，武力加成）；有30%概率改为造成3段武力伤害（伤害率90%，武力加成）。</t>
  </si>
  <si>
    <t>尤里乌斯</t>
  </si>
  <si>
    <t>无冕之王</t>
  </si>
  <si>
    <t>凯旋</t>
  </si>
  <si>
    <t>剑士3</t>
  </si>
  <si>
    <t>攻城大师</t>
  </si>
  <si>
    <t>每6s一次，对敌军造成武力伤害（伤害率180%，武力加成）</t>
  </si>
  <si>
    <t>艳后</t>
  </si>
  <si>
    <t>夺神迷情</t>
  </si>
  <si>
    <t>倾国俘心</t>
  </si>
  <si>
    <t>剑士4</t>
  </si>
  <si>
    <t>迸裂</t>
  </si>
  <si>
    <t>破釜沉舟</t>
  </si>
  <si>
    <t>我军每次受到普通攻击，会叠加一层霸王印记（每秒最多叠加2层），叠满20层后消耗印记，并对敌军造成一次武力伤害（伤害率280%，武力加成）。
我军每下降1%兵力提升1点武力（兵力50%时达到最大加成50点武力）。</t>
  </si>
  <si>
    <t>关羽</t>
  </si>
  <si>
    <t>单刀赴会</t>
  </si>
  <si>
    <t>青龙偃月</t>
  </si>
  <si>
    <t>剑士5</t>
  </si>
  <si>
    <t>天妒英才</t>
  </si>
  <si>
    <t>对敌军造成谋略伤害（伤害率200%，谋略加成），并在3秒内，每秒提升我军10点怒气。</t>
  </si>
  <si>
    <t>亨利</t>
  </si>
  <si>
    <t>长弓齐射</t>
  </si>
  <si>
    <t>枪兵1</t>
  </si>
  <si>
    <t>入阵曲</t>
  </si>
  <si>
    <t>战意涌动</t>
  </si>
  <si>
    <t>我军随机2-3名英雄进入连击状态，持续3秒，释放几率25%</t>
  </si>
  <si>
    <t>项楚</t>
  </si>
  <si>
    <t>霸王降世</t>
  </si>
  <si>
    <t>枪兵2</t>
  </si>
  <si>
    <t>一身是胆</t>
  </si>
  <si>
    <t>龙影</t>
  </si>
  <si>
    <t>提升自身30点全属性。造成伤害时有10%概率无视对方的防御属性。</t>
  </si>
  <si>
    <t>康斯坦丁</t>
  </si>
  <si>
    <t>警戒</t>
  </si>
  <si>
    <t>重装出击</t>
  </si>
  <si>
    <t>枪兵3</t>
  </si>
  <si>
    <t>神圣恩典</t>
  </si>
  <si>
    <t>温泉关战神</t>
  </si>
  <si>
    <t>不败誓言</t>
  </si>
  <si>
    <t>我军兵力低于50%时，在9秒内，我军每秒恢复兵力（恢复率90%，守备加成），受到伤害降低40%。
（该效果在2分钟内最多触发一次）
我军兵力越低，自身守备越高，每下降1%兵力提升1.5守备值（兵力50%时达到最大加成）。</t>
  </si>
  <si>
    <t>魏兰</t>
  </si>
  <si>
    <t>欺星逐月</t>
  </si>
  <si>
    <t>飞燕回环</t>
  </si>
  <si>
    <t>枪兵4</t>
  </si>
  <si>
    <t>武圣</t>
  </si>
  <si>
    <t>提升自身30%暴击率。
进入战斗后的前三次攻击（前9秒），额外提升自身70%暴击率（该效果在2分钟内只能触发一次）。</t>
  </si>
  <si>
    <t>查士丁尼</t>
  </si>
  <si>
    <t>防御突击</t>
  </si>
  <si>
    <t>和平使者</t>
  </si>
  <si>
    <t>枪兵5</t>
  </si>
  <si>
    <t>天后威严</t>
  </si>
  <si>
    <t>对敌军造成谋略伤害（伤害率200%，谋略加成），降低敌军全体英雄30点武力、谋略、守备（谋略加成），持续3秒，并回复10点怒气（谋略加成）</t>
  </si>
  <si>
    <t>布狄卡</t>
  </si>
  <si>
    <t>逆转反击</t>
  </si>
  <si>
    <t>锯齿长枪</t>
  </si>
  <si>
    <t>骑兵1</t>
  </si>
  <si>
    <t>游牧部落</t>
  </si>
  <si>
    <t>自身和周围友军造成武力伤害提升15%（武力加成），持续9秒（该效果无法叠加，对联盟军团中的部队无效）</t>
  </si>
  <si>
    <t>萨拉丁</t>
  </si>
  <si>
    <t>骑士精神</t>
  </si>
  <si>
    <t>以一退三</t>
  </si>
  <si>
    <t>骑兵2</t>
  </si>
  <si>
    <t>第六天魔王</t>
  </si>
  <si>
    <t>对前方扇形范围内的最多3支敌军造成340%武力伤害（武力加成，谋略加成），并造成沉默效果，持续3秒</t>
  </si>
  <si>
    <t>列奥尼达</t>
  </si>
  <si>
    <t>不屈战魂</t>
  </si>
  <si>
    <t>定关猛击</t>
  </si>
  <si>
    <t>骑兵3</t>
  </si>
  <si>
    <t>上兵伐谋</t>
  </si>
  <si>
    <t>对目标造成谋略伤害（伤害率：300%，谋略加成），并使自身进入兵圣状态，持续6秒。</t>
  </si>
  <si>
    <t>孙武</t>
  </si>
  <si>
    <t>兵者诡道</t>
  </si>
  <si>
    <t>骑兵4</t>
  </si>
  <si>
    <t>对酒当歌</t>
  </si>
  <si>
    <t>恢复我军兵力（治疗率450%，谋略加成），提升我军全体20%（受谋略加成）武力与谋略，持续15秒</t>
  </si>
  <si>
    <t>女帝</t>
  </si>
  <si>
    <t>神龙降世</t>
  </si>
  <si>
    <t>骑兵5</t>
  </si>
  <si>
    <t>美如冠玉</t>
  </si>
  <si>
    <t>对目标造成谋略伤害（伤害率500%，谋略加成），并偷取敌方主将谋略属性60点（谋略加成），持续6秒。</t>
  </si>
  <si>
    <t>腓力四世</t>
  </si>
  <si>
    <t>至高王权</t>
  </si>
  <si>
    <t>弓兵1</t>
  </si>
  <si>
    <t>风贯日月</t>
  </si>
  <si>
    <t>剑刃打击</t>
  </si>
  <si>
    <t>对前方扇形范围内最多2支敌军造成武力伤害（伤害率：550%，武力加成）</t>
  </si>
  <si>
    <t>弗德里希</t>
  </si>
  <si>
    <t>王者庇护</t>
  </si>
  <si>
    <t>弓兵2</t>
  </si>
  <si>
    <t>七进七出</t>
  </si>
  <si>
    <t>横冲直撞</t>
  </si>
  <si>
    <t>对敌军单体连续造成两次武力伤害（伤害率：320%，武力加成）</t>
  </si>
  <si>
    <t>曹操</t>
  </si>
  <si>
    <t>天下归心</t>
  </si>
  <si>
    <t>弓兵3</t>
  </si>
  <si>
    <t>誓死守护</t>
  </si>
  <si>
    <t>百战之军</t>
  </si>
  <si>
    <t>对前方扇形范围内最多2支敌军造成武力伤害（伤害率300%，守备加成），并回复我军一定军力（治疗率：300%，守备加成）</t>
  </si>
  <si>
    <t>大流士一世</t>
  </si>
  <si>
    <t>征国战阵</t>
  </si>
  <si>
    <t>不锈铁军</t>
  </si>
  <si>
    <t>弓兵4</t>
  </si>
  <si>
    <t>齐射</t>
  </si>
  <si>
    <t>对前方较大范围内最多3支敌军造成伤害（伤害率：470%，谋略加成）</t>
  </si>
  <si>
    <t>李舜臣</t>
  </si>
  <si>
    <t>水战八法</t>
  </si>
  <si>
    <t>龟船破浪</t>
  </si>
  <si>
    <t>弓兵5</t>
  </si>
  <si>
    <t>在18秒内，每次友军英雄发动固有主动技能、固有指挥技能或固有追击技能时，额外叠加1层旗帜印记</t>
  </si>
  <si>
    <t>亚瑟王</t>
  </si>
  <si>
    <t>光辉之剑</t>
  </si>
  <si>
    <t>骑士荣耀</t>
  </si>
  <si>
    <t>对敌军造成武力伤害（伤害率950%，武力加成）</t>
  </si>
  <si>
    <t>亚历山大</t>
  </si>
  <si>
    <t>无上军心</t>
  </si>
  <si>
    <t>万疆征服</t>
  </si>
  <si>
    <t>对前方范围内最多3支敌军造成武力伤害（伤害率520%，武力加成），并在6秒内，我军全体英雄造成伤害提升30%</t>
  </si>
  <si>
    <t>汉尼拔</t>
  </si>
  <si>
    <t>智勇双绝</t>
  </si>
  <si>
    <t>出奇制胜</t>
  </si>
  <si>
    <t>对周身范围内最多3支敌军造成武力伤害（伤害率310%，武力加成），根据当前拥有的霸王印记层数造成额外伤害（每层提升10%，最多100%，乘法计算，伤害率最大翻倍），并使敌军在3秒内，移动速度降低20%。</t>
  </si>
  <si>
    <t>黄月英</t>
  </si>
  <si>
    <t>奇门遁甲</t>
  </si>
  <si>
    <t>机巧神兵</t>
  </si>
  <si>
    <t>对前方范围内最多3支敌军造成谋略伤害（伤害率680%，谋略加成）</t>
  </si>
  <si>
    <t>穆桂英</t>
  </si>
  <si>
    <t>平南总帅</t>
  </si>
  <si>
    <t>浑天军刃</t>
  </si>
  <si>
    <t>疾风之势</t>
  </si>
  <si>
    <t>我军全体英雄进入连击状态，并使我军移动速度提升30%，持续9秒</t>
  </si>
  <si>
    <t>赵云</t>
  </si>
  <si>
    <t>东洲龙影</t>
  </si>
  <si>
    <t>盘龙七击</t>
  </si>
  <si>
    <t>龙闪</t>
  </si>
  <si>
    <t>对敌军造成7段武力伤害（伤害率110%，武力加成）</t>
  </si>
  <si>
    <t>兰陵王</t>
  </si>
  <si>
    <t>使周身范围内友军受到武力伤害降低14%（守备加成），持续12秒</t>
  </si>
  <si>
    <t>虞姬</t>
  </si>
  <si>
    <t>美人恩</t>
  </si>
  <si>
    <t>阵前舞</t>
  </si>
  <si>
    <t>对敌军造成武力伤害（伤害率620%，武力加成），并使自身暴击率提升100%，持续3秒。</t>
  </si>
  <si>
    <t>白起</t>
  </si>
  <si>
    <t>追亡逐溃</t>
  </si>
  <si>
    <t>破军凶威</t>
  </si>
  <si>
    <t>对前方范围内最多3支敌军造成谋略伤害（伤害率880%，谋略加成），并恢复技能所造成伤害25%的兵力（初始怒气增加）</t>
  </si>
  <si>
    <t>秦叔宝</t>
  </si>
  <si>
    <t>裂伤之击</t>
  </si>
  <si>
    <t>冲阵斩敌</t>
  </si>
  <si>
    <t>毁灭者</t>
  </si>
  <si>
    <t>自身发动追击技能时，有75%概率对敌军造成一次武力伤害（伤害率210%，武力加成）。我军发动主将技，自身追击技能发动概率提升5%，持续6秒。</t>
  </si>
  <si>
    <t>尉迟恭</t>
  </si>
  <si>
    <t>破碎一击</t>
  </si>
  <si>
    <t>勇猛无前</t>
  </si>
  <si>
    <t>我军每6秒回复6点怒气（武力加成，谋略加成），并在全队发动主动技能或追击技能时，有25%的概率额外回复我军怒气12点（武力加成，谋略加成）</t>
  </si>
  <si>
    <t>阿提拉</t>
  </si>
  <si>
    <t>进入准备状态，3秒后对敌军造成谋略伤害（伤害率：220%，谋略加成），随后使自身进入兵圣状态，持续6秒。
如果该技能在发动时已经处于兵圣状态，会造成额外谋略伤害（伤害率：220%，谋略加成），并刷新兵圣状态持续时间。</t>
  </si>
  <si>
    <t>诸葛亮</t>
  </si>
  <si>
    <t>七星仗剑</t>
  </si>
  <si>
    <t>当曹操作为副将时，25%概率使我军主将立即发动一次自带主动技能（准备技能进入准备状态，准备状态中的技能则立即生效），并使该技能伤害提升10%（受谋略加成）；
当曹操作为主将时，提升副将自带主动技能发动概率12%，持续3秒。</t>
  </si>
  <si>
    <t>屋大维</t>
  </si>
  <si>
    <t>大帝威权</t>
  </si>
  <si>
    <t>至高执政</t>
  </si>
  <si>
    <t>进入准备状态，3秒后对敌军造成谋略伤害（伤害率：250%，谋略加成），并使目标受到谋略伤害提升12.5%（谋略加成），持续3秒。</t>
  </si>
  <si>
    <t>韩信</t>
  </si>
  <si>
    <t>国士无双</t>
  </si>
  <si>
    <t>用兵如神</t>
  </si>
  <si>
    <t>长剑军</t>
  </si>
  <si>
    <t>每隔9秒，对敌军造成一次武力伤害（伤害率：190%，武力加成）</t>
  </si>
  <si>
    <t>安德莉娅</t>
  </si>
  <si>
    <t>战阵之诗</t>
  </si>
  <si>
    <t>钢铁蔷薇</t>
  </si>
  <si>
    <t>穷追猛攻</t>
  </si>
  <si>
    <t>普攻攻击之后，向敌军再发起一次武力攻击（伤害率：250%，武力加成）</t>
  </si>
  <si>
    <t>李道玄</t>
  </si>
  <si>
    <t>不屈战意</t>
  </si>
  <si>
    <t>坚忍</t>
  </si>
  <si>
    <t>恢复我军一定军力（治疗率：250%，守备加成）</t>
  </si>
  <si>
    <t>纳尔西斯</t>
  </si>
  <si>
    <t>必胜军心</t>
  </si>
  <si>
    <t>我军每次使用主将技后，在12秒内提升我军主将的武力伤害25%（谋略加成）和谋略伤害25%（谋略加成）</t>
  </si>
  <si>
    <t>雷欧</t>
  </si>
  <si>
    <t>对前方扇形范围内2名敌人造成武力伤害（伤害率：600%，武力加成），并造成流血效果（伤害率：70%，武力加成），持续6秒</t>
  </si>
  <si>
    <t>莱昂</t>
  </si>
  <si>
    <t>受到敌人普攻时，有20%概率对该英雄进行反击，造成一次武力伤害（伤害率：90%，武力加成），并降低其守备值38点（武力加成），持续3秒</t>
  </si>
  <si>
    <t>巴尔达斯</t>
  </si>
  <si>
    <t>伺机待发</t>
  </si>
  <si>
    <t>机谋</t>
  </si>
  <si>
    <t>清算</t>
  </si>
  <si>
    <t>对敌军单体造成谋略伤害（伤害率：800%，谋略加成），并使其受到谋略伤害提升20%（谋略加成），持续6秒</t>
  </si>
  <si>
    <t>阿克塞尔</t>
  </si>
  <si>
    <t>凶猛追击</t>
  </si>
  <si>
    <t>纵横猛攻</t>
  </si>
  <si>
    <t>浴血刀锋</t>
  </si>
  <si>
    <t>对敌军造成谋略伤害（伤害率：100%，谋略加成），并施加沉默效果（无法发动主动技能），持续3秒。</t>
  </si>
  <si>
    <t>武威</t>
  </si>
  <si>
    <t>以眼还眼</t>
  </si>
  <si>
    <t>横扫</t>
  </si>
  <si>
    <t>八阵图</t>
  </si>
  <si>
    <t xml:space="preserve">对目标敌军造成谋略伤害（伤害率：120%，谋略加成），并施加虚弱状态，持续3秒。 </t>
  </si>
  <si>
    <t>崔如意</t>
  </si>
  <si>
    <t>列阵待发</t>
  </si>
  <si>
    <t>战意</t>
  </si>
  <si>
    <t>震慑猛击</t>
  </si>
  <si>
    <t>卧龙吟</t>
  </si>
  <si>
    <t>进入准备状态，3秒后对敌军造成谋略伤害（伤害率：280%，谋略加成），并根据敌军已有的异常状态造成额外效果（燃烧状态：造成额外谋略伤害（伤害率：200%，谋略加成）；沉默状态：清除对方非印记类的增益状态；虚弱状态：恢复我军兵力（治疗率：200%，谋略加成））</t>
  </si>
  <si>
    <t>尼诺</t>
  </si>
  <si>
    <t>连续打击</t>
  </si>
  <si>
    <t>英勇无畏</t>
  </si>
  <si>
    <t>死亡抗拒</t>
  </si>
  <si>
    <t>对前方范围内最多3个敌人造成武力伤害（伤害率：600%，守备加成），并使我军受到的伤害降低10%（守备加成），持续9秒</t>
  </si>
  <si>
    <t>克洛特</t>
  </si>
  <si>
    <t>诡计</t>
  </si>
  <si>
    <t>阴谋</t>
  </si>
  <si>
    <t>普攻后，对敌军造成190%武力伤害（守备加成），并使我军受到伤害降低8%（守备加成），伤害降低效果持续9秒。</t>
  </si>
  <si>
    <t>高猛</t>
  </si>
  <si>
    <t>长盾庇护</t>
  </si>
  <si>
    <t>盾牌猛击</t>
  </si>
  <si>
    <t>连续射击，对目标造成4次武力伤害（伤害率：240%，武力加成）</t>
  </si>
  <si>
    <t>袁夏</t>
  </si>
  <si>
    <t>烈火</t>
  </si>
  <si>
    <t>焚焰</t>
  </si>
  <si>
    <t>普攻攻击后，再次向目标发起一次武力攻击（伤害率：300%，武力加成）。该次攻击有50%概率变为三次武力伤害（伤害率：200%，武力加成）</t>
  </si>
  <si>
    <t>压制</t>
  </si>
  <si>
    <t>对目标敌军造成武力伤害（伤害率：350%，守备加成），并在6秒内附加缴械</t>
  </si>
  <si>
    <t>扰乱袭击</t>
  </si>
  <si>
    <t>使敌军进入缴械状态，持续3秒，释放概率：25%</t>
  </si>
  <si>
    <t>对目标造成谋略伤害（伤害率：560%，谋略加成）</t>
  </si>
  <si>
    <t>进入准备状态，3秒后对敌军造成谋略伤害（伤害率：230%，谋略加成），同时有50%概率使我军主将造成的谋略伤害提升20%（谋略加成），持续3秒</t>
  </si>
  <si>
    <t>攻击目标敌军，造成武力伤害（伤害率：560%，武力加成）</t>
  </si>
  <si>
    <t>普攻攻击后，再次造成一次武力伤害（伤害率：200%，武力加成），并在3秒内提升自身造成的武力伤害20%（武力加成）</t>
  </si>
  <si>
    <t>对前方扇形范围内最多2名个敌人造成武力伤害（伤害率：460%，武力加成）</t>
  </si>
  <si>
    <t>受到普通攻击时，有25%概率进行一次反击，造成武力伤害（伤害率：75%，武力加成）</t>
  </si>
  <si>
    <t>使用后，3秒内提升我军全体英雄追击技能发动概率17.5%（武力加成）</t>
  </si>
  <si>
    <t>自身为副将时，增加我军主将固有追击技能发动概率3.5%（武力加成）。自身为主将时，增加自身追击技能发动概率5%（武力加成）</t>
  </si>
  <si>
    <t>对前方扇形范围内最多3名敌军造成180%武力伤害（武力加成，谋略加成），同时全面提升自身武力、守备、谋略15点（武力加成，谋略加成），持续6秒。使用技能时立即获得5层光辉印记。</t>
  </si>
  <si>
    <t>进行一次攻击，造成160%武力或谋略伤害（武力加成，谋略加成。攻击时以我军武力和谋略较高的一项属性进行伤害结算），并为自身附加1层光辉印记，同时有10%*技能等级概率额外叠加1层。光辉印记叠满9层时将清除所有印记，并使自身进入光辉祝福状态，持续9秒。光辉祝福期间自身造成伤害时无视对方防御，但不再获得光辉印记。</t>
  </si>
  <si>
    <t>对前方扇形最多2名敌军造成武力伤害（伤害率620%，武力加成）</t>
  </si>
  <si>
    <t>对目标附加流血效果，每秒受到武力伤害（伤害率：50%），持续6秒。同时提升我军主将造成的武力伤害提升16%（武力加成），持续3秒。</t>
  </si>
  <si>
    <t>对目标造成武力伤害（伤害率：600%，武力加成），同时使其受到的武力伤害增加15%（武力加成），持续6秒</t>
  </si>
  <si>
    <t>对目标造成武力伤害（伤害率：180%，武力加成），并使其受到的武力伤害增加7.5%（武力加成），持续6秒。若目标处于流血状态，则其受到的武力伤害额外增加7.5%（武力加成）。</t>
  </si>
  <si>
    <t>对当前目标造成武力伤害（伤害率380%，武力加成）和谋略伤害（伤害率380%，谋略加成），并提升自身的武力、守备、谋略，每个属性的提升值为目标敌军主将当前对应属性的弱化值，持续6秒。</t>
  </si>
  <si>
    <t>普攻后，对敌军施加伤害和负面效果。每次触发交替进行以下两种效果：1）造成一次武力伤害（伤害率340%，武力加成），并降低敌军主将谋略值70点（武力加成），持续3秒；2）造成一次谋略伤害（伤害率340%，谋略加成），并降低敌军主将守备值70点（谋略加成），持续6秒。</t>
  </si>
  <si>
    <t>对前方扇形范围内最多2名敌人造成武力伤害（伤害率：315%，武力加成）和谋略伤害（伤害率：315%，谋略加成），同时提升我军全体英雄追击技能造成的伤害12%（武力加成，谋略加成），持续6秒</t>
  </si>
  <si>
    <t>我军全体英雄的追击技能发动概率提升3%，且主将固有追击技能的发动概率额外提升3%。当主将发动追击技能时，有10%概率使我军进入免控状态，持续3秒。</t>
  </si>
  <si>
    <t>对目标造成一次谋略伤害（伤害率430%，守备加成），同时回复我军兵力（恢复率300%，守备加成）</t>
  </si>
  <si>
    <t>我军全体英雄触发追击技能时，有50%概率回复一定兵力（恢复率90%，守备加成），同时降低我军受到的伤害16%（守备加成），持续1秒</t>
  </si>
  <si>
    <t>戎装公主</t>
  </si>
  <si>
    <t>对前方扇形范围内最多2名敌军造成谋略伤害（伤害率：480%，谋略加成），同时回复我军一定兵力（治疗率：300%，谋略加成）</t>
  </si>
  <si>
    <t>励振军心</t>
  </si>
  <si>
    <t>对敌军造成谋略伤害（伤害率：270%，谋略加成）。自身每第3次发动固有技能时，随机获得以下效果之一：1）使我军全体英雄造成的伤害提升15%（谋略加成），持续6秒；2）使我军全体英雄受到的武力伤害降低15%（谋略加成），持续6秒。</t>
  </si>
  <si>
    <t>在6秒内提升我军全体英雄的武力36点（武力加成）和守备36点（武力加成）</t>
  </si>
  <si>
    <t>对敌军造成谋略伤害（伤害率：380%，谋略加成），并降低敌军主将36点谋略（谋略加成），持续6秒</t>
  </si>
  <si>
    <t>对敌军单体造成武力伤害（伤害率：400%，守备加成）。降低我军受到的武力伤害10%（守备加成），持续6秒</t>
  </si>
  <si>
    <t>对前方扇形范围内最多2名敌人造成谋略伤害（伤害率：500%，谋略加成）</t>
  </si>
  <si>
    <t>进入准备状态，3秒后对敌军连续造成两次武力伤害（伤害率：150%，武力加成）</t>
  </si>
  <si>
    <t>普通攻击后，向敌军再发起一次谋略攻击（伤害率：190%，谋略加成），我军全体造成的谋略伤害提升15%（谋略加成），持续3S</t>
  </si>
  <si>
    <t>随机使我军受到的武力伤害或谋略伤害降低25%（守备加成），持续3秒</t>
  </si>
  <si>
    <t>进入准备状态，3秒后对目标附加燃烧状态，每秒造成谋略伤害（伤害率：40%，谋略加成），持续6秒。同时在3秒内提升我军主将造成的谋略伤害10%（谋略加成）</t>
  </si>
  <si>
    <t>对敌军造成谋略伤害（伤害率150%，谋略加成），并施加燃烧效果，每秒造成谋略伤害（伤害率20%+5%*星级，谋略加成），持续3秒</t>
  </si>
  <si>
    <t>对敌军造成武力伤害（伤害率200%，武力加成），释放概率20%+1.25%*星级</t>
  </si>
  <si>
    <t>提升自身80+5*星级点摧城</t>
  </si>
  <si>
    <t>攻城时可发动，对城防造成200+12.5*星级点伤害（摧城加成）</t>
  </si>
  <si>
    <t>每次发动固有技能时（被动技能除外），使自身造成武力伤害提升10%+0.6%*星级，最多叠加5层</t>
  </si>
  <si>
    <t>每3s一次，使自身造成武力伤害提升4.5%+0.3%*星级，最多叠加10层</t>
  </si>
  <si>
    <t>对敌军造成高额武力伤害（伤害率290%，武力加成），释放概率20%+1%*星级</t>
  </si>
  <si>
    <t>毁灭预示</t>
  </si>
  <si>
    <t>进入准备状态，3秒后对敌军造成高额谋略伤害（伤害率390%，谋略加成），释放概率20%+1%*星级</t>
  </si>
  <si>
    <t>进入准备状态，3秒后对敌军造成武力伤害（伤害率200%+16%*星级，武力加成），并降低敌军全体英雄40点武力和谋略（武力加成），持续3秒</t>
  </si>
  <si>
    <t>自身造成恢复效果后，使目标受到的伤害降低26%+1.3%*星级，持续3秒</t>
  </si>
  <si>
    <t>进入战斗前18秒，我军受到伤害降低28%+1.4%*星级</t>
  </si>
  <si>
    <t>我军全体英雄无法使用主动技能（无法被净化），造成指挥技能伤害提升35%+3%*星级</t>
  </si>
  <si>
    <t>每9s一次，对敌军随机发动以下效果中的一种：1）造成武力伤害（伤害率185%+9%*星级，武力加成）、2）造成谋略伤害（伤害率185%+9%*星级，谋略加成）、3）受到伤害提升28%+1.4%*星级，持续3秒</t>
  </si>
  <si>
    <t>偷取敌军主将24+1.5*星级点武力、谋略、守备（谋略加成），持续3秒。</t>
  </si>
  <si>
    <t>自身主动技能的发动概率提高8%+0.5%*星级（若为准备技能则提高10%+0.625%*星级）</t>
  </si>
  <si>
    <t>自身固有主动技能和固有追击技能的发动概率提升8.5%+0.8%*星级，造成谋略伤害提升20%</t>
  </si>
  <si>
    <t>提升自身28+2*星级点武力、谋略、守备</t>
  </si>
  <si>
    <t>对敌军造成武力伤害（伤害率160%，武力加成）和谋略伤害（伤害率160%，谋略加成），释放几率20%+1%*星级</t>
  </si>
  <si>
    <t>普通攻击后，对敌军造成武力伤害（伤害率285%+15%*星级，武力加成）</t>
  </si>
  <si>
    <t>使自身进入连击状态，持续3秒，释放概率40%+2.5%*星级</t>
  </si>
  <si>
    <t>恢复我军兵力（恢复率135%+8.75%*星级，谋略加成）</t>
  </si>
  <si>
    <t>我军受到伤害提升10%（无法被净化），造成主将技伤害提升115%+10%*星级</t>
  </si>
  <si>
    <t>我军发动主将技后，提升25%+2.6%*星级怒气，使我军全体英雄进入虚弱状态（无法被净化），持续3秒（降低虚弱效果）</t>
  </si>
  <si>
    <t>进入战斗后前18秒，每秒提升我军6.4+0.4*星级点怒气</t>
  </si>
  <si>
    <t>进入战斗后前18秒，我军受到普通攻击伤害和追击技能伤害降低24%+1.5%*星级</t>
  </si>
  <si>
    <t>普通攻击后，对敌军造成武力伤害（伤害率135%，武力加成），并减少12+2*星级点怒气</t>
  </si>
  <si>
    <t>自身普通攻击暴击后，提升自身96+6*星级点武力（武力加成），持续3秒</t>
  </si>
  <si>
    <t>普通攻击后，对敌军造成武力伤害（伤害率225%+11%*星级，武力加成，伤害可暴击）</t>
  </si>
  <si>
    <t>我军全体英雄造成主动技能伤害降低25%（无法被净化），造成普通攻击伤害提高40%+4%*星级</t>
  </si>
  <si>
    <t>普通攻击后，对敌军造成武力伤害（伤害率140%+12.5%*星级，武力加成），并降低敌军全体英雄30点守备，持续3秒</t>
  </si>
  <si>
    <t>普通攻击后，对敌军造成武力伤害（伤害率135%，武力加成），目标兵力每降低1%受到伤害提升2%（最多提高100%），释放几率20%+1.25%*星级</t>
  </si>
  <si>
    <t>普通攻击后，对敌军造成武力伤害（伤害率115%+7.5%*星级，武力加成），并施加流血效果，每秒造成武力伤害（伤害率32%+2%*星级，武力加成），持续3秒</t>
  </si>
  <si>
    <t>普通攻击后，恢复我军兵力（恢复率290%，武力加成）。释放几率20%+1%*星级</t>
  </si>
  <si>
    <t>我军累积进行6次普通攻击时，恢复我军兵力（恢复率60%+3.75%*星级，武力加成）</t>
  </si>
  <si>
    <t>我军全体英雄每次普通攻击命中，降低目标0.8%+0.05%*星级受到恢复效果，最多叠加50层</t>
  </si>
  <si>
    <t>提升我军全体英雄10%+0.8%*星级暴击率，造成暴击后降低敌军全体英雄15点守备，最多叠加3层</t>
  </si>
  <si>
    <t>受到普通攻击时有20%概率立即进行反击，对攻击者造成武力伤害（伤害率85%+5%*星级，武力加成），同时增加自身武力值20点，持续6秒</t>
  </si>
  <si>
    <t>损失我军当前兵力的1%，对敌军造成武力伤害（伤害率380%+20%*星级，武力加成）</t>
  </si>
  <si>
    <t>提升自身28+1.75*星级点谋略（武力加成）</t>
  </si>
  <si>
    <t>受到普通攻击时15%概率立即进行反击，对攻击者造成武力伤害（伤害率80%+5%*星级，武力加成）</t>
  </si>
  <si>
    <t>对敌军造成武力伤害（伤害率200%，武力加成），恢复我军兵力（恢复率90%，武力加成），释放几率20%+1%*星级</t>
  </si>
  <si>
    <t>每9s一次，恢复我军兵力（恢复率175%+9%*星级，守备加成）</t>
  </si>
  <si>
    <t>对敌军造成武力伤害（伤害率160%+10%*星级，武力加成，守备加成）</t>
  </si>
  <si>
    <t>对敌军造成武力伤害（伤害率130%，武力加成），并打断准备技能，释放几率20%+1.25%*星级</t>
  </si>
  <si>
    <t>我军受到超过1%最大兵力的单次谋略伤害后，使我军受到谋略伤害降低12%+0.75%*星级，持续6秒</t>
  </si>
  <si>
    <t>我军全体英雄造成普通攻击伤害降低10%（无法被净化），造成被动技能伤害提升25%+1.8%*星级。</t>
  </si>
  <si>
    <t>对敌军造成谋略伤害（伤害率145%+7%*星级，谋略加成），恢复我军兵力（恢复率90%+4%*星级，谋略加成）</t>
  </si>
  <si>
    <t>冲击</t>
  </si>
  <si>
    <t>对敌军造成武力伤害（伤害率110%+8%*星级，武力加成）</t>
  </si>
  <si>
    <t>休整</t>
  </si>
  <si>
    <t>恢复我军兵力（恢复率110%+8%*星级，谋略加成）</t>
  </si>
  <si>
    <t>奇袭</t>
  </si>
  <si>
    <t>对敌军造成谋略伤害（伤害率110%+8%*星级，谋略加成）</t>
  </si>
  <si>
    <t>二连斩</t>
  </si>
  <si>
    <t>普通攻击后，对敌军造成武力伤害（伤害率130%+10%*星级，武力加成）</t>
  </si>
  <si>
    <t>攻城战术</t>
  </si>
  <si>
    <t>提升自身60+5*星级点摧城</t>
  </si>
  <si>
    <t>锐锋</t>
  </si>
  <si>
    <t>提升自身12.4%+1.2%*星级暴击率</t>
  </si>
  <si>
    <t>激怒</t>
  </si>
  <si>
    <t>战斗中，每秒提升我军1.2+0.2*星级点怒气</t>
  </si>
  <si>
    <t>战斗训练</t>
  </si>
  <si>
    <t>提升自身32+4*星级点武力</t>
  </si>
  <si>
    <t>防守训练</t>
  </si>
  <si>
    <t>提升自身32+4*星级点守备</t>
  </si>
  <si>
    <t>谋略训练</t>
  </si>
  <si>
    <t>提升自身32+4*星级点谋略</t>
  </si>
  <si>
    <t>攻城训练</t>
  </si>
  <si>
    <t>提升自身48+6*星级点摧城</t>
  </si>
  <si>
    <t>铁壁</t>
  </si>
  <si>
    <t>降低4%+0.5%*星级受到伤害</t>
  </si>
  <si>
    <t>对敌军造成谋略伤害（伤害率155%，谋略加成），并施加燃烧效果，每秒造成谋略伤害（伤害率15%+2%*星级，谋略加成），持续6秒</t>
  </si>
  <si>
    <t>对敌军造成武力伤害（伤害率155%，武力加成），并对敌军施加流血效果，每秒对敌军造成武力伤害（15%+2%*星级，武力加成），持续6秒</t>
  </si>
  <si>
    <t>明心静气</t>
  </si>
  <si>
    <t>当自带准备主动技能进入准备状态时，有40%+2.5%*星级概率使我军获得免控效果（不受控制类状态影响），持续3秒。</t>
  </si>
  <si>
    <t>当自带准备主动技能进入准备状态时，有60%+3%*星级概率直接发动效果。
如果直接发动失败，则使自带准备主动技能的发动概率提升8%+0.4%*星级，持续6秒。</t>
  </si>
  <si>
    <t>我军副将造成伤害降低15%（无法被净化），我军主将自带主动技能发动概率提升5%+1%*星级（不受属性加成），造成伤害提升20%（谋略加成）。</t>
  </si>
  <si>
    <t>进入战斗前18秒，降低我军受到武力伤害8%+0.4%*星级（守备加成）；18秒后，我军全体造成伤害提升8%+0.4%*星级（谋略加成）</t>
  </si>
  <si>
    <t>怒击扬智</t>
  </si>
  <si>
    <t>自身触发暴击效果时，回复12+1.6*星级点怒气，并提升自身武力值18点（武力加成），持续3秒。该效果有3秒的触发间隔</t>
  </si>
  <si>
    <t>奋迅</t>
  </si>
  <si>
    <t>我方英雄出手时，有5%+0.2%*星级概率进入连击状态，持续3s。</t>
  </si>
  <si>
    <t>每9s一次，对敌军造成武力伤害（伤害率：130%，武力加成），并且有40%概率使我军全体造成的伤害提升25%+5%*星级，持续3s。</t>
  </si>
  <si>
    <t>每12S一次， 造成武力伤害（伤害率：160%+10%*星级，武力加成）</t>
  </si>
  <si>
    <t>对敌军造成谋略伤害（伤害率：110%，谋略加成），并且回复8+1.5*星级点怒气</t>
  </si>
  <si>
    <t>利刃攻心</t>
  </si>
  <si>
    <t>我军全体英雄每次触发追击技能时，会降低敌我双方造成的谋略伤害0.8%+0.06%*星级加成（守备加成），同时提升敌我双方追击技能造成的伤害0.8%+0.06%*星级加成（守备加成），每次叠一层（最高8层）</t>
  </si>
  <si>
    <t>普通攻击后，20%+1%*星级概率对敌军造成武力伤害（伤害率：230%，武力加成），同时提升自身造成的武力伤害20%（武力加成），持续3秒</t>
  </si>
  <si>
    <t>每9秒对敌军附加燃烧效果，每秒造成谋略伤害（伤害率：12%，谋略加成），同时使其受到的谋略伤害提升2.5%（谋略加成），持续9秒。释放技能时有15%+3%*星级概率额外附加沉默效果（无法使用主将技和主动技能），持续3秒。（考虑变成指挥技能，燃烧状态100%覆盖）</t>
  </si>
  <si>
    <t>压迫之袭 </t>
  </si>
  <si>
    <t>普通攻击之后，对敌军造成一次谋略伤害（伤害率150%，谋略加成），并降低敌军主将40+8*星级点武力值（谋略加成），持续6秒。（该效果不可叠加）</t>
  </si>
  <si>
    <t>追击本能</t>
  </si>
  <si>
    <t>我军全体普通攻击伤害降低10%(无法被净化），造成追击技能伤害提升25%+2%*星级。</t>
  </si>
  <si>
    <t>英勇时刻</t>
  </si>
  <si>
    <t>释放主将技后，我军全体武力伤害提升12%+0.6%*星级（武力加成），持续9秒。</t>
  </si>
  <si>
    <t>暴烈勇猛</t>
  </si>
  <si>
    <t>使自身固有主动技能和固有追击技能的发动概率提升4%（武力加成）。自身固有主动技能和固有追击技能造成伤害时，有10%+1.2%*星级概率（武力加成）触发暴击。</t>
  </si>
  <si>
    <t>怒击扬志</t>
  </si>
  <si>
    <t>阵鼓</t>
  </si>
  <si>
    <t>裸衣</t>
  </si>
  <si>
    <t>序号</t>
  </si>
  <si>
    <t>英雄</t>
  </si>
  <si>
    <t>风格</t>
  </si>
  <si>
    <t>项羽</t>
  </si>
  <si>
    <t>反击或指挥</t>
  </si>
  <si>
    <t>影舞者</t>
  </si>
  <si>
    <t>追击技能</t>
  </si>
  <si>
    <t>主动技能</t>
  </si>
  <si>
    <t>旧Key</t>
  </si>
  <si>
    <t>新Key</t>
  </si>
  <si>
    <t>文本</t>
  </si>
  <si>
    <t>HeroFactionConf_1_factionName_CN_Main</t>
  </si>
  <si>
    <t>剑谋春秋</t>
  </si>
  <si>
    <t>HeroFactionConf_1_des_CN_Main</t>
  </si>
  <si>
    <t>推荐【奇谋剑】流派挑战</t>
  </si>
  <si>
    <t>HeroFactionConf_2_factionName_CN_Main</t>
  </si>
  <si>
    <t>神剑鬼谋</t>
  </si>
  <si>
    <t>HeroFactionConf_2_des_CN_Main</t>
  </si>
  <si>
    <t>推荐【异常弓】流派挑战</t>
  </si>
  <si>
    <t>HeroFactionConf_3_factionName_CN_Main</t>
  </si>
  <si>
    <t>千军景从</t>
  </si>
  <si>
    <t>HeroFactionConf_3_des_CN_Main</t>
  </si>
  <si>
    <t>推荐指挥技能流派挑战</t>
  </si>
  <si>
    <t>HeroFactionConf_4_factionName_CN_Main</t>
  </si>
  <si>
    <t>荆棘之心</t>
  </si>
  <si>
    <t>HeroFactionConf_4_des_CN_Main</t>
  </si>
  <si>
    <t>推荐【反击枪】流派挑战</t>
  </si>
  <si>
    <t>HeroFactionConf_5_factionName_CN_Main</t>
  </si>
  <si>
    <t>勇猛无双</t>
  </si>
  <si>
    <t>HeroFactionConf_5_des_CN_Main</t>
  </si>
  <si>
    <t>推荐武力追击流派挑战</t>
  </si>
  <si>
    <t>HeroFactionConf_6_factionName_CN_Main</t>
  </si>
  <si>
    <t>智取万疆</t>
  </si>
  <si>
    <t>HeroFactionConf_6_des_CN_Main</t>
  </si>
  <si>
    <t>推荐混伤追击流派挑战</t>
  </si>
  <si>
    <t>HeroFactionConf_7_factionName_CN_Main</t>
  </si>
  <si>
    <t>天赐之能</t>
  </si>
  <si>
    <t>HeroFactionConf_7_des_CN_Main</t>
  </si>
  <si>
    <t>推荐主将技流派挑战</t>
  </si>
  <si>
    <t>HeroFactionConf_8_factionName_CN_Main</t>
  </si>
  <si>
    <t>主动输出</t>
  </si>
  <si>
    <t>HeroAchievementConf_1001_name_CN_Main</t>
  </si>
  <si>
    <t>HeroAchievementConf_1001_des_CN_Main</t>
  </si>
  <si>
    <t>HeroAchievementConf_1001_des2_CN_Main</t>
  </si>
  <si>
    <t>HeroAchievementConf_1002_name_CN_Main</t>
  </si>
  <si>
    <t>HeroAchievementConf_1002_des_CN_Main</t>
  </si>
  <si>
    <t>HeroAchievementConf_1003_name_CN_Main</t>
  </si>
  <si>
    <t>HeroAchievementConf_1003_des_CN_Main</t>
  </si>
  <si>
    <t>HeroAchievementConf_1011_name_CN_Main</t>
  </si>
  <si>
    <t>HeroAchievementConf_1011_des_CN_Main</t>
  </si>
  <si>
    <t>HeroAchievementConf_1012_name_CN_Main</t>
  </si>
  <si>
    <t>HeroAchievementConf_1012_des_CN_Main</t>
  </si>
  <si>
    <t>HeroAchievementConf_1012_des2_CN_Main</t>
  </si>
  <si>
    <t>HeroAchievementConf_1013_name_CN_Main</t>
  </si>
  <si>
    <t>HeroAchievementConf_1013_des_CN_Main</t>
  </si>
  <si>
    <t>HeroAchievementConf_1021_name_CN_Main</t>
  </si>
  <si>
    <t>HeroAchievementConf_1021_des_CN_Main</t>
  </si>
  <si>
    <t>HeroAchievementConf_1021_des2_CN_Main</t>
  </si>
  <si>
    <t>HeroAchievementConf_1022_name_CN_Main</t>
  </si>
  <si>
    <t>HeroAchievementConf_1022_des_CN_Main</t>
  </si>
  <si>
    <t>HeroAchievementConf_2001_des_CN_Main</t>
  </si>
  <si>
    <t>HeroAchievementConf_2002_des_CN_Main</t>
  </si>
  <si>
    <t>HeroAchievementConf_2003_des_CN_Main</t>
  </si>
  <si>
    <t>HeroAchievementConf_2011_name_CN_Main</t>
  </si>
  <si>
    <t>HeroAchievementConf_2011_des_CN_Main</t>
  </si>
  <si>
    <t>HeroAchievementConf_2012_name_CN_Main</t>
  </si>
  <si>
    <t>HeroAchievementConf_2012_des_CN_Main</t>
  </si>
  <si>
    <t>HeroAchievementConf_2013_name_CN_Main</t>
  </si>
  <si>
    <t>HeroAchievementConf_2013_des_CN_Main</t>
  </si>
  <si>
    <t>HeroAchievementConf_2021_name_CN_Main</t>
  </si>
  <si>
    <t>TID_HeroAchievementConf_2021_name_CN_Main</t>
  </si>
  <si>
    <t>HeroAchievementConf_2021_des_CN_Main</t>
  </si>
  <si>
    <t>HeroAchievementConf_2021_des2_CN_Main</t>
  </si>
  <si>
    <t>HeroAchievementConf_2022_name_CN_Main</t>
  </si>
  <si>
    <t>HeroAchievementConf_2022_des_CN_Main</t>
  </si>
  <si>
    <t>HeroAchievementConf_3001_des_CN_Main</t>
  </si>
  <si>
    <t>HeroAchievementConf_3002_des_CN_Main</t>
  </si>
  <si>
    <t>HeroAchievementConf_3003_des_CN_Main</t>
  </si>
  <si>
    <t>HeroAchievementConf_3011_name_CN_Main</t>
  </si>
  <si>
    <t>HeroAchievementConf_3011_des_CN_Main</t>
  </si>
  <si>
    <t>HeroAchievementConf_3012_name_CN_Main</t>
  </si>
  <si>
    <t>HeroAchievementConf_3012_des_CN_Main</t>
  </si>
  <si>
    <t>HeroAchievementConf_3013_name_CN_Main</t>
  </si>
  <si>
    <t>HeroAchievementConf_3013_des_CN_Main</t>
  </si>
  <si>
    <t>HeroAchievementConf_3021_name_CN_Main</t>
  </si>
  <si>
    <t>HeroAchievementConf_3021_des_CN_Main</t>
  </si>
  <si>
    <t>HeroAchievementConf_3022_name_CN_Main</t>
  </si>
  <si>
    <t>HeroAchievementConf_3022_des_CN_Main</t>
  </si>
  <si>
    <t>HeroAchievementConf_4001_des_CN_Main</t>
  </si>
  <si>
    <t>HeroAchievementConf_4002_des_CN_Main</t>
  </si>
  <si>
    <t>HeroAchievementConf_4003_des_CN_Main</t>
  </si>
  <si>
    <t>HeroAchievementConf_4011_name_CN_Main</t>
  </si>
  <si>
    <t>HeroAchievementConf_4011_des_CN_Main</t>
  </si>
  <si>
    <t>HeroAchievementConf_4012_name_CN_Main</t>
  </si>
  <si>
    <t>HeroAchievementConf_4012_des_CN_Main</t>
  </si>
  <si>
    <t>HeroAchievementConf_4021_name_CN_Main</t>
  </si>
  <si>
    <t>HeroAchievementConf_4021_des_CN_Main</t>
  </si>
  <si>
    <t>HeroAchievementConf_4022_name_CN_Main</t>
  </si>
  <si>
    <t>HeroAchievementConf_4022_des_CN_Main</t>
  </si>
  <si>
    <t>HeroAchievementConf_5001_des_CN_Main</t>
  </si>
  <si>
    <t>HeroAchievementConf_5002_des_CN_Main</t>
  </si>
  <si>
    <t>HeroAchievementConf_5003_des_CN_Main</t>
  </si>
  <si>
    <t>HeroAchievementConf_5011_name_CN_Main</t>
  </si>
  <si>
    <t>HeroAchievementConf_5011_des_CN_Main</t>
  </si>
  <si>
    <t>HeroAchievementConf_5012_name_CN_Main</t>
  </si>
  <si>
    <t>HeroAchievementConf_5012_des_CN_Main</t>
  </si>
  <si>
    <t>HeroAchievementConf_5021_name_CN_Main</t>
  </si>
  <si>
    <t>HeroAchievementConf_5021_des_CN_Main</t>
  </si>
  <si>
    <t>HeroAchievementConf_5022_name_CN_Main</t>
  </si>
  <si>
    <t>HeroAchievementConf_5022_des_CN_Main</t>
  </si>
  <si>
    <t>HeroAchievementConf_6001_des_CN_Main</t>
  </si>
  <si>
    <t>HeroAchievementConf_6002_des_CN_Main</t>
  </si>
  <si>
    <t>HeroAchievementConf_6003_des_CN_Main</t>
  </si>
  <si>
    <t>HeroAchievementConf_6011_name_CN_Main</t>
  </si>
  <si>
    <t>HeroAchievementConf_6011_des_CN_Main</t>
  </si>
  <si>
    <t>HeroAchievementConf_6012_name_CN_Main</t>
  </si>
  <si>
    <t>HeroAchievementConf_6012_des_CN_Main</t>
  </si>
  <si>
    <t>HeroAchievementConf_6021_name_CN_Main</t>
  </si>
  <si>
    <t>HeroAchievementConf_6021_des_CN_Main</t>
  </si>
  <si>
    <t>HeroAchievementConf_6022_name_CN_Main</t>
  </si>
  <si>
    <t>HeroAchievementConf_6022_des_CN_Main</t>
  </si>
  <si>
    <t>HeroAchievementConf_7001_des_CN_Main</t>
  </si>
  <si>
    <t>HeroAchievementConf_7002_des_CN_Main</t>
  </si>
  <si>
    <t>HeroAchievementConf_7003_des_CN_Main</t>
  </si>
  <si>
    <t>HeroAchievementConf_7011_name_CN_Main</t>
  </si>
  <si>
    <t>HeroAchievementConf_7011_des_CN_Main</t>
  </si>
  <si>
    <t>HeroAchievementConf_7012_name_CN_Main</t>
  </si>
  <si>
    <t>HeroAchievementConf_7012_des_CN_Main</t>
  </si>
  <si>
    <t>HeroAchievementConf_7012_des2_CN_Main</t>
  </si>
  <si>
    <t>HeroAchievementConf_7021_name_CN_Main</t>
  </si>
  <si>
    <t>HeroAchievementConf_7021_des_CN_Main</t>
  </si>
  <si>
    <t>HeroAchievementConf_7022_name_CN_Main</t>
  </si>
  <si>
    <t>HeroAchievementConf_7022_des_CN_Main</t>
  </si>
  <si>
    <t>AchievementKeyWordsConf_1_name_CN_Main</t>
  </si>
  <si>
    <t>AchievementKeyWordsConf_1_desc_CN_Main</t>
  </si>
  <si>
    <t>英雄在部队中作为主将时生效，可消耗怒气使用的技能。</t>
  </si>
  <si>
    <t>AchievementKeyWordsConf_2_name_CN_Main</t>
  </si>
  <si>
    <t>AchievementKeyWordsConf_2_desc_CN_Main</t>
  </si>
  <si>
    <t>英雄每次出手时，有概率释放的技能。</t>
  </si>
  <si>
    <t>AchievementKeyWordsConf_3_name_CN_Main</t>
  </si>
  <si>
    <t>指挥技能</t>
  </si>
  <si>
    <t>AchievementKeyWordsConf_3_desc_CN_Main</t>
  </si>
  <si>
    <t>固定间隔后，百分百释放的技能。</t>
  </si>
  <si>
    <t>AchievementKeyWordsConf_4_name_CN_Main</t>
  </si>
  <si>
    <t>AchievementKeyWordsConf_4_desc_CN_Main</t>
  </si>
  <si>
    <t>英雄每次普攻（包含连击）后，有概率释放的技能。</t>
  </si>
  <si>
    <t>AchievementKeyWordsConf_5_name_CN_Main</t>
  </si>
  <si>
    <t>被动技能</t>
  </si>
  <si>
    <t>AchievementKeyWordsConf_5_desc_CN_Main</t>
  </si>
  <si>
    <t>根据触发条件生效的技能。</t>
  </si>
  <si>
    <t>AchievementKeyWordsConf_6_name_CN_Main</t>
  </si>
  <si>
    <t>AchievementKeyWordsConf_6_desc_CN_Main</t>
  </si>
  <si>
    <t>英雄的独特技能，无法拆卸，其他英雄无法学习。</t>
  </si>
  <si>
    <t>AchievementKeyWordsConf_7_name_CN_Main</t>
  </si>
  <si>
    <t>AchievementKeyWordsConf_7_desc_CN_Main</t>
  </si>
  <si>
    <t>部分主动技能需要进行3秒的准备后才会释放，准备状态中英雄受到“打断”技能或者进入沉默状态时，会取消该技能的释放。</t>
  </si>
  <si>
    <t>AchievementKeyWordsConf_8_name_CN_Main</t>
  </si>
  <si>
    <t>兵圣状态</t>
  </si>
  <si>
    <t>AchievementKeyWordsConf_8_desc_CN_Main</t>
  </si>
  <si>
    <t>孙武的主将技“上兵伐谋”和固有技能“兵者诡道”会使自身进入“兵圣”状态。</t>
  </si>
  <si>
    <t>AchievementKeyWordsConf_9_name_CN_Main</t>
  </si>
  <si>
    <t>直接发动效果</t>
  </si>
  <si>
    <t>AchievementKeyWordsConf_9_desc_CN_Main</t>
  </si>
  <si>
    <t>技能“灵光乍现”“机变”或是曹操的固有技能“天下归心”，可以使准备状态中的技能直接生效。</t>
  </si>
  <si>
    <t>AchievementKeyWordsConf_10_name_CN_Main</t>
  </si>
  <si>
    <t>燃烧</t>
  </si>
  <si>
    <t>AchievementKeyWordsConf_10_desc_CN_Main</t>
  </si>
  <si>
    <t>部分技能会对敌军施加“燃烧”效果，造成持续的谋略伤害。</t>
  </si>
  <si>
    <t>AchievementKeyWordsConf_11_name_CN_Main</t>
  </si>
  <si>
    <t>决水</t>
  </si>
  <si>
    <t>AchievementKeyWordsConf_11_desc_CN_Main</t>
  </si>
  <si>
    <t>部分技能会对敌军施加“决水”效果，造成持续的谋略伤害。</t>
  </si>
  <si>
    <t>AchievementKeyWordsConf_12_name_CN_Main</t>
  </si>
  <si>
    <t>AchievementKeyWordsConf_12_desc_CN_Main</t>
  </si>
  <si>
    <t>诸葛亮的固有技能，目标处于虚弱状态时会回复我军兵力。</t>
  </si>
  <si>
    <t>AchievementKeyWordsConf_13_name_CN_Main</t>
  </si>
  <si>
    <t>AchievementKeyWordsConf_13_desc_CN_Main</t>
  </si>
  <si>
    <t>弗德里希的固有技能，我军兵力低于一定比例时，持续回复我军兵力。</t>
  </si>
  <si>
    <t>AchievementKeyWordsConf_14_name_CN_Main</t>
  </si>
  <si>
    <t>AchievementKeyWordsConf_14_desc_CN_Main</t>
  </si>
  <si>
    <t>部分被动技能的效果，反击状态的英雄，受到普通攻击时有概率对攻击者造成伤害。</t>
  </si>
  <si>
    <t>AchievementKeyWordsConf_15_name_CN_Main</t>
  </si>
  <si>
    <t>AchievementKeyWordsConf_15_desc_CN_Main</t>
  </si>
  <si>
    <t>查士丁尼的固有技能，我军英雄触发追击技能时可以回复我军兵力。</t>
  </si>
  <si>
    <t>AchievementKeyWordsConf_16_name_CN_Main</t>
  </si>
  <si>
    <t>属性弱化</t>
  </si>
  <si>
    <t>AchievementKeyWordsConf_16_desc_CN_Main</t>
  </si>
  <si>
    <t>部分技能可以弱化敌军属性，汉尼拔的主将技可以获取敌军主将的属性弱化值。</t>
  </si>
  <si>
    <t>HeroAchievementMiscConf_0_stageName_CN_Main</t>
  </si>
  <si>
    <t>TID_HeroAchievementMiscConf_0_stageName_CN_Main</t>
  </si>
  <si>
    <t>入门</t>
  </si>
  <si>
    <t>HeroAchievementMiscConf_0_stageName_1057848373033_CN_Main</t>
  </si>
  <si>
    <t>TID_HeroAchievementMiscConf_0_stageName_1057848373033_CN_Main</t>
  </si>
  <si>
    <t>基础</t>
  </si>
  <si>
    <t>HeroAchievementMiscConf_0_stageName_682240917164_CN_Main</t>
  </si>
  <si>
    <t>TID_HeroAchievementMiscConf_0_stageName_682240917164_CN_Main</t>
  </si>
  <si>
    <t>熟练</t>
  </si>
  <si>
    <t>HeroAchievementMiscConf_0_stageName_440872424509_CN_Main</t>
  </si>
  <si>
    <t>TID_HeroAchievementMiscConf_0_stageName_440872424509_CN_Main</t>
  </si>
  <si>
    <t>大师</t>
  </si>
  <si>
    <t>HeroAchievementMiscConf_0_stageName_156580853841_CN_Main</t>
  </si>
  <si>
    <t>TID_HeroAchievementMiscConf_0_stageName_156580853841_CN_Main</t>
  </si>
  <si>
    <t>完美</t>
  </si>
  <si>
    <t>HeroFactionRecommend_1001_name_CN_Main</t>
  </si>
  <si>
    <t>进阶智谋剑</t>
  </si>
  <si>
    <t>HeroFactionRecommend_1001_tags_CN_Main</t>
  </si>
  <si>
    <t>进阶</t>
  </si>
  <si>
    <t>HeroFactionRecommend_1001_des_CN_Main</t>
  </si>
  <si>
    <t>孙武的兵圣状态自循环是输出的核心。这套阵容使用了大量辅助技能，牺牲副将的输出来提升主将孙武的技能发动概率和伤害。</t>
  </si>
  <si>
    <t>HeroFactionRecommend_1002_name_CN_Main</t>
  </si>
  <si>
    <t>HeroFactionRecommend_1002_tags_CN_Main</t>
  </si>
  <si>
    <t>标准</t>
  </si>
  <si>
    <t>HeroFactionRecommend_1002_des_CN_Main</t>
  </si>
  <si>
    <t>孙武的兵圣状态自循环是输出的核心。灵光乍现可以提升孙武固有技的循环速度，只要打出额外伤害就是大赚。</t>
  </si>
  <si>
    <t>HeroFactionRecommend_1003_name_CN_Main</t>
  </si>
  <si>
    <t>新手智谋剑</t>
  </si>
  <si>
    <t>HeroFactionRecommend_1003_tags_CN_Main</t>
  </si>
  <si>
    <t>新手</t>
  </si>
  <si>
    <t>HeroFactionRecommend_1003_des_CN_Main</t>
  </si>
  <si>
    <t>开荒可用的临时阵容，可以最大化兵种特性的加成。建议获得孙武后替换紫将。</t>
  </si>
  <si>
    <t>HeroFactionRecommend_2001_name_CN_Main</t>
  </si>
  <si>
    <t>进阶异常弓</t>
  </si>
  <si>
    <t>HeroFactionRecommend_2001_des_CN_Main</t>
  </si>
  <si>
    <t>侵蚀之焰即时伤害一般，稳定的燃烧状态可以让诸葛亮的伤害大大提升。状态弓的沉默效果克制了主动技能队伍，并且和诸葛亮的固有技能相互配合，还可以清除目标的增益状态。</t>
  </si>
  <si>
    <t>HeroFactionRecommend_2002_name_CN_Main</t>
  </si>
  <si>
    <t>异常弓</t>
  </si>
  <si>
    <t>HeroFactionRecommend_2002_des_CN_Main</t>
  </si>
  <si>
    <t>燃烧状态可以大幅提升诸葛亮固有技能造成的伤害，在没有侵蚀之焰的情况，通过火球+燎天的组合可以保证一定的燃烧状态覆盖率。</t>
  </si>
  <si>
    <t>HeroFactionRecommend_2003_name_CN_Main</t>
  </si>
  <si>
    <t>李舜臣智谋弓</t>
  </si>
  <si>
    <t>HeroFactionRecommend_2003_des_CN_Main</t>
  </si>
  <si>
    <t>阵容标签不全，可用但是优先级不高。因为艳后的减防效果，可以带一些续航技能。</t>
  </si>
  <si>
    <t>HeroFactionRecommend_3001_name_CN_Main</t>
  </si>
  <si>
    <t>大帝指挥枪</t>
  </si>
  <si>
    <t>HeroFactionRecommend_3001_tags_CN_Main</t>
  </si>
  <si>
    <t>大神</t>
  </si>
  <si>
    <t>HeroFactionRecommend_3001_des_CN_Main</t>
  </si>
  <si>
    <t>指挥枪的经典状态。列奥尼达本身具有不弱的输出能力，同时还兼具续航能力。亚历山大作为指挥枪最强的辅助，能大幅提升队伍的生存能力，其固有技能和恩泽庇护为队伍提供了稳定的续航。屋大维的沉默誓言大幅度强化了阵容的输出能力。</t>
  </si>
  <si>
    <t>HeroFactionRecommend_3002_name_CN_Main</t>
  </si>
  <si>
    <t>大帝指挥剑</t>
  </si>
  <si>
    <t>HeroFactionRecommend_3002_des_CN_Main</t>
  </si>
  <si>
    <t>相比琼恩，亚历山大的生存能力更强，使指挥剑在野战上也可以做到持久输出。</t>
  </si>
  <si>
    <t>HeroFactionRecommend_3003_name_CN_Main</t>
  </si>
  <si>
    <t>进阶指挥枪</t>
  </si>
  <si>
    <t>HeroFactionRecommend_3003_des_CN_Main</t>
  </si>
  <si>
    <t>缺少亚历山大的指挥枪阵容。列奥尼达的固有技能十分灵活，玩家可以针对面对敌人的数量，通过选择目标来主动选择提升输出还是续航。大流士和恩泽庇护提供了阵容一定的续航。列奥尼达和屋大维提供了双核输出，同时沉默誓言大幅度加强了输出量。建议获得亚历山大后，使用亚历山大替换大流士，进一步提升阵容的续航能力。</t>
  </si>
  <si>
    <t>HeroFactionRecommend_3004_name_CN_Main</t>
  </si>
  <si>
    <t>指挥枪</t>
  </si>
  <si>
    <t>HeroFactionRecommend_3004_des_CN_Main</t>
  </si>
  <si>
    <t>指挥枪的持续稳定输出相比于反击枪更适合用于集结作战，可以有效打击敌人的骑兵力量。怒火猛攻更适合列奥尼达；同时同养成度情况下，列奥尼达的武力更高，适合携带怒火+蛮勇的技能组合。尤里乌斯则能在野战环境下大幅度提升阵容输出。</t>
  </si>
  <si>
    <t>HeroFactionRecommend_3005_name_CN_Main</t>
  </si>
  <si>
    <t>指挥剑</t>
  </si>
  <si>
    <t>HeroFactionRecommend_3005_des_CN_Main</t>
  </si>
  <si>
    <t>多支剑士部队集结的环境下可以进行持久稳定的输出，野战可能会因为爆发不足被敌军多打一压制。</t>
  </si>
  <si>
    <t>HeroFactionRecommend_3006_name_CN_Main</t>
  </si>
  <si>
    <t>影武者新手剑</t>
  </si>
  <si>
    <t>HeroFactionRecommend_3006_des_CN_Main</t>
  </si>
  <si>
    <t>开荒可用的临时阵容，可以最大化兵种特性的加成。建议获得尤里乌斯后替换紫将。</t>
  </si>
  <si>
    <t>HeroFactionRecommend_4001_name_CN_Main</t>
  </si>
  <si>
    <t>进阶反击枪</t>
  </si>
  <si>
    <t>HeroFactionRecommend_4001_des_CN_Main</t>
  </si>
  <si>
    <t>最经典的反击枪阵容，S1开荒最强阵容。穆英的固有技能“神木镇国”能够享受到项楚和弗德里希固有技能带来的属性提升，相性极佳。因为项楚和穆桂英天赋都对被动技能有加成，所以适合选取被动技能作为输出技能。弗德里希佩戴的“敏锐洞察”能极大的强化反击枪本身较为薄弱的输出端，使阵容强度大幅度提升。</t>
  </si>
  <si>
    <t>HeroFactionRecommend_4002_name_CN_Main</t>
  </si>
  <si>
    <t>HeroFactionRecommend_4002_des_CN_Main</t>
  </si>
  <si>
    <t>标准的反击枪阵容。布狄卡携带王者之剑，提供项楚输出辅助，弗德里希携带恩泽百战，强化阵容的续航，使得这套阵容在一对多的战斗中兼具伤害和续航，同时也是最适合用于开荒的阵容。</t>
  </si>
  <si>
    <t>HeroFactionRecommend_4003_name_CN_Main</t>
  </si>
  <si>
    <t>赵云勇武枪</t>
  </si>
  <si>
    <t>HeroFactionRecommend_4003_des_CN_Main</t>
  </si>
  <si>
    <t>本队可以作为没有项羽又需要一支枪兵队伍时的应急阵容。赵云的固有技和主将技间能形成良好的联动，适合作为主将。高红赵云的综合实力不弱于项楚，将赵云替换为项楚，能小幅强化该阵容，使其在野战战斗中适应性更好。</t>
  </si>
  <si>
    <t>HeroFactionRecommend_4004_name_CN_Main</t>
  </si>
  <si>
    <t>布狄卡反击枪</t>
  </si>
  <si>
    <t>HeroFactionRecommend_4004_des_CN_Main</t>
  </si>
  <si>
    <t>开荒可用的阵容，反击类技能在一对多时收益最大，适于用来作为开田时扛伤害的阵容。但由于布狄卡和武威的输出能力偏弱，建议获得赵云、穆桂英、项楚等后替换武威（并作为主将）补强阵容。</t>
  </si>
  <si>
    <t>HeroFactionRecommend_5001_name_CN_Main</t>
  </si>
  <si>
    <t>虞姬亚瑟骑</t>
  </si>
  <si>
    <t>HeroFactionRecommend_5001_des_CN_Main</t>
  </si>
  <si>
    <t>亚瑟在光辉祝福状态下能无视70%防御，虞夫人放3号位给亚瑟提供连击状态，辅助亚瑟在光辉祝福期间造成更强的爆发输出。赵云装备避芒击惰在提供生存能力的同时进一步提高亚瑟的爆发输出能力。</t>
  </si>
  <si>
    <t>HeroFactionRecommend_5002_name_CN_Main</t>
  </si>
  <si>
    <t>兰陵王连击骑</t>
  </si>
  <si>
    <t>HeroFactionRecommend_5002_des_CN_Main</t>
  </si>
  <si>
    <t>以普攻和追击技能为核心进行输出，兰陵王的战意涌动能让多名英雄进入连击状态，大幅提升追击技能的触发频率，配合关羽的暴击效果打出高额伤害。</t>
  </si>
  <si>
    <t>HeroFactionRecommend_5003_name_CN_Main</t>
  </si>
  <si>
    <t>虞姬连击骑</t>
  </si>
  <si>
    <t>HeroFactionRecommend_5003_des_CN_Main</t>
  </si>
  <si>
    <t>缺少兰陵王时用虞姬进行替代，虞姬能给主将提供连击和武力提高，所以将强力的追击技能给主将装配。</t>
  </si>
  <si>
    <t>HeroFactionRecommend_5004_name_CN_Main</t>
  </si>
  <si>
    <t>红颜弓</t>
  </si>
  <si>
    <t>HeroFactionRecommend_5004_des_CN_Main</t>
  </si>
  <si>
    <t>通过虞姬给魏兰提供连击效果，提升队伍的输出能力，输出技能在这个阵容中比例极高，提升了阵容的输出能力，
但是在坦度方面表现较差。</t>
  </si>
  <si>
    <t>HeroFactionRecommend_5005_name_CN_Main</t>
  </si>
  <si>
    <t>新手红颜弓</t>
  </si>
  <si>
    <t>HeroFactionRecommend_5005_des_CN_Main</t>
  </si>
  <si>
    <t>开荒阶段可用的阵容，新手阶段即可获得的两个橙将，纳尔西斯的辅助效果在紫将中名列前茅,魏兰有优秀的输出能力，安德莉娅佩戴持久战和恩泽庇护，保证了队伍坦度。</t>
  </si>
  <si>
    <t>HeroFactionRecommend_5006_name_CN_Main</t>
  </si>
  <si>
    <t>新手连击骑</t>
  </si>
  <si>
    <t>HeroFactionRecommend_5006_des_CN_Main</t>
  </si>
  <si>
    <t>开荒阶段可用的阵容，可以最大化兵种特性加成，连击搭配持久战能提供续航。建议在获得赵云、兰陵王后可以替换紫将。</t>
  </si>
  <si>
    <t>HeroFactionRecommend_6001_name_CN_Main</t>
  </si>
  <si>
    <t>进阶混伤骑</t>
  </si>
  <si>
    <t>HeroFactionRecommend_6001_des_CN_Main</t>
  </si>
  <si>
    <t>汉尼拔通过追击和混合伤害造成大量输出，韩信的国士无双能额外提高主将固有技能的发动概率，提升汉尼拔固有技能减属性的覆盖率，与主将技形成更稳定的连携。查士丁尼在追击体系下，能大幅提高我军生存能力。</t>
  </si>
  <si>
    <t>HeroFactionRecommend_6002_name_CN_Main</t>
  </si>
  <si>
    <t>混伤骑</t>
  </si>
  <si>
    <t>HeroFactionRecommend_6002_des_CN_Main</t>
  </si>
  <si>
    <t>汉尼拔的固有技能搭配压迫之袭可以大幅削弱敌军主将的能力，对阵单核阵容有很强的压制力。艳后的固有追击技能可以与查士丁尼配合提高我军生存能力。</t>
  </si>
  <si>
    <t>HeroFactionRecommend_6003_name_CN_Main</t>
  </si>
  <si>
    <t>韩信混伤骑</t>
  </si>
  <si>
    <t>HeroFactionRecommend_6003_des_CN_Main</t>
  </si>
  <si>
    <t>韩信可以提升全队的追击触发率，技能选择上尽可能多用追击技能。查士丁尼在追击体系下，能大幅提高我军生存能力。</t>
  </si>
  <si>
    <t>HeroFactionRecommend_7001_name_CN_Main</t>
  </si>
  <si>
    <t>武则天主将弓</t>
  </si>
  <si>
    <t>HeroFactionRecommend_7001_des_CN_Main</t>
  </si>
  <si>
    <t>武则天拥有最高的主将技伤害倍率，萨拉丁和亨利这对回怒搭档是武则天最好的队友。技能突出回怒和主将伤害提升，最大化主将技伤害。</t>
  </si>
  <si>
    <t>HeroFactionRecommend_7002_name_CN_Main</t>
  </si>
  <si>
    <t>新手亨利弓</t>
  </si>
  <si>
    <t>HeroFactionRecommend_7002_des_CN_Main</t>
  </si>
  <si>
    <t>开荒可用的临时阵容。康斯坦丁的谋略较低，使用文武双全补全整队的谋略伤害。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</si>
</sst>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sz val="11"/>
      <color theme="1"/>
      <name val="微软雅黑"/>
      <family val="2"/>
      <charset val="134"/>
    </font>
    <font>
      <b/>
      <sz val="11"/>
      <color theme="0"/>
      <name val="等线"/>
      <family val="3"/>
      <charset val="134"/>
      <scheme val="minor"/>
    </font>
    <font>
      <sz val="11"/>
      <name val="微软雅黑"/>
      <family val="2"/>
      <charset val="134"/>
    </font>
    <font>
      <b/>
      <sz val="11"/>
      <name val="等线"/>
      <family val="3"/>
      <charset val="134"/>
      <scheme val="minor"/>
    </font>
    <font>
      <b/>
      <sz val="11"/>
      <color theme="1"/>
      <name val="等线"/>
      <family val="3"/>
      <charset val="134"/>
      <scheme val="minor"/>
    </font>
    <font>
      <sz val="10"/>
      <color theme="1"/>
      <name val="微软雅黑"/>
      <family val="2"/>
      <charset val="134"/>
    </font>
    <font>
      <sz val="10"/>
      <color rgb="FF000000"/>
      <name val="微软雅黑"/>
      <family val="2"/>
      <charset val="134"/>
    </font>
    <font>
      <b/>
      <sz val="10"/>
      <color theme="1"/>
      <name val="微软雅黑"/>
      <family val="2"/>
      <charset val="134"/>
    </font>
    <font>
      <sz val="11"/>
      <color theme="1"/>
      <name val="等线"/>
      <family val="3"/>
      <charset val="134"/>
      <scheme val="minor"/>
    </font>
    <font>
      <sz val="11"/>
      <color theme="0"/>
      <name val="等线"/>
      <family val="3"/>
      <charset val="134"/>
      <scheme val="minor"/>
    </font>
  </fonts>
  <fills count="17">
    <fill>
      <patternFill patternType="none"/>
    </fill>
    <fill>
      <patternFill patternType="gray125"/>
    </fill>
    <fill>
      <patternFill patternType="solid">
        <fgColor theme="4"/>
        <bgColor indexed="64"/>
      </patternFill>
    </fill>
    <fill>
      <patternFill patternType="solid">
        <fgColor theme="9" tint="-0.49998474074526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9966FF"/>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C000"/>
        <bgColor rgb="FF000000"/>
      </patternFill>
    </fill>
    <fill>
      <patternFill patternType="solid">
        <fgColor rgb="FFFF0000"/>
        <bgColor indexed="64"/>
      </patternFill>
    </fill>
    <fill>
      <patternFill patternType="solid">
        <fgColor theme="9"/>
        <bgColor indexed="64"/>
      </patternFill>
    </fill>
    <fill>
      <patternFill patternType="solid">
        <fgColor theme="1"/>
        <bgColor indexed="64"/>
      </patternFill>
    </fill>
    <fill>
      <patternFill patternType="solid">
        <fgColor theme="2" tint="-9.9978637043366805E-2"/>
        <bgColor indexed="64"/>
      </patternFill>
    </fill>
  </fills>
  <borders count="10">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10" fillId="0" borderId="0"/>
    <xf numFmtId="0" fontId="10" fillId="0" borderId="0">
      <alignment vertical="center"/>
    </xf>
  </cellStyleXfs>
  <cellXfs count="75">
    <xf numFmtId="0" fontId="0" fillId="0" borderId="0" xfId="0"/>
    <xf numFmtId="0" fontId="0" fillId="0" borderId="1" xfId="0" applyBorder="1" applyAlignment="1">
      <alignment horizontal="left" vertical="center"/>
    </xf>
    <xf numFmtId="0" fontId="4" fillId="4" borderId="2" xfId="0" applyFont="1" applyFill="1" applyBorder="1" applyAlignment="1">
      <alignment horizontal="center" vertical="center"/>
    </xf>
    <xf numFmtId="0" fontId="0" fillId="5" borderId="1" xfId="0" applyFill="1" applyBorder="1" applyAlignment="1">
      <alignment horizontal="center" vertical="center"/>
    </xf>
    <xf numFmtId="0" fontId="0" fillId="5" borderId="0" xfId="0" applyFill="1"/>
    <xf numFmtId="0" fontId="4" fillId="6" borderId="2" xfId="0" applyFont="1" applyFill="1" applyBorder="1" applyAlignment="1">
      <alignment horizontal="center" vertical="center"/>
    </xf>
    <xf numFmtId="0" fontId="4" fillId="7" borderId="2" xfId="0" applyFont="1" applyFill="1" applyBorder="1" applyAlignment="1">
      <alignment horizontal="center" vertical="center"/>
    </xf>
    <xf numFmtId="0" fontId="3" fillId="0" borderId="0" xfId="0" applyFont="1" applyAlignment="1">
      <alignment horizontal="center" vertical="center"/>
    </xf>
    <xf numFmtId="0" fontId="0" fillId="8" borderId="1" xfId="0" applyFill="1" applyBorder="1" applyAlignment="1">
      <alignment horizontal="center" vertical="center"/>
    </xf>
    <xf numFmtId="0" fontId="0" fillId="0" borderId="0" xfId="0" applyAlignment="1">
      <alignment horizontal="center" vertical="center"/>
    </xf>
    <xf numFmtId="0" fontId="3" fillId="3" borderId="0" xfId="0" applyFont="1" applyFill="1" applyAlignment="1">
      <alignment horizontal="center" vertical="center"/>
    </xf>
    <xf numFmtId="0" fontId="0" fillId="0" borderId="2" xfId="0" applyBorder="1" applyAlignment="1">
      <alignment horizontal="center"/>
    </xf>
    <xf numFmtId="0" fontId="0" fillId="2" borderId="2" xfId="0" applyFill="1" applyBorder="1" applyAlignment="1">
      <alignment horizontal="center"/>
    </xf>
    <xf numFmtId="0" fontId="0" fillId="0" borderId="0" xfId="0" applyAlignment="1">
      <alignment horizontal="center"/>
    </xf>
    <xf numFmtId="0" fontId="0" fillId="0" borderId="0" xfId="0" applyAlignment="1">
      <alignment horizontal="left"/>
    </xf>
    <xf numFmtId="0" fontId="0" fillId="9" borderId="2" xfId="0" applyFill="1" applyBorder="1" applyAlignment="1">
      <alignment horizontal="center"/>
    </xf>
    <xf numFmtId="0" fontId="5" fillId="10" borderId="0" xfId="0" applyFont="1" applyFill="1" applyAlignment="1">
      <alignment horizontal="center" vertical="center"/>
    </xf>
    <xf numFmtId="0" fontId="0" fillId="11" borderId="0" xfId="0" applyFill="1" applyAlignment="1">
      <alignment horizontal="center" vertical="center"/>
    </xf>
    <xf numFmtId="0" fontId="2" fillId="8" borderId="2" xfId="0" applyFont="1" applyFill="1" applyBorder="1" applyAlignment="1">
      <alignment horizontal="left"/>
    </xf>
    <xf numFmtId="0" fontId="2" fillId="0" borderId="2" xfId="0" applyFont="1" applyBorder="1" applyAlignment="1">
      <alignment horizontal="left"/>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6" fillId="9" borderId="1" xfId="0" applyFont="1" applyFill="1" applyBorder="1" applyAlignment="1">
      <alignment horizontal="center" vertical="center"/>
    </xf>
    <xf numFmtId="0" fontId="6" fillId="9" borderId="1" xfId="0" applyFont="1" applyFill="1" applyBorder="1" applyAlignment="1">
      <alignment horizontal="left" vertical="center"/>
    </xf>
    <xf numFmtId="0" fontId="2" fillId="2" borderId="2" xfId="0" applyFont="1" applyFill="1" applyBorder="1" applyAlignment="1">
      <alignment horizontal="center"/>
    </xf>
    <xf numFmtId="0" fontId="2" fillId="0" borderId="0" xfId="0" applyFont="1" applyAlignment="1">
      <alignment horizontal="center"/>
    </xf>
    <xf numFmtId="0" fontId="2" fillId="0" borderId="2" xfId="0" applyFont="1" applyBorder="1" applyAlignment="1">
      <alignment horizontal="center"/>
    </xf>
    <xf numFmtId="0" fontId="0" fillId="8" borderId="0" xfId="0" applyFill="1" applyAlignment="1">
      <alignment horizontal="center" vertical="center"/>
    </xf>
    <xf numFmtId="0" fontId="7" fillId="0" borderId="2" xfId="0" applyFont="1" applyBorder="1"/>
    <xf numFmtId="0" fontId="7" fillId="0" borderId="0" xfId="0" applyFont="1"/>
    <xf numFmtId="0" fontId="7" fillId="0" borderId="0" xfId="0" applyFont="1" applyAlignment="1">
      <alignment horizontal="left"/>
    </xf>
    <xf numFmtId="0" fontId="8" fillId="12" borderId="2" xfId="0" applyFont="1" applyFill="1" applyBorder="1"/>
    <xf numFmtId="0" fontId="8" fillId="12" borderId="6" xfId="0" applyFont="1" applyFill="1" applyBorder="1"/>
    <xf numFmtId="0" fontId="8" fillId="0" borderId="0" xfId="0" applyFont="1"/>
    <xf numFmtId="0" fontId="7" fillId="0" borderId="2" xfId="0" applyFont="1" applyBorder="1" applyAlignment="1">
      <alignment horizontal="left"/>
    </xf>
    <xf numFmtId="0" fontId="7" fillId="13" borderId="0" xfId="0" applyFont="1" applyFill="1"/>
    <xf numFmtId="0" fontId="8" fillId="12" borderId="5" xfId="0" applyFont="1" applyFill="1" applyBorder="1"/>
    <xf numFmtId="0" fontId="8" fillId="12" borderId="7" xfId="0" applyFont="1" applyFill="1" applyBorder="1"/>
    <xf numFmtId="0" fontId="8" fillId="0" borderId="5" xfId="0" applyFont="1" applyBorder="1"/>
    <xf numFmtId="0" fontId="8" fillId="0" borderId="7" xfId="0" applyFont="1" applyBorder="1"/>
    <xf numFmtId="0" fontId="7" fillId="8" borderId="0" xfId="0" applyFont="1" applyFill="1"/>
    <xf numFmtId="0" fontId="9" fillId="0" borderId="2" xfId="0" applyFont="1" applyBorder="1" applyAlignment="1">
      <alignment horizontal="left"/>
    </xf>
    <xf numFmtId="9" fontId="7" fillId="0" borderId="0" xfId="0" applyNumberFormat="1" applyFont="1"/>
    <xf numFmtId="49" fontId="0" fillId="5" borderId="1" xfId="0" applyNumberFormat="1" applyFill="1" applyBorder="1" applyAlignment="1">
      <alignment horizontal="center" vertical="center"/>
    </xf>
    <xf numFmtId="49" fontId="6" fillId="2" borderId="1" xfId="0" applyNumberFormat="1" applyFont="1" applyFill="1" applyBorder="1" applyAlignment="1">
      <alignment horizontal="center" vertical="center"/>
    </xf>
    <xf numFmtId="49" fontId="6" fillId="9" borderId="1" xfId="0" applyNumberFormat="1" applyFont="1" applyFill="1" applyBorder="1" applyAlignment="1">
      <alignment horizontal="center" vertical="center"/>
    </xf>
    <xf numFmtId="0" fontId="0" fillId="14" borderId="2" xfId="0" applyFill="1" applyBorder="1"/>
    <xf numFmtId="0" fontId="0" fillId="0" borderId="2" xfId="0" applyBorder="1"/>
    <xf numFmtId="0" fontId="7" fillId="0" borderId="2" xfId="1" applyFont="1" applyBorder="1" applyAlignment="1">
      <alignment horizontal="left" vertical="center"/>
    </xf>
    <xf numFmtId="0" fontId="10" fillId="0" borderId="0" xfId="1" applyAlignment="1">
      <alignment horizontal="center" vertical="center"/>
    </xf>
    <xf numFmtId="0" fontId="10" fillId="0" borderId="0" xfId="1" applyAlignment="1">
      <alignment horizontal="left"/>
    </xf>
    <xf numFmtId="0" fontId="10" fillId="0" borderId="0" xfId="1"/>
    <xf numFmtId="0" fontId="11" fillId="15" borderId="0" xfId="1" applyFont="1" applyFill="1" applyAlignment="1">
      <alignment horizontal="center"/>
    </xf>
    <xf numFmtId="0" fontId="11" fillId="15" borderId="0" xfId="1" applyFont="1" applyFill="1" applyAlignment="1">
      <alignment horizontal="center" vertical="center"/>
    </xf>
    <xf numFmtId="0" fontId="11" fillId="15" borderId="0" xfId="1" applyFont="1" applyFill="1" applyAlignment="1">
      <alignment horizontal="left"/>
    </xf>
    <xf numFmtId="0" fontId="10" fillId="0" borderId="0" xfId="1" applyAlignment="1">
      <alignment horizont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16" borderId="2" xfId="0" applyFont="1" applyFill="1" applyBorder="1" applyAlignment="1">
      <alignment horizontal="center"/>
    </xf>
    <xf numFmtId="0" fontId="2" fillId="16" borderId="4" xfId="0" applyFont="1" applyFill="1" applyBorder="1" applyAlignment="1">
      <alignment vertical="center"/>
    </xf>
    <xf numFmtId="0" fontId="4" fillId="16" borderId="2" xfId="0" applyFont="1" applyFill="1" applyBorder="1" applyAlignment="1">
      <alignment horizontal="center" vertical="center"/>
    </xf>
    <xf numFmtId="0" fontId="2" fillId="16" borderId="2" xfId="0" applyFont="1" applyFill="1" applyBorder="1" applyAlignment="1">
      <alignment horizontal="left"/>
    </xf>
    <xf numFmtId="0" fontId="2" fillId="16" borderId="0" xfId="0" applyFont="1" applyFill="1" applyAlignment="1">
      <alignment horizontal="center"/>
    </xf>
    <xf numFmtId="0" fontId="0" fillId="0" borderId="1" xfId="0" applyBorder="1" applyAlignment="1">
      <alignment horizontal="center" vertical="center"/>
    </xf>
    <xf numFmtId="0" fontId="0" fillId="0" borderId="0" xfId="0"/>
    <xf numFmtId="49" fontId="0" fillId="0" borderId="1" xfId="0" applyNumberFormat="1" applyBorder="1" applyAlignment="1">
      <alignment horizontal="center" vertical="center"/>
    </xf>
    <xf numFmtId="0" fontId="0" fillId="5" borderId="1" xfId="0" applyFill="1" applyBorder="1" applyAlignment="1">
      <alignment horizontal="center" vertical="center" wrapText="1"/>
    </xf>
    <xf numFmtId="0" fontId="6" fillId="2"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0" borderId="0" xfId="0" applyAlignment="1">
      <alignment wrapText="1"/>
    </xf>
    <xf numFmtId="0" fontId="0" fillId="10" borderId="1" xfId="0" applyFill="1" applyBorder="1" applyAlignment="1">
      <alignment horizontal="center" vertical="center" wrapText="1"/>
    </xf>
    <xf numFmtId="0" fontId="9" fillId="0" borderId="9" xfId="0" applyFont="1" applyBorder="1" applyAlignment="1">
      <alignment horizontal="left"/>
    </xf>
    <xf numFmtId="0" fontId="0" fillId="0" borderId="8" xfId="0" applyBorder="1"/>
    <xf numFmtId="0" fontId="0" fillId="0" borderId="6" xfId="0" applyBorder="1"/>
  </cellXfs>
  <cellStyles count="3">
    <cellStyle name="常规" xfId="0" builtinId="0"/>
    <cellStyle name="常规 2" xfId="2" xr:uid="{00000000-0005-0000-0000-000002000000}"/>
    <cellStyle name="常规 3" xfId="1" xr:uid="{00000000-0005-0000-0000-000001000000}"/>
  </cellStyles>
  <dxfs count="7">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247650</xdr:colOff>
      <xdr:row>23</xdr:row>
      <xdr:rowOff>57150</xdr:rowOff>
    </xdr:from>
    <xdr:to>
      <xdr:col>26</xdr:col>
      <xdr:colOff>360015</xdr:colOff>
      <xdr:row>38</xdr:row>
      <xdr:rowOff>113900</xdr:rowOff>
    </xdr:to>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5779750" y="4292600"/>
          <a:ext cx="2777777" cy="2819000"/>
        </a:xfrm>
        <a:prstGeom prst="rect">
          <a:avLst/>
        </a:prstGeom>
        <a:ln>
          <a:prstDash val="solid"/>
        </a:ln>
      </xdr:spPr>
    </xdr:pic>
    <xdr:clientData/>
  </xdr:twoCellAnchor>
  <xdr:twoCellAnchor editAs="oneCell">
    <xdr:from>
      <xdr:col>22</xdr:col>
      <xdr:colOff>247650</xdr:colOff>
      <xdr:row>23</xdr:row>
      <xdr:rowOff>57150</xdr:rowOff>
    </xdr:from>
    <xdr:to>
      <xdr:col>26</xdr:col>
      <xdr:colOff>360015</xdr:colOff>
      <xdr:row>38</xdr:row>
      <xdr:rowOff>113900</xdr:rowOff>
    </xdr:to>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15779750" y="4292600"/>
          <a:ext cx="2879377" cy="281900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1"/>
  <sheetViews>
    <sheetView workbookViewId="0">
      <selection activeCell="H33" sqref="H33:H36"/>
    </sheetView>
  </sheetViews>
  <sheetFormatPr defaultColWidth="9" defaultRowHeight="14" x14ac:dyDescent="0.3"/>
  <cols>
    <col min="1" max="2" width="10.33203125" style="9" customWidth="1"/>
    <col min="3" max="3" width="19.58203125" style="9" bestFit="1" customWidth="1"/>
    <col min="4" max="5" width="18.75" style="9" customWidth="1"/>
    <col min="6" max="7" width="20.83203125" style="9" bestFit="1" customWidth="1"/>
    <col min="8" max="9" width="54" style="9" customWidth="1"/>
    <col min="10" max="20" width="11.08203125" style="9" customWidth="1"/>
    <col min="21" max="22" width="9" style="9" customWidth="1"/>
    <col min="23" max="16384" width="9" style="9"/>
  </cols>
  <sheetData>
    <row r="1" spans="1:30" x14ac:dyDescent="0.3">
      <c r="A1" s="9" t="s">
        <v>0</v>
      </c>
    </row>
    <row r="2" spans="1:30" x14ac:dyDescent="0.3">
      <c r="A2" s="10" t="s">
        <v>1</v>
      </c>
      <c r="B2" s="10" t="s">
        <v>2</v>
      </c>
      <c r="C2" s="10" t="s">
        <v>3</v>
      </c>
      <c r="D2" s="10" t="s">
        <v>4</v>
      </c>
      <c r="E2" s="10" t="s">
        <v>5</v>
      </c>
      <c r="F2" s="10" t="s">
        <v>6</v>
      </c>
      <c r="G2" s="10" t="s">
        <v>7</v>
      </c>
      <c r="H2" s="10" t="s">
        <v>8</v>
      </c>
      <c r="I2" s="10" t="s">
        <v>9</v>
      </c>
      <c r="J2" s="10" t="s">
        <v>10</v>
      </c>
      <c r="K2" s="10" t="s">
        <v>11</v>
      </c>
      <c r="L2" s="10" t="s">
        <v>12</v>
      </c>
      <c r="M2" s="10" t="s">
        <v>13</v>
      </c>
      <c r="N2" s="10" t="s">
        <v>14</v>
      </c>
      <c r="O2" s="10" t="s">
        <v>15</v>
      </c>
      <c r="P2" s="10" t="s">
        <v>16</v>
      </c>
      <c r="Q2" s="10" t="s">
        <v>17</v>
      </c>
      <c r="R2" s="10" t="s">
        <v>18</v>
      </c>
      <c r="S2" s="10" t="s">
        <v>19</v>
      </c>
      <c r="T2" s="7"/>
      <c r="V2" s="9">
        <v>1</v>
      </c>
      <c r="W2" s="9">
        <v>2</v>
      </c>
      <c r="X2" s="9">
        <v>3</v>
      </c>
      <c r="Y2" s="9">
        <v>11</v>
      </c>
      <c r="Z2" s="9">
        <v>12</v>
      </c>
      <c r="AA2" s="9">
        <v>13</v>
      </c>
      <c r="AB2" s="9">
        <v>21</v>
      </c>
      <c r="AC2" s="9">
        <v>22</v>
      </c>
      <c r="AD2" s="9">
        <v>23</v>
      </c>
    </row>
    <row r="3" spans="1:30" x14ac:dyDescent="0.3">
      <c r="A3" s="16" t="s">
        <v>20</v>
      </c>
      <c r="B3" s="16" t="s">
        <v>21</v>
      </c>
      <c r="C3" s="16"/>
      <c r="D3" s="16" t="s">
        <v>22</v>
      </c>
      <c r="E3" s="16" t="s">
        <v>23</v>
      </c>
      <c r="F3" s="16" t="s">
        <v>24</v>
      </c>
      <c r="G3" s="16" t="s">
        <v>25</v>
      </c>
      <c r="H3" s="16" t="s">
        <v>26</v>
      </c>
      <c r="I3" s="16" t="s">
        <v>27</v>
      </c>
      <c r="J3" s="16" t="s">
        <v>28</v>
      </c>
      <c r="K3" s="16" t="s">
        <v>29</v>
      </c>
      <c r="L3" s="16" t="s">
        <v>30</v>
      </c>
      <c r="M3" s="16" t="s">
        <v>31</v>
      </c>
      <c r="N3" s="16" t="s">
        <v>32</v>
      </c>
      <c r="O3" s="16" t="s">
        <v>33</v>
      </c>
      <c r="P3" s="16" t="s">
        <v>34</v>
      </c>
      <c r="Q3" s="16" t="s">
        <v>35</v>
      </c>
      <c r="R3" s="16" t="s">
        <v>36</v>
      </c>
      <c r="S3" s="16" t="s">
        <v>37</v>
      </c>
      <c r="T3" s="7"/>
    </row>
    <row r="4" spans="1:30" x14ac:dyDescent="0.3">
      <c r="A4" s="9">
        <v>1</v>
      </c>
      <c r="B4" s="9" t="b">
        <v>1</v>
      </c>
      <c r="C4" s="9" t="s">
        <v>38</v>
      </c>
      <c r="D4" s="9" t="s">
        <v>39</v>
      </c>
      <c r="E4" s="9" t="s">
        <v>40</v>
      </c>
      <c r="F4" s="9" t="s">
        <v>41</v>
      </c>
      <c r="G4" s="9" t="s">
        <v>42</v>
      </c>
      <c r="H4" s="9" t="str">
        <f t="shared" ref="H4:H10" si="0">V4&amp;";"&amp;W4&amp;";"&amp;X4&amp;";"&amp;Y4&amp;";"&amp;Z4&amp;";"&amp;AB4&amp;";"&amp;AC4</f>
        <v>1001;1002;1003;1011;1012;1021;1022</v>
      </c>
      <c r="I4" s="27" t="s">
        <v>43</v>
      </c>
      <c r="J4" s="9">
        <f t="shared" ref="J4:J11" si="1">$U4*1</f>
        <v>7</v>
      </c>
      <c r="K4" s="9">
        <v>1707501</v>
      </c>
      <c r="L4" s="9">
        <f t="shared" ref="L4:L11" si="2">$U4*2</f>
        <v>14</v>
      </c>
      <c r="M4" s="9">
        <v>1707502</v>
      </c>
      <c r="N4" s="9">
        <f t="shared" ref="N4:N11" si="3">$U4*3</f>
        <v>21</v>
      </c>
      <c r="O4" s="9">
        <v>1707503</v>
      </c>
      <c r="P4" s="9">
        <f t="shared" ref="P4:P11" si="4">$U4*4</f>
        <v>28</v>
      </c>
      <c r="Q4" s="9">
        <v>1707504</v>
      </c>
      <c r="R4" s="9">
        <f t="shared" ref="R4:R11" si="5">$U4*5</f>
        <v>35</v>
      </c>
      <c r="S4" s="9">
        <v>1707505</v>
      </c>
      <c r="U4" s="9">
        <v>7</v>
      </c>
      <c r="V4" s="9">
        <f t="shared" ref="V4:AD11" si="6">$A4*1000+V$2</f>
        <v>1001</v>
      </c>
      <c r="W4" s="9">
        <f t="shared" si="6"/>
        <v>1002</v>
      </c>
      <c r="X4" s="9">
        <f t="shared" si="6"/>
        <v>1003</v>
      </c>
      <c r="Y4" s="9">
        <f t="shared" si="6"/>
        <v>1011</v>
      </c>
      <c r="Z4" s="9">
        <f t="shared" si="6"/>
        <v>1012</v>
      </c>
      <c r="AA4" s="9">
        <f t="shared" si="6"/>
        <v>1013</v>
      </c>
      <c r="AB4" s="9">
        <f t="shared" si="6"/>
        <v>1021</v>
      </c>
      <c r="AC4" s="9">
        <f t="shared" si="6"/>
        <v>1022</v>
      </c>
      <c r="AD4" s="9">
        <f t="shared" si="6"/>
        <v>1023</v>
      </c>
    </row>
    <row r="5" spans="1:30" x14ac:dyDescent="0.3">
      <c r="A5" s="9">
        <v>2</v>
      </c>
      <c r="B5" s="9" t="b">
        <v>1</v>
      </c>
      <c r="C5" s="9" t="s">
        <v>44</v>
      </c>
      <c r="D5" s="9" t="s">
        <v>45</v>
      </c>
      <c r="E5" s="9" t="s">
        <v>46</v>
      </c>
      <c r="F5" s="9" t="s">
        <v>41</v>
      </c>
      <c r="G5" s="9" t="s">
        <v>47</v>
      </c>
      <c r="H5" s="9" t="str">
        <f t="shared" si="0"/>
        <v>2001;2002;2003;2011;2012;2021;2022</v>
      </c>
      <c r="I5" s="27" t="s">
        <v>48</v>
      </c>
      <c r="J5" s="9">
        <f t="shared" si="1"/>
        <v>7</v>
      </c>
      <c r="K5" s="9">
        <v>1707501</v>
      </c>
      <c r="L5" s="9">
        <f t="shared" si="2"/>
        <v>14</v>
      </c>
      <c r="M5" s="9">
        <v>1707502</v>
      </c>
      <c r="N5" s="9">
        <f t="shared" si="3"/>
        <v>21</v>
      </c>
      <c r="O5" s="9">
        <v>1707503</v>
      </c>
      <c r="P5" s="9">
        <f t="shared" si="4"/>
        <v>28</v>
      </c>
      <c r="Q5" s="9">
        <v>1707504</v>
      </c>
      <c r="R5" s="9">
        <f t="shared" si="5"/>
        <v>35</v>
      </c>
      <c r="S5" s="9">
        <v>1707505</v>
      </c>
      <c r="U5" s="9">
        <v>7</v>
      </c>
      <c r="V5" s="9">
        <f t="shared" si="6"/>
        <v>2001</v>
      </c>
      <c r="W5" s="9">
        <f t="shared" si="6"/>
        <v>2002</v>
      </c>
      <c r="X5" s="9">
        <f t="shared" si="6"/>
        <v>2003</v>
      </c>
      <c r="Y5" s="9">
        <f t="shared" si="6"/>
        <v>2011</v>
      </c>
      <c r="Z5" s="9">
        <f t="shared" si="6"/>
        <v>2012</v>
      </c>
      <c r="AA5" s="9">
        <f t="shared" si="6"/>
        <v>2013</v>
      </c>
      <c r="AB5" s="9">
        <f t="shared" si="6"/>
        <v>2021</v>
      </c>
      <c r="AC5" s="9">
        <f t="shared" si="6"/>
        <v>2022</v>
      </c>
      <c r="AD5" s="9">
        <f t="shared" si="6"/>
        <v>2023</v>
      </c>
    </row>
    <row r="6" spans="1:30" x14ac:dyDescent="0.3">
      <c r="A6" s="9">
        <v>3</v>
      </c>
      <c r="B6" s="9" t="b">
        <v>1</v>
      </c>
      <c r="C6" s="9" t="s">
        <v>49</v>
      </c>
      <c r="D6" s="9" t="s">
        <v>50</v>
      </c>
      <c r="E6" s="9" t="s">
        <v>51</v>
      </c>
      <c r="F6" s="9" t="s">
        <v>41</v>
      </c>
      <c r="G6" s="9" t="s">
        <v>52</v>
      </c>
      <c r="H6" s="9" t="str">
        <f t="shared" si="0"/>
        <v>3001;3002;3003;3011;3012;3021;3022</v>
      </c>
      <c r="I6" s="27" t="s">
        <v>53</v>
      </c>
      <c r="J6" s="9">
        <f t="shared" si="1"/>
        <v>7</v>
      </c>
      <c r="K6" s="9">
        <v>1707501</v>
      </c>
      <c r="L6" s="9">
        <f t="shared" si="2"/>
        <v>14</v>
      </c>
      <c r="M6" s="9">
        <v>1707502</v>
      </c>
      <c r="N6" s="9">
        <f t="shared" si="3"/>
        <v>21</v>
      </c>
      <c r="O6" s="9">
        <v>1707503</v>
      </c>
      <c r="P6" s="9">
        <f t="shared" si="4"/>
        <v>28</v>
      </c>
      <c r="Q6" s="9">
        <v>1707504</v>
      </c>
      <c r="R6" s="9">
        <f t="shared" si="5"/>
        <v>35</v>
      </c>
      <c r="S6" s="9">
        <v>1707505</v>
      </c>
      <c r="U6" s="9">
        <v>7</v>
      </c>
      <c r="V6" s="9">
        <f t="shared" si="6"/>
        <v>3001</v>
      </c>
      <c r="W6" s="9">
        <f t="shared" si="6"/>
        <v>3002</v>
      </c>
      <c r="X6" s="9">
        <f t="shared" si="6"/>
        <v>3003</v>
      </c>
      <c r="Y6" s="9">
        <f t="shared" si="6"/>
        <v>3011</v>
      </c>
      <c r="Z6" s="9">
        <f t="shared" si="6"/>
        <v>3012</v>
      </c>
      <c r="AA6" s="9">
        <f t="shared" si="6"/>
        <v>3013</v>
      </c>
      <c r="AB6" s="9">
        <f t="shared" si="6"/>
        <v>3021</v>
      </c>
      <c r="AC6" s="9">
        <f t="shared" si="6"/>
        <v>3022</v>
      </c>
      <c r="AD6" s="9">
        <f t="shared" si="6"/>
        <v>3023</v>
      </c>
    </row>
    <row r="7" spans="1:30" x14ac:dyDescent="0.3">
      <c r="A7" s="9">
        <v>4</v>
      </c>
      <c r="B7" s="9" t="b">
        <v>1</v>
      </c>
      <c r="C7" s="9" t="s">
        <v>54</v>
      </c>
      <c r="D7" s="9" t="s">
        <v>55</v>
      </c>
      <c r="E7" s="9" t="s">
        <v>56</v>
      </c>
      <c r="F7" s="9" t="s">
        <v>41</v>
      </c>
      <c r="G7" s="9" t="s">
        <v>57</v>
      </c>
      <c r="H7" s="9" t="str">
        <f t="shared" si="0"/>
        <v>4001;4002;4003;4011;4012;4021;4022</v>
      </c>
      <c r="I7" s="27" t="s">
        <v>58</v>
      </c>
      <c r="J7" s="9">
        <f t="shared" si="1"/>
        <v>7</v>
      </c>
      <c r="K7" s="9">
        <v>1707501</v>
      </c>
      <c r="L7" s="9">
        <f t="shared" si="2"/>
        <v>14</v>
      </c>
      <c r="M7" s="9">
        <v>1707502</v>
      </c>
      <c r="N7" s="9">
        <f t="shared" si="3"/>
        <v>21</v>
      </c>
      <c r="O7" s="9">
        <v>1707503</v>
      </c>
      <c r="P7" s="9">
        <f t="shared" si="4"/>
        <v>28</v>
      </c>
      <c r="Q7" s="9">
        <v>1707504</v>
      </c>
      <c r="R7" s="9">
        <f t="shared" si="5"/>
        <v>35</v>
      </c>
      <c r="S7" s="9">
        <v>1707505</v>
      </c>
      <c r="U7" s="9">
        <v>7</v>
      </c>
      <c r="V7" s="9">
        <f t="shared" si="6"/>
        <v>4001</v>
      </c>
      <c r="W7" s="9">
        <f t="shared" si="6"/>
        <v>4002</v>
      </c>
      <c r="X7" s="9">
        <f t="shared" si="6"/>
        <v>4003</v>
      </c>
      <c r="Y7" s="9">
        <f t="shared" si="6"/>
        <v>4011</v>
      </c>
      <c r="Z7" s="9">
        <f t="shared" si="6"/>
        <v>4012</v>
      </c>
      <c r="AA7" s="9">
        <f t="shared" si="6"/>
        <v>4013</v>
      </c>
      <c r="AB7" s="9">
        <f t="shared" si="6"/>
        <v>4021</v>
      </c>
      <c r="AC7" s="9">
        <f t="shared" si="6"/>
        <v>4022</v>
      </c>
      <c r="AD7" s="9">
        <f t="shared" si="6"/>
        <v>4023</v>
      </c>
    </row>
    <row r="8" spans="1:30" x14ac:dyDescent="0.3">
      <c r="A8" s="9">
        <v>5</v>
      </c>
      <c r="B8" s="9" t="b">
        <v>1</v>
      </c>
      <c r="C8" s="9" t="s">
        <v>59</v>
      </c>
      <c r="D8" s="9" t="s">
        <v>60</v>
      </c>
      <c r="E8" s="9" t="s">
        <v>61</v>
      </c>
      <c r="F8" s="9" t="s">
        <v>41</v>
      </c>
      <c r="G8" s="9" t="s">
        <v>62</v>
      </c>
      <c r="H8" s="9" t="str">
        <f t="shared" si="0"/>
        <v>5001;5002;5003;5011;5012;5021;5022</v>
      </c>
      <c r="I8" s="27" t="s">
        <v>63</v>
      </c>
      <c r="J8" s="9">
        <f t="shared" si="1"/>
        <v>7</v>
      </c>
      <c r="K8" s="9">
        <v>1707501</v>
      </c>
      <c r="L8" s="9">
        <f t="shared" si="2"/>
        <v>14</v>
      </c>
      <c r="M8" s="9">
        <v>1707502</v>
      </c>
      <c r="N8" s="9">
        <f t="shared" si="3"/>
        <v>21</v>
      </c>
      <c r="O8" s="9">
        <v>1707503</v>
      </c>
      <c r="P8" s="9">
        <f t="shared" si="4"/>
        <v>28</v>
      </c>
      <c r="Q8" s="9">
        <v>1707504</v>
      </c>
      <c r="R8" s="9">
        <f t="shared" si="5"/>
        <v>35</v>
      </c>
      <c r="S8" s="9">
        <v>1707505</v>
      </c>
      <c r="U8" s="9">
        <v>7</v>
      </c>
      <c r="V8" s="9">
        <f t="shared" si="6"/>
        <v>5001</v>
      </c>
      <c r="W8" s="9">
        <f t="shared" si="6"/>
        <v>5002</v>
      </c>
      <c r="X8" s="9">
        <f t="shared" si="6"/>
        <v>5003</v>
      </c>
      <c r="Y8" s="9">
        <f t="shared" si="6"/>
        <v>5011</v>
      </c>
      <c r="Z8" s="9">
        <f t="shared" si="6"/>
        <v>5012</v>
      </c>
      <c r="AA8" s="9">
        <f t="shared" si="6"/>
        <v>5013</v>
      </c>
      <c r="AB8" s="9">
        <f t="shared" si="6"/>
        <v>5021</v>
      </c>
      <c r="AC8" s="9">
        <f t="shared" si="6"/>
        <v>5022</v>
      </c>
      <c r="AD8" s="9">
        <f t="shared" si="6"/>
        <v>5023</v>
      </c>
    </row>
    <row r="9" spans="1:30" x14ac:dyDescent="0.3">
      <c r="A9" s="9">
        <v>6</v>
      </c>
      <c r="B9" s="9" t="b">
        <v>1</v>
      </c>
      <c r="C9" s="9" t="s">
        <v>64</v>
      </c>
      <c r="D9" s="9" t="s">
        <v>65</v>
      </c>
      <c r="E9" s="9" t="s">
        <v>66</v>
      </c>
      <c r="F9" s="9" t="s">
        <v>41</v>
      </c>
      <c r="G9" s="9" t="s">
        <v>67</v>
      </c>
      <c r="H9" s="9" t="str">
        <f t="shared" si="0"/>
        <v>6001;6002;6003;6011;6012;6021;6022</v>
      </c>
      <c r="I9" s="27" t="s">
        <v>68</v>
      </c>
      <c r="J9" s="9">
        <f t="shared" si="1"/>
        <v>7</v>
      </c>
      <c r="K9" s="9">
        <v>1707501</v>
      </c>
      <c r="L9" s="9">
        <f t="shared" si="2"/>
        <v>14</v>
      </c>
      <c r="M9" s="9">
        <v>1707502</v>
      </c>
      <c r="N9" s="9">
        <f t="shared" si="3"/>
        <v>21</v>
      </c>
      <c r="O9" s="9">
        <v>1707503</v>
      </c>
      <c r="P9" s="9">
        <f t="shared" si="4"/>
        <v>28</v>
      </c>
      <c r="Q9" s="9">
        <v>1707504</v>
      </c>
      <c r="R9" s="9">
        <f t="shared" si="5"/>
        <v>35</v>
      </c>
      <c r="S9" s="9">
        <v>1707505</v>
      </c>
      <c r="U9" s="9">
        <v>7</v>
      </c>
      <c r="V9" s="9">
        <f t="shared" si="6"/>
        <v>6001</v>
      </c>
      <c r="W9" s="9">
        <f t="shared" si="6"/>
        <v>6002</v>
      </c>
      <c r="X9" s="9">
        <f t="shared" si="6"/>
        <v>6003</v>
      </c>
      <c r="Y9" s="9">
        <f t="shared" si="6"/>
        <v>6011</v>
      </c>
      <c r="Z9" s="9">
        <f t="shared" si="6"/>
        <v>6012</v>
      </c>
      <c r="AA9" s="9">
        <f t="shared" si="6"/>
        <v>6013</v>
      </c>
      <c r="AB9" s="9">
        <f t="shared" si="6"/>
        <v>6021</v>
      </c>
      <c r="AC9" s="9">
        <f t="shared" si="6"/>
        <v>6022</v>
      </c>
      <c r="AD9" s="9">
        <f t="shared" si="6"/>
        <v>6023</v>
      </c>
    </row>
    <row r="10" spans="1:30" x14ac:dyDescent="0.3">
      <c r="A10" s="9">
        <v>7</v>
      </c>
      <c r="B10" s="9" t="b">
        <v>1</v>
      </c>
      <c r="C10" s="9" t="s">
        <v>69</v>
      </c>
      <c r="D10" s="9" t="s">
        <v>70</v>
      </c>
      <c r="E10" s="9" t="s">
        <v>71</v>
      </c>
      <c r="F10" s="9" t="s">
        <v>41</v>
      </c>
      <c r="G10" s="9" t="s">
        <v>72</v>
      </c>
      <c r="H10" s="9" t="str">
        <f t="shared" si="0"/>
        <v>7001;7002;7003;7011;7012;7021;7022</v>
      </c>
      <c r="I10" s="27" t="s">
        <v>73</v>
      </c>
      <c r="J10" s="9">
        <f t="shared" si="1"/>
        <v>7</v>
      </c>
      <c r="K10" s="9">
        <v>1707501</v>
      </c>
      <c r="L10" s="9">
        <f t="shared" si="2"/>
        <v>14</v>
      </c>
      <c r="M10" s="9">
        <v>1707502</v>
      </c>
      <c r="N10" s="9">
        <f t="shared" si="3"/>
        <v>21</v>
      </c>
      <c r="O10" s="9">
        <v>1707503</v>
      </c>
      <c r="P10" s="9">
        <f t="shared" si="4"/>
        <v>28</v>
      </c>
      <c r="Q10" s="9">
        <v>1707504</v>
      </c>
      <c r="R10" s="9">
        <f t="shared" si="5"/>
        <v>35</v>
      </c>
      <c r="S10" s="9">
        <v>1707505</v>
      </c>
      <c r="U10" s="9">
        <v>7</v>
      </c>
      <c r="V10" s="9">
        <f t="shared" si="6"/>
        <v>7001</v>
      </c>
      <c r="W10" s="9">
        <f t="shared" si="6"/>
        <v>7002</v>
      </c>
      <c r="X10" s="9">
        <f t="shared" si="6"/>
        <v>7003</v>
      </c>
      <c r="Y10" s="9">
        <f t="shared" si="6"/>
        <v>7011</v>
      </c>
      <c r="Z10" s="9">
        <f t="shared" si="6"/>
        <v>7012</v>
      </c>
      <c r="AA10" s="9">
        <f t="shared" si="6"/>
        <v>7013</v>
      </c>
      <c r="AB10" s="9">
        <f t="shared" si="6"/>
        <v>7021</v>
      </c>
      <c r="AC10" s="9">
        <f t="shared" si="6"/>
        <v>7022</v>
      </c>
      <c r="AD10" s="9">
        <f t="shared" si="6"/>
        <v>7023</v>
      </c>
    </row>
    <row r="11" spans="1:30" s="17" customFormat="1" x14ac:dyDescent="0.3">
      <c r="A11" s="17">
        <v>8</v>
      </c>
      <c r="B11" s="17" t="b">
        <v>0</v>
      </c>
      <c r="C11" s="17" t="s">
        <v>74</v>
      </c>
      <c r="D11" s="17" t="s">
        <v>75</v>
      </c>
      <c r="F11" s="17" t="s">
        <v>41</v>
      </c>
      <c r="G11" s="17" t="s">
        <v>72</v>
      </c>
      <c r="I11" s="17" t="s">
        <v>76</v>
      </c>
      <c r="J11" s="17">
        <f t="shared" si="1"/>
        <v>7</v>
      </c>
      <c r="K11" s="17">
        <v>1707501</v>
      </c>
      <c r="L11" s="17">
        <f t="shared" si="2"/>
        <v>14</v>
      </c>
      <c r="M11" s="17">
        <v>1707502</v>
      </c>
      <c r="N11" s="17">
        <f t="shared" si="3"/>
        <v>21</v>
      </c>
      <c r="O11" s="17">
        <v>1707503</v>
      </c>
      <c r="P11" s="17">
        <f t="shared" si="4"/>
        <v>28</v>
      </c>
      <c r="Q11" s="17">
        <v>1707504</v>
      </c>
      <c r="R11" s="17">
        <f t="shared" si="5"/>
        <v>35</v>
      </c>
      <c r="S11" s="17">
        <v>1707505</v>
      </c>
      <c r="U11" s="17">
        <v>7</v>
      </c>
      <c r="V11" s="17">
        <f t="shared" si="6"/>
        <v>8001</v>
      </c>
      <c r="W11" s="17">
        <f t="shared" si="6"/>
        <v>8002</v>
      </c>
      <c r="X11" s="17">
        <f t="shared" si="6"/>
        <v>8003</v>
      </c>
      <c r="Y11" s="17">
        <f t="shared" si="6"/>
        <v>8011</v>
      </c>
      <c r="Z11" s="17">
        <f t="shared" si="6"/>
        <v>8012</v>
      </c>
      <c r="AA11" s="17">
        <f t="shared" si="6"/>
        <v>8013</v>
      </c>
      <c r="AB11" s="17">
        <f t="shared" si="6"/>
        <v>8021</v>
      </c>
      <c r="AC11" s="17">
        <f t="shared" si="6"/>
        <v>8022</v>
      </c>
      <c r="AD11" s="17">
        <f t="shared" si="6"/>
        <v>8023</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18"/>
  <sheetViews>
    <sheetView tabSelected="1" workbookViewId="0">
      <pane xSplit="4" ySplit="3" topLeftCell="N145" activePane="bottomRight" state="frozen"/>
      <selection pane="topRight" activeCell="E1" sqref="E1"/>
      <selection pane="bottomLeft" activeCell="A4" sqref="A4"/>
      <selection pane="bottomRight" activeCell="U174" sqref="U173:U174"/>
    </sheetView>
  </sheetViews>
  <sheetFormatPr defaultColWidth="9" defaultRowHeight="14" x14ac:dyDescent="0.3"/>
  <cols>
    <col min="1" max="1" width="9.33203125" style="64" customWidth="1"/>
    <col min="2" max="2" width="7.83203125" style="64" customWidth="1"/>
    <col min="3" max="3" width="15.33203125" style="64" customWidth="1"/>
    <col min="4" max="4" width="136.83203125" style="64" customWidth="1"/>
    <col min="5" max="5" width="59.08203125" style="64" customWidth="1"/>
    <col min="6" max="6" width="19.25" style="64" customWidth="1"/>
    <col min="7" max="7" width="15.58203125" style="64" customWidth="1"/>
    <col min="8" max="8" width="19.08203125" style="64" bestFit="1" customWidth="1"/>
    <col min="9" max="9" width="16.08203125" style="64" customWidth="1"/>
    <col min="10" max="10" width="15.5" style="64" customWidth="1"/>
    <col min="11" max="11" width="13.33203125" style="64" customWidth="1"/>
    <col min="12" max="12" width="24.33203125" style="64" customWidth="1"/>
    <col min="13" max="13" width="46.33203125" style="1" customWidth="1"/>
    <col min="14" max="14" width="8.75" style="64" customWidth="1"/>
    <col min="15" max="15" width="12.33203125" style="64" customWidth="1"/>
    <col min="16" max="24" width="9" style="64" customWidth="1"/>
    <col min="25" max="25" width="9" style="66" customWidth="1"/>
    <col min="26" max="27" width="9" style="64" customWidth="1"/>
    <col min="28" max="16384" width="9" style="64"/>
  </cols>
  <sheetData>
    <row r="1" spans="1:28" x14ac:dyDescent="0.3">
      <c r="A1" s="64" t="s">
        <v>77</v>
      </c>
    </row>
    <row r="2" spans="1:28" s="20" customFormat="1" x14ac:dyDescent="0.3">
      <c r="A2" s="20" t="s">
        <v>8</v>
      </c>
      <c r="B2" s="20" t="s">
        <v>78</v>
      </c>
      <c r="C2" s="20" t="s">
        <v>79</v>
      </c>
      <c r="D2" s="20" t="s">
        <v>80</v>
      </c>
      <c r="E2" s="20" t="s">
        <v>81</v>
      </c>
      <c r="F2" s="20" t="s">
        <v>82</v>
      </c>
      <c r="G2" s="20" t="s">
        <v>83</v>
      </c>
      <c r="H2" s="20" t="s">
        <v>84</v>
      </c>
      <c r="I2" s="20" t="s">
        <v>85</v>
      </c>
      <c r="J2" s="20" t="s">
        <v>86</v>
      </c>
      <c r="K2" s="20" t="s">
        <v>87</v>
      </c>
      <c r="L2" s="20" t="s">
        <v>88</v>
      </c>
      <c r="M2" s="21" t="s">
        <v>89</v>
      </c>
      <c r="N2" s="20" t="s">
        <v>90</v>
      </c>
      <c r="O2" s="20" t="s">
        <v>91</v>
      </c>
      <c r="Q2" s="20" t="s">
        <v>92</v>
      </c>
      <c r="R2" s="20" t="s">
        <v>93</v>
      </c>
      <c r="W2" s="20" t="s">
        <v>94</v>
      </c>
      <c r="X2" s="20" t="s">
        <v>95</v>
      </c>
      <c r="Y2" s="44" t="s">
        <v>96</v>
      </c>
      <c r="Z2" t="s">
        <v>97</v>
      </c>
      <c r="AA2" t="s">
        <v>98</v>
      </c>
      <c r="AB2" t="s">
        <v>99</v>
      </c>
    </row>
    <row r="3" spans="1:28" s="22" customFormat="1" x14ac:dyDescent="0.3">
      <c r="A3" s="22" t="s">
        <v>100</v>
      </c>
      <c r="B3" s="22" t="s">
        <v>20</v>
      </c>
      <c r="C3" s="22" t="s">
        <v>101</v>
      </c>
      <c r="D3" s="22" t="s">
        <v>23</v>
      </c>
      <c r="E3" s="22" t="s">
        <v>102</v>
      </c>
      <c r="F3" s="22" t="s">
        <v>103</v>
      </c>
      <c r="G3" s="22" t="s">
        <v>24</v>
      </c>
      <c r="H3" s="22" t="s">
        <v>25</v>
      </c>
      <c r="I3" s="22" t="s">
        <v>104</v>
      </c>
      <c r="J3" s="22" t="s">
        <v>105</v>
      </c>
      <c r="K3" s="22" t="s">
        <v>106</v>
      </c>
      <c r="L3" s="22" t="s">
        <v>107</v>
      </c>
      <c r="M3" s="23" t="s">
        <v>108</v>
      </c>
      <c r="N3" s="22" t="s">
        <v>109</v>
      </c>
      <c r="O3" s="22" t="s">
        <v>110</v>
      </c>
      <c r="Y3" s="45"/>
    </row>
    <row r="4" spans="1:28" s="3" customFormat="1" x14ac:dyDescent="0.3">
      <c r="A4" s="3">
        <f>W4*1000+X4</f>
        <v>1001</v>
      </c>
      <c r="B4" s="3">
        <f t="shared" ref="B4:B28" si="0">IF(A4=0,"",INT(A4/1000))</f>
        <v>1</v>
      </c>
      <c r="C4" s="3" t="s">
        <v>111</v>
      </c>
      <c r="D4" s="3" t="s">
        <v>112</v>
      </c>
      <c r="E4" s="3" t="s">
        <v>113</v>
      </c>
      <c r="F4" s="3">
        <v>1</v>
      </c>
      <c r="G4" s="3" t="s">
        <v>114</v>
      </c>
      <c r="H4" s="3" t="str">
        <f>"icon_copper_"&amp;Y4</f>
        <v>icon_copper_07</v>
      </c>
      <c r="I4" s="3">
        <f>A4*100+J4</f>
        <v>100101</v>
      </c>
      <c r="J4" s="3">
        <f t="shared" ref="J4:J67" si="1">IF(MOD(ROW()+2,5)=0,MOD(ROW()+2,5)+5,MOD(ROW()+2,5))</f>
        <v>1</v>
      </c>
      <c r="K4" s="8">
        <v>7253</v>
      </c>
      <c r="L4" s="8">
        <v>7253</v>
      </c>
      <c r="M4" s="4" t="str">
        <f t="shared" ref="M4:M67" si="2">"achievementAccumulative{achieveId:"&amp;Q4&amp;",count:"&amp;R4&amp;"}"</f>
        <v>achievementAccumulative{achieveId:1001,count:40000}</v>
      </c>
      <c r="N4" s="3" t="s">
        <v>115</v>
      </c>
      <c r="O4" s="3">
        <v>1707511</v>
      </c>
      <c r="Q4" s="3">
        <f t="shared" ref="Q4:Q67" si="3">IF(0=A4,Q3,A4)</f>
        <v>1001</v>
      </c>
      <c r="R4" s="3">
        <v>40000</v>
      </c>
      <c r="W4" s="3">
        <v>1</v>
      </c>
      <c r="X4" s="3">
        <v>1</v>
      </c>
      <c r="Y4" s="43" t="s">
        <v>116</v>
      </c>
      <c r="Z4" t="str">
        <f>IF($A4=0,"",IF(VLOOKUP($A4,成就条件映射!$A$4:$D$66,2)=0,"",VLOOKUP($A4,成就条件映射!$A$4:$D$66,2)))</f>
        <v>攻克资源点</v>
      </c>
      <c r="AA4" t="str">
        <f>IF($A4=0,"",IF(VLOOKUP($A4,成就条件映射!$A$4:$D$66,3)=0,"",VLOOKUP($A4,成就条件映射!$A$4:$D$66,3)))</f>
        <v>在与&lt;color=#ffc766&gt;资源点守军&lt;/color&gt;战斗中，我方&lt;color=#ffc766&gt;剑士&lt;/color&gt;部队使用&lt;color=#ffc766&gt;固有&lt;/color&gt;&lt;color=#ffc766&gt;主动技能&lt;/color&gt;累计造成的&lt;color=#ffc766&gt;伤害量&lt;/color&gt;</v>
      </c>
      <c r="AB4" t="str">
        <f>IF($A4=0,"",IF(VLOOKUP($A4,成就条件映射!$A$4:$D$66,4)=0,"",VLOOKUP($A4,成就条件映射!$A$4:$D$66,4)))</f>
        <v>当前累计伤害</v>
      </c>
    </row>
    <row r="5" spans="1:28" s="3" customFormat="1" x14ac:dyDescent="0.3">
      <c r="B5" s="3" t="str">
        <f t="shared" si="0"/>
        <v/>
      </c>
      <c r="C5" s="3" t="str">
        <f>IF($A5=0,"",IF(VLOOKUP($A5,成就条件映射!$A$4:$D$66,2)=0,"",VLOOKUP($A5,成就条件映射!$A$4:$D$66,2)))</f>
        <v/>
      </c>
      <c r="D5" s="3" t="str">
        <f>IF($A5=0,"",IF(VLOOKUP($A5,成就条件映射!$A$4:$D$66,3)=0,"",VLOOKUP($A5,成就条件映射!$A$4:$D$66,3)))</f>
        <v/>
      </c>
      <c r="E5" s="3" t="str">
        <f>IF($A5=0,"",IF(VLOOKUP($A5,成就条件映射!$A$4:$D$66,4)=0,"",VLOOKUP($A5,成就条件映射!$A$4:$D$66,4)))</f>
        <v/>
      </c>
      <c r="I5" s="3">
        <f>A4*100+J5</f>
        <v>100102</v>
      </c>
      <c r="J5" s="3">
        <f t="shared" si="1"/>
        <v>2</v>
      </c>
      <c r="K5" s="8">
        <v>7253</v>
      </c>
      <c r="L5" s="8">
        <v>7253</v>
      </c>
      <c r="M5" s="4" t="str">
        <f t="shared" si="2"/>
        <v>achievementAccumulative{achieveId:1001,count:650000}</v>
      </c>
      <c r="N5" s="3" t="s">
        <v>115</v>
      </c>
      <c r="O5" s="3">
        <v>1707512</v>
      </c>
      <c r="Q5" s="3">
        <f t="shared" si="3"/>
        <v>1001</v>
      </c>
      <c r="R5" s="3">
        <v>650000</v>
      </c>
      <c r="W5" s="3">
        <v>1</v>
      </c>
      <c r="X5" s="3">
        <v>1</v>
      </c>
      <c r="Y5" s="43"/>
    </row>
    <row r="6" spans="1:28" s="3" customFormat="1" x14ac:dyDescent="0.3">
      <c r="B6" s="3" t="str">
        <f t="shared" si="0"/>
        <v/>
      </c>
      <c r="C6" s="3" t="str">
        <f>IF($A6=0,"",IF(VLOOKUP($A6,成就条件映射!$A$4:$D$66,2)=0,"",VLOOKUP($A6,成就条件映射!$A$4:$D$66,2)))</f>
        <v/>
      </c>
      <c r="D6" s="3" t="str">
        <f>IF($A6=0,"",IF(VLOOKUP($A6,成就条件映射!$A$4:$D$66,3)=0,"",VLOOKUP($A6,成就条件映射!$A$4:$D$66,3)))</f>
        <v/>
      </c>
      <c r="E6" s="3" t="str">
        <f>IF($A6=0,"",IF(VLOOKUP($A6,成就条件映射!$A$4:$D$66,4)=0,"",VLOOKUP($A6,成就条件映射!$A$4:$D$66,4)))</f>
        <v/>
      </c>
      <c r="I6" s="3">
        <f>A4*100+J6</f>
        <v>100103</v>
      </c>
      <c r="J6" s="3">
        <f t="shared" si="1"/>
        <v>3</v>
      </c>
      <c r="K6" s="8">
        <v>7253</v>
      </c>
      <c r="L6" s="8">
        <v>7253</v>
      </c>
      <c r="M6" s="4" t="str">
        <f t="shared" si="2"/>
        <v>achievementAccumulative{achieveId:1001,count:4000000}</v>
      </c>
      <c r="N6" s="3" t="s">
        <v>115</v>
      </c>
      <c r="O6" s="3">
        <v>1707513</v>
      </c>
      <c r="Q6" s="3">
        <f t="shared" si="3"/>
        <v>1001</v>
      </c>
      <c r="R6" s="3">
        <v>4000000</v>
      </c>
      <c r="W6" s="3">
        <v>1</v>
      </c>
      <c r="X6" s="3">
        <v>1</v>
      </c>
      <c r="Y6" s="43"/>
    </row>
    <row r="7" spans="1:28" s="3" customFormat="1" x14ac:dyDescent="0.3">
      <c r="B7" s="3" t="str">
        <f t="shared" si="0"/>
        <v/>
      </c>
      <c r="C7" s="3" t="str">
        <f>IF($A7=0,"",IF(VLOOKUP($A7,成就条件映射!$A$4:$D$66,2)=0,"",VLOOKUP($A7,成就条件映射!$A$4:$D$66,2)))</f>
        <v/>
      </c>
      <c r="D7" s="3" t="str">
        <f>IF($A7=0,"",IF(VLOOKUP($A7,成就条件映射!$A$4:$D$66,3)=0,"",VLOOKUP($A7,成就条件映射!$A$4:$D$66,3)))</f>
        <v/>
      </c>
      <c r="E7" s="3" t="str">
        <f>IF($A7=0,"",IF(VLOOKUP($A7,成就条件映射!$A$4:$D$66,4)=0,"",VLOOKUP($A7,成就条件映射!$A$4:$D$66,4)))</f>
        <v/>
      </c>
      <c r="I7" s="3">
        <f>A4*100+J7</f>
        <v>100104</v>
      </c>
      <c r="J7" s="3">
        <f t="shared" si="1"/>
        <v>4</v>
      </c>
      <c r="K7" s="8">
        <v>7253</v>
      </c>
      <c r="L7" s="8">
        <v>7253</v>
      </c>
      <c r="M7" s="4" t="str">
        <f t="shared" si="2"/>
        <v>achievementAccumulative{achieveId:1001,count:15000000}</v>
      </c>
      <c r="N7" s="3" t="s">
        <v>115</v>
      </c>
      <c r="O7" s="3">
        <v>1707514</v>
      </c>
      <c r="Q7" s="3">
        <f t="shared" si="3"/>
        <v>1001</v>
      </c>
      <c r="R7" s="3">
        <v>15000000</v>
      </c>
      <c r="W7" s="3">
        <v>1</v>
      </c>
      <c r="X7" s="3">
        <v>1</v>
      </c>
      <c r="Y7" s="43"/>
    </row>
    <row r="8" spans="1:28" s="3" customFormat="1" x14ac:dyDescent="0.3">
      <c r="B8" s="3" t="str">
        <f t="shared" si="0"/>
        <v/>
      </c>
      <c r="C8" s="3" t="str">
        <f>IF($A8=0,"",IF(VLOOKUP($A8,成就条件映射!$A$4:$D$66,2)=0,"",VLOOKUP($A8,成就条件映射!$A$4:$D$66,2)))</f>
        <v/>
      </c>
      <c r="D8" s="3" t="str">
        <f>IF($A8=0,"",IF(VLOOKUP($A8,成就条件映射!$A$4:$D$66,3)=0,"",VLOOKUP($A8,成就条件映射!$A$4:$D$66,3)))</f>
        <v/>
      </c>
      <c r="E8" s="3" t="str">
        <f>IF($A8=0,"",IF(VLOOKUP($A8,成就条件映射!$A$4:$D$66,4)=0,"",VLOOKUP($A8,成就条件映射!$A$4:$D$66,4)))</f>
        <v/>
      </c>
      <c r="I8" s="3">
        <f>A4*100+J8</f>
        <v>100105</v>
      </c>
      <c r="J8" s="3">
        <f t="shared" si="1"/>
        <v>5</v>
      </c>
      <c r="K8" s="8">
        <v>7253</v>
      </c>
      <c r="L8" s="8">
        <v>7253</v>
      </c>
      <c r="M8" s="4" t="str">
        <f t="shared" si="2"/>
        <v>achievementAccumulative{achieveId:1001,count:30000000}</v>
      </c>
      <c r="N8" s="3" t="s">
        <v>115</v>
      </c>
      <c r="O8" s="3">
        <v>1707515</v>
      </c>
      <c r="Q8" s="3">
        <f t="shared" si="3"/>
        <v>1001</v>
      </c>
      <c r="R8" s="3">
        <v>30000000</v>
      </c>
      <c r="W8" s="3">
        <v>1</v>
      </c>
      <c r="X8" s="3">
        <v>1</v>
      </c>
      <c r="Y8" s="43"/>
    </row>
    <row r="9" spans="1:28" s="3" customFormat="1" x14ac:dyDescent="0.3">
      <c r="A9" s="3">
        <f>W9*1000+X9</f>
        <v>1002</v>
      </c>
      <c r="B9" s="3">
        <f t="shared" si="0"/>
        <v>1</v>
      </c>
      <c r="C9" s="3" t="s">
        <v>117</v>
      </c>
      <c r="D9" s="3" t="s">
        <v>118</v>
      </c>
      <c r="E9" s="3" t="s">
        <v>113</v>
      </c>
      <c r="F9" s="3">
        <v>1</v>
      </c>
      <c r="G9" s="3" t="s">
        <v>114</v>
      </c>
      <c r="H9" s="3" t="str">
        <f>"icon_copper_"&amp;Y9</f>
        <v>icon_copper_10</v>
      </c>
      <c r="I9" s="3">
        <f>A9*100+J9</f>
        <v>100201</v>
      </c>
      <c r="J9" s="3">
        <f t="shared" si="1"/>
        <v>1</v>
      </c>
      <c r="K9" s="8">
        <v>7254</v>
      </c>
      <c r="L9" s="8">
        <v>7254</v>
      </c>
      <c r="M9" s="4" t="str">
        <f t="shared" si="2"/>
        <v>achievementAccumulative{achieveId:1002,count:40000}</v>
      </c>
      <c r="N9" s="3" t="s">
        <v>115</v>
      </c>
      <c r="O9" s="3">
        <v>1707511</v>
      </c>
      <c r="Q9" s="3">
        <f t="shared" si="3"/>
        <v>1002</v>
      </c>
      <c r="R9" s="3">
        <v>40000</v>
      </c>
      <c r="W9" s="3">
        <v>1</v>
      </c>
      <c r="X9" s="3">
        <v>2</v>
      </c>
      <c r="Y9" s="43" t="s">
        <v>119</v>
      </c>
      <c r="Z9" t="str">
        <f>IF($A9=0,"",IF(VLOOKUP($A9,成就条件映射!$A$4:$D$66,2)=0,"",VLOOKUP($A9,成就条件映射!$A$4:$D$66,2)))</f>
        <v>蛮族讨伐</v>
      </c>
      <c r="AA9" t="str">
        <f>IF($A9=0,"",IF(VLOOKUP($A9,成就条件映射!$A$4:$D$66,3)=0,"",VLOOKUP($A9,成就条件映射!$A$4:$D$66,3)))</f>
        <v>在与&lt;color=#ffc766&gt;野外蛮族&lt;/color&gt;战斗中，我方&lt;color=#ffc766&gt;剑士&lt;/color&gt;部队使用&lt;color=#ffc766&gt;固有&lt;/color&gt;&lt;color=#ffc766&gt;主动技能&lt;/color&gt;累计造成的&lt;color=#ffc766&gt;伤害量&lt;/color&gt;</v>
      </c>
      <c r="AB9" t="str">
        <f>IF($A9=0,"",IF(VLOOKUP($A9,成就条件映射!$A$4:$D$66,4)=0,"",VLOOKUP($A9,成就条件映射!$A$4:$D$66,4)))</f>
        <v>当前累计伤害</v>
      </c>
    </row>
    <row r="10" spans="1:28" s="3" customFormat="1" x14ac:dyDescent="0.3">
      <c r="B10" s="3" t="str">
        <f t="shared" si="0"/>
        <v/>
      </c>
      <c r="C10" s="3" t="str">
        <f>IF($A10=0,"",IF(VLOOKUP($A10,成就条件映射!$A$4:$D$66,2)=0,"",VLOOKUP($A10,成就条件映射!$A$4:$D$66,2)))</f>
        <v/>
      </c>
      <c r="D10" s="3" t="str">
        <f>IF($A10=0,"",IF(VLOOKUP($A10,成就条件映射!$A$4:$D$66,3)=0,"",VLOOKUP($A10,成就条件映射!$A$4:$D$66,3)))</f>
        <v/>
      </c>
      <c r="E10" s="3" t="str">
        <f>IF($A10=0,"",IF(VLOOKUP($A10,成就条件映射!$A$4:$D$66,4)=0,"",VLOOKUP($A10,成就条件映射!$A$4:$D$66,4)))</f>
        <v/>
      </c>
      <c r="I10" s="3">
        <f>A9*100+J10</f>
        <v>100202</v>
      </c>
      <c r="J10" s="3">
        <f t="shared" si="1"/>
        <v>2</v>
      </c>
      <c r="K10" s="8">
        <v>7254</v>
      </c>
      <c r="L10" s="8">
        <v>7254</v>
      </c>
      <c r="M10" s="4" t="str">
        <f t="shared" si="2"/>
        <v>achievementAccumulative{achieveId:1002,count:680000}</v>
      </c>
      <c r="N10" s="3" t="s">
        <v>115</v>
      </c>
      <c r="O10" s="3">
        <v>1707512</v>
      </c>
      <c r="Q10" s="3">
        <f t="shared" si="3"/>
        <v>1002</v>
      </c>
      <c r="R10" s="3">
        <v>680000</v>
      </c>
      <c r="W10" s="3">
        <v>1</v>
      </c>
      <c r="X10" s="3">
        <v>2</v>
      </c>
      <c r="Y10" s="43"/>
    </row>
    <row r="11" spans="1:28" s="3" customFormat="1" x14ac:dyDescent="0.3">
      <c r="B11" s="3" t="str">
        <f t="shared" si="0"/>
        <v/>
      </c>
      <c r="C11" s="3" t="str">
        <f>IF($A11=0,"",IF(VLOOKUP($A11,成就条件映射!$A$4:$D$66,2)=0,"",VLOOKUP($A11,成就条件映射!$A$4:$D$66,2)))</f>
        <v/>
      </c>
      <c r="D11" s="3" t="str">
        <f>IF($A11=0,"",IF(VLOOKUP($A11,成就条件映射!$A$4:$D$66,3)=0,"",VLOOKUP($A11,成就条件映射!$A$4:$D$66,3)))</f>
        <v/>
      </c>
      <c r="E11" s="3" t="str">
        <f>IF($A11=0,"",IF(VLOOKUP($A11,成就条件映射!$A$4:$D$66,4)=0,"",VLOOKUP($A11,成就条件映射!$A$4:$D$66,4)))</f>
        <v/>
      </c>
      <c r="I11" s="3">
        <f>A9*100+J11</f>
        <v>100203</v>
      </c>
      <c r="J11" s="3">
        <f t="shared" si="1"/>
        <v>3</v>
      </c>
      <c r="K11" s="8">
        <v>7254</v>
      </c>
      <c r="L11" s="8">
        <v>7254</v>
      </c>
      <c r="M11" s="4" t="str">
        <f t="shared" si="2"/>
        <v>achievementAccumulative{achieveId:1002,count:1600000}</v>
      </c>
      <c r="N11" s="3" t="s">
        <v>115</v>
      </c>
      <c r="O11" s="3">
        <v>1707513</v>
      </c>
      <c r="Q11" s="3">
        <f t="shared" si="3"/>
        <v>1002</v>
      </c>
      <c r="R11" s="3">
        <v>1600000</v>
      </c>
      <c r="W11" s="3">
        <v>1</v>
      </c>
      <c r="X11" s="3">
        <v>2</v>
      </c>
      <c r="Y11" s="43"/>
    </row>
    <row r="12" spans="1:28" s="3" customFormat="1" x14ac:dyDescent="0.3">
      <c r="B12" s="3" t="str">
        <f t="shared" si="0"/>
        <v/>
      </c>
      <c r="C12" s="3" t="str">
        <f>IF($A12=0,"",IF(VLOOKUP($A12,成就条件映射!$A$4:$D$66,2)=0,"",VLOOKUP($A12,成就条件映射!$A$4:$D$66,2)))</f>
        <v/>
      </c>
      <c r="D12" s="3" t="str">
        <f>IF($A12=0,"",IF(VLOOKUP($A12,成就条件映射!$A$4:$D$66,3)=0,"",VLOOKUP($A12,成就条件映射!$A$4:$D$66,3)))</f>
        <v/>
      </c>
      <c r="E12" s="3" t="str">
        <f>IF($A12=0,"",IF(VLOOKUP($A12,成就条件映射!$A$4:$D$66,4)=0,"",VLOOKUP($A12,成就条件映射!$A$4:$D$66,4)))</f>
        <v/>
      </c>
      <c r="I12" s="3">
        <f>A9*100+J12</f>
        <v>100204</v>
      </c>
      <c r="J12" s="3">
        <f t="shared" si="1"/>
        <v>4</v>
      </c>
      <c r="K12" s="8">
        <v>7254</v>
      </c>
      <c r="L12" s="8">
        <v>7254</v>
      </c>
      <c r="M12" s="4" t="str">
        <f t="shared" si="2"/>
        <v>achievementAccumulative{achieveId:1002,count:6300000}</v>
      </c>
      <c r="N12" s="3" t="s">
        <v>115</v>
      </c>
      <c r="O12" s="3">
        <v>1707514</v>
      </c>
      <c r="Q12" s="3">
        <f t="shared" si="3"/>
        <v>1002</v>
      </c>
      <c r="R12" s="3">
        <v>6300000</v>
      </c>
      <c r="W12" s="3">
        <v>1</v>
      </c>
      <c r="X12" s="3">
        <v>2</v>
      </c>
      <c r="Y12" s="43"/>
    </row>
    <row r="13" spans="1:28" s="3" customFormat="1" x14ac:dyDescent="0.3">
      <c r="B13" s="3" t="str">
        <f t="shared" si="0"/>
        <v/>
      </c>
      <c r="C13" s="3" t="str">
        <f>IF($A13=0,"",IF(VLOOKUP($A13,成就条件映射!$A$4:$D$66,2)=0,"",VLOOKUP($A13,成就条件映射!$A$4:$D$66,2)))</f>
        <v/>
      </c>
      <c r="D13" s="3" t="str">
        <f>IF($A13=0,"",IF(VLOOKUP($A13,成就条件映射!$A$4:$D$66,3)=0,"",VLOOKUP($A13,成就条件映射!$A$4:$D$66,3)))</f>
        <v/>
      </c>
      <c r="E13" s="3" t="str">
        <f>IF($A13=0,"",IF(VLOOKUP($A13,成就条件映射!$A$4:$D$66,4)=0,"",VLOOKUP($A13,成就条件映射!$A$4:$D$66,4)))</f>
        <v/>
      </c>
      <c r="I13" s="3">
        <f>A9*100+J13</f>
        <v>100205</v>
      </c>
      <c r="J13" s="3">
        <f t="shared" si="1"/>
        <v>5</v>
      </c>
      <c r="K13" s="8">
        <v>7254</v>
      </c>
      <c r="L13" s="8">
        <v>7254</v>
      </c>
      <c r="M13" s="4" t="str">
        <f t="shared" si="2"/>
        <v>achievementAccumulative{achieveId:1002,count:20000000}</v>
      </c>
      <c r="N13" s="3" t="s">
        <v>115</v>
      </c>
      <c r="O13" s="3">
        <v>1707515</v>
      </c>
      <c r="Q13" s="3">
        <f t="shared" si="3"/>
        <v>1002</v>
      </c>
      <c r="R13" s="3">
        <v>20000000</v>
      </c>
      <c r="W13" s="3">
        <v>1</v>
      </c>
      <c r="X13" s="3">
        <v>2</v>
      </c>
      <c r="Y13" s="43"/>
    </row>
    <row r="14" spans="1:28" s="3" customFormat="1" x14ac:dyDescent="0.3">
      <c r="A14" s="3">
        <f>W14*1000+X14</f>
        <v>1003</v>
      </c>
      <c r="B14" s="3">
        <f t="shared" si="0"/>
        <v>1</v>
      </c>
      <c r="C14" s="3" t="s">
        <v>120</v>
      </c>
      <c r="D14" s="3" t="s">
        <v>121</v>
      </c>
      <c r="E14" s="3" t="s">
        <v>113</v>
      </c>
      <c r="F14" s="3">
        <v>1</v>
      </c>
      <c r="G14" s="3" t="s">
        <v>114</v>
      </c>
      <c r="H14" s="3" t="str">
        <f>"icon_copper_"&amp;Y14</f>
        <v>icon_copper_04</v>
      </c>
      <c r="I14" s="3">
        <f>A14*100+J14</f>
        <v>100301</v>
      </c>
      <c r="J14" s="3">
        <f t="shared" si="1"/>
        <v>1</v>
      </c>
      <c r="K14" s="8"/>
      <c r="L14" s="8"/>
      <c r="M14" s="4" t="str">
        <f t="shared" si="2"/>
        <v>achievementAccumulative{achieveId:1003,count:80000}</v>
      </c>
      <c r="N14" s="3" t="s">
        <v>115</v>
      </c>
      <c r="O14" s="3">
        <v>1707511</v>
      </c>
      <c r="Q14" s="3">
        <f t="shared" si="3"/>
        <v>1003</v>
      </c>
      <c r="R14" s="3">
        <v>80000</v>
      </c>
      <c r="W14" s="3">
        <v>1</v>
      </c>
      <c r="X14" s="3">
        <v>3</v>
      </c>
      <c r="Y14" s="43" t="s">
        <v>122</v>
      </c>
      <c r="Z14" t="str">
        <f>IF($A14=0,"",IF(VLOOKUP($A14,成就条件映射!$A$4:$D$66,2)=0,"",VLOOKUP($A14,成就条件映射!$A$4:$D$66,2)))</f>
        <v>野战先锋</v>
      </c>
      <c r="AA14" t="str">
        <f>IF($A14=0,"",IF(VLOOKUP($A14,成就条件映射!$A$4:$D$66,3)=0,"",VLOOKUP($A14,成就条件映射!$A$4:$D$66,3)))</f>
        <v>野外与&lt;color=#ffc766&gt;玩家&lt;/color&gt;部队战斗中，我方&lt;color=#ffc766&gt;剑士&lt;/color&gt;部队使用&lt;color=#ffc766&gt;固有&lt;/color&gt;&lt;color=#ffc766&gt;主动技能&lt;/color&gt;累计对敌方玩家造成的&lt;color=#ffc766&gt;伤害量&lt;/color&gt;</v>
      </c>
      <c r="AB14" t="str">
        <f>IF($A14=0,"",IF(VLOOKUP($A14,成就条件映射!$A$4:$D$66,4)=0,"",VLOOKUP($A14,成就条件映射!$A$4:$D$66,4)))</f>
        <v>当前累计伤害</v>
      </c>
    </row>
    <row r="15" spans="1:28" s="3" customFormat="1" x14ac:dyDescent="0.3">
      <c r="B15" s="3" t="str">
        <f t="shared" si="0"/>
        <v/>
      </c>
      <c r="C15" s="3" t="str">
        <f>IF($A15=0,"",IF(VLOOKUP($A15,成就条件映射!$A$4:$D$66,2)=0,"",VLOOKUP($A15,成就条件映射!$A$4:$D$66,2)))</f>
        <v/>
      </c>
      <c r="D15" s="3" t="str">
        <f>IF($A15=0,"",IF(VLOOKUP($A15,成就条件映射!$A$4:$D$66,3)=0,"",VLOOKUP($A15,成就条件映射!$A$4:$D$66,3)))</f>
        <v/>
      </c>
      <c r="E15" s="3" t="str">
        <f>IF($A15=0,"",IF(VLOOKUP($A15,成就条件映射!$A$4:$D$66,4)=0,"",VLOOKUP($A15,成就条件映射!$A$4:$D$66,4)))</f>
        <v/>
      </c>
      <c r="I15" s="3">
        <f>A14*100+J15</f>
        <v>100302</v>
      </c>
      <c r="J15" s="3">
        <f t="shared" si="1"/>
        <v>2</v>
      </c>
      <c r="K15" s="8"/>
      <c r="L15" s="8"/>
      <c r="M15" s="4" t="str">
        <f t="shared" si="2"/>
        <v>achievementAccumulative{achieveId:1003,count:300000}</v>
      </c>
      <c r="N15" s="3" t="s">
        <v>115</v>
      </c>
      <c r="O15" s="3">
        <v>1707512</v>
      </c>
      <c r="Q15" s="3">
        <f t="shared" si="3"/>
        <v>1003</v>
      </c>
      <c r="R15" s="3">
        <v>300000</v>
      </c>
      <c r="W15" s="3">
        <v>1</v>
      </c>
      <c r="X15" s="3">
        <v>3</v>
      </c>
      <c r="Y15" s="43"/>
    </row>
    <row r="16" spans="1:28" s="3" customFormat="1" x14ac:dyDescent="0.3">
      <c r="B16" s="3" t="str">
        <f t="shared" si="0"/>
        <v/>
      </c>
      <c r="C16" s="3" t="str">
        <f>IF($A16=0,"",IF(VLOOKUP($A16,成就条件映射!$A$4:$D$66,2)=0,"",VLOOKUP($A16,成就条件映射!$A$4:$D$66,2)))</f>
        <v/>
      </c>
      <c r="D16" s="3" t="str">
        <f>IF($A16=0,"",IF(VLOOKUP($A16,成就条件映射!$A$4:$D$66,3)=0,"",VLOOKUP($A16,成就条件映射!$A$4:$D$66,3)))</f>
        <v/>
      </c>
      <c r="E16" s="3" t="str">
        <f>IF($A16=0,"",IF(VLOOKUP($A16,成就条件映射!$A$4:$D$66,4)=0,"",VLOOKUP($A16,成就条件映射!$A$4:$D$66,4)))</f>
        <v/>
      </c>
      <c r="I16" s="3">
        <f>A14*100+J16</f>
        <v>100303</v>
      </c>
      <c r="J16" s="3">
        <f t="shared" si="1"/>
        <v>3</v>
      </c>
      <c r="K16" s="8"/>
      <c r="L16" s="8"/>
      <c r="M16" s="4" t="str">
        <f t="shared" si="2"/>
        <v>achievementAccumulative{achieveId:1003,count:1200000}</v>
      </c>
      <c r="N16" s="3" t="s">
        <v>115</v>
      </c>
      <c r="O16" s="3">
        <v>1707513</v>
      </c>
      <c r="Q16" s="3">
        <f t="shared" si="3"/>
        <v>1003</v>
      </c>
      <c r="R16" s="3">
        <v>1200000</v>
      </c>
      <c r="W16" s="3">
        <v>1</v>
      </c>
      <c r="X16" s="3">
        <v>3</v>
      </c>
      <c r="Y16" s="43"/>
    </row>
    <row r="17" spans="1:28" s="3" customFormat="1" x14ac:dyDescent="0.3">
      <c r="B17" s="3" t="str">
        <f t="shared" si="0"/>
        <v/>
      </c>
      <c r="C17" s="3" t="str">
        <f>IF($A17=0,"",IF(VLOOKUP($A17,成就条件映射!$A$4:$D$66,2)=0,"",VLOOKUP($A17,成就条件映射!$A$4:$D$66,2)))</f>
        <v/>
      </c>
      <c r="D17" s="3" t="str">
        <f>IF($A17=0,"",IF(VLOOKUP($A17,成就条件映射!$A$4:$D$66,3)=0,"",VLOOKUP($A17,成就条件映射!$A$4:$D$66,3)))</f>
        <v/>
      </c>
      <c r="E17" s="3" t="str">
        <f>IF($A17=0,"",IF(VLOOKUP($A17,成就条件映射!$A$4:$D$66,4)=0,"",VLOOKUP($A17,成就条件映射!$A$4:$D$66,4)))</f>
        <v/>
      </c>
      <c r="I17" s="3">
        <f>A14*100+J17</f>
        <v>100304</v>
      </c>
      <c r="J17" s="3">
        <f t="shared" si="1"/>
        <v>4</v>
      </c>
      <c r="K17" s="8"/>
      <c r="L17" s="8"/>
      <c r="M17" s="4" t="str">
        <f t="shared" si="2"/>
        <v>achievementAccumulative{achieveId:1003,count:4000000}</v>
      </c>
      <c r="N17" s="3" t="s">
        <v>115</v>
      </c>
      <c r="O17" s="3">
        <v>1707514</v>
      </c>
      <c r="Q17" s="3">
        <f t="shared" si="3"/>
        <v>1003</v>
      </c>
      <c r="R17" s="3">
        <v>4000000</v>
      </c>
      <c r="W17" s="3">
        <v>1</v>
      </c>
      <c r="X17" s="3">
        <v>3</v>
      </c>
      <c r="Y17" s="43"/>
    </row>
    <row r="18" spans="1:28" s="3" customFormat="1" x14ac:dyDescent="0.3">
      <c r="B18" s="3" t="str">
        <f t="shared" si="0"/>
        <v/>
      </c>
      <c r="C18" s="3" t="str">
        <f>IF($A18=0,"",IF(VLOOKUP($A18,成就条件映射!$A$4:$D$66,2)=0,"",VLOOKUP($A18,成就条件映射!$A$4:$D$66,2)))</f>
        <v/>
      </c>
      <c r="D18" s="3" t="str">
        <f>IF($A18=0,"",IF(VLOOKUP($A18,成就条件映射!$A$4:$D$66,3)=0,"",VLOOKUP($A18,成就条件映射!$A$4:$D$66,3)))</f>
        <v/>
      </c>
      <c r="E18" s="3" t="str">
        <f>IF($A18=0,"",IF(VLOOKUP($A18,成就条件映射!$A$4:$D$66,4)=0,"",VLOOKUP($A18,成就条件映射!$A$4:$D$66,4)))</f>
        <v/>
      </c>
      <c r="I18" s="3">
        <f>A14*100+J18</f>
        <v>100305</v>
      </c>
      <c r="J18" s="3">
        <f t="shared" si="1"/>
        <v>5</v>
      </c>
      <c r="K18" s="8"/>
      <c r="L18" s="8"/>
      <c r="M18" s="4" t="str">
        <f t="shared" si="2"/>
        <v>achievementAccumulative{achieveId:1003,count:10000000}</v>
      </c>
      <c r="N18" s="3" t="s">
        <v>115</v>
      </c>
      <c r="O18" s="3">
        <v>1707515</v>
      </c>
      <c r="Q18" s="3">
        <f t="shared" si="3"/>
        <v>1003</v>
      </c>
      <c r="R18" s="3">
        <v>10000000</v>
      </c>
      <c r="W18" s="3">
        <v>1</v>
      </c>
      <c r="X18" s="3">
        <v>3</v>
      </c>
      <c r="Y18" s="43"/>
    </row>
    <row r="19" spans="1:28" s="3" customFormat="1" x14ac:dyDescent="0.3">
      <c r="A19" s="3">
        <f>W19*1000+X19</f>
        <v>1011</v>
      </c>
      <c r="B19" s="3">
        <f t="shared" si="0"/>
        <v>1</v>
      </c>
      <c r="C19" s="3" t="s">
        <v>123</v>
      </c>
      <c r="D19" s="3" t="s">
        <v>124</v>
      </c>
      <c r="E19" s="3" t="s">
        <v>113</v>
      </c>
      <c r="F19" s="3">
        <v>2</v>
      </c>
      <c r="G19" s="3" t="s">
        <v>114</v>
      </c>
      <c r="H19" s="3" t="str">
        <f>"icon_silver_"&amp;Y19</f>
        <v>icon_silver_17</v>
      </c>
      <c r="I19" s="3">
        <f>A19*100+J19</f>
        <v>101101</v>
      </c>
      <c r="J19" s="3">
        <f t="shared" si="1"/>
        <v>1</v>
      </c>
      <c r="K19" s="8"/>
      <c r="L19" s="8"/>
      <c r="M19" s="4" t="str">
        <f t="shared" si="2"/>
        <v>achievementAccumulative{achieveId:1011,count:10000}</v>
      </c>
      <c r="N19" s="3" t="s">
        <v>115</v>
      </c>
      <c r="O19" s="3">
        <v>1707521</v>
      </c>
      <c r="Q19" s="3">
        <f t="shared" si="3"/>
        <v>1011</v>
      </c>
      <c r="R19" s="3">
        <v>10000</v>
      </c>
      <c r="W19" s="3">
        <v>1</v>
      </c>
      <c r="X19" s="3">
        <v>11</v>
      </c>
      <c r="Y19" s="43" t="s">
        <v>125</v>
      </c>
      <c r="Z19" t="str">
        <f>IF($A19=0,"",IF(VLOOKUP($A19,成就条件映射!$A$4:$D$66,2)=0,"",VLOOKUP($A19,成就条件映射!$A$4:$D$66,2)))</f>
        <v>临而不发</v>
      </c>
      <c r="AA19" t="str">
        <f>IF($A19=0,"",IF(VLOOKUP($A19,成就条件映射!$A$4:$D$66,3)=0,"",VLOOKUP($A19,成就条件映射!$A$4:$D$66,3)))</f>
        <v>&lt;color=#ffc766&gt;60秒&lt;/color&gt;内，我方部队使用&lt;color=#ffc766&gt;准备技能&lt;/color&gt;累计造成的&lt;color=#ffc766&gt;最大伤害量&lt;/color&gt;</v>
      </c>
      <c r="AB19" t="str">
        <f>IF($A19=0,"",IF(VLOOKUP($A19,成就条件映射!$A$4:$D$66,4)=0,"",VLOOKUP($A19,成就条件映射!$A$4:$D$66,4)))</f>
        <v>当前累计伤害</v>
      </c>
    </row>
    <row r="20" spans="1:28" s="3" customFormat="1" x14ac:dyDescent="0.3">
      <c r="B20" s="3" t="str">
        <f t="shared" si="0"/>
        <v/>
      </c>
      <c r="C20" s="3" t="str">
        <f>IF($A20=0,"",IF(VLOOKUP($A20,成就条件映射!$A$4:$D$66,2)=0,"",VLOOKUP($A20,成就条件映射!$A$4:$D$66,2)))</f>
        <v/>
      </c>
      <c r="D20" s="3" t="str">
        <f>IF($A20=0,"",IF(VLOOKUP($A20,成就条件映射!$A$4:$D$66,3)=0,"",VLOOKUP($A20,成就条件映射!$A$4:$D$66,3)))</f>
        <v/>
      </c>
      <c r="E20" s="3" t="str">
        <f>IF($A20=0,"",IF(VLOOKUP($A20,成就条件映射!$A$4:$D$66,4)=0,"",VLOOKUP($A20,成就条件映射!$A$4:$D$66,4)))</f>
        <v/>
      </c>
      <c r="I20" s="3">
        <f>A19*100+J20</f>
        <v>101102</v>
      </c>
      <c r="J20" s="3">
        <f t="shared" si="1"/>
        <v>2</v>
      </c>
      <c r="K20" s="8"/>
      <c r="L20" s="8"/>
      <c r="M20" s="4" t="str">
        <f t="shared" si="2"/>
        <v>achievementAccumulative{achieveId:1011,count:20000}</v>
      </c>
      <c r="N20" s="3" t="s">
        <v>115</v>
      </c>
      <c r="O20" s="3">
        <v>1707522</v>
      </c>
      <c r="Q20" s="3">
        <f t="shared" si="3"/>
        <v>1011</v>
      </c>
      <c r="R20" s="3">
        <v>20000</v>
      </c>
      <c r="W20" s="3">
        <v>1</v>
      </c>
      <c r="X20" s="3">
        <v>11</v>
      </c>
      <c r="Y20" s="43"/>
    </row>
    <row r="21" spans="1:28" s="3" customFormat="1" x14ac:dyDescent="0.3">
      <c r="B21" s="3" t="str">
        <f t="shared" si="0"/>
        <v/>
      </c>
      <c r="C21" s="3" t="str">
        <f>IF($A21=0,"",IF(VLOOKUP($A21,成就条件映射!$A$4:$D$66,2)=0,"",VLOOKUP($A21,成就条件映射!$A$4:$D$66,2)))</f>
        <v/>
      </c>
      <c r="D21" s="3" t="str">
        <f>IF($A21=0,"",IF(VLOOKUP($A21,成就条件映射!$A$4:$D$66,3)=0,"",VLOOKUP($A21,成就条件映射!$A$4:$D$66,3)))</f>
        <v/>
      </c>
      <c r="E21" s="3" t="str">
        <f>IF($A21=0,"",IF(VLOOKUP($A21,成就条件映射!$A$4:$D$66,4)=0,"",VLOOKUP($A21,成就条件映射!$A$4:$D$66,4)))</f>
        <v/>
      </c>
      <c r="I21" s="3">
        <f>A19*100+J21</f>
        <v>101103</v>
      </c>
      <c r="J21" s="3">
        <f t="shared" si="1"/>
        <v>3</v>
      </c>
      <c r="K21" s="8"/>
      <c r="L21" s="8"/>
      <c r="M21" s="4" t="str">
        <f t="shared" si="2"/>
        <v>achievementAccumulative{achieveId:1011,count:40000}</v>
      </c>
      <c r="N21" s="3" t="s">
        <v>115</v>
      </c>
      <c r="O21" s="3">
        <v>1707523</v>
      </c>
      <c r="Q21" s="3">
        <f t="shared" si="3"/>
        <v>1011</v>
      </c>
      <c r="R21" s="3">
        <v>40000</v>
      </c>
      <c r="W21" s="3">
        <v>1</v>
      </c>
      <c r="X21" s="3">
        <v>11</v>
      </c>
      <c r="Y21" s="43"/>
    </row>
    <row r="22" spans="1:28" s="3" customFormat="1" x14ac:dyDescent="0.3">
      <c r="B22" s="3" t="str">
        <f t="shared" si="0"/>
        <v/>
      </c>
      <c r="C22" s="3" t="str">
        <f>IF($A22=0,"",IF(VLOOKUP($A22,成就条件映射!$A$4:$D$66,2)=0,"",VLOOKUP($A22,成就条件映射!$A$4:$D$66,2)))</f>
        <v/>
      </c>
      <c r="D22" s="3" t="str">
        <f>IF($A22=0,"",IF(VLOOKUP($A22,成就条件映射!$A$4:$D$66,3)=0,"",VLOOKUP($A22,成就条件映射!$A$4:$D$66,3)))</f>
        <v/>
      </c>
      <c r="E22" s="3" t="str">
        <f>IF($A22=0,"",IF(VLOOKUP($A22,成就条件映射!$A$4:$D$66,4)=0,"",VLOOKUP($A22,成就条件映射!$A$4:$D$66,4)))</f>
        <v/>
      </c>
      <c r="I22" s="3">
        <f>A19*100+J22</f>
        <v>101104</v>
      </c>
      <c r="J22" s="3">
        <f t="shared" si="1"/>
        <v>4</v>
      </c>
      <c r="K22" s="8"/>
      <c r="L22" s="8"/>
      <c r="M22" s="4" t="str">
        <f t="shared" si="2"/>
        <v>achievementAccumulative{achieveId:1011,count:70000}</v>
      </c>
      <c r="N22" s="3" t="s">
        <v>115</v>
      </c>
      <c r="O22" s="3">
        <v>1707524</v>
      </c>
      <c r="Q22" s="3">
        <f t="shared" si="3"/>
        <v>1011</v>
      </c>
      <c r="R22" s="3">
        <v>70000</v>
      </c>
      <c r="W22" s="3">
        <v>1</v>
      </c>
      <c r="X22" s="3">
        <v>11</v>
      </c>
      <c r="Y22" s="43"/>
    </row>
    <row r="23" spans="1:28" s="3" customFormat="1" x14ac:dyDescent="0.3">
      <c r="B23" s="3" t="str">
        <f t="shared" si="0"/>
        <v/>
      </c>
      <c r="C23" s="3" t="str">
        <f>IF($A23=0,"",IF(VLOOKUP($A23,成就条件映射!$A$4:$D$66,2)=0,"",VLOOKUP($A23,成就条件映射!$A$4:$D$66,2)))</f>
        <v/>
      </c>
      <c r="D23" s="3" t="str">
        <f>IF($A23=0,"",IF(VLOOKUP($A23,成就条件映射!$A$4:$D$66,3)=0,"",VLOOKUP($A23,成就条件映射!$A$4:$D$66,3)))</f>
        <v/>
      </c>
      <c r="E23" s="3" t="str">
        <f>IF($A23=0,"",IF(VLOOKUP($A23,成就条件映射!$A$4:$D$66,4)=0,"",VLOOKUP($A23,成就条件映射!$A$4:$D$66,4)))</f>
        <v/>
      </c>
      <c r="I23" s="3">
        <f>A19*100+J23</f>
        <v>101105</v>
      </c>
      <c r="J23" s="3">
        <f t="shared" si="1"/>
        <v>5</v>
      </c>
      <c r="K23" s="8"/>
      <c r="L23" s="8"/>
      <c r="M23" s="4" t="str">
        <f t="shared" si="2"/>
        <v>achievementAccumulative{achieveId:1011,count:80000}</v>
      </c>
      <c r="N23" s="3" t="s">
        <v>115</v>
      </c>
      <c r="O23" s="3">
        <v>1707525</v>
      </c>
      <c r="Q23" s="3">
        <f t="shared" si="3"/>
        <v>1011</v>
      </c>
      <c r="R23" s="3">
        <v>80000</v>
      </c>
      <c r="W23" s="3">
        <v>1</v>
      </c>
      <c r="X23" s="3">
        <v>11</v>
      </c>
      <c r="Y23" s="43"/>
    </row>
    <row r="24" spans="1:28" s="3" customFormat="1" x14ac:dyDescent="0.3">
      <c r="A24" s="3">
        <f>W24*1000+X24</f>
        <v>1012</v>
      </c>
      <c r="B24" s="3">
        <f t="shared" si="0"/>
        <v>1</v>
      </c>
      <c r="C24" s="3" t="s">
        <v>126</v>
      </c>
      <c r="D24" s="3" t="s">
        <v>127</v>
      </c>
      <c r="E24" s="3" t="s">
        <v>128</v>
      </c>
      <c r="F24" s="3">
        <v>2</v>
      </c>
      <c r="G24" s="3" t="s">
        <v>114</v>
      </c>
      <c r="H24" s="3" t="str">
        <f>"icon_silver_"&amp;Y24</f>
        <v>icon_silver_08</v>
      </c>
      <c r="I24" s="3">
        <f>A24*100+J24</f>
        <v>101201</v>
      </c>
      <c r="J24" s="3">
        <f t="shared" si="1"/>
        <v>1</v>
      </c>
      <c r="K24" s="8"/>
      <c r="L24" s="8"/>
      <c r="M24" s="4" t="str">
        <f t="shared" si="2"/>
        <v>achievementAccumulative{achieveId:1012,count:1500}</v>
      </c>
      <c r="N24" s="3" t="s">
        <v>115</v>
      </c>
      <c r="O24" s="3">
        <v>1707521</v>
      </c>
      <c r="Q24" s="3">
        <f t="shared" si="3"/>
        <v>1012</v>
      </c>
      <c r="R24" s="3">
        <v>1500</v>
      </c>
      <c r="W24" s="3">
        <v>1</v>
      </c>
      <c r="X24" s="3">
        <v>12</v>
      </c>
      <c r="Y24" s="43" t="s">
        <v>129</v>
      </c>
      <c r="Z24" t="str">
        <f>IF($A24=0,"",IF(VLOOKUP($A24,成就条件映射!$A$4:$D$66,2)=0,"",VLOOKUP($A24,成就条件映射!$A$4:$D$66,2)))</f>
        <v>一剑西来</v>
      </c>
      <c r="AA24" t="str">
        <f>IF($A24=0,"",IF(VLOOKUP($A24,成就条件映射!$A$4:$D$66,3)=0,"",VLOOKUP($A24,成就条件映射!$A$4:$D$66,3)))</f>
        <v>我方&lt;color=#ffc766&gt;剑士&lt;/color&gt;部队使用&lt;color=#ffc766&gt;固有&lt;/color&gt;&lt;color=#ffc766&gt;主动技能&lt;/color&gt;造成的&lt;color=#ffc766&gt;单次最大伤害量&lt;/color&gt;</v>
      </c>
      <c r="AB24" t="str">
        <f>IF($A24=0,"",IF(VLOOKUP($A24,成就条件映射!$A$4:$D$66,4)=0,"",VLOOKUP($A24,成就条件映射!$A$4:$D$66,4)))</f>
        <v>当前造成伤害</v>
      </c>
    </row>
    <row r="25" spans="1:28" s="3" customFormat="1" x14ac:dyDescent="0.3">
      <c r="B25" s="3" t="str">
        <f t="shared" si="0"/>
        <v/>
      </c>
      <c r="C25" s="3" t="str">
        <f>IF($A25=0,"",IF(VLOOKUP($A25,成就条件映射!$A$4:$D$66,2)=0,"",VLOOKUP($A25,成就条件映射!$A$4:$D$66,2)))</f>
        <v/>
      </c>
      <c r="D25" s="3" t="str">
        <f>IF($A25=0,"",IF(VLOOKUP($A25,成就条件映射!$A$4:$D$66,3)=0,"",VLOOKUP($A25,成就条件映射!$A$4:$D$66,3)))</f>
        <v/>
      </c>
      <c r="E25" s="3" t="str">
        <f>IF($A25=0,"",IF(VLOOKUP($A25,成就条件映射!$A$4:$D$66,4)=0,"",VLOOKUP($A25,成就条件映射!$A$4:$D$66,4)))</f>
        <v/>
      </c>
      <c r="I25" s="3">
        <f>A24*100+J25</f>
        <v>101202</v>
      </c>
      <c r="J25" s="3">
        <f t="shared" si="1"/>
        <v>2</v>
      </c>
      <c r="K25" s="8"/>
      <c r="L25" s="8"/>
      <c r="M25" s="4" t="str">
        <f t="shared" si="2"/>
        <v>achievementAccumulative{achieveId:1012,count:2800}</v>
      </c>
      <c r="N25" s="3" t="s">
        <v>115</v>
      </c>
      <c r="O25" s="3">
        <v>1707522</v>
      </c>
      <c r="Q25" s="3">
        <f t="shared" si="3"/>
        <v>1012</v>
      </c>
      <c r="R25" s="3">
        <v>2800</v>
      </c>
      <c r="W25" s="3">
        <v>1</v>
      </c>
      <c r="X25" s="3">
        <v>12</v>
      </c>
      <c r="Y25" s="43"/>
    </row>
    <row r="26" spans="1:28" s="3" customFormat="1" x14ac:dyDescent="0.3">
      <c r="B26" s="3" t="str">
        <f t="shared" si="0"/>
        <v/>
      </c>
      <c r="C26" s="3" t="str">
        <f>IF($A26=0,"",IF(VLOOKUP($A26,成就条件映射!$A$4:$D$66,2)=0,"",VLOOKUP($A26,成就条件映射!$A$4:$D$66,2)))</f>
        <v/>
      </c>
      <c r="D26" s="3" t="str">
        <f>IF($A26=0,"",IF(VLOOKUP($A26,成就条件映射!$A$4:$D$66,3)=0,"",VLOOKUP($A26,成就条件映射!$A$4:$D$66,3)))</f>
        <v/>
      </c>
      <c r="E26" s="3" t="str">
        <f>IF($A26=0,"",IF(VLOOKUP($A26,成就条件映射!$A$4:$D$66,4)=0,"",VLOOKUP($A26,成就条件映射!$A$4:$D$66,4)))</f>
        <v/>
      </c>
      <c r="I26" s="3">
        <f>A24*100+J26</f>
        <v>101203</v>
      </c>
      <c r="J26" s="3">
        <f t="shared" si="1"/>
        <v>3</v>
      </c>
      <c r="K26" s="8"/>
      <c r="L26" s="8"/>
      <c r="M26" s="4" t="str">
        <f t="shared" si="2"/>
        <v>achievementAccumulative{achieveId:1012,count:3500}</v>
      </c>
      <c r="N26" s="3" t="s">
        <v>115</v>
      </c>
      <c r="O26" s="3">
        <v>1707523</v>
      </c>
      <c r="Q26" s="3">
        <f t="shared" si="3"/>
        <v>1012</v>
      </c>
      <c r="R26" s="3">
        <v>3500</v>
      </c>
      <c r="W26" s="3">
        <v>1</v>
      </c>
      <c r="X26" s="3">
        <v>12</v>
      </c>
      <c r="Y26" s="43"/>
    </row>
    <row r="27" spans="1:28" s="3" customFormat="1" x14ac:dyDescent="0.3">
      <c r="B27" s="3" t="str">
        <f t="shared" si="0"/>
        <v/>
      </c>
      <c r="C27" s="3" t="str">
        <f>IF($A27=0,"",IF(VLOOKUP($A27,成就条件映射!$A$4:$D$66,2)=0,"",VLOOKUP($A27,成就条件映射!$A$4:$D$66,2)))</f>
        <v/>
      </c>
      <c r="D27" s="3" t="str">
        <f>IF($A27=0,"",IF(VLOOKUP($A27,成就条件映射!$A$4:$D$66,3)=0,"",VLOOKUP($A27,成就条件映射!$A$4:$D$66,3)))</f>
        <v/>
      </c>
      <c r="E27" s="3" t="str">
        <f>IF($A27=0,"",IF(VLOOKUP($A27,成就条件映射!$A$4:$D$66,4)=0,"",VLOOKUP($A27,成就条件映射!$A$4:$D$66,4)))</f>
        <v/>
      </c>
      <c r="I27" s="3">
        <f>A24*100+J27</f>
        <v>101204</v>
      </c>
      <c r="J27" s="3">
        <f t="shared" si="1"/>
        <v>4</v>
      </c>
      <c r="K27" s="8"/>
      <c r="L27" s="8"/>
      <c r="M27" s="4" t="str">
        <f t="shared" si="2"/>
        <v>achievementAccumulative{achieveId:1012,count:4200}</v>
      </c>
      <c r="N27" s="3" t="s">
        <v>115</v>
      </c>
      <c r="O27" s="3">
        <v>1707524</v>
      </c>
      <c r="Q27" s="3">
        <f t="shared" si="3"/>
        <v>1012</v>
      </c>
      <c r="R27" s="3">
        <v>4200</v>
      </c>
      <c r="W27" s="3">
        <v>1</v>
      </c>
      <c r="X27" s="3">
        <v>12</v>
      </c>
      <c r="Y27" s="43"/>
    </row>
    <row r="28" spans="1:28" s="3" customFormat="1" x14ac:dyDescent="0.3">
      <c r="B28" s="3" t="str">
        <f t="shared" si="0"/>
        <v/>
      </c>
      <c r="C28" s="3" t="str">
        <f>IF($A28=0,"",IF(VLOOKUP($A28,成就条件映射!$A$4:$D$66,2)=0,"",VLOOKUP($A28,成就条件映射!$A$4:$D$66,2)))</f>
        <v/>
      </c>
      <c r="D28" s="3" t="str">
        <f>IF($A28=0,"",IF(VLOOKUP($A28,成就条件映射!$A$4:$D$66,3)=0,"",VLOOKUP($A28,成就条件映射!$A$4:$D$66,3)))</f>
        <v/>
      </c>
      <c r="E28" s="3" t="str">
        <f>IF($A28=0,"",IF(VLOOKUP($A28,成就条件映射!$A$4:$D$66,4)=0,"",VLOOKUP($A28,成就条件映射!$A$4:$D$66,4)))</f>
        <v/>
      </c>
      <c r="I28" s="3">
        <f>A24*100+J28</f>
        <v>101205</v>
      </c>
      <c r="J28" s="3">
        <f t="shared" si="1"/>
        <v>5</v>
      </c>
      <c r="K28" s="8"/>
      <c r="L28" s="8"/>
      <c r="M28" s="4" t="str">
        <f t="shared" si="2"/>
        <v>achievementAccumulative{achieveId:1012,count:5300}</v>
      </c>
      <c r="N28" s="3" t="s">
        <v>115</v>
      </c>
      <c r="O28" s="3">
        <v>1707525</v>
      </c>
      <c r="Q28" s="3">
        <f t="shared" si="3"/>
        <v>1012</v>
      </c>
      <c r="R28" s="3">
        <v>5300</v>
      </c>
      <c r="W28" s="3">
        <v>1</v>
      </c>
      <c r="X28" s="3">
        <v>12</v>
      </c>
      <c r="Y28" s="43"/>
    </row>
    <row r="29" spans="1:28" s="3" customFormat="1" x14ac:dyDescent="0.3">
      <c r="A29" s="3">
        <f>W29*1000+X29</f>
        <v>1013</v>
      </c>
      <c r="C29" s="3" t="s">
        <v>130</v>
      </c>
      <c r="D29" s="3" t="s">
        <v>131</v>
      </c>
      <c r="E29" s="3" t="s">
        <v>113</v>
      </c>
      <c r="F29" s="3">
        <v>2</v>
      </c>
      <c r="G29" s="3" t="s">
        <v>114</v>
      </c>
      <c r="H29" s="3" t="str">
        <f>"icon_silver_"&amp;Y29</f>
        <v>icon_silver_09</v>
      </c>
      <c r="I29" s="3">
        <f>A29*100+J29</f>
        <v>101301</v>
      </c>
      <c r="J29" s="3">
        <f t="shared" si="1"/>
        <v>1</v>
      </c>
      <c r="K29" s="8"/>
      <c r="L29" s="8"/>
      <c r="M29" s="4" t="str">
        <f t="shared" si="2"/>
        <v>achievementAccumulative{achieveId:1013,count:1}</v>
      </c>
      <c r="N29" s="3" t="s">
        <v>115</v>
      </c>
      <c r="O29" s="3">
        <v>1707521</v>
      </c>
      <c r="Q29" s="3">
        <f t="shared" si="3"/>
        <v>1013</v>
      </c>
      <c r="R29" s="3">
        <v>1</v>
      </c>
      <c r="W29" s="3">
        <v>1</v>
      </c>
      <c r="X29" s="3">
        <v>13</v>
      </c>
      <c r="Y29" s="43" t="s">
        <v>132</v>
      </c>
      <c r="Z29" t="str">
        <f>IF($A29=0,"",IF(VLOOKUP($A29,成就条件映射!$A$4:$D$66,2)=0,"",VLOOKUP($A29,成就条件映射!$A$4:$D$66,2)))</f>
        <v>北斗七星阵</v>
      </c>
      <c r="AA29" t="str">
        <f>IF($A29=0,"",IF(VLOOKUP($A29,成就条件映射!$A$4:$D$66,3)=0,"",VLOOKUP($A29,成就条件映射!$A$4:$D$66,3)))</f>
        <v>&lt;color=#ffc766&gt;集结战斗&lt;/color&gt;中，我方&lt;color=#ffc766&gt;剑士&lt;/color&gt;部队使用&lt;color=#ffc766&gt;固有&lt;/color&gt;&lt;color=#ffc766&gt;主动技能&lt;/color&gt;累计造成的&lt;color=#ffc766&gt;伤害量&lt;/color&gt;</v>
      </c>
      <c r="AB29" t="str">
        <f>IF($A29=0,"",IF(VLOOKUP($A29,成就条件映射!$A$4:$D$66,4)=0,"",VLOOKUP($A29,成就条件映射!$A$4:$D$66,4)))</f>
        <v>当前累计伤害</v>
      </c>
    </row>
    <row r="30" spans="1:28" s="3" customFormat="1" x14ac:dyDescent="0.3">
      <c r="B30" s="3" t="str">
        <f t="shared" ref="B30:B43" si="4">IF(A30=0,"",INT(A30/1000))</f>
        <v/>
      </c>
      <c r="C30" s="3" t="str">
        <f>IF($A30=0,"",IF(VLOOKUP($A30,成就条件映射!$A$4:$D$66,2)=0,"",VLOOKUP($A30,成就条件映射!$A$4:$D$66,2)))</f>
        <v/>
      </c>
      <c r="D30" s="3" t="str">
        <f>IF($A30=0,"",IF(VLOOKUP($A30,成就条件映射!$A$4:$D$66,3)=0,"",VLOOKUP($A30,成就条件映射!$A$4:$D$66,3)))</f>
        <v/>
      </c>
      <c r="E30" s="3" t="str">
        <f>IF($A30=0,"",IF(VLOOKUP($A30,成就条件映射!$A$4:$D$66,4)=0,"",VLOOKUP($A30,成就条件映射!$A$4:$D$66,4)))</f>
        <v/>
      </c>
      <c r="I30" s="3">
        <f>A29*100+J30</f>
        <v>101302</v>
      </c>
      <c r="J30" s="3">
        <f t="shared" si="1"/>
        <v>2</v>
      </c>
      <c r="K30" s="8"/>
      <c r="L30" s="8"/>
      <c r="M30" s="4" t="str">
        <f t="shared" si="2"/>
        <v>achievementAccumulative{achieveId:1013,count:2}</v>
      </c>
      <c r="N30" s="3" t="s">
        <v>115</v>
      </c>
      <c r="O30" s="3">
        <v>1707522</v>
      </c>
      <c r="Q30" s="3">
        <f t="shared" si="3"/>
        <v>1013</v>
      </c>
      <c r="R30" s="3">
        <v>2</v>
      </c>
      <c r="W30" s="3">
        <v>1</v>
      </c>
      <c r="X30" s="3">
        <v>13</v>
      </c>
      <c r="Y30" s="43"/>
    </row>
    <row r="31" spans="1:28" s="3" customFormat="1" x14ac:dyDescent="0.3">
      <c r="B31" s="3" t="str">
        <f t="shared" si="4"/>
        <v/>
      </c>
      <c r="C31" s="3" t="str">
        <f>IF($A31=0,"",IF(VLOOKUP($A31,成就条件映射!$A$4:$D$66,2)=0,"",VLOOKUP($A31,成就条件映射!$A$4:$D$66,2)))</f>
        <v/>
      </c>
      <c r="D31" s="3" t="str">
        <f>IF($A31=0,"",IF(VLOOKUP($A31,成就条件映射!$A$4:$D$66,3)=0,"",VLOOKUP($A31,成就条件映射!$A$4:$D$66,3)))</f>
        <v/>
      </c>
      <c r="E31" s="3" t="str">
        <f>IF($A31=0,"",IF(VLOOKUP($A31,成就条件映射!$A$4:$D$66,4)=0,"",VLOOKUP($A31,成就条件映射!$A$4:$D$66,4)))</f>
        <v/>
      </c>
      <c r="I31" s="3">
        <f>A29*100+J31</f>
        <v>101303</v>
      </c>
      <c r="J31" s="3">
        <f t="shared" si="1"/>
        <v>3</v>
      </c>
      <c r="K31" s="8"/>
      <c r="L31" s="8"/>
      <c r="M31" s="4" t="str">
        <f t="shared" si="2"/>
        <v>achievementAccumulative{achieveId:1013,count:3}</v>
      </c>
      <c r="N31" s="3" t="s">
        <v>115</v>
      </c>
      <c r="O31" s="3">
        <v>1707523</v>
      </c>
      <c r="Q31" s="3">
        <f t="shared" si="3"/>
        <v>1013</v>
      </c>
      <c r="R31" s="3">
        <v>3</v>
      </c>
      <c r="W31" s="3">
        <v>1</v>
      </c>
      <c r="X31" s="3">
        <v>13</v>
      </c>
      <c r="Y31" s="43"/>
    </row>
    <row r="32" spans="1:28" s="3" customFormat="1" x14ac:dyDescent="0.3">
      <c r="B32" s="3" t="str">
        <f t="shared" si="4"/>
        <v/>
      </c>
      <c r="C32" s="3" t="str">
        <f>IF($A32=0,"",IF(VLOOKUP($A32,成就条件映射!$A$4:$D$66,2)=0,"",VLOOKUP($A32,成就条件映射!$A$4:$D$66,2)))</f>
        <v/>
      </c>
      <c r="D32" s="3" t="str">
        <f>IF($A32=0,"",IF(VLOOKUP($A32,成就条件映射!$A$4:$D$66,3)=0,"",VLOOKUP($A32,成就条件映射!$A$4:$D$66,3)))</f>
        <v/>
      </c>
      <c r="E32" s="3" t="str">
        <f>IF($A32=0,"",IF(VLOOKUP($A32,成就条件映射!$A$4:$D$66,4)=0,"",VLOOKUP($A32,成就条件映射!$A$4:$D$66,4)))</f>
        <v/>
      </c>
      <c r="I32" s="3">
        <f>A29*100+J32</f>
        <v>101304</v>
      </c>
      <c r="J32" s="3">
        <f t="shared" si="1"/>
        <v>4</v>
      </c>
      <c r="K32" s="8"/>
      <c r="L32" s="8"/>
      <c r="M32" s="4" t="str">
        <f t="shared" si="2"/>
        <v>achievementAccumulative{achieveId:1013,count:4}</v>
      </c>
      <c r="N32" s="3" t="s">
        <v>115</v>
      </c>
      <c r="O32" s="3">
        <v>1707524</v>
      </c>
      <c r="Q32" s="3">
        <f t="shared" si="3"/>
        <v>1013</v>
      </c>
      <c r="R32" s="3">
        <v>4</v>
      </c>
      <c r="W32" s="3">
        <v>1</v>
      </c>
      <c r="X32" s="3">
        <v>13</v>
      </c>
      <c r="Y32" s="43"/>
    </row>
    <row r="33" spans="1:28" s="3" customFormat="1" x14ac:dyDescent="0.3">
      <c r="B33" s="3" t="str">
        <f t="shared" si="4"/>
        <v/>
      </c>
      <c r="C33" s="3" t="str">
        <f>IF($A33=0,"",IF(VLOOKUP($A33,成就条件映射!$A$4:$D$66,2)=0,"",VLOOKUP($A33,成就条件映射!$A$4:$D$66,2)))</f>
        <v/>
      </c>
      <c r="D33" s="3" t="str">
        <f>IF($A33=0,"",IF(VLOOKUP($A33,成就条件映射!$A$4:$D$66,3)=0,"",VLOOKUP($A33,成就条件映射!$A$4:$D$66,3)))</f>
        <v/>
      </c>
      <c r="E33" s="3" t="str">
        <f>IF($A33=0,"",IF(VLOOKUP($A33,成就条件映射!$A$4:$D$66,4)=0,"",VLOOKUP($A33,成就条件映射!$A$4:$D$66,4)))</f>
        <v/>
      </c>
      <c r="I33" s="3">
        <f>A29*100+J33</f>
        <v>101305</v>
      </c>
      <c r="J33" s="3">
        <f t="shared" si="1"/>
        <v>5</v>
      </c>
      <c r="K33" s="8"/>
      <c r="L33" s="8"/>
      <c r="M33" s="4" t="str">
        <f t="shared" si="2"/>
        <v>achievementAccumulative{achieveId:1013,count:5}</v>
      </c>
      <c r="N33" s="3" t="s">
        <v>115</v>
      </c>
      <c r="O33" s="3">
        <v>1707525</v>
      </c>
      <c r="Q33" s="3">
        <f t="shared" si="3"/>
        <v>1013</v>
      </c>
      <c r="R33" s="3">
        <v>5</v>
      </c>
      <c r="W33" s="3">
        <v>1</v>
      </c>
      <c r="X33" s="3">
        <v>13</v>
      </c>
      <c r="Y33" s="43"/>
    </row>
    <row r="34" spans="1:28" s="3" customFormat="1" x14ac:dyDescent="0.3">
      <c r="A34" s="3">
        <f>W34*1000+X34</f>
        <v>1021</v>
      </c>
      <c r="B34" s="3">
        <f t="shared" si="4"/>
        <v>1</v>
      </c>
      <c r="C34" s="3" t="s">
        <v>133</v>
      </c>
      <c r="D34" s="3" t="s">
        <v>134</v>
      </c>
      <c r="E34" s="3" t="s">
        <v>135</v>
      </c>
      <c r="F34" s="3">
        <v>3</v>
      </c>
      <c r="G34" s="3" t="s">
        <v>114</v>
      </c>
      <c r="H34" s="3" t="str">
        <f>"icon_kim_"&amp;Y34</f>
        <v>icon_kim_20</v>
      </c>
      <c r="I34" s="3">
        <f>A34*100+J34</f>
        <v>102101</v>
      </c>
      <c r="J34" s="3">
        <f t="shared" si="1"/>
        <v>1</v>
      </c>
      <c r="K34" s="8"/>
      <c r="L34" s="8"/>
      <c r="M34" s="4" t="str">
        <f t="shared" si="2"/>
        <v>achievementAccumulative{achieveId:1021,count:50}</v>
      </c>
      <c r="N34" s="3" t="s">
        <v>115</v>
      </c>
      <c r="O34" s="3">
        <v>1707531</v>
      </c>
      <c r="Q34" s="3">
        <f t="shared" si="3"/>
        <v>1021</v>
      </c>
      <c r="R34" s="3">
        <v>50</v>
      </c>
      <c r="W34" s="3">
        <v>1</v>
      </c>
      <c r="X34" s="3">
        <v>21</v>
      </c>
      <c r="Y34" s="43" t="s">
        <v>136</v>
      </c>
      <c r="Z34" t="str">
        <f>IF($A34=0,"",IF(VLOOKUP($A34,成就条件映射!$A$4:$D$66,2)=0,"",VLOOKUP($A34,成就条件映射!$A$4:$D$66,2)))</f>
        <v>兵家至圣</v>
      </c>
      <c r="AA34" t="str">
        <f>IF($A34=0,"",IF(VLOOKUP($A34,成就条件映射!$A$4:$D$66,3)=0,"",VLOOKUP($A34,成就条件映射!$A$4:$D$66,3)))</f>
        <v>我方部队进入&lt;color=#ffc766&gt;兵圣状态&lt;/color&gt;的次数</v>
      </c>
      <c r="AB34" t="str">
        <f>IF($A34=0,"",IF(VLOOKUP($A34,成就条件映射!$A$4:$D$66,4)=0,"",VLOOKUP($A34,成就条件映射!$A$4:$D$66,4)))</f>
        <v>当前累计次数</v>
      </c>
    </row>
    <row r="35" spans="1:28" s="3" customFormat="1" x14ac:dyDescent="0.3">
      <c r="B35" s="3" t="str">
        <f t="shared" si="4"/>
        <v/>
      </c>
      <c r="C35" s="3" t="str">
        <f>IF($A35=0,"",IF(VLOOKUP($A35,成就条件映射!$A$4:$D$66,2)=0,"",VLOOKUP($A35,成就条件映射!$A$4:$D$66,2)))</f>
        <v/>
      </c>
      <c r="D35" s="3" t="str">
        <f>IF($A35=0,"",IF(VLOOKUP($A35,成就条件映射!$A$4:$D$66,3)=0,"",VLOOKUP($A35,成就条件映射!$A$4:$D$66,3)))</f>
        <v/>
      </c>
      <c r="E35" s="3" t="str">
        <f>IF($A35=0,"",IF(VLOOKUP($A35,成就条件映射!$A$4:$D$66,4)=0,"",VLOOKUP($A35,成就条件映射!$A$4:$D$66,4)))</f>
        <v/>
      </c>
      <c r="I35" s="3">
        <f>A34*100+J35</f>
        <v>102102</v>
      </c>
      <c r="J35" s="3">
        <f t="shared" si="1"/>
        <v>2</v>
      </c>
      <c r="K35" s="8"/>
      <c r="L35" s="8"/>
      <c r="M35" s="4" t="str">
        <f t="shared" si="2"/>
        <v>achievementAccumulative{achieveId:1021,count:300}</v>
      </c>
      <c r="N35" s="3" t="s">
        <v>115</v>
      </c>
      <c r="O35" s="3">
        <v>1707532</v>
      </c>
      <c r="Q35" s="3">
        <f t="shared" si="3"/>
        <v>1021</v>
      </c>
      <c r="R35" s="3">
        <v>300</v>
      </c>
      <c r="W35" s="3">
        <v>1</v>
      </c>
      <c r="X35" s="3">
        <v>21</v>
      </c>
      <c r="Y35" s="43"/>
    </row>
    <row r="36" spans="1:28" s="3" customFormat="1" x14ac:dyDescent="0.3">
      <c r="B36" s="3" t="str">
        <f t="shared" si="4"/>
        <v/>
      </c>
      <c r="C36" s="3" t="str">
        <f>IF($A36=0,"",IF(VLOOKUP($A36,成就条件映射!$A$4:$D$66,2)=0,"",VLOOKUP($A36,成就条件映射!$A$4:$D$66,2)))</f>
        <v/>
      </c>
      <c r="D36" s="3" t="str">
        <f>IF($A36=0,"",IF(VLOOKUP($A36,成就条件映射!$A$4:$D$66,3)=0,"",VLOOKUP($A36,成就条件映射!$A$4:$D$66,3)))</f>
        <v/>
      </c>
      <c r="E36" s="3" t="str">
        <f>IF($A36=0,"",IF(VLOOKUP($A36,成就条件映射!$A$4:$D$66,4)=0,"",VLOOKUP($A36,成就条件映射!$A$4:$D$66,4)))</f>
        <v/>
      </c>
      <c r="I36" s="3">
        <f>A34*100+J36</f>
        <v>102103</v>
      </c>
      <c r="J36" s="3">
        <f t="shared" si="1"/>
        <v>3</v>
      </c>
      <c r="K36" s="8"/>
      <c r="L36" s="8"/>
      <c r="M36" s="4" t="str">
        <f t="shared" si="2"/>
        <v>achievementAccumulative{achieveId:1021,count:1000}</v>
      </c>
      <c r="N36" s="3" t="s">
        <v>115</v>
      </c>
      <c r="O36" s="3">
        <v>1707533</v>
      </c>
      <c r="Q36" s="3">
        <f t="shared" si="3"/>
        <v>1021</v>
      </c>
      <c r="R36" s="3">
        <v>1000</v>
      </c>
      <c r="W36" s="3">
        <v>1</v>
      </c>
      <c r="X36" s="3">
        <v>21</v>
      </c>
      <c r="Y36" s="43"/>
    </row>
    <row r="37" spans="1:28" s="3" customFormat="1" x14ac:dyDescent="0.3">
      <c r="B37" s="3" t="str">
        <f t="shared" si="4"/>
        <v/>
      </c>
      <c r="C37" s="3" t="str">
        <f>IF($A37=0,"",IF(VLOOKUP($A37,成就条件映射!$A$4:$D$66,2)=0,"",VLOOKUP($A37,成就条件映射!$A$4:$D$66,2)))</f>
        <v/>
      </c>
      <c r="D37" s="3" t="str">
        <f>IF($A37=0,"",IF(VLOOKUP($A37,成就条件映射!$A$4:$D$66,3)=0,"",VLOOKUP($A37,成就条件映射!$A$4:$D$66,3)))</f>
        <v/>
      </c>
      <c r="E37" s="3" t="str">
        <f>IF($A37=0,"",IF(VLOOKUP($A37,成就条件映射!$A$4:$D$66,4)=0,"",VLOOKUP($A37,成就条件映射!$A$4:$D$66,4)))</f>
        <v/>
      </c>
      <c r="I37" s="3">
        <f>A34*100+J37</f>
        <v>102104</v>
      </c>
      <c r="J37" s="3">
        <f t="shared" si="1"/>
        <v>4</v>
      </c>
      <c r="K37" s="8"/>
      <c r="L37" s="8"/>
      <c r="M37" s="4" t="str">
        <f t="shared" si="2"/>
        <v>achievementAccumulative{achieveId:1021,count:3000}</v>
      </c>
      <c r="N37" s="3" t="s">
        <v>115</v>
      </c>
      <c r="O37" s="3">
        <v>1707534</v>
      </c>
      <c r="Q37" s="3">
        <f t="shared" si="3"/>
        <v>1021</v>
      </c>
      <c r="R37" s="3">
        <v>3000</v>
      </c>
      <c r="W37" s="3">
        <v>1</v>
      </c>
      <c r="X37" s="3">
        <v>21</v>
      </c>
      <c r="Y37" s="43"/>
    </row>
    <row r="38" spans="1:28" s="3" customFormat="1" x14ac:dyDescent="0.3">
      <c r="B38" s="3" t="str">
        <f t="shared" si="4"/>
        <v/>
      </c>
      <c r="C38" s="3" t="str">
        <f>IF($A38=0,"",IF(VLOOKUP($A38,成就条件映射!$A$4:$D$66,2)=0,"",VLOOKUP($A38,成就条件映射!$A$4:$D$66,2)))</f>
        <v/>
      </c>
      <c r="D38" s="3" t="str">
        <f>IF($A38=0,"",IF(VLOOKUP($A38,成就条件映射!$A$4:$D$66,3)=0,"",VLOOKUP($A38,成就条件映射!$A$4:$D$66,3)))</f>
        <v/>
      </c>
      <c r="E38" s="3" t="str">
        <f>IF($A38=0,"",IF(VLOOKUP($A38,成就条件映射!$A$4:$D$66,4)=0,"",VLOOKUP($A38,成就条件映射!$A$4:$D$66,4)))</f>
        <v/>
      </c>
      <c r="I38" s="3">
        <f>A34*100+J38</f>
        <v>102105</v>
      </c>
      <c r="J38" s="3">
        <f t="shared" si="1"/>
        <v>5</v>
      </c>
      <c r="K38" s="8"/>
      <c r="L38" s="8"/>
      <c r="M38" s="4" t="str">
        <f t="shared" si="2"/>
        <v>achievementAccumulative{achieveId:1021,count:6000}</v>
      </c>
      <c r="N38" s="3" t="s">
        <v>115</v>
      </c>
      <c r="O38" s="3">
        <v>1707535</v>
      </c>
      <c r="Q38" s="3">
        <f t="shared" si="3"/>
        <v>1021</v>
      </c>
      <c r="R38" s="3">
        <v>6000</v>
      </c>
      <c r="W38" s="3">
        <v>1</v>
      </c>
      <c r="X38" s="3">
        <v>21</v>
      </c>
      <c r="Y38" s="43"/>
    </row>
    <row r="39" spans="1:28" s="3" customFormat="1" x14ac:dyDescent="0.3">
      <c r="A39" s="3">
        <f>W39*1000+X39</f>
        <v>1022</v>
      </c>
      <c r="B39" s="3">
        <f t="shared" si="4"/>
        <v>1</v>
      </c>
      <c r="C39" s="3" t="s">
        <v>137</v>
      </c>
      <c r="D39" s="3" t="s">
        <v>138</v>
      </c>
      <c r="E39" s="3" t="s">
        <v>135</v>
      </c>
      <c r="F39" s="3">
        <v>3</v>
      </c>
      <c r="G39" s="3" t="s">
        <v>114</v>
      </c>
      <c r="H39" s="3" t="str">
        <f>"icon_kim_"&amp;Y39</f>
        <v>icon_kim_05</v>
      </c>
      <c r="I39" s="3">
        <f>A39*100+J39</f>
        <v>102201</v>
      </c>
      <c r="J39" s="3">
        <f t="shared" si="1"/>
        <v>1</v>
      </c>
      <c r="K39" s="8"/>
      <c r="L39" s="8"/>
      <c r="M39" s="4" t="str">
        <f t="shared" si="2"/>
        <v>achievementAccumulative{achieveId:1022,count:40}</v>
      </c>
      <c r="N39" s="3" t="s">
        <v>115</v>
      </c>
      <c r="O39" s="3">
        <v>1707531</v>
      </c>
      <c r="Q39" s="3">
        <f t="shared" si="3"/>
        <v>1022</v>
      </c>
      <c r="R39" s="3">
        <v>40</v>
      </c>
      <c r="W39" s="3">
        <v>1</v>
      </c>
      <c r="X39" s="3">
        <v>22</v>
      </c>
      <c r="Y39" s="43" t="s">
        <v>139</v>
      </c>
      <c r="Z39" t="str">
        <f>IF($A39=0,"",IF(VLOOKUP($A39,成就条件映射!$A$4:$D$66,2)=0,"",VLOOKUP($A39,成就条件映射!$A$4:$D$66,2)))</f>
        <v>决胜须臾</v>
      </c>
      <c r="AA39" t="str">
        <f>IF($A39=0,"",IF(VLOOKUP($A39,成就条件映射!$A$4:$D$66,3)=0,"",VLOOKUP($A39,成就条件映射!$A$4:$D$66,3)))</f>
        <v>我方&lt;color=#ffc766&gt;剑士&lt;/color&gt;部队&lt;color=#ffc766&gt;准备技能&lt;/color&gt;进入准备状态后，&lt;color=#ffc766&gt;直接发动效果&lt;/color&gt;的总次数</v>
      </c>
      <c r="AB39" t="str">
        <f>IF($A39=0,"",IF(VLOOKUP($A39,成就条件映射!$A$4:$D$66,4)=0,"",VLOOKUP($A39,成就条件映射!$A$4:$D$66,4)))</f>
        <v>当前累计次数</v>
      </c>
    </row>
    <row r="40" spans="1:28" s="3" customFormat="1" x14ac:dyDescent="0.3">
      <c r="B40" s="3" t="str">
        <f t="shared" si="4"/>
        <v/>
      </c>
      <c r="C40" s="3" t="str">
        <f>IF($A40=0,"",IF(VLOOKUP($A40,成就条件映射!$A$4:$D$66,2)=0,"",VLOOKUP($A40,成就条件映射!$A$4:$D$66,2)))</f>
        <v/>
      </c>
      <c r="D40" s="3" t="str">
        <f>IF($A40=0,"",IF(VLOOKUP($A40,成就条件映射!$A$4:$D$66,3)=0,"",VLOOKUP($A40,成就条件映射!$A$4:$D$66,3)))</f>
        <v/>
      </c>
      <c r="E40" s="3" t="str">
        <f>IF($A40=0,"",IF(VLOOKUP($A40,成就条件映射!$A$4:$D$66,4)=0,"",VLOOKUP($A40,成就条件映射!$A$4:$D$66,4)))</f>
        <v/>
      </c>
      <c r="I40" s="3">
        <f>A39*100+J40</f>
        <v>102202</v>
      </c>
      <c r="J40" s="3">
        <f t="shared" si="1"/>
        <v>2</v>
      </c>
      <c r="K40" s="8"/>
      <c r="L40" s="8"/>
      <c r="M40" s="4" t="str">
        <f t="shared" si="2"/>
        <v>achievementAccumulative{achieveId:1022,count:240}</v>
      </c>
      <c r="N40" s="3" t="s">
        <v>115</v>
      </c>
      <c r="O40" s="3">
        <v>1707532</v>
      </c>
      <c r="Q40" s="3">
        <f t="shared" si="3"/>
        <v>1022</v>
      </c>
      <c r="R40" s="3">
        <v>240</v>
      </c>
      <c r="W40" s="3">
        <v>1</v>
      </c>
      <c r="X40" s="3">
        <v>22</v>
      </c>
      <c r="Y40" s="43"/>
    </row>
    <row r="41" spans="1:28" s="3" customFormat="1" x14ac:dyDescent="0.3">
      <c r="B41" s="3" t="str">
        <f t="shared" si="4"/>
        <v/>
      </c>
      <c r="C41" s="3" t="str">
        <f>IF($A41=0,"",IF(VLOOKUP($A41,成就条件映射!$A$4:$D$66,2)=0,"",VLOOKUP($A41,成就条件映射!$A$4:$D$66,2)))</f>
        <v/>
      </c>
      <c r="D41" s="3" t="str">
        <f>IF($A41=0,"",IF(VLOOKUP($A41,成就条件映射!$A$4:$D$66,3)=0,"",VLOOKUP($A41,成就条件映射!$A$4:$D$66,3)))</f>
        <v/>
      </c>
      <c r="E41" s="3" t="str">
        <f>IF($A41=0,"",IF(VLOOKUP($A41,成就条件映射!$A$4:$D$66,4)=0,"",VLOOKUP($A41,成就条件映射!$A$4:$D$66,4)))</f>
        <v/>
      </c>
      <c r="I41" s="3">
        <f>A39*100+J41</f>
        <v>102203</v>
      </c>
      <c r="J41" s="3">
        <f t="shared" si="1"/>
        <v>3</v>
      </c>
      <c r="K41" s="8"/>
      <c r="L41" s="8"/>
      <c r="M41" s="4" t="str">
        <f t="shared" si="2"/>
        <v>achievementAccumulative{achieveId:1022,count:1000}</v>
      </c>
      <c r="N41" s="3" t="s">
        <v>115</v>
      </c>
      <c r="O41" s="3">
        <v>1707533</v>
      </c>
      <c r="Q41" s="3">
        <f t="shared" si="3"/>
        <v>1022</v>
      </c>
      <c r="R41" s="3">
        <v>1000</v>
      </c>
      <c r="W41" s="3">
        <v>1</v>
      </c>
      <c r="X41" s="3">
        <v>22</v>
      </c>
      <c r="Y41" s="43"/>
    </row>
    <row r="42" spans="1:28" s="3" customFormat="1" x14ac:dyDescent="0.3">
      <c r="B42" s="3" t="str">
        <f t="shared" si="4"/>
        <v/>
      </c>
      <c r="C42" s="3" t="str">
        <f>IF($A42=0,"",IF(VLOOKUP($A42,成就条件映射!$A$4:$D$66,2)=0,"",VLOOKUP($A42,成就条件映射!$A$4:$D$66,2)))</f>
        <v/>
      </c>
      <c r="D42" s="3" t="str">
        <f>IF($A42=0,"",IF(VLOOKUP($A42,成就条件映射!$A$4:$D$66,3)=0,"",VLOOKUP($A42,成就条件映射!$A$4:$D$66,3)))</f>
        <v/>
      </c>
      <c r="E42" s="3" t="str">
        <f>IF($A42=0,"",IF(VLOOKUP($A42,成就条件映射!$A$4:$D$66,4)=0,"",VLOOKUP($A42,成就条件映射!$A$4:$D$66,4)))</f>
        <v/>
      </c>
      <c r="I42" s="3">
        <f>A39*100+J42</f>
        <v>102204</v>
      </c>
      <c r="J42" s="3">
        <f t="shared" si="1"/>
        <v>4</v>
      </c>
      <c r="K42" s="8"/>
      <c r="L42" s="8"/>
      <c r="M42" s="4" t="str">
        <f t="shared" si="2"/>
        <v>achievementAccumulative{achieveId:1022,count:3000}</v>
      </c>
      <c r="N42" s="3" t="s">
        <v>115</v>
      </c>
      <c r="O42" s="3">
        <v>1707534</v>
      </c>
      <c r="Q42" s="3">
        <f t="shared" si="3"/>
        <v>1022</v>
      </c>
      <c r="R42" s="3">
        <v>3000</v>
      </c>
      <c r="W42" s="3">
        <v>1</v>
      </c>
      <c r="X42" s="3">
        <v>22</v>
      </c>
      <c r="Y42" s="43"/>
    </row>
    <row r="43" spans="1:28" s="3" customFormat="1" x14ac:dyDescent="0.3">
      <c r="B43" s="3" t="str">
        <f t="shared" si="4"/>
        <v/>
      </c>
      <c r="C43" s="3" t="str">
        <f>IF($A43=0,"",IF(VLOOKUP($A43,成就条件映射!$A$4:$D$66,2)=0,"",VLOOKUP($A43,成就条件映射!$A$4:$D$66,2)))</f>
        <v/>
      </c>
      <c r="D43" s="3" t="str">
        <f>IF($A43=0,"",IF(VLOOKUP($A43,成就条件映射!$A$4:$D$66,3)=0,"",VLOOKUP($A43,成就条件映射!$A$4:$D$66,3)))</f>
        <v/>
      </c>
      <c r="E43" s="3" t="str">
        <f>IF($A43=0,"",IF(VLOOKUP($A43,成就条件映射!$A$4:$D$66,4)=0,"",VLOOKUP($A43,成就条件映射!$A$4:$D$66,4)))</f>
        <v/>
      </c>
      <c r="I43" s="3">
        <f>A39*100+J43</f>
        <v>102205</v>
      </c>
      <c r="J43" s="3">
        <f t="shared" si="1"/>
        <v>5</v>
      </c>
      <c r="K43" s="8"/>
      <c r="L43" s="8"/>
      <c r="M43" s="4" t="str">
        <f t="shared" si="2"/>
        <v>achievementAccumulative{achieveId:1022,count:5000}</v>
      </c>
      <c r="N43" s="3" t="s">
        <v>115</v>
      </c>
      <c r="O43" s="3">
        <v>1707535</v>
      </c>
      <c r="Q43" s="3">
        <f t="shared" si="3"/>
        <v>1022</v>
      </c>
      <c r="R43" s="3">
        <v>5000</v>
      </c>
      <c r="W43" s="3">
        <v>1</v>
      </c>
      <c r="X43" s="3">
        <v>22</v>
      </c>
      <c r="Y43" s="43"/>
    </row>
    <row r="44" spans="1:28" s="3" customFormat="1" x14ac:dyDescent="0.3">
      <c r="A44" s="3">
        <f>W44*1000+X44</f>
        <v>1023</v>
      </c>
      <c r="C44" s="3" t="str">
        <f>IF($A44=0,"",IF(VLOOKUP($A44,成就条件映射!$A$4:$D$66,2)=0,"",VLOOKUP($A44,成就条件映射!$A$4:$D$66,2)))</f>
        <v/>
      </c>
      <c r="D44" s="3" t="str">
        <f>IF($A44=0,"",IF(VLOOKUP($A44,成就条件映射!$A$4:$D$66,3)=0,"",VLOOKUP($A44,成就条件映射!$A$4:$D$66,3)))</f>
        <v/>
      </c>
      <c r="E44" s="3" t="str">
        <f>IF($A44=0,"",IF(VLOOKUP($A44,成就条件映射!$A$4:$D$66,4)=0,"",VLOOKUP($A44,成就条件映射!$A$4:$D$66,4)))</f>
        <v/>
      </c>
      <c r="F44" s="3">
        <v>3</v>
      </c>
      <c r="G44" s="3" t="s">
        <v>114</v>
      </c>
      <c r="H44" s="3" t="str">
        <f>"icon_kim_"&amp;Y44</f>
        <v>icon_kim_</v>
      </c>
      <c r="I44" s="3">
        <f>A44*100+J44</f>
        <v>102301</v>
      </c>
      <c r="J44" s="3">
        <f t="shared" si="1"/>
        <v>1</v>
      </c>
      <c r="K44" s="8"/>
      <c r="L44" s="8"/>
      <c r="M44" s="4" t="str">
        <f t="shared" si="2"/>
        <v>achievementAccumulative{achieveId:1023,count:1}</v>
      </c>
      <c r="N44" s="3" t="s">
        <v>115</v>
      </c>
      <c r="O44" s="3">
        <v>1707531</v>
      </c>
      <c r="Q44" s="3">
        <f t="shared" si="3"/>
        <v>1023</v>
      </c>
      <c r="R44" s="3">
        <v>1</v>
      </c>
      <c r="W44" s="3">
        <v>1</v>
      </c>
      <c r="X44" s="3">
        <v>23</v>
      </c>
      <c r="Y44" s="43"/>
    </row>
    <row r="45" spans="1:28" s="3" customFormat="1" x14ac:dyDescent="0.3">
      <c r="B45" s="3" t="str">
        <f t="shared" ref="B45:B73" si="5">IF(A45=0,"",INT(A45/1000))</f>
        <v/>
      </c>
      <c r="C45" s="3" t="str">
        <f>IF($A45=0,"",IF(VLOOKUP($A45,成就条件映射!$A$4:$D$66,2)=0,"",VLOOKUP($A45,成就条件映射!$A$4:$D$66,2)))</f>
        <v/>
      </c>
      <c r="D45" s="3" t="str">
        <f>IF($A45=0,"",IF(VLOOKUP($A45,成就条件映射!$A$4:$D$66,3)=0,"",VLOOKUP($A45,成就条件映射!$A$4:$D$66,3)))</f>
        <v/>
      </c>
      <c r="E45" s="3" t="str">
        <f>IF($A45=0,"",IF(VLOOKUP($A45,成就条件映射!$A$4:$D$66,4)=0,"",VLOOKUP($A45,成就条件映射!$A$4:$D$66,4)))</f>
        <v/>
      </c>
      <c r="I45" s="3">
        <f>A44*100+J45</f>
        <v>102302</v>
      </c>
      <c r="J45" s="3">
        <f t="shared" si="1"/>
        <v>2</v>
      </c>
      <c r="K45" s="8"/>
      <c r="L45" s="8"/>
      <c r="M45" s="4" t="str">
        <f t="shared" si="2"/>
        <v>achievementAccumulative{achieveId:1023,count:2}</v>
      </c>
      <c r="N45" s="3" t="s">
        <v>115</v>
      </c>
      <c r="O45" s="3">
        <v>1707532</v>
      </c>
      <c r="Q45" s="3">
        <f t="shared" si="3"/>
        <v>1023</v>
      </c>
      <c r="R45" s="3">
        <v>2</v>
      </c>
      <c r="W45" s="3">
        <v>1</v>
      </c>
      <c r="X45" s="3">
        <v>23</v>
      </c>
      <c r="Y45" s="43"/>
    </row>
    <row r="46" spans="1:28" s="3" customFormat="1" x14ac:dyDescent="0.3">
      <c r="B46" s="3" t="str">
        <f t="shared" si="5"/>
        <v/>
      </c>
      <c r="C46" s="3" t="str">
        <f>IF($A46=0,"",IF(VLOOKUP($A46,成就条件映射!$A$4:$D$66,2)=0,"",VLOOKUP($A46,成就条件映射!$A$4:$D$66,2)))</f>
        <v/>
      </c>
      <c r="D46" s="3" t="str">
        <f>IF($A46=0,"",IF(VLOOKUP($A46,成就条件映射!$A$4:$D$66,3)=0,"",VLOOKUP($A46,成就条件映射!$A$4:$D$66,3)))</f>
        <v/>
      </c>
      <c r="E46" s="3" t="str">
        <f>IF($A46=0,"",IF(VLOOKUP($A46,成就条件映射!$A$4:$D$66,4)=0,"",VLOOKUP($A46,成就条件映射!$A$4:$D$66,4)))</f>
        <v/>
      </c>
      <c r="I46" s="3">
        <f>A44*100+J46</f>
        <v>102303</v>
      </c>
      <c r="J46" s="3">
        <f t="shared" si="1"/>
        <v>3</v>
      </c>
      <c r="K46" s="8"/>
      <c r="L46" s="8"/>
      <c r="M46" s="4" t="str">
        <f t="shared" si="2"/>
        <v>achievementAccumulative{achieveId:1023,count:3}</v>
      </c>
      <c r="N46" s="3" t="s">
        <v>115</v>
      </c>
      <c r="O46" s="3">
        <v>1707533</v>
      </c>
      <c r="Q46" s="3">
        <f t="shared" si="3"/>
        <v>1023</v>
      </c>
      <c r="R46" s="3">
        <v>3</v>
      </c>
      <c r="W46" s="3">
        <v>1</v>
      </c>
      <c r="X46" s="3">
        <v>23</v>
      </c>
      <c r="Y46" s="43"/>
    </row>
    <row r="47" spans="1:28" s="3" customFormat="1" x14ac:dyDescent="0.3">
      <c r="B47" s="3" t="str">
        <f t="shared" si="5"/>
        <v/>
      </c>
      <c r="C47" s="3" t="str">
        <f>IF($A47=0,"",IF(VLOOKUP($A47,成就条件映射!$A$4:$D$66,2)=0,"",VLOOKUP($A47,成就条件映射!$A$4:$D$66,2)))</f>
        <v/>
      </c>
      <c r="D47" s="3" t="str">
        <f>IF($A47=0,"",IF(VLOOKUP($A47,成就条件映射!$A$4:$D$66,3)=0,"",VLOOKUP($A47,成就条件映射!$A$4:$D$66,3)))</f>
        <v/>
      </c>
      <c r="E47" s="3" t="str">
        <f>IF($A47=0,"",IF(VLOOKUP($A47,成就条件映射!$A$4:$D$66,4)=0,"",VLOOKUP($A47,成就条件映射!$A$4:$D$66,4)))</f>
        <v/>
      </c>
      <c r="I47" s="3">
        <f>A44*100+J47</f>
        <v>102304</v>
      </c>
      <c r="J47" s="3">
        <f t="shared" si="1"/>
        <v>4</v>
      </c>
      <c r="K47" s="8"/>
      <c r="L47" s="8"/>
      <c r="M47" s="4" t="str">
        <f t="shared" si="2"/>
        <v>achievementAccumulative{achieveId:1023,count:4}</v>
      </c>
      <c r="N47" s="3" t="s">
        <v>115</v>
      </c>
      <c r="O47" s="3">
        <v>1707534</v>
      </c>
      <c r="Q47" s="3">
        <f t="shared" si="3"/>
        <v>1023</v>
      </c>
      <c r="R47" s="3">
        <v>4</v>
      </c>
      <c r="W47" s="3">
        <v>1</v>
      </c>
      <c r="X47" s="3">
        <v>23</v>
      </c>
      <c r="Y47" s="43"/>
    </row>
    <row r="48" spans="1:28" s="3" customFormat="1" x14ac:dyDescent="0.3">
      <c r="B48" s="3" t="str">
        <f t="shared" si="5"/>
        <v/>
      </c>
      <c r="C48" s="3" t="str">
        <f>IF($A48=0,"",IF(VLOOKUP($A48,成就条件映射!$A$4:$D$66,2)=0,"",VLOOKUP($A48,成就条件映射!$A$4:$D$66,2)))</f>
        <v/>
      </c>
      <c r="D48" s="3" t="str">
        <f>IF($A48=0,"",IF(VLOOKUP($A48,成就条件映射!$A$4:$D$66,3)=0,"",VLOOKUP($A48,成就条件映射!$A$4:$D$66,3)))</f>
        <v/>
      </c>
      <c r="E48" s="3" t="str">
        <f>IF($A48=0,"",IF(VLOOKUP($A48,成就条件映射!$A$4:$D$66,4)=0,"",VLOOKUP($A48,成就条件映射!$A$4:$D$66,4)))</f>
        <v/>
      </c>
      <c r="I48" s="3">
        <f>A44*100+J48</f>
        <v>102305</v>
      </c>
      <c r="J48" s="3">
        <f t="shared" si="1"/>
        <v>5</v>
      </c>
      <c r="K48" s="8"/>
      <c r="L48" s="8"/>
      <c r="M48" s="4" t="str">
        <f t="shared" si="2"/>
        <v>achievementAccumulative{achieveId:1023,count:5}</v>
      </c>
      <c r="N48" s="3" t="s">
        <v>115</v>
      </c>
      <c r="O48" s="3">
        <v>1707535</v>
      </c>
      <c r="Q48" s="3">
        <f t="shared" si="3"/>
        <v>1023</v>
      </c>
      <c r="R48" s="3">
        <v>5</v>
      </c>
      <c r="W48" s="3">
        <v>1</v>
      </c>
      <c r="X48" s="3">
        <v>23</v>
      </c>
      <c r="Y48" s="43"/>
    </row>
    <row r="49" spans="1:28" x14ac:dyDescent="0.3">
      <c r="A49" s="64">
        <f>W49*1000+X49</f>
        <v>2001</v>
      </c>
      <c r="B49" s="64">
        <f t="shared" si="5"/>
        <v>2</v>
      </c>
      <c r="C49" s="64" t="s">
        <v>111</v>
      </c>
      <c r="D49" s="64" t="s">
        <v>140</v>
      </c>
      <c r="E49" s="64" t="s">
        <v>135</v>
      </c>
      <c r="F49" s="64">
        <v>1</v>
      </c>
      <c r="G49" s="64" t="s">
        <v>114</v>
      </c>
      <c r="H49" s="64" t="str">
        <f>"icon_copper_"&amp;Y49</f>
        <v>icon_copper_07</v>
      </c>
      <c r="I49" s="64">
        <f>A49*100+J49</f>
        <v>200101</v>
      </c>
      <c r="J49" s="64">
        <f t="shared" si="1"/>
        <v>1</v>
      </c>
      <c r="K49" s="64">
        <v>7253</v>
      </c>
      <c r="L49" s="64">
        <v>7253</v>
      </c>
      <c r="M49" t="str">
        <f t="shared" si="2"/>
        <v>achievementAccumulative{achieveId:2001,count:10}</v>
      </c>
      <c r="N49" s="64" t="s">
        <v>115</v>
      </c>
      <c r="O49" s="64">
        <v>1707511</v>
      </c>
      <c r="Q49" s="64">
        <f t="shared" si="3"/>
        <v>2001</v>
      </c>
      <c r="R49" s="64">
        <v>10</v>
      </c>
      <c r="W49" s="64">
        <v>2</v>
      </c>
      <c r="X49" s="64">
        <v>1</v>
      </c>
      <c r="Y49" s="66" t="s">
        <v>116</v>
      </c>
      <c r="Z49" t="str">
        <f>IF($A49=0,"",IF(VLOOKUP($A49,成就条件映射!$A$4:$D$66,2)=0,"",VLOOKUP($A49,成就条件映射!$A$4:$D$66,2)))</f>
        <v>攻克资源点</v>
      </c>
      <c r="AA49" t="str">
        <f>IF($A49=0,"",IF(VLOOKUP($A49,成就条件映射!$A$4:$D$66,3)=0,"",VLOOKUP($A49,成就条件映射!$A$4:$D$66,3)))</f>
        <v>在与&lt;color=#ffc766&gt;资源点守军&lt;/color&gt;战斗中，我方部队累计对敌军施加&lt;color=#ffc766&gt;燃烧&lt;/color&gt;或&lt;color=#ffc766&gt;决水&lt;/color&gt;状态的次数</v>
      </c>
      <c r="AB49" t="str">
        <f>IF($A49=0,"",IF(VLOOKUP($A49,成就条件映射!$A$4:$D$66,4)=0,"",VLOOKUP($A49,成就条件映射!$A$4:$D$66,4)))</f>
        <v>当前累计次数</v>
      </c>
    </row>
    <row r="50" spans="1:28" x14ac:dyDescent="0.3">
      <c r="B50" s="64" t="str">
        <f t="shared" si="5"/>
        <v/>
      </c>
      <c r="C50" s="64" t="str">
        <f>IF($A50=0,"",IF(VLOOKUP($A50,成就条件映射!$A$4:$D$66,2)=0,"",VLOOKUP($A50,成就条件映射!$A$4:$D$66,2)))</f>
        <v/>
      </c>
      <c r="D50" s="64" t="str">
        <f>IF($A50=0,"",IF(VLOOKUP($A50,成就条件映射!$A$4:$D$66,3)=0,"",VLOOKUP($A50,成就条件映射!$A$4:$D$66,3)))</f>
        <v/>
      </c>
      <c r="E50" s="64" t="str">
        <f>IF($A50=0,"",IF(VLOOKUP($A50,成就条件映射!$A$4:$D$66,4)=0,"",VLOOKUP($A50,成就条件映射!$A$4:$D$66,4)))</f>
        <v/>
      </c>
      <c r="I50" s="64">
        <f>A49*100+J50</f>
        <v>200102</v>
      </c>
      <c r="J50" s="64">
        <f t="shared" si="1"/>
        <v>2</v>
      </c>
      <c r="K50" s="64">
        <v>7253</v>
      </c>
      <c r="L50" s="64">
        <v>7253</v>
      </c>
      <c r="M50" t="str">
        <f t="shared" si="2"/>
        <v>achievementAccumulative{achieveId:2001,count:100}</v>
      </c>
      <c r="N50" s="64" t="s">
        <v>115</v>
      </c>
      <c r="O50" s="64">
        <v>1707512</v>
      </c>
      <c r="Q50" s="64">
        <f t="shared" si="3"/>
        <v>2001</v>
      </c>
      <c r="R50" s="64">
        <v>100</v>
      </c>
      <c r="W50" s="64">
        <v>2</v>
      </c>
      <c r="X50" s="64">
        <v>1</v>
      </c>
    </row>
    <row r="51" spans="1:28" x14ac:dyDescent="0.3">
      <c r="B51" s="64" t="str">
        <f t="shared" si="5"/>
        <v/>
      </c>
      <c r="C51" s="64" t="str">
        <f>IF($A51=0,"",IF(VLOOKUP($A51,成就条件映射!$A$4:$D$66,2)=0,"",VLOOKUP($A51,成就条件映射!$A$4:$D$66,2)))</f>
        <v/>
      </c>
      <c r="D51" s="64" t="str">
        <f>IF($A51=0,"",IF(VLOOKUP($A51,成就条件映射!$A$4:$D$66,3)=0,"",VLOOKUP($A51,成就条件映射!$A$4:$D$66,3)))</f>
        <v/>
      </c>
      <c r="E51" s="64" t="str">
        <f>IF($A51=0,"",IF(VLOOKUP($A51,成就条件映射!$A$4:$D$66,4)=0,"",VLOOKUP($A51,成就条件映射!$A$4:$D$66,4)))</f>
        <v/>
      </c>
      <c r="I51" s="64">
        <f>A49*100+J51</f>
        <v>200103</v>
      </c>
      <c r="J51" s="64">
        <f t="shared" si="1"/>
        <v>3</v>
      </c>
      <c r="K51" s="64">
        <v>7253</v>
      </c>
      <c r="L51" s="64">
        <v>7253</v>
      </c>
      <c r="M51" t="str">
        <f t="shared" si="2"/>
        <v>achievementAccumulative{achieveId:2001,count:400}</v>
      </c>
      <c r="N51" s="64" t="s">
        <v>115</v>
      </c>
      <c r="O51" s="64">
        <v>1707513</v>
      </c>
      <c r="Q51" s="64">
        <f t="shared" si="3"/>
        <v>2001</v>
      </c>
      <c r="R51" s="64">
        <v>400</v>
      </c>
      <c r="W51" s="64">
        <v>2</v>
      </c>
      <c r="X51" s="64">
        <v>1</v>
      </c>
    </row>
    <row r="52" spans="1:28" x14ac:dyDescent="0.3">
      <c r="B52" s="64" t="str">
        <f t="shared" si="5"/>
        <v/>
      </c>
      <c r="C52" s="64" t="str">
        <f>IF($A52=0,"",IF(VLOOKUP($A52,成就条件映射!$A$4:$D$66,2)=0,"",VLOOKUP($A52,成就条件映射!$A$4:$D$66,2)))</f>
        <v/>
      </c>
      <c r="D52" s="64" t="str">
        <f>IF($A52=0,"",IF(VLOOKUP($A52,成就条件映射!$A$4:$D$66,3)=0,"",VLOOKUP($A52,成就条件映射!$A$4:$D$66,3)))</f>
        <v/>
      </c>
      <c r="E52" s="64" t="str">
        <f>IF($A52=0,"",IF(VLOOKUP($A52,成就条件映射!$A$4:$D$66,4)=0,"",VLOOKUP($A52,成就条件映射!$A$4:$D$66,4)))</f>
        <v/>
      </c>
      <c r="I52" s="64">
        <f>A49*100+J52</f>
        <v>200104</v>
      </c>
      <c r="J52" s="64">
        <f t="shared" si="1"/>
        <v>4</v>
      </c>
      <c r="K52" s="64">
        <v>7253</v>
      </c>
      <c r="L52" s="64">
        <v>7253</v>
      </c>
      <c r="M52" t="str">
        <f t="shared" si="2"/>
        <v>achievementAccumulative{achieveId:2001,count:1200}</v>
      </c>
      <c r="N52" s="64" t="s">
        <v>115</v>
      </c>
      <c r="O52" s="64">
        <v>1707514</v>
      </c>
      <c r="Q52" s="64">
        <f t="shared" si="3"/>
        <v>2001</v>
      </c>
      <c r="R52" s="64">
        <v>1200</v>
      </c>
      <c r="W52" s="64">
        <v>2</v>
      </c>
      <c r="X52" s="64">
        <v>1</v>
      </c>
    </row>
    <row r="53" spans="1:28" x14ac:dyDescent="0.3">
      <c r="B53" s="64" t="str">
        <f t="shared" si="5"/>
        <v/>
      </c>
      <c r="C53" s="64" t="str">
        <f>IF($A53=0,"",IF(VLOOKUP($A53,成就条件映射!$A$4:$D$66,2)=0,"",VLOOKUP($A53,成就条件映射!$A$4:$D$66,2)))</f>
        <v/>
      </c>
      <c r="D53" s="64" t="str">
        <f>IF($A53=0,"",IF(VLOOKUP($A53,成就条件映射!$A$4:$D$66,3)=0,"",VLOOKUP($A53,成就条件映射!$A$4:$D$66,3)))</f>
        <v/>
      </c>
      <c r="E53" s="64" t="str">
        <f>IF($A53=0,"",IF(VLOOKUP($A53,成就条件映射!$A$4:$D$66,4)=0,"",VLOOKUP($A53,成就条件映射!$A$4:$D$66,4)))</f>
        <v/>
      </c>
      <c r="I53" s="64">
        <f>A49*100+J53</f>
        <v>200105</v>
      </c>
      <c r="J53" s="64">
        <f t="shared" si="1"/>
        <v>5</v>
      </c>
      <c r="K53" s="64">
        <v>7253</v>
      </c>
      <c r="L53" s="64">
        <v>7253</v>
      </c>
      <c r="M53" t="str">
        <f t="shared" si="2"/>
        <v>achievementAccumulative{achieveId:2001,count:2000}</v>
      </c>
      <c r="N53" s="64" t="s">
        <v>115</v>
      </c>
      <c r="O53" s="64">
        <v>1707515</v>
      </c>
      <c r="Q53" s="64">
        <f t="shared" si="3"/>
        <v>2001</v>
      </c>
      <c r="R53" s="64">
        <v>2000</v>
      </c>
      <c r="W53" s="64">
        <v>2</v>
      </c>
      <c r="X53" s="64">
        <v>1</v>
      </c>
    </row>
    <row r="54" spans="1:28" x14ac:dyDescent="0.3">
      <c r="A54" s="64">
        <f>W54*1000+X54</f>
        <v>2002</v>
      </c>
      <c r="B54" s="64">
        <f t="shared" si="5"/>
        <v>2</v>
      </c>
      <c r="C54" s="64" t="s">
        <v>117</v>
      </c>
      <c r="D54" s="64" t="s">
        <v>141</v>
      </c>
      <c r="E54" s="64" t="s">
        <v>135</v>
      </c>
      <c r="F54" s="64">
        <v>1</v>
      </c>
      <c r="G54" s="64" t="s">
        <v>114</v>
      </c>
      <c r="H54" s="64" t="str">
        <f>"icon_copper_"&amp;Y54</f>
        <v>icon_copper_10</v>
      </c>
      <c r="I54" s="64">
        <f>A54*100+J54</f>
        <v>200201</v>
      </c>
      <c r="J54" s="64">
        <f t="shared" si="1"/>
        <v>1</v>
      </c>
      <c r="K54" s="64">
        <v>7254</v>
      </c>
      <c r="L54" s="64">
        <v>7254</v>
      </c>
      <c r="M54" t="str">
        <f t="shared" si="2"/>
        <v>achievementAccumulative{achieveId:2002,count:10}</v>
      </c>
      <c r="N54" s="64" t="s">
        <v>115</v>
      </c>
      <c r="O54" s="64">
        <v>1707511</v>
      </c>
      <c r="Q54" s="64">
        <f t="shared" si="3"/>
        <v>2002</v>
      </c>
      <c r="R54" s="64">
        <v>10</v>
      </c>
      <c r="W54" s="64">
        <v>2</v>
      </c>
      <c r="X54" s="64">
        <v>2</v>
      </c>
      <c r="Y54" s="66" t="s">
        <v>119</v>
      </c>
      <c r="Z54" t="str">
        <f>IF($A54=0,"",IF(VLOOKUP($A54,成就条件映射!$A$4:$D$66,2)=0,"",VLOOKUP($A54,成就条件映射!$A$4:$D$66,2)))</f>
        <v>蛮族讨伐</v>
      </c>
      <c r="AA54" t="str">
        <f>IF($A54=0,"",IF(VLOOKUP($A54,成就条件映射!$A$4:$D$66,3)=0,"",VLOOKUP($A54,成就条件映射!$A$4:$D$66,3)))</f>
        <v>在与&lt;color=#ffc766&gt;野外蛮族&lt;/color&gt;战斗中，我方部队累计对敌军施加&lt;color=#ffc766&gt;燃烧&lt;/color&gt;或&lt;color=#ffc766&gt;决水&lt;/color&gt;状态的次数</v>
      </c>
      <c r="AB54" t="str">
        <f>IF($A54=0,"",IF(VLOOKUP($A54,成就条件映射!$A$4:$D$66,4)=0,"",VLOOKUP($A54,成就条件映射!$A$4:$D$66,4)))</f>
        <v>当前累计次数</v>
      </c>
    </row>
    <row r="55" spans="1:28" x14ac:dyDescent="0.3">
      <c r="B55" s="64" t="str">
        <f t="shared" si="5"/>
        <v/>
      </c>
      <c r="C55" s="64" t="str">
        <f>IF($A55=0,"",IF(VLOOKUP($A55,成就条件映射!$A$4:$D$66,2)=0,"",VLOOKUP($A55,成就条件映射!$A$4:$D$66,2)))</f>
        <v/>
      </c>
      <c r="D55" s="64" t="str">
        <f>IF($A55=0,"",IF(VLOOKUP($A55,成就条件映射!$A$4:$D$66,3)=0,"",VLOOKUP($A55,成就条件映射!$A$4:$D$66,3)))</f>
        <v/>
      </c>
      <c r="E55" s="64" t="str">
        <f>IF($A55=0,"",IF(VLOOKUP($A55,成就条件映射!$A$4:$D$66,4)=0,"",VLOOKUP($A55,成就条件映射!$A$4:$D$66,4)))</f>
        <v/>
      </c>
      <c r="I55" s="64">
        <f>A54*100+J55</f>
        <v>200202</v>
      </c>
      <c r="J55" s="64">
        <f t="shared" si="1"/>
        <v>2</v>
      </c>
      <c r="K55" s="64">
        <v>7254</v>
      </c>
      <c r="L55" s="64">
        <v>7254</v>
      </c>
      <c r="M55" t="str">
        <f t="shared" si="2"/>
        <v>achievementAccumulative{achieveId:2002,count:100}</v>
      </c>
      <c r="N55" s="64" t="s">
        <v>115</v>
      </c>
      <c r="O55" s="64">
        <v>1707512</v>
      </c>
      <c r="Q55" s="64">
        <f t="shared" si="3"/>
        <v>2002</v>
      </c>
      <c r="R55" s="64">
        <v>100</v>
      </c>
      <c r="W55" s="64">
        <v>2</v>
      </c>
      <c r="X55" s="64">
        <v>2</v>
      </c>
    </row>
    <row r="56" spans="1:28" x14ac:dyDescent="0.3">
      <c r="B56" s="64" t="str">
        <f t="shared" si="5"/>
        <v/>
      </c>
      <c r="C56" s="64" t="str">
        <f>IF($A56=0,"",IF(VLOOKUP($A56,成就条件映射!$A$4:$D$66,2)=0,"",VLOOKUP($A56,成就条件映射!$A$4:$D$66,2)))</f>
        <v/>
      </c>
      <c r="D56" s="64" t="str">
        <f>IF($A56=0,"",IF(VLOOKUP($A56,成就条件映射!$A$4:$D$66,3)=0,"",VLOOKUP($A56,成就条件映射!$A$4:$D$66,3)))</f>
        <v/>
      </c>
      <c r="E56" s="64" t="str">
        <f>IF($A56=0,"",IF(VLOOKUP($A56,成就条件映射!$A$4:$D$66,4)=0,"",VLOOKUP($A56,成就条件映射!$A$4:$D$66,4)))</f>
        <v/>
      </c>
      <c r="I56" s="64">
        <f>A54*100+J56</f>
        <v>200203</v>
      </c>
      <c r="J56" s="64">
        <f t="shared" si="1"/>
        <v>3</v>
      </c>
      <c r="K56" s="64">
        <v>7254</v>
      </c>
      <c r="L56" s="64">
        <v>7254</v>
      </c>
      <c r="M56" t="str">
        <f t="shared" si="2"/>
        <v>achievementAccumulative{achieveId:2002,count:200}</v>
      </c>
      <c r="N56" s="64" t="s">
        <v>115</v>
      </c>
      <c r="O56" s="64">
        <v>1707513</v>
      </c>
      <c r="Q56" s="64">
        <f t="shared" si="3"/>
        <v>2002</v>
      </c>
      <c r="R56" s="64">
        <v>200</v>
      </c>
      <c r="W56" s="64">
        <v>2</v>
      </c>
      <c r="X56" s="64">
        <v>2</v>
      </c>
    </row>
    <row r="57" spans="1:28" x14ac:dyDescent="0.3">
      <c r="B57" s="64" t="str">
        <f t="shared" si="5"/>
        <v/>
      </c>
      <c r="C57" s="64" t="str">
        <f>IF($A57=0,"",IF(VLOOKUP($A57,成就条件映射!$A$4:$D$66,2)=0,"",VLOOKUP($A57,成就条件映射!$A$4:$D$66,2)))</f>
        <v/>
      </c>
      <c r="D57" s="64" t="str">
        <f>IF($A57=0,"",IF(VLOOKUP($A57,成就条件映射!$A$4:$D$66,3)=0,"",VLOOKUP($A57,成就条件映射!$A$4:$D$66,3)))</f>
        <v/>
      </c>
      <c r="E57" s="64" t="str">
        <f>IF($A57=0,"",IF(VLOOKUP($A57,成就条件映射!$A$4:$D$66,4)=0,"",VLOOKUP($A57,成就条件映射!$A$4:$D$66,4)))</f>
        <v/>
      </c>
      <c r="I57" s="64">
        <f>A54*100+J57</f>
        <v>200204</v>
      </c>
      <c r="J57" s="64">
        <f t="shared" si="1"/>
        <v>4</v>
      </c>
      <c r="K57" s="64">
        <v>7254</v>
      </c>
      <c r="L57" s="64">
        <v>7254</v>
      </c>
      <c r="M57" t="str">
        <f t="shared" si="2"/>
        <v>achievementAccumulative{achieveId:2002,count:600}</v>
      </c>
      <c r="N57" s="64" t="s">
        <v>115</v>
      </c>
      <c r="O57" s="64">
        <v>1707514</v>
      </c>
      <c r="Q57" s="64">
        <f t="shared" si="3"/>
        <v>2002</v>
      </c>
      <c r="R57" s="64">
        <v>600</v>
      </c>
      <c r="W57" s="64">
        <v>2</v>
      </c>
      <c r="X57" s="64">
        <v>2</v>
      </c>
    </row>
    <row r="58" spans="1:28" x14ac:dyDescent="0.3">
      <c r="B58" s="64" t="str">
        <f t="shared" si="5"/>
        <v/>
      </c>
      <c r="C58" s="64" t="str">
        <f>IF($A58=0,"",IF(VLOOKUP($A58,成就条件映射!$A$4:$D$66,2)=0,"",VLOOKUP($A58,成就条件映射!$A$4:$D$66,2)))</f>
        <v/>
      </c>
      <c r="D58" s="64" t="str">
        <f>IF($A58=0,"",IF(VLOOKUP($A58,成就条件映射!$A$4:$D$66,3)=0,"",VLOOKUP($A58,成就条件映射!$A$4:$D$66,3)))</f>
        <v/>
      </c>
      <c r="E58" s="64" t="str">
        <f>IF($A58=0,"",IF(VLOOKUP($A58,成就条件映射!$A$4:$D$66,4)=0,"",VLOOKUP($A58,成就条件映射!$A$4:$D$66,4)))</f>
        <v/>
      </c>
      <c r="I58" s="64">
        <f>A54*100+J58</f>
        <v>200205</v>
      </c>
      <c r="J58" s="64">
        <f t="shared" si="1"/>
        <v>5</v>
      </c>
      <c r="K58" s="64">
        <v>7254</v>
      </c>
      <c r="L58" s="64">
        <v>7254</v>
      </c>
      <c r="M58" t="str">
        <f t="shared" si="2"/>
        <v>achievementAccumulative{achieveId:2002,count:1500}</v>
      </c>
      <c r="N58" s="64" t="s">
        <v>115</v>
      </c>
      <c r="O58" s="64">
        <v>1707515</v>
      </c>
      <c r="Q58" s="64">
        <f t="shared" si="3"/>
        <v>2002</v>
      </c>
      <c r="R58" s="64">
        <v>1500</v>
      </c>
      <c r="W58" s="64">
        <v>2</v>
      </c>
      <c r="X58" s="64">
        <v>2</v>
      </c>
    </row>
    <row r="59" spans="1:28" x14ac:dyDescent="0.3">
      <c r="A59" s="64">
        <f>W59*1000+X59</f>
        <v>2003</v>
      </c>
      <c r="B59" s="64">
        <f t="shared" si="5"/>
        <v>2</v>
      </c>
      <c r="C59" s="64" t="s">
        <v>120</v>
      </c>
      <c r="D59" s="64" t="s">
        <v>142</v>
      </c>
      <c r="E59" s="64" t="s">
        <v>135</v>
      </c>
      <c r="F59" s="64">
        <v>1</v>
      </c>
      <c r="G59" s="64" t="s">
        <v>114</v>
      </c>
      <c r="H59" s="64" t="str">
        <f>"icon_copper_"&amp;Y59</f>
        <v>icon_copper_04</v>
      </c>
      <c r="I59" s="64">
        <f>A59*100+J59</f>
        <v>200301</v>
      </c>
      <c r="J59" s="64">
        <f t="shared" si="1"/>
        <v>1</v>
      </c>
      <c r="M59" t="str">
        <f t="shared" si="2"/>
        <v>achievementAccumulative{achieveId:2003,count:10}</v>
      </c>
      <c r="N59" s="64" t="s">
        <v>115</v>
      </c>
      <c r="O59" s="64">
        <v>1707511</v>
      </c>
      <c r="Q59" s="64">
        <f t="shared" si="3"/>
        <v>2003</v>
      </c>
      <c r="R59" s="64">
        <v>10</v>
      </c>
      <c r="W59" s="64">
        <v>2</v>
      </c>
      <c r="X59" s="64">
        <v>3</v>
      </c>
      <c r="Y59" s="66" t="s">
        <v>122</v>
      </c>
      <c r="Z59" t="str">
        <f>IF($A59=0,"",IF(VLOOKUP($A59,成就条件映射!$A$4:$D$66,2)=0,"",VLOOKUP($A59,成就条件映射!$A$4:$D$66,2)))</f>
        <v>野战先锋</v>
      </c>
      <c r="AA59" t="str">
        <f>IF($A59=0,"",IF(VLOOKUP($A59,成就条件映射!$A$4:$D$66,3)=0,"",VLOOKUP($A59,成就条件映射!$A$4:$D$66,3)))</f>
        <v>野外与&lt;color=#ffc766&gt;玩家&lt;/color&gt;部队战斗中，我方部队累计对敌军施加&lt;color=#ffc766&gt;燃烧&lt;/color&gt;或&lt;color=#ffc766&gt;决水&lt;/color&gt;状态的次数</v>
      </c>
      <c r="AB59" t="str">
        <f>IF($A59=0,"",IF(VLOOKUP($A59,成就条件映射!$A$4:$D$66,4)=0,"",VLOOKUP($A59,成就条件映射!$A$4:$D$66,4)))</f>
        <v>当前累计次数</v>
      </c>
    </row>
    <row r="60" spans="1:28" x14ac:dyDescent="0.3">
      <c r="B60" s="64" t="str">
        <f t="shared" si="5"/>
        <v/>
      </c>
      <c r="C60" s="64" t="str">
        <f>IF($A60=0,"",IF(VLOOKUP($A60,成就条件映射!$A$4:$D$66,2)=0,"",VLOOKUP($A60,成就条件映射!$A$4:$D$66,2)))</f>
        <v/>
      </c>
      <c r="D60" s="64" t="str">
        <f>IF($A60=0,"",IF(VLOOKUP($A60,成就条件映射!$A$4:$D$66,3)=0,"",VLOOKUP($A60,成就条件映射!$A$4:$D$66,3)))</f>
        <v/>
      </c>
      <c r="E60" s="64" t="str">
        <f>IF($A60=0,"",IF(VLOOKUP($A60,成就条件映射!$A$4:$D$66,4)=0,"",VLOOKUP($A60,成就条件映射!$A$4:$D$66,4)))</f>
        <v/>
      </c>
      <c r="I60" s="64">
        <f>A59*100+J60</f>
        <v>200302</v>
      </c>
      <c r="J60" s="64">
        <f t="shared" si="1"/>
        <v>2</v>
      </c>
      <c r="M60" t="str">
        <f t="shared" si="2"/>
        <v>achievementAccumulative{achieveId:2003,count:30}</v>
      </c>
      <c r="N60" s="64" t="s">
        <v>115</v>
      </c>
      <c r="O60" s="64">
        <v>1707512</v>
      </c>
      <c r="Q60" s="64">
        <f t="shared" si="3"/>
        <v>2003</v>
      </c>
      <c r="R60" s="64">
        <v>30</v>
      </c>
      <c r="W60" s="64">
        <v>2</v>
      </c>
      <c r="X60" s="64">
        <v>3</v>
      </c>
    </row>
    <row r="61" spans="1:28" x14ac:dyDescent="0.3">
      <c r="B61" s="64" t="str">
        <f t="shared" si="5"/>
        <v/>
      </c>
      <c r="C61" s="64" t="str">
        <f>IF($A61=0,"",IF(VLOOKUP($A61,成就条件映射!$A$4:$D$66,2)=0,"",VLOOKUP($A61,成就条件映射!$A$4:$D$66,2)))</f>
        <v/>
      </c>
      <c r="D61" s="64" t="str">
        <f>IF($A61=0,"",IF(VLOOKUP($A61,成就条件映射!$A$4:$D$66,3)=0,"",VLOOKUP($A61,成就条件映射!$A$4:$D$66,3)))</f>
        <v/>
      </c>
      <c r="E61" s="64" t="str">
        <f>IF($A61=0,"",IF(VLOOKUP($A61,成就条件映射!$A$4:$D$66,4)=0,"",VLOOKUP($A61,成就条件映射!$A$4:$D$66,4)))</f>
        <v/>
      </c>
      <c r="I61" s="64">
        <f>A59*100+J61</f>
        <v>200303</v>
      </c>
      <c r="J61" s="64">
        <f t="shared" si="1"/>
        <v>3</v>
      </c>
      <c r="M61" t="str">
        <f t="shared" si="2"/>
        <v>achievementAccumulative{achieveId:2003,count:70}</v>
      </c>
      <c r="N61" s="64" t="s">
        <v>115</v>
      </c>
      <c r="O61" s="64">
        <v>1707513</v>
      </c>
      <c r="Q61" s="64">
        <f t="shared" si="3"/>
        <v>2003</v>
      </c>
      <c r="R61" s="64">
        <v>70</v>
      </c>
      <c r="W61" s="64">
        <v>2</v>
      </c>
      <c r="X61" s="64">
        <v>3</v>
      </c>
    </row>
    <row r="62" spans="1:28" x14ac:dyDescent="0.3">
      <c r="B62" s="64" t="str">
        <f t="shared" si="5"/>
        <v/>
      </c>
      <c r="C62" s="64" t="str">
        <f>IF($A62=0,"",IF(VLOOKUP($A62,成就条件映射!$A$4:$D$66,2)=0,"",VLOOKUP($A62,成就条件映射!$A$4:$D$66,2)))</f>
        <v/>
      </c>
      <c r="D62" s="64" t="str">
        <f>IF($A62=0,"",IF(VLOOKUP($A62,成就条件映射!$A$4:$D$66,3)=0,"",VLOOKUP($A62,成就条件映射!$A$4:$D$66,3)))</f>
        <v/>
      </c>
      <c r="E62" s="64" t="str">
        <f>IF($A62=0,"",IF(VLOOKUP($A62,成就条件映射!$A$4:$D$66,4)=0,"",VLOOKUP($A62,成就条件映射!$A$4:$D$66,4)))</f>
        <v/>
      </c>
      <c r="I62" s="64">
        <f>A59*100+J62</f>
        <v>200304</v>
      </c>
      <c r="J62" s="64">
        <f t="shared" si="1"/>
        <v>4</v>
      </c>
      <c r="M62" t="str">
        <f t="shared" si="2"/>
        <v>achievementAccumulative{achieveId:2003,count:190}</v>
      </c>
      <c r="N62" s="64" t="s">
        <v>115</v>
      </c>
      <c r="O62" s="64">
        <v>1707514</v>
      </c>
      <c r="Q62" s="64">
        <f t="shared" si="3"/>
        <v>2003</v>
      </c>
      <c r="R62" s="64">
        <v>190</v>
      </c>
      <c r="W62" s="64">
        <v>2</v>
      </c>
      <c r="X62" s="64">
        <v>3</v>
      </c>
    </row>
    <row r="63" spans="1:28" x14ac:dyDescent="0.3">
      <c r="B63" s="64" t="str">
        <f t="shared" si="5"/>
        <v/>
      </c>
      <c r="C63" s="64" t="str">
        <f>IF($A63=0,"",IF(VLOOKUP($A63,成就条件映射!$A$4:$D$66,2)=0,"",VLOOKUP($A63,成就条件映射!$A$4:$D$66,2)))</f>
        <v/>
      </c>
      <c r="D63" s="64" t="str">
        <f>IF($A63=0,"",IF(VLOOKUP($A63,成就条件映射!$A$4:$D$66,3)=0,"",VLOOKUP($A63,成就条件映射!$A$4:$D$66,3)))</f>
        <v/>
      </c>
      <c r="E63" s="64" t="str">
        <f>IF($A63=0,"",IF(VLOOKUP($A63,成就条件映射!$A$4:$D$66,4)=0,"",VLOOKUP($A63,成就条件映射!$A$4:$D$66,4)))</f>
        <v/>
      </c>
      <c r="I63" s="64">
        <f>A59*100+J63</f>
        <v>200305</v>
      </c>
      <c r="J63" s="64">
        <f t="shared" si="1"/>
        <v>5</v>
      </c>
      <c r="M63" t="str">
        <f t="shared" si="2"/>
        <v>achievementAccumulative{achieveId:2003,count:400}</v>
      </c>
      <c r="N63" s="64" t="s">
        <v>115</v>
      </c>
      <c r="O63" s="64">
        <v>1707515</v>
      </c>
      <c r="Q63" s="64">
        <f t="shared" si="3"/>
        <v>2003</v>
      </c>
      <c r="R63" s="64">
        <v>400</v>
      </c>
      <c r="W63" s="64">
        <v>2</v>
      </c>
      <c r="X63" s="64">
        <v>3</v>
      </c>
    </row>
    <row r="64" spans="1:28" x14ac:dyDescent="0.3">
      <c r="A64" s="64">
        <f>W64*1000+X64</f>
        <v>2011</v>
      </c>
      <c r="B64" s="64">
        <f t="shared" si="5"/>
        <v>2</v>
      </c>
      <c r="C64" s="64" t="s">
        <v>143</v>
      </c>
      <c r="D64" s="64" t="s">
        <v>144</v>
      </c>
      <c r="E64" s="64" t="s">
        <v>135</v>
      </c>
      <c r="F64" s="64">
        <v>2</v>
      </c>
      <c r="G64" s="64" t="s">
        <v>114</v>
      </c>
      <c r="H64" s="64" t="str">
        <f>"icon_silver_"&amp;Y64</f>
        <v>icon_silver_19</v>
      </c>
      <c r="I64" s="64">
        <f>A64*100+J64</f>
        <v>201101</v>
      </c>
      <c r="J64" s="64">
        <f t="shared" si="1"/>
        <v>1</v>
      </c>
      <c r="M64" t="str">
        <f t="shared" si="2"/>
        <v>achievementAccumulative{achieveId:2011,count:2}</v>
      </c>
      <c r="N64" s="64" t="s">
        <v>115</v>
      </c>
      <c r="O64" s="64">
        <v>1707521</v>
      </c>
      <c r="Q64" s="64">
        <f t="shared" si="3"/>
        <v>2011</v>
      </c>
      <c r="R64" s="64">
        <v>2</v>
      </c>
      <c r="W64" s="64">
        <v>2</v>
      </c>
      <c r="X64" s="64">
        <v>11</v>
      </c>
      <c r="Y64" s="66" t="s">
        <v>145</v>
      </c>
      <c r="Z64" t="str">
        <f>IF($A64=0,"",IF(VLOOKUP($A64,成就条件映射!$A$4:$D$66,2)=0,"",VLOOKUP($A64,成就条件映射!$A$4:$D$66,2)))</f>
        <v>才思泉涌</v>
      </c>
      <c r="AA64" t="str">
        <f>IF($A64=0,"",IF(VLOOKUP($A64,成就条件映射!$A$4:$D$66,3)=0,"",VLOOKUP($A64,成就条件映射!$A$4:$D$66,3)))</f>
        <v>&lt;color=#ffc766&gt;30秒&lt;/color&gt;内，我方部队累计发动&lt;color=#ffc766&gt;固有&lt;/color&gt;&lt;color=#ffc766&gt;主动技能&lt;/color&gt;的&lt;color=#ffc766&gt;最大次数&lt;/color&gt;</v>
      </c>
      <c r="AB64" t="str">
        <f>IF($A64=0,"",IF(VLOOKUP($A64,成就条件映射!$A$4:$D$66,4)=0,"",VLOOKUP($A64,成就条件映射!$A$4:$D$66,4)))</f>
        <v>当前累计次数</v>
      </c>
    </row>
    <row r="65" spans="1:28" x14ac:dyDescent="0.3">
      <c r="B65" s="64" t="str">
        <f t="shared" si="5"/>
        <v/>
      </c>
      <c r="C65" s="64" t="str">
        <f>IF($A65=0,"",IF(VLOOKUP($A65,成就条件映射!$A$4:$D$66,2)=0,"",VLOOKUP($A65,成就条件映射!$A$4:$D$66,2)))</f>
        <v/>
      </c>
      <c r="D65" s="64" t="str">
        <f>IF($A65=0,"",IF(VLOOKUP($A65,成就条件映射!$A$4:$D$66,3)=0,"",VLOOKUP($A65,成就条件映射!$A$4:$D$66,3)))</f>
        <v/>
      </c>
      <c r="E65" s="64" t="str">
        <f>IF($A65=0,"",IF(VLOOKUP($A65,成就条件映射!$A$4:$D$66,4)=0,"",VLOOKUP($A65,成就条件映射!$A$4:$D$66,4)))</f>
        <v/>
      </c>
      <c r="I65" s="64">
        <f>A64*100+J65</f>
        <v>201102</v>
      </c>
      <c r="J65" s="64">
        <f t="shared" si="1"/>
        <v>2</v>
      </c>
      <c r="M65" t="str">
        <f t="shared" si="2"/>
        <v>achievementAccumulative{achieveId:2011,count:3}</v>
      </c>
      <c r="N65" s="64" t="s">
        <v>115</v>
      </c>
      <c r="O65" s="64">
        <v>1707522</v>
      </c>
      <c r="Q65" s="64">
        <f t="shared" si="3"/>
        <v>2011</v>
      </c>
      <c r="R65" s="64">
        <v>3</v>
      </c>
      <c r="W65" s="64">
        <v>2</v>
      </c>
      <c r="X65" s="64">
        <v>11</v>
      </c>
    </row>
    <row r="66" spans="1:28" x14ac:dyDescent="0.3">
      <c r="B66" s="64" t="str">
        <f t="shared" si="5"/>
        <v/>
      </c>
      <c r="C66" s="64" t="str">
        <f>IF($A66=0,"",IF(VLOOKUP($A66,成就条件映射!$A$4:$D$66,2)=0,"",VLOOKUP($A66,成就条件映射!$A$4:$D$66,2)))</f>
        <v/>
      </c>
      <c r="D66" s="64" t="str">
        <f>IF($A66=0,"",IF(VLOOKUP($A66,成就条件映射!$A$4:$D$66,3)=0,"",VLOOKUP($A66,成就条件映射!$A$4:$D$66,3)))</f>
        <v/>
      </c>
      <c r="E66" s="64" t="str">
        <f>IF($A66=0,"",IF(VLOOKUP($A66,成就条件映射!$A$4:$D$66,4)=0,"",VLOOKUP($A66,成就条件映射!$A$4:$D$66,4)))</f>
        <v/>
      </c>
      <c r="I66" s="64">
        <f>A64*100+J66</f>
        <v>201103</v>
      </c>
      <c r="J66" s="64">
        <f t="shared" si="1"/>
        <v>3</v>
      </c>
      <c r="M66" t="str">
        <f t="shared" si="2"/>
        <v>achievementAccumulative{achieveId:2011,count:4}</v>
      </c>
      <c r="N66" s="64" t="s">
        <v>115</v>
      </c>
      <c r="O66" s="64">
        <v>1707523</v>
      </c>
      <c r="Q66" s="64">
        <f t="shared" si="3"/>
        <v>2011</v>
      </c>
      <c r="R66" s="64">
        <v>4</v>
      </c>
      <c r="W66" s="64">
        <v>2</v>
      </c>
      <c r="X66" s="64">
        <v>11</v>
      </c>
    </row>
    <row r="67" spans="1:28" x14ac:dyDescent="0.3">
      <c r="B67" s="64" t="str">
        <f t="shared" si="5"/>
        <v/>
      </c>
      <c r="C67" s="64" t="str">
        <f>IF($A67=0,"",IF(VLOOKUP($A67,成就条件映射!$A$4:$D$66,2)=0,"",VLOOKUP($A67,成就条件映射!$A$4:$D$66,2)))</f>
        <v/>
      </c>
      <c r="D67" s="64" t="str">
        <f>IF($A67=0,"",IF(VLOOKUP($A67,成就条件映射!$A$4:$D$66,3)=0,"",VLOOKUP($A67,成就条件映射!$A$4:$D$66,3)))</f>
        <v/>
      </c>
      <c r="E67" s="64" t="str">
        <f>IF($A67=0,"",IF(VLOOKUP($A67,成就条件映射!$A$4:$D$66,4)=0,"",VLOOKUP($A67,成就条件映射!$A$4:$D$66,4)))</f>
        <v/>
      </c>
      <c r="I67" s="64">
        <f>A64*100+J67</f>
        <v>201104</v>
      </c>
      <c r="J67" s="64">
        <f t="shared" si="1"/>
        <v>4</v>
      </c>
      <c r="M67" t="str">
        <f t="shared" si="2"/>
        <v>achievementAccumulative{achieveId:2011,count:5}</v>
      </c>
      <c r="N67" s="64" t="s">
        <v>115</v>
      </c>
      <c r="O67" s="64">
        <v>1707524</v>
      </c>
      <c r="Q67" s="64">
        <f t="shared" si="3"/>
        <v>2011</v>
      </c>
      <c r="R67" s="64">
        <v>5</v>
      </c>
      <c r="W67" s="64">
        <v>2</v>
      </c>
      <c r="X67" s="64">
        <v>11</v>
      </c>
    </row>
    <row r="68" spans="1:28" x14ac:dyDescent="0.3">
      <c r="B68" s="64" t="str">
        <f t="shared" si="5"/>
        <v/>
      </c>
      <c r="C68" s="64" t="str">
        <f>IF($A68=0,"",IF(VLOOKUP($A68,成就条件映射!$A$4:$D$66,2)=0,"",VLOOKUP($A68,成就条件映射!$A$4:$D$66,2)))</f>
        <v/>
      </c>
      <c r="D68" s="64" t="str">
        <f>IF($A68=0,"",IF(VLOOKUP($A68,成就条件映射!$A$4:$D$66,3)=0,"",VLOOKUP($A68,成就条件映射!$A$4:$D$66,3)))</f>
        <v/>
      </c>
      <c r="E68" s="64" t="str">
        <f>IF($A68=0,"",IF(VLOOKUP($A68,成就条件映射!$A$4:$D$66,4)=0,"",VLOOKUP($A68,成就条件映射!$A$4:$D$66,4)))</f>
        <v/>
      </c>
      <c r="I68" s="64">
        <f>A64*100+J68</f>
        <v>201105</v>
      </c>
      <c r="J68" s="64">
        <f t="shared" ref="J68:J131" si="6">IF(MOD(ROW()+2,5)=0,MOD(ROW()+2,5)+5,MOD(ROW()+2,5))</f>
        <v>5</v>
      </c>
      <c r="M68" t="str">
        <f t="shared" ref="M68:M131" si="7">"achievementAccumulative{achieveId:"&amp;Q68&amp;",count:"&amp;R68&amp;"}"</f>
        <v>achievementAccumulative{achieveId:2011,count:7}</v>
      </c>
      <c r="N68" s="64" t="s">
        <v>115</v>
      </c>
      <c r="O68" s="64">
        <v>1707525</v>
      </c>
      <c r="Q68" s="64">
        <f t="shared" ref="Q68:Q131" si="8">IF(0=A68,Q67,A68)</f>
        <v>2011</v>
      </c>
      <c r="R68" s="64">
        <v>7</v>
      </c>
      <c r="W68" s="64">
        <v>2</v>
      </c>
      <c r="X68" s="64">
        <v>11</v>
      </c>
    </row>
    <row r="69" spans="1:28" x14ac:dyDescent="0.3">
      <c r="A69" s="64">
        <f>W69*1000+X69</f>
        <v>2012</v>
      </c>
      <c r="B69" s="64">
        <f t="shared" si="5"/>
        <v>2</v>
      </c>
      <c r="C69" s="64" t="s">
        <v>146</v>
      </c>
      <c r="D69" s="64" t="s">
        <v>147</v>
      </c>
      <c r="E69" s="64" t="s">
        <v>128</v>
      </c>
      <c r="F69" s="64">
        <v>2</v>
      </c>
      <c r="G69" s="64" t="s">
        <v>114</v>
      </c>
      <c r="H69" s="64" t="str">
        <f>"icon_silver_"&amp;Y69</f>
        <v>icon_silver_20</v>
      </c>
      <c r="I69" s="64">
        <f>A69*100+J69</f>
        <v>201201</v>
      </c>
      <c r="J69" s="64">
        <f t="shared" si="6"/>
        <v>1</v>
      </c>
      <c r="M69" t="str">
        <f t="shared" si="7"/>
        <v>achievementAccumulative{achieveId:2012,count:1500}</v>
      </c>
      <c r="N69" s="64" t="s">
        <v>115</v>
      </c>
      <c r="O69" s="64">
        <v>1707521</v>
      </c>
      <c r="Q69" s="64">
        <f t="shared" si="8"/>
        <v>2012</v>
      </c>
      <c r="R69" s="64">
        <v>1500</v>
      </c>
      <c r="W69" s="64">
        <v>2</v>
      </c>
      <c r="X69" s="64">
        <v>12</v>
      </c>
      <c r="Y69" s="66" t="s">
        <v>136</v>
      </c>
      <c r="Z69" t="str">
        <f>IF($A69=0,"",IF(VLOOKUP($A69,成就条件映射!$A$4:$D$66,2)=0,"",VLOOKUP($A69,成就条件映射!$A$4:$D$66,2)))</f>
        <v>神箭天降</v>
      </c>
      <c r="AA69" t="str">
        <f>IF($A69=0,"",IF(VLOOKUP($A69,成就条件映射!$A$4:$D$66,3)=0,"",VLOOKUP($A69,成就条件映射!$A$4:$D$66,3)))</f>
        <v>我方&lt;color=#ffc766&gt;弓兵&lt;/color&gt;部队使用&lt;color=#ffc766&gt;固有&lt;/color&gt;&lt;color=#ffc766&gt;主动技能&lt;/color&gt;造成的&lt;color=#ffc766&gt;单次最大伤害量&lt;/color&gt;</v>
      </c>
      <c r="AB69" t="str">
        <f>IF($A69=0,"",IF(VLOOKUP($A69,成就条件映射!$A$4:$D$66,4)=0,"",VLOOKUP($A69,成就条件映射!$A$4:$D$66,4)))</f>
        <v>当前造成伤害</v>
      </c>
    </row>
    <row r="70" spans="1:28" x14ac:dyDescent="0.3">
      <c r="B70" s="64" t="str">
        <f t="shared" si="5"/>
        <v/>
      </c>
      <c r="C70" s="64" t="str">
        <f>IF($A70=0,"",IF(VLOOKUP($A70,成就条件映射!$A$4:$D$66,2)=0,"",VLOOKUP($A70,成就条件映射!$A$4:$D$66,2)))</f>
        <v/>
      </c>
      <c r="D70" s="64" t="str">
        <f>IF($A70=0,"",IF(VLOOKUP($A70,成就条件映射!$A$4:$D$66,3)=0,"",VLOOKUP($A70,成就条件映射!$A$4:$D$66,3)))</f>
        <v/>
      </c>
      <c r="E70" s="64" t="str">
        <f>IF($A70=0,"",IF(VLOOKUP($A70,成就条件映射!$A$4:$D$66,4)=0,"",VLOOKUP($A70,成就条件映射!$A$4:$D$66,4)))</f>
        <v/>
      </c>
      <c r="I70" s="64">
        <f>A69*100+J70</f>
        <v>201202</v>
      </c>
      <c r="J70" s="64">
        <f t="shared" si="6"/>
        <v>2</v>
      </c>
      <c r="M70" t="str">
        <f t="shared" si="7"/>
        <v>achievementAccumulative{achieveId:2012,count:2800}</v>
      </c>
      <c r="N70" s="64" t="s">
        <v>115</v>
      </c>
      <c r="O70" s="64">
        <v>1707522</v>
      </c>
      <c r="Q70" s="64">
        <f t="shared" si="8"/>
        <v>2012</v>
      </c>
      <c r="R70" s="64">
        <v>2800</v>
      </c>
      <c r="W70" s="64">
        <v>2</v>
      </c>
      <c r="X70" s="64">
        <v>12</v>
      </c>
    </row>
    <row r="71" spans="1:28" x14ac:dyDescent="0.3">
      <c r="B71" s="64" t="str">
        <f t="shared" si="5"/>
        <v/>
      </c>
      <c r="C71" s="64" t="str">
        <f>IF($A71=0,"",IF(VLOOKUP($A71,成就条件映射!$A$4:$D$66,2)=0,"",VLOOKUP($A71,成就条件映射!$A$4:$D$66,2)))</f>
        <v/>
      </c>
      <c r="D71" s="64" t="str">
        <f>IF($A71=0,"",IF(VLOOKUP($A71,成就条件映射!$A$4:$D$66,3)=0,"",VLOOKUP($A71,成就条件映射!$A$4:$D$66,3)))</f>
        <v/>
      </c>
      <c r="E71" s="64" t="str">
        <f>IF($A71=0,"",IF(VLOOKUP($A71,成就条件映射!$A$4:$D$66,4)=0,"",VLOOKUP($A71,成就条件映射!$A$4:$D$66,4)))</f>
        <v/>
      </c>
      <c r="I71" s="64">
        <f>A69*100+J71</f>
        <v>201203</v>
      </c>
      <c r="J71" s="64">
        <f t="shared" si="6"/>
        <v>3</v>
      </c>
      <c r="M71" t="str">
        <f t="shared" si="7"/>
        <v>achievementAccumulative{achieveId:2012,count:3500}</v>
      </c>
      <c r="N71" s="64" t="s">
        <v>115</v>
      </c>
      <c r="O71" s="64">
        <v>1707523</v>
      </c>
      <c r="Q71" s="64">
        <f t="shared" si="8"/>
        <v>2012</v>
      </c>
      <c r="R71" s="64">
        <v>3500</v>
      </c>
      <c r="W71" s="64">
        <v>2</v>
      </c>
      <c r="X71" s="64">
        <v>12</v>
      </c>
    </row>
    <row r="72" spans="1:28" x14ac:dyDescent="0.3">
      <c r="B72" s="64" t="str">
        <f t="shared" si="5"/>
        <v/>
      </c>
      <c r="C72" s="64" t="str">
        <f>IF($A72=0,"",IF(VLOOKUP($A72,成就条件映射!$A$4:$D$66,2)=0,"",VLOOKUP($A72,成就条件映射!$A$4:$D$66,2)))</f>
        <v/>
      </c>
      <c r="D72" s="64" t="str">
        <f>IF($A72=0,"",IF(VLOOKUP($A72,成就条件映射!$A$4:$D$66,3)=0,"",VLOOKUP($A72,成就条件映射!$A$4:$D$66,3)))</f>
        <v/>
      </c>
      <c r="E72" s="64" t="str">
        <f>IF($A72=0,"",IF(VLOOKUP($A72,成就条件映射!$A$4:$D$66,4)=0,"",VLOOKUP($A72,成就条件映射!$A$4:$D$66,4)))</f>
        <v/>
      </c>
      <c r="I72" s="64">
        <f>A69*100+J72</f>
        <v>201204</v>
      </c>
      <c r="J72" s="64">
        <f t="shared" si="6"/>
        <v>4</v>
      </c>
      <c r="M72" t="str">
        <f t="shared" si="7"/>
        <v>achievementAccumulative{achieveId:2012,count:4200}</v>
      </c>
      <c r="N72" s="64" t="s">
        <v>115</v>
      </c>
      <c r="O72" s="64">
        <v>1707524</v>
      </c>
      <c r="Q72" s="64">
        <f t="shared" si="8"/>
        <v>2012</v>
      </c>
      <c r="R72" s="64">
        <v>4200</v>
      </c>
      <c r="W72" s="64">
        <v>2</v>
      </c>
      <c r="X72" s="64">
        <v>12</v>
      </c>
    </row>
    <row r="73" spans="1:28" x14ac:dyDescent="0.3">
      <c r="B73" s="64" t="str">
        <f t="shared" si="5"/>
        <v/>
      </c>
      <c r="C73" s="64" t="str">
        <f>IF($A73=0,"",IF(VLOOKUP($A73,成就条件映射!$A$4:$D$66,2)=0,"",VLOOKUP($A73,成就条件映射!$A$4:$D$66,2)))</f>
        <v/>
      </c>
      <c r="D73" s="64" t="str">
        <f>IF($A73=0,"",IF(VLOOKUP($A73,成就条件映射!$A$4:$D$66,3)=0,"",VLOOKUP($A73,成就条件映射!$A$4:$D$66,3)))</f>
        <v/>
      </c>
      <c r="E73" s="64" t="str">
        <f>IF($A73=0,"",IF(VLOOKUP($A73,成就条件映射!$A$4:$D$66,4)=0,"",VLOOKUP($A73,成就条件映射!$A$4:$D$66,4)))</f>
        <v/>
      </c>
      <c r="I73" s="64">
        <f>A69*100+J73</f>
        <v>201205</v>
      </c>
      <c r="J73" s="64">
        <f t="shared" si="6"/>
        <v>5</v>
      </c>
      <c r="M73" t="str">
        <f t="shared" si="7"/>
        <v>achievementAccumulative{achieveId:2012,count:5300}</v>
      </c>
      <c r="N73" s="64" t="s">
        <v>115</v>
      </c>
      <c r="O73" s="64">
        <v>1707525</v>
      </c>
      <c r="Q73" s="64">
        <f t="shared" si="8"/>
        <v>2012</v>
      </c>
      <c r="R73" s="64">
        <v>5300</v>
      </c>
      <c r="W73" s="64">
        <v>2</v>
      </c>
      <c r="X73" s="64">
        <v>12</v>
      </c>
    </row>
    <row r="74" spans="1:28" x14ac:dyDescent="0.3">
      <c r="A74" s="64">
        <f>W74*1000+X74</f>
        <v>2013</v>
      </c>
      <c r="C74" s="64" t="s">
        <v>148</v>
      </c>
      <c r="D74" s="64" t="s">
        <v>149</v>
      </c>
      <c r="E74" s="64" t="s">
        <v>113</v>
      </c>
      <c r="F74" s="64">
        <v>2</v>
      </c>
      <c r="G74" s="64" t="s">
        <v>114</v>
      </c>
      <c r="H74" s="64" t="str">
        <f>"icon_silver_"&amp;Y74</f>
        <v>icon_silver_09</v>
      </c>
      <c r="I74" s="64">
        <f>A74*100+J74</f>
        <v>201301</v>
      </c>
      <c r="J74" s="64">
        <f t="shared" si="6"/>
        <v>1</v>
      </c>
      <c r="M74" t="str">
        <f t="shared" si="7"/>
        <v>achievementAccumulative{achieveId:2013,count:1}</v>
      </c>
      <c r="N74" s="64" t="s">
        <v>115</v>
      </c>
      <c r="O74" s="64">
        <v>1707521</v>
      </c>
      <c r="Q74" s="64">
        <f t="shared" si="8"/>
        <v>2013</v>
      </c>
      <c r="R74" s="64">
        <v>1</v>
      </c>
      <c r="W74" s="64">
        <v>2</v>
      </c>
      <c r="X74" s="64">
        <v>13</v>
      </c>
      <c r="Y74" s="66" t="s">
        <v>132</v>
      </c>
      <c r="Z74" t="str">
        <f>IF($A74=0,"",IF(VLOOKUP($A74,成就条件映射!$A$4:$D$66,2)=0,"",VLOOKUP($A74,成就条件映射!$A$4:$D$66,2)))</f>
        <v>万军射潮</v>
      </c>
      <c r="AA74" t="str">
        <f>IF($A74=0,"",IF(VLOOKUP($A74,成就条件映射!$A$4:$D$66,3)=0,"",VLOOKUP($A74,成就条件映射!$A$4:$D$66,3)))</f>
        <v>&lt;color=#ffc766&gt;集结战斗&lt;/color&gt;中，我方&lt;color=#ffc766&gt;弓兵&lt;/color&gt;部队使用&lt;color=#ffc766&gt;固有&lt;/color&gt;&lt;color=#ffc766&gt;主动技能&lt;/color&gt;累计造成的&lt;color=#ffc766&gt;伤害量&lt;/color&gt;</v>
      </c>
      <c r="AB74" t="str">
        <f>IF($A74=0,"",IF(VLOOKUP($A74,成就条件映射!$A$4:$D$66,4)=0,"",VLOOKUP($A74,成就条件映射!$A$4:$D$66,4)))</f>
        <v>当前累计伤害</v>
      </c>
    </row>
    <row r="75" spans="1:28" x14ac:dyDescent="0.3">
      <c r="B75" s="64" t="str">
        <f t="shared" ref="B75:B87" si="9">IF(A75=0,"",INT(A75/1000))</f>
        <v/>
      </c>
      <c r="C75" s="64" t="str">
        <f>IF($A75=0,"",IF(VLOOKUP($A75,成就条件映射!$A$4:$D$66,2)=0,"",VLOOKUP($A75,成就条件映射!$A$4:$D$66,2)))</f>
        <v/>
      </c>
      <c r="D75" s="64" t="str">
        <f>IF($A75=0,"",IF(VLOOKUP($A75,成就条件映射!$A$4:$D$66,3)=0,"",VLOOKUP($A75,成就条件映射!$A$4:$D$66,3)))</f>
        <v/>
      </c>
      <c r="E75" s="64" t="str">
        <f>IF($A75=0,"",IF(VLOOKUP($A75,成就条件映射!$A$4:$D$66,4)=0,"",VLOOKUP($A75,成就条件映射!$A$4:$D$66,4)))</f>
        <v/>
      </c>
      <c r="I75" s="64">
        <f>A74*100+J75</f>
        <v>201302</v>
      </c>
      <c r="J75" s="64">
        <f t="shared" si="6"/>
        <v>2</v>
      </c>
      <c r="M75" t="str">
        <f t="shared" si="7"/>
        <v>achievementAccumulative{achieveId:2013,count:2}</v>
      </c>
      <c r="N75" s="64" t="s">
        <v>115</v>
      </c>
      <c r="O75" s="64">
        <v>1707522</v>
      </c>
      <c r="Q75" s="64">
        <f t="shared" si="8"/>
        <v>2013</v>
      </c>
      <c r="R75" s="64">
        <v>2</v>
      </c>
      <c r="W75" s="64">
        <v>2</v>
      </c>
      <c r="X75" s="64">
        <v>13</v>
      </c>
    </row>
    <row r="76" spans="1:28" x14ac:dyDescent="0.3">
      <c r="B76" s="64" t="str">
        <f t="shared" si="9"/>
        <v/>
      </c>
      <c r="C76" s="64" t="str">
        <f>IF($A76=0,"",IF(VLOOKUP($A76,成就条件映射!$A$4:$D$66,2)=0,"",VLOOKUP($A76,成就条件映射!$A$4:$D$66,2)))</f>
        <v/>
      </c>
      <c r="D76" s="64" t="str">
        <f>IF($A76=0,"",IF(VLOOKUP($A76,成就条件映射!$A$4:$D$66,3)=0,"",VLOOKUP($A76,成就条件映射!$A$4:$D$66,3)))</f>
        <v/>
      </c>
      <c r="E76" s="64" t="str">
        <f>IF($A76=0,"",IF(VLOOKUP($A76,成就条件映射!$A$4:$D$66,4)=0,"",VLOOKUP($A76,成就条件映射!$A$4:$D$66,4)))</f>
        <v/>
      </c>
      <c r="I76" s="64">
        <f>A74*100+J76</f>
        <v>201303</v>
      </c>
      <c r="J76" s="64">
        <f t="shared" si="6"/>
        <v>3</v>
      </c>
      <c r="M76" t="str">
        <f t="shared" si="7"/>
        <v>achievementAccumulative{achieveId:2013,count:3}</v>
      </c>
      <c r="N76" s="64" t="s">
        <v>115</v>
      </c>
      <c r="O76" s="64">
        <v>1707523</v>
      </c>
      <c r="Q76" s="64">
        <f t="shared" si="8"/>
        <v>2013</v>
      </c>
      <c r="R76" s="64">
        <v>3</v>
      </c>
      <c r="W76" s="64">
        <v>2</v>
      </c>
      <c r="X76" s="64">
        <v>13</v>
      </c>
    </row>
    <row r="77" spans="1:28" x14ac:dyDescent="0.3">
      <c r="B77" s="64" t="str">
        <f t="shared" si="9"/>
        <v/>
      </c>
      <c r="C77" s="64" t="str">
        <f>IF($A77=0,"",IF(VLOOKUP($A77,成就条件映射!$A$4:$D$66,2)=0,"",VLOOKUP($A77,成就条件映射!$A$4:$D$66,2)))</f>
        <v/>
      </c>
      <c r="D77" s="64" t="str">
        <f>IF($A77=0,"",IF(VLOOKUP($A77,成就条件映射!$A$4:$D$66,3)=0,"",VLOOKUP($A77,成就条件映射!$A$4:$D$66,3)))</f>
        <v/>
      </c>
      <c r="E77" s="64" t="str">
        <f>IF($A77=0,"",IF(VLOOKUP($A77,成就条件映射!$A$4:$D$66,4)=0,"",VLOOKUP($A77,成就条件映射!$A$4:$D$66,4)))</f>
        <v/>
      </c>
      <c r="I77" s="64">
        <f>A74*100+J77</f>
        <v>201304</v>
      </c>
      <c r="J77" s="64">
        <f t="shared" si="6"/>
        <v>4</v>
      </c>
      <c r="M77" t="str">
        <f t="shared" si="7"/>
        <v>achievementAccumulative{achieveId:2013,count:4}</v>
      </c>
      <c r="N77" s="64" t="s">
        <v>115</v>
      </c>
      <c r="O77" s="64">
        <v>1707524</v>
      </c>
      <c r="Q77" s="64">
        <f t="shared" si="8"/>
        <v>2013</v>
      </c>
      <c r="R77" s="64">
        <v>4</v>
      </c>
      <c r="W77" s="64">
        <v>2</v>
      </c>
      <c r="X77" s="64">
        <v>13</v>
      </c>
    </row>
    <row r="78" spans="1:28" x14ac:dyDescent="0.3">
      <c r="B78" s="64" t="str">
        <f t="shared" si="9"/>
        <v/>
      </c>
      <c r="C78" s="64" t="str">
        <f>IF($A78=0,"",IF(VLOOKUP($A78,成就条件映射!$A$4:$D$66,2)=0,"",VLOOKUP($A78,成就条件映射!$A$4:$D$66,2)))</f>
        <v/>
      </c>
      <c r="D78" s="64" t="str">
        <f>IF($A78=0,"",IF(VLOOKUP($A78,成就条件映射!$A$4:$D$66,3)=0,"",VLOOKUP($A78,成就条件映射!$A$4:$D$66,3)))</f>
        <v/>
      </c>
      <c r="E78" s="64" t="str">
        <f>IF($A78=0,"",IF(VLOOKUP($A78,成就条件映射!$A$4:$D$66,4)=0,"",VLOOKUP($A78,成就条件映射!$A$4:$D$66,4)))</f>
        <v/>
      </c>
      <c r="I78" s="64">
        <f>A74*100+J78</f>
        <v>201305</v>
      </c>
      <c r="J78" s="64">
        <f t="shared" si="6"/>
        <v>5</v>
      </c>
      <c r="M78" t="str">
        <f t="shared" si="7"/>
        <v>achievementAccumulative{achieveId:2013,count:5}</v>
      </c>
      <c r="N78" s="64" t="s">
        <v>115</v>
      </c>
      <c r="O78" s="64">
        <v>1707525</v>
      </c>
      <c r="Q78" s="64">
        <f t="shared" si="8"/>
        <v>2013</v>
      </c>
      <c r="R78" s="64">
        <v>5</v>
      </c>
      <c r="W78" s="64">
        <v>2</v>
      </c>
      <c r="X78" s="64">
        <v>13</v>
      </c>
    </row>
    <row r="79" spans="1:28" x14ac:dyDescent="0.3">
      <c r="A79" s="64">
        <f>W79*1000+X79</f>
        <v>2021</v>
      </c>
      <c r="B79" s="64">
        <f t="shared" si="9"/>
        <v>2</v>
      </c>
      <c r="C79" s="64" t="s">
        <v>150</v>
      </c>
      <c r="D79" s="64" t="s">
        <v>151</v>
      </c>
      <c r="E79" s="64" t="s">
        <v>152</v>
      </c>
      <c r="F79" s="64">
        <v>3</v>
      </c>
      <c r="G79" s="64" t="s">
        <v>114</v>
      </c>
      <c r="H79" s="64" t="str">
        <f>"icon_kim_"&amp;Y79</f>
        <v>icon_kim_19</v>
      </c>
      <c r="I79" s="64">
        <f>A79*100+J79</f>
        <v>202101</v>
      </c>
      <c r="J79" s="64">
        <f t="shared" si="6"/>
        <v>1</v>
      </c>
      <c r="M79" t="str">
        <f t="shared" si="7"/>
        <v>achievementAccumulative{achieveId:2021,count:30000}</v>
      </c>
      <c r="N79" s="64" t="s">
        <v>115</v>
      </c>
      <c r="O79" s="64">
        <v>1707531</v>
      </c>
      <c r="Q79" s="64">
        <f t="shared" si="8"/>
        <v>2021</v>
      </c>
      <c r="R79" s="64">
        <v>30000</v>
      </c>
      <c r="W79" s="64">
        <v>2</v>
      </c>
      <c r="X79" s="64">
        <v>21</v>
      </c>
      <c r="Y79" s="66" t="s">
        <v>145</v>
      </c>
      <c r="Z79" t="str">
        <f>IF($A79=0,"",IF(VLOOKUP($A79,成就条件映射!$A$4:$D$66,2)=0,"",VLOOKUP($A79,成就条件映射!$A$4:$D$66,2)))</f>
        <v>万象奇门</v>
      </c>
      <c r="AA79" t="str">
        <f>IF($A79=0,"",IF(VLOOKUP($A79,成就条件映射!$A$4:$D$66,3)=0,"",VLOOKUP($A79,成就条件映射!$A$4:$D$66,3)))</f>
        <v>&lt;color=#ffc766&gt;万象奇门&lt;/color&gt;技能累计&lt;color=#ffc766&gt;治疗&lt;/color&gt;的士兵数</v>
      </c>
      <c r="AB79" t="str">
        <f>IF($A79=0,"",IF(VLOOKUP($A79,成就条件映射!$A$4:$D$66,4)=0,"",VLOOKUP($A79,成就条件映射!$A$4:$D$66,4)))</f>
        <v>当前累计治疗</v>
      </c>
    </row>
    <row r="80" spans="1:28" x14ac:dyDescent="0.3">
      <c r="B80" s="64" t="str">
        <f t="shared" si="9"/>
        <v/>
      </c>
      <c r="C80" s="64" t="str">
        <f>IF($A80=0,"",IF(VLOOKUP($A80,成就条件映射!$A$4:$D$66,2)=0,"",VLOOKUP($A80,成就条件映射!$A$4:$D$66,2)))</f>
        <v/>
      </c>
      <c r="D80" s="64" t="str">
        <f>IF($A80=0,"",IF(VLOOKUP($A80,成就条件映射!$A$4:$D$66,3)=0,"",VLOOKUP($A80,成就条件映射!$A$4:$D$66,3)))</f>
        <v/>
      </c>
      <c r="E80" s="64" t="str">
        <f>IF($A80=0,"",IF(VLOOKUP($A80,成就条件映射!$A$4:$D$66,4)=0,"",VLOOKUP($A80,成就条件映射!$A$4:$D$66,4)))</f>
        <v/>
      </c>
      <c r="I80" s="64">
        <f>A79*100+J80</f>
        <v>202102</v>
      </c>
      <c r="J80" s="64">
        <f t="shared" si="6"/>
        <v>2</v>
      </c>
      <c r="M80" t="str">
        <f t="shared" si="7"/>
        <v>achievementAccumulative{achieveId:2021,count:500000}</v>
      </c>
      <c r="N80" s="64" t="s">
        <v>115</v>
      </c>
      <c r="O80" s="64">
        <v>1707532</v>
      </c>
      <c r="Q80" s="64">
        <f t="shared" si="8"/>
        <v>2021</v>
      </c>
      <c r="R80" s="64">
        <v>500000</v>
      </c>
      <c r="W80" s="64">
        <v>2</v>
      </c>
      <c r="X80" s="64">
        <v>21</v>
      </c>
    </row>
    <row r="81" spans="1:28" x14ac:dyDescent="0.3">
      <c r="B81" s="64" t="str">
        <f t="shared" si="9"/>
        <v/>
      </c>
      <c r="C81" s="64" t="str">
        <f>IF($A81=0,"",IF(VLOOKUP($A81,成就条件映射!$A$4:$D$66,2)=0,"",VLOOKUP($A81,成就条件映射!$A$4:$D$66,2)))</f>
        <v/>
      </c>
      <c r="D81" s="64" t="str">
        <f>IF($A81=0,"",IF(VLOOKUP($A81,成就条件映射!$A$4:$D$66,3)=0,"",VLOOKUP($A81,成就条件映射!$A$4:$D$66,3)))</f>
        <v/>
      </c>
      <c r="E81" s="64" t="str">
        <f>IF($A81=0,"",IF(VLOOKUP($A81,成就条件映射!$A$4:$D$66,4)=0,"",VLOOKUP($A81,成就条件映射!$A$4:$D$66,4)))</f>
        <v/>
      </c>
      <c r="I81" s="64">
        <f>A79*100+J81</f>
        <v>202103</v>
      </c>
      <c r="J81" s="64">
        <f t="shared" si="6"/>
        <v>3</v>
      </c>
      <c r="M81" t="str">
        <f t="shared" si="7"/>
        <v>achievementAccumulative{achieveId:2021,count:2000000}</v>
      </c>
      <c r="N81" s="64" t="s">
        <v>115</v>
      </c>
      <c r="O81" s="64">
        <v>1707533</v>
      </c>
      <c r="Q81" s="64">
        <f t="shared" si="8"/>
        <v>2021</v>
      </c>
      <c r="R81" s="64">
        <v>2000000</v>
      </c>
      <c r="W81" s="64">
        <v>2</v>
      </c>
      <c r="X81" s="64">
        <v>21</v>
      </c>
    </row>
    <row r="82" spans="1:28" x14ac:dyDescent="0.3">
      <c r="B82" s="64" t="str">
        <f t="shared" si="9"/>
        <v/>
      </c>
      <c r="C82" s="64" t="str">
        <f>IF($A82=0,"",IF(VLOOKUP($A82,成就条件映射!$A$4:$D$66,2)=0,"",VLOOKUP($A82,成就条件映射!$A$4:$D$66,2)))</f>
        <v/>
      </c>
      <c r="D82" s="64" t="str">
        <f>IF($A82=0,"",IF(VLOOKUP($A82,成就条件映射!$A$4:$D$66,3)=0,"",VLOOKUP($A82,成就条件映射!$A$4:$D$66,3)))</f>
        <v/>
      </c>
      <c r="E82" s="64" t="str">
        <f>IF($A82=0,"",IF(VLOOKUP($A82,成就条件映射!$A$4:$D$66,4)=0,"",VLOOKUP($A82,成就条件映射!$A$4:$D$66,4)))</f>
        <v/>
      </c>
      <c r="I82" s="64">
        <f>A79*100+J82</f>
        <v>202104</v>
      </c>
      <c r="J82" s="64">
        <f t="shared" si="6"/>
        <v>4</v>
      </c>
      <c r="M82" t="str">
        <f t="shared" si="7"/>
        <v>achievementAccumulative{achieveId:2021,count:6000000}</v>
      </c>
      <c r="N82" s="64" t="s">
        <v>115</v>
      </c>
      <c r="O82" s="64">
        <v>1707534</v>
      </c>
      <c r="Q82" s="64">
        <f t="shared" si="8"/>
        <v>2021</v>
      </c>
      <c r="R82" s="64">
        <v>6000000</v>
      </c>
      <c r="W82" s="64">
        <v>2</v>
      </c>
      <c r="X82" s="64">
        <v>21</v>
      </c>
    </row>
    <row r="83" spans="1:28" x14ac:dyDescent="0.3">
      <c r="B83" s="64" t="str">
        <f t="shared" si="9"/>
        <v/>
      </c>
      <c r="C83" s="64" t="str">
        <f>IF($A83=0,"",IF(VLOOKUP($A83,成就条件映射!$A$4:$D$66,2)=0,"",VLOOKUP($A83,成就条件映射!$A$4:$D$66,2)))</f>
        <v/>
      </c>
      <c r="D83" s="64" t="str">
        <f>IF($A83=0,"",IF(VLOOKUP($A83,成就条件映射!$A$4:$D$66,3)=0,"",VLOOKUP($A83,成就条件映射!$A$4:$D$66,3)))</f>
        <v/>
      </c>
      <c r="E83" s="64" t="str">
        <f>IF($A83=0,"",IF(VLOOKUP($A83,成就条件映射!$A$4:$D$66,4)=0,"",VLOOKUP($A83,成就条件映射!$A$4:$D$66,4)))</f>
        <v/>
      </c>
      <c r="I83" s="64">
        <f>A79*100+J83</f>
        <v>202105</v>
      </c>
      <c r="J83" s="64">
        <f t="shared" si="6"/>
        <v>5</v>
      </c>
      <c r="M83" t="str">
        <f t="shared" si="7"/>
        <v>achievementAccumulative{achieveId:2021,count:10000000}</v>
      </c>
      <c r="N83" s="64" t="s">
        <v>115</v>
      </c>
      <c r="O83" s="64">
        <v>1707535</v>
      </c>
      <c r="Q83" s="64">
        <f t="shared" si="8"/>
        <v>2021</v>
      </c>
      <c r="R83" s="64">
        <v>10000000</v>
      </c>
      <c r="W83" s="64">
        <v>2</v>
      </c>
      <c r="X83" s="64">
        <v>21</v>
      </c>
    </row>
    <row r="84" spans="1:28" x14ac:dyDescent="0.3">
      <c r="A84" s="64">
        <f>W84*1000+X84</f>
        <v>2022</v>
      </c>
      <c r="B84" s="64">
        <f t="shared" si="9"/>
        <v>2</v>
      </c>
      <c r="C84" s="64" t="s">
        <v>153</v>
      </c>
      <c r="D84" s="64" t="s">
        <v>154</v>
      </c>
      <c r="E84" s="64" t="s">
        <v>135</v>
      </c>
      <c r="F84" s="64">
        <v>3</v>
      </c>
      <c r="G84" s="64" t="s">
        <v>114</v>
      </c>
      <c r="H84" s="64" t="str">
        <f>"icon_kim_"&amp;Y84</f>
        <v>icon_kim_05</v>
      </c>
      <c r="I84" s="64">
        <f>A84*100+J84</f>
        <v>202201</v>
      </c>
      <c r="J84" s="64">
        <f t="shared" si="6"/>
        <v>1</v>
      </c>
      <c r="M84" t="str">
        <f t="shared" si="7"/>
        <v>achievementAccumulative{achieveId:2022,count:40}</v>
      </c>
      <c r="N84" s="64" t="s">
        <v>115</v>
      </c>
      <c r="O84" s="64">
        <v>1707531</v>
      </c>
      <c r="Q84" s="64">
        <f t="shared" si="8"/>
        <v>2022</v>
      </c>
      <c r="R84" s="64">
        <v>40</v>
      </c>
      <c r="W84" s="64">
        <v>2</v>
      </c>
      <c r="X84" s="64">
        <v>22</v>
      </c>
      <c r="Y84" s="66" t="s">
        <v>139</v>
      </c>
      <c r="Z84" t="str">
        <f>IF($A84=0,"",IF(VLOOKUP($A84,成就条件映射!$A$4:$D$66,2)=0,"",VLOOKUP($A84,成就条件映射!$A$4:$D$66,2)))</f>
        <v>神乎其技</v>
      </c>
      <c r="AA84" t="str">
        <f>IF($A84=0,"",IF(VLOOKUP($A84,成就条件映射!$A$4:$D$66,3)=0,"",VLOOKUP($A84,成就条件映射!$A$4:$D$66,3)))</f>
        <v>我方&lt;color=#ffc766&gt;弓兵&lt;/color&gt;部队&lt;color=#ffc766&gt;准备技能&lt;/color&gt;进入准备状态后，&lt;color=#ffc766&gt;直接发动效果&lt;/color&gt;的总次数</v>
      </c>
      <c r="AB84" t="str">
        <f>IF($A84=0,"",IF(VLOOKUP($A84,成就条件映射!$A$4:$D$66,4)=0,"",VLOOKUP($A84,成就条件映射!$A$4:$D$66,4)))</f>
        <v>当前累计次数</v>
      </c>
    </row>
    <row r="85" spans="1:28" x14ac:dyDescent="0.3">
      <c r="B85" s="64" t="str">
        <f t="shared" si="9"/>
        <v/>
      </c>
      <c r="C85" s="64" t="str">
        <f>IF($A85=0,"",IF(VLOOKUP($A85,成就条件映射!$A$4:$D$66,2)=0,"",VLOOKUP($A85,成就条件映射!$A$4:$D$66,2)))</f>
        <v/>
      </c>
      <c r="D85" s="64" t="str">
        <f>IF($A85=0,"",IF(VLOOKUP($A85,成就条件映射!$A$4:$D$66,3)=0,"",VLOOKUP($A85,成就条件映射!$A$4:$D$66,3)))</f>
        <v/>
      </c>
      <c r="E85" s="64" t="str">
        <f>IF($A85=0,"",IF(VLOOKUP($A85,成就条件映射!$A$4:$D$66,4)=0,"",VLOOKUP($A85,成就条件映射!$A$4:$D$66,4)))</f>
        <v/>
      </c>
      <c r="I85" s="64">
        <f>A84*100+J85</f>
        <v>202202</v>
      </c>
      <c r="J85" s="64">
        <f t="shared" si="6"/>
        <v>2</v>
      </c>
      <c r="M85" t="str">
        <f t="shared" si="7"/>
        <v>achievementAccumulative{achieveId:2022,count:240}</v>
      </c>
      <c r="N85" s="64" t="s">
        <v>115</v>
      </c>
      <c r="O85" s="64">
        <v>1707532</v>
      </c>
      <c r="Q85" s="64">
        <f t="shared" si="8"/>
        <v>2022</v>
      </c>
      <c r="R85" s="64">
        <v>240</v>
      </c>
      <c r="W85" s="64">
        <v>2</v>
      </c>
      <c r="X85" s="64">
        <v>22</v>
      </c>
    </row>
    <row r="86" spans="1:28" x14ac:dyDescent="0.3">
      <c r="B86" s="64" t="str">
        <f t="shared" si="9"/>
        <v/>
      </c>
      <c r="C86" s="64" t="str">
        <f>IF($A86=0,"",IF(VLOOKUP($A86,成就条件映射!$A$4:$D$66,2)=0,"",VLOOKUP($A86,成就条件映射!$A$4:$D$66,2)))</f>
        <v/>
      </c>
      <c r="D86" s="64" t="str">
        <f>IF($A86=0,"",IF(VLOOKUP($A86,成就条件映射!$A$4:$D$66,3)=0,"",VLOOKUP($A86,成就条件映射!$A$4:$D$66,3)))</f>
        <v/>
      </c>
      <c r="E86" s="64" t="str">
        <f>IF($A86=0,"",IF(VLOOKUP($A86,成就条件映射!$A$4:$D$66,4)=0,"",VLOOKUP($A86,成就条件映射!$A$4:$D$66,4)))</f>
        <v/>
      </c>
      <c r="I86" s="64">
        <f>A84*100+J86</f>
        <v>202203</v>
      </c>
      <c r="J86" s="64">
        <f t="shared" si="6"/>
        <v>3</v>
      </c>
      <c r="M86" t="str">
        <f t="shared" si="7"/>
        <v>achievementAccumulative{achieveId:2022,count:1000}</v>
      </c>
      <c r="N86" s="64" t="s">
        <v>115</v>
      </c>
      <c r="O86" s="64">
        <v>1707533</v>
      </c>
      <c r="Q86" s="64">
        <f t="shared" si="8"/>
        <v>2022</v>
      </c>
      <c r="R86" s="64">
        <v>1000</v>
      </c>
      <c r="W86" s="64">
        <v>2</v>
      </c>
      <c r="X86" s="64">
        <v>22</v>
      </c>
    </row>
    <row r="87" spans="1:28" x14ac:dyDescent="0.3">
      <c r="B87" s="64" t="str">
        <f t="shared" si="9"/>
        <v/>
      </c>
      <c r="C87" s="64" t="str">
        <f>IF($A87=0,"",IF(VLOOKUP($A87,成就条件映射!$A$4:$D$66,2)=0,"",VLOOKUP($A87,成就条件映射!$A$4:$D$66,2)))</f>
        <v/>
      </c>
      <c r="D87" s="64" t="str">
        <f>IF($A87=0,"",IF(VLOOKUP($A87,成就条件映射!$A$4:$D$66,3)=0,"",VLOOKUP($A87,成就条件映射!$A$4:$D$66,3)))</f>
        <v/>
      </c>
      <c r="E87" s="64" t="str">
        <f>IF($A87=0,"",IF(VLOOKUP($A87,成就条件映射!$A$4:$D$66,4)=0,"",VLOOKUP($A87,成就条件映射!$A$4:$D$66,4)))</f>
        <v/>
      </c>
      <c r="I87" s="64">
        <f>A84*100+J87</f>
        <v>202204</v>
      </c>
      <c r="J87" s="64">
        <f t="shared" si="6"/>
        <v>4</v>
      </c>
      <c r="M87" t="str">
        <f t="shared" si="7"/>
        <v>achievementAccumulative{achieveId:2022,count:3000}</v>
      </c>
      <c r="N87" s="64" t="s">
        <v>115</v>
      </c>
      <c r="O87" s="64">
        <v>1707534</v>
      </c>
      <c r="Q87" s="64">
        <f t="shared" si="8"/>
        <v>2022</v>
      </c>
      <c r="R87" s="64">
        <v>3000</v>
      </c>
      <c r="W87" s="64">
        <v>2</v>
      </c>
      <c r="X87" s="64">
        <v>22</v>
      </c>
    </row>
    <row r="88" spans="1:28" x14ac:dyDescent="0.3">
      <c r="C88" s="64" t="str">
        <f>IF($A88=0,"",IF(VLOOKUP($A88,成就条件映射!$A$4:$D$66,2)=0,"",VLOOKUP($A88,成就条件映射!$A$4:$D$66,2)))</f>
        <v/>
      </c>
      <c r="D88" s="64" t="str">
        <f>IF($A88=0,"",IF(VLOOKUP($A88,成就条件映射!$A$4:$D$66,3)=0,"",VLOOKUP($A88,成就条件映射!$A$4:$D$66,3)))</f>
        <v/>
      </c>
      <c r="E88" s="64" t="str">
        <f>IF($A88=0,"",IF(VLOOKUP($A88,成就条件映射!$A$4:$D$66,4)=0,"",VLOOKUP($A88,成就条件映射!$A$4:$D$66,4)))</f>
        <v/>
      </c>
      <c r="I88" s="64">
        <f>A84*100+J88</f>
        <v>202205</v>
      </c>
      <c r="J88" s="64">
        <f t="shared" si="6"/>
        <v>5</v>
      </c>
      <c r="M88" t="str">
        <f t="shared" si="7"/>
        <v>achievementAccumulative{achieveId:2022,count:5000}</v>
      </c>
      <c r="N88" s="64" t="s">
        <v>115</v>
      </c>
      <c r="O88" s="64">
        <v>1707535</v>
      </c>
      <c r="Q88" s="64">
        <f t="shared" si="8"/>
        <v>2022</v>
      </c>
      <c r="R88" s="64">
        <v>5000</v>
      </c>
      <c r="W88" s="64">
        <v>2</v>
      </c>
      <c r="X88" s="64">
        <v>22</v>
      </c>
    </row>
    <row r="89" spans="1:28" x14ac:dyDescent="0.3">
      <c r="A89" s="64">
        <f>W89*1000+X89</f>
        <v>2023</v>
      </c>
      <c r="C89" s="64" t="str">
        <f>IF($A89=0,"",IF(VLOOKUP($A89,成就条件映射!$A$4:$D$66,2)=0,"",VLOOKUP($A89,成就条件映射!$A$4:$D$66,2)))</f>
        <v/>
      </c>
      <c r="D89" s="64" t="str">
        <f>IF($A89=0,"",IF(VLOOKUP($A89,成就条件映射!$A$4:$D$66,3)=0,"",VLOOKUP($A89,成就条件映射!$A$4:$D$66,3)))</f>
        <v/>
      </c>
      <c r="E89" s="64" t="str">
        <f>IF($A89=0,"",IF(VLOOKUP($A89,成就条件映射!$A$4:$D$66,4)=0,"",VLOOKUP($A89,成就条件映射!$A$4:$D$66,4)))</f>
        <v/>
      </c>
      <c r="F89" s="64">
        <v>3</v>
      </c>
      <c r="G89" s="64" t="s">
        <v>114</v>
      </c>
      <c r="H89" s="64" t="str">
        <f>"icon_kim_"&amp;Y89</f>
        <v>icon_kim_</v>
      </c>
      <c r="I89" s="64">
        <f>A89*100+J89</f>
        <v>202301</v>
      </c>
      <c r="J89" s="64">
        <f t="shared" si="6"/>
        <v>1</v>
      </c>
      <c r="M89" t="str">
        <f t="shared" si="7"/>
        <v>achievementAccumulative{achieveId:2023,count:1}</v>
      </c>
      <c r="N89" s="64" t="s">
        <v>115</v>
      </c>
      <c r="O89" s="64">
        <v>1707531</v>
      </c>
      <c r="Q89" s="64">
        <f t="shared" si="8"/>
        <v>2023</v>
      </c>
      <c r="R89" s="64">
        <v>1</v>
      </c>
      <c r="W89" s="64">
        <v>2</v>
      </c>
      <c r="X89" s="64">
        <v>23</v>
      </c>
    </row>
    <row r="90" spans="1:28" x14ac:dyDescent="0.3">
      <c r="C90" s="64" t="str">
        <f>IF($A90=0,"",IF(VLOOKUP($A90,成就条件映射!$A$4:$D$66,2)=0,"",VLOOKUP($A90,成就条件映射!$A$4:$D$66,2)))</f>
        <v/>
      </c>
      <c r="D90" s="64" t="str">
        <f>IF($A90=0,"",IF(VLOOKUP($A90,成就条件映射!$A$4:$D$66,3)=0,"",VLOOKUP($A90,成就条件映射!$A$4:$D$66,3)))</f>
        <v/>
      </c>
      <c r="E90" s="64" t="str">
        <f>IF($A90=0,"",IF(VLOOKUP($A90,成就条件映射!$A$4:$D$66,4)=0,"",VLOOKUP($A90,成就条件映射!$A$4:$D$66,4)))</f>
        <v/>
      </c>
      <c r="I90" s="64">
        <f>A89*100+J90</f>
        <v>202302</v>
      </c>
      <c r="J90" s="64">
        <f t="shared" si="6"/>
        <v>2</v>
      </c>
      <c r="M90" t="str">
        <f t="shared" si="7"/>
        <v>achievementAccumulative{achieveId:2023,count:2}</v>
      </c>
      <c r="N90" s="64" t="s">
        <v>115</v>
      </c>
      <c r="O90" s="64">
        <v>1707532</v>
      </c>
      <c r="Q90" s="64">
        <f t="shared" si="8"/>
        <v>2023</v>
      </c>
      <c r="R90" s="64">
        <v>2</v>
      </c>
      <c r="W90" s="64">
        <v>2</v>
      </c>
      <c r="X90" s="64">
        <v>23</v>
      </c>
    </row>
    <row r="91" spans="1:28" x14ac:dyDescent="0.3">
      <c r="B91" s="64" t="str">
        <f t="shared" ref="B91:B118" si="10">IF(A91=0,"",INT(A91/1000))</f>
        <v/>
      </c>
      <c r="C91" s="64" t="str">
        <f>IF($A91=0,"",IF(VLOOKUP($A91,成就条件映射!$A$4:$D$66,2)=0,"",VLOOKUP($A91,成就条件映射!$A$4:$D$66,2)))</f>
        <v/>
      </c>
      <c r="D91" s="64" t="str">
        <f>IF($A91=0,"",IF(VLOOKUP($A91,成就条件映射!$A$4:$D$66,3)=0,"",VLOOKUP($A91,成就条件映射!$A$4:$D$66,3)))</f>
        <v/>
      </c>
      <c r="E91" s="64" t="str">
        <f>IF($A91=0,"",IF(VLOOKUP($A91,成就条件映射!$A$4:$D$66,4)=0,"",VLOOKUP($A91,成就条件映射!$A$4:$D$66,4)))</f>
        <v/>
      </c>
      <c r="I91" s="64">
        <f>A89*100+J91</f>
        <v>202303</v>
      </c>
      <c r="J91" s="64">
        <f t="shared" si="6"/>
        <v>3</v>
      </c>
      <c r="M91" t="str">
        <f t="shared" si="7"/>
        <v>achievementAccumulative{achieveId:2023,count:3}</v>
      </c>
      <c r="N91" s="64" t="s">
        <v>115</v>
      </c>
      <c r="O91" s="64">
        <v>1707533</v>
      </c>
      <c r="Q91" s="64">
        <f t="shared" si="8"/>
        <v>2023</v>
      </c>
      <c r="R91" s="64">
        <v>3</v>
      </c>
      <c r="W91" s="64">
        <v>2</v>
      </c>
      <c r="X91" s="64">
        <v>23</v>
      </c>
    </row>
    <row r="92" spans="1:28" x14ac:dyDescent="0.3">
      <c r="B92" s="64" t="str">
        <f t="shared" si="10"/>
        <v/>
      </c>
      <c r="C92" s="64" t="str">
        <f>IF($A92=0,"",IF(VLOOKUP($A92,成就条件映射!$A$4:$D$66,2)=0,"",VLOOKUP($A92,成就条件映射!$A$4:$D$66,2)))</f>
        <v/>
      </c>
      <c r="D92" s="64" t="str">
        <f>IF($A92=0,"",IF(VLOOKUP($A92,成就条件映射!$A$4:$D$66,3)=0,"",VLOOKUP($A92,成就条件映射!$A$4:$D$66,3)))</f>
        <v/>
      </c>
      <c r="E92" s="64" t="str">
        <f>IF($A92=0,"",IF(VLOOKUP($A92,成就条件映射!$A$4:$D$66,4)=0,"",VLOOKUP($A92,成就条件映射!$A$4:$D$66,4)))</f>
        <v/>
      </c>
      <c r="I92" s="64">
        <f>A89*100+J92</f>
        <v>202304</v>
      </c>
      <c r="J92" s="64">
        <f t="shared" si="6"/>
        <v>4</v>
      </c>
      <c r="M92" t="str">
        <f t="shared" si="7"/>
        <v>achievementAccumulative{achieveId:2023,count:4}</v>
      </c>
      <c r="N92" s="64" t="s">
        <v>115</v>
      </c>
      <c r="O92" s="64">
        <v>1707534</v>
      </c>
      <c r="Q92" s="64">
        <f t="shared" si="8"/>
        <v>2023</v>
      </c>
      <c r="R92" s="64">
        <v>4</v>
      </c>
      <c r="W92" s="64">
        <v>2</v>
      </c>
      <c r="X92" s="64">
        <v>23</v>
      </c>
    </row>
    <row r="93" spans="1:28" x14ac:dyDescent="0.3">
      <c r="B93" s="64" t="str">
        <f t="shared" si="10"/>
        <v/>
      </c>
      <c r="C93" s="64" t="str">
        <f>IF($A93=0,"",IF(VLOOKUP($A93,成就条件映射!$A$4:$D$66,2)=0,"",VLOOKUP($A93,成就条件映射!$A$4:$D$66,2)))</f>
        <v/>
      </c>
      <c r="D93" s="64" t="str">
        <f>IF($A93=0,"",IF(VLOOKUP($A93,成就条件映射!$A$4:$D$66,3)=0,"",VLOOKUP($A93,成就条件映射!$A$4:$D$66,3)))</f>
        <v/>
      </c>
      <c r="E93" s="64" t="str">
        <f>IF($A93=0,"",IF(VLOOKUP($A93,成就条件映射!$A$4:$D$66,4)=0,"",VLOOKUP($A93,成就条件映射!$A$4:$D$66,4)))</f>
        <v/>
      </c>
      <c r="I93" s="64">
        <f>A89*100+J93</f>
        <v>202305</v>
      </c>
      <c r="J93" s="64">
        <f t="shared" si="6"/>
        <v>5</v>
      </c>
      <c r="M93" t="str">
        <f t="shared" si="7"/>
        <v>achievementAccumulative{achieveId:2023,count:5}</v>
      </c>
      <c r="N93" s="64" t="s">
        <v>115</v>
      </c>
      <c r="O93" s="64">
        <v>1707535</v>
      </c>
      <c r="Q93" s="64">
        <f t="shared" si="8"/>
        <v>2023</v>
      </c>
      <c r="R93" s="64">
        <v>5</v>
      </c>
      <c r="W93" s="64">
        <v>2</v>
      </c>
      <c r="X93" s="64">
        <v>23</v>
      </c>
    </row>
    <row r="94" spans="1:28" s="3" customFormat="1" x14ac:dyDescent="0.3">
      <c r="A94" s="3">
        <f>W94*1000+X94</f>
        <v>3001</v>
      </c>
      <c r="B94" s="3">
        <f t="shared" si="10"/>
        <v>3</v>
      </c>
      <c r="C94" s="3" t="s">
        <v>111</v>
      </c>
      <c r="D94" s="3" t="s">
        <v>155</v>
      </c>
      <c r="E94" s="3" t="s">
        <v>113</v>
      </c>
      <c r="F94" s="3">
        <v>1</v>
      </c>
      <c r="G94" s="3" t="s">
        <v>114</v>
      </c>
      <c r="H94" s="3" t="str">
        <f>"icon_copper_"&amp;Y94</f>
        <v>icon_copper_07</v>
      </c>
      <c r="I94" s="3">
        <f>A94*100+J94</f>
        <v>300101</v>
      </c>
      <c r="J94" s="3">
        <f t="shared" si="6"/>
        <v>1</v>
      </c>
      <c r="K94" s="8">
        <v>7253</v>
      </c>
      <c r="L94" s="8">
        <v>7253</v>
      </c>
      <c r="M94" s="4" t="str">
        <f t="shared" si="7"/>
        <v>achievementAccumulative{achieveId:3001,count:40000}</v>
      </c>
      <c r="N94" s="3" t="s">
        <v>115</v>
      </c>
      <c r="O94" s="3">
        <v>1707511</v>
      </c>
      <c r="Q94" s="3">
        <f t="shared" si="8"/>
        <v>3001</v>
      </c>
      <c r="R94" s="3">
        <v>40000</v>
      </c>
      <c r="W94" s="3">
        <v>3</v>
      </c>
      <c r="X94" s="3">
        <v>1</v>
      </c>
      <c r="Y94" s="43" t="s">
        <v>116</v>
      </c>
      <c r="Z94" t="str">
        <f>IF($A94=0,"",IF(VLOOKUP($A94,成就条件映射!$A$4:$D$66,2)=0,"",VLOOKUP($A94,成就条件映射!$A$4:$D$66,2)))</f>
        <v>攻克资源点</v>
      </c>
      <c r="AA94" t="str">
        <f>IF($A94=0,"",IF(VLOOKUP($A94,成就条件映射!$A$4:$D$66,3)=0,"",VLOOKUP($A94,成就条件映射!$A$4:$D$66,3)))</f>
        <v>在与&lt;color=#ffc766&gt;资源点守军&lt;/color&gt;战斗中，我方部队使用&lt;color=#ffc766&gt;指挥技能&lt;/color&gt;累计造成的&lt;color=#ffc766&gt;伤害量&lt;/color&gt;</v>
      </c>
      <c r="AB94" t="str">
        <f>IF($A94=0,"",IF(VLOOKUP($A94,成就条件映射!$A$4:$D$66,4)=0,"",VLOOKUP($A94,成就条件映射!$A$4:$D$66,4)))</f>
        <v>当前累计伤害</v>
      </c>
    </row>
    <row r="95" spans="1:28" s="3" customFormat="1" x14ac:dyDescent="0.3">
      <c r="B95" s="3" t="str">
        <f t="shared" si="10"/>
        <v/>
      </c>
      <c r="C95" s="3" t="str">
        <f>IF($A95=0,"",IF(VLOOKUP($A95,成就条件映射!$A$4:$D$66,2)=0,"",VLOOKUP($A95,成就条件映射!$A$4:$D$66,2)))</f>
        <v/>
      </c>
      <c r="D95" s="3" t="str">
        <f>IF($A95=0,"",IF(VLOOKUP($A95,成就条件映射!$A$4:$D$66,3)=0,"",VLOOKUP($A95,成就条件映射!$A$4:$D$66,3)))</f>
        <v/>
      </c>
      <c r="E95" s="3" t="str">
        <f>IF($A95=0,"",IF(VLOOKUP($A95,成就条件映射!$A$4:$D$66,4)=0,"",VLOOKUP($A95,成就条件映射!$A$4:$D$66,4)))</f>
        <v/>
      </c>
      <c r="I95" s="3">
        <f>A94*100+J95</f>
        <v>300102</v>
      </c>
      <c r="J95" s="3">
        <f t="shared" si="6"/>
        <v>2</v>
      </c>
      <c r="K95" s="8">
        <v>7253</v>
      </c>
      <c r="L95" s="8">
        <v>7253</v>
      </c>
      <c r="M95" s="4" t="str">
        <f t="shared" si="7"/>
        <v>achievementAccumulative{achieveId:3001,count:650000}</v>
      </c>
      <c r="N95" s="3" t="s">
        <v>115</v>
      </c>
      <c r="O95" s="3">
        <v>1707512</v>
      </c>
      <c r="Q95" s="3">
        <f t="shared" si="8"/>
        <v>3001</v>
      </c>
      <c r="R95" s="3">
        <v>650000</v>
      </c>
      <c r="W95" s="3">
        <v>3</v>
      </c>
      <c r="X95" s="3">
        <v>1</v>
      </c>
      <c r="Y95" s="43"/>
    </row>
    <row r="96" spans="1:28" s="3" customFormat="1" x14ac:dyDescent="0.3">
      <c r="B96" s="3" t="str">
        <f t="shared" si="10"/>
        <v/>
      </c>
      <c r="C96" s="3" t="str">
        <f>IF($A96=0,"",IF(VLOOKUP($A96,成就条件映射!$A$4:$D$66,2)=0,"",VLOOKUP($A96,成就条件映射!$A$4:$D$66,2)))</f>
        <v/>
      </c>
      <c r="D96" s="3" t="str">
        <f>IF($A96=0,"",IF(VLOOKUP($A96,成就条件映射!$A$4:$D$66,3)=0,"",VLOOKUP($A96,成就条件映射!$A$4:$D$66,3)))</f>
        <v/>
      </c>
      <c r="E96" s="3" t="str">
        <f>IF($A96=0,"",IF(VLOOKUP($A96,成就条件映射!$A$4:$D$66,4)=0,"",VLOOKUP($A96,成就条件映射!$A$4:$D$66,4)))</f>
        <v/>
      </c>
      <c r="I96" s="3">
        <f>A94*100+J96</f>
        <v>300103</v>
      </c>
      <c r="J96" s="3">
        <f t="shared" si="6"/>
        <v>3</v>
      </c>
      <c r="K96" s="8">
        <v>7253</v>
      </c>
      <c r="L96" s="8">
        <v>7253</v>
      </c>
      <c r="M96" s="4" t="str">
        <f t="shared" si="7"/>
        <v>achievementAccumulative{achieveId:3001,count:4000000}</v>
      </c>
      <c r="N96" s="3" t="s">
        <v>115</v>
      </c>
      <c r="O96" s="3">
        <v>1707513</v>
      </c>
      <c r="Q96" s="3">
        <f t="shared" si="8"/>
        <v>3001</v>
      </c>
      <c r="R96" s="3">
        <v>4000000</v>
      </c>
      <c r="W96" s="3">
        <v>3</v>
      </c>
      <c r="X96" s="3">
        <v>1</v>
      </c>
      <c r="Y96" s="43"/>
    </row>
    <row r="97" spans="1:28" s="3" customFormat="1" x14ac:dyDescent="0.3">
      <c r="B97" s="3" t="str">
        <f t="shared" si="10"/>
        <v/>
      </c>
      <c r="C97" s="3" t="str">
        <f>IF($A97=0,"",IF(VLOOKUP($A97,成就条件映射!$A$4:$D$66,2)=0,"",VLOOKUP($A97,成就条件映射!$A$4:$D$66,2)))</f>
        <v/>
      </c>
      <c r="D97" s="3" t="str">
        <f>IF($A97=0,"",IF(VLOOKUP($A97,成就条件映射!$A$4:$D$66,3)=0,"",VLOOKUP($A97,成就条件映射!$A$4:$D$66,3)))</f>
        <v/>
      </c>
      <c r="E97" s="3" t="str">
        <f>IF($A97=0,"",IF(VLOOKUP($A97,成就条件映射!$A$4:$D$66,4)=0,"",VLOOKUP($A97,成就条件映射!$A$4:$D$66,4)))</f>
        <v/>
      </c>
      <c r="I97" s="3">
        <f>A94*100+J97</f>
        <v>300104</v>
      </c>
      <c r="J97" s="3">
        <f t="shared" si="6"/>
        <v>4</v>
      </c>
      <c r="K97" s="8">
        <v>7253</v>
      </c>
      <c r="L97" s="8">
        <v>7253</v>
      </c>
      <c r="M97" s="4" t="str">
        <f t="shared" si="7"/>
        <v>achievementAccumulative{achieveId:3001,count:15000000}</v>
      </c>
      <c r="N97" s="3" t="s">
        <v>115</v>
      </c>
      <c r="O97" s="3">
        <v>1707514</v>
      </c>
      <c r="Q97" s="3">
        <f t="shared" si="8"/>
        <v>3001</v>
      </c>
      <c r="R97" s="3">
        <v>15000000</v>
      </c>
      <c r="W97" s="3">
        <v>3</v>
      </c>
      <c r="X97" s="3">
        <v>1</v>
      </c>
      <c r="Y97" s="43"/>
    </row>
    <row r="98" spans="1:28" s="3" customFormat="1" x14ac:dyDescent="0.3">
      <c r="B98" s="3" t="str">
        <f t="shared" si="10"/>
        <v/>
      </c>
      <c r="C98" s="3" t="str">
        <f>IF($A98=0,"",IF(VLOOKUP($A98,成就条件映射!$A$4:$D$66,2)=0,"",VLOOKUP($A98,成就条件映射!$A$4:$D$66,2)))</f>
        <v/>
      </c>
      <c r="D98" s="3" t="str">
        <f>IF($A98=0,"",IF(VLOOKUP($A98,成就条件映射!$A$4:$D$66,3)=0,"",VLOOKUP($A98,成就条件映射!$A$4:$D$66,3)))</f>
        <v/>
      </c>
      <c r="E98" s="3" t="str">
        <f>IF($A98=0,"",IF(VLOOKUP($A98,成就条件映射!$A$4:$D$66,4)=0,"",VLOOKUP($A98,成就条件映射!$A$4:$D$66,4)))</f>
        <v/>
      </c>
      <c r="I98" s="3">
        <f>A94*100+J98</f>
        <v>300105</v>
      </c>
      <c r="J98" s="3">
        <f t="shared" si="6"/>
        <v>5</v>
      </c>
      <c r="K98" s="8">
        <v>7253</v>
      </c>
      <c r="L98" s="8">
        <v>7253</v>
      </c>
      <c r="M98" s="4" t="str">
        <f t="shared" si="7"/>
        <v>achievementAccumulative{achieveId:3001,count:30000000}</v>
      </c>
      <c r="N98" s="3" t="s">
        <v>115</v>
      </c>
      <c r="O98" s="3">
        <v>1707515</v>
      </c>
      <c r="Q98" s="3">
        <f t="shared" si="8"/>
        <v>3001</v>
      </c>
      <c r="R98" s="3">
        <v>30000000</v>
      </c>
      <c r="W98" s="3">
        <v>3</v>
      </c>
      <c r="X98" s="3">
        <v>1</v>
      </c>
      <c r="Y98" s="43"/>
    </row>
    <row r="99" spans="1:28" s="3" customFormat="1" x14ac:dyDescent="0.3">
      <c r="A99" s="3">
        <f>W99*1000+X99</f>
        <v>3002</v>
      </c>
      <c r="B99" s="3">
        <f t="shared" si="10"/>
        <v>3</v>
      </c>
      <c r="C99" s="3" t="s">
        <v>117</v>
      </c>
      <c r="D99" s="3" t="s">
        <v>156</v>
      </c>
      <c r="E99" s="3" t="s">
        <v>113</v>
      </c>
      <c r="F99" s="3">
        <v>1</v>
      </c>
      <c r="G99" s="3" t="s">
        <v>114</v>
      </c>
      <c r="H99" s="3" t="str">
        <f>"icon_copper_"&amp;Y99</f>
        <v>icon_copper_10</v>
      </c>
      <c r="I99" s="3">
        <f>A99*100+J99</f>
        <v>300201</v>
      </c>
      <c r="J99" s="3">
        <f t="shared" si="6"/>
        <v>1</v>
      </c>
      <c r="K99" s="8">
        <v>7254</v>
      </c>
      <c r="L99" s="8">
        <v>7254</v>
      </c>
      <c r="M99" s="4" t="str">
        <f t="shared" si="7"/>
        <v>achievementAccumulative{achieveId:3002,count:40000}</v>
      </c>
      <c r="N99" s="3" t="s">
        <v>115</v>
      </c>
      <c r="O99" s="3">
        <v>1707511</v>
      </c>
      <c r="Q99" s="3">
        <f t="shared" si="8"/>
        <v>3002</v>
      </c>
      <c r="R99" s="3">
        <v>40000</v>
      </c>
      <c r="W99" s="3">
        <v>3</v>
      </c>
      <c r="X99" s="3">
        <v>2</v>
      </c>
      <c r="Y99" s="43" t="s">
        <v>119</v>
      </c>
      <c r="Z99" t="str">
        <f>IF($A99=0,"",IF(VLOOKUP($A99,成就条件映射!$A$4:$D$66,2)=0,"",VLOOKUP($A99,成就条件映射!$A$4:$D$66,2)))</f>
        <v>蛮族讨伐</v>
      </c>
      <c r="AA99" t="str">
        <f>IF($A99=0,"",IF(VLOOKUP($A99,成就条件映射!$A$4:$D$66,3)=0,"",VLOOKUP($A99,成就条件映射!$A$4:$D$66,3)))</f>
        <v>在与&lt;color=#ffc766&gt;野外蛮族&lt;/color&gt;战斗中，我方部队使用&lt;color=#ffc766&gt;指挥技能&lt;/color&gt;累计造成的&lt;color=#ffc766&gt;伤害量&lt;/color&gt;</v>
      </c>
      <c r="AB99" t="str">
        <f>IF($A99=0,"",IF(VLOOKUP($A99,成就条件映射!$A$4:$D$66,4)=0,"",VLOOKUP($A99,成就条件映射!$A$4:$D$66,4)))</f>
        <v>当前累计伤害</v>
      </c>
    </row>
    <row r="100" spans="1:28" s="3" customFormat="1" x14ac:dyDescent="0.3">
      <c r="B100" s="3" t="str">
        <f t="shared" si="10"/>
        <v/>
      </c>
      <c r="C100" s="3" t="str">
        <f>IF($A100=0,"",IF(VLOOKUP($A100,成就条件映射!$A$4:$D$66,2)=0,"",VLOOKUP($A100,成就条件映射!$A$4:$D$66,2)))</f>
        <v/>
      </c>
      <c r="D100" s="3" t="str">
        <f>IF($A100=0,"",IF(VLOOKUP($A100,成就条件映射!$A$4:$D$66,3)=0,"",VLOOKUP($A100,成就条件映射!$A$4:$D$66,3)))</f>
        <v/>
      </c>
      <c r="E100" s="3" t="str">
        <f>IF($A100=0,"",IF(VLOOKUP($A100,成就条件映射!$A$4:$D$66,4)=0,"",VLOOKUP($A100,成就条件映射!$A$4:$D$66,4)))</f>
        <v/>
      </c>
      <c r="I100" s="3">
        <f>A99*100+J100</f>
        <v>300202</v>
      </c>
      <c r="J100" s="3">
        <f t="shared" si="6"/>
        <v>2</v>
      </c>
      <c r="K100" s="8">
        <v>7254</v>
      </c>
      <c r="L100" s="8">
        <v>7254</v>
      </c>
      <c r="M100" s="4" t="str">
        <f t="shared" si="7"/>
        <v>achievementAccumulative{achieveId:3002,count:680000}</v>
      </c>
      <c r="N100" s="3" t="s">
        <v>115</v>
      </c>
      <c r="O100" s="3">
        <v>1707512</v>
      </c>
      <c r="Q100" s="3">
        <f t="shared" si="8"/>
        <v>3002</v>
      </c>
      <c r="R100" s="3">
        <v>680000</v>
      </c>
      <c r="W100" s="3">
        <v>3</v>
      </c>
      <c r="X100" s="3">
        <v>2</v>
      </c>
      <c r="Y100" s="43"/>
    </row>
    <row r="101" spans="1:28" s="3" customFormat="1" x14ac:dyDescent="0.3">
      <c r="B101" s="3" t="str">
        <f t="shared" si="10"/>
        <v/>
      </c>
      <c r="C101" s="3" t="str">
        <f>IF($A101=0,"",IF(VLOOKUP($A101,成就条件映射!$A$4:$D$66,2)=0,"",VLOOKUP($A101,成就条件映射!$A$4:$D$66,2)))</f>
        <v/>
      </c>
      <c r="D101" s="3" t="str">
        <f>IF($A101=0,"",IF(VLOOKUP($A101,成就条件映射!$A$4:$D$66,3)=0,"",VLOOKUP($A101,成就条件映射!$A$4:$D$66,3)))</f>
        <v/>
      </c>
      <c r="E101" s="3" t="str">
        <f>IF($A101=0,"",IF(VLOOKUP($A101,成就条件映射!$A$4:$D$66,4)=0,"",VLOOKUP($A101,成就条件映射!$A$4:$D$66,4)))</f>
        <v/>
      </c>
      <c r="I101" s="3">
        <f>A99*100+J101</f>
        <v>300203</v>
      </c>
      <c r="J101" s="3">
        <f t="shared" si="6"/>
        <v>3</v>
      </c>
      <c r="K101" s="8">
        <v>7254</v>
      </c>
      <c r="L101" s="8">
        <v>7254</v>
      </c>
      <c r="M101" s="4" t="str">
        <f t="shared" si="7"/>
        <v>achievementAccumulative{achieveId:3002,count:1600000}</v>
      </c>
      <c r="N101" s="3" t="s">
        <v>115</v>
      </c>
      <c r="O101" s="3">
        <v>1707513</v>
      </c>
      <c r="Q101" s="3">
        <f t="shared" si="8"/>
        <v>3002</v>
      </c>
      <c r="R101" s="3">
        <v>1600000</v>
      </c>
      <c r="W101" s="3">
        <v>3</v>
      </c>
      <c r="X101" s="3">
        <v>2</v>
      </c>
      <c r="Y101" s="43"/>
    </row>
    <row r="102" spans="1:28" s="3" customFormat="1" x14ac:dyDescent="0.3">
      <c r="B102" s="3" t="str">
        <f t="shared" si="10"/>
        <v/>
      </c>
      <c r="C102" s="3" t="str">
        <f>IF($A102=0,"",IF(VLOOKUP($A102,成就条件映射!$A$4:$D$66,2)=0,"",VLOOKUP($A102,成就条件映射!$A$4:$D$66,2)))</f>
        <v/>
      </c>
      <c r="D102" s="3" t="str">
        <f>IF($A102=0,"",IF(VLOOKUP($A102,成就条件映射!$A$4:$D$66,3)=0,"",VLOOKUP($A102,成就条件映射!$A$4:$D$66,3)))</f>
        <v/>
      </c>
      <c r="E102" s="3" t="str">
        <f>IF($A102=0,"",IF(VLOOKUP($A102,成就条件映射!$A$4:$D$66,4)=0,"",VLOOKUP($A102,成就条件映射!$A$4:$D$66,4)))</f>
        <v/>
      </c>
      <c r="I102" s="3">
        <f>A99*100+J102</f>
        <v>300204</v>
      </c>
      <c r="J102" s="3">
        <f t="shared" si="6"/>
        <v>4</v>
      </c>
      <c r="K102" s="8">
        <v>7254</v>
      </c>
      <c r="L102" s="8">
        <v>7254</v>
      </c>
      <c r="M102" s="4" t="str">
        <f t="shared" si="7"/>
        <v>achievementAccumulative{achieveId:3002,count:6300000}</v>
      </c>
      <c r="N102" s="3" t="s">
        <v>115</v>
      </c>
      <c r="O102" s="3">
        <v>1707514</v>
      </c>
      <c r="Q102" s="3">
        <f t="shared" si="8"/>
        <v>3002</v>
      </c>
      <c r="R102" s="3">
        <v>6300000</v>
      </c>
      <c r="W102" s="3">
        <v>3</v>
      </c>
      <c r="X102" s="3">
        <v>2</v>
      </c>
      <c r="Y102" s="43"/>
    </row>
    <row r="103" spans="1:28" s="3" customFormat="1" x14ac:dyDescent="0.3">
      <c r="B103" s="3" t="str">
        <f t="shared" si="10"/>
        <v/>
      </c>
      <c r="C103" s="3" t="str">
        <f>IF($A103=0,"",IF(VLOOKUP($A103,成就条件映射!$A$4:$D$66,2)=0,"",VLOOKUP($A103,成就条件映射!$A$4:$D$66,2)))</f>
        <v/>
      </c>
      <c r="D103" s="3" t="str">
        <f>IF($A103=0,"",IF(VLOOKUP($A103,成就条件映射!$A$4:$D$66,3)=0,"",VLOOKUP($A103,成就条件映射!$A$4:$D$66,3)))</f>
        <v/>
      </c>
      <c r="E103" s="3" t="str">
        <f>IF($A103=0,"",IF(VLOOKUP($A103,成就条件映射!$A$4:$D$66,4)=0,"",VLOOKUP($A103,成就条件映射!$A$4:$D$66,4)))</f>
        <v/>
      </c>
      <c r="I103" s="3">
        <f>A99*100+J103</f>
        <v>300205</v>
      </c>
      <c r="J103" s="3">
        <f t="shared" si="6"/>
        <v>5</v>
      </c>
      <c r="K103" s="8">
        <v>7254</v>
      </c>
      <c r="L103" s="8">
        <v>7254</v>
      </c>
      <c r="M103" s="4" t="str">
        <f t="shared" si="7"/>
        <v>achievementAccumulative{achieveId:3002,count:20000000}</v>
      </c>
      <c r="N103" s="3" t="s">
        <v>115</v>
      </c>
      <c r="O103" s="3">
        <v>1707515</v>
      </c>
      <c r="Q103" s="3">
        <f t="shared" si="8"/>
        <v>3002</v>
      </c>
      <c r="R103" s="3">
        <v>20000000</v>
      </c>
      <c r="W103" s="3">
        <v>3</v>
      </c>
      <c r="X103" s="3">
        <v>2</v>
      </c>
      <c r="Y103" s="43"/>
    </row>
    <row r="104" spans="1:28" s="3" customFormat="1" x14ac:dyDescent="0.3">
      <c r="A104" s="3">
        <f>W104*1000+X104</f>
        <v>3003</v>
      </c>
      <c r="B104" s="3">
        <f t="shared" si="10"/>
        <v>3</v>
      </c>
      <c r="C104" s="3" t="s">
        <v>120</v>
      </c>
      <c r="D104" s="3" t="s">
        <v>157</v>
      </c>
      <c r="E104" s="3" t="s">
        <v>113</v>
      </c>
      <c r="F104" s="3">
        <v>1</v>
      </c>
      <c r="G104" s="3" t="s">
        <v>114</v>
      </c>
      <c r="H104" s="3" t="str">
        <f>"icon_copper_"&amp;Y104</f>
        <v>icon_copper_04</v>
      </c>
      <c r="I104" s="3">
        <f>A104*100+J104</f>
        <v>300301</v>
      </c>
      <c r="J104" s="3">
        <f t="shared" si="6"/>
        <v>1</v>
      </c>
      <c r="K104" s="8"/>
      <c r="L104" s="8"/>
      <c r="M104" s="4" t="str">
        <f t="shared" si="7"/>
        <v>achievementAccumulative{achieveId:3003,count:80000}</v>
      </c>
      <c r="N104" s="3" t="s">
        <v>115</v>
      </c>
      <c r="O104" s="3">
        <v>1707511</v>
      </c>
      <c r="Q104" s="3">
        <f t="shared" si="8"/>
        <v>3003</v>
      </c>
      <c r="R104" s="3">
        <v>80000</v>
      </c>
      <c r="W104" s="3">
        <v>3</v>
      </c>
      <c r="X104" s="3">
        <v>3</v>
      </c>
      <c r="Y104" s="43" t="s">
        <v>122</v>
      </c>
      <c r="Z104" t="str">
        <f>IF($A104=0,"",IF(VLOOKUP($A104,成就条件映射!$A$4:$D$66,2)=0,"",VLOOKUP($A104,成就条件映射!$A$4:$D$66,2)))</f>
        <v>野战先锋</v>
      </c>
      <c r="AA104" t="str">
        <f>IF($A104=0,"",IF(VLOOKUP($A104,成就条件映射!$A$4:$D$66,3)=0,"",VLOOKUP($A104,成就条件映射!$A$4:$D$66,3)))</f>
        <v>野外与&lt;color=#ffc766&gt;玩家&lt;/color&gt;部队战斗中，我方部队使用&lt;color=#ffc766&gt;指挥技能&lt;/color&gt;累计对敌方玩家造成的&lt;color=#ffc766&gt;伤害量&lt;/color&gt;</v>
      </c>
      <c r="AB104" t="str">
        <f>IF($A104=0,"",IF(VLOOKUP($A104,成就条件映射!$A$4:$D$66,4)=0,"",VLOOKUP($A104,成就条件映射!$A$4:$D$66,4)))</f>
        <v>当前累计伤害</v>
      </c>
    </row>
    <row r="105" spans="1:28" s="3" customFormat="1" x14ac:dyDescent="0.3">
      <c r="B105" s="3" t="str">
        <f t="shared" si="10"/>
        <v/>
      </c>
      <c r="C105" s="3" t="str">
        <f>IF($A105=0,"",IF(VLOOKUP($A105,成就条件映射!$A$4:$D$66,2)=0,"",VLOOKUP($A105,成就条件映射!$A$4:$D$66,2)))</f>
        <v/>
      </c>
      <c r="D105" s="3" t="str">
        <f>IF($A105=0,"",IF(VLOOKUP($A105,成就条件映射!$A$4:$D$66,3)=0,"",VLOOKUP($A105,成就条件映射!$A$4:$D$66,3)))</f>
        <v/>
      </c>
      <c r="E105" s="3" t="str">
        <f>IF($A105=0,"",IF(VLOOKUP($A105,成就条件映射!$A$4:$D$66,4)=0,"",VLOOKUP($A105,成就条件映射!$A$4:$D$66,4)))</f>
        <v/>
      </c>
      <c r="I105" s="3">
        <f>A104*100+J105</f>
        <v>300302</v>
      </c>
      <c r="J105" s="3">
        <f t="shared" si="6"/>
        <v>2</v>
      </c>
      <c r="K105" s="8"/>
      <c r="L105" s="8"/>
      <c r="M105" s="4" t="str">
        <f t="shared" si="7"/>
        <v>achievementAccumulative{achieveId:3003,count:300000}</v>
      </c>
      <c r="N105" s="3" t="s">
        <v>115</v>
      </c>
      <c r="O105" s="3">
        <v>1707512</v>
      </c>
      <c r="Q105" s="3">
        <f t="shared" si="8"/>
        <v>3003</v>
      </c>
      <c r="R105" s="3">
        <v>300000</v>
      </c>
      <c r="W105" s="3">
        <v>3</v>
      </c>
      <c r="X105" s="3">
        <v>3</v>
      </c>
      <c r="Y105" s="43"/>
    </row>
    <row r="106" spans="1:28" s="3" customFormat="1" x14ac:dyDescent="0.3">
      <c r="B106" s="3" t="str">
        <f t="shared" si="10"/>
        <v/>
      </c>
      <c r="C106" s="3" t="str">
        <f>IF($A106=0,"",IF(VLOOKUP($A106,成就条件映射!$A$4:$D$66,2)=0,"",VLOOKUP($A106,成就条件映射!$A$4:$D$66,2)))</f>
        <v/>
      </c>
      <c r="D106" s="3" t="str">
        <f>IF($A106=0,"",IF(VLOOKUP($A106,成就条件映射!$A$4:$D$66,3)=0,"",VLOOKUP($A106,成就条件映射!$A$4:$D$66,3)))</f>
        <v/>
      </c>
      <c r="E106" s="3" t="str">
        <f>IF($A106=0,"",IF(VLOOKUP($A106,成就条件映射!$A$4:$D$66,4)=0,"",VLOOKUP($A106,成就条件映射!$A$4:$D$66,4)))</f>
        <v/>
      </c>
      <c r="I106" s="3">
        <f>A104*100+J106</f>
        <v>300303</v>
      </c>
      <c r="J106" s="3">
        <f t="shared" si="6"/>
        <v>3</v>
      </c>
      <c r="K106" s="8"/>
      <c r="L106" s="8"/>
      <c r="M106" s="4" t="str">
        <f t="shared" si="7"/>
        <v>achievementAccumulative{achieveId:3003,count:1100000}</v>
      </c>
      <c r="N106" s="3" t="s">
        <v>115</v>
      </c>
      <c r="O106" s="3">
        <v>1707513</v>
      </c>
      <c r="Q106" s="3">
        <f t="shared" si="8"/>
        <v>3003</v>
      </c>
      <c r="R106" s="3">
        <v>1100000</v>
      </c>
      <c r="W106" s="3">
        <v>3</v>
      </c>
      <c r="X106" s="3">
        <v>3</v>
      </c>
      <c r="Y106" s="43"/>
    </row>
    <row r="107" spans="1:28" s="3" customFormat="1" x14ac:dyDescent="0.3">
      <c r="B107" s="3" t="str">
        <f t="shared" si="10"/>
        <v/>
      </c>
      <c r="C107" s="3" t="str">
        <f>IF($A107=0,"",IF(VLOOKUP($A107,成就条件映射!$A$4:$D$66,2)=0,"",VLOOKUP($A107,成就条件映射!$A$4:$D$66,2)))</f>
        <v/>
      </c>
      <c r="D107" s="3" t="str">
        <f>IF($A107=0,"",IF(VLOOKUP($A107,成就条件映射!$A$4:$D$66,3)=0,"",VLOOKUP($A107,成就条件映射!$A$4:$D$66,3)))</f>
        <v/>
      </c>
      <c r="E107" s="3" t="str">
        <f>IF($A107=0,"",IF(VLOOKUP($A107,成就条件映射!$A$4:$D$66,4)=0,"",VLOOKUP($A107,成就条件映射!$A$4:$D$66,4)))</f>
        <v/>
      </c>
      <c r="I107" s="3">
        <f>A104*100+J107</f>
        <v>300304</v>
      </c>
      <c r="J107" s="3">
        <f t="shared" si="6"/>
        <v>4</v>
      </c>
      <c r="K107" s="8"/>
      <c r="L107" s="8"/>
      <c r="M107" s="4" t="str">
        <f t="shared" si="7"/>
        <v>achievementAccumulative{achieveId:3003,count:3900000}</v>
      </c>
      <c r="N107" s="3" t="s">
        <v>115</v>
      </c>
      <c r="O107" s="3">
        <v>1707514</v>
      </c>
      <c r="Q107" s="3">
        <f t="shared" si="8"/>
        <v>3003</v>
      </c>
      <c r="R107" s="3">
        <v>3900000</v>
      </c>
      <c r="W107" s="3">
        <v>3</v>
      </c>
      <c r="X107" s="3">
        <v>3</v>
      </c>
      <c r="Y107" s="43"/>
    </row>
    <row r="108" spans="1:28" s="3" customFormat="1" x14ac:dyDescent="0.3">
      <c r="B108" s="3" t="str">
        <f t="shared" si="10"/>
        <v/>
      </c>
      <c r="C108" s="3" t="str">
        <f>IF($A108=0,"",IF(VLOOKUP($A108,成就条件映射!$A$4:$D$66,2)=0,"",VLOOKUP($A108,成就条件映射!$A$4:$D$66,2)))</f>
        <v/>
      </c>
      <c r="D108" s="3" t="str">
        <f>IF($A108=0,"",IF(VLOOKUP($A108,成就条件映射!$A$4:$D$66,3)=0,"",VLOOKUP($A108,成就条件映射!$A$4:$D$66,3)))</f>
        <v/>
      </c>
      <c r="E108" s="3" t="str">
        <f>IF($A108=0,"",IF(VLOOKUP($A108,成就条件映射!$A$4:$D$66,4)=0,"",VLOOKUP($A108,成就条件映射!$A$4:$D$66,4)))</f>
        <v/>
      </c>
      <c r="I108" s="3">
        <f>A104*100+J108</f>
        <v>300305</v>
      </c>
      <c r="J108" s="3">
        <f t="shared" si="6"/>
        <v>5</v>
      </c>
      <c r="K108" s="8"/>
      <c r="L108" s="8"/>
      <c r="M108" s="4" t="str">
        <f t="shared" si="7"/>
        <v>achievementAccumulative{achieveId:3003,count:10000000}</v>
      </c>
      <c r="N108" s="3" t="s">
        <v>115</v>
      </c>
      <c r="O108" s="3">
        <v>1707515</v>
      </c>
      <c r="Q108" s="3">
        <f t="shared" si="8"/>
        <v>3003</v>
      </c>
      <c r="R108" s="3">
        <v>10000000</v>
      </c>
      <c r="W108" s="3">
        <v>3</v>
      </c>
      <c r="X108" s="3">
        <v>3</v>
      </c>
      <c r="Y108" s="43"/>
    </row>
    <row r="109" spans="1:28" s="3" customFormat="1" x14ac:dyDescent="0.3">
      <c r="A109" s="3">
        <f>W109*1000+X109</f>
        <v>3011</v>
      </c>
      <c r="B109" s="3">
        <f t="shared" si="10"/>
        <v>3</v>
      </c>
      <c r="C109" s="3" t="s">
        <v>158</v>
      </c>
      <c r="D109" s="3" t="s">
        <v>159</v>
      </c>
      <c r="E109" s="3" t="s">
        <v>135</v>
      </c>
      <c r="F109" s="3">
        <v>2</v>
      </c>
      <c r="G109" s="3" t="s">
        <v>114</v>
      </c>
      <c r="H109" s="3" t="str">
        <f>"icon_silver_"&amp;Y109</f>
        <v>icon_silver_17</v>
      </c>
      <c r="I109" s="3">
        <f>A109*100+J109</f>
        <v>301101</v>
      </c>
      <c r="J109" s="3">
        <f t="shared" si="6"/>
        <v>1</v>
      </c>
      <c r="K109" s="8"/>
      <c r="L109" s="8"/>
      <c r="M109" s="4" t="str">
        <f t="shared" si="7"/>
        <v>achievementAccumulative{achieveId:3011,count:6}</v>
      </c>
      <c r="N109" s="3" t="s">
        <v>115</v>
      </c>
      <c r="O109" s="3">
        <v>1707521</v>
      </c>
      <c r="Q109" s="3">
        <f t="shared" si="8"/>
        <v>3011</v>
      </c>
      <c r="R109" s="3">
        <v>6</v>
      </c>
      <c r="W109" s="3">
        <v>3</v>
      </c>
      <c r="X109" s="3">
        <v>11</v>
      </c>
      <c r="Y109" s="43" t="s">
        <v>125</v>
      </c>
      <c r="Z109" t="str">
        <f>IF($A109=0,"",IF(VLOOKUP($A109,成就条件映射!$A$4:$D$66,2)=0,"",VLOOKUP($A109,成就条件映射!$A$4:$D$66,2)))</f>
        <v>驭兵之道</v>
      </c>
      <c r="AA109" t="str">
        <f>IF($A109=0,"",IF(VLOOKUP($A109,成就条件映射!$A$4:$D$66,3)=0,"",VLOOKUP($A109,成就条件映射!$A$4:$D$66,3)))</f>
        <v>&lt;color=#ffc766&gt;30秒&lt;/color&gt;内，我方部队累计发动&lt;color=#ffc766&gt;指挥技能&lt;/color&gt;的&lt;color=#ffc766&gt;最大次数&lt;/color&gt;</v>
      </c>
      <c r="AB109" t="str">
        <f>IF($A109=0,"",IF(VLOOKUP($A109,成就条件映射!$A$4:$D$66,4)=0,"",VLOOKUP($A109,成就条件映射!$A$4:$D$66,4)))</f>
        <v>当前累计次数</v>
      </c>
    </row>
    <row r="110" spans="1:28" s="3" customFormat="1" x14ac:dyDescent="0.3">
      <c r="B110" s="3" t="str">
        <f t="shared" si="10"/>
        <v/>
      </c>
      <c r="C110" s="3" t="str">
        <f>IF($A110=0,"",IF(VLOOKUP($A110,成就条件映射!$A$4:$D$66,2)=0,"",VLOOKUP($A110,成就条件映射!$A$4:$D$66,2)))</f>
        <v/>
      </c>
      <c r="D110" s="3" t="str">
        <f>IF($A110=0,"",IF(VLOOKUP($A110,成就条件映射!$A$4:$D$66,3)=0,"",VLOOKUP($A110,成就条件映射!$A$4:$D$66,3)))</f>
        <v/>
      </c>
      <c r="E110" s="3" t="str">
        <f>IF($A110=0,"",IF(VLOOKUP($A110,成就条件映射!$A$4:$D$66,4)=0,"",VLOOKUP($A110,成就条件映射!$A$4:$D$66,4)))</f>
        <v/>
      </c>
      <c r="I110" s="3">
        <f>A109*100+J110</f>
        <v>301102</v>
      </c>
      <c r="J110" s="3">
        <f t="shared" si="6"/>
        <v>2</v>
      </c>
      <c r="K110" s="8"/>
      <c r="L110" s="8"/>
      <c r="M110" s="4" t="str">
        <f t="shared" si="7"/>
        <v>achievementAccumulative{achieveId:3011,count:9}</v>
      </c>
      <c r="N110" s="3" t="s">
        <v>115</v>
      </c>
      <c r="O110" s="3">
        <v>1707522</v>
      </c>
      <c r="Q110" s="3">
        <f t="shared" si="8"/>
        <v>3011</v>
      </c>
      <c r="R110" s="3">
        <v>9</v>
      </c>
      <c r="W110" s="3">
        <v>3</v>
      </c>
      <c r="X110" s="3">
        <v>11</v>
      </c>
      <c r="Y110" s="43"/>
    </row>
    <row r="111" spans="1:28" s="3" customFormat="1" x14ac:dyDescent="0.3">
      <c r="B111" s="3" t="str">
        <f t="shared" si="10"/>
        <v/>
      </c>
      <c r="C111" s="3" t="str">
        <f>IF($A111=0,"",IF(VLOOKUP($A111,成就条件映射!$A$4:$D$66,2)=0,"",VLOOKUP($A111,成就条件映射!$A$4:$D$66,2)))</f>
        <v/>
      </c>
      <c r="D111" s="3" t="str">
        <f>IF($A111=0,"",IF(VLOOKUP($A111,成就条件映射!$A$4:$D$66,3)=0,"",VLOOKUP($A111,成就条件映射!$A$4:$D$66,3)))</f>
        <v/>
      </c>
      <c r="E111" s="3" t="str">
        <f>IF($A111=0,"",IF(VLOOKUP($A111,成就条件映射!$A$4:$D$66,4)=0,"",VLOOKUP($A111,成就条件映射!$A$4:$D$66,4)))</f>
        <v/>
      </c>
      <c r="I111" s="3">
        <f>A109*100+J111</f>
        <v>301103</v>
      </c>
      <c r="J111" s="3">
        <f t="shared" si="6"/>
        <v>3</v>
      </c>
      <c r="K111" s="8"/>
      <c r="L111" s="8"/>
      <c r="M111" s="4" t="str">
        <f t="shared" si="7"/>
        <v>achievementAccumulative{achieveId:3011,count:12}</v>
      </c>
      <c r="N111" s="3" t="s">
        <v>115</v>
      </c>
      <c r="O111" s="3">
        <v>1707523</v>
      </c>
      <c r="Q111" s="3">
        <f t="shared" si="8"/>
        <v>3011</v>
      </c>
      <c r="R111" s="3">
        <v>12</v>
      </c>
      <c r="W111" s="3">
        <v>3</v>
      </c>
      <c r="X111" s="3">
        <v>11</v>
      </c>
      <c r="Y111" s="43"/>
    </row>
    <row r="112" spans="1:28" s="3" customFormat="1" x14ac:dyDescent="0.3">
      <c r="B112" s="3" t="str">
        <f t="shared" si="10"/>
        <v/>
      </c>
      <c r="C112" s="3" t="str">
        <f>IF($A112=0,"",IF(VLOOKUP($A112,成就条件映射!$A$4:$D$66,2)=0,"",VLOOKUP($A112,成就条件映射!$A$4:$D$66,2)))</f>
        <v/>
      </c>
      <c r="D112" s="3" t="str">
        <f>IF($A112=0,"",IF(VLOOKUP($A112,成就条件映射!$A$4:$D$66,3)=0,"",VLOOKUP($A112,成就条件映射!$A$4:$D$66,3)))</f>
        <v/>
      </c>
      <c r="E112" s="3" t="str">
        <f>IF($A112=0,"",IF(VLOOKUP($A112,成就条件映射!$A$4:$D$66,4)=0,"",VLOOKUP($A112,成就条件映射!$A$4:$D$66,4)))</f>
        <v/>
      </c>
      <c r="I112" s="3">
        <f>A109*100+J112</f>
        <v>301104</v>
      </c>
      <c r="J112" s="3">
        <f t="shared" si="6"/>
        <v>4</v>
      </c>
      <c r="K112" s="8"/>
      <c r="L112" s="8"/>
      <c r="M112" s="4" t="str">
        <f t="shared" si="7"/>
        <v>achievementAccumulative{achieveId:3011,count:15}</v>
      </c>
      <c r="N112" s="3" t="s">
        <v>115</v>
      </c>
      <c r="O112" s="3">
        <v>1707524</v>
      </c>
      <c r="Q112" s="3">
        <f t="shared" si="8"/>
        <v>3011</v>
      </c>
      <c r="R112" s="3">
        <v>15</v>
      </c>
      <c r="W112" s="3">
        <v>3</v>
      </c>
      <c r="X112" s="3">
        <v>11</v>
      </c>
      <c r="Y112" s="43"/>
    </row>
    <row r="113" spans="1:28" s="3" customFormat="1" x14ac:dyDescent="0.3">
      <c r="B113" s="3" t="str">
        <f t="shared" si="10"/>
        <v/>
      </c>
      <c r="C113" s="3" t="str">
        <f>IF($A113=0,"",IF(VLOOKUP($A113,成就条件映射!$A$4:$D$66,2)=0,"",VLOOKUP($A113,成就条件映射!$A$4:$D$66,2)))</f>
        <v/>
      </c>
      <c r="D113" s="3" t="str">
        <f>IF($A113=0,"",IF(VLOOKUP($A113,成就条件映射!$A$4:$D$66,3)=0,"",VLOOKUP($A113,成就条件映射!$A$4:$D$66,3)))</f>
        <v/>
      </c>
      <c r="E113" s="3" t="str">
        <f>IF($A113=0,"",IF(VLOOKUP($A113,成就条件映射!$A$4:$D$66,4)=0,"",VLOOKUP($A113,成就条件映射!$A$4:$D$66,4)))</f>
        <v/>
      </c>
      <c r="I113" s="3">
        <f>A109*100+J113</f>
        <v>301105</v>
      </c>
      <c r="J113" s="3">
        <f t="shared" si="6"/>
        <v>5</v>
      </c>
      <c r="K113" s="8"/>
      <c r="L113" s="8"/>
      <c r="M113" s="4" t="str">
        <f t="shared" si="7"/>
        <v>achievementAccumulative{achieveId:3011,count:18}</v>
      </c>
      <c r="N113" s="3" t="s">
        <v>115</v>
      </c>
      <c r="O113" s="3">
        <v>1707525</v>
      </c>
      <c r="Q113" s="3">
        <f t="shared" si="8"/>
        <v>3011</v>
      </c>
      <c r="R113" s="3">
        <v>18</v>
      </c>
      <c r="W113" s="3">
        <v>3</v>
      </c>
      <c r="X113" s="3">
        <v>11</v>
      </c>
      <c r="Y113" s="43"/>
    </row>
    <row r="114" spans="1:28" s="3" customFormat="1" x14ac:dyDescent="0.3">
      <c r="A114" s="3">
        <f>W114*1000+X114</f>
        <v>3012</v>
      </c>
      <c r="B114" s="3">
        <f t="shared" si="10"/>
        <v>3</v>
      </c>
      <c r="C114" s="3" t="s">
        <v>160</v>
      </c>
      <c r="D114" s="3" t="s">
        <v>161</v>
      </c>
      <c r="E114" s="3" t="s">
        <v>113</v>
      </c>
      <c r="F114" s="3">
        <v>2</v>
      </c>
      <c r="G114" s="3" t="s">
        <v>114</v>
      </c>
      <c r="H114" s="3" t="str">
        <f>"icon_silver_"&amp;Y114</f>
        <v>icon_silver_09</v>
      </c>
      <c r="I114" s="3">
        <f>A114*100+J114</f>
        <v>301201</v>
      </c>
      <c r="J114" s="3">
        <f t="shared" si="6"/>
        <v>1</v>
      </c>
      <c r="K114" s="8"/>
      <c r="L114" s="8"/>
      <c r="M114" s="4" t="str">
        <f t="shared" si="7"/>
        <v>achievementAccumulative{achieveId:3012,count:80000}</v>
      </c>
      <c r="N114" s="3" t="s">
        <v>115</v>
      </c>
      <c r="O114" s="3">
        <v>1707521</v>
      </c>
      <c r="Q114" s="3">
        <f t="shared" si="8"/>
        <v>3012</v>
      </c>
      <c r="R114" s="3">
        <v>80000</v>
      </c>
      <c r="W114" s="3">
        <v>3</v>
      </c>
      <c r="X114" s="3">
        <v>12</v>
      </c>
      <c r="Y114" s="43" t="s">
        <v>132</v>
      </c>
      <c r="Z114" t="str">
        <f>IF($A114=0,"",IF(VLOOKUP($A114,成就条件映射!$A$4:$D$66,2)=0,"",VLOOKUP($A114,成就条件映射!$A$4:$D$66,2)))</f>
        <v>铁军威严</v>
      </c>
      <c r="AA114" t="str">
        <f>IF($A114=0,"",IF(VLOOKUP($A114,成就条件映射!$A$4:$D$66,3)=0,"",VLOOKUP($A114,成就条件映射!$A$4:$D$66,3)))</f>
        <v>&lt;color=#ffc766&gt;集结战斗&lt;/color&gt;中，我方部队使用&lt;color=#ffc766&gt;指挥技能&lt;/color&gt;累计造成的&lt;color=#ffc766&gt;伤害量&lt;/color&gt;</v>
      </c>
      <c r="AB114" t="str">
        <f>IF($A114=0,"",IF(VLOOKUP($A114,成就条件映射!$A$4:$D$66,4)=0,"",VLOOKUP($A114,成就条件映射!$A$4:$D$66,4)))</f>
        <v>当前累计伤害</v>
      </c>
    </row>
    <row r="115" spans="1:28" s="3" customFormat="1" x14ac:dyDescent="0.3">
      <c r="B115" s="3" t="str">
        <f t="shared" si="10"/>
        <v/>
      </c>
      <c r="C115" s="3" t="str">
        <f>IF($A115=0,"",IF(VLOOKUP($A115,成就条件映射!$A$4:$D$66,2)=0,"",VLOOKUP($A115,成就条件映射!$A$4:$D$66,2)))</f>
        <v/>
      </c>
      <c r="D115" s="3" t="str">
        <f>IF($A115=0,"",IF(VLOOKUP($A115,成就条件映射!$A$4:$D$66,3)=0,"",VLOOKUP($A115,成就条件映射!$A$4:$D$66,3)))</f>
        <v/>
      </c>
      <c r="E115" s="3" t="str">
        <f>IF($A115=0,"",IF(VLOOKUP($A115,成就条件映射!$A$4:$D$66,4)=0,"",VLOOKUP($A115,成就条件映射!$A$4:$D$66,4)))</f>
        <v/>
      </c>
      <c r="I115" s="3">
        <f>A114*100+J115</f>
        <v>301202</v>
      </c>
      <c r="J115" s="3">
        <f t="shared" si="6"/>
        <v>2</v>
      </c>
      <c r="K115" s="8"/>
      <c r="L115" s="8"/>
      <c r="M115" s="4" t="str">
        <f t="shared" si="7"/>
        <v>achievementAccumulative{achieveId:3012,count:300000}</v>
      </c>
      <c r="N115" s="3" t="s">
        <v>115</v>
      </c>
      <c r="O115" s="3">
        <v>1707522</v>
      </c>
      <c r="Q115" s="3">
        <f t="shared" si="8"/>
        <v>3012</v>
      </c>
      <c r="R115" s="3">
        <v>300000</v>
      </c>
      <c r="W115" s="3">
        <v>3</v>
      </c>
      <c r="X115" s="3">
        <v>12</v>
      </c>
      <c r="Y115" s="43"/>
    </row>
    <row r="116" spans="1:28" s="3" customFormat="1" x14ac:dyDescent="0.3">
      <c r="B116" s="3" t="str">
        <f t="shared" si="10"/>
        <v/>
      </c>
      <c r="C116" s="3" t="str">
        <f>IF($A116=0,"",IF(VLOOKUP($A116,成就条件映射!$A$4:$D$66,2)=0,"",VLOOKUP($A116,成就条件映射!$A$4:$D$66,2)))</f>
        <v/>
      </c>
      <c r="D116" s="3" t="str">
        <f>IF($A116=0,"",IF(VLOOKUP($A116,成就条件映射!$A$4:$D$66,3)=0,"",VLOOKUP($A116,成就条件映射!$A$4:$D$66,3)))</f>
        <v/>
      </c>
      <c r="E116" s="3" t="str">
        <f>IF($A116=0,"",IF(VLOOKUP($A116,成就条件映射!$A$4:$D$66,4)=0,"",VLOOKUP($A116,成就条件映射!$A$4:$D$66,4)))</f>
        <v/>
      </c>
      <c r="I116" s="3">
        <f>A114*100+J116</f>
        <v>301203</v>
      </c>
      <c r="J116" s="3">
        <f t="shared" si="6"/>
        <v>3</v>
      </c>
      <c r="K116" s="8"/>
      <c r="L116" s="8"/>
      <c r="M116" s="4" t="str">
        <f t="shared" si="7"/>
        <v>achievementAccumulative{achieveId:3012,count:900000}</v>
      </c>
      <c r="N116" s="3" t="s">
        <v>115</v>
      </c>
      <c r="O116" s="3">
        <v>1707523</v>
      </c>
      <c r="Q116" s="3">
        <f t="shared" si="8"/>
        <v>3012</v>
      </c>
      <c r="R116" s="3">
        <v>900000</v>
      </c>
      <c r="W116" s="3">
        <v>3</v>
      </c>
      <c r="X116" s="3">
        <v>12</v>
      </c>
      <c r="Y116" s="43"/>
    </row>
    <row r="117" spans="1:28" s="3" customFormat="1" x14ac:dyDescent="0.3">
      <c r="B117" s="3" t="str">
        <f t="shared" si="10"/>
        <v/>
      </c>
      <c r="C117" s="3" t="str">
        <f>IF($A117=0,"",IF(VLOOKUP($A117,成就条件映射!$A$4:$D$66,2)=0,"",VLOOKUP($A117,成就条件映射!$A$4:$D$66,2)))</f>
        <v/>
      </c>
      <c r="D117" s="3" t="str">
        <f>IF($A117=0,"",IF(VLOOKUP($A117,成就条件映射!$A$4:$D$66,3)=0,"",VLOOKUP($A117,成就条件映射!$A$4:$D$66,3)))</f>
        <v/>
      </c>
      <c r="E117" s="3" t="str">
        <f>IF($A117=0,"",IF(VLOOKUP($A117,成就条件映射!$A$4:$D$66,4)=0,"",VLOOKUP($A117,成就条件映射!$A$4:$D$66,4)))</f>
        <v/>
      </c>
      <c r="I117" s="3">
        <f>A114*100+J117</f>
        <v>301204</v>
      </c>
      <c r="J117" s="3">
        <f t="shared" si="6"/>
        <v>4</v>
      </c>
      <c r="K117" s="8"/>
      <c r="L117" s="8"/>
      <c r="M117" s="4" t="str">
        <f t="shared" si="7"/>
        <v>achievementAccumulative{achieveId:3012,count:2000000}</v>
      </c>
      <c r="N117" s="3" t="s">
        <v>115</v>
      </c>
      <c r="O117" s="3">
        <v>1707524</v>
      </c>
      <c r="Q117" s="3">
        <f t="shared" si="8"/>
        <v>3012</v>
      </c>
      <c r="R117" s="3">
        <v>2000000</v>
      </c>
      <c r="W117" s="3">
        <v>3</v>
      </c>
      <c r="X117" s="3">
        <v>12</v>
      </c>
      <c r="Y117" s="43"/>
    </row>
    <row r="118" spans="1:28" s="3" customFormat="1" x14ac:dyDescent="0.3">
      <c r="B118" s="3" t="str">
        <f t="shared" si="10"/>
        <v/>
      </c>
      <c r="C118" s="3" t="str">
        <f>IF($A118=0,"",IF(VLOOKUP($A118,成就条件映射!$A$4:$D$66,2)=0,"",VLOOKUP($A118,成就条件映射!$A$4:$D$66,2)))</f>
        <v/>
      </c>
      <c r="D118" s="3" t="str">
        <f>IF($A118=0,"",IF(VLOOKUP($A118,成就条件映射!$A$4:$D$66,3)=0,"",VLOOKUP($A118,成就条件映射!$A$4:$D$66,3)))</f>
        <v/>
      </c>
      <c r="E118" s="3" t="str">
        <f>IF($A118=0,"",IF(VLOOKUP($A118,成就条件映射!$A$4:$D$66,4)=0,"",VLOOKUP($A118,成就条件映射!$A$4:$D$66,4)))</f>
        <v/>
      </c>
      <c r="I118" s="3">
        <f>A114*100+J118</f>
        <v>301205</v>
      </c>
      <c r="J118" s="3">
        <f t="shared" si="6"/>
        <v>5</v>
      </c>
      <c r="K118" s="8"/>
      <c r="L118" s="8"/>
      <c r="M118" s="4" t="str">
        <f t="shared" si="7"/>
        <v>achievementAccumulative{achieveId:3012,count:3000000}</v>
      </c>
      <c r="N118" s="3" t="s">
        <v>115</v>
      </c>
      <c r="O118" s="3">
        <v>1707525</v>
      </c>
      <c r="Q118" s="3">
        <f t="shared" si="8"/>
        <v>3012</v>
      </c>
      <c r="R118" s="3">
        <v>3000000</v>
      </c>
      <c r="W118" s="3">
        <v>3</v>
      </c>
      <c r="X118" s="3">
        <v>12</v>
      </c>
      <c r="Y118" s="43"/>
    </row>
    <row r="119" spans="1:28" s="3" customFormat="1" x14ac:dyDescent="0.3">
      <c r="A119" s="3">
        <f>W119*1000+X119</f>
        <v>3013</v>
      </c>
      <c r="C119" s="3" t="s">
        <v>162</v>
      </c>
      <c r="D119" s="3" t="s">
        <v>163</v>
      </c>
      <c r="E119" s="3" t="s">
        <v>152</v>
      </c>
      <c r="F119" s="3">
        <v>2</v>
      </c>
      <c r="G119" s="3" t="s">
        <v>114</v>
      </c>
      <c r="H119" s="3" t="str">
        <f>"icon_silver_"&amp;Y119</f>
        <v>icon_silver_18</v>
      </c>
      <c r="I119" s="3">
        <f>A119*100+J119</f>
        <v>301301</v>
      </c>
      <c r="J119" s="3">
        <f t="shared" si="6"/>
        <v>1</v>
      </c>
      <c r="K119" s="8"/>
      <c r="L119" s="8"/>
      <c r="M119" s="4" t="str">
        <f t="shared" si="7"/>
        <v>achievementAccumulative{achieveId:3013,count:1}</v>
      </c>
      <c r="N119" s="3" t="s">
        <v>115</v>
      </c>
      <c r="O119" s="3">
        <v>1707521</v>
      </c>
      <c r="Q119" s="3">
        <f t="shared" si="8"/>
        <v>3013</v>
      </c>
      <c r="R119" s="3">
        <v>1</v>
      </c>
      <c r="W119" s="3">
        <v>3</v>
      </c>
      <c r="X119" s="3">
        <v>13</v>
      </c>
      <c r="Y119" s="43" t="s">
        <v>164</v>
      </c>
      <c r="Z119" t="str">
        <f>IF($A119=0,"",IF(VLOOKUP($A119,成就条件映射!$A$4:$D$66,2)=0,"",VLOOKUP($A119,成就条件映射!$A$4:$D$66,2)))</f>
        <v>手足同心</v>
      </c>
      <c r="AA119" t="str">
        <f>IF($A119=0,"",IF(VLOOKUP($A119,成就条件映射!$A$4:$D$66,3)=0,"",VLOOKUP($A119,成就条件映射!$A$4:$D$66,3)))</f>
        <v>&lt;color=#ffc766&gt;60秒&lt;/color&gt;内，我方部队累计&lt;color=#ffc766&gt;治疗&lt;/color&gt;的士兵数</v>
      </c>
      <c r="AB119" t="str">
        <f>IF($A119=0,"",IF(VLOOKUP($A119,成就条件映射!$A$4:$D$66,4)=0,"",VLOOKUP($A119,成就条件映射!$A$4:$D$66,4)))</f>
        <v>当前累计治疗</v>
      </c>
    </row>
    <row r="120" spans="1:28" s="3" customFormat="1" x14ac:dyDescent="0.3">
      <c r="B120" s="3" t="str">
        <f t="shared" ref="B120:B131" si="11">IF(A120=0,"",INT(A120/1000))</f>
        <v/>
      </c>
      <c r="C120" s="3" t="str">
        <f>IF($A120=0,"",IF(VLOOKUP($A120,成就条件映射!$A$4:$D$66,2)=0,"",VLOOKUP($A120,成就条件映射!$A$4:$D$66,2)))</f>
        <v/>
      </c>
      <c r="D120" s="3" t="str">
        <f>IF($A120=0,"",IF(VLOOKUP($A120,成就条件映射!$A$4:$D$66,3)=0,"",VLOOKUP($A120,成就条件映射!$A$4:$D$66,3)))</f>
        <v/>
      </c>
      <c r="E120" s="3" t="str">
        <f>IF($A120=0,"",IF(VLOOKUP($A120,成就条件映射!$A$4:$D$66,4)=0,"",VLOOKUP($A120,成就条件映射!$A$4:$D$66,4)))</f>
        <v/>
      </c>
      <c r="I120" s="3">
        <f>A119*100+J120</f>
        <v>301302</v>
      </c>
      <c r="J120" s="3">
        <f t="shared" si="6"/>
        <v>2</v>
      </c>
      <c r="K120" s="8"/>
      <c r="L120" s="8"/>
      <c r="M120" s="4" t="str">
        <f t="shared" si="7"/>
        <v>achievementAccumulative{achieveId:3013,count:2}</v>
      </c>
      <c r="N120" s="3" t="s">
        <v>115</v>
      </c>
      <c r="O120" s="3">
        <v>1707522</v>
      </c>
      <c r="Q120" s="3">
        <f t="shared" si="8"/>
        <v>3013</v>
      </c>
      <c r="R120" s="3">
        <v>2</v>
      </c>
      <c r="W120" s="3">
        <v>3</v>
      </c>
      <c r="X120" s="3">
        <v>13</v>
      </c>
      <c r="Y120" s="43"/>
    </row>
    <row r="121" spans="1:28" s="3" customFormat="1" x14ac:dyDescent="0.3">
      <c r="B121" s="3" t="str">
        <f t="shared" si="11"/>
        <v/>
      </c>
      <c r="C121" s="3" t="str">
        <f>IF($A121=0,"",IF(VLOOKUP($A121,成就条件映射!$A$4:$D$66,2)=0,"",VLOOKUP($A121,成就条件映射!$A$4:$D$66,2)))</f>
        <v/>
      </c>
      <c r="D121" s="3" t="str">
        <f>IF($A121=0,"",IF(VLOOKUP($A121,成就条件映射!$A$4:$D$66,3)=0,"",VLOOKUP($A121,成就条件映射!$A$4:$D$66,3)))</f>
        <v/>
      </c>
      <c r="E121" s="3" t="str">
        <f>IF($A121=0,"",IF(VLOOKUP($A121,成就条件映射!$A$4:$D$66,4)=0,"",VLOOKUP($A121,成就条件映射!$A$4:$D$66,4)))</f>
        <v/>
      </c>
      <c r="I121" s="3">
        <f>A119*100+J121</f>
        <v>301303</v>
      </c>
      <c r="J121" s="3">
        <f t="shared" si="6"/>
        <v>3</v>
      </c>
      <c r="K121" s="8"/>
      <c r="L121" s="8"/>
      <c r="M121" s="4" t="str">
        <f t="shared" si="7"/>
        <v>achievementAccumulative{achieveId:3013,count:3}</v>
      </c>
      <c r="N121" s="3" t="s">
        <v>115</v>
      </c>
      <c r="O121" s="3">
        <v>1707523</v>
      </c>
      <c r="Q121" s="3">
        <f t="shared" si="8"/>
        <v>3013</v>
      </c>
      <c r="R121" s="3">
        <v>3</v>
      </c>
      <c r="W121" s="3">
        <v>3</v>
      </c>
      <c r="X121" s="3">
        <v>13</v>
      </c>
      <c r="Y121" s="43"/>
    </row>
    <row r="122" spans="1:28" s="3" customFormat="1" x14ac:dyDescent="0.3">
      <c r="B122" s="3" t="str">
        <f t="shared" si="11"/>
        <v/>
      </c>
      <c r="C122" s="3" t="str">
        <f>IF($A122=0,"",IF(VLOOKUP($A122,成就条件映射!$A$4:$D$66,2)=0,"",VLOOKUP($A122,成就条件映射!$A$4:$D$66,2)))</f>
        <v/>
      </c>
      <c r="D122" s="3" t="str">
        <f>IF($A122=0,"",IF(VLOOKUP($A122,成就条件映射!$A$4:$D$66,3)=0,"",VLOOKUP($A122,成就条件映射!$A$4:$D$66,3)))</f>
        <v/>
      </c>
      <c r="E122" s="3" t="str">
        <f>IF($A122=0,"",IF(VLOOKUP($A122,成就条件映射!$A$4:$D$66,4)=0,"",VLOOKUP($A122,成就条件映射!$A$4:$D$66,4)))</f>
        <v/>
      </c>
      <c r="I122" s="3">
        <f>A119*100+J122</f>
        <v>301304</v>
      </c>
      <c r="J122" s="3">
        <f t="shared" si="6"/>
        <v>4</v>
      </c>
      <c r="K122" s="8"/>
      <c r="L122" s="8"/>
      <c r="M122" s="4" t="str">
        <f t="shared" si="7"/>
        <v>achievementAccumulative{achieveId:3013,count:4}</v>
      </c>
      <c r="N122" s="3" t="s">
        <v>115</v>
      </c>
      <c r="O122" s="3">
        <v>1707524</v>
      </c>
      <c r="Q122" s="3">
        <f t="shared" si="8"/>
        <v>3013</v>
      </c>
      <c r="R122" s="3">
        <v>4</v>
      </c>
      <c r="W122" s="3">
        <v>3</v>
      </c>
      <c r="X122" s="3">
        <v>13</v>
      </c>
      <c r="Y122" s="43"/>
    </row>
    <row r="123" spans="1:28" s="3" customFormat="1" x14ac:dyDescent="0.3">
      <c r="B123" s="3" t="str">
        <f t="shared" si="11"/>
        <v/>
      </c>
      <c r="C123" s="3" t="str">
        <f>IF($A123=0,"",IF(VLOOKUP($A123,成就条件映射!$A$4:$D$66,2)=0,"",VLOOKUP($A123,成就条件映射!$A$4:$D$66,2)))</f>
        <v/>
      </c>
      <c r="D123" s="3" t="str">
        <f>IF($A123=0,"",IF(VLOOKUP($A123,成就条件映射!$A$4:$D$66,3)=0,"",VLOOKUP($A123,成就条件映射!$A$4:$D$66,3)))</f>
        <v/>
      </c>
      <c r="E123" s="3" t="str">
        <f>IF($A123=0,"",IF(VLOOKUP($A123,成就条件映射!$A$4:$D$66,4)=0,"",VLOOKUP($A123,成就条件映射!$A$4:$D$66,4)))</f>
        <v/>
      </c>
      <c r="I123" s="3">
        <f>A119*100+J123</f>
        <v>301305</v>
      </c>
      <c r="J123" s="3">
        <f t="shared" si="6"/>
        <v>5</v>
      </c>
      <c r="K123" s="8"/>
      <c r="L123" s="8"/>
      <c r="M123" s="4" t="str">
        <f t="shared" si="7"/>
        <v>achievementAccumulative{achieveId:3013,count:5}</v>
      </c>
      <c r="N123" s="3" t="s">
        <v>115</v>
      </c>
      <c r="O123" s="3">
        <v>1707525</v>
      </c>
      <c r="Q123" s="3">
        <f t="shared" si="8"/>
        <v>3013</v>
      </c>
      <c r="R123" s="3">
        <v>5</v>
      </c>
      <c r="W123" s="3">
        <v>3</v>
      </c>
      <c r="X123" s="3">
        <v>13</v>
      </c>
      <c r="Y123" s="43"/>
    </row>
    <row r="124" spans="1:28" s="3" customFormat="1" x14ac:dyDescent="0.3">
      <c r="A124" s="3">
        <f>W124*1000+X124</f>
        <v>3021</v>
      </c>
      <c r="B124" s="3">
        <f t="shared" si="11"/>
        <v>3</v>
      </c>
      <c r="C124" s="3" t="s">
        <v>165</v>
      </c>
      <c r="D124" s="3" t="s">
        <v>166</v>
      </c>
      <c r="E124" s="3" t="s">
        <v>113</v>
      </c>
      <c r="F124" s="3">
        <v>3</v>
      </c>
      <c r="G124" s="3" t="s">
        <v>114</v>
      </c>
      <c r="H124" s="3" t="str">
        <f>"icon_kim_"&amp;Y124</f>
        <v>icon_kim_14</v>
      </c>
      <c r="I124" s="3">
        <f>A124*100+J124</f>
        <v>302101</v>
      </c>
      <c r="J124" s="3">
        <f t="shared" si="6"/>
        <v>1</v>
      </c>
      <c r="K124" s="8"/>
      <c r="L124" s="8"/>
      <c r="M124" s="4" t="str">
        <f t="shared" si="7"/>
        <v>achievementAccumulative{achieveId:3021,count:6000}</v>
      </c>
      <c r="N124" s="3" t="s">
        <v>115</v>
      </c>
      <c r="O124" s="3">
        <v>1707531</v>
      </c>
      <c r="Q124" s="3">
        <f t="shared" si="8"/>
        <v>3021</v>
      </c>
      <c r="R124" s="3">
        <v>6000</v>
      </c>
      <c r="W124" s="3">
        <v>3</v>
      </c>
      <c r="X124" s="3">
        <v>21</v>
      </c>
      <c r="Y124" s="43" t="s">
        <v>167</v>
      </c>
      <c r="Z124" t="str">
        <f>IF($A124=0,"",IF(VLOOKUP($A124,成就条件映射!$A$4:$D$66,2)=0,"",VLOOKUP($A124,成就条件映射!$A$4:$D$66,2)))</f>
        <v>荣耀之证</v>
      </c>
      <c r="AA124" t="str">
        <f>IF($A124=0,"",IF(VLOOKUP($A124,成就条件映射!$A$4:$D$66,3)=0,"",VLOOKUP($A124,成就条件映射!$A$4:$D$66,3)))</f>
        <v>&lt;color=#ffc766&gt;30秒&lt;/color&gt;内，我方部队使用&lt;color=#ffc766&gt;指挥技能&lt;/color&gt;累计造成的&lt;color=#ffc766&gt;最大伤害量&lt;/color&gt;</v>
      </c>
      <c r="AB124" t="str">
        <f>IF($A124=0,"",IF(VLOOKUP($A124,成就条件映射!$A$4:$D$66,4)=0,"",VLOOKUP($A124,成就条件映射!$A$4:$D$66,4)))</f>
        <v>当前累计伤害</v>
      </c>
    </row>
    <row r="125" spans="1:28" s="3" customFormat="1" x14ac:dyDescent="0.3">
      <c r="B125" s="3" t="str">
        <f t="shared" si="11"/>
        <v/>
      </c>
      <c r="C125" s="3" t="str">
        <f>IF($A125=0,"",IF(VLOOKUP($A125,成就条件映射!$A$4:$D$66,2)=0,"",VLOOKUP($A125,成就条件映射!$A$4:$D$66,2)))</f>
        <v/>
      </c>
      <c r="D125" s="3" t="str">
        <f>IF($A125=0,"",IF(VLOOKUP($A125,成就条件映射!$A$4:$D$66,3)=0,"",VLOOKUP($A125,成就条件映射!$A$4:$D$66,3)))</f>
        <v/>
      </c>
      <c r="E125" s="3" t="str">
        <f>IF($A125=0,"",IF(VLOOKUP($A125,成就条件映射!$A$4:$D$66,4)=0,"",VLOOKUP($A125,成就条件映射!$A$4:$D$66,4)))</f>
        <v/>
      </c>
      <c r="I125" s="3">
        <f>A124*100+J125</f>
        <v>302102</v>
      </c>
      <c r="J125" s="3">
        <f t="shared" si="6"/>
        <v>2</v>
      </c>
      <c r="K125" s="8"/>
      <c r="L125" s="8"/>
      <c r="M125" s="4" t="str">
        <f t="shared" si="7"/>
        <v>achievementAccumulative{achieveId:3021,count:18000}</v>
      </c>
      <c r="N125" s="3" t="s">
        <v>115</v>
      </c>
      <c r="O125" s="3">
        <v>1707532</v>
      </c>
      <c r="Q125" s="3">
        <f t="shared" si="8"/>
        <v>3021</v>
      </c>
      <c r="R125" s="3">
        <v>18000</v>
      </c>
      <c r="W125" s="3">
        <v>3</v>
      </c>
      <c r="X125" s="3">
        <v>21</v>
      </c>
      <c r="Y125" s="43"/>
    </row>
    <row r="126" spans="1:28" s="3" customFormat="1" x14ac:dyDescent="0.3">
      <c r="B126" s="3" t="str">
        <f t="shared" si="11"/>
        <v/>
      </c>
      <c r="C126" s="3" t="str">
        <f>IF($A126=0,"",IF(VLOOKUP($A126,成就条件映射!$A$4:$D$66,2)=0,"",VLOOKUP($A126,成就条件映射!$A$4:$D$66,2)))</f>
        <v/>
      </c>
      <c r="D126" s="3" t="str">
        <f>IF($A126=0,"",IF(VLOOKUP($A126,成就条件映射!$A$4:$D$66,3)=0,"",VLOOKUP($A126,成就条件映射!$A$4:$D$66,3)))</f>
        <v/>
      </c>
      <c r="E126" s="3" t="str">
        <f>IF($A126=0,"",IF(VLOOKUP($A126,成就条件映射!$A$4:$D$66,4)=0,"",VLOOKUP($A126,成就条件映射!$A$4:$D$66,4)))</f>
        <v/>
      </c>
      <c r="I126" s="3">
        <f>A124*100+J126</f>
        <v>302103</v>
      </c>
      <c r="J126" s="3">
        <f t="shared" si="6"/>
        <v>3</v>
      </c>
      <c r="K126" s="8"/>
      <c r="L126" s="8"/>
      <c r="M126" s="4" t="str">
        <f t="shared" si="7"/>
        <v>achievementAccumulative{achieveId:3021,count:23000}</v>
      </c>
      <c r="N126" s="3" t="s">
        <v>115</v>
      </c>
      <c r="O126" s="3">
        <v>1707533</v>
      </c>
      <c r="Q126" s="3">
        <f t="shared" si="8"/>
        <v>3021</v>
      </c>
      <c r="R126" s="3">
        <v>23000</v>
      </c>
      <c r="W126" s="3">
        <v>3</v>
      </c>
      <c r="X126" s="3">
        <v>21</v>
      </c>
      <c r="Y126" s="43"/>
    </row>
    <row r="127" spans="1:28" s="3" customFormat="1" x14ac:dyDescent="0.3">
      <c r="B127" s="3" t="str">
        <f t="shared" si="11"/>
        <v/>
      </c>
      <c r="C127" s="3" t="str">
        <f>IF($A127=0,"",IF(VLOOKUP($A127,成就条件映射!$A$4:$D$66,2)=0,"",VLOOKUP($A127,成就条件映射!$A$4:$D$66,2)))</f>
        <v/>
      </c>
      <c r="D127" s="3" t="str">
        <f>IF($A127=0,"",IF(VLOOKUP($A127,成就条件映射!$A$4:$D$66,3)=0,"",VLOOKUP($A127,成就条件映射!$A$4:$D$66,3)))</f>
        <v/>
      </c>
      <c r="E127" s="3" t="str">
        <f>IF($A127=0,"",IF(VLOOKUP($A127,成就条件映射!$A$4:$D$66,4)=0,"",VLOOKUP($A127,成就条件映射!$A$4:$D$66,4)))</f>
        <v/>
      </c>
      <c r="I127" s="3">
        <f>A124*100+J127</f>
        <v>302104</v>
      </c>
      <c r="J127" s="3">
        <f t="shared" si="6"/>
        <v>4</v>
      </c>
      <c r="K127" s="8"/>
      <c r="L127" s="8"/>
      <c r="M127" s="4" t="str">
        <f t="shared" si="7"/>
        <v>achievementAccumulative{achieveId:3021,count:30000}</v>
      </c>
      <c r="N127" s="3" t="s">
        <v>115</v>
      </c>
      <c r="O127" s="3">
        <v>1707534</v>
      </c>
      <c r="Q127" s="3">
        <f t="shared" si="8"/>
        <v>3021</v>
      </c>
      <c r="R127" s="3">
        <v>30000</v>
      </c>
      <c r="W127" s="3">
        <v>3</v>
      </c>
      <c r="X127" s="3">
        <v>21</v>
      </c>
      <c r="Y127" s="43"/>
    </row>
    <row r="128" spans="1:28" s="3" customFormat="1" x14ac:dyDescent="0.3">
      <c r="B128" s="3" t="str">
        <f t="shared" si="11"/>
        <v/>
      </c>
      <c r="C128" s="3" t="str">
        <f>IF($A128=0,"",IF(VLOOKUP($A128,成就条件映射!$A$4:$D$66,2)=0,"",VLOOKUP($A128,成就条件映射!$A$4:$D$66,2)))</f>
        <v/>
      </c>
      <c r="D128" s="3" t="str">
        <f>IF($A128=0,"",IF(VLOOKUP($A128,成就条件映射!$A$4:$D$66,3)=0,"",VLOOKUP($A128,成就条件映射!$A$4:$D$66,3)))</f>
        <v/>
      </c>
      <c r="E128" s="3" t="str">
        <f>IF($A128=0,"",IF(VLOOKUP($A128,成就条件映射!$A$4:$D$66,4)=0,"",VLOOKUP($A128,成就条件映射!$A$4:$D$66,4)))</f>
        <v/>
      </c>
      <c r="I128" s="3">
        <f>A124*100+J128</f>
        <v>302105</v>
      </c>
      <c r="J128" s="3">
        <f t="shared" si="6"/>
        <v>5</v>
      </c>
      <c r="K128" s="8"/>
      <c r="L128" s="8"/>
      <c r="M128" s="4" t="str">
        <f t="shared" si="7"/>
        <v>achievementAccumulative{achieveId:3021,count:40000}</v>
      </c>
      <c r="N128" s="3" t="s">
        <v>115</v>
      </c>
      <c r="O128" s="3">
        <v>1707535</v>
      </c>
      <c r="Q128" s="3">
        <f t="shared" si="8"/>
        <v>3021</v>
      </c>
      <c r="R128" s="3">
        <v>40000</v>
      </c>
      <c r="W128" s="3">
        <v>3</v>
      </c>
      <c r="X128" s="3">
        <v>21</v>
      </c>
      <c r="Y128" s="43"/>
    </row>
    <row r="129" spans="1:28" s="3" customFormat="1" x14ac:dyDescent="0.3">
      <c r="A129" s="3">
        <f>W129*1000+X129</f>
        <v>3022</v>
      </c>
      <c r="B129" s="3">
        <f t="shared" si="11"/>
        <v>3</v>
      </c>
      <c r="C129" s="3" t="s">
        <v>168</v>
      </c>
      <c r="D129" s="3" t="s">
        <v>169</v>
      </c>
      <c r="E129" s="3" t="s">
        <v>128</v>
      </c>
      <c r="F129" s="3">
        <v>3</v>
      </c>
      <c r="G129" s="3" t="s">
        <v>114</v>
      </c>
      <c r="H129" s="3" t="str">
        <f>"icon_kim_"&amp;Y129</f>
        <v>icon_kim_02</v>
      </c>
      <c r="I129" s="3">
        <f>A129*100+J129</f>
        <v>302201</v>
      </c>
      <c r="J129" s="3">
        <f t="shared" si="6"/>
        <v>1</v>
      </c>
      <c r="K129" s="8"/>
      <c r="L129" s="8"/>
      <c r="M129" s="4" t="str">
        <f t="shared" si="7"/>
        <v>achievementAccumulative{achieveId:3022,count:800}</v>
      </c>
      <c r="N129" s="3" t="s">
        <v>115</v>
      </c>
      <c r="O129" s="3">
        <v>1707531</v>
      </c>
      <c r="Q129" s="3">
        <f t="shared" si="8"/>
        <v>3022</v>
      </c>
      <c r="R129" s="3">
        <v>800</v>
      </c>
      <c r="W129" s="3">
        <v>3</v>
      </c>
      <c r="X129" s="3">
        <v>22</v>
      </c>
      <c r="Y129" s="43" t="s">
        <v>170</v>
      </c>
      <c r="Z129" t="str">
        <f>IF($A129=0,"",IF(VLOOKUP($A129,成就条件映射!$A$4:$D$66,2)=0,"",VLOOKUP($A129,成就条件映射!$A$4:$D$66,2)))</f>
        <v>将军！</v>
      </c>
      <c r="AA129" t="str">
        <f>IF($A129=0,"",IF(VLOOKUP($A129,成就条件映射!$A$4:$D$66,3)=0,"",VLOOKUP($A129,成就条件映射!$A$4:$D$66,3)))</f>
        <v>我方部队使用&lt;color=#ffc766&gt;指挥技能&lt;/color&gt;造成的&lt;color=#ffc766&gt;单次最大伤害量&lt;/color&gt;</v>
      </c>
      <c r="AB129" t="str">
        <f>IF($A129=0,"",IF(VLOOKUP($A129,成就条件映射!$A$4:$D$66,4)=0,"",VLOOKUP($A129,成就条件映射!$A$4:$D$66,4)))</f>
        <v>当前造成伤害</v>
      </c>
    </row>
    <row r="130" spans="1:28" s="3" customFormat="1" x14ac:dyDescent="0.3">
      <c r="B130" s="3" t="str">
        <f t="shared" si="11"/>
        <v/>
      </c>
      <c r="C130" s="3" t="str">
        <f>IF($A130=0,"",IF(VLOOKUP($A130,成就条件映射!$A$4:$D$66,2)=0,"",VLOOKUP($A130,成就条件映射!$A$4:$D$66,2)))</f>
        <v/>
      </c>
      <c r="D130" s="3" t="str">
        <f>IF($A130=0,"",IF(VLOOKUP($A130,成就条件映射!$A$4:$D$66,3)=0,"",VLOOKUP($A130,成就条件映射!$A$4:$D$66,3)))</f>
        <v/>
      </c>
      <c r="E130" s="3" t="str">
        <f>IF($A130=0,"",IF(VLOOKUP($A130,成就条件映射!$A$4:$D$66,4)=0,"",VLOOKUP($A130,成就条件映射!$A$4:$D$66,4)))</f>
        <v/>
      </c>
      <c r="I130" s="3">
        <f>A129*100+J130</f>
        <v>302202</v>
      </c>
      <c r="J130" s="3">
        <f t="shared" si="6"/>
        <v>2</v>
      </c>
      <c r="K130" s="8"/>
      <c r="L130" s="8"/>
      <c r="M130" s="4" t="str">
        <f t="shared" si="7"/>
        <v>achievementAccumulative{achieveId:3022,count:2300}</v>
      </c>
      <c r="N130" s="3" t="s">
        <v>115</v>
      </c>
      <c r="O130" s="3">
        <v>1707532</v>
      </c>
      <c r="Q130" s="3">
        <f t="shared" si="8"/>
        <v>3022</v>
      </c>
      <c r="R130" s="3">
        <v>2300</v>
      </c>
      <c r="W130" s="3">
        <v>3</v>
      </c>
      <c r="X130" s="3">
        <v>22</v>
      </c>
      <c r="Y130" s="43"/>
    </row>
    <row r="131" spans="1:28" s="3" customFormat="1" x14ac:dyDescent="0.3">
      <c r="B131" s="3" t="str">
        <f t="shared" si="11"/>
        <v/>
      </c>
      <c r="C131" s="3" t="str">
        <f>IF($A131=0,"",IF(VLOOKUP($A131,成就条件映射!$A$4:$D$66,2)=0,"",VLOOKUP($A131,成就条件映射!$A$4:$D$66,2)))</f>
        <v/>
      </c>
      <c r="D131" s="3" t="str">
        <f>IF($A131=0,"",IF(VLOOKUP($A131,成就条件映射!$A$4:$D$66,3)=0,"",VLOOKUP($A131,成就条件映射!$A$4:$D$66,3)))</f>
        <v/>
      </c>
      <c r="E131" s="3" t="str">
        <f>IF($A131=0,"",IF(VLOOKUP($A131,成就条件映射!$A$4:$D$66,4)=0,"",VLOOKUP($A131,成就条件映射!$A$4:$D$66,4)))</f>
        <v/>
      </c>
      <c r="I131" s="3">
        <f>A129*100+J131</f>
        <v>302203</v>
      </c>
      <c r="J131" s="3">
        <f t="shared" si="6"/>
        <v>3</v>
      </c>
      <c r="K131" s="8"/>
      <c r="L131" s="8"/>
      <c r="M131" s="4" t="str">
        <f t="shared" si="7"/>
        <v>achievementAccumulative{achieveId:3022,count:2700}</v>
      </c>
      <c r="N131" s="3" t="s">
        <v>115</v>
      </c>
      <c r="O131" s="3">
        <v>1707533</v>
      </c>
      <c r="Q131" s="3">
        <f t="shared" si="8"/>
        <v>3022</v>
      </c>
      <c r="R131" s="3">
        <v>2700</v>
      </c>
      <c r="W131" s="3">
        <v>3</v>
      </c>
      <c r="X131" s="3">
        <v>22</v>
      </c>
      <c r="Y131" s="43"/>
    </row>
    <row r="132" spans="1:28" s="3" customFormat="1" x14ac:dyDescent="0.3">
      <c r="C132" s="3" t="str">
        <f>IF($A132=0,"",IF(VLOOKUP($A132,成就条件映射!$A$4:$D$66,2)=0,"",VLOOKUP($A132,成就条件映射!$A$4:$D$66,2)))</f>
        <v/>
      </c>
      <c r="D132" s="3" t="str">
        <f>IF($A132=0,"",IF(VLOOKUP($A132,成就条件映射!$A$4:$D$66,3)=0,"",VLOOKUP($A132,成就条件映射!$A$4:$D$66,3)))</f>
        <v/>
      </c>
      <c r="E132" s="3" t="str">
        <f>IF($A132=0,"",IF(VLOOKUP($A132,成就条件映射!$A$4:$D$66,4)=0,"",VLOOKUP($A132,成就条件映射!$A$4:$D$66,4)))</f>
        <v/>
      </c>
      <c r="I132" s="3">
        <f>A129*100+J132</f>
        <v>302204</v>
      </c>
      <c r="J132" s="3">
        <f t="shared" ref="J132:J195" si="12">IF(MOD(ROW()+2,5)=0,MOD(ROW()+2,5)+5,MOD(ROW()+2,5))</f>
        <v>4</v>
      </c>
      <c r="K132" s="8"/>
      <c r="L132" s="8"/>
      <c r="M132" s="4" t="str">
        <f t="shared" ref="M132:M195" si="13">"achievementAccumulative{achieveId:"&amp;Q132&amp;",count:"&amp;R132&amp;"}"</f>
        <v>achievementAccumulative{achieveId:3022,count:3500}</v>
      </c>
      <c r="N132" s="3" t="s">
        <v>115</v>
      </c>
      <c r="O132" s="3">
        <v>1707534</v>
      </c>
      <c r="Q132" s="3">
        <f t="shared" ref="Q132:Q195" si="14">IF(0=A132,Q131,A132)</f>
        <v>3022</v>
      </c>
      <c r="R132" s="3">
        <v>3500</v>
      </c>
      <c r="W132" s="3">
        <v>3</v>
      </c>
      <c r="X132" s="3">
        <v>22</v>
      </c>
      <c r="Y132" s="43"/>
    </row>
    <row r="133" spans="1:28" s="3" customFormat="1" x14ac:dyDescent="0.3">
      <c r="C133" s="3" t="str">
        <f>IF($A133=0,"",IF(VLOOKUP($A133,成就条件映射!$A$4:$D$66,2)=0,"",VLOOKUP($A133,成就条件映射!$A$4:$D$66,2)))</f>
        <v/>
      </c>
      <c r="D133" s="3" t="str">
        <f>IF($A133=0,"",IF(VLOOKUP($A133,成就条件映射!$A$4:$D$66,3)=0,"",VLOOKUP($A133,成就条件映射!$A$4:$D$66,3)))</f>
        <v/>
      </c>
      <c r="E133" s="3" t="str">
        <f>IF($A133=0,"",IF(VLOOKUP($A133,成就条件映射!$A$4:$D$66,4)=0,"",VLOOKUP($A133,成就条件映射!$A$4:$D$66,4)))</f>
        <v/>
      </c>
      <c r="I133" s="3">
        <f>A129*100+J133</f>
        <v>302205</v>
      </c>
      <c r="J133" s="3">
        <f t="shared" si="12"/>
        <v>5</v>
      </c>
      <c r="K133" s="8"/>
      <c r="L133" s="8"/>
      <c r="M133" s="4" t="str">
        <f t="shared" si="13"/>
        <v>achievementAccumulative{achieveId:3022,count:4000}</v>
      </c>
      <c r="N133" s="3" t="s">
        <v>115</v>
      </c>
      <c r="O133" s="3">
        <v>1707535</v>
      </c>
      <c r="Q133" s="3">
        <f t="shared" si="14"/>
        <v>3022</v>
      </c>
      <c r="R133" s="3">
        <v>4000</v>
      </c>
      <c r="W133" s="3">
        <v>3</v>
      </c>
      <c r="X133" s="3">
        <v>22</v>
      </c>
      <c r="Y133" s="43"/>
    </row>
    <row r="134" spans="1:28" s="3" customFormat="1" x14ac:dyDescent="0.3">
      <c r="A134" s="3">
        <f>W134*1000+X134</f>
        <v>3023</v>
      </c>
      <c r="C134" s="3" t="str">
        <f>IF($A134=0,"",IF(VLOOKUP($A134,成就条件映射!$A$4:$D$66,2)=0,"",VLOOKUP($A134,成就条件映射!$A$4:$D$66,2)))</f>
        <v/>
      </c>
      <c r="D134" s="3" t="str">
        <f>IF($A134=0,"",IF(VLOOKUP($A134,成就条件映射!$A$4:$D$66,3)=0,"",VLOOKUP($A134,成就条件映射!$A$4:$D$66,3)))</f>
        <v/>
      </c>
      <c r="E134" s="3" t="str">
        <f>IF($A134=0,"",IF(VLOOKUP($A134,成就条件映射!$A$4:$D$66,4)=0,"",VLOOKUP($A134,成就条件映射!$A$4:$D$66,4)))</f>
        <v/>
      </c>
      <c r="F134" s="3">
        <v>3</v>
      </c>
      <c r="G134" s="3" t="s">
        <v>114</v>
      </c>
      <c r="H134" s="3" t="str">
        <f>"icon_kim_"&amp;Y134</f>
        <v>icon_kim_</v>
      </c>
      <c r="I134" s="3">
        <f>A134*100+J134</f>
        <v>302301</v>
      </c>
      <c r="J134" s="3">
        <f t="shared" si="12"/>
        <v>1</v>
      </c>
      <c r="K134" s="8"/>
      <c r="L134" s="8"/>
      <c r="M134" s="4" t="str">
        <f t="shared" si="13"/>
        <v>achievementAccumulative{achieveId:3023,count:1}</v>
      </c>
      <c r="N134" s="3" t="s">
        <v>115</v>
      </c>
      <c r="O134" s="3">
        <v>1707531</v>
      </c>
      <c r="Q134" s="3">
        <f t="shared" si="14"/>
        <v>3023</v>
      </c>
      <c r="R134" s="3">
        <v>1</v>
      </c>
      <c r="W134" s="3">
        <v>3</v>
      </c>
      <c r="X134" s="3">
        <v>23</v>
      </c>
      <c r="Y134" s="43"/>
    </row>
    <row r="135" spans="1:28" s="3" customFormat="1" x14ac:dyDescent="0.3">
      <c r="C135" s="3" t="str">
        <f>IF($A135=0,"",IF(VLOOKUP($A135,成就条件映射!$A$4:$D$66,2)=0,"",VLOOKUP($A135,成就条件映射!$A$4:$D$66,2)))</f>
        <v/>
      </c>
      <c r="D135" s="3" t="str">
        <f>IF($A135=0,"",IF(VLOOKUP($A135,成就条件映射!$A$4:$D$66,3)=0,"",VLOOKUP($A135,成就条件映射!$A$4:$D$66,3)))</f>
        <v/>
      </c>
      <c r="E135" s="3" t="str">
        <f>IF($A135=0,"",IF(VLOOKUP($A135,成就条件映射!$A$4:$D$66,4)=0,"",VLOOKUP($A135,成就条件映射!$A$4:$D$66,4)))</f>
        <v/>
      </c>
      <c r="I135" s="3">
        <f>A134*100+J135</f>
        <v>302302</v>
      </c>
      <c r="J135" s="3">
        <f t="shared" si="12"/>
        <v>2</v>
      </c>
      <c r="K135" s="8"/>
      <c r="L135" s="8"/>
      <c r="M135" s="4" t="str">
        <f t="shared" si="13"/>
        <v>achievementAccumulative{achieveId:3023,count:2}</v>
      </c>
      <c r="N135" s="3" t="s">
        <v>115</v>
      </c>
      <c r="O135" s="3">
        <v>1707532</v>
      </c>
      <c r="Q135" s="3">
        <f t="shared" si="14"/>
        <v>3023</v>
      </c>
      <c r="R135" s="3">
        <v>2</v>
      </c>
      <c r="W135" s="3">
        <v>3</v>
      </c>
      <c r="X135" s="3">
        <v>23</v>
      </c>
      <c r="Y135" s="43"/>
    </row>
    <row r="136" spans="1:28" s="3" customFormat="1" x14ac:dyDescent="0.3">
      <c r="C136" s="3" t="str">
        <f>IF($A136=0,"",IF(VLOOKUP($A136,成就条件映射!$A$4:$D$66,2)=0,"",VLOOKUP($A136,成就条件映射!$A$4:$D$66,2)))</f>
        <v/>
      </c>
      <c r="D136" s="3" t="str">
        <f>IF($A136=0,"",IF(VLOOKUP($A136,成就条件映射!$A$4:$D$66,3)=0,"",VLOOKUP($A136,成就条件映射!$A$4:$D$66,3)))</f>
        <v/>
      </c>
      <c r="E136" s="3" t="str">
        <f>IF($A136=0,"",IF(VLOOKUP($A136,成就条件映射!$A$4:$D$66,4)=0,"",VLOOKUP($A136,成就条件映射!$A$4:$D$66,4)))</f>
        <v/>
      </c>
      <c r="I136" s="3">
        <f>A134*100+J136</f>
        <v>302303</v>
      </c>
      <c r="J136" s="3">
        <f t="shared" si="12"/>
        <v>3</v>
      </c>
      <c r="K136" s="8"/>
      <c r="L136" s="8"/>
      <c r="M136" s="4" t="str">
        <f t="shared" si="13"/>
        <v>achievementAccumulative{achieveId:3023,count:3}</v>
      </c>
      <c r="N136" s="3" t="s">
        <v>115</v>
      </c>
      <c r="O136" s="3">
        <v>1707533</v>
      </c>
      <c r="Q136" s="3">
        <f t="shared" si="14"/>
        <v>3023</v>
      </c>
      <c r="R136" s="3">
        <v>3</v>
      </c>
      <c r="W136" s="3">
        <v>3</v>
      </c>
      <c r="X136" s="3">
        <v>23</v>
      </c>
      <c r="Y136" s="43"/>
    </row>
    <row r="137" spans="1:28" s="3" customFormat="1" x14ac:dyDescent="0.3">
      <c r="C137" s="3" t="str">
        <f>IF($A137=0,"",IF(VLOOKUP($A137,成就条件映射!$A$4:$D$66,2)=0,"",VLOOKUP($A137,成就条件映射!$A$4:$D$66,2)))</f>
        <v/>
      </c>
      <c r="D137" s="3" t="str">
        <f>IF($A137=0,"",IF(VLOOKUP($A137,成就条件映射!$A$4:$D$66,3)=0,"",VLOOKUP($A137,成就条件映射!$A$4:$D$66,3)))</f>
        <v/>
      </c>
      <c r="E137" s="3" t="str">
        <f>IF($A137=0,"",IF(VLOOKUP($A137,成就条件映射!$A$4:$D$66,4)=0,"",VLOOKUP($A137,成就条件映射!$A$4:$D$66,4)))</f>
        <v/>
      </c>
      <c r="I137" s="3">
        <f>A134*100+J137</f>
        <v>302304</v>
      </c>
      <c r="J137" s="3">
        <f t="shared" si="12"/>
        <v>4</v>
      </c>
      <c r="K137" s="8"/>
      <c r="L137" s="8"/>
      <c r="M137" s="4" t="str">
        <f t="shared" si="13"/>
        <v>achievementAccumulative{achieveId:3023,count:4}</v>
      </c>
      <c r="N137" s="3" t="s">
        <v>115</v>
      </c>
      <c r="O137" s="3">
        <v>1707534</v>
      </c>
      <c r="Q137" s="3">
        <f t="shared" si="14"/>
        <v>3023</v>
      </c>
      <c r="R137" s="3">
        <v>4</v>
      </c>
      <c r="W137" s="3">
        <v>3</v>
      </c>
      <c r="X137" s="3">
        <v>23</v>
      </c>
      <c r="Y137" s="43"/>
    </row>
    <row r="138" spans="1:28" s="3" customFormat="1" x14ac:dyDescent="0.3">
      <c r="B138" s="3" t="str">
        <f t="shared" ref="B138:B163" si="15">IF(A138=0,"",INT(A138/1000))</f>
        <v/>
      </c>
      <c r="C138" s="3" t="str">
        <f>IF($A138=0,"",IF(VLOOKUP($A138,成就条件映射!$A$4:$D$66,2)=0,"",VLOOKUP($A138,成就条件映射!$A$4:$D$66,2)))</f>
        <v/>
      </c>
      <c r="D138" s="3" t="str">
        <f>IF($A138=0,"",IF(VLOOKUP($A138,成就条件映射!$A$4:$D$66,3)=0,"",VLOOKUP($A138,成就条件映射!$A$4:$D$66,3)))</f>
        <v/>
      </c>
      <c r="E138" s="3" t="str">
        <f>IF($A138=0,"",IF(VLOOKUP($A138,成就条件映射!$A$4:$D$66,4)=0,"",VLOOKUP($A138,成就条件映射!$A$4:$D$66,4)))</f>
        <v/>
      </c>
      <c r="I138" s="3">
        <f>A134*100+J138</f>
        <v>302305</v>
      </c>
      <c r="J138" s="3">
        <f t="shared" si="12"/>
        <v>5</v>
      </c>
      <c r="K138" s="8"/>
      <c r="L138" s="8"/>
      <c r="M138" s="4" t="str">
        <f t="shared" si="13"/>
        <v>achievementAccumulative{achieveId:3023,count:5}</v>
      </c>
      <c r="N138" s="3" t="s">
        <v>115</v>
      </c>
      <c r="O138" s="3">
        <v>1707535</v>
      </c>
      <c r="Q138" s="3">
        <f t="shared" si="14"/>
        <v>3023</v>
      </c>
      <c r="R138" s="3">
        <v>5</v>
      </c>
      <c r="W138" s="3">
        <v>3</v>
      </c>
      <c r="X138" s="3">
        <v>23</v>
      </c>
      <c r="Y138" s="43"/>
    </row>
    <row r="139" spans="1:28" x14ac:dyDescent="0.3">
      <c r="A139" s="64">
        <f>W139*1000+X139</f>
        <v>4001</v>
      </c>
      <c r="B139" s="64">
        <f t="shared" si="15"/>
        <v>4</v>
      </c>
      <c r="C139" s="64" t="s">
        <v>111</v>
      </c>
      <c r="D139" s="64" t="s">
        <v>171</v>
      </c>
      <c r="E139" s="64" t="s">
        <v>113</v>
      </c>
      <c r="F139" s="64">
        <v>1</v>
      </c>
      <c r="G139" s="64" t="s">
        <v>114</v>
      </c>
      <c r="H139" s="64" t="str">
        <f>"icon_copper_"&amp;Y139</f>
        <v>icon_copper_07</v>
      </c>
      <c r="I139" s="64">
        <f>A139*100+J139</f>
        <v>400101</v>
      </c>
      <c r="J139" s="64">
        <f t="shared" si="12"/>
        <v>1</v>
      </c>
      <c r="K139" s="64">
        <v>7253</v>
      </c>
      <c r="L139" s="64">
        <v>7253</v>
      </c>
      <c r="M139" t="str">
        <f t="shared" si="13"/>
        <v>achievementAccumulative{achieveId:4001,count:40000}</v>
      </c>
      <c r="N139" s="64" t="s">
        <v>115</v>
      </c>
      <c r="O139" s="64">
        <v>1707511</v>
      </c>
      <c r="Q139" s="64">
        <f t="shared" si="14"/>
        <v>4001</v>
      </c>
      <c r="R139" s="64">
        <v>40000</v>
      </c>
      <c r="W139" s="64">
        <v>4</v>
      </c>
      <c r="X139" s="64">
        <v>1</v>
      </c>
      <c r="Y139" s="66" t="s">
        <v>116</v>
      </c>
      <c r="Z139" t="str">
        <f>IF($A139=0,"",IF(VLOOKUP($A139,成就条件映射!$A$4:$D$66,2)=0,"",VLOOKUP($A139,成就条件映射!$A$4:$D$66,2)))</f>
        <v>攻克资源点</v>
      </c>
      <c r="AA139" t="str">
        <f>IF($A139=0,"",IF(VLOOKUP($A139,成就条件映射!$A$4:$D$66,3)=0,"",VLOOKUP($A139,成就条件映射!$A$4:$D$66,3)))</f>
        <v>在与&lt;color=#ffc766&gt;资源点守军&lt;/color&gt;战斗中，我方部队使用&lt;color=#ffc766&gt;被动技能&lt;/color&gt;累计造成的&lt;color=#ffc766&gt;伤害量&lt;/color&gt;</v>
      </c>
      <c r="AB139" t="str">
        <f>IF($A139=0,"",IF(VLOOKUP($A139,成就条件映射!$A$4:$D$66,4)=0,"",VLOOKUP($A139,成就条件映射!$A$4:$D$66,4)))</f>
        <v>当前累计伤害</v>
      </c>
    </row>
    <row r="140" spans="1:28" x14ac:dyDescent="0.3">
      <c r="B140" s="64" t="str">
        <f t="shared" si="15"/>
        <v/>
      </c>
      <c r="C140" s="64" t="str">
        <f>IF($A140=0,"",IF(VLOOKUP($A140,成就条件映射!$A$4:$D$66,2)=0,"",VLOOKUP($A140,成就条件映射!$A$4:$D$66,2)))</f>
        <v/>
      </c>
      <c r="D140" s="64" t="str">
        <f>IF($A140=0,"",IF(VLOOKUP($A140,成就条件映射!$A$4:$D$66,3)=0,"",VLOOKUP($A140,成就条件映射!$A$4:$D$66,3)))</f>
        <v/>
      </c>
      <c r="E140" s="64" t="str">
        <f>IF($A140=0,"",IF(VLOOKUP($A140,成就条件映射!$A$4:$D$66,4)=0,"",VLOOKUP($A140,成就条件映射!$A$4:$D$66,4)))</f>
        <v/>
      </c>
      <c r="I140" s="64">
        <f>A139*100+J140</f>
        <v>400102</v>
      </c>
      <c r="J140" s="64">
        <f t="shared" si="12"/>
        <v>2</v>
      </c>
      <c r="K140" s="64">
        <v>7253</v>
      </c>
      <c r="L140" s="64">
        <v>7253</v>
      </c>
      <c r="M140" t="str">
        <f t="shared" si="13"/>
        <v>achievementAccumulative{achieveId:4001,count:650000}</v>
      </c>
      <c r="N140" s="64" t="s">
        <v>115</v>
      </c>
      <c r="O140" s="64">
        <v>1707512</v>
      </c>
      <c r="Q140" s="64">
        <f t="shared" si="14"/>
        <v>4001</v>
      </c>
      <c r="R140" s="64">
        <v>650000</v>
      </c>
      <c r="W140" s="64">
        <v>4</v>
      </c>
      <c r="X140" s="64">
        <v>1</v>
      </c>
    </row>
    <row r="141" spans="1:28" x14ac:dyDescent="0.3">
      <c r="B141" s="64" t="str">
        <f t="shared" si="15"/>
        <v/>
      </c>
      <c r="C141" s="64" t="str">
        <f>IF($A141=0,"",IF(VLOOKUP($A141,成就条件映射!$A$4:$D$66,2)=0,"",VLOOKUP($A141,成就条件映射!$A$4:$D$66,2)))</f>
        <v/>
      </c>
      <c r="D141" s="64" t="str">
        <f>IF($A141=0,"",IF(VLOOKUP($A141,成就条件映射!$A$4:$D$66,3)=0,"",VLOOKUP($A141,成就条件映射!$A$4:$D$66,3)))</f>
        <v/>
      </c>
      <c r="E141" s="64" t="str">
        <f>IF($A141=0,"",IF(VLOOKUP($A141,成就条件映射!$A$4:$D$66,4)=0,"",VLOOKUP($A141,成就条件映射!$A$4:$D$66,4)))</f>
        <v/>
      </c>
      <c r="I141" s="64">
        <f>A139*100+J141</f>
        <v>400103</v>
      </c>
      <c r="J141" s="64">
        <f t="shared" si="12"/>
        <v>3</v>
      </c>
      <c r="K141" s="64">
        <v>7253</v>
      </c>
      <c r="L141" s="64">
        <v>7253</v>
      </c>
      <c r="M141" t="str">
        <f t="shared" si="13"/>
        <v>achievementAccumulative{achieveId:4001,count:4000000}</v>
      </c>
      <c r="N141" s="64" t="s">
        <v>115</v>
      </c>
      <c r="O141" s="64">
        <v>1707513</v>
      </c>
      <c r="Q141" s="64">
        <f t="shared" si="14"/>
        <v>4001</v>
      </c>
      <c r="R141" s="64">
        <v>4000000</v>
      </c>
      <c r="W141" s="64">
        <v>4</v>
      </c>
      <c r="X141" s="64">
        <v>1</v>
      </c>
    </row>
    <row r="142" spans="1:28" x14ac:dyDescent="0.3">
      <c r="B142" s="64" t="str">
        <f t="shared" si="15"/>
        <v/>
      </c>
      <c r="C142" s="64" t="str">
        <f>IF($A142=0,"",IF(VLOOKUP($A142,成就条件映射!$A$4:$D$66,2)=0,"",VLOOKUP($A142,成就条件映射!$A$4:$D$66,2)))</f>
        <v/>
      </c>
      <c r="D142" s="64" t="str">
        <f>IF($A142=0,"",IF(VLOOKUP($A142,成就条件映射!$A$4:$D$66,3)=0,"",VLOOKUP($A142,成就条件映射!$A$4:$D$66,3)))</f>
        <v/>
      </c>
      <c r="E142" s="64" t="str">
        <f>IF($A142=0,"",IF(VLOOKUP($A142,成就条件映射!$A$4:$D$66,4)=0,"",VLOOKUP($A142,成就条件映射!$A$4:$D$66,4)))</f>
        <v/>
      </c>
      <c r="I142" s="64">
        <f>A139*100+J142</f>
        <v>400104</v>
      </c>
      <c r="J142" s="64">
        <f t="shared" si="12"/>
        <v>4</v>
      </c>
      <c r="K142" s="64">
        <v>7253</v>
      </c>
      <c r="L142" s="64">
        <v>7253</v>
      </c>
      <c r="M142" t="str">
        <f t="shared" si="13"/>
        <v>achievementAccumulative{achieveId:4001,count:15000000}</v>
      </c>
      <c r="N142" s="64" t="s">
        <v>115</v>
      </c>
      <c r="O142" s="64">
        <v>1707514</v>
      </c>
      <c r="Q142" s="64">
        <f t="shared" si="14"/>
        <v>4001</v>
      </c>
      <c r="R142" s="64">
        <v>15000000</v>
      </c>
      <c r="W142" s="64">
        <v>4</v>
      </c>
      <c r="X142" s="64">
        <v>1</v>
      </c>
    </row>
    <row r="143" spans="1:28" x14ac:dyDescent="0.3">
      <c r="B143" s="64" t="str">
        <f t="shared" si="15"/>
        <v/>
      </c>
      <c r="C143" s="64" t="str">
        <f>IF($A143=0,"",IF(VLOOKUP($A143,成就条件映射!$A$4:$D$66,2)=0,"",VLOOKUP($A143,成就条件映射!$A$4:$D$66,2)))</f>
        <v/>
      </c>
      <c r="D143" s="64" t="str">
        <f>IF($A143=0,"",IF(VLOOKUP($A143,成就条件映射!$A$4:$D$66,3)=0,"",VLOOKUP($A143,成就条件映射!$A$4:$D$66,3)))</f>
        <v/>
      </c>
      <c r="E143" s="64" t="str">
        <f>IF($A143=0,"",IF(VLOOKUP($A143,成就条件映射!$A$4:$D$66,4)=0,"",VLOOKUP($A143,成就条件映射!$A$4:$D$66,4)))</f>
        <v/>
      </c>
      <c r="I143" s="64">
        <f>A139*100+J143</f>
        <v>400105</v>
      </c>
      <c r="J143" s="64">
        <f t="shared" si="12"/>
        <v>5</v>
      </c>
      <c r="K143" s="64">
        <v>7253</v>
      </c>
      <c r="L143" s="64">
        <v>7253</v>
      </c>
      <c r="M143" t="str">
        <f t="shared" si="13"/>
        <v>achievementAccumulative{achieveId:4001,count:30000000}</v>
      </c>
      <c r="N143" s="64" t="s">
        <v>115</v>
      </c>
      <c r="O143" s="64">
        <v>1707515</v>
      </c>
      <c r="Q143" s="64">
        <f t="shared" si="14"/>
        <v>4001</v>
      </c>
      <c r="R143" s="64">
        <v>30000000</v>
      </c>
      <c r="W143" s="64">
        <v>4</v>
      </c>
      <c r="X143" s="64">
        <v>1</v>
      </c>
    </row>
    <row r="144" spans="1:28" x14ac:dyDescent="0.3">
      <c r="A144" s="64">
        <f>W144*1000+X144</f>
        <v>4002</v>
      </c>
      <c r="B144" s="64">
        <f t="shared" si="15"/>
        <v>4</v>
      </c>
      <c r="C144" s="64" t="s">
        <v>117</v>
      </c>
      <c r="D144" s="64" t="s">
        <v>172</v>
      </c>
      <c r="E144" s="64" t="s">
        <v>113</v>
      </c>
      <c r="F144" s="64">
        <v>1</v>
      </c>
      <c r="G144" s="64" t="s">
        <v>114</v>
      </c>
      <c r="H144" s="64" t="str">
        <f>"icon_copper_"&amp;Y144</f>
        <v>icon_copper_10</v>
      </c>
      <c r="I144" s="64">
        <f>A144*100+J144</f>
        <v>400201</v>
      </c>
      <c r="J144" s="64">
        <f t="shared" si="12"/>
        <v>1</v>
      </c>
      <c r="K144" s="64">
        <v>7254</v>
      </c>
      <c r="L144" s="64">
        <v>7254</v>
      </c>
      <c r="M144" t="str">
        <f t="shared" si="13"/>
        <v>achievementAccumulative{achieveId:4002,count:40000}</v>
      </c>
      <c r="N144" s="64" t="s">
        <v>115</v>
      </c>
      <c r="O144" s="64">
        <v>1707511</v>
      </c>
      <c r="Q144" s="64">
        <f t="shared" si="14"/>
        <v>4002</v>
      </c>
      <c r="R144" s="64">
        <v>40000</v>
      </c>
      <c r="W144" s="64">
        <v>4</v>
      </c>
      <c r="X144" s="64">
        <v>2</v>
      </c>
      <c r="Y144" s="66" t="s">
        <v>119</v>
      </c>
      <c r="Z144" t="str">
        <f>IF($A144=0,"",IF(VLOOKUP($A144,成就条件映射!$A$4:$D$66,2)=0,"",VLOOKUP($A144,成就条件映射!$A$4:$D$66,2)))</f>
        <v>蛮族讨伐</v>
      </c>
      <c r="AA144" t="str">
        <f>IF($A144=0,"",IF(VLOOKUP($A144,成就条件映射!$A$4:$D$66,3)=0,"",VLOOKUP($A144,成就条件映射!$A$4:$D$66,3)))</f>
        <v>在与&lt;color=#ffc766&gt;野外蛮族&lt;/color&gt;战斗中，我方部队使用&lt;color=#ffc766&gt;被动技能&lt;/color&gt;累计造成的&lt;color=#ffc766&gt;伤害量&lt;/color&gt;</v>
      </c>
      <c r="AB144" t="str">
        <f>IF($A144=0,"",IF(VLOOKUP($A144,成就条件映射!$A$4:$D$66,4)=0,"",VLOOKUP($A144,成就条件映射!$A$4:$D$66,4)))</f>
        <v>当前累计伤害</v>
      </c>
    </row>
    <row r="145" spans="1:28" x14ac:dyDescent="0.3">
      <c r="B145" s="64" t="str">
        <f t="shared" si="15"/>
        <v/>
      </c>
      <c r="C145" s="64" t="str">
        <f>IF($A145=0,"",IF(VLOOKUP($A145,成就条件映射!$A$4:$D$66,2)=0,"",VLOOKUP($A145,成就条件映射!$A$4:$D$66,2)))</f>
        <v/>
      </c>
      <c r="D145" s="64" t="str">
        <f>IF($A145=0,"",IF(VLOOKUP($A145,成就条件映射!$A$4:$D$66,3)=0,"",VLOOKUP($A145,成就条件映射!$A$4:$D$66,3)))</f>
        <v/>
      </c>
      <c r="E145" s="64" t="str">
        <f>IF($A145=0,"",IF(VLOOKUP($A145,成就条件映射!$A$4:$D$66,4)=0,"",VLOOKUP($A145,成就条件映射!$A$4:$D$66,4)))</f>
        <v/>
      </c>
      <c r="I145" s="64">
        <f>A144*100+J145</f>
        <v>400202</v>
      </c>
      <c r="J145" s="64">
        <f t="shared" si="12"/>
        <v>2</v>
      </c>
      <c r="K145" s="64">
        <v>7254</v>
      </c>
      <c r="L145" s="64">
        <v>7254</v>
      </c>
      <c r="M145" t="str">
        <f t="shared" si="13"/>
        <v>achievementAccumulative{achieveId:4002,count:680000}</v>
      </c>
      <c r="N145" s="64" t="s">
        <v>115</v>
      </c>
      <c r="O145" s="64">
        <v>1707512</v>
      </c>
      <c r="Q145" s="64">
        <f t="shared" si="14"/>
        <v>4002</v>
      </c>
      <c r="R145" s="64">
        <v>680000</v>
      </c>
      <c r="W145" s="64">
        <v>4</v>
      </c>
      <c r="X145" s="64">
        <v>2</v>
      </c>
    </row>
    <row r="146" spans="1:28" x14ac:dyDescent="0.3">
      <c r="B146" s="64" t="str">
        <f t="shared" si="15"/>
        <v/>
      </c>
      <c r="C146" s="64" t="str">
        <f>IF($A146=0,"",IF(VLOOKUP($A146,成就条件映射!$A$4:$D$66,2)=0,"",VLOOKUP($A146,成就条件映射!$A$4:$D$66,2)))</f>
        <v/>
      </c>
      <c r="D146" s="64" t="str">
        <f>IF($A146=0,"",IF(VLOOKUP($A146,成就条件映射!$A$4:$D$66,3)=0,"",VLOOKUP($A146,成就条件映射!$A$4:$D$66,3)))</f>
        <v/>
      </c>
      <c r="E146" s="64" t="str">
        <f>IF($A146=0,"",IF(VLOOKUP($A146,成就条件映射!$A$4:$D$66,4)=0,"",VLOOKUP($A146,成就条件映射!$A$4:$D$66,4)))</f>
        <v/>
      </c>
      <c r="I146" s="64">
        <f>A144*100+J146</f>
        <v>400203</v>
      </c>
      <c r="J146" s="64">
        <f t="shared" si="12"/>
        <v>3</v>
      </c>
      <c r="K146" s="64">
        <v>7254</v>
      </c>
      <c r="L146" s="64">
        <v>7254</v>
      </c>
      <c r="M146" t="str">
        <f t="shared" si="13"/>
        <v>achievementAccumulative{achieveId:4002,count:1600000}</v>
      </c>
      <c r="N146" s="64" t="s">
        <v>115</v>
      </c>
      <c r="O146" s="64">
        <v>1707513</v>
      </c>
      <c r="Q146" s="64">
        <f t="shared" si="14"/>
        <v>4002</v>
      </c>
      <c r="R146" s="64">
        <v>1600000</v>
      </c>
      <c r="W146" s="64">
        <v>4</v>
      </c>
      <c r="X146" s="64">
        <v>2</v>
      </c>
    </row>
    <row r="147" spans="1:28" x14ac:dyDescent="0.3">
      <c r="B147" s="64" t="str">
        <f t="shared" si="15"/>
        <v/>
      </c>
      <c r="C147" s="64" t="str">
        <f>IF($A147=0,"",IF(VLOOKUP($A147,成就条件映射!$A$4:$D$66,2)=0,"",VLOOKUP($A147,成就条件映射!$A$4:$D$66,2)))</f>
        <v/>
      </c>
      <c r="D147" s="64" t="str">
        <f>IF($A147=0,"",IF(VLOOKUP($A147,成就条件映射!$A$4:$D$66,3)=0,"",VLOOKUP($A147,成就条件映射!$A$4:$D$66,3)))</f>
        <v/>
      </c>
      <c r="E147" s="64" t="str">
        <f>IF($A147=0,"",IF(VLOOKUP($A147,成就条件映射!$A$4:$D$66,4)=0,"",VLOOKUP($A147,成就条件映射!$A$4:$D$66,4)))</f>
        <v/>
      </c>
      <c r="I147" s="64">
        <f>A144*100+J147</f>
        <v>400204</v>
      </c>
      <c r="J147" s="64">
        <f t="shared" si="12"/>
        <v>4</v>
      </c>
      <c r="K147" s="64">
        <v>7254</v>
      </c>
      <c r="L147" s="64">
        <v>7254</v>
      </c>
      <c r="M147" t="str">
        <f t="shared" si="13"/>
        <v>achievementAccumulative{achieveId:4002,count:6300000}</v>
      </c>
      <c r="N147" s="64" t="s">
        <v>115</v>
      </c>
      <c r="O147" s="64">
        <v>1707514</v>
      </c>
      <c r="Q147" s="64">
        <f t="shared" si="14"/>
        <v>4002</v>
      </c>
      <c r="R147" s="64">
        <v>6300000</v>
      </c>
      <c r="W147" s="64">
        <v>4</v>
      </c>
      <c r="X147" s="64">
        <v>2</v>
      </c>
    </row>
    <row r="148" spans="1:28" x14ac:dyDescent="0.3">
      <c r="B148" s="64" t="str">
        <f t="shared" si="15"/>
        <v/>
      </c>
      <c r="C148" s="64" t="str">
        <f>IF($A148=0,"",IF(VLOOKUP($A148,成就条件映射!$A$4:$D$66,2)=0,"",VLOOKUP($A148,成就条件映射!$A$4:$D$66,2)))</f>
        <v/>
      </c>
      <c r="D148" s="64" t="str">
        <f>IF($A148=0,"",IF(VLOOKUP($A148,成就条件映射!$A$4:$D$66,3)=0,"",VLOOKUP($A148,成就条件映射!$A$4:$D$66,3)))</f>
        <v/>
      </c>
      <c r="E148" s="64" t="str">
        <f>IF($A148=0,"",IF(VLOOKUP($A148,成就条件映射!$A$4:$D$66,4)=0,"",VLOOKUP($A148,成就条件映射!$A$4:$D$66,4)))</f>
        <v/>
      </c>
      <c r="I148" s="64">
        <f>A144*100+J148</f>
        <v>400205</v>
      </c>
      <c r="J148" s="64">
        <f t="shared" si="12"/>
        <v>5</v>
      </c>
      <c r="K148" s="64">
        <v>7254</v>
      </c>
      <c r="L148" s="64">
        <v>7254</v>
      </c>
      <c r="M148" t="str">
        <f t="shared" si="13"/>
        <v>achievementAccumulative{achieveId:4002,count:20000000}</v>
      </c>
      <c r="N148" s="64" t="s">
        <v>115</v>
      </c>
      <c r="O148" s="64">
        <v>1707515</v>
      </c>
      <c r="Q148" s="64">
        <f t="shared" si="14"/>
        <v>4002</v>
      </c>
      <c r="R148" s="64">
        <v>20000000</v>
      </c>
      <c r="W148" s="64">
        <v>4</v>
      </c>
      <c r="X148" s="64">
        <v>2</v>
      </c>
    </row>
    <row r="149" spans="1:28" x14ac:dyDescent="0.3">
      <c r="A149" s="64">
        <f>W149*1000+X149</f>
        <v>4003</v>
      </c>
      <c r="B149" s="64">
        <f t="shared" si="15"/>
        <v>4</v>
      </c>
      <c r="C149" s="64" t="s">
        <v>120</v>
      </c>
      <c r="D149" s="64" t="s">
        <v>173</v>
      </c>
      <c r="E149" s="64" t="s">
        <v>113</v>
      </c>
      <c r="F149" s="64">
        <v>1</v>
      </c>
      <c r="G149" s="64" t="s">
        <v>114</v>
      </c>
      <c r="H149" s="64" t="str">
        <f>"icon_copper_"&amp;Y149</f>
        <v>icon_copper_04</v>
      </c>
      <c r="I149" s="64">
        <f>A149*100+J149</f>
        <v>400301</v>
      </c>
      <c r="J149" s="64">
        <f t="shared" si="12"/>
        <v>1</v>
      </c>
      <c r="M149" t="str">
        <f t="shared" si="13"/>
        <v>achievementAccumulative{achieveId:4003,count:80000}</v>
      </c>
      <c r="N149" s="64" t="s">
        <v>115</v>
      </c>
      <c r="O149" s="64">
        <v>1707511</v>
      </c>
      <c r="Q149" s="64">
        <f t="shared" si="14"/>
        <v>4003</v>
      </c>
      <c r="R149" s="64">
        <v>80000</v>
      </c>
      <c r="W149" s="64">
        <v>4</v>
      </c>
      <c r="X149" s="64">
        <v>3</v>
      </c>
      <c r="Y149" s="66" t="s">
        <v>122</v>
      </c>
      <c r="Z149" t="str">
        <f>IF($A149=0,"",IF(VLOOKUP($A149,成就条件映射!$A$4:$D$66,2)=0,"",VLOOKUP($A149,成就条件映射!$A$4:$D$66,2)))</f>
        <v>野战先锋</v>
      </c>
      <c r="AA149" t="str">
        <f>IF($A149=0,"",IF(VLOOKUP($A149,成就条件映射!$A$4:$D$66,3)=0,"",VLOOKUP($A149,成就条件映射!$A$4:$D$66,3)))</f>
        <v>野外与&lt;color=#ffc766&gt;玩家&lt;/color&gt;部队战斗中，我方部队使用&lt;color=#ffc766&gt;被动技能&lt;/color&gt;累计对敌方玩家造成的&lt;color=#ffc766&gt;伤害量&lt;/color&gt;</v>
      </c>
      <c r="AB149" t="str">
        <f>IF($A149=0,"",IF(VLOOKUP($A149,成就条件映射!$A$4:$D$66,4)=0,"",VLOOKUP($A149,成就条件映射!$A$4:$D$66,4)))</f>
        <v>当前累计伤害</v>
      </c>
    </row>
    <row r="150" spans="1:28" x14ac:dyDescent="0.3">
      <c r="B150" s="64" t="str">
        <f t="shared" si="15"/>
        <v/>
      </c>
      <c r="C150" s="64" t="str">
        <f>IF($A150=0,"",IF(VLOOKUP($A150,成就条件映射!$A$4:$D$66,2)=0,"",VLOOKUP($A150,成就条件映射!$A$4:$D$66,2)))</f>
        <v/>
      </c>
      <c r="D150" s="64" t="str">
        <f>IF($A150=0,"",IF(VLOOKUP($A150,成就条件映射!$A$4:$D$66,3)=0,"",VLOOKUP($A150,成就条件映射!$A$4:$D$66,3)))</f>
        <v/>
      </c>
      <c r="E150" s="64" t="str">
        <f>IF($A150=0,"",IF(VLOOKUP($A150,成就条件映射!$A$4:$D$66,4)=0,"",VLOOKUP($A150,成就条件映射!$A$4:$D$66,4)))</f>
        <v/>
      </c>
      <c r="I150" s="64">
        <f>A149*100+J150</f>
        <v>400302</v>
      </c>
      <c r="J150" s="64">
        <f t="shared" si="12"/>
        <v>2</v>
      </c>
      <c r="M150" t="str">
        <f t="shared" si="13"/>
        <v>achievementAccumulative{achieveId:4003,count:300000}</v>
      </c>
      <c r="N150" s="64" t="s">
        <v>115</v>
      </c>
      <c r="O150" s="64">
        <v>1707512</v>
      </c>
      <c r="Q150" s="64">
        <f t="shared" si="14"/>
        <v>4003</v>
      </c>
      <c r="R150" s="64">
        <v>300000</v>
      </c>
      <c r="W150" s="64">
        <v>4</v>
      </c>
      <c r="X150" s="64">
        <v>3</v>
      </c>
    </row>
    <row r="151" spans="1:28" x14ac:dyDescent="0.3">
      <c r="B151" s="64" t="str">
        <f t="shared" si="15"/>
        <v/>
      </c>
      <c r="C151" s="64" t="str">
        <f>IF($A151=0,"",IF(VLOOKUP($A151,成就条件映射!$A$4:$D$66,2)=0,"",VLOOKUP($A151,成就条件映射!$A$4:$D$66,2)))</f>
        <v/>
      </c>
      <c r="D151" s="64" t="str">
        <f>IF($A151=0,"",IF(VLOOKUP($A151,成就条件映射!$A$4:$D$66,3)=0,"",VLOOKUP($A151,成就条件映射!$A$4:$D$66,3)))</f>
        <v/>
      </c>
      <c r="E151" s="64" t="str">
        <f>IF($A151=0,"",IF(VLOOKUP($A151,成就条件映射!$A$4:$D$66,4)=0,"",VLOOKUP($A151,成就条件映射!$A$4:$D$66,4)))</f>
        <v/>
      </c>
      <c r="I151" s="64">
        <f>A149*100+J151</f>
        <v>400303</v>
      </c>
      <c r="J151" s="64">
        <f t="shared" si="12"/>
        <v>3</v>
      </c>
      <c r="M151" t="str">
        <f t="shared" si="13"/>
        <v>achievementAccumulative{achieveId:4003,count:1100000}</v>
      </c>
      <c r="N151" s="64" t="s">
        <v>115</v>
      </c>
      <c r="O151" s="64">
        <v>1707513</v>
      </c>
      <c r="Q151" s="64">
        <f t="shared" si="14"/>
        <v>4003</v>
      </c>
      <c r="R151" s="64">
        <v>1100000</v>
      </c>
      <c r="W151" s="64">
        <v>4</v>
      </c>
      <c r="X151" s="64">
        <v>3</v>
      </c>
    </row>
    <row r="152" spans="1:28" x14ac:dyDescent="0.3">
      <c r="B152" s="64" t="str">
        <f t="shared" si="15"/>
        <v/>
      </c>
      <c r="C152" s="64" t="str">
        <f>IF($A152=0,"",IF(VLOOKUP($A152,成就条件映射!$A$4:$D$66,2)=0,"",VLOOKUP($A152,成就条件映射!$A$4:$D$66,2)))</f>
        <v/>
      </c>
      <c r="D152" s="64" t="str">
        <f>IF($A152=0,"",IF(VLOOKUP($A152,成就条件映射!$A$4:$D$66,3)=0,"",VLOOKUP($A152,成就条件映射!$A$4:$D$66,3)))</f>
        <v/>
      </c>
      <c r="E152" s="64" t="str">
        <f>IF($A152=0,"",IF(VLOOKUP($A152,成就条件映射!$A$4:$D$66,4)=0,"",VLOOKUP($A152,成就条件映射!$A$4:$D$66,4)))</f>
        <v/>
      </c>
      <c r="I152" s="64">
        <f>A149*100+J152</f>
        <v>400304</v>
      </c>
      <c r="J152" s="64">
        <f t="shared" si="12"/>
        <v>4</v>
      </c>
      <c r="M152" t="str">
        <f t="shared" si="13"/>
        <v>achievementAccumulative{achieveId:4003,count:3900000}</v>
      </c>
      <c r="N152" s="64" t="s">
        <v>115</v>
      </c>
      <c r="O152" s="64">
        <v>1707514</v>
      </c>
      <c r="Q152" s="64">
        <f t="shared" si="14"/>
        <v>4003</v>
      </c>
      <c r="R152" s="64">
        <v>3900000</v>
      </c>
      <c r="W152" s="64">
        <v>4</v>
      </c>
      <c r="X152" s="64">
        <v>3</v>
      </c>
    </row>
    <row r="153" spans="1:28" x14ac:dyDescent="0.3">
      <c r="B153" s="64" t="str">
        <f t="shared" si="15"/>
        <v/>
      </c>
      <c r="C153" s="64" t="str">
        <f>IF($A153=0,"",IF(VLOOKUP($A153,成就条件映射!$A$4:$D$66,2)=0,"",VLOOKUP($A153,成就条件映射!$A$4:$D$66,2)))</f>
        <v/>
      </c>
      <c r="D153" s="64" t="str">
        <f>IF($A153=0,"",IF(VLOOKUP($A153,成就条件映射!$A$4:$D$66,3)=0,"",VLOOKUP($A153,成就条件映射!$A$4:$D$66,3)))</f>
        <v/>
      </c>
      <c r="E153" s="64" t="str">
        <f>IF($A153=0,"",IF(VLOOKUP($A153,成就条件映射!$A$4:$D$66,4)=0,"",VLOOKUP($A153,成就条件映射!$A$4:$D$66,4)))</f>
        <v/>
      </c>
      <c r="I153" s="64">
        <f>A149*100+J153</f>
        <v>400305</v>
      </c>
      <c r="J153" s="64">
        <f t="shared" si="12"/>
        <v>5</v>
      </c>
      <c r="M153" t="str">
        <f t="shared" si="13"/>
        <v>achievementAccumulative{achieveId:4003,count:10000000}</v>
      </c>
      <c r="N153" s="64" t="s">
        <v>115</v>
      </c>
      <c r="O153" s="64">
        <v>1707515</v>
      </c>
      <c r="Q153" s="64">
        <f t="shared" si="14"/>
        <v>4003</v>
      </c>
      <c r="R153" s="64">
        <v>10000000</v>
      </c>
      <c r="W153" s="64">
        <v>4</v>
      </c>
      <c r="X153" s="64">
        <v>3</v>
      </c>
    </row>
    <row r="154" spans="1:28" x14ac:dyDescent="0.3">
      <c r="A154" s="64">
        <f>W154*1000+X154</f>
        <v>4011</v>
      </c>
      <c r="B154" s="64">
        <f t="shared" si="15"/>
        <v>4</v>
      </c>
      <c r="C154" s="64" t="s">
        <v>174</v>
      </c>
      <c r="D154" s="64" t="s">
        <v>175</v>
      </c>
      <c r="E154" s="64" t="s">
        <v>135</v>
      </c>
      <c r="F154" s="64">
        <v>2</v>
      </c>
      <c r="G154" s="64" t="s">
        <v>114</v>
      </c>
      <c r="H154" s="64" t="str">
        <f>"icon_silver_"&amp;Y154</f>
        <v>icon_silver_14</v>
      </c>
      <c r="I154" s="64">
        <f>A154*100+J154</f>
        <v>401101</v>
      </c>
      <c r="J154" s="64">
        <f t="shared" si="12"/>
        <v>1</v>
      </c>
      <c r="M154" t="str">
        <f t="shared" si="13"/>
        <v>achievementAccumulative{achieveId:4011,count:12}</v>
      </c>
      <c r="N154" s="64" t="s">
        <v>115</v>
      </c>
      <c r="O154" s="64">
        <v>1707521</v>
      </c>
      <c r="Q154" s="64">
        <f t="shared" si="14"/>
        <v>4011</v>
      </c>
      <c r="R154" s="64">
        <v>12</v>
      </c>
      <c r="W154" s="64">
        <v>4</v>
      </c>
      <c r="X154" s="64">
        <v>11</v>
      </c>
      <c r="Y154" s="66" t="s">
        <v>167</v>
      </c>
      <c r="Z154" t="str">
        <f>IF($A154=0,"",IF(VLOOKUP($A154,成就条件映射!$A$4:$D$66,2)=0,"",VLOOKUP($A154,成就条件映射!$A$4:$D$66,2)))</f>
        <v>以牙还牙</v>
      </c>
      <c r="AA154" t="str">
        <f>IF($A154=0,"",IF(VLOOKUP($A154,成就条件映射!$A$4:$D$66,3)=0,"",VLOOKUP($A154,成就条件映射!$A$4:$D$66,3)))</f>
        <v>&lt;color=#ffc766&gt;30秒&lt;/color&gt;内，我方部队累计发动&lt;color=#ffc766&gt;反击&lt;/color&gt;攻击的&lt;color=#ffc766&gt;最大次数&lt;/color&gt;</v>
      </c>
      <c r="AB154" t="str">
        <f>IF($A154=0,"",IF(VLOOKUP($A154,成就条件映射!$A$4:$D$66,4)=0,"",VLOOKUP($A154,成就条件映射!$A$4:$D$66,4)))</f>
        <v>当前累计次数</v>
      </c>
    </row>
    <row r="155" spans="1:28" x14ac:dyDescent="0.3">
      <c r="B155" s="64" t="str">
        <f t="shared" si="15"/>
        <v/>
      </c>
      <c r="C155" s="64" t="str">
        <f>IF($A155=0,"",IF(VLOOKUP($A155,成就条件映射!$A$4:$D$66,2)=0,"",VLOOKUP($A155,成就条件映射!$A$4:$D$66,2)))</f>
        <v/>
      </c>
      <c r="D155" s="64" t="str">
        <f>IF($A155=0,"",IF(VLOOKUP($A155,成就条件映射!$A$4:$D$66,3)=0,"",VLOOKUP($A155,成就条件映射!$A$4:$D$66,3)))</f>
        <v/>
      </c>
      <c r="E155" s="64" t="str">
        <f>IF($A155=0,"",IF(VLOOKUP($A155,成就条件映射!$A$4:$D$66,4)=0,"",VLOOKUP($A155,成就条件映射!$A$4:$D$66,4)))</f>
        <v/>
      </c>
      <c r="I155" s="64">
        <f>A154*100+J155</f>
        <v>401102</v>
      </c>
      <c r="J155" s="64">
        <f t="shared" si="12"/>
        <v>2</v>
      </c>
      <c r="M155" t="str">
        <f t="shared" si="13"/>
        <v>achievementAccumulative{achieveId:4011,count:15}</v>
      </c>
      <c r="N155" s="64" t="s">
        <v>115</v>
      </c>
      <c r="O155" s="64">
        <v>1707522</v>
      </c>
      <c r="Q155" s="64">
        <f t="shared" si="14"/>
        <v>4011</v>
      </c>
      <c r="R155" s="64">
        <v>15</v>
      </c>
      <c r="W155" s="64">
        <v>4</v>
      </c>
      <c r="X155" s="64">
        <v>11</v>
      </c>
    </row>
    <row r="156" spans="1:28" x14ac:dyDescent="0.3">
      <c r="B156" s="64" t="str">
        <f t="shared" si="15"/>
        <v/>
      </c>
      <c r="C156" s="64" t="str">
        <f>IF($A156=0,"",IF(VLOOKUP($A156,成就条件映射!$A$4:$D$66,2)=0,"",VLOOKUP($A156,成就条件映射!$A$4:$D$66,2)))</f>
        <v/>
      </c>
      <c r="D156" s="64" t="str">
        <f>IF($A156=0,"",IF(VLOOKUP($A156,成就条件映射!$A$4:$D$66,3)=0,"",VLOOKUP($A156,成就条件映射!$A$4:$D$66,3)))</f>
        <v/>
      </c>
      <c r="E156" s="64" t="str">
        <f>IF($A156=0,"",IF(VLOOKUP($A156,成就条件映射!$A$4:$D$66,4)=0,"",VLOOKUP($A156,成就条件映射!$A$4:$D$66,4)))</f>
        <v/>
      </c>
      <c r="I156" s="64">
        <f>A154*100+J156</f>
        <v>401103</v>
      </c>
      <c r="J156" s="64">
        <f t="shared" si="12"/>
        <v>3</v>
      </c>
      <c r="M156" t="str">
        <f t="shared" si="13"/>
        <v>achievementAccumulative{achieveId:4011,count:25}</v>
      </c>
      <c r="N156" s="64" t="s">
        <v>115</v>
      </c>
      <c r="O156" s="64">
        <v>1707523</v>
      </c>
      <c r="Q156" s="64">
        <f t="shared" si="14"/>
        <v>4011</v>
      </c>
      <c r="R156" s="64">
        <v>25</v>
      </c>
      <c r="W156" s="64">
        <v>4</v>
      </c>
      <c r="X156" s="64">
        <v>11</v>
      </c>
    </row>
    <row r="157" spans="1:28" x14ac:dyDescent="0.3">
      <c r="B157" s="64" t="str">
        <f t="shared" si="15"/>
        <v/>
      </c>
      <c r="C157" s="64" t="str">
        <f>IF($A157=0,"",IF(VLOOKUP($A157,成就条件映射!$A$4:$D$66,2)=0,"",VLOOKUP($A157,成就条件映射!$A$4:$D$66,2)))</f>
        <v/>
      </c>
      <c r="D157" s="64" t="str">
        <f>IF($A157=0,"",IF(VLOOKUP($A157,成就条件映射!$A$4:$D$66,3)=0,"",VLOOKUP($A157,成就条件映射!$A$4:$D$66,3)))</f>
        <v/>
      </c>
      <c r="E157" s="64" t="str">
        <f>IF($A157=0,"",IF(VLOOKUP($A157,成就条件映射!$A$4:$D$66,4)=0,"",VLOOKUP($A157,成就条件映射!$A$4:$D$66,4)))</f>
        <v/>
      </c>
      <c r="I157" s="64">
        <f>A154*100+J157</f>
        <v>401104</v>
      </c>
      <c r="J157" s="64">
        <f t="shared" si="12"/>
        <v>4</v>
      </c>
      <c r="M157" t="str">
        <f t="shared" si="13"/>
        <v>achievementAccumulative{achieveId:4011,count:30}</v>
      </c>
      <c r="N157" s="64" t="s">
        <v>115</v>
      </c>
      <c r="O157" s="64">
        <v>1707524</v>
      </c>
      <c r="Q157" s="64">
        <f t="shared" si="14"/>
        <v>4011</v>
      </c>
      <c r="R157" s="64">
        <v>30</v>
      </c>
      <c r="W157" s="64">
        <v>4</v>
      </c>
      <c r="X157" s="64">
        <v>11</v>
      </c>
    </row>
    <row r="158" spans="1:28" x14ac:dyDescent="0.3">
      <c r="B158" s="64" t="str">
        <f t="shared" si="15"/>
        <v/>
      </c>
      <c r="C158" s="64" t="str">
        <f>IF($A158=0,"",IF(VLOOKUP($A158,成就条件映射!$A$4:$D$66,2)=0,"",VLOOKUP($A158,成就条件映射!$A$4:$D$66,2)))</f>
        <v/>
      </c>
      <c r="D158" s="64" t="str">
        <f>IF($A158=0,"",IF(VLOOKUP($A158,成就条件映射!$A$4:$D$66,3)=0,"",VLOOKUP($A158,成就条件映射!$A$4:$D$66,3)))</f>
        <v/>
      </c>
      <c r="E158" s="64" t="str">
        <f>IF($A158=0,"",IF(VLOOKUP($A158,成就条件映射!$A$4:$D$66,4)=0,"",VLOOKUP($A158,成就条件映射!$A$4:$D$66,4)))</f>
        <v/>
      </c>
      <c r="I158" s="64">
        <f>A154*100+J158</f>
        <v>401105</v>
      </c>
      <c r="J158" s="64">
        <f t="shared" si="12"/>
        <v>5</v>
      </c>
      <c r="M158" t="str">
        <f t="shared" si="13"/>
        <v>achievementAccumulative{achieveId:4011,count:40}</v>
      </c>
      <c r="N158" s="64" t="s">
        <v>115</v>
      </c>
      <c r="O158" s="64">
        <v>1707525</v>
      </c>
      <c r="Q158" s="64">
        <f t="shared" si="14"/>
        <v>4011</v>
      </c>
      <c r="R158" s="64">
        <v>40</v>
      </c>
      <c r="W158" s="64">
        <v>4</v>
      </c>
      <c r="X158" s="64">
        <v>11</v>
      </c>
    </row>
    <row r="159" spans="1:28" x14ac:dyDescent="0.3">
      <c r="A159" s="64">
        <f>W159*1000+X159</f>
        <v>4012</v>
      </c>
      <c r="B159" s="64">
        <f t="shared" si="15"/>
        <v>4</v>
      </c>
      <c r="C159" s="64" t="s">
        <v>176</v>
      </c>
      <c r="D159" s="64" t="s">
        <v>177</v>
      </c>
      <c r="E159" s="64" t="s">
        <v>152</v>
      </c>
      <c r="F159" s="64">
        <v>2</v>
      </c>
      <c r="G159" s="64" t="s">
        <v>114</v>
      </c>
      <c r="H159" s="64" t="str">
        <f>"icon_silver_"&amp;Y159</f>
        <v>icon_silver_07</v>
      </c>
      <c r="I159" s="64">
        <f>A159*100+J159</f>
        <v>401201</v>
      </c>
      <c r="J159" s="64">
        <f t="shared" si="12"/>
        <v>1</v>
      </c>
      <c r="M159" t="str">
        <f t="shared" si="13"/>
        <v>achievementAccumulative{achieveId:4012,count:40000}</v>
      </c>
      <c r="N159" s="64" t="s">
        <v>115</v>
      </c>
      <c r="O159" s="64">
        <v>1707521</v>
      </c>
      <c r="Q159" s="64">
        <f t="shared" si="14"/>
        <v>4012</v>
      </c>
      <c r="R159" s="64">
        <v>40000</v>
      </c>
      <c r="W159" s="64">
        <v>4</v>
      </c>
      <c r="X159" s="64">
        <v>12</v>
      </c>
      <c r="Y159" s="66" t="s">
        <v>116</v>
      </c>
      <c r="Z159" t="str">
        <f>IF($A159=0,"",IF(VLOOKUP($A159,成就条件映射!$A$4:$D$66,2)=0,"",VLOOKUP($A159,成就条件映射!$A$4:$D$66,2)))</f>
        <v>巴巴罗萨</v>
      </c>
      <c r="AA159" t="str">
        <f>IF($A159=0,"",IF(VLOOKUP($A159,成就条件映射!$A$4:$D$66,3)=0,"",VLOOKUP($A159,成就条件映射!$A$4:$D$66,3)))</f>
        <v>&lt;color=#ffc766&gt;不败誓言&lt;/color&gt;技能累计&lt;color=#ffc766&gt;治疗&lt;/color&gt;的士兵数</v>
      </c>
      <c r="AB159" t="str">
        <f>IF($A159=0,"",IF(VLOOKUP($A159,成就条件映射!$A$4:$D$66,4)=0,"",VLOOKUP($A159,成就条件映射!$A$4:$D$66,4)))</f>
        <v>当前累计治疗</v>
      </c>
    </row>
    <row r="160" spans="1:28" x14ac:dyDescent="0.3">
      <c r="B160" s="64" t="str">
        <f t="shared" si="15"/>
        <v/>
      </c>
      <c r="C160" s="64" t="str">
        <f>IF($A160=0,"",IF(VLOOKUP($A160,成就条件映射!$A$4:$D$66,2)=0,"",VLOOKUP($A160,成就条件映射!$A$4:$D$66,2)))</f>
        <v/>
      </c>
      <c r="D160" s="64" t="str">
        <f>IF($A160=0,"",IF(VLOOKUP($A160,成就条件映射!$A$4:$D$66,3)=0,"",VLOOKUP($A160,成就条件映射!$A$4:$D$66,3)))</f>
        <v/>
      </c>
      <c r="E160" s="64" t="str">
        <f>IF($A160=0,"",IF(VLOOKUP($A160,成就条件映射!$A$4:$D$66,4)=0,"",VLOOKUP($A160,成就条件映射!$A$4:$D$66,4)))</f>
        <v/>
      </c>
      <c r="I160" s="64">
        <f>A159*100+J160</f>
        <v>401202</v>
      </c>
      <c r="J160" s="64">
        <f t="shared" si="12"/>
        <v>2</v>
      </c>
      <c r="M160" t="str">
        <f t="shared" si="13"/>
        <v>achievementAccumulative{achieveId:4012,count:400000}</v>
      </c>
      <c r="N160" s="64" t="s">
        <v>115</v>
      </c>
      <c r="O160" s="64">
        <v>1707522</v>
      </c>
      <c r="Q160" s="64">
        <f t="shared" si="14"/>
        <v>4012</v>
      </c>
      <c r="R160" s="64">
        <v>400000</v>
      </c>
      <c r="W160" s="64">
        <v>4</v>
      </c>
      <c r="X160" s="64">
        <v>12</v>
      </c>
    </row>
    <row r="161" spans="1:28" x14ac:dyDescent="0.3">
      <c r="B161" s="64" t="str">
        <f t="shared" si="15"/>
        <v/>
      </c>
      <c r="C161" s="64" t="str">
        <f>IF($A161=0,"",IF(VLOOKUP($A161,成就条件映射!$A$4:$D$66,2)=0,"",VLOOKUP($A161,成就条件映射!$A$4:$D$66,2)))</f>
        <v/>
      </c>
      <c r="D161" s="64" t="str">
        <f>IF($A161=0,"",IF(VLOOKUP($A161,成就条件映射!$A$4:$D$66,3)=0,"",VLOOKUP($A161,成就条件映射!$A$4:$D$66,3)))</f>
        <v/>
      </c>
      <c r="E161" s="64" t="str">
        <f>IF($A161=0,"",IF(VLOOKUP($A161,成就条件映射!$A$4:$D$66,4)=0,"",VLOOKUP($A161,成就条件映射!$A$4:$D$66,4)))</f>
        <v/>
      </c>
      <c r="I161" s="64">
        <f>A159*100+J161</f>
        <v>401203</v>
      </c>
      <c r="J161" s="64">
        <f t="shared" si="12"/>
        <v>3</v>
      </c>
      <c r="M161" t="str">
        <f t="shared" si="13"/>
        <v>achievementAccumulative{achieveId:4012,count:2000000}</v>
      </c>
      <c r="N161" s="64" t="s">
        <v>115</v>
      </c>
      <c r="O161" s="64">
        <v>1707523</v>
      </c>
      <c r="Q161" s="64">
        <f t="shared" si="14"/>
        <v>4012</v>
      </c>
      <c r="R161" s="64">
        <v>2000000</v>
      </c>
      <c r="W161" s="64">
        <v>4</v>
      </c>
      <c r="X161" s="64">
        <v>12</v>
      </c>
    </row>
    <row r="162" spans="1:28" x14ac:dyDescent="0.3">
      <c r="B162" s="64" t="str">
        <f t="shared" si="15"/>
        <v/>
      </c>
      <c r="C162" s="64" t="str">
        <f>IF($A162=0,"",IF(VLOOKUP($A162,成就条件映射!$A$4:$D$66,2)=0,"",VLOOKUP($A162,成就条件映射!$A$4:$D$66,2)))</f>
        <v/>
      </c>
      <c r="D162" s="64" t="str">
        <f>IF($A162=0,"",IF(VLOOKUP($A162,成就条件映射!$A$4:$D$66,3)=0,"",VLOOKUP($A162,成就条件映射!$A$4:$D$66,3)))</f>
        <v/>
      </c>
      <c r="E162" s="64" t="str">
        <f>IF($A162=0,"",IF(VLOOKUP($A162,成就条件映射!$A$4:$D$66,4)=0,"",VLOOKUP($A162,成就条件映射!$A$4:$D$66,4)))</f>
        <v/>
      </c>
      <c r="I162" s="64">
        <f>A159*100+J162</f>
        <v>401204</v>
      </c>
      <c r="J162" s="64">
        <f t="shared" si="12"/>
        <v>4</v>
      </c>
      <c r="M162" t="str">
        <f t="shared" si="13"/>
        <v>achievementAccumulative{achieveId:4012,count:4000000}</v>
      </c>
      <c r="N162" s="64" t="s">
        <v>115</v>
      </c>
      <c r="O162" s="64">
        <v>1707524</v>
      </c>
      <c r="Q162" s="64">
        <f t="shared" si="14"/>
        <v>4012</v>
      </c>
      <c r="R162" s="64">
        <v>4000000</v>
      </c>
      <c r="W162" s="64">
        <v>4</v>
      </c>
      <c r="X162" s="64">
        <v>12</v>
      </c>
    </row>
    <row r="163" spans="1:28" x14ac:dyDescent="0.3">
      <c r="B163" s="64" t="str">
        <f t="shared" si="15"/>
        <v/>
      </c>
      <c r="C163" s="64" t="str">
        <f>IF($A163=0,"",IF(VLOOKUP($A163,成就条件映射!$A$4:$D$66,2)=0,"",VLOOKUP($A163,成就条件映射!$A$4:$D$66,2)))</f>
        <v/>
      </c>
      <c r="D163" s="64" t="str">
        <f>IF($A163=0,"",IF(VLOOKUP($A163,成就条件映射!$A$4:$D$66,3)=0,"",VLOOKUP($A163,成就条件映射!$A$4:$D$66,3)))</f>
        <v/>
      </c>
      <c r="E163" s="64" t="str">
        <f>IF($A163=0,"",IF(VLOOKUP($A163,成就条件映射!$A$4:$D$66,4)=0,"",VLOOKUP($A163,成就条件映射!$A$4:$D$66,4)))</f>
        <v/>
      </c>
      <c r="I163" s="64">
        <f>A159*100+J163</f>
        <v>401205</v>
      </c>
      <c r="J163" s="64">
        <f t="shared" si="12"/>
        <v>5</v>
      </c>
      <c r="M163" t="str">
        <f t="shared" si="13"/>
        <v>achievementAccumulative{achieveId:4012,count:9000000}</v>
      </c>
      <c r="N163" s="64" t="s">
        <v>115</v>
      </c>
      <c r="O163" s="64">
        <v>1707525</v>
      </c>
      <c r="Q163" s="64">
        <f t="shared" si="14"/>
        <v>4012</v>
      </c>
      <c r="R163" s="64">
        <v>9000000</v>
      </c>
      <c r="W163" s="64">
        <v>4</v>
      </c>
      <c r="X163" s="64">
        <v>12</v>
      </c>
    </row>
    <row r="164" spans="1:28" x14ac:dyDescent="0.3">
      <c r="A164" s="64">
        <f>W164*1000+X164</f>
        <v>4013</v>
      </c>
      <c r="C164" s="64" t="str">
        <f>IF($A164=0,"",IF(VLOOKUP($A164,成就条件映射!$A$4:$D$66,2)=0,"",VLOOKUP($A164,成就条件映射!$A$4:$D$66,2)))</f>
        <v/>
      </c>
      <c r="D164" s="64" t="str">
        <f>IF($A164=0,"",IF(VLOOKUP($A164,成就条件映射!$A$4:$D$66,3)=0,"",VLOOKUP($A164,成就条件映射!$A$4:$D$66,3)))</f>
        <v/>
      </c>
      <c r="E164" s="64" t="str">
        <f>IF($A164=0,"",IF(VLOOKUP($A164,成就条件映射!$A$4:$D$66,4)=0,"",VLOOKUP($A164,成就条件映射!$A$4:$D$66,4)))</f>
        <v/>
      </c>
      <c r="F164" s="64">
        <v>2</v>
      </c>
      <c r="G164" s="64" t="s">
        <v>114</v>
      </c>
      <c r="H164" s="64" t="str">
        <f>"icon_silver_"&amp;Y164</f>
        <v>icon_silver_</v>
      </c>
      <c r="I164" s="64">
        <f>A164*100+J164</f>
        <v>401301</v>
      </c>
      <c r="J164" s="64">
        <f t="shared" si="12"/>
        <v>1</v>
      </c>
      <c r="M164" t="str">
        <f t="shared" si="13"/>
        <v>achievementAccumulative{achieveId:4013,count:1}</v>
      </c>
      <c r="N164" s="64" t="s">
        <v>115</v>
      </c>
      <c r="O164" s="64">
        <v>1707521</v>
      </c>
      <c r="Q164" s="64">
        <f t="shared" si="14"/>
        <v>4013</v>
      </c>
      <c r="R164" s="64">
        <v>1</v>
      </c>
      <c r="W164" s="64">
        <v>4</v>
      </c>
      <c r="X164" s="64">
        <v>13</v>
      </c>
    </row>
    <row r="165" spans="1:28" x14ac:dyDescent="0.3">
      <c r="C165" s="64" t="str">
        <f>IF($A165=0,"",IF(VLOOKUP($A165,成就条件映射!$A$4:$D$66,2)=0,"",VLOOKUP($A165,成就条件映射!$A$4:$D$66,2)))</f>
        <v/>
      </c>
      <c r="D165" s="64" t="str">
        <f>IF($A165=0,"",IF(VLOOKUP($A165,成就条件映射!$A$4:$D$66,3)=0,"",VLOOKUP($A165,成就条件映射!$A$4:$D$66,3)))</f>
        <v/>
      </c>
      <c r="E165" s="64" t="str">
        <f>IF($A165=0,"",IF(VLOOKUP($A165,成就条件映射!$A$4:$D$66,4)=0,"",VLOOKUP($A165,成就条件映射!$A$4:$D$66,4)))</f>
        <v/>
      </c>
      <c r="I165" s="64">
        <f>A164*100+J165</f>
        <v>401302</v>
      </c>
      <c r="J165" s="64">
        <f t="shared" si="12"/>
        <v>2</v>
      </c>
      <c r="M165" t="str">
        <f t="shared" si="13"/>
        <v>achievementAccumulative{achieveId:4013,count:2}</v>
      </c>
      <c r="N165" s="64" t="s">
        <v>115</v>
      </c>
      <c r="O165" s="64">
        <v>1707522</v>
      </c>
      <c r="Q165" s="64">
        <f t="shared" si="14"/>
        <v>4013</v>
      </c>
      <c r="R165" s="64">
        <v>2</v>
      </c>
      <c r="W165" s="64">
        <v>4</v>
      </c>
      <c r="X165" s="64">
        <v>13</v>
      </c>
    </row>
    <row r="166" spans="1:28" x14ac:dyDescent="0.3">
      <c r="B166" s="64" t="str">
        <f t="shared" ref="B166:B177" si="16">IF(A166=0,"",INT(A166/1000))</f>
        <v/>
      </c>
      <c r="C166" s="64" t="str">
        <f>IF($A166=0,"",IF(VLOOKUP($A166,成就条件映射!$A$4:$D$66,2)=0,"",VLOOKUP($A166,成就条件映射!$A$4:$D$66,2)))</f>
        <v/>
      </c>
      <c r="D166" s="64" t="str">
        <f>IF($A166=0,"",IF(VLOOKUP($A166,成就条件映射!$A$4:$D$66,3)=0,"",VLOOKUP($A166,成就条件映射!$A$4:$D$66,3)))</f>
        <v/>
      </c>
      <c r="E166" s="64" t="str">
        <f>IF($A166=0,"",IF(VLOOKUP($A166,成就条件映射!$A$4:$D$66,4)=0,"",VLOOKUP($A166,成就条件映射!$A$4:$D$66,4)))</f>
        <v/>
      </c>
      <c r="I166" s="64">
        <f>A164*100+J166</f>
        <v>401303</v>
      </c>
      <c r="J166" s="64">
        <f t="shared" si="12"/>
        <v>3</v>
      </c>
      <c r="M166" t="str">
        <f t="shared" si="13"/>
        <v>achievementAccumulative{achieveId:4013,count:3}</v>
      </c>
      <c r="N166" s="64" t="s">
        <v>115</v>
      </c>
      <c r="O166" s="64">
        <v>1707523</v>
      </c>
      <c r="Q166" s="64">
        <f t="shared" si="14"/>
        <v>4013</v>
      </c>
      <c r="R166" s="64">
        <v>3</v>
      </c>
      <c r="W166" s="64">
        <v>4</v>
      </c>
      <c r="X166" s="64">
        <v>13</v>
      </c>
    </row>
    <row r="167" spans="1:28" x14ac:dyDescent="0.3">
      <c r="B167" s="64" t="str">
        <f t="shared" si="16"/>
        <v/>
      </c>
      <c r="C167" s="64" t="str">
        <f>IF($A167=0,"",IF(VLOOKUP($A167,成就条件映射!$A$4:$D$66,2)=0,"",VLOOKUP($A167,成就条件映射!$A$4:$D$66,2)))</f>
        <v/>
      </c>
      <c r="D167" s="64" t="str">
        <f>IF($A167=0,"",IF(VLOOKUP($A167,成就条件映射!$A$4:$D$66,3)=0,"",VLOOKUP($A167,成就条件映射!$A$4:$D$66,3)))</f>
        <v/>
      </c>
      <c r="E167" s="64" t="str">
        <f>IF($A167=0,"",IF(VLOOKUP($A167,成就条件映射!$A$4:$D$66,4)=0,"",VLOOKUP($A167,成就条件映射!$A$4:$D$66,4)))</f>
        <v/>
      </c>
      <c r="I167" s="64">
        <f>A164*100+J167</f>
        <v>401304</v>
      </c>
      <c r="J167" s="64">
        <f t="shared" si="12"/>
        <v>4</v>
      </c>
      <c r="M167" t="str">
        <f t="shared" si="13"/>
        <v>achievementAccumulative{achieveId:4013,count:4}</v>
      </c>
      <c r="N167" s="64" t="s">
        <v>115</v>
      </c>
      <c r="O167" s="64">
        <v>1707524</v>
      </c>
      <c r="Q167" s="64">
        <f t="shared" si="14"/>
        <v>4013</v>
      </c>
      <c r="R167" s="64">
        <v>4</v>
      </c>
      <c r="W167" s="64">
        <v>4</v>
      </c>
      <c r="X167" s="64">
        <v>13</v>
      </c>
    </row>
    <row r="168" spans="1:28" x14ac:dyDescent="0.3">
      <c r="B168" s="64" t="str">
        <f t="shared" si="16"/>
        <v/>
      </c>
      <c r="C168" s="64" t="str">
        <f>IF($A168=0,"",IF(VLOOKUP($A168,成就条件映射!$A$4:$D$66,2)=0,"",VLOOKUP($A168,成就条件映射!$A$4:$D$66,2)))</f>
        <v/>
      </c>
      <c r="D168" s="64" t="str">
        <f>IF($A168=0,"",IF(VLOOKUP($A168,成就条件映射!$A$4:$D$66,3)=0,"",VLOOKUP($A168,成就条件映射!$A$4:$D$66,3)))</f>
        <v/>
      </c>
      <c r="E168" s="64" t="str">
        <f>IF($A168=0,"",IF(VLOOKUP($A168,成就条件映射!$A$4:$D$66,4)=0,"",VLOOKUP($A168,成就条件映射!$A$4:$D$66,4)))</f>
        <v/>
      </c>
      <c r="I168" s="64">
        <f>A164*100+J168</f>
        <v>401305</v>
      </c>
      <c r="J168" s="64">
        <f t="shared" si="12"/>
        <v>5</v>
      </c>
      <c r="M168" t="str">
        <f t="shared" si="13"/>
        <v>achievementAccumulative{achieveId:4013,count:5}</v>
      </c>
      <c r="N168" s="64" t="s">
        <v>115</v>
      </c>
      <c r="O168" s="64">
        <v>1707525</v>
      </c>
      <c r="Q168" s="64">
        <f t="shared" si="14"/>
        <v>4013</v>
      </c>
      <c r="R168" s="64">
        <v>5</v>
      </c>
      <c r="W168" s="64">
        <v>4</v>
      </c>
      <c r="X168" s="64">
        <v>13</v>
      </c>
    </row>
    <row r="169" spans="1:28" x14ac:dyDescent="0.3">
      <c r="A169" s="64">
        <f>W169*1000+X169</f>
        <v>4021</v>
      </c>
      <c r="B169" s="64">
        <f t="shared" si="16"/>
        <v>4</v>
      </c>
      <c r="C169" s="64" t="s">
        <v>178</v>
      </c>
      <c r="D169" s="64" t="s">
        <v>179</v>
      </c>
      <c r="E169" s="64" t="s">
        <v>113</v>
      </c>
      <c r="F169" s="64">
        <v>3</v>
      </c>
      <c r="G169" s="64" t="s">
        <v>114</v>
      </c>
      <c r="H169" s="64" t="str">
        <f>"icon_kim_"&amp;Y169</f>
        <v>icon_kim_04</v>
      </c>
      <c r="I169" s="64">
        <f>A169*100+J169</f>
        <v>402101</v>
      </c>
      <c r="J169" s="64">
        <f t="shared" si="12"/>
        <v>1</v>
      </c>
      <c r="M169" t="str">
        <f t="shared" si="13"/>
        <v>achievementAccumulative{achieveId:4021,count:4000}</v>
      </c>
      <c r="N169" s="64" t="s">
        <v>115</v>
      </c>
      <c r="O169" s="64">
        <v>1707531</v>
      </c>
      <c r="Q169" s="64">
        <f t="shared" si="14"/>
        <v>4021</v>
      </c>
      <c r="R169" s="64">
        <v>4000</v>
      </c>
      <c r="W169" s="64">
        <v>4</v>
      </c>
      <c r="X169" s="64">
        <v>21</v>
      </c>
      <c r="Y169" s="66" t="s">
        <v>122</v>
      </c>
      <c r="Z169" t="str">
        <f>IF($A169=0,"",IF(VLOOKUP($A169,成就条件映射!$A$4:$D$66,2)=0,"",VLOOKUP($A169,成就条件映射!$A$4:$D$66,2)))</f>
        <v>谁在打我？</v>
      </c>
      <c r="AA169" t="str">
        <f>IF($A169=0,"",IF(VLOOKUP($A169,成就条件映射!$A$4:$D$66,3)=0,"",VLOOKUP($A169,成就条件映射!$A$4:$D$66,3)))</f>
        <v>&lt;color=#ffc766&gt;30秒&lt;/color&gt;内，我方部队使用&lt;color=#ffc766&gt;反击&lt;/color&gt;类技能累计造成的&lt;color=#ffc766&gt;最大伤害量&lt;/color&gt;</v>
      </c>
      <c r="AB169" t="str">
        <f>IF($A169=0,"",IF(VLOOKUP($A169,成就条件映射!$A$4:$D$66,4)=0,"",VLOOKUP($A169,成就条件映射!$A$4:$D$66,4)))</f>
        <v>当前累计伤害</v>
      </c>
    </row>
    <row r="170" spans="1:28" x14ac:dyDescent="0.3">
      <c r="B170" s="64" t="str">
        <f t="shared" si="16"/>
        <v/>
      </c>
      <c r="C170" s="64" t="str">
        <f>IF($A170=0,"",IF(VLOOKUP($A170,成就条件映射!$A$4:$D$66,2)=0,"",VLOOKUP($A170,成就条件映射!$A$4:$D$66,2)))</f>
        <v/>
      </c>
      <c r="D170" s="64" t="str">
        <f>IF($A170=0,"",IF(VLOOKUP($A170,成就条件映射!$A$4:$D$66,3)=0,"",VLOOKUP($A170,成就条件映射!$A$4:$D$66,3)))</f>
        <v/>
      </c>
      <c r="E170" s="64" t="str">
        <f>IF($A170=0,"",IF(VLOOKUP($A170,成就条件映射!$A$4:$D$66,4)=0,"",VLOOKUP($A170,成就条件映射!$A$4:$D$66,4)))</f>
        <v/>
      </c>
      <c r="I170" s="64">
        <f>A169*100+J170</f>
        <v>402102</v>
      </c>
      <c r="J170" s="64">
        <f t="shared" si="12"/>
        <v>2</v>
      </c>
      <c r="M170" t="str">
        <f t="shared" si="13"/>
        <v>achievementAccumulative{achieveId:4021,count:10000}</v>
      </c>
      <c r="N170" s="64" t="s">
        <v>115</v>
      </c>
      <c r="O170" s="64">
        <v>1707532</v>
      </c>
      <c r="Q170" s="64">
        <f t="shared" si="14"/>
        <v>4021</v>
      </c>
      <c r="R170" s="64">
        <v>10000</v>
      </c>
      <c r="W170" s="64">
        <v>4</v>
      </c>
      <c r="X170" s="64">
        <v>21</v>
      </c>
    </row>
    <row r="171" spans="1:28" x14ac:dyDescent="0.3">
      <c r="B171" s="64" t="str">
        <f t="shared" si="16"/>
        <v/>
      </c>
      <c r="C171" s="64" t="str">
        <f>IF($A171=0,"",IF(VLOOKUP($A171,成就条件映射!$A$4:$D$66,2)=0,"",VLOOKUP($A171,成就条件映射!$A$4:$D$66,2)))</f>
        <v/>
      </c>
      <c r="D171" s="64" t="str">
        <f>IF($A171=0,"",IF(VLOOKUP($A171,成就条件映射!$A$4:$D$66,3)=0,"",VLOOKUP($A171,成就条件映射!$A$4:$D$66,3)))</f>
        <v/>
      </c>
      <c r="E171" s="64" t="str">
        <f>IF($A171=0,"",IF(VLOOKUP($A171,成就条件映射!$A$4:$D$66,4)=0,"",VLOOKUP($A171,成就条件映射!$A$4:$D$66,4)))</f>
        <v/>
      </c>
      <c r="I171" s="64">
        <f>A169*100+J171</f>
        <v>402103</v>
      </c>
      <c r="J171" s="64">
        <f t="shared" si="12"/>
        <v>3</v>
      </c>
      <c r="M171" t="str">
        <f t="shared" si="13"/>
        <v>achievementAccumulative{achieveId:4021,count:29000}</v>
      </c>
      <c r="N171" s="64" t="s">
        <v>115</v>
      </c>
      <c r="O171" s="64">
        <v>1707533</v>
      </c>
      <c r="Q171" s="64">
        <f t="shared" si="14"/>
        <v>4021</v>
      </c>
      <c r="R171" s="64">
        <v>29000</v>
      </c>
      <c r="W171" s="64">
        <v>4</v>
      </c>
      <c r="X171" s="64">
        <v>21</v>
      </c>
    </row>
    <row r="172" spans="1:28" x14ac:dyDescent="0.3">
      <c r="B172" s="64" t="str">
        <f t="shared" si="16"/>
        <v/>
      </c>
      <c r="C172" s="64" t="str">
        <f>IF($A172=0,"",IF(VLOOKUP($A172,成就条件映射!$A$4:$D$66,2)=0,"",VLOOKUP($A172,成就条件映射!$A$4:$D$66,2)))</f>
        <v/>
      </c>
      <c r="D172" s="64" t="str">
        <f>IF($A172=0,"",IF(VLOOKUP($A172,成就条件映射!$A$4:$D$66,3)=0,"",VLOOKUP($A172,成就条件映射!$A$4:$D$66,3)))</f>
        <v/>
      </c>
      <c r="E172" s="64" t="str">
        <f>IF($A172=0,"",IF(VLOOKUP($A172,成就条件映射!$A$4:$D$66,4)=0,"",VLOOKUP($A172,成就条件映射!$A$4:$D$66,4)))</f>
        <v/>
      </c>
      <c r="I172" s="64">
        <f>A169*100+J172</f>
        <v>402104</v>
      </c>
      <c r="J172" s="64">
        <f t="shared" si="12"/>
        <v>4</v>
      </c>
      <c r="M172" t="str">
        <f t="shared" si="13"/>
        <v>achievementAccumulative{achieveId:4021,count:45000}</v>
      </c>
      <c r="N172" s="64" t="s">
        <v>115</v>
      </c>
      <c r="O172" s="64">
        <v>1707534</v>
      </c>
      <c r="Q172" s="64">
        <f t="shared" si="14"/>
        <v>4021</v>
      </c>
      <c r="R172" s="64">
        <v>45000</v>
      </c>
      <c r="W172" s="64">
        <v>4</v>
      </c>
      <c r="X172" s="64">
        <v>21</v>
      </c>
    </row>
    <row r="173" spans="1:28" x14ac:dyDescent="0.3">
      <c r="B173" s="64" t="str">
        <f t="shared" si="16"/>
        <v/>
      </c>
      <c r="C173" s="64" t="str">
        <f>IF($A173=0,"",IF(VLOOKUP($A173,成就条件映射!$A$4:$D$66,2)=0,"",VLOOKUP($A173,成就条件映射!$A$4:$D$66,2)))</f>
        <v/>
      </c>
      <c r="D173" s="64" t="str">
        <f>IF($A173=0,"",IF(VLOOKUP($A173,成就条件映射!$A$4:$D$66,3)=0,"",VLOOKUP($A173,成就条件映射!$A$4:$D$66,3)))</f>
        <v/>
      </c>
      <c r="E173" s="64" t="str">
        <f>IF($A173=0,"",IF(VLOOKUP($A173,成就条件映射!$A$4:$D$66,4)=0,"",VLOOKUP($A173,成就条件映射!$A$4:$D$66,4)))</f>
        <v/>
      </c>
      <c r="I173" s="64">
        <f>A169*100+J173</f>
        <v>402105</v>
      </c>
      <c r="J173" s="64">
        <f t="shared" si="12"/>
        <v>5</v>
      </c>
      <c r="M173" t="str">
        <f t="shared" si="13"/>
        <v>achievementAccumulative{achieveId:4021,count:66000}</v>
      </c>
      <c r="N173" s="64" t="s">
        <v>115</v>
      </c>
      <c r="O173" s="64">
        <v>1707535</v>
      </c>
      <c r="Q173" s="64">
        <f t="shared" si="14"/>
        <v>4021</v>
      </c>
      <c r="R173" s="64">
        <v>66000</v>
      </c>
      <c r="W173" s="64">
        <v>4</v>
      </c>
      <c r="X173" s="64">
        <v>21</v>
      </c>
    </row>
    <row r="174" spans="1:28" x14ac:dyDescent="0.3">
      <c r="A174" s="64">
        <f>W174*1000+X174</f>
        <v>4022</v>
      </c>
      <c r="B174" s="64">
        <f t="shared" si="16"/>
        <v>4</v>
      </c>
      <c r="C174" s="64" t="s">
        <v>180</v>
      </c>
      <c r="D174" s="64" t="s">
        <v>181</v>
      </c>
      <c r="E174" s="64" t="s">
        <v>128</v>
      </c>
      <c r="F174" s="64">
        <v>3</v>
      </c>
      <c r="G174" s="64" t="s">
        <v>114</v>
      </c>
      <c r="H174" s="64" t="str">
        <f>"icon_kim_"&amp;Y174</f>
        <v>icon_kim_10</v>
      </c>
      <c r="I174" s="64">
        <f>A174*100+J174</f>
        <v>402201</v>
      </c>
      <c r="J174" s="64">
        <f t="shared" si="12"/>
        <v>1</v>
      </c>
      <c r="M174" t="str">
        <f t="shared" si="13"/>
        <v>achievementAccumulative{achieveId:4022,count:1300}</v>
      </c>
      <c r="N174" s="64" t="s">
        <v>115</v>
      </c>
      <c r="O174" s="64">
        <v>1707531</v>
      </c>
      <c r="Q174" s="64">
        <f t="shared" si="14"/>
        <v>4022</v>
      </c>
      <c r="R174" s="64">
        <v>1300</v>
      </c>
      <c r="W174" s="64">
        <v>4</v>
      </c>
      <c r="X174" s="64">
        <v>22</v>
      </c>
      <c r="Y174" s="66" t="s">
        <v>119</v>
      </c>
      <c r="Z174" t="str">
        <f>IF($A174=0,"",IF(VLOOKUP($A174,成就条件映射!$A$4:$D$66,2)=0,"",VLOOKUP($A174,成就条件映射!$A$4:$D$66,2)))</f>
        <v>绝处逢生</v>
      </c>
      <c r="AA174" t="str">
        <f>IF($A174=0,"",IF(VLOOKUP($A174,成就条件映射!$A$4:$D$66,3)=0,"",VLOOKUP($A174,成就条件映射!$A$4:$D$66,3)))</f>
        <v>我方部队使用&lt;color=#ffc766&gt;被动技能&lt;/color&gt;造成的&lt;color=#ffc766&gt;单次最大伤害量&lt;/color&gt;</v>
      </c>
    </row>
    <row r="175" spans="1:28" x14ac:dyDescent="0.3">
      <c r="B175" s="64" t="str">
        <f t="shared" si="16"/>
        <v/>
      </c>
      <c r="C175" s="64" t="str">
        <f>IF($A175=0,"",IF(VLOOKUP($A175,成就条件映射!$A$4:$D$66,2)=0,"",VLOOKUP($A175,成就条件映射!$A$4:$D$66,2)))</f>
        <v/>
      </c>
      <c r="D175" s="64" t="str">
        <f>IF($A175=0,"",IF(VLOOKUP($A175,成就条件映射!$A$4:$D$66,3)=0,"",VLOOKUP($A175,成就条件映射!$A$4:$D$66,3)))</f>
        <v/>
      </c>
      <c r="E175" s="64" t="str">
        <f>IF($A175=0,"",IF(VLOOKUP($A175,成就条件映射!$A$4:$D$66,4)=0,"",VLOOKUP($A175,成就条件映射!$A$4:$D$66,4)))</f>
        <v/>
      </c>
      <c r="I175" s="64">
        <f>A174*100+J175</f>
        <v>402202</v>
      </c>
      <c r="J175" s="64">
        <f t="shared" si="12"/>
        <v>2</v>
      </c>
      <c r="M175" t="str">
        <f t="shared" si="13"/>
        <v>achievementAccumulative{achieveId:4022,count:3800}</v>
      </c>
      <c r="N175" s="64" t="s">
        <v>115</v>
      </c>
      <c r="O175" s="64">
        <v>1707532</v>
      </c>
      <c r="Q175" s="64">
        <f t="shared" si="14"/>
        <v>4022</v>
      </c>
      <c r="R175" s="64">
        <v>3800</v>
      </c>
      <c r="W175" s="64">
        <v>4</v>
      </c>
      <c r="X175" s="64">
        <v>22</v>
      </c>
    </row>
    <row r="176" spans="1:28" x14ac:dyDescent="0.3">
      <c r="B176" s="64" t="str">
        <f t="shared" si="16"/>
        <v/>
      </c>
      <c r="C176" s="64" t="str">
        <f>IF($A176=0,"",IF(VLOOKUP($A176,成就条件映射!$A$4:$D$66,2)=0,"",VLOOKUP($A176,成就条件映射!$A$4:$D$66,2)))</f>
        <v/>
      </c>
      <c r="D176" s="64" t="str">
        <f>IF($A176=0,"",IF(VLOOKUP($A176,成就条件映射!$A$4:$D$66,3)=0,"",VLOOKUP($A176,成就条件映射!$A$4:$D$66,3)))</f>
        <v/>
      </c>
      <c r="E176" s="64" t="str">
        <f>IF($A176=0,"",IF(VLOOKUP($A176,成就条件映射!$A$4:$D$66,4)=0,"",VLOOKUP($A176,成就条件映射!$A$4:$D$66,4)))</f>
        <v/>
      </c>
      <c r="I176" s="64">
        <f>A174*100+J176</f>
        <v>402203</v>
      </c>
      <c r="J176" s="64">
        <f t="shared" si="12"/>
        <v>3</v>
      </c>
      <c r="M176" t="str">
        <f t="shared" si="13"/>
        <v>achievementAccumulative{achieveId:4022,count:4400}</v>
      </c>
      <c r="N176" s="64" t="s">
        <v>115</v>
      </c>
      <c r="O176" s="64">
        <v>1707533</v>
      </c>
      <c r="Q176" s="64">
        <f t="shared" si="14"/>
        <v>4022</v>
      </c>
      <c r="R176" s="64">
        <v>4400</v>
      </c>
      <c r="W176" s="64">
        <v>4</v>
      </c>
      <c r="X176" s="64">
        <v>22</v>
      </c>
    </row>
    <row r="177" spans="1:28" x14ac:dyDescent="0.3">
      <c r="B177" s="64" t="str">
        <f t="shared" si="16"/>
        <v/>
      </c>
      <c r="C177" s="64" t="str">
        <f>IF($A177=0,"",IF(VLOOKUP($A177,成就条件映射!$A$4:$D$66,2)=0,"",VLOOKUP($A177,成就条件映射!$A$4:$D$66,2)))</f>
        <v/>
      </c>
      <c r="D177" s="64" t="str">
        <f>IF($A177=0,"",IF(VLOOKUP($A177,成就条件映射!$A$4:$D$66,3)=0,"",VLOOKUP($A177,成就条件映射!$A$4:$D$66,3)))</f>
        <v/>
      </c>
      <c r="E177" s="64" t="str">
        <f>IF($A177=0,"",IF(VLOOKUP($A177,成就条件映射!$A$4:$D$66,4)=0,"",VLOOKUP($A177,成就条件映射!$A$4:$D$66,4)))</f>
        <v/>
      </c>
      <c r="I177" s="64">
        <f>A174*100+J177</f>
        <v>402204</v>
      </c>
      <c r="J177" s="64">
        <f t="shared" si="12"/>
        <v>4</v>
      </c>
      <c r="M177" t="str">
        <f t="shared" si="13"/>
        <v>achievementAccumulative{achieveId:4022,count:5700}</v>
      </c>
      <c r="N177" s="64" t="s">
        <v>115</v>
      </c>
      <c r="O177" s="64">
        <v>1707534</v>
      </c>
      <c r="Q177" s="64">
        <f t="shared" si="14"/>
        <v>4022</v>
      </c>
      <c r="R177" s="64">
        <v>5700</v>
      </c>
      <c r="W177" s="64">
        <v>4</v>
      </c>
      <c r="X177" s="64">
        <v>22</v>
      </c>
    </row>
    <row r="178" spans="1:28" x14ac:dyDescent="0.3">
      <c r="C178" s="64" t="str">
        <f>IF($A178=0,"",IF(VLOOKUP($A178,成就条件映射!$A$4:$D$66,2)=0,"",VLOOKUP($A178,成就条件映射!$A$4:$D$66,2)))</f>
        <v/>
      </c>
      <c r="D178" s="64" t="str">
        <f>IF($A178=0,"",IF(VLOOKUP($A178,成就条件映射!$A$4:$D$66,3)=0,"",VLOOKUP($A178,成就条件映射!$A$4:$D$66,3)))</f>
        <v/>
      </c>
      <c r="E178" s="64" t="str">
        <f>IF($A178=0,"",IF(VLOOKUP($A178,成就条件映射!$A$4:$D$66,4)=0,"",VLOOKUP($A178,成就条件映射!$A$4:$D$66,4)))</f>
        <v/>
      </c>
      <c r="I178" s="64">
        <f>A174*100+J178</f>
        <v>402205</v>
      </c>
      <c r="J178" s="64">
        <f t="shared" si="12"/>
        <v>5</v>
      </c>
      <c r="M178" t="str">
        <f t="shared" si="13"/>
        <v>achievementAccumulative{achieveId:4022,count:6300}</v>
      </c>
      <c r="N178" s="64" t="s">
        <v>115</v>
      </c>
      <c r="O178" s="64">
        <v>1707535</v>
      </c>
      <c r="Q178" s="64">
        <f t="shared" si="14"/>
        <v>4022</v>
      </c>
      <c r="R178" s="64">
        <v>6300</v>
      </c>
      <c r="W178" s="64">
        <v>4</v>
      </c>
      <c r="X178" s="64">
        <v>22</v>
      </c>
    </row>
    <row r="179" spans="1:28" x14ac:dyDescent="0.3">
      <c r="A179" s="64">
        <f>W179*1000+X179</f>
        <v>4023</v>
      </c>
      <c r="C179" s="64" t="str">
        <f>IF($A179=0,"",IF(VLOOKUP($A179,成就条件映射!$A$4:$D$66,2)=0,"",VLOOKUP($A179,成就条件映射!$A$4:$D$66,2)))</f>
        <v/>
      </c>
      <c r="D179" s="64" t="str">
        <f>IF($A179=0,"",IF(VLOOKUP($A179,成就条件映射!$A$4:$D$66,3)=0,"",VLOOKUP($A179,成就条件映射!$A$4:$D$66,3)))</f>
        <v/>
      </c>
      <c r="E179" s="64" t="str">
        <f>IF($A179=0,"",IF(VLOOKUP($A179,成就条件映射!$A$4:$D$66,4)=0,"",VLOOKUP($A179,成就条件映射!$A$4:$D$66,4)))</f>
        <v/>
      </c>
      <c r="F179" s="64">
        <v>3</v>
      </c>
      <c r="G179" s="64" t="s">
        <v>114</v>
      </c>
      <c r="H179" s="64" t="str">
        <f>"icon_kim_"&amp;Y179</f>
        <v>icon_kim_</v>
      </c>
      <c r="I179" s="64">
        <f>A179*100+J179</f>
        <v>402301</v>
      </c>
      <c r="J179" s="64">
        <f t="shared" si="12"/>
        <v>1</v>
      </c>
      <c r="M179" t="str">
        <f t="shared" si="13"/>
        <v>achievementAccumulative{achieveId:4023,count:1}</v>
      </c>
      <c r="N179" s="64" t="s">
        <v>115</v>
      </c>
      <c r="O179" s="64">
        <v>1707531</v>
      </c>
      <c r="Q179" s="64">
        <f t="shared" si="14"/>
        <v>4023</v>
      </c>
      <c r="R179" s="64">
        <v>1</v>
      </c>
      <c r="W179" s="64">
        <v>4</v>
      </c>
      <c r="X179" s="64">
        <v>23</v>
      </c>
    </row>
    <row r="180" spans="1:28" x14ac:dyDescent="0.3">
      <c r="C180" s="64" t="str">
        <f>IF($A180=0,"",IF(VLOOKUP($A180,成就条件映射!$A$4:$D$66,2)=0,"",VLOOKUP($A180,成就条件映射!$A$4:$D$66,2)))</f>
        <v/>
      </c>
      <c r="D180" s="64" t="str">
        <f>IF($A180=0,"",IF(VLOOKUP($A180,成就条件映射!$A$4:$D$66,3)=0,"",VLOOKUP($A180,成就条件映射!$A$4:$D$66,3)))</f>
        <v/>
      </c>
      <c r="E180" s="64" t="str">
        <f>IF($A180=0,"",IF(VLOOKUP($A180,成就条件映射!$A$4:$D$66,4)=0,"",VLOOKUP($A180,成就条件映射!$A$4:$D$66,4)))</f>
        <v/>
      </c>
      <c r="I180" s="64">
        <f>A179*100+J180</f>
        <v>402302</v>
      </c>
      <c r="J180" s="64">
        <f t="shared" si="12"/>
        <v>2</v>
      </c>
      <c r="M180" t="str">
        <f t="shared" si="13"/>
        <v>achievementAccumulative{achieveId:4023,count:2}</v>
      </c>
      <c r="N180" s="64" t="s">
        <v>115</v>
      </c>
      <c r="O180" s="64">
        <v>1707532</v>
      </c>
      <c r="Q180" s="64">
        <f t="shared" si="14"/>
        <v>4023</v>
      </c>
      <c r="R180" s="64">
        <v>2</v>
      </c>
      <c r="W180" s="64">
        <v>4</v>
      </c>
      <c r="X180" s="64">
        <v>23</v>
      </c>
    </row>
    <row r="181" spans="1:28" x14ac:dyDescent="0.3">
      <c r="B181" s="64" t="str">
        <f t="shared" ref="B181:B207" si="17">IF(A181=0,"",INT(A181/1000))</f>
        <v/>
      </c>
      <c r="C181" s="64" t="str">
        <f>IF($A181=0,"",IF(VLOOKUP($A181,成就条件映射!$A$4:$D$66,2)=0,"",VLOOKUP($A181,成就条件映射!$A$4:$D$66,2)))</f>
        <v/>
      </c>
      <c r="D181" s="64" t="str">
        <f>IF($A181=0,"",IF(VLOOKUP($A181,成就条件映射!$A$4:$D$66,3)=0,"",VLOOKUP($A181,成就条件映射!$A$4:$D$66,3)))</f>
        <v/>
      </c>
      <c r="E181" s="64" t="str">
        <f>IF($A181=0,"",IF(VLOOKUP($A181,成就条件映射!$A$4:$D$66,4)=0,"",VLOOKUP($A181,成就条件映射!$A$4:$D$66,4)))</f>
        <v/>
      </c>
      <c r="I181" s="64">
        <f>A179*100+J181</f>
        <v>402303</v>
      </c>
      <c r="J181" s="64">
        <f t="shared" si="12"/>
        <v>3</v>
      </c>
      <c r="M181" t="str">
        <f t="shared" si="13"/>
        <v>achievementAccumulative{achieveId:4023,count:3}</v>
      </c>
      <c r="N181" s="64" t="s">
        <v>115</v>
      </c>
      <c r="O181" s="64">
        <v>1707533</v>
      </c>
      <c r="Q181" s="64">
        <f t="shared" si="14"/>
        <v>4023</v>
      </c>
      <c r="R181" s="64">
        <v>3</v>
      </c>
      <c r="W181" s="64">
        <v>4</v>
      </c>
      <c r="X181" s="64">
        <v>23</v>
      </c>
    </row>
    <row r="182" spans="1:28" x14ac:dyDescent="0.3">
      <c r="B182" s="64" t="str">
        <f t="shared" si="17"/>
        <v/>
      </c>
      <c r="C182" s="64" t="str">
        <f>IF($A182=0,"",IF(VLOOKUP($A182,成就条件映射!$A$4:$D$66,2)=0,"",VLOOKUP($A182,成就条件映射!$A$4:$D$66,2)))</f>
        <v/>
      </c>
      <c r="D182" s="64" t="str">
        <f>IF($A182=0,"",IF(VLOOKUP($A182,成就条件映射!$A$4:$D$66,3)=0,"",VLOOKUP($A182,成就条件映射!$A$4:$D$66,3)))</f>
        <v/>
      </c>
      <c r="E182" s="64" t="str">
        <f>IF($A182=0,"",IF(VLOOKUP($A182,成就条件映射!$A$4:$D$66,4)=0,"",VLOOKUP($A182,成就条件映射!$A$4:$D$66,4)))</f>
        <v/>
      </c>
      <c r="I182" s="64">
        <f>A179*100+J182</f>
        <v>402304</v>
      </c>
      <c r="J182" s="64">
        <f t="shared" si="12"/>
        <v>4</v>
      </c>
      <c r="M182" t="str">
        <f t="shared" si="13"/>
        <v>achievementAccumulative{achieveId:4023,count:4}</v>
      </c>
      <c r="N182" s="64" t="s">
        <v>115</v>
      </c>
      <c r="O182" s="64">
        <v>1707534</v>
      </c>
      <c r="Q182" s="64">
        <f t="shared" si="14"/>
        <v>4023</v>
      </c>
      <c r="R182" s="64">
        <v>4</v>
      </c>
      <c r="W182" s="64">
        <v>4</v>
      </c>
      <c r="X182" s="64">
        <v>23</v>
      </c>
    </row>
    <row r="183" spans="1:28" x14ac:dyDescent="0.3">
      <c r="B183" s="64" t="str">
        <f t="shared" si="17"/>
        <v/>
      </c>
      <c r="C183" s="64" t="str">
        <f>IF($A183=0,"",IF(VLOOKUP($A183,成就条件映射!$A$4:$D$66,2)=0,"",VLOOKUP($A183,成就条件映射!$A$4:$D$66,2)))</f>
        <v/>
      </c>
      <c r="D183" s="64" t="str">
        <f>IF($A183=0,"",IF(VLOOKUP($A183,成就条件映射!$A$4:$D$66,3)=0,"",VLOOKUP($A183,成就条件映射!$A$4:$D$66,3)))</f>
        <v/>
      </c>
      <c r="E183" s="64" t="str">
        <f>IF($A183=0,"",IF(VLOOKUP($A183,成就条件映射!$A$4:$D$66,4)=0,"",VLOOKUP($A183,成就条件映射!$A$4:$D$66,4)))</f>
        <v/>
      </c>
      <c r="I183" s="64">
        <f>A179*100+J183</f>
        <v>402305</v>
      </c>
      <c r="J183" s="64">
        <f t="shared" si="12"/>
        <v>5</v>
      </c>
      <c r="M183" t="str">
        <f t="shared" si="13"/>
        <v>achievementAccumulative{achieveId:4023,count:5}</v>
      </c>
      <c r="N183" s="64" t="s">
        <v>115</v>
      </c>
      <c r="O183" s="64">
        <v>1707535</v>
      </c>
      <c r="Q183" s="64">
        <f t="shared" si="14"/>
        <v>4023</v>
      </c>
      <c r="R183" s="64">
        <v>5</v>
      </c>
      <c r="W183" s="64">
        <v>4</v>
      </c>
      <c r="X183" s="64">
        <v>23</v>
      </c>
    </row>
    <row r="184" spans="1:28" s="3" customFormat="1" x14ac:dyDescent="0.3">
      <c r="A184" s="3">
        <f>W184*1000+X184</f>
        <v>5001</v>
      </c>
      <c r="B184" s="3">
        <f t="shared" si="17"/>
        <v>5</v>
      </c>
      <c r="C184" s="3" t="s">
        <v>111</v>
      </c>
      <c r="D184" s="3" t="s">
        <v>182</v>
      </c>
      <c r="E184" s="3" t="s">
        <v>113</v>
      </c>
      <c r="F184" s="3">
        <v>1</v>
      </c>
      <c r="G184" s="3" t="s">
        <v>114</v>
      </c>
      <c r="H184" s="3" t="str">
        <f>"icon_copper_"&amp;Y184</f>
        <v>icon_copper_07</v>
      </c>
      <c r="I184" s="3">
        <f>A184*100+J184</f>
        <v>500101</v>
      </c>
      <c r="J184" s="3">
        <f t="shared" si="12"/>
        <v>1</v>
      </c>
      <c r="K184" s="8">
        <v>7253</v>
      </c>
      <c r="L184" s="8">
        <v>7253</v>
      </c>
      <c r="M184" s="4" t="str">
        <f t="shared" si="13"/>
        <v>achievementAccumulative{achieveId:5001,count:40000}</v>
      </c>
      <c r="N184" s="3" t="s">
        <v>115</v>
      </c>
      <c r="O184" s="3">
        <v>1707511</v>
      </c>
      <c r="Q184" s="3">
        <f t="shared" si="14"/>
        <v>5001</v>
      </c>
      <c r="R184" s="3">
        <v>40000</v>
      </c>
      <c r="W184" s="3">
        <v>5</v>
      </c>
      <c r="X184" s="3">
        <v>1</v>
      </c>
      <c r="Y184" s="43" t="s">
        <v>116</v>
      </c>
      <c r="Z184" t="str">
        <f>IF($A184=0,"",IF(VLOOKUP($A184,成就条件映射!$A$4:$D$66,2)=0,"",VLOOKUP($A184,成就条件映射!$A$4:$D$66,2)))</f>
        <v>攻克资源点</v>
      </c>
      <c r="AA184" t="str">
        <f>IF($A184=0,"",IF(VLOOKUP($A184,成就条件映射!$A$4:$D$66,3)=0,"",VLOOKUP($A184,成就条件映射!$A$4:$D$66,3)))</f>
        <v>在与&lt;color=#ffc766&gt;资源点守军&lt;/color&gt;战斗中，我方部队使用&lt;color=#ffc766&gt;追击技能&lt;/color&gt;累计造成的&lt;color=#ffc766&gt;武力&lt;/color&gt;&lt;color=#ffc766&gt;伤害量&lt;/color&gt;</v>
      </c>
      <c r="AB184" t="str">
        <f>IF($A184=0,"",IF(VLOOKUP($A184,成就条件映射!$A$4:$D$66,4)=0,"",VLOOKUP($A184,成就条件映射!$A$4:$D$66,4)))</f>
        <v>当前累计伤害</v>
      </c>
    </row>
    <row r="185" spans="1:28" s="3" customFormat="1" x14ac:dyDescent="0.3">
      <c r="B185" s="3" t="str">
        <f t="shared" si="17"/>
        <v/>
      </c>
      <c r="C185" s="3" t="str">
        <f>IF($A185=0,"",IF(VLOOKUP($A185,成就条件映射!$A$4:$D$66,2)=0,"",VLOOKUP($A185,成就条件映射!$A$4:$D$66,2)))</f>
        <v/>
      </c>
      <c r="D185" s="3" t="str">
        <f>IF($A185=0,"",IF(VLOOKUP($A185,成就条件映射!$A$4:$D$66,3)=0,"",VLOOKUP($A185,成就条件映射!$A$4:$D$66,3)))</f>
        <v/>
      </c>
      <c r="E185" s="3" t="str">
        <f>IF($A185=0,"",IF(VLOOKUP($A185,成就条件映射!$A$4:$D$66,4)=0,"",VLOOKUP($A185,成就条件映射!$A$4:$D$66,4)))</f>
        <v/>
      </c>
      <c r="I185" s="3">
        <f>A184*100+J185</f>
        <v>500102</v>
      </c>
      <c r="J185" s="3">
        <f t="shared" si="12"/>
        <v>2</v>
      </c>
      <c r="K185" s="8">
        <v>7253</v>
      </c>
      <c r="L185" s="8">
        <v>7253</v>
      </c>
      <c r="M185" s="4" t="str">
        <f t="shared" si="13"/>
        <v>achievementAccumulative{achieveId:5001,count:650000}</v>
      </c>
      <c r="N185" s="3" t="s">
        <v>115</v>
      </c>
      <c r="O185" s="3">
        <v>1707512</v>
      </c>
      <c r="Q185" s="3">
        <f t="shared" si="14"/>
        <v>5001</v>
      </c>
      <c r="R185" s="3">
        <v>650000</v>
      </c>
      <c r="W185" s="3">
        <v>5</v>
      </c>
      <c r="X185" s="3">
        <v>1</v>
      </c>
      <c r="Y185" s="43"/>
    </row>
    <row r="186" spans="1:28" s="3" customFormat="1" x14ac:dyDescent="0.3">
      <c r="B186" s="3" t="str">
        <f t="shared" si="17"/>
        <v/>
      </c>
      <c r="C186" s="3" t="str">
        <f>IF($A186=0,"",IF(VLOOKUP($A186,成就条件映射!$A$4:$D$66,2)=0,"",VLOOKUP($A186,成就条件映射!$A$4:$D$66,2)))</f>
        <v/>
      </c>
      <c r="D186" s="3" t="str">
        <f>IF($A186=0,"",IF(VLOOKUP($A186,成就条件映射!$A$4:$D$66,3)=0,"",VLOOKUP($A186,成就条件映射!$A$4:$D$66,3)))</f>
        <v/>
      </c>
      <c r="E186" s="3" t="str">
        <f>IF($A186=0,"",IF(VLOOKUP($A186,成就条件映射!$A$4:$D$66,4)=0,"",VLOOKUP($A186,成就条件映射!$A$4:$D$66,4)))</f>
        <v/>
      </c>
      <c r="I186" s="3">
        <f>A184*100+J186</f>
        <v>500103</v>
      </c>
      <c r="J186" s="3">
        <f t="shared" si="12"/>
        <v>3</v>
      </c>
      <c r="K186" s="8">
        <v>7253</v>
      </c>
      <c r="L186" s="8">
        <v>7253</v>
      </c>
      <c r="M186" s="4" t="str">
        <f t="shared" si="13"/>
        <v>achievementAccumulative{achieveId:5001,count:4000000}</v>
      </c>
      <c r="N186" s="3" t="s">
        <v>115</v>
      </c>
      <c r="O186" s="3">
        <v>1707513</v>
      </c>
      <c r="Q186" s="3">
        <f t="shared" si="14"/>
        <v>5001</v>
      </c>
      <c r="R186" s="3">
        <v>4000000</v>
      </c>
      <c r="W186" s="3">
        <v>5</v>
      </c>
      <c r="X186" s="3">
        <v>1</v>
      </c>
      <c r="Y186" s="43"/>
    </row>
    <row r="187" spans="1:28" s="3" customFormat="1" x14ac:dyDescent="0.3">
      <c r="B187" s="3" t="str">
        <f t="shared" si="17"/>
        <v/>
      </c>
      <c r="C187" s="3" t="str">
        <f>IF($A187=0,"",IF(VLOOKUP($A187,成就条件映射!$A$4:$D$66,2)=0,"",VLOOKUP($A187,成就条件映射!$A$4:$D$66,2)))</f>
        <v/>
      </c>
      <c r="D187" s="3" t="str">
        <f>IF($A187=0,"",IF(VLOOKUP($A187,成就条件映射!$A$4:$D$66,3)=0,"",VLOOKUP($A187,成就条件映射!$A$4:$D$66,3)))</f>
        <v/>
      </c>
      <c r="E187" s="3" t="str">
        <f>IF($A187=0,"",IF(VLOOKUP($A187,成就条件映射!$A$4:$D$66,4)=0,"",VLOOKUP($A187,成就条件映射!$A$4:$D$66,4)))</f>
        <v/>
      </c>
      <c r="I187" s="3">
        <f>A184*100+J187</f>
        <v>500104</v>
      </c>
      <c r="J187" s="3">
        <f t="shared" si="12"/>
        <v>4</v>
      </c>
      <c r="K187" s="8">
        <v>7253</v>
      </c>
      <c r="L187" s="8">
        <v>7253</v>
      </c>
      <c r="M187" s="4" t="str">
        <f t="shared" si="13"/>
        <v>achievementAccumulative{achieveId:5001,count:15000000}</v>
      </c>
      <c r="N187" s="3" t="s">
        <v>115</v>
      </c>
      <c r="O187" s="3">
        <v>1707514</v>
      </c>
      <c r="Q187" s="3">
        <f t="shared" si="14"/>
        <v>5001</v>
      </c>
      <c r="R187" s="3">
        <v>15000000</v>
      </c>
      <c r="W187" s="3">
        <v>5</v>
      </c>
      <c r="X187" s="3">
        <v>1</v>
      </c>
      <c r="Y187" s="43"/>
    </row>
    <row r="188" spans="1:28" s="3" customFormat="1" x14ac:dyDescent="0.3">
      <c r="B188" s="3" t="str">
        <f t="shared" si="17"/>
        <v/>
      </c>
      <c r="C188" s="3" t="str">
        <f>IF($A188=0,"",IF(VLOOKUP($A188,成就条件映射!$A$4:$D$66,2)=0,"",VLOOKUP($A188,成就条件映射!$A$4:$D$66,2)))</f>
        <v/>
      </c>
      <c r="D188" s="3" t="str">
        <f>IF($A188=0,"",IF(VLOOKUP($A188,成就条件映射!$A$4:$D$66,3)=0,"",VLOOKUP($A188,成就条件映射!$A$4:$D$66,3)))</f>
        <v/>
      </c>
      <c r="E188" s="3" t="str">
        <f>IF($A188=0,"",IF(VLOOKUP($A188,成就条件映射!$A$4:$D$66,4)=0,"",VLOOKUP($A188,成就条件映射!$A$4:$D$66,4)))</f>
        <v/>
      </c>
      <c r="I188" s="3">
        <f>A184*100+J188</f>
        <v>500105</v>
      </c>
      <c r="J188" s="3">
        <f t="shared" si="12"/>
        <v>5</v>
      </c>
      <c r="K188" s="8">
        <v>7253</v>
      </c>
      <c r="L188" s="8">
        <v>7253</v>
      </c>
      <c r="M188" s="4" t="str">
        <f t="shared" si="13"/>
        <v>achievementAccumulative{achieveId:5001,count:30000000}</v>
      </c>
      <c r="N188" s="3" t="s">
        <v>115</v>
      </c>
      <c r="O188" s="3">
        <v>1707515</v>
      </c>
      <c r="Q188" s="3">
        <f t="shared" si="14"/>
        <v>5001</v>
      </c>
      <c r="R188" s="3">
        <v>30000000</v>
      </c>
      <c r="W188" s="3">
        <v>5</v>
      </c>
      <c r="X188" s="3">
        <v>1</v>
      </c>
      <c r="Y188" s="43"/>
    </row>
    <row r="189" spans="1:28" s="3" customFormat="1" x14ac:dyDescent="0.3">
      <c r="A189" s="3">
        <f>W189*1000+X189</f>
        <v>5002</v>
      </c>
      <c r="B189" s="3">
        <f t="shared" si="17"/>
        <v>5</v>
      </c>
      <c r="C189" s="3" t="s">
        <v>117</v>
      </c>
      <c r="D189" s="3" t="s">
        <v>183</v>
      </c>
      <c r="E189" s="3" t="s">
        <v>113</v>
      </c>
      <c r="F189" s="3">
        <v>1</v>
      </c>
      <c r="G189" s="3" t="s">
        <v>114</v>
      </c>
      <c r="H189" s="3" t="str">
        <f>"icon_copper_"&amp;Y189</f>
        <v>icon_copper_10</v>
      </c>
      <c r="I189" s="3">
        <f>A189*100+J189</f>
        <v>500201</v>
      </c>
      <c r="J189" s="3">
        <f t="shared" si="12"/>
        <v>1</v>
      </c>
      <c r="K189" s="8">
        <v>7254</v>
      </c>
      <c r="L189" s="8">
        <v>7254</v>
      </c>
      <c r="M189" s="4" t="str">
        <f t="shared" si="13"/>
        <v>achievementAccumulative{achieveId:5002,count:40000}</v>
      </c>
      <c r="N189" s="3" t="s">
        <v>115</v>
      </c>
      <c r="O189" s="3">
        <v>1707511</v>
      </c>
      <c r="Q189" s="3">
        <f t="shared" si="14"/>
        <v>5002</v>
      </c>
      <c r="R189" s="3">
        <v>40000</v>
      </c>
      <c r="W189" s="3">
        <v>5</v>
      </c>
      <c r="X189" s="3">
        <v>2</v>
      </c>
      <c r="Y189" s="43" t="s">
        <v>119</v>
      </c>
      <c r="Z189" t="str">
        <f>IF($A189=0,"",IF(VLOOKUP($A189,成就条件映射!$A$4:$D$66,2)=0,"",VLOOKUP($A189,成就条件映射!$A$4:$D$66,2)))</f>
        <v>蛮族讨伐</v>
      </c>
      <c r="AA189" t="str">
        <f>IF($A189=0,"",IF(VLOOKUP($A189,成就条件映射!$A$4:$D$66,3)=0,"",VLOOKUP($A189,成就条件映射!$A$4:$D$66,3)))</f>
        <v>在与&lt;color=#ffc766&gt;野外蛮族&lt;/color&gt;战斗中，我方部队使用&lt;color=#ffc766&gt;追击技能&lt;/color&gt;累计造成的&lt;color=#ffc766&gt;武力&lt;/color&gt;&lt;color=#ffc766&gt;伤害量&lt;/color&gt;</v>
      </c>
      <c r="AB189" t="str">
        <f>IF($A189=0,"",IF(VLOOKUP($A189,成就条件映射!$A$4:$D$66,4)=0,"",VLOOKUP($A189,成就条件映射!$A$4:$D$66,4)))</f>
        <v>当前累计伤害</v>
      </c>
    </row>
    <row r="190" spans="1:28" s="3" customFormat="1" x14ac:dyDescent="0.3">
      <c r="B190" s="3" t="str">
        <f t="shared" si="17"/>
        <v/>
      </c>
      <c r="C190" s="3" t="str">
        <f>IF($A190=0,"",IF(VLOOKUP($A190,成就条件映射!$A$4:$D$66,2)=0,"",VLOOKUP($A190,成就条件映射!$A$4:$D$66,2)))</f>
        <v/>
      </c>
      <c r="D190" s="3" t="str">
        <f>IF($A190=0,"",IF(VLOOKUP($A190,成就条件映射!$A$4:$D$66,3)=0,"",VLOOKUP($A190,成就条件映射!$A$4:$D$66,3)))</f>
        <v/>
      </c>
      <c r="E190" s="3" t="str">
        <f>IF($A190=0,"",IF(VLOOKUP($A190,成就条件映射!$A$4:$D$66,4)=0,"",VLOOKUP($A190,成就条件映射!$A$4:$D$66,4)))</f>
        <v/>
      </c>
      <c r="I190" s="3">
        <f>A189*100+J190</f>
        <v>500202</v>
      </c>
      <c r="J190" s="3">
        <f t="shared" si="12"/>
        <v>2</v>
      </c>
      <c r="K190" s="8">
        <v>7254</v>
      </c>
      <c r="L190" s="8">
        <v>7254</v>
      </c>
      <c r="M190" s="4" t="str">
        <f t="shared" si="13"/>
        <v>achievementAccumulative{achieveId:5002,count:680000}</v>
      </c>
      <c r="N190" s="3" t="s">
        <v>115</v>
      </c>
      <c r="O190" s="3">
        <v>1707512</v>
      </c>
      <c r="Q190" s="3">
        <f t="shared" si="14"/>
        <v>5002</v>
      </c>
      <c r="R190" s="3">
        <v>680000</v>
      </c>
      <c r="W190" s="3">
        <v>5</v>
      </c>
      <c r="X190" s="3">
        <v>2</v>
      </c>
      <c r="Y190" s="43"/>
    </row>
    <row r="191" spans="1:28" s="3" customFormat="1" x14ac:dyDescent="0.3">
      <c r="B191" s="3" t="str">
        <f t="shared" si="17"/>
        <v/>
      </c>
      <c r="C191" s="3" t="str">
        <f>IF($A191=0,"",IF(VLOOKUP($A191,成就条件映射!$A$4:$D$66,2)=0,"",VLOOKUP($A191,成就条件映射!$A$4:$D$66,2)))</f>
        <v/>
      </c>
      <c r="D191" s="3" t="str">
        <f>IF($A191=0,"",IF(VLOOKUP($A191,成就条件映射!$A$4:$D$66,3)=0,"",VLOOKUP($A191,成就条件映射!$A$4:$D$66,3)))</f>
        <v/>
      </c>
      <c r="E191" s="3" t="str">
        <f>IF($A191=0,"",IF(VLOOKUP($A191,成就条件映射!$A$4:$D$66,4)=0,"",VLOOKUP($A191,成就条件映射!$A$4:$D$66,4)))</f>
        <v/>
      </c>
      <c r="I191" s="3">
        <f>A189*100+J191</f>
        <v>500203</v>
      </c>
      <c r="J191" s="3">
        <f t="shared" si="12"/>
        <v>3</v>
      </c>
      <c r="K191" s="8">
        <v>7254</v>
      </c>
      <c r="L191" s="8">
        <v>7254</v>
      </c>
      <c r="M191" s="4" t="str">
        <f t="shared" si="13"/>
        <v>achievementAccumulative{achieveId:5002,count:1600000}</v>
      </c>
      <c r="N191" s="3" t="s">
        <v>115</v>
      </c>
      <c r="O191" s="3">
        <v>1707513</v>
      </c>
      <c r="Q191" s="3">
        <f t="shared" si="14"/>
        <v>5002</v>
      </c>
      <c r="R191" s="3">
        <v>1600000</v>
      </c>
      <c r="W191" s="3">
        <v>5</v>
      </c>
      <c r="X191" s="3">
        <v>2</v>
      </c>
      <c r="Y191" s="43"/>
    </row>
    <row r="192" spans="1:28" s="3" customFormat="1" x14ac:dyDescent="0.3">
      <c r="B192" s="3" t="str">
        <f t="shared" si="17"/>
        <v/>
      </c>
      <c r="C192" s="3" t="str">
        <f>IF($A192=0,"",IF(VLOOKUP($A192,成就条件映射!$A$4:$D$66,2)=0,"",VLOOKUP($A192,成就条件映射!$A$4:$D$66,2)))</f>
        <v/>
      </c>
      <c r="D192" s="3" t="str">
        <f>IF($A192=0,"",IF(VLOOKUP($A192,成就条件映射!$A$4:$D$66,3)=0,"",VLOOKUP($A192,成就条件映射!$A$4:$D$66,3)))</f>
        <v/>
      </c>
      <c r="E192" s="3" t="str">
        <f>IF($A192=0,"",IF(VLOOKUP($A192,成就条件映射!$A$4:$D$66,4)=0,"",VLOOKUP($A192,成就条件映射!$A$4:$D$66,4)))</f>
        <v/>
      </c>
      <c r="I192" s="3">
        <f>A189*100+J192</f>
        <v>500204</v>
      </c>
      <c r="J192" s="3">
        <f t="shared" si="12"/>
        <v>4</v>
      </c>
      <c r="K192" s="8">
        <v>7254</v>
      </c>
      <c r="L192" s="8">
        <v>7254</v>
      </c>
      <c r="M192" s="4" t="str">
        <f t="shared" si="13"/>
        <v>achievementAccumulative{achieveId:5002,count:6300000}</v>
      </c>
      <c r="N192" s="3" t="s">
        <v>115</v>
      </c>
      <c r="O192" s="3">
        <v>1707514</v>
      </c>
      <c r="Q192" s="3">
        <f t="shared" si="14"/>
        <v>5002</v>
      </c>
      <c r="R192" s="3">
        <v>6300000</v>
      </c>
      <c r="W192" s="3">
        <v>5</v>
      </c>
      <c r="X192" s="3">
        <v>2</v>
      </c>
      <c r="Y192" s="43"/>
    </row>
    <row r="193" spans="1:28" s="3" customFormat="1" x14ac:dyDescent="0.3">
      <c r="B193" s="3" t="str">
        <f t="shared" si="17"/>
        <v/>
      </c>
      <c r="C193" s="3" t="str">
        <f>IF($A193=0,"",IF(VLOOKUP($A193,成就条件映射!$A$4:$D$66,2)=0,"",VLOOKUP($A193,成就条件映射!$A$4:$D$66,2)))</f>
        <v/>
      </c>
      <c r="D193" s="3" t="str">
        <f>IF($A193=0,"",IF(VLOOKUP($A193,成就条件映射!$A$4:$D$66,3)=0,"",VLOOKUP($A193,成就条件映射!$A$4:$D$66,3)))</f>
        <v/>
      </c>
      <c r="E193" s="3" t="str">
        <f>IF($A193=0,"",IF(VLOOKUP($A193,成就条件映射!$A$4:$D$66,4)=0,"",VLOOKUP($A193,成就条件映射!$A$4:$D$66,4)))</f>
        <v/>
      </c>
      <c r="I193" s="3">
        <f>A189*100+J193</f>
        <v>500205</v>
      </c>
      <c r="J193" s="3">
        <f t="shared" si="12"/>
        <v>5</v>
      </c>
      <c r="K193" s="8">
        <v>7254</v>
      </c>
      <c r="L193" s="8">
        <v>7254</v>
      </c>
      <c r="M193" s="4" t="str">
        <f t="shared" si="13"/>
        <v>achievementAccumulative{achieveId:5002,count:20000000}</v>
      </c>
      <c r="N193" s="3" t="s">
        <v>115</v>
      </c>
      <c r="O193" s="3">
        <v>1707515</v>
      </c>
      <c r="Q193" s="3">
        <f t="shared" si="14"/>
        <v>5002</v>
      </c>
      <c r="R193" s="3">
        <v>20000000</v>
      </c>
      <c r="W193" s="3">
        <v>5</v>
      </c>
      <c r="X193" s="3">
        <v>2</v>
      </c>
      <c r="Y193" s="43"/>
    </row>
    <row r="194" spans="1:28" s="3" customFormat="1" x14ac:dyDescent="0.3">
      <c r="A194" s="3">
        <f>W194*1000+X194</f>
        <v>5003</v>
      </c>
      <c r="B194" s="3">
        <f t="shared" si="17"/>
        <v>5</v>
      </c>
      <c r="C194" s="3" t="s">
        <v>120</v>
      </c>
      <c r="D194" s="3" t="s">
        <v>184</v>
      </c>
      <c r="E194" s="3" t="s">
        <v>113</v>
      </c>
      <c r="F194" s="3">
        <v>1</v>
      </c>
      <c r="G194" s="3" t="s">
        <v>114</v>
      </c>
      <c r="H194" s="3" t="str">
        <f>"icon_copper_"&amp;Y194</f>
        <v>icon_copper_04</v>
      </c>
      <c r="I194" s="3">
        <f>A194*100+J194</f>
        <v>500301</v>
      </c>
      <c r="J194" s="3">
        <f t="shared" si="12"/>
        <v>1</v>
      </c>
      <c r="K194" s="8"/>
      <c r="L194" s="8"/>
      <c r="M194" s="4" t="str">
        <f t="shared" si="13"/>
        <v>achievementAccumulative{achieveId:5003,count:80000}</v>
      </c>
      <c r="N194" s="3" t="s">
        <v>115</v>
      </c>
      <c r="O194" s="3">
        <v>1707511</v>
      </c>
      <c r="Q194" s="3">
        <f t="shared" si="14"/>
        <v>5003</v>
      </c>
      <c r="R194" s="3">
        <v>80000</v>
      </c>
      <c r="W194" s="3">
        <v>5</v>
      </c>
      <c r="X194" s="3">
        <v>3</v>
      </c>
      <c r="Y194" s="43" t="s">
        <v>122</v>
      </c>
      <c r="Z194" t="str">
        <f>IF($A194=0,"",IF(VLOOKUP($A194,成就条件映射!$A$4:$D$66,2)=0,"",VLOOKUP($A194,成就条件映射!$A$4:$D$66,2)))</f>
        <v>野战先锋</v>
      </c>
      <c r="AA194" t="str">
        <f>IF($A194=0,"",IF(VLOOKUP($A194,成就条件映射!$A$4:$D$66,3)=0,"",VLOOKUP($A194,成就条件映射!$A$4:$D$66,3)))</f>
        <v>野外与&lt;color=#ffc766&gt;玩家&lt;/color&gt;部队战斗中，我方部队使用&lt;color=#ffc766&gt;追击技能&lt;/color&gt;累计对敌方玩家造成的&lt;color=#ffc766&gt;武力&lt;/color&gt;&lt;color=#ffc766&gt;伤害量&lt;/color&gt;</v>
      </c>
      <c r="AB194" t="str">
        <f>IF($A194=0,"",IF(VLOOKUP($A194,成就条件映射!$A$4:$D$66,4)=0,"",VLOOKUP($A194,成就条件映射!$A$4:$D$66,4)))</f>
        <v>当前累计伤害</v>
      </c>
    </row>
    <row r="195" spans="1:28" s="3" customFormat="1" x14ac:dyDescent="0.3">
      <c r="B195" s="3" t="str">
        <f t="shared" si="17"/>
        <v/>
      </c>
      <c r="C195" s="3" t="str">
        <f>IF($A195=0,"",IF(VLOOKUP($A195,成就条件映射!$A$4:$D$66,2)=0,"",VLOOKUP($A195,成就条件映射!$A$4:$D$66,2)))</f>
        <v/>
      </c>
      <c r="D195" s="3" t="str">
        <f>IF($A195=0,"",IF(VLOOKUP($A195,成就条件映射!$A$4:$D$66,3)=0,"",VLOOKUP($A195,成就条件映射!$A$4:$D$66,3)))</f>
        <v/>
      </c>
      <c r="E195" s="3" t="str">
        <f>IF($A195=0,"",IF(VLOOKUP($A195,成就条件映射!$A$4:$D$66,4)=0,"",VLOOKUP($A195,成就条件映射!$A$4:$D$66,4)))</f>
        <v/>
      </c>
      <c r="I195" s="3">
        <f>A194*100+J195</f>
        <v>500302</v>
      </c>
      <c r="J195" s="3">
        <f t="shared" si="12"/>
        <v>2</v>
      </c>
      <c r="K195" s="8"/>
      <c r="L195" s="8"/>
      <c r="M195" s="4" t="str">
        <f t="shared" si="13"/>
        <v>achievementAccumulative{achieveId:5003,count:300000}</v>
      </c>
      <c r="N195" s="3" t="s">
        <v>115</v>
      </c>
      <c r="O195" s="3">
        <v>1707512</v>
      </c>
      <c r="Q195" s="3">
        <f t="shared" si="14"/>
        <v>5003</v>
      </c>
      <c r="R195" s="3">
        <v>300000</v>
      </c>
      <c r="W195" s="3">
        <v>5</v>
      </c>
      <c r="X195" s="3">
        <v>3</v>
      </c>
      <c r="Y195" s="43"/>
    </row>
    <row r="196" spans="1:28" s="3" customFormat="1" x14ac:dyDescent="0.3">
      <c r="B196" s="3" t="str">
        <f t="shared" si="17"/>
        <v/>
      </c>
      <c r="C196" s="3" t="str">
        <f>IF($A196=0,"",IF(VLOOKUP($A196,成就条件映射!$A$4:$D$66,2)=0,"",VLOOKUP($A196,成就条件映射!$A$4:$D$66,2)))</f>
        <v/>
      </c>
      <c r="D196" s="3" t="str">
        <f>IF($A196=0,"",IF(VLOOKUP($A196,成就条件映射!$A$4:$D$66,3)=0,"",VLOOKUP($A196,成就条件映射!$A$4:$D$66,3)))</f>
        <v/>
      </c>
      <c r="E196" s="3" t="str">
        <f>IF($A196=0,"",IF(VLOOKUP($A196,成就条件映射!$A$4:$D$66,4)=0,"",VLOOKUP($A196,成就条件映射!$A$4:$D$66,4)))</f>
        <v/>
      </c>
      <c r="I196" s="3">
        <f>A194*100+J196</f>
        <v>500303</v>
      </c>
      <c r="J196" s="3">
        <f t="shared" ref="J196:J259" si="18">IF(MOD(ROW()+2,5)=0,MOD(ROW()+2,5)+5,MOD(ROW()+2,5))</f>
        <v>3</v>
      </c>
      <c r="K196" s="8"/>
      <c r="L196" s="8"/>
      <c r="M196" s="4" t="str">
        <f t="shared" ref="M196:M259" si="19">"achievementAccumulative{achieveId:"&amp;Q196&amp;",count:"&amp;R196&amp;"}"</f>
        <v>achievementAccumulative{achieveId:5003,count:1100000}</v>
      </c>
      <c r="N196" s="3" t="s">
        <v>115</v>
      </c>
      <c r="O196" s="3">
        <v>1707513</v>
      </c>
      <c r="Q196" s="3">
        <f t="shared" ref="Q196:Q259" si="20">IF(0=A196,Q195,A196)</f>
        <v>5003</v>
      </c>
      <c r="R196" s="3">
        <v>1100000</v>
      </c>
      <c r="W196" s="3">
        <v>5</v>
      </c>
      <c r="X196" s="3">
        <v>3</v>
      </c>
      <c r="Y196" s="43"/>
    </row>
    <row r="197" spans="1:28" s="3" customFormat="1" x14ac:dyDescent="0.3">
      <c r="B197" s="3" t="str">
        <f t="shared" si="17"/>
        <v/>
      </c>
      <c r="C197" s="3" t="str">
        <f>IF($A197=0,"",IF(VLOOKUP($A197,成就条件映射!$A$4:$D$66,2)=0,"",VLOOKUP($A197,成就条件映射!$A$4:$D$66,2)))</f>
        <v/>
      </c>
      <c r="D197" s="3" t="str">
        <f>IF($A197=0,"",IF(VLOOKUP($A197,成就条件映射!$A$4:$D$66,3)=0,"",VLOOKUP($A197,成就条件映射!$A$4:$D$66,3)))</f>
        <v/>
      </c>
      <c r="E197" s="3" t="str">
        <f>IF($A197=0,"",IF(VLOOKUP($A197,成就条件映射!$A$4:$D$66,4)=0,"",VLOOKUP($A197,成就条件映射!$A$4:$D$66,4)))</f>
        <v/>
      </c>
      <c r="I197" s="3">
        <f>A194*100+J197</f>
        <v>500304</v>
      </c>
      <c r="J197" s="3">
        <f t="shared" si="18"/>
        <v>4</v>
      </c>
      <c r="K197" s="8"/>
      <c r="L197" s="8"/>
      <c r="M197" s="4" t="str">
        <f t="shared" si="19"/>
        <v>achievementAccumulative{achieveId:5003,count:3900000}</v>
      </c>
      <c r="N197" s="3" t="s">
        <v>115</v>
      </c>
      <c r="O197" s="3">
        <v>1707514</v>
      </c>
      <c r="Q197" s="3">
        <f t="shared" si="20"/>
        <v>5003</v>
      </c>
      <c r="R197" s="3">
        <v>3900000</v>
      </c>
      <c r="W197" s="3">
        <v>5</v>
      </c>
      <c r="X197" s="3">
        <v>3</v>
      </c>
      <c r="Y197" s="43"/>
    </row>
    <row r="198" spans="1:28" s="3" customFormat="1" x14ac:dyDescent="0.3">
      <c r="B198" s="3" t="str">
        <f t="shared" si="17"/>
        <v/>
      </c>
      <c r="C198" s="3" t="str">
        <f>IF($A198=0,"",IF(VLOOKUP($A198,成就条件映射!$A$4:$D$66,2)=0,"",VLOOKUP($A198,成就条件映射!$A$4:$D$66,2)))</f>
        <v/>
      </c>
      <c r="D198" s="3" t="str">
        <f>IF($A198=0,"",IF(VLOOKUP($A198,成就条件映射!$A$4:$D$66,3)=0,"",VLOOKUP($A198,成就条件映射!$A$4:$D$66,3)))</f>
        <v/>
      </c>
      <c r="E198" s="3" t="str">
        <f>IF($A198=0,"",IF(VLOOKUP($A198,成就条件映射!$A$4:$D$66,4)=0,"",VLOOKUP($A198,成就条件映射!$A$4:$D$66,4)))</f>
        <v/>
      </c>
      <c r="I198" s="3">
        <f>A194*100+J198</f>
        <v>500305</v>
      </c>
      <c r="J198" s="3">
        <f t="shared" si="18"/>
        <v>5</v>
      </c>
      <c r="K198" s="8"/>
      <c r="L198" s="8"/>
      <c r="M198" s="4" t="str">
        <f t="shared" si="19"/>
        <v>achievementAccumulative{achieveId:5003,count:10000000}</v>
      </c>
      <c r="N198" s="3" t="s">
        <v>115</v>
      </c>
      <c r="O198" s="3">
        <v>1707515</v>
      </c>
      <c r="Q198" s="3">
        <f t="shared" si="20"/>
        <v>5003</v>
      </c>
      <c r="R198" s="3">
        <v>10000000</v>
      </c>
      <c r="W198" s="3">
        <v>5</v>
      </c>
      <c r="X198" s="3">
        <v>3</v>
      </c>
      <c r="Y198" s="43"/>
    </row>
    <row r="199" spans="1:28" s="3" customFormat="1" x14ac:dyDescent="0.3">
      <c r="A199" s="3">
        <f>W199*1000+X199</f>
        <v>5011</v>
      </c>
      <c r="B199" s="3">
        <f t="shared" si="17"/>
        <v>5</v>
      </c>
      <c r="C199" s="3" t="s">
        <v>185</v>
      </c>
      <c r="D199" s="3" t="s">
        <v>186</v>
      </c>
      <c r="E199" s="3" t="s">
        <v>135</v>
      </c>
      <c r="F199" s="3">
        <v>2</v>
      </c>
      <c r="G199" s="3" t="s">
        <v>114</v>
      </c>
      <c r="H199" s="3" t="str">
        <f>"icon_silver_"&amp;Y199</f>
        <v>icon_silver_21</v>
      </c>
      <c r="I199" s="3">
        <f>A199*100+J199</f>
        <v>501101</v>
      </c>
      <c r="J199" s="3">
        <f t="shared" si="18"/>
        <v>1</v>
      </c>
      <c r="K199" s="8"/>
      <c r="L199" s="8"/>
      <c r="M199" s="4" t="str">
        <f t="shared" si="19"/>
        <v>achievementAccumulative{achieveId:5011,count:3}</v>
      </c>
      <c r="N199" s="3" t="s">
        <v>115</v>
      </c>
      <c r="O199" s="3">
        <v>1707521</v>
      </c>
      <c r="Q199" s="3">
        <f t="shared" si="20"/>
        <v>5011</v>
      </c>
      <c r="R199" s="3">
        <v>3</v>
      </c>
      <c r="W199" s="3">
        <v>5</v>
      </c>
      <c r="X199" s="3">
        <v>11</v>
      </c>
      <c r="Y199" s="43" t="s">
        <v>187</v>
      </c>
      <c r="Z199" t="str">
        <f>IF($A199=0,"",IF(VLOOKUP($A199,成就条件映射!$A$4:$D$66,2)=0,"",VLOOKUP($A199,成就条件映射!$A$4:$D$66,2)))</f>
        <v>无尽追击</v>
      </c>
      <c r="AA199" t="str">
        <f>IF($A199=0,"",IF(VLOOKUP($A199,成就条件映射!$A$4:$D$66,3)=0,"",VLOOKUP($A199,成就条件映射!$A$4:$D$66,3)))</f>
        <v>&lt;color=#ffc766&gt;30秒&lt;/color&gt;内，我方部队累计发动&lt;color=#ffc766&gt;追击技能&lt;/color&gt;的&lt;color=#ffc766&gt;最大次数&lt;/color&gt;</v>
      </c>
      <c r="AB199" t="str">
        <f>IF($A199=0,"",IF(VLOOKUP($A199,成就条件映射!$A$4:$D$66,4)=0,"",VLOOKUP($A199,成就条件映射!$A$4:$D$66,4)))</f>
        <v>当前累计次数</v>
      </c>
    </row>
    <row r="200" spans="1:28" s="3" customFormat="1" x14ac:dyDescent="0.3">
      <c r="B200" s="3" t="str">
        <f t="shared" si="17"/>
        <v/>
      </c>
      <c r="C200" s="3" t="str">
        <f>IF($A200=0,"",IF(VLOOKUP($A200,成就条件映射!$A$4:$D$66,2)=0,"",VLOOKUP($A200,成就条件映射!$A$4:$D$66,2)))</f>
        <v/>
      </c>
      <c r="D200" s="3" t="str">
        <f>IF($A200=0,"",IF(VLOOKUP($A200,成就条件映射!$A$4:$D$66,3)=0,"",VLOOKUP($A200,成就条件映射!$A$4:$D$66,3)))</f>
        <v/>
      </c>
      <c r="E200" s="3" t="str">
        <f>IF($A200=0,"",IF(VLOOKUP($A200,成就条件映射!$A$4:$D$66,4)=0,"",VLOOKUP($A200,成就条件映射!$A$4:$D$66,4)))</f>
        <v/>
      </c>
      <c r="I200" s="3">
        <f>A199*100+J200</f>
        <v>501102</v>
      </c>
      <c r="J200" s="3">
        <f t="shared" si="18"/>
        <v>2</v>
      </c>
      <c r="K200" s="8"/>
      <c r="L200" s="8"/>
      <c r="M200" s="4" t="str">
        <f t="shared" si="19"/>
        <v>achievementAccumulative{achieveId:5011,count:6}</v>
      </c>
      <c r="N200" s="3" t="s">
        <v>115</v>
      </c>
      <c r="O200" s="3">
        <v>1707522</v>
      </c>
      <c r="Q200" s="3">
        <f t="shared" si="20"/>
        <v>5011</v>
      </c>
      <c r="R200" s="3">
        <v>6</v>
      </c>
      <c r="W200" s="3">
        <v>5</v>
      </c>
      <c r="X200" s="3">
        <v>11</v>
      </c>
      <c r="Y200" s="43"/>
    </row>
    <row r="201" spans="1:28" s="3" customFormat="1" x14ac:dyDescent="0.3">
      <c r="B201" s="3" t="str">
        <f t="shared" si="17"/>
        <v/>
      </c>
      <c r="C201" s="3" t="str">
        <f>IF($A201=0,"",IF(VLOOKUP($A201,成就条件映射!$A$4:$D$66,2)=0,"",VLOOKUP($A201,成就条件映射!$A$4:$D$66,2)))</f>
        <v/>
      </c>
      <c r="D201" s="3" t="str">
        <f>IF($A201=0,"",IF(VLOOKUP($A201,成就条件映射!$A$4:$D$66,3)=0,"",VLOOKUP($A201,成就条件映射!$A$4:$D$66,3)))</f>
        <v/>
      </c>
      <c r="E201" s="3" t="str">
        <f>IF($A201=0,"",IF(VLOOKUP($A201,成就条件映射!$A$4:$D$66,4)=0,"",VLOOKUP($A201,成就条件映射!$A$4:$D$66,4)))</f>
        <v/>
      </c>
      <c r="I201" s="3">
        <f>A199*100+J201</f>
        <v>501103</v>
      </c>
      <c r="J201" s="3">
        <f t="shared" si="18"/>
        <v>3</v>
      </c>
      <c r="K201" s="8"/>
      <c r="L201" s="8"/>
      <c r="M201" s="4" t="str">
        <f t="shared" si="19"/>
        <v>achievementAccumulative{achieveId:5011,count:8}</v>
      </c>
      <c r="N201" s="3" t="s">
        <v>115</v>
      </c>
      <c r="O201" s="3">
        <v>1707523</v>
      </c>
      <c r="Q201" s="3">
        <f t="shared" si="20"/>
        <v>5011</v>
      </c>
      <c r="R201" s="3">
        <v>8</v>
      </c>
      <c r="W201" s="3">
        <v>5</v>
      </c>
      <c r="X201" s="3">
        <v>11</v>
      </c>
      <c r="Y201" s="43"/>
    </row>
    <row r="202" spans="1:28" s="3" customFormat="1" x14ac:dyDescent="0.3">
      <c r="B202" s="3" t="str">
        <f t="shared" si="17"/>
        <v/>
      </c>
      <c r="C202" s="3" t="str">
        <f>IF($A202=0,"",IF(VLOOKUP($A202,成就条件映射!$A$4:$D$66,2)=0,"",VLOOKUP($A202,成就条件映射!$A$4:$D$66,2)))</f>
        <v/>
      </c>
      <c r="D202" s="3" t="str">
        <f>IF($A202=0,"",IF(VLOOKUP($A202,成就条件映射!$A$4:$D$66,3)=0,"",VLOOKUP($A202,成就条件映射!$A$4:$D$66,3)))</f>
        <v/>
      </c>
      <c r="E202" s="3" t="str">
        <f>IF($A202=0,"",IF(VLOOKUP($A202,成就条件映射!$A$4:$D$66,4)=0,"",VLOOKUP($A202,成就条件映射!$A$4:$D$66,4)))</f>
        <v/>
      </c>
      <c r="I202" s="3">
        <f>A199*100+J202</f>
        <v>501104</v>
      </c>
      <c r="J202" s="3">
        <f t="shared" si="18"/>
        <v>4</v>
      </c>
      <c r="K202" s="8"/>
      <c r="L202" s="8"/>
      <c r="M202" s="4" t="str">
        <f t="shared" si="19"/>
        <v>achievementAccumulative{achieveId:5011,count:10}</v>
      </c>
      <c r="N202" s="3" t="s">
        <v>115</v>
      </c>
      <c r="O202" s="3">
        <v>1707524</v>
      </c>
      <c r="Q202" s="3">
        <f t="shared" si="20"/>
        <v>5011</v>
      </c>
      <c r="R202" s="3">
        <v>10</v>
      </c>
      <c r="W202" s="3">
        <v>5</v>
      </c>
      <c r="X202" s="3">
        <v>11</v>
      </c>
      <c r="Y202" s="43"/>
    </row>
    <row r="203" spans="1:28" s="3" customFormat="1" x14ac:dyDescent="0.3">
      <c r="B203" s="3" t="str">
        <f t="shared" si="17"/>
        <v/>
      </c>
      <c r="C203" s="3" t="str">
        <f>IF($A203=0,"",IF(VLOOKUP($A203,成就条件映射!$A$4:$D$66,2)=0,"",VLOOKUP($A203,成就条件映射!$A$4:$D$66,2)))</f>
        <v/>
      </c>
      <c r="D203" s="3" t="str">
        <f>IF($A203=0,"",IF(VLOOKUP($A203,成就条件映射!$A$4:$D$66,3)=0,"",VLOOKUP($A203,成就条件映射!$A$4:$D$66,3)))</f>
        <v/>
      </c>
      <c r="E203" s="3" t="str">
        <f>IF($A203=0,"",IF(VLOOKUP($A203,成就条件映射!$A$4:$D$66,4)=0,"",VLOOKUP($A203,成就条件映射!$A$4:$D$66,4)))</f>
        <v/>
      </c>
      <c r="I203" s="3">
        <f>A199*100+J203</f>
        <v>501105</v>
      </c>
      <c r="J203" s="3">
        <f t="shared" si="18"/>
        <v>5</v>
      </c>
      <c r="K203" s="8"/>
      <c r="L203" s="8"/>
      <c r="M203" s="4" t="str">
        <f t="shared" si="19"/>
        <v>achievementAccumulative{achieveId:5011,count:12}</v>
      </c>
      <c r="N203" s="3" t="s">
        <v>115</v>
      </c>
      <c r="O203" s="3">
        <v>1707525</v>
      </c>
      <c r="Q203" s="3">
        <f t="shared" si="20"/>
        <v>5011</v>
      </c>
      <c r="R203" s="3">
        <v>12</v>
      </c>
      <c r="W203" s="3">
        <v>5</v>
      </c>
      <c r="X203" s="3">
        <v>11</v>
      </c>
      <c r="Y203" s="43"/>
    </row>
    <row r="204" spans="1:28" s="3" customFormat="1" x14ac:dyDescent="0.3">
      <c r="A204" s="3">
        <f>W204*1000+X204</f>
        <v>5012</v>
      </c>
      <c r="B204" s="3">
        <f t="shared" si="17"/>
        <v>5</v>
      </c>
      <c r="C204" s="3" t="s">
        <v>188</v>
      </c>
      <c r="D204" s="3" t="s">
        <v>189</v>
      </c>
      <c r="E204" s="3" t="s">
        <v>113</v>
      </c>
      <c r="F204" s="3">
        <v>2</v>
      </c>
      <c r="G204" s="3" t="s">
        <v>114</v>
      </c>
      <c r="H204" s="3" t="str">
        <f>"icon_silver_"&amp;Y204</f>
        <v>icon_silver_09</v>
      </c>
      <c r="I204" s="3">
        <f>A204*100+J204</f>
        <v>501201</v>
      </c>
      <c r="J204" s="3">
        <f t="shared" si="18"/>
        <v>1</v>
      </c>
      <c r="K204" s="8"/>
      <c r="L204" s="8"/>
      <c r="M204" s="4" t="str">
        <f t="shared" si="19"/>
        <v>achievementAccumulative{achieveId:5012,count:80000}</v>
      </c>
      <c r="N204" s="3" t="s">
        <v>115</v>
      </c>
      <c r="O204" s="3">
        <v>1707521</v>
      </c>
      <c r="Q204" s="3">
        <f t="shared" si="20"/>
        <v>5012</v>
      </c>
      <c r="R204" s="3">
        <v>80000</v>
      </c>
      <c r="W204" s="3">
        <v>5</v>
      </c>
      <c r="X204" s="3">
        <v>12</v>
      </c>
      <c r="Y204" s="43" t="s">
        <v>132</v>
      </c>
      <c r="Z204" t="str">
        <f>IF($A204=0,"",IF(VLOOKUP($A204,成就条件映射!$A$4:$D$66,2)=0,"",VLOOKUP($A204,成就条件映射!$A$4:$D$66,2)))</f>
        <v>狼群狂猎</v>
      </c>
      <c r="AA204" t="str">
        <f>IF($A204=0,"",IF(VLOOKUP($A204,成就条件映射!$A$4:$D$66,3)=0,"",VLOOKUP($A204,成就条件映射!$A$4:$D$66,3)))</f>
        <v>&lt;color=#ffc766&gt;集结战斗&lt;/color&gt;中，我方部队使用&lt;color=#ffc766&gt;追击技能&lt;/color&gt;累计造成的&lt;color=#ffc766&gt;武力&lt;/color&gt;&lt;color=#ffc766&gt;伤害量&lt;/color&gt;</v>
      </c>
      <c r="AB204" t="str">
        <f>IF($A204=0,"",IF(VLOOKUP($A204,成就条件映射!$A$4:$D$66,4)=0,"",VLOOKUP($A204,成就条件映射!$A$4:$D$66,4)))</f>
        <v>当前累计伤害</v>
      </c>
    </row>
    <row r="205" spans="1:28" s="3" customFormat="1" x14ac:dyDescent="0.3">
      <c r="B205" s="3" t="str">
        <f t="shared" si="17"/>
        <v/>
      </c>
      <c r="C205" s="3" t="str">
        <f>IF($A205=0,"",IF(VLOOKUP($A205,成就条件映射!$A$4:$D$66,2)=0,"",VLOOKUP($A205,成就条件映射!$A$4:$D$66,2)))</f>
        <v/>
      </c>
      <c r="D205" s="3" t="str">
        <f>IF($A205=0,"",IF(VLOOKUP($A205,成就条件映射!$A$4:$D$66,3)=0,"",VLOOKUP($A205,成就条件映射!$A$4:$D$66,3)))</f>
        <v/>
      </c>
      <c r="E205" s="3" t="str">
        <f>IF($A205=0,"",IF(VLOOKUP($A205,成就条件映射!$A$4:$D$66,4)=0,"",VLOOKUP($A205,成就条件映射!$A$4:$D$66,4)))</f>
        <v/>
      </c>
      <c r="I205" s="3">
        <f>A204*100+J205</f>
        <v>501202</v>
      </c>
      <c r="J205" s="3">
        <f t="shared" si="18"/>
        <v>2</v>
      </c>
      <c r="K205" s="8"/>
      <c r="L205" s="8"/>
      <c r="M205" s="4" t="str">
        <f t="shared" si="19"/>
        <v>achievementAccumulative{achieveId:5012,count:300000}</v>
      </c>
      <c r="N205" s="3" t="s">
        <v>115</v>
      </c>
      <c r="O205" s="3">
        <v>1707522</v>
      </c>
      <c r="Q205" s="3">
        <f t="shared" si="20"/>
        <v>5012</v>
      </c>
      <c r="R205" s="3">
        <v>300000</v>
      </c>
      <c r="W205" s="3">
        <v>5</v>
      </c>
      <c r="X205" s="3">
        <v>12</v>
      </c>
      <c r="Y205" s="43"/>
    </row>
    <row r="206" spans="1:28" s="3" customFormat="1" x14ac:dyDescent="0.3">
      <c r="B206" s="3" t="str">
        <f t="shared" si="17"/>
        <v/>
      </c>
      <c r="C206" s="3" t="str">
        <f>IF($A206=0,"",IF(VLOOKUP($A206,成就条件映射!$A$4:$D$66,2)=0,"",VLOOKUP($A206,成就条件映射!$A$4:$D$66,2)))</f>
        <v/>
      </c>
      <c r="D206" s="3" t="str">
        <f>IF($A206=0,"",IF(VLOOKUP($A206,成就条件映射!$A$4:$D$66,3)=0,"",VLOOKUP($A206,成就条件映射!$A$4:$D$66,3)))</f>
        <v/>
      </c>
      <c r="E206" s="3" t="str">
        <f>IF($A206=0,"",IF(VLOOKUP($A206,成就条件映射!$A$4:$D$66,4)=0,"",VLOOKUP($A206,成就条件映射!$A$4:$D$66,4)))</f>
        <v/>
      </c>
      <c r="I206" s="3">
        <f>A204*100+J206</f>
        <v>501203</v>
      </c>
      <c r="J206" s="3">
        <f t="shared" si="18"/>
        <v>3</v>
      </c>
      <c r="K206" s="8"/>
      <c r="L206" s="8"/>
      <c r="M206" s="4" t="str">
        <f t="shared" si="19"/>
        <v>achievementAccumulative{achieveId:5012,count:900000}</v>
      </c>
      <c r="N206" s="3" t="s">
        <v>115</v>
      </c>
      <c r="O206" s="3">
        <v>1707523</v>
      </c>
      <c r="Q206" s="3">
        <f t="shared" si="20"/>
        <v>5012</v>
      </c>
      <c r="R206" s="3">
        <v>900000</v>
      </c>
      <c r="W206" s="3">
        <v>5</v>
      </c>
      <c r="X206" s="3">
        <v>12</v>
      </c>
      <c r="Y206" s="43"/>
    </row>
    <row r="207" spans="1:28" s="3" customFormat="1" x14ac:dyDescent="0.3">
      <c r="B207" s="3" t="str">
        <f t="shared" si="17"/>
        <v/>
      </c>
      <c r="C207" s="3" t="str">
        <f>IF($A207=0,"",IF(VLOOKUP($A207,成就条件映射!$A$4:$D$66,2)=0,"",VLOOKUP($A207,成就条件映射!$A$4:$D$66,2)))</f>
        <v/>
      </c>
      <c r="D207" s="3" t="str">
        <f>IF($A207=0,"",IF(VLOOKUP($A207,成就条件映射!$A$4:$D$66,3)=0,"",VLOOKUP($A207,成就条件映射!$A$4:$D$66,3)))</f>
        <v/>
      </c>
      <c r="E207" s="3" t="str">
        <f>IF($A207=0,"",IF(VLOOKUP($A207,成就条件映射!$A$4:$D$66,4)=0,"",VLOOKUP($A207,成就条件映射!$A$4:$D$66,4)))</f>
        <v/>
      </c>
      <c r="I207" s="3">
        <f>A204*100+J207</f>
        <v>501204</v>
      </c>
      <c r="J207" s="3">
        <f t="shared" si="18"/>
        <v>4</v>
      </c>
      <c r="K207" s="8"/>
      <c r="L207" s="8"/>
      <c r="M207" s="4" t="str">
        <f t="shared" si="19"/>
        <v>achievementAccumulative{achieveId:5012,count:2000000}</v>
      </c>
      <c r="N207" s="3" t="s">
        <v>115</v>
      </c>
      <c r="O207" s="3">
        <v>1707524</v>
      </c>
      <c r="Q207" s="3">
        <f t="shared" si="20"/>
        <v>5012</v>
      </c>
      <c r="R207" s="3">
        <v>2000000</v>
      </c>
      <c r="W207" s="3">
        <v>5</v>
      </c>
      <c r="X207" s="3">
        <v>12</v>
      </c>
      <c r="Y207" s="43"/>
    </row>
    <row r="208" spans="1:28" s="3" customFormat="1" x14ac:dyDescent="0.3">
      <c r="C208" s="3" t="str">
        <f>IF($A208=0,"",IF(VLOOKUP($A208,成就条件映射!$A$4:$D$66,2)=0,"",VLOOKUP($A208,成就条件映射!$A$4:$D$66,2)))</f>
        <v/>
      </c>
      <c r="D208" s="3" t="str">
        <f>IF($A208=0,"",IF(VLOOKUP($A208,成就条件映射!$A$4:$D$66,3)=0,"",VLOOKUP($A208,成就条件映射!$A$4:$D$66,3)))</f>
        <v/>
      </c>
      <c r="E208" s="3" t="str">
        <f>IF($A208=0,"",IF(VLOOKUP($A208,成就条件映射!$A$4:$D$66,4)=0,"",VLOOKUP($A208,成就条件映射!$A$4:$D$66,4)))</f>
        <v/>
      </c>
      <c r="I208" s="3">
        <f>A204*100+J208</f>
        <v>501205</v>
      </c>
      <c r="J208" s="3">
        <f t="shared" si="18"/>
        <v>5</v>
      </c>
      <c r="K208" s="8"/>
      <c r="L208" s="8"/>
      <c r="M208" s="4" t="str">
        <f t="shared" si="19"/>
        <v>achievementAccumulative{achieveId:5012,count:3000000}</v>
      </c>
      <c r="N208" s="3" t="s">
        <v>115</v>
      </c>
      <c r="O208" s="3">
        <v>1707525</v>
      </c>
      <c r="Q208" s="3">
        <f t="shared" si="20"/>
        <v>5012</v>
      </c>
      <c r="R208" s="3">
        <v>3000000</v>
      </c>
      <c r="W208" s="3">
        <v>5</v>
      </c>
      <c r="X208" s="3">
        <v>12</v>
      </c>
      <c r="Y208" s="43"/>
    </row>
    <row r="209" spans="1:28" s="3" customFormat="1" x14ac:dyDescent="0.3">
      <c r="A209" s="3">
        <f>W209*1000+X209</f>
        <v>5013</v>
      </c>
      <c r="C209" s="3" t="str">
        <f>IF($A209=0,"",IF(VLOOKUP($A209,成就条件映射!$A$4:$D$66,2)=0,"",VLOOKUP($A209,成就条件映射!$A$4:$D$66,2)))</f>
        <v/>
      </c>
      <c r="D209" s="3" t="str">
        <f>IF($A209=0,"",IF(VLOOKUP($A209,成就条件映射!$A$4:$D$66,3)=0,"",VLOOKUP($A209,成就条件映射!$A$4:$D$66,3)))</f>
        <v/>
      </c>
      <c r="E209" s="3" t="str">
        <f>IF($A209=0,"",IF(VLOOKUP($A209,成就条件映射!$A$4:$D$66,4)=0,"",VLOOKUP($A209,成就条件映射!$A$4:$D$66,4)))</f>
        <v/>
      </c>
      <c r="F209" s="3">
        <v>2</v>
      </c>
      <c r="G209" s="3" t="s">
        <v>114</v>
      </c>
      <c r="H209" s="3" t="str">
        <f>"icon_silver_"&amp;Y209</f>
        <v>icon_silver_</v>
      </c>
      <c r="I209" s="3">
        <f>A209*100+J209</f>
        <v>501301</v>
      </c>
      <c r="J209" s="3">
        <f t="shared" si="18"/>
        <v>1</v>
      </c>
      <c r="K209" s="8"/>
      <c r="L209" s="8"/>
      <c r="M209" s="4" t="str">
        <f t="shared" si="19"/>
        <v>achievementAccumulative{achieveId:5013,count:1}</v>
      </c>
      <c r="N209" s="3" t="s">
        <v>115</v>
      </c>
      <c r="O209" s="3">
        <v>1707521</v>
      </c>
      <c r="Q209" s="3">
        <f t="shared" si="20"/>
        <v>5013</v>
      </c>
      <c r="R209" s="3">
        <v>1</v>
      </c>
      <c r="W209" s="3">
        <v>5</v>
      </c>
      <c r="X209" s="3">
        <v>13</v>
      </c>
      <c r="Y209" s="43"/>
    </row>
    <row r="210" spans="1:28" s="3" customFormat="1" x14ac:dyDescent="0.3">
      <c r="C210" s="3" t="str">
        <f>IF($A210=0,"",IF(VLOOKUP($A210,成就条件映射!$A$4:$D$66,2)=0,"",VLOOKUP($A210,成就条件映射!$A$4:$D$66,2)))</f>
        <v/>
      </c>
      <c r="D210" s="3" t="str">
        <f>IF($A210=0,"",IF(VLOOKUP($A210,成就条件映射!$A$4:$D$66,3)=0,"",VLOOKUP($A210,成就条件映射!$A$4:$D$66,3)))</f>
        <v/>
      </c>
      <c r="E210" s="3" t="str">
        <f>IF($A210=0,"",IF(VLOOKUP($A210,成就条件映射!$A$4:$D$66,4)=0,"",VLOOKUP($A210,成就条件映射!$A$4:$D$66,4)))</f>
        <v/>
      </c>
      <c r="I210" s="3">
        <f>A209*100+J210</f>
        <v>501302</v>
      </c>
      <c r="J210" s="3">
        <f t="shared" si="18"/>
        <v>2</v>
      </c>
      <c r="K210" s="8"/>
      <c r="L210" s="8"/>
      <c r="M210" s="4" t="str">
        <f t="shared" si="19"/>
        <v>achievementAccumulative{achieveId:5013,count:2}</v>
      </c>
      <c r="N210" s="3" t="s">
        <v>115</v>
      </c>
      <c r="O210" s="3">
        <v>1707522</v>
      </c>
      <c r="Q210" s="3">
        <f t="shared" si="20"/>
        <v>5013</v>
      </c>
      <c r="R210" s="3">
        <v>2</v>
      </c>
      <c r="W210" s="3">
        <v>5</v>
      </c>
      <c r="X210" s="3">
        <v>13</v>
      </c>
      <c r="Y210" s="43"/>
    </row>
    <row r="211" spans="1:28" s="3" customFormat="1" x14ac:dyDescent="0.3">
      <c r="C211" s="3" t="str">
        <f>IF($A211=0,"",IF(VLOOKUP($A211,成就条件映射!$A$4:$D$66,2)=0,"",VLOOKUP($A211,成就条件映射!$A$4:$D$66,2)))</f>
        <v/>
      </c>
      <c r="D211" s="3" t="str">
        <f>IF($A211=0,"",IF(VLOOKUP($A211,成就条件映射!$A$4:$D$66,3)=0,"",VLOOKUP($A211,成就条件映射!$A$4:$D$66,3)))</f>
        <v/>
      </c>
      <c r="E211" s="3" t="str">
        <f>IF($A211=0,"",IF(VLOOKUP($A211,成就条件映射!$A$4:$D$66,4)=0,"",VLOOKUP($A211,成就条件映射!$A$4:$D$66,4)))</f>
        <v/>
      </c>
      <c r="I211" s="3">
        <f>A209*100+J211</f>
        <v>501303</v>
      </c>
      <c r="J211" s="3">
        <f t="shared" si="18"/>
        <v>3</v>
      </c>
      <c r="K211" s="8"/>
      <c r="L211" s="8"/>
      <c r="M211" s="4" t="str">
        <f t="shared" si="19"/>
        <v>achievementAccumulative{achieveId:5013,count:3}</v>
      </c>
      <c r="N211" s="3" t="s">
        <v>115</v>
      </c>
      <c r="O211" s="3">
        <v>1707523</v>
      </c>
      <c r="Q211" s="3">
        <f t="shared" si="20"/>
        <v>5013</v>
      </c>
      <c r="R211" s="3">
        <v>3</v>
      </c>
      <c r="W211" s="3">
        <v>5</v>
      </c>
      <c r="X211" s="3">
        <v>13</v>
      </c>
      <c r="Y211" s="43"/>
    </row>
    <row r="212" spans="1:28" s="3" customFormat="1" x14ac:dyDescent="0.3">
      <c r="B212" s="3" t="str">
        <f t="shared" ref="B212:B222" si="21">IF(A212=0,"",INT(A212/1000))</f>
        <v/>
      </c>
      <c r="C212" s="3" t="str">
        <f>IF($A212=0,"",IF(VLOOKUP($A212,成就条件映射!$A$4:$D$66,2)=0,"",VLOOKUP($A212,成就条件映射!$A$4:$D$66,2)))</f>
        <v/>
      </c>
      <c r="D212" s="3" t="str">
        <f>IF($A212=0,"",IF(VLOOKUP($A212,成就条件映射!$A$4:$D$66,3)=0,"",VLOOKUP($A212,成就条件映射!$A$4:$D$66,3)))</f>
        <v/>
      </c>
      <c r="E212" s="3" t="str">
        <f>IF($A212=0,"",IF(VLOOKUP($A212,成就条件映射!$A$4:$D$66,4)=0,"",VLOOKUP($A212,成就条件映射!$A$4:$D$66,4)))</f>
        <v/>
      </c>
      <c r="I212" s="3">
        <f>A209*100+J212</f>
        <v>501304</v>
      </c>
      <c r="J212" s="3">
        <f t="shared" si="18"/>
        <v>4</v>
      </c>
      <c r="K212" s="8"/>
      <c r="L212" s="8"/>
      <c r="M212" s="4" t="str">
        <f t="shared" si="19"/>
        <v>achievementAccumulative{achieveId:5013,count:4}</v>
      </c>
      <c r="N212" s="3" t="s">
        <v>115</v>
      </c>
      <c r="O212" s="3">
        <v>1707524</v>
      </c>
      <c r="Q212" s="3">
        <f t="shared" si="20"/>
        <v>5013</v>
      </c>
      <c r="R212" s="3">
        <v>4</v>
      </c>
      <c r="W212" s="3">
        <v>5</v>
      </c>
      <c r="X212" s="3">
        <v>13</v>
      </c>
      <c r="Y212" s="43"/>
    </row>
    <row r="213" spans="1:28" s="3" customFormat="1" x14ac:dyDescent="0.3">
      <c r="B213" s="3" t="str">
        <f t="shared" si="21"/>
        <v/>
      </c>
      <c r="C213" s="3" t="str">
        <f>IF($A213=0,"",IF(VLOOKUP($A213,成就条件映射!$A$4:$D$66,2)=0,"",VLOOKUP($A213,成就条件映射!$A$4:$D$66,2)))</f>
        <v/>
      </c>
      <c r="D213" s="3" t="str">
        <f>IF($A213=0,"",IF(VLOOKUP($A213,成就条件映射!$A$4:$D$66,3)=0,"",VLOOKUP($A213,成就条件映射!$A$4:$D$66,3)))</f>
        <v/>
      </c>
      <c r="E213" s="3" t="str">
        <f>IF($A213=0,"",IF(VLOOKUP($A213,成就条件映射!$A$4:$D$66,4)=0,"",VLOOKUP($A213,成就条件映射!$A$4:$D$66,4)))</f>
        <v/>
      </c>
      <c r="I213" s="3">
        <f>A209*100+J213</f>
        <v>501305</v>
      </c>
      <c r="J213" s="3">
        <f t="shared" si="18"/>
        <v>5</v>
      </c>
      <c r="K213" s="8"/>
      <c r="L213" s="8"/>
      <c r="M213" s="4" t="str">
        <f t="shared" si="19"/>
        <v>achievementAccumulative{achieveId:5013,count:5}</v>
      </c>
      <c r="N213" s="3" t="s">
        <v>115</v>
      </c>
      <c r="O213" s="3">
        <v>1707525</v>
      </c>
      <c r="Q213" s="3">
        <f t="shared" si="20"/>
        <v>5013</v>
      </c>
      <c r="R213" s="3">
        <v>5</v>
      </c>
      <c r="W213" s="3">
        <v>5</v>
      </c>
      <c r="X213" s="3">
        <v>13</v>
      </c>
      <c r="Y213" s="43"/>
    </row>
    <row r="214" spans="1:28" s="3" customFormat="1" x14ac:dyDescent="0.3">
      <c r="A214" s="3">
        <f>W214*1000+X214</f>
        <v>5021</v>
      </c>
      <c r="B214" s="3">
        <f t="shared" si="21"/>
        <v>5</v>
      </c>
      <c r="C214" s="3" t="s">
        <v>190</v>
      </c>
      <c r="D214" s="3" t="s">
        <v>191</v>
      </c>
      <c r="E214" s="3" t="s">
        <v>113</v>
      </c>
      <c r="F214" s="3">
        <v>3</v>
      </c>
      <c r="G214" s="3" t="s">
        <v>114</v>
      </c>
      <c r="H214" s="3" t="str">
        <f>"icon_kim_"&amp;Y214</f>
        <v>icon_kim_01</v>
      </c>
      <c r="I214" s="3">
        <f>A214*100+J214</f>
        <v>502101</v>
      </c>
      <c r="J214" s="3">
        <f t="shared" si="18"/>
        <v>1</v>
      </c>
      <c r="K214" s="8"/>
      <c r="L214" s="8"/>
      <c r="M214" s="4" t="str">
        <f t="shared" si="19"/>
        <v>achievementAccumulative{achieveId:5021,count:4000}</v>
      </c>
      <c r="N214" s="3" t="s">
        <v>115</v>
      </c>
      <c r="O214" s="3">
        <v>1707531</v>
      </c>
      <c r="Q214" s="3">
        <f t="shared" si="20"/>
        <v>5021</v>
      </c>
      <c r="R214" s="3">
        <v>4000</v>
      </c>
      <c r="W214" s="3">
        <v>5</v>
      </c>
      <c r="X214" s="3">
        <v>21</v>
      </c>
      <c r="Y214" s="43" t="s">
        <v>192</v>
      </c>
      <c r="Z214" t="str">
        <f>IF($A214=0,"",IF(VLOOKUP($A214,成就条件映射!$A$4:$D$66,2)=0,"",VLOOKUP($A214,成就条件映射!$A$4:$D$66,2)))</f>
        <v>真正的野蛮</v>
      </c>
      <c r="AA214" t="str">
        <f>IF($A214=0,"",IF(VLOOKUP($A214,成就条件映射!$A$4:$D$66,3)=0,"",VLOOKUP($A214,成就条件映射!$A$4:$D$66,3)))</f>
        <v>在&lt;color=#ffc766&gt;单场战斗&lt;/color&gt;中，&lt;color=#ffc766&gt;普通攻击&lt;/color&gt;累计造成的&lt;color=#ffc766&gt;最大伤害量&lt;/color&gt;（包括暴击）</v>
      </c>
      <c r="AB214" t="str">
        <f>IF($A214=0,"",IF(VLOOKUP($A214,成就条件映射!$A$4:$D$66,4)=0,"",VLOOKUP($A214,成就条件映射!$A$4:$D$66,4)))</f>
        <v>当前累计伤害</v>
      </c>
    </row>
    <row r="215" spans="1:28" s="3" customFormat="1" x14ac:dyDescent="0.3">
      <c r="B215" s="3" t="str">
        <f t="shared" si="21"/>
        <v/>
      </c>
      <c r="C215" s="3" t="str">
        <f>IF($A215=0,"",IF(VLOOKUP($A215,成就条件映射!$A$4:$D$66,2)=0,"",VLOOKUP($A215,成就条件映射!$A$4:$D$66,2)))</f>
        <v/>
      </c>
      <c r="D215" s="3" t="str">
        <f>IF($A215=0,"",IF(VLOOKUP($A215,成就条件映射!$A$4:$D$66,3)=0,"",VLOOKUP($A215,成就条件映射!$A$4:$D$66,3)))</f>
        <v/>
      </c>
      <c r="E215" s="3" t="str">
        <f>IF($A215=0,"",IF(VLOOKUP($A215,成就条件映射!$A$4:$D$66,4)=0,"",VLOOKUP($A215,成就条件映射!$A$4:$D$66,4)))</f>
        <v/>
      </c>
      <c r="I215" s="3">
        <f>A214*100+J215</f>
        <v>502102</v>
      </c>
      <c r="J215" s="3">
        <f t="shared" si="18"/>
        <v>2</v>
      </c>
      <c r="K215" s="8"/>
      <c r="L215" s="8"/>
      <c r="M215" s="4" t="str">
        <f t="shared" si="19"/>
        <v>achievementAccumulative{achieveId:5021,count:12000}</v>
      </c>
      <c r="N215" s="3" t="s">
        <v>115</v>
      </c>
      <c r="O215" s="3">
        <v>1707532</v>
      </c>
      <c r="Q215" s="3">
        <f t="shared" si="20"/>
        <v>5021</v>
      </c>
      <c r="R215" s="3">
        <v>12000</v>
      </c>
      <c r="W215" s="3">
        <v>5</v>
      </c>
      <c r="X215" s="3">
        <v>21</v>
      </c>
      <c r="Y215" s="43"/>
    </row>
    <row r="216" spans="1:28" s="3" customFormat="1" x14ac:dyDescent="0.3">
      <c r="B216" s="3" t="str">
        <f t="shared" si="21"/>
        <v/>
      </c>
      <c r="C216" s="3" t="str">
        <f>IF($A216=0,"",IF(VLOOKUP($A216,成就条件映射!$A$4:$D$66,2)=0,"",VLOOKUP($A216,成就条件映射!$A$4:$D$66,2)))</f>
        <v/>
      </c>
      <c r="D216" s="3" t="str">
        <f>IF($A216=0,"",IF(VLOOKUP($A216,成就条件映射!$A$4:$D$66,3)=0,"",VLOOKUP($A216,成就条件映射!$A$4:$D$66,3)))</f>
        <v/>
      </c>
      <c r="E216" s="3" t="str">
        <f>IF($A216=0,"",IF(VLOOKUP($A216,成就条件映射!$A$4:$D$66,4)=0,"",VLOOKUP($A216,成就条件映射!$A$4:$D$66,4)))</f>
        <v/>
      </c>
      <c r="I216" s="3">
        <f>A214*100+J216</f>
        <v>502103</v>
      </c>
      <c r="J216" s="3">
        <f t="shared" si="18"/>
        <v>3</v>
      </c>
      <c r="K216" s="8"/>
      <c r="L216" s="8"/>
      <c r="M216" s="4" t="str">
        <f t="shared" si="19"/>
        <v>achievementAccumulative{achieveId:5021,count:14000}</v>
      </c>
      <c r="N216" s="3" t="s">
        <v>115</v>
      </c>
      <c r="O216" s="3">
        <v>1707533</v>
      </c>
      <c r="Q216" s="3">
        <f t="shared" si="20"/>
        <v>5021</v>
      </c>
      <c r="R216" s="3">
        <v>14000</v>
      </c>
      <c r="W216" s="3">
        <v>5</v>
      </c>
      <c r="X216" s="3">
        <v>21</v>
      </c>
      <c r="Y216" s="43"/>
    </row>
    <row r="217" spans="1:28" s="3" customFormat="1" x14ac:dyDescent="0.3">
      <c r="B217" s="3" t="str">
        <f t="shared" si="21"/>
        <v/>
      </c>
      <c r="C217" s="3" t="str">
        <f>IF($A217=0,"",IF(VLOOKUP($A217,成就条件映射!$A$4:$D$66,2)=0,"",VLOOKUP($A217,成就条件映射!$A$4:$D$66,2)))</f>
        <v/>
      </c>
      <c r="D217" s="3" t="str">
        <f>IF($A217=0,"",IF(VLOOKUP($A217,成就条件映射!$A$4:$D$66,3)=0,"",VLOOKUP($A217,成就条件映射!$A$4:$D$66,3)))</f>
        <v/>
      </c>
      <c r="E217" s="3" t="str">
        <f>IF($A217=0,"",IF(VLOOKUP($A217,成就条件映射!$A$4:$D$66,4)=0,"",VLOOKUP($A217,成就条件映射!$A$4:$D$66,4)))</f>
        <v/>
      </c>
      <c r="I217" s="3">
        <f>A214*100+J217</f>
        <v>502104</v>
      </c>
      <c r="J217" s="3">
        <f t="shared" si="18"/>
        <v>4</v>
      </c>
      <c r="K217" s="8"/>
      <c r="L217" s="8"/>
      <c r="M217" s="4" t="str">
        <f t="shared" si="19"/>
        <v>achievementAccumulative{achieveId:5021,count:18000}</v>
      </c>
      <c r="N217" s="3" t="s">
        <v>115</v>
      </c>
      <c r="O217" s="3">
        <v>1707534</v>
      </c>
      <c r="Q217" s="3">
        <f t="shared" si="20"/>
        <v>5021</v>
      </c>
      <c r="R217" s="3">
        <v>18000</v>
      </c>
      <c r="W217" s="3">
        <v>5</v>
      </c>
      <c r="X217" s="3">
        <v>21</v>
      </c>
      <c r="Y217" s="43"/>
    </row>
    <row r="218" spans="1:28" s="3" customFormat="1" x14ac:dyDescent="0.3">
      <c r="B218" s="3" t="str">
        <f t="shared" si="21"/>
        <v/>
      </c>
      <c r="C218" s="3" t="str">
        <f>IF($A218=0,"",IF(VLOOKUP($A218,成就条件映射!$A$4:$D$66,2)=0,"",VLOOKUP($A218,成就条件映射!$A$4:$D$66,2)))</f>
        <v/>
      </c>
      <c r="D218" s="3" t="str">
        <f>IF($A218=0,"",IF(VLOOKUP($A218,成就条件映射!$A$4:$D$66,3)=0,"",VLOOKUP($A218,成就条件映射!$A$4:$D$66,3)))</f>
        <v/>
      </c>
      <c r="E218" s="3" t="str">
        <f>IF($A218=0,"",IF(VLOOKUP($A218,成就条件映射!$A$4:$D$66,4)=0,"",VLOOKUP($A218,成就条件映射!$A$4:$D$66,4)))</f>
        <v/>
      </c>
      <c r="I218" s="3">
        <f>A214*100+J218</f>
        <v>502105</v>
      </c>
      <c r="J218" s="3">
        <f t="shared" si="18"/>
        <v>5</v>
      </c>
      <c r="K218" s="8"/>
      <c r="L218" s="8"/>
      <c r="M218" s="4" t="str">
        <f t="shared" si="19"/>
        <v>achievementAccumulative{achieveId:5021,count:20000}</v>
      </c>
      <c r="N218" s="3" t="s">
        <v>115</v>
      </c>
      <c r="O218" s="3">
        <v>1707535</v>
      </c>
      <c r="Q218" s="3">
        <f t="shared" si="20"/>
        <v>5021</v>
      </c>
      <c r="R218" s="3">
        <v>20000</v>
      </c>
      <c r="W218" s="3">
        <v>5</v>
      </c>
      <c r="X218" s="3">
        <v>21</v>
      </c>
      <c r="Y218" s="43"/>
    </row>
    <row r="219" spans="1:28" s="3" customFormat="1" x14ac:dyDescent="0.3">
      <c r="A219" s="3">
        <f>W219*1000+X219</f>
        <v>5022</v>
      </c>
      <c r="B219" s="3">
        <f t="shared" si="21"/>
        <v>5</v>
      </c>
      <c r="C219" s="3" t="s">
        <v>193</v>
      </c>
      <c r="D219" s="3" t="s">
        <v>194</v>
      </c>
      <c r="E219" s="3" t="s">
        <v>128</v>
      </c>
      <c r="F219" s="3">
        <v>3</v>
      </c>
      <c r="G219" s="3" t="s">
        <v>114</v>
      </c>
      <c r="H219" s="3" t="str">
        <f>"icon_kim_"&amp;Y219</f>
        <v>icon_kim_15</v>
      </c>
      <c r="I219" s="3">
        <f>A219*100+J219</f>
        <v>502201</v>
      </c>
      <c r="J219" s="3">
        <f t="shared" si="18"/>
        <v>1</v>
      </c>
      <c r="K219" s="8"/>
      <c r="L219" s="8"/>
      <c r="M219" s="4" t="str">
        <f t="shared" si="19"/>
        <v>achievementAccumulative{achieveId:5022,count:1200}</v>
      </c>
      <c r="N219" s="3" t="s">
        <v>115</v>
      </c>
      <c r="O219" s="3">
        <v>1707531</v>
      </c>
      <c r="Q219" s="3">
        <f t="shared" si="20"/>
        <v>5022</v>
      </c>
      <c r="R219" s="3">
        <v>1200</v>
      </c>
      <c r="W219" s="3">
        <v>5</v>
      </c>
      <c r="X219" s="3">
        <v>22</v>
      </c>
      <c r="Y219" s="43" t="s">
        <v>195</v>
      </c>
      <c r="Z219" t="str">
        <f>IF($A219=0,"",IF(VLOOKUP($A219,成就条件映射!$A$4:$D$66,2)=0,"",VLOOKUP($A219,成就条件映射!$A$4:$D$66,2)))</f>
        <v>一刺穿心</v>
      </c>
      <c r="AA219" t="str">
        <f>IF($A219=0,"",IF(VLOOKUP($A219,成就条件映射!$A$4:$D$66,3)=0,"",VLOOKUP($A219,成就条件映射!$A$4:$D$66,3)))</f>
        <v>我方部队&lt;color=#ffc766&gt;追击技能&lt;/color&gt;造成的&lt;color=#ffc766&gt;单次最大武力&lt;/color&gt;&lt;color=#ffc766&gt;伤害量&lt;/color&gt;</v>
      </c>
      <c r="AB219" t="str">
        <f>IF($A219=0,"",IF(VLOOKUP($A219,成就条件映射!$A$4:$D$66,4)=0,"",VLOOKUP($A219,成就条件映射!$A$4:$D$66,4)))</f>
        <v>当前造成伤害</v>
      </c>
    </row>
    <row r="220" spans="1:28" s="3" customFormat="1" x14ac:dyDescent="0.3">
      <c r="B220" s="3" t="str">
        <f t="shared" si="21"/>
        <v/>
      </c>
      <c r="C220" s="3" t="str">
        <f>IF($A220=0,"",IF(VLOOKUP($A220,成就条件映射!$A$4:$D$66,2)=0,"",VLOOKUP($A220,成就条件映射!$A$4:$D$66,2)))</f>
        <v/>
      </c>
      <c r="D220" s="3" t="str">
        <f>IF($A220=0,"",IF(VLOOKUP($A220,成就条件映射!$A$4:$D$66,3)=0,"",VLOOKUP($A220,成就条件映射!$A$4:$D$66,3)))</f>
        <v/>
      </c>
      <c r="E220" s="3" t="str">
        <f>IF($A220=0,"",IF(VLOOKUP($A220,成就条件映射!$A$4:$D$66,4)=0,"",VLOOKUP($A220,成就条件映射!$A$4:$D$66,4)))</f>
        <v/>
      </c>
      <c r="I220" s="3">
        <f>A219*100+J220</f>
        <v>502202</v>
      </c>
      <c r="J220" s="3">
        <f t="shared" si="18"/>
        <v>2</v>
      </c>
      <c r="K220" s="8"/>
      <c r="L220" s="8"/>
      <c r="M220" s="4" t="str">
        <f t="shared" si="19"/>
        <v>achievementAccumulative{achieveId:5022,count:3500}</v>
      </c>
      <c r="N220" s="3" t="s">
        <v>115</v>
      </c>
      <c r="O220" s="3">
        <v>1707532</v>
      </c>
      <c r="Q220" s="3">
        <f t="shared" si="20"/>
        <v>5022</v>
      </c>
      <c r="R220" s="3">
        <v>3500</v>
      </c>
      <c r="W220" s="3">
        <v>5</v>
      </c>
      <c r="X220" s="3">
        <v>22</v>
      </c>
      <c r="Y220" s="43"/>
    </row>
    <row r="221" spans="1:28" s="3" customFormat="1" x14ac:dyDescent="0.3">
      <c r="B221" s="3" t="str">
        <f t="shared" si="21"/>
        <v/>
      </c>
      <c r="C221" s="3" t="str">
        <f>IF($A221=0,"",IF(VLOOKUP($A221,成就条件映射!$A$4:$D$66,2)=0,"",VLOOKUP($A221,成就条件映射!$A$4:$D$66,2)))</f>
        <v/>
      </c>
      <c r="D221" s="3" t="str">
        <f>IF($A221=0,"",IF(VLOOKUP($A221,成就条件映射!$A$4:$D$66,3)=0,"",VLOOKUP($A221,成就条件映射!$A$4:$D$66,3)))</f>
        <v/>
      </c>
      <c r="E221" s="3" t="str">
        <f>IF($A221=0,"",IF(VLOOKUP($A221,成就条件映射!$A$4:$D$66,4)=0,"",VLOOKUP($A221,成就条件映射!$A$4:$D$66,4)))</f>
        <v/>
      </c>
      <c r="I221" s="3">
        <f>A219*100+J221</f>
        <v>502203</v>
      </c>
      <c r="J221" s="3">
        <f t="shared" si="18"/>
        <v>3</v>
      </c>
      <c r="K221" s="8"/>
      <c r="L221" s="8"/>
      <c r="M221" s="4" t="str">
        <f t="shared" si="19"/>
        <v>achievementAccumulative{achieveId:5022,count:4100}</v>
      </c>
      <c r="N221" s="3" t="s">
        <v>115</v>
      </c>
      <c r="O221" s="3">
        <v>1707533</v>
      </c>
      <c r="Q221" s="3">
        <f t="shared" si="20"/>
        <v>5022</v>
      </c>
      <c r="R221" s="3">
        <v>4100</v>
      </c>
      <c r="W221" s="3">
        <v>5</v>
      </c>
      <c r="X221" s="3">
        <v>22</v>
      </c>
      <c r="Y221" s="43"/>
    </row>
    <row r="222" spans="1:28" s="3" customFormat="1" x14ac:dyDescent="0.3">
      <c r="B222" s="3" t="str">
        <f t="shared" si="21"/>
        <v/>
      </c>
      <c r="C222" s="3" t="str">
        <f>IF($A222=0,"",IF(VLOOKUP($A222,成就条件映射!$A$4:$D$66,2)=0,"",VLOOKUP($A222,成就条件映射!$A$4:$D$66,2)))</f>
        <v/>
      </c>
      <c r="D222" s="3" t="str">
        <f>IF($A222=0,"",IF(VLOOKUP($A222,成就条件映射!$A$4:$D$66,3)=0,"",VLOOKUP($A222,成就条件映射!$A$4:$D$66,3)))</f>
        <v/>
      </c>
      <c r="E222" s="3" t="str">
        <f>IF($A222=0,"",IF(VLOOKUP($A222,成就条件映射!$A$4:$D$66,4)=0,"",VLOOKUP($A222,成就条件映射!$A$4:$D$66,4)))</f>
        <v/>
      </c>
      <c r="I222" s="3">
        <f>A219*100+J222</f>
        <v>502204</v>
      </c>
      <c r="J222" s="3">
        <f t="shared" si="18"/>
        <v>4</v>
      </c>
      <c r="K222" s="8"/>
      <c r="L222" s="8"/>
      <c r="M222" s="4" t="str">
        <f t="shared" si="19"/>
        <v>achievementAccumulative{achieveId:5022,count:5300}</v>
      </c>
      <c r="N222" s="3" t="s">
        <v>115</v>
      </c>
      <c r="O222" s="3">
        <v>1707534</v>
      </c>
      <c r="Q222" s="3">
        <f t="shared" si="20"/>
        <v>5022</v>
      </c>
      <c r="R222" s="3">
        <v>5300</v>
      </c>
      <c r="W222" s="3">
        <v>5</v>
      </c>
      <c r="X222" s="3">
        <v>22</v>
      </c>
      <c r="Y222" s="43"/>
    </row>
    <row r="223" spans="1:28" s="3" customFormat="1" x14ac:dyDescent="0.3">
      <c r="C223" s="3" t="str">
        <f>IF($A223=0,"",IF(VLOOKUP($A223,成就条件映射!$A$4:$D$66,2)=0,"",VLOOKUP($A223,成就条件映射!$A$4:$D$66,2)))</f>
        <v/>
      </c>
      <c r="D223" s="3" t="str">
        <f>IF($A223=0,"",IF(VLOOKUP($A223,成就条件映射!$A$4:$D$66,3)=0,"",VLOOKUP($A223,成就条件映射!$A$4:$D$66,3)))</f>
        <v/>
      </c>
      <c r="E223" s="3" t="str">
        <f>IF($A223=0,"",IF(VLOOKUP($A223,成就条件映射!$A$4:$D$66,4)=0,"",VLOOKUP($A223,成就条件映射!$A$4:$D$66,4)))</f>
        <v/>
      </c>
      <c r="I223" s="3">
        <f>A219*100+J223</f>
        <v>502205</v>
      </c>
      <c r="J223" s="3">
        <f t="shared" si="18"/>
        <v>5</v>
      </c>
      <c r="K223" s="8"/>
      <c r="L223" s="8"/>
      <c r="M223" s="4" t="str">
        <f t="shared" si="19"/>
        <v>achievementAccumulative{achieveId:5022,count:5800}</v>
      </c>
      <c r="N223" s="3" t="s">
        <v>115</v>
      </c>
      <c r="O223" s="3">
        <v>1707535</v>
      </c>
      <c r="Q223" s="3">
        <f t="shared" si="20"/>
        <v>5022</v>
      </c>
      <c r="R223" s="3">
        <v>5800</v>
      </c>
      <c r="W223" s="3">
        <v>5</v>
      </c>
      <c r="X223" s="3">
        <v>22</v>
      </c>
      <c r="Y223" s="43"/>
    </row>
    <row r="224" spans="1:28" s="3" customFormat="1" x14ac:dyDescent="0.3">
      <c r="A224" s="3">
        <f>W224*1000+X224</f>
        <v>5023</v>
      </c>
      <c r="C224" s="3" t="str">
        <f>IF($A224=0,"",IF(VLOOKUP($A224,成就条件映射!$A$4:$D$66,2)=0,"",VLOOKUP($A224,成就条件映射!$A$4:$D$66,2)))</f>
        <v/>
      </c>
      <c r="D224" s="3" t="str">
        <f>IF($A224=0,"",IF(VLOOKUP($A224,成就条件映射!$A$4:$D$66,3)=0,"",VLOOKUP($A224,成就条件映射!$A$4:$D$66,3)))</f>
        <v/>
      </c>
      <c r="E224" s="3" t="str">
        <f>IF($A224=0,"",IF(VLOOKUP($A224,成就条件映射!$A$4:$D$66,4)=0,"",VLOOKUP($A224,成就条件映射!$A$4:$D$66,4)))</f>
        <v/>
      </c>
      <c r="F224" s="3">
        <v>3</v>
      </c>
      <c r="G224" s="3" t="s">
        <v>114</v>
      </c>
      <c r="H224" s="3" t="str">
        <f>"icon_kim_"&amp;Y224</f>
        <v>icon_kim_</v>
      </c>
      <c r="I224" s="3">
        <f>A224*100+J224</f>
        <v>502301</v>
      </c>
      <c r="J224" s="3">
        <f t="shared" si="18"/>
        <v>1</v>
      </c>
      <c r="K224" s="8"/>
      <c r="L224" s="8"/>
      <c r="M224" s="4" t="str">
        <f t="shared" si="19"/>
        <v>achievementAccumulative{achieveId:5023,count:1}</v>
      </c>
      <c r="N224" s="3" t="s">
        <v>115</v>
      </c>
      <c r="O224" s="3">
        <v>1707531</v>
      </c>
      <c r="Q224" s="3">
        <f t="shared" si="20"/>
        <v>5023</v>
      </c>
      <c r="R224" s="3">
        <v>1</v>
      </c>
      <c r="W224" s="3">
        <v>5</v>
      </c>
      <c r="X224" s="3">
        <v>23</v>
      </c>
      <c r="Y224" s="43"/>
    </row>
    <row r="225" spans="1:28" s="3" customFormat="1" x14ac:dyDescent="0.3">
      <c r="B225" s="3" t="str">
        <f t="shared" ref="B225:B252" si="22">IF(A225=0,"",INT(A225/1000))</f>
        <v/>
      </c>
      <c r="C225" s="3" t="str">
        <f>IF($A225=0,"",IF(VLOOKUP($A225,成就条件映射!$A$4:$D$66,2)=0,"",VLOOKUP($A225,成就条件映射!$A$4:$D$66,2)))</f>
        <v/>
      </c>
      <c r="D225" s="3" t="str">
        <f>IF($A225=0,"",IF(VLOOKUP($A225,成就条件映射!$A$4:$D$66,3)=0,"",VLOOKUP($A225,成就条件映射!$A$4:$D$66,3)))</f>
        <v/>
      </c>
      <c r="E225" s="3" t="str">
        <f>IF($A225=0,"",IF(VLOOKUP($A225,成就条件映射!$A$4:$D$66,4)=0,"",VLOOKUP($A225,成就条件映射!$A$4:$D$66,4)))</f>
        <v/>
      </c>
      <c r="I225" s="3">
        <f>A224*100+J225</f>
        <v>502302</v>
      </c>
      <c r="J225" s="3">
        <f t="shared" si="18"/>
        <v>2</v>
      </c>
      <c r="K225" s="8"/>
      <c r="L225" s="8"/>
      <c r="M225" s="4" t="str">
        <f t="shared" si="19"/>
        <v>achievementAccumulative{achieveId:5023,count:2}</v>
      </c>
      <c r="N225" s="3" t="s">
        <v>115</v>
      </c>
      <c r="O225" s="3">
        <v>1707532</v>
      </c>
      <c r="Q225" s="3">
        <f t="shared" si="20"/>
        <v>5023</v>
      </c>
      <c r="R225" s="3">
        <v>2</v>
      </c>
      <c r="W225" s="3">
        <v>5</v>
      </c>
      <c r="X225" s="3">
        <v>23</v>
      </c>
      <c r="Y225" s="43"/>
    </row>
    <row r="226" spans="1:28" s="3" customFormat="1" x14ac:dyDescent="0.3">
      <c r="B226" s="3" t="str">
        <f t="shared" si="22"/>
        <v/>
      </c>
      <c r="C226" s="3" t="str">
        <f>IF($A226=0,"",IF(VLOOKUP($A226,成就条件映射!$A$4:$D$66,2)=0,"",VLOOKUP($A226,成就条件映射!$A$4:$D$66,2)))</f>
        <v/>
      </c>
      <c r="D226" s="3" t="str">
        <f>IF($A226=0,"",IF(VLOOKUP($A226,成就条件映射!$A$4:$D$66,3)=0,"",VLOOKUP($A226,成就条件映射!$A$4:$D$66,3)))</f>
        <v/>
      </c>
      <c r="E226" s="3" t="str">
        <f>IF($A226=0,"",IF(VLOOKUP($A226,成就条件映射!$A$4:$D$66,4)=0,"",VLOOKUP($A226,成就条件映射!$A$4:$D$66,4)))</f>
        <v/>
      </c>
      <c r="I226" s="3">
        <f>A224*100+J226</f>
        <v>502303</v>
      </c>
      <c r="J226" s="3">
        <f t="shared" si="18"/>
        <v>3</v>
      </c>
      <c r="K226" s="8"/>
      <c r="L226" s="8"/>
      <c r="M226" s="4" t="str">
        <f t="shared" si="19"/>
        <v>achievementAccumulative{achieveId:5023,count:3}</v>
      </c>
      <c r="N226" s="3" t="s">
        <v>115</v>
      </c>
      <c r="O226" s="3">
        <v>1707533</v>
      </c>
      <c r="Q226" s="3">
        <f t="shared" si="20"/>
        <v>5023</v>
      </c>
      <c r="R226" s="3">
        <v>3</v>
      </c>
      <c r="W226" s="3">
        <v>5</v>
      </c>
      <c r="X226" s="3">
        <v>23</v>
      </c>
      <c r="Y226" s="43"/>
    </row>
    <row r="227" spans="1:28" s="3" customFormat="1" x14ac:dyDescent="0.3">
      <c r="B227" s="3" t="str">
        <f t="shared" si="22"/>
        <v/>
      </c>
      <c r="C227" s="3" t="str">
        <f>IF($A227=0,"",IF(VLOOKUP($A227,成就条件映射!$A$4:$D$66,2)=0,"",VLOOKUP($A227,成就条件映射!$A$4:$D$66,2)))</f>
        <v/>
      </c>
      <c r="D227" s="3" t="str">
        <f>IF($A227=0,"",IF(VLOOKUP($A227,成就条件映射!$A$4:$D$66,3)=0,"",VLOOKUP($A227,成就条件映射!$A$4:$D$66,3)))</f>
        <v/>
      </c>
      <c r="E227" s="3" t="str">
        <f>IF($A227=0,"",IF(VLOOKUP($A227,成就条件映射!$A$4:$D$66,4)=0,"",VLOOKUP($A227,成就条件映射!$A$4:$D$66,4)))</f>
        <v/>
      </c>
      <c r="I227" s="3">
        <f>A224*100+J227</f>
        <v>502304</v>
      </c>
      <c r="J227" s="3">
        <f t="shared" si="18"/>
        <v>4</v>
      </c>
      <c r="K227" s="8"/>
      <c r="L227" s="8"/>
      <c r="M227" s="4" t="str">
        <f t="shared" si="19"/>
        <v>achievementAccumulative{achieveId:5023,count:4}</v>
      </c>
      <c r="N227" s="3" t="s">
        <v>115</v>
      </c>
      <c r="O227" s="3">
        <v>1707534</v>
      </c>
      <c r="Q227" s="3">
        <f t="shared" si="20"/>
        <v>5023</v>
      </c>
      <c r="R227" s="3">
        <v>4</v>
      </c>
      <c r="W227" s="3">
        <v>5</v>
      </c>
      <c r="X227" s="3">
        <v>23</v>
      </c>
      <c r="Y227" s="43"/>
    </row>
    <row r="228" spans="1:28" s="3" customFormat="1" x14ac:dyDescent="0.3">
      <c r="B228" s="3" t="str">
        <f t="shared" si="22"/>
        <v/>
      </c>
      <c r="C228" s="3" t="str">
        <f>IF($A228=0,"",IF(VLOOKUP($A228,成就条件映射!$A$4:$D$66,2)=0,"",VLOOKUP($A228,成就条件映射!$A$4:$D$66,2)))</f>
        <v/>
      </c>
      <c r="D228" s="3" t="str">
        <f>IF($A228=0,"",IF(VLOOKUP($A228,成就条件映射!$A$4:$D$66,3)=0,"",VLOOKUP($A228,成就条件映射!$A$4:$D$66,3)))</f>
        <v/>
      </c>
      <c r="E228" s="3" t="str">
        <f>IF($A228=0,"",IF(VLOOKUP($A228,成就条件映射!$A$4:$D$66,4)=0,"",VLOOKUP($A228,成就条件映射!$A$4:$D$66,4)))</f>
        <v/>
      </c>
      <c r="I228" s="3">
        <f>A224*100+J228</f>
        <v>502305</v>
      </c>
      <c r="J228" s="3">
        <f t="shared" si="18"/>
        <v>5</v>
      </c>
      <c r="K228" s="8"/>
      <c r="L228" s="8"/>
      <c r="M228" s="4" t="str">
        <f t="shared" si="19"/>
        <v>achievementAccumulative{achieveId:5023,count:5}</v>
      </c>
      <c r="N228" s="3" t="s">
        <v>115</v>
      </c>
      <c r="O228" s="3">
        <v>1707535</v>
      </c>
      <c r="Q228" s="3">
        <f t="shared" si="20"/>
        <v>5023</v>
      </c>
      <c r="R228" s="3">
        <v>5</v>
      </c>
      <c r="W228" s="3">
        <v>5</v>
      </c>
      <c r="X228" s="3">
        <v>23</v>
      </c>
      <c r="Y228" s="43"/>
    </row>
    <row r="229" spans="1:28" x14ac:dyDescent="0.3">
      <c r="A229" s="64">
        <f>W229*1000+X229</f>
        <v>6001</v>
      </c>
      <c r="B229" s="64">
        <f t="shared" si="22"/>
        <v>6</v>
      </c>
      <c r="C229" s="64" t="s">
        <v>111</v>
      </c>
      <c r="D229" s="64" t="s">
        <v>196</v>
      </c>
      <c r="E229" s="64" t="s">
        <v>113</v>
      </c>
      <c r="F229" s="64">
        <v>1</v>
      </c>
      <c r="G229" s="64" t="s">
        <v>114</v>
      </c>
      <c r="H229" s="64" t="str">
        <f>"icon_copper_"&amp;Y229</f>
        <v>icon_copper_07</v>
      </c>
      <c r="I229" s="64">
        <f>A229*100+J229</f>
        <v>600101</v>
      </c>
      <c r="J229" s="64">
        <f t="shared" si="18"/>
        <v>1</v>
      </c>
      <c r="K229" s="64">
        <v>7253</v>
      </c>
      <c r="L229" s="64">
        <v>7253</v>
      </c>
      <c r="M229" t="str">
        <f t="shared" si="19"/>
        <v>achievementAccumulative{achieveId:6001,count:30000}</v>
      </c>
      <c r="N229" s="64" t="s">
        <v>115</v>
      </c>
      <c r="O229" s="64">
        <v>1707511</v>
      </c>
      <c r="Q229" s="64">
        <f t="shared" si="20"/>
        <v>6001</v>
      </c>
      <c r="R229" s="64">
        <v>30000</v>
      </c>
      <c r="W229" s="64">
        <v>6</v>
      </c>
      <c r="X229" s="64">
        <v>1</v>
      </c>
      <c r="Y229" s="66" t="s">
        <v>116</v>
      </c>
      <c r="Z229" t="str">
        <f>IF($A229=0,"",IF(VLOOKUP($A229,成就条件映射!$A$4:$D$66,2)=0,"",VLOOKUP($A229,成就条件映射!$A$4:$D$66,2)))</f>
        <v>攻克资源点</v>
      </c>
      <c r="AA229" t="str">
        <f>IF($A229=0,"",IF(VLOOKUP($A229,成就条件映射!$A$4:$D$66,3)=0,"",VLOOKUP($A229,成就条件映射!$A$4:$D$66,3)))</f>
        <v>在与&lt;color=#ffc766&gt;资源点守军&lt;/color&gt;战斗中，我方部队使用&lt;color=#ffc766&gt;追击技能&lt;/color&gt;累计造成的&lt;color=#ffc766&gt;谋略&lt;/color&gt;&lt;color=#ffc766&gt;伤害量&lt;/color&gt;</v>
      </c>
      <c r="AB229" t="str">
        <f>IF($A229=0,"",IF(VLOOKUP($A229,成就条件映射!$A$4:$D$66,4)=0,"",VLOOKUP($A229,成就条件映射!$A$4:$D$66,4)))</f>
        <v>当前累计伤害</v>
      </c>
    </row>
    <row r="230" spans="1:28" x14ac:dyDescent="0.3">
      <c r="B230" s="64" t="str">
        <f t="shared" si="22"/>
        <v/>
      </c>
      <c r="C230" s="64" t="str">
        <f>IF($A230=0,"",IF(VLOOKUP($A230,成就条件映射!$A$4:$D$66,2)=0,"",VLOOKUP($A230,成就条件映射!$A$4:$D$66,2)))</f>
        <v/>
      </c>
      <c r="D230" s="64" t="str">
        <f>IF($A230=0,"",IF(VLOOKUP($A230,成就条件映射!$A$4:$D$66,3)=0,"",VLOOKUP($A230,成就条件映射!$A$4:$D$66,3)))</f>
        <v/>
      </c>
      <c r="E230" s="64" t="str">
        <f>IF($A230=0,"",IF(VLOOKUP($A230,成就条件映射!$A$4:$D$66,4)=0,"",VLOOKUP($A230,成就条件映射!$A$4:$D$66,4)))</f>
        <v/>
      </c>
      <c r="I230" s="64">
        <f>A229*100+J230</f>
        <v>600102</v>
      </c>
      <c r="J230" s="64">
        <f t="shared" si="18"/>
        <v>2</v>
      </c>
      <c r="K230" s="64">
        <v>7253</v>
      </c>
      <c r="L230" s="64">
        <v>7253</v>
      </c>
      <c r="M230" t="str">
        <f t="shared" si="19"/>
        <v>achievementAccumulative{achieveId:6001,count:470000}</v>
      </c>
      <c r="N230" s="64" t="s">
        <v>115</v>
      </c>
      <c r="O230" s="64">
        <v>1707512</v>
      </c>
      <c r="Q230" s="64">
        <f t="shared" si="20"/>
        <v>6001</v>
      </c>
      <c r="R230" s="64">
        <v>470000</v>
      </c>
      <c r="W230" s="64">
        <v>6</v>
      </c>
      <c r="X230" s="64">
        <v>1</v>
      </c>
    </row>
    <row r="231" spans="1:28" x14ac:dyDescent="0.3">
      <c r="B231" s="64" t="str">
        <f t="shared" si="22"/>
        <v/>
      </c>
      <c r="C231" s="64" t="str">
        <f>IF($A231=0,"",IF(VLOOKUP($A231,成就条件映射!$A$4:$D$66,2)=0,"",VLOOKUP($A231,成就条件映射!$A$4:$D$66,2)))</f>
        <v/>
      </c>
      <c r="D231" s="64" t="str">
        <f>IF($A231=0,"",IF(VLOOKUP($A231,成就条件映射!$A$4:$D$66,3)=0,"",VLOOKUP($A231,成就条件映射!$A$4:$D$66,3)))</f>
        <v/>
      </c>
      <c r="E231" s="64" t="str">
        <f>IF($A231=0,"",IF(VLOOKUP($A231,成就条件映射!$A$4:$D$66,4)=0,"",VLOOKUP($A231,成就条件映射!$A$4:$D$66,4)))</f>
        <v/>
      </c>
      <c r="I231" s="64">
        <f>A229*100+J231</f>
        <v>600103</v>
      </c>
      <c r="J231" s="64">
        <f t="shared" si="18"/>
        <v>3</v>
      </c>
      <c r="K231" s="64">
        <v>7253</v>
      </c>
      <c r="L231" s="64">
        <v>7253</v>
      </c>
      <c r="M231" t="str">
        <f t="shared" si="19"/>
        <v>achievementAccumulative{achieveId:6001,count:3000000}</v>
      </c>
      <c r="N231" s="64" t="s">
        <v>115</v>
      </c>
      <c r="O231" s="64">
        <v>1707513</v>
      </c>
      <c r="Q231" s="64">
        <f t="shared" si="20"/>
        <v>6001</v>
      </c>
      <c r="R231" s="64">
        <v>3000000</v>
      </c>
      <c r="W231" s="64">
        <v>6</v>
      </c>
      <c r="X231" s="64">
        <v>1</v>
      </c>
    </row>
    <row r="232" spans="1:28" x14ac:dyDescent="0.3">
      <c r="B232" s="64" t="str">
        <f t="shared" si="22"/>
        <v/>
      </c>
      <c r="C232" s="64" t="str">
        <f>IF($A232=0,"",IF(VLOOKUP($A232,成就条件映射!$A$4:$D$66,2)=0,"",VLOOKUP($A232,成就条件映射!$A$4:$D$66,2)))</f>
        <v/>
      </c>
      <c r="D232" s="64" t="str">
        <f>IF($A232=0,"",IF(VLOOKUP($A232,成就条件映射!$A$4:$D$66,3)=0,"",VLOOKUP($A232,成就条件映射!$A$4:$D$66,3)))</f>
        <v/>
      </c>
      <c r="E232" s="64" t="str">
        <f>IF($A232=0,"",IF(VLOOKUP($A232,成就条件映射!$A$4:$D$66,4)=0,"",VLOOKUP($A232,成就条件映射!$A$4:$D$66,4)))</f>
        <v/>
      </c>
      <c r="I232" s="64">
        <f>A229*100+J232</f>
        <v>600104</v>
      </c>
      <c r="J232" s="64">
        <f t="shared" si="18"/>
        <v>4</v>
      </c>
      <c r="K232" s="64">
        <v>7253</v>
      </c>
      <c r="L232" s="64">
        <v>7253</v>
      </c>
      <c r="M232" t="str">
        <f t="shared" si="19"/>
        <v>achievementAccumulative{achieveId:6001,count:11000000}</v>
      </c>
      <c r="N232" s="64" t="s">
        <v>115</v>
      </c>
      <c r="O232" s="64">
        <v>1707514</v>
      </c>
      <c r="Q232" s="64">
        <f t="shared" si="20"/>
        <v>6001</v>
      </c>
      <c r="R232" s="64">
        <v>11000000</v>
      </c>
      <c r="W232" s="64">
        <v>6</v>
      </c>
      <c r="X232" s="64">
        <v>1</v>
      </c>
    </row>
    <row r="233" spans="1:28" x14ac:dyDescent="0.3">
      <c r="B233" s="64" t="str">
        <f t="shared" si="22"/>
        <v/>
      </c>
      <c r="C233" s="64" t="str">
        <f>IF($A233=0,"",IF(VLOOKUP($A233,成就条件映射!$A$4:$D$66,2)=0,"",VLOOKUP($A233,成就条件映射!$A$4:$D$66,2)))</f>
        <v/>
      </c>
      <c r="D233" s="64" t="str">
        <f>IF($A233=0,"",IF(VLOOKUP($A233,成就条件映射!$A$4:$D$66,3)=0,"",VLOOKUP($A233,成就条件映射!$A$4:$D$66,3)))</f>
        <v/>
      </c>
      <c r="E233" s="64" t="str">
        <f>IF($A233=0,"",IF(VLOOKUP($A233,成就条件映射!$A$4:$D$66,4)=0,"",VLOOKUP($A233,成就条件映射!$A$4:$D$66,4)))</f>
        <v/>
      </c>
      <c r="I233" s="64">
        <f>A229*100+J233</f>
        <v>600105</v>
      </c>
      <c r="J233" s="64">
        <f t="shared" si="18"/>
        <v>5</v>
      </c>
      <c r="K233" s="64">
        <v>7253</v>
      </c>
      <c r="L233" s="64">
        <v>7253</v>
      </c>
      <c r="M233" t="str">
        <f t="shared" si="19"/>
        <v>achievementAccumulative{achieveId:6001,count:20000000}</v>
      </c>
      <c r="N233" s="64" t="s">
        <v>115</v>
      </c>
      <c r="O233" s="64">
        <v>1707515</v>
      </c>
      <c r="Q233" s="64">
        <f t="shared" si="20"/>
        <v>6001</v>
      </c>
      <c r="R233" s="64">
        <v>20000000</v>
      </c>
      <c r="W233" s="64">
        <v>6</v>
      </c>
      <c r="X233" s="64">
        <v>1</v>
      </c>
    </row>
    <row r="234" spans="1:28" x14ac:dyDescent="0.3">
      <c r="A234" s="64">
        <f>W234*1000+X234</f>
        <v>6002</v>
      </c>
      <c r="B234" s="64">
        <f t="shared" si="22"/>
        <v>6</v>
      </c>
      <c r="C234" s="64" t="s">
        <v>117</v>
      </c>
      <c r="D234" s="64" t="s">
        <v>197</v>
      </c>
      <c r="E234" s="64" t="s">
        <v>113</v>
      </c>
      <c r="F234" s="64">
        <v>1</v>
      </c>
      <c r="G234" s="64" t="s">
        <v>114</v>
      </c>
      <c r="H234" s="64" t="str">
        <f>"icon_copper_"&amp;Y234</f>
        <v>icon_copper_10</v>
      </c>
      <c r="I234" s="64">
        <f>A234*100+J234</f>
        <v>600201</v>
      </c>
      <c r="J234" s="64">
        <f t="shared" si="18"/>
        <v>1</v>
      </c>
      <c r="K234" s="64">
        <v>7254</v>
      </c>
      <c r="L234" s="64">
        <v>7254</v>
      </c>
      <c r="M234" t="str">
        <f t="shared" si="19"/>
        <v>achievementAccumulative{achieveId:6002,count:30000}</v>
      </c>
      <c r="N234" s="64" t="s">
        <v>115</v>
      </c>
      <c r="O234" s="64">
        <v>1707511</v>
      </c>
      <c r="Q234" s="64">
        <f t="shared" si="20"/>
        <v>6002</v>
      </c>
      <c r="R234" s="64">
        <v>30000</v>
      </c>
      <c r="W234" s="64">
        <v>6</v>
      </c>
      <c r="X234" s="64">
        <v>2</v>
      </c>
      <c r="Y234" s="66" t="s">
        <v>119</v>
      </c>
      <c r="Z234" t="str">
        <f>IF($A234=0,"",IF(VLOOKUP($A234,成就条件映射!$A$4:$D$66,2)=0,"",VLOOKUP($A234,成就条件映射!$A$4:$D$66,2)))</f>
        <v>蛮族讨伐</v>
      </c>
      <c r="AA234" t="str">
        <f>IF($A234=0,"",IF(VLOOKUP($A234,成就条件映射!$A$4:$D$66,3)=0,"",VLOOKUP($A234,成就条件映射!$A$4:$D$66,3)))</f>
        <v>在与&lt;color=#ffc766&gt;野外蛮族&lt;/color&gt;战斗中，我方部队使用&lt;color=#ffc766&gt;追击技能&lt;/color&gt;累造成的&lt;color=#ffc766&gt;谋略&lt;/color&gt;&lt;color=#ffc766&gt;伤害量&lt;/color&gt;</v>
      </c>
      <c r="AB234" t="str">
        <f>IF($A234=0,"",IF(VLOOKUP($A234,成就条件映射!$A$4:$D$66,4)=0,"",VLOOKUP($A234,成就条件映射!$A$4:$D$66,4)))</f>
        <v>当前累计伤害</v>
      </c>
    </row>
    <row r="235" spans="1:28" x14ac:dyDescent="0.3">
      <c r="B235" s="64" t="str">
        <f t="shared" si="22"/>
        <v/>
      </c>
      <c r="C235" s="64" t="str">
        <f>IF($A235=0,"",IF(VLOOKUP($A235,成就条件映射!$A$4:$D$66,2)=0,"",VLOOKUP($A235,成就条件映射!$A$4:$D$66,2)))</f>
        <v/>
      </c>
      <c r="D235" s="64" t="str">
        <f>IF($A235=0,"",IF(VLOOKUP($A235,成就条件映射!$A$4:$D$66,3)=0,"",VLOOKUP($A235,成就条件映射!$A$4:$D$66,3)))</f>
        <v/>
      </c>
      <c r="E235" s="64" t="str">
        <f>IF($A235=0,"",IF(VLOOKUP($A235,成就条件映射!$A$4:$D$66,4)=0,"",VLOOKUP($A235,成就条件映射!$A$4:$D$66,4)))</f>
        <v/>
      </c>
      <c r="I235" s="64">
        <f>A234*100+J235</f>
        <v>600202</v>
      </c>
      <c r="J235" s="64">
        <f t="shared" si="18"/>
        <v>2</v>
      </c>
      <c r="K235" s="64">
        <v>7254</v>
      </c>
      <c r="L235" s="64">
        <v>7254</v>
      </c>
      <c r="M235" t="str">
        <f t="shared" si="19"/>
        <v>achievementAccumulative{achieveId:6002,count:490000}</v>
      </c>
      <c r="N235" s="64" t="s">
        <v>115</v>
      </c>
      <c r="O235" s="64">
        <v>1707512</v>
      </c>
      <c r="Q235" s="64">
        <f t="shared" si="20"/>
        <v>6002</v>
      </c>
      <c r="R235" s="64">
        <v>490000</v>
      </c>
      <c r="W235" s="64">
        <v>6</v>
      </c>
      <c r="X235" s="64">
        <v>2</v>
      </c>
    </row>
    <row r="236" spans="1:28" x14ac:dyDescent="0.3">
      <c r="B236" s="64" t="str">
        <f t="shared" si="22"/>
        <v/>
      </c>
      <c r="C236" s="64" t="str">
        <f>IF($A236=0,"",IF(VLOOKUP($A236,成就条件映射!$A$4:$D$66,2)=0,"",VLOOKUP($A236,成就条件映射!$A$4:$D$66,2)))</f>
        <v/>
      </c>
      <c r="D236" s="64" t="str">
        <f>IF($A236=0,"",IF(VLOOKUP($A236,成就条件映射!$A$4:$D$66,3)=0,"",VLOOKUP($A236,成就条件映射!$A$4:$D$66,3)))</f>
        <v/>
      </c>
      <c r="E236" s="64" t="str">
        <f>IF($A236=0,"",IF(VLOOKUP($A236,成就条件映射!$A$4:$D$66,4)=0,"",VLOOKUP($A236,成就条件映射!$A$4:$D$66,4)))</f>
        <v/>
      </c>
      <c r="I236" s="64">
        <f>A234*100+J236</f>
        <v>600203</v>
      </c>
      <c r="J236" s="64">
        <f t="shared" si="18"/>
        <v>3</v>
      </c>
      <c r="K236" s="64">
        <v>7254</v>
      </c>
      <c r="L236" s="64">
        <v>7254</v>
      </c>
      <c r="M236" t="str">
        <f t="shared" si="19"/>
        <v>achievementAccumulative{achieveId:6002,count:1200000}</v>
      </c>
      <c r="N236" s="64" t="s">
        <v>115</v>
      </c>
      <c r="O236" s="64">
        <v>1707513</v>
      </c>
      <c r="Q236" s="64">
        <f t="shared" si="20"/>
        <v>6002</v>
      </c>
      <c r="R236" s="64">
        <v>1200000</v>
      </c>
      <c r="W236" s="64">
        <v>6</v>
      </c>
      <c r="X236" s="64">
        <v>2</v>
      </c>
    </row>
    <row r="237" spans="1:28" x14ac:dyDescent="0.3">
      <c r="B237" s="64" t="str">
        <f t="shared" si="22"/>
        <v/>
      </c>
      <c r="C237" s="64" t="str">
        <f>IF($A237=0,"",IF(VLOOKUP($A237,成就条件映射!$A$4:$D$66,2)=0,"",VLOOKUP($A237,成就条件映射!$A$4:$D$66,2)))</f>
        <v/>
      </c>
      <c r="D237" s="64" t="str">
        <f>IF($A237=0,"",IF(VLOOKUP($A237,成就条件映射!$A$4:$D$66,3)=0,"",VLOOKUP($A237,成就条件映射!$A$4:$D$66,3)))</f>
        <v/>
      </c>
      <c r="E237" s="64" t="str">
        <f>IF($A237=0,"",IF(VLOOKUP($A237,成就条件映射!$A$4:$D$66,4)=0,"",VLOOKUP($A237,成就条件映射!$A$4:$D$66,4)))</f>
        <v/>
      </c>
      <c r="I237" s="64">
        <f>A234*100+J237</f>
        <v>600204</v>
      </c>
      <c r="J237" s="64">
        <f t="shared" si="18"/>
        <v>4</v>
      </c>
      <c r="K237" s="64">
        <v>7254</v>
      </c>
      <c r="L237" s="64">
        <v>7254</v>
      </c>
      <c r="M237" t="str">
        <f t="shared" si="19"/>
        <v>achievementAccumulative{achieveId:6002,count:4600000}</v>
      </c>
      <c r="N237" s="64" t="s">
        <v>115</v>
      </c>
      <c r="O237" s="64">
        <v>1707514</v>
      </c>
      <c r="Q237" s="64">
        <f t="shared" si="20"/>
        <v>6002</v>
      </c>
      <c r="R237" s="64">
        <v>4600000</v>
      </c>
      <c r="W237" s="64">
        <v>6</v>
      </c>
      <c r="X237" s="64">
        <v>2</v>
      </c>
    </row>
    <row r="238" spans="1:28" x14ac:dyDescent="0.3">
      <c r="B238" s="64" t="str">
        <f t="shared" si="22"/>
        <v/>
      </c>
      <c r="C238" s="64" t="str">
        <f>IF($A238=0,"",IF(VLOOKUP($A238,成就条件映射!$A$4:$D$66,2)=0,"",VLOOKUP($A238,成就条件映射!$A$4:$D$66,2)))</f>
        <v/>
      </c>
      <c r="D238" s="64" t="str">
        <f>IF($A238=0,"",IF(VLOOKUP($A238,成就条件映射!$A$4:$D$66,3)=0,"",VLOOKUP($A238,成就条件映射!$A$4:$D$66,3)))</f>
        <v/>
      </c>
      <c r="E238" s="64" t="str">
        <f>IF($A238=0,"",IF(VLOOKUP($A238,成就条件映射!$A$4:$D$66,4)=0,"",VLOOKUP($A238,成就条件映射!$A$4:$D$66,4)))</f>
        <v/>
      </c>
      <c r="I238" s="64">
        <f>A234*100+J238</f>
        <v>600205</v>
      </c>
      <c r="J238" s="64">
        <f t="shared" si="18"/>
        <v>5</v>
      </c>
      <c r="K238" s="64">
        <v>7254</v>
      </c>
      <c r="L238" s="64">
        <v>7254</v>
      </c>
      <c r="M238" t="str">
        <f t="shared" si="19"/>
        <v>achievementAccumulative{achieveId:6002,count:15000000}</v>
      </c>
      <c r="N238" s="64" t="s">
        <v>115</v>
      </c>
      <c r="O238" s="64">
        <v>1707515</v>
      </c>
      <c r="Q238" s="64">
        <f t="shared" si="20"/>
        <v>6002</v>
      </c>
      <c r="R238" s="64">
        <v>15000000</v>
      </c>
      <c r="W238" s="64">
        <v>6</v>
      </c>
      <c r="X238" s="64">
        <v>2</v>
      </c>
    </row>
    <row r="239" spans="1:28" x14ac:dyDescent="0.3">
      <c r="A239" s="64">
        <f>W239*1000+X239</f>
        <v>6003</v>
      </c>
      <c r="B239" s="64">
        <f t="shared" si="22"/>
        <v>6</v>
      </c>
      <c r="C239" s="64" t="s">
        <v>120</v>
      </c>
      <c r="D239" s="64" t="s">
        <v>198</v>
      </c>
      <c r="E239" s="64" t="s">
        <v>113</v>
      </c>
      <c r="F239" s="64">
        <v>1</v>
      </c>
      <c r="G239" s="64" t="s">
        <v>114</v>
      </c>
      <c r="H239" s="64" t="str">
        <f>"icon_copper_"&amp;Y239</f>
        <v>icon_copper_04</v>
      </c>
      <c r="I239" s="64">
        <f>A239*100+J239</f>
        <v>600301</v>
      </c>
      <c r="J239" s="64">
        <f t="shared" si="18"/>
        <v>1</v>
      </c>
      <c r="M239" t="str">
        <f t="shared" si="19"/>
        <v>achievementAccumulative{achieveId:6003,count:60000}</v>
      </c>
      <c r="N239" s="64" t="s">
        <v>115</v>
      </c>
      <c r="O239" s="64">
        <v>1707511</v>
      </c>
      <c r="Q239" s="64">
        <f t="shared" si="20"/>
        <v>6003</v>
      </c>
      <c r="R239" s="64">
        <v>60000</v>
      </c>
      <c r="W239" s="64">
        <v>6</v>
      </c>
      <c r="X239" s="64">
        <v>3</v>
      </c>
      <c r="Y239" s="66" t="s">
        <v>122</v>
      </c>
      <c r="Z239" t="str">
        <f>IF($A239=0,"",IF(VLOOKUP($A239,成就条件映射!$A$4:$D$66,2)=0,"",VLOOKUP($A239,成就条件映射!$A$4:$D$66,2)))</f>
        <v>野战先锋</v>
      </c>
      <c r="AA239" t="str">
        <f>IF($A239=0,"",IF(VLOOKUP($A239,成就条件映射!$A$4:$D$66,3)=0,"",VLOOKUP($A239,成就条件映射!$A$4:$D$66,3)))</f>
        <v>野外与&lt;color=#ffc766&gt;玩家&lt;/color&gt;部队战斗中，我方部队使用&lt;color=#ffc766&gt;追击技能&lt;/color&gt;累计对敌方玩家造成的&lt;color=#ffc766&gt;谋略&lt;/color&gt;&lt;color=#ffc766&gt;伤害量&lt;/color&gt;</v>
      </c>
      <c r="AB239" t="str">
        <f>IF($A239=0,"",IF(VLOOKUP($A239,成就条件映射!$A$4:$D$66,4)=0,"",VLOOKUP($A239,成就条件映射!$A$4:$D$66,4)))</f>
        <v>当前累计伤害</v>
      </c>
    </row>
    <row r="240" spans="1:28" x14ac:dyDescent="0.3">
      <c r="B240" s="64" t="str">
        <f t="shared" si="22"/>
        <v/>
      </c>
      <c r="C240" s="64" t="str">
        <f>IF($A240=0,"",IF(VLOOKUP($A240,成就条件映射!$A$4:$D$66,2)=0,"",VLOOKUP($A240,成就条件映射!$A$4:$D$66,2)))</f>
        <v/>
      </c>
      <c r="D240" s="64" t="str">
        <f>IF($A240=0,"",IF(VLOOKUP($A240,成就条件映射!$A$4:$D$66,3)=0,"",VLOOKUP($A240,成就条件映射!$A$4:$D$66,3)))</f>
        <v/>
      </c>
      <c r="E240" s="64" t="str">
        <f>IF($A240=0,"",IF(VLOOKUP($A240,成就条件映射!$A$4:$D$66,4)=0,"",VLOOKUP($A240,成就条件映射!$A$4:$D$66,4)))</f>
        <v/>
      </c>
      <c r="I240" s="64">
        <f>A239*100+J240</f>
        <v>600302</v>
      </c>
      <c r="J240" s="64">
        <f t="shared" si="18"/>
        <v>2</v>
      </c>
      <c r="M240" t="str">
        <f t="shared" si="19"/>
        <v>achievementAccumulative{achieveId:6003,count:200000}</v>
      </c>
      <c r="N240" s="64" t="s">
        <v>115</v>
      </c>
      <c r="O240" s="64">
        <v>1707512</v>
      </c>
      <c r="Q240" s="64">
        <f t="shared" si="20"/>
        <v>6003</v>
      </c>
      <c r="R240" s="64">
        <v>200000</v>
      </c>
      <c r="W240" s="64">
        <v>6</v>
      </c>
      <c r="X240" s="64">
        <v>3</v>
      </c>
    </row>
    <row r="241" spans="1:28" x14ac:dyDescent="0.3">
      <c r="B241" s="64" t="str">
        <f t="shared" si="22"/>
        <v/>
      </c>
      <c r="C241" s="64" t="str">
        <f>IF($A241=0,"",IF(VLOOKUP($A241,成就条件映射!$A$4:$D$66,2)=0,"",VLOOKUP($A241,成就条件映射!$A$4:$D$66,2)))</f>
        <v/>
      </c>
      <c r="D241" s="64" t="str">
        <f>IF($A241=0,"",IF(VLOOKUP($A241,成就条件映射!$A$4:$D$66,3)=0,"",VLOOKUP($A241,成就条件映射!$A$4:$D$66,3)))</f>
        <v/>
      </c>
      <c r="E241" s="64" t="str">
        <f>IF($A241=0,"",IF(VLOOKUP($A241,成就条件映射!$A$4:$D$66,4)=0,"",VLOOKUP($A241,成就条件映射!$A$4:$D$66,4)))</f>
        <v/>
      </c>
      <c r="I241" s="64">
        <f>A239*100+J241</f>
        <v>600303</v>
      </c>
      <c r="J241" s="64">
        <f t="shared" si="18"/>
        <v>3</v>
      </c>
      <c r="M241" t="str">
        <f t="shared" si="19"/>
        <v>achievementAccumulative{achieveId:6003,count:800000}</v>
      </c>
      <c r="N241" s="64" t="s">
        <v>115</v>
      </c>
      <c r="O241" s="64">
        <v>1707513</v>
      </c>
      <c r="Q241" s="64">
        <f t="shared" si="20"/>
        <v>6003</v>
      </c>
      <c r="R241" s="64">
        <v>800000</v>
      </c>
      <c r="W241" s="64">
        <v>6</v>
      </c>
      <c r="X241" s="64">
        <v>3</v>
      </c>
    </row>
    <row r="242" spans="1:28" x14ac:dyDescent="0.3">
      <c r="B242" s="64" t="str">
        <f t="shared" si="22"/>
        <v/>
      </c>
      <c r="C242" s="64" t="str">
        <f>IF($A242=0,"",IF(VLOOKUP($A242,成就条件映射!$A$4:$D$66,2)=0,"",VLOOKUP($A242,成就条件映射!$A$4:$D$66,2)))</f>
        <v/>
      </c>
      <c r="D242" s="64" t="str">
        <f>IF($A242=0,"",IF(VLOOKUP($A242,成就条件映射!$A$4:$D$66,3)=0,"",VLOOKUP($A242,成就条件映射!$A$4:$D$66,3)))</f>
        <v/>
      </c>
      <c r="E242" s="64" t="str">
        <f>IF($A242=0,"",IF(VLOOKUP($A242,成就条件映射!$A$4:$D$66,4)=0,"",VLOOKUP($A242,成就条件映射!$A$4:$D$66,4)))</f>
        <v/>
      </c>
      <c r="I242" s="64">
        <f>A239*100+J242</f>
        <v>600304</v>
      </c>
      <c r="J242" s="64">
        <f t="shared" si="18"/>
        <v>4</v>
      </c>
      <c r="M242" t="str">
        <f t="shared" si="19"/>
        <v>achievementAccumulative{achieveId:6003,count:2800000}</v>
      </c>
      <c r="N242" s="64" t="s">
        <v>115</v>
      </c>
      <c r="O242" s="64">
        <v>1707514</v>
      </c>
      <c r="Q242" s="64">
        <f t="shared" si="20"/>
        <v>6003</v>
      </c>
      <c r="R242" s="64">
        <v>2800000</v>
      </c>
      <c r="W242" s="64">
        <v>6</v>
      </c>
      <c r="X242" s="64">
        <v>3</v>
      </c>
    </row>
    <row r="243" spans="1:28" x14ac:dyDescent="0.3">
      <c r="B243" s="64" t="str">
        <f t="shared" si="22"/>
        <v/>
      </c>
      <c r="C243" s="64" t="str">
        <f>IF($A243=0,"",IF(VLOOKUP($A243,成就条件映射!$A$4:$D$66,2)=0,"",VLOOKUP($A243,成就条件映射!$A$4:$D$66,2)))</f>
        <v/>
      </c>
      <c r="D243" s="64" t="str">
        <f>IF($A243=0,"",IF(VLOOKUP($A243,成就条件映射!$A$4:$D$66,3)=0,"",VLOOKUP($A243,成就条件映射!$A$4:$D$66,3)))</f>
        <v/>
      </c>
      <c r="E243" s="64" t="str">
        <f>IF($A243=0,"",IF(VLOOKUP($A243,成就条件映射!$A$4:$D$66,4)=0,"",VLOOKUP($A243,成就条件映射!$A$4:$D$66,4)))</f>
        <v/>
      </c>
      <c r="I243" s="64">
        <f>A239*100+J243</f>
        <v>600305</v>
      </c>
      <c r="J243" s="64">
        <f t="shared" si="18"/>
        <v>5</v>
      </c>
      <c r="M243" t="str">
        <f t="shared" si="19"/>
        <v>achievementAccumulative{achieveId:6003,count:8000000}</v>
      </c>
      <c r="N243" s="64" t="s">
        <v>115</v>
      </c>
      <c r="O243" s="64">
        <v>1707515</v>
      </c>
      <c r="Q243" s="64">
        <f t="shared" si="20"/>
        <v>6003</v>
      </c>
      <c r="R243" s="64">
        <v>8000000</v>
      </c>
      <c r="W243" s="64">
        <v>6</v>
      </c>
      <c r="X243" s="64">
        <v>3</v>
      </c>
    </row>
    <row r="244" spans="1:28" x14ac:dyDescent="0.3">
      <c r="A244" s="64">
        <f>W244*1000+X244</f>
        <v>6011</v>
      </c>
      <c r="B244" s="64">
        <f t="shared" si="22"/>
        <v>6</v>
      </c>
      <c r="C244" s="64" t="s">
        <v>199</v>
      </c>
      <c r="D244" s="64" t="s">
        <v>200</v>
      </c>
      <c r="E244" s="64" t="s">
        <v>152</v>
      </c>
      <c r="F244" s="64">
        <v>2</v>
      </c>
      <c r="G244" s="64" t="s">
        <v>114</v>
      </c>
      <c r="H244" s="64" t="str">
        <f>"icon_silver_"&amp;Y244</f>
        <v>icon_silver_19</v>
      </c>
      <c r="I244" s="64">
        <f>A244*100+J244</f>
        <v>601101</v>
      </c>
      <c r="J244" s="64">
        <f t="shared" si="18"/>
        <v>1</v>
      </c>
      <c r="M244" t="str">
        <f t="shared" si="19"/>
        <v>achievementAccumulative{achieveId:6011,count:40000}</v>
      </c>
      <c r="N244" s="64" t="s">
        <v>115</v>
      </c>
      <c r="O244" s="64">
        <v>1707521</v>
      </c>
      <c r="Q244" s="64">
        <f t="shared" si="20"/>
        <v>6011</v>
      </c>
      <c r="R244" s="64">
        <v>40000</v>
      </c>
      <c r="W244" s="64">
        <v>6</v>
      </c>
      <c r="X244" s="64">
        <v>11</v>
      </c>
      <c r="Y244" s="66" t="s">
        <v>145</v>
      </c>
      <c r="Z244" t="str">
        <f>IF($A244=0,"",IF(VLOOKUP($A244,成就条件映射!$A$4:$D$66,2)=0,"",VLOOKUP($A244,成就条件映射!$A$4:$D$66,2)))</f>
        <v>法典之佑</v>
      </c>
      <c r="AA244" t="str">
        <f>IF($A244=0,"",IF(VLOOKUP($A244,成就条件映射!$A$4:$D$66,3)=0,"",VLOOKUP($A244,成就条件映射!$A$4:$D$66,3)))</f>
        <v>&lt;color=#ffc766&gt;防御突击&lt;/color&gt;技能累计&lt;color=#ffc766&gt;治疗&lt;/color&gt;的士兵数</v>
      </c>
      <c r="AB244" t="str">
        <f>IF($A244=0,"",IF(VLOOKUP($A244,成就条件映射!$A$4:$D$66,4)=0,"",VLOOKUP($A244,成就条件映射!$A$4:$D$66,4)))</f>
        <v>当前累计治疗</v>
      </c>
    </row>
    <row r="245" spans="1:28" x14ac:dyDescent="0.3">
      <c r="B245" s="64" t="str">
        <f t="shared" si="22"/>
        <v/>
      </c>
      <c r="C245" s="64" t="str">
        <f>IF($A245=0,"",IF(VLOOKUP($A245,成就条件映射!$A$4:$D$66,2)=0,"",VLOOKUP($A245,成就条件映射!$A$4:$D$66,2)))</f>
        <v/>
      </c>
      <c r="D245" s="64" t="str">
        <f>IF($A245=0,"",IF(VLOOKUP($A245,成就条件映射!$A$4:$D$66,3)=0,"",VLOOKUP($A245,成就条件映射!$A$4:$D$66,3)))</f>
        <v/>
      </c>
      <c r="E245" s="64" t="str">
        <f>IF($A245=0,"",IF(VLOOKUP($A245,成就条件映射!$A$4:$D$66,4)=0,"",VLOOKUP($A245,成就条件映射!$A$4:$D$66,4)))</f>
        <v/>
      </c>
      <c r="I245" s="64">
        <f>A244*100+J245</f>
        <v>601102</v>
      </c>
      <c r="J245" s="64">
        <f t="shared" si="18"/>
        <v>2</v>
      </c>
      <c r="M245" t="str">
        <f t="shared" si="19"/>
        <v>achievementAccumulative{achieveId:6011,count:400000}</v>
      </c>
      <c r="N245" s="64" t="s">
        <v>115</v>
      </c>
      <c r="O245" s="64">
        <v>1707522</v>
      </c>
      <c r="Q245" s="64">
        <f t="shared" si="20"/>
        <v>6011</v>
      </c>
      <c r="R245" s="64">
        <v>400000</v>
      </c>
      <c r="W245" s="64">
        <v>6</v>
      </c>
      <c r="X245" s="64">
        <v>11</v>
      </c>
    </row>
    <row r="246" spans="1:28" x14ac:dyDescent="0.3">
      <c r="B246" s="64" t="str">
        <f t="shared" si="22"/>
        <v/>
      </c>
      <c r="C246" s="64" t="str">
        <f>IF($A246=0,"",IF(VLOOKUP($A246,成就条件映射!$A$4:$D$66,2)=0,"",VLOOKUP($A246,成就条件映射!$A$4:$D$66,2)))</f>
        <v/>
      </c>
      <c r="D246" s="64" t="str">
        <f>IF($A246=0,"",IF(VLOOKUP($A246,成就条件映射!$A$4:$D$66,3)=0,"",VLOOKUP($A246,成就条件映射!$A$4:$D$66,3)))</f>
        <v/>
      </c>
      <c r="E246" s="64" t="str">
        <f>IF($A246=0,"",IF(VLOOKUP($A246,成就条件映射!$A$4:$D$66,4)=0,"",VLOOKUP($A246,成就条件映射!$A$4:$D$66,4)))</f>
        <v/>
      </c>
      <c r="I246" s="64">
        <f>A244*100+J246</f>
        <v>601103</v>
      </c>
      <c r="J246" s="64">
        <f t="shared" si="18"/>
        <v>3</v>
      </c>
      <c r="M246" t="str">
        <f t="shared" si="19"/>
        <v>achievementAccumulative{achieveId:6011,count:2000000}</v>
      </c>
      <c r="N246" s="64" t="s">
        <v>115</v>
      </c>
      <c r="O246" s="64">
        <v>1707523</v>
      </c>
      <c r="Q246" s="64">
        <f t="shared" si="20"/>
        <v>6011</v>
      </c>
      <c r="R246" s="64">
        <v>2000000</v>
      </c>
      <c r="W246" s="64">
        <v>6</v>
      </c>
      <c r="X246" s="64">
        <v>11</v>
      </c>
    </row>
    <row r="247" spans="1:28" x14ac:dyDescent="0.3">
      <c r="B247" s="64" t="str">
        <f t="shared" si="22"/>
        <v/>
      </c>
      <c r="C247" s="64" t="str">
        <f>IF($A247=0,"",IF(VLOOKUP($A247,成就条件映射!$A$4:$D$66,2)=0,"",VLOOKUP($A247,成就条件映射!$A$4:$D$66,2)))</f>
        <v/>
      </c>
      <c r="D247" s="64" t="str">
        <f>IF($A247=0,"",IF(VLOOKUP($A247,成就条件映射!$A$4:$D$66,3)=0,"",VLOOKUP($A247,成就条件映射!$A$4:$D$66,3)))</f>
        <v/>
      </c>
      <c r="E247" s="64" t="str">
        <f>IF($A247=0,"",IF(VLOOKUP($A247,成就条件映射!$A$4:$D$66,4)=0,"",VLOOKUP($A247,成就条件映射!$A$4:$D$66,4)))</f>
        <v/>
      </c>
      <c r="I247" s="64">
        <f>A244*100+J247</f>
        <v>601104</v>
      </c>
      <c r="J247" s="64">
        <f t="shared" si="18"/>
        <v>4</v>
      </c>
      <c r="M247" t="str">
        <f t="shared" si="19"/>
        <v>achievementAccumulative{achieveId:6011,count:4000000}</v>
      </c>
      <c r="N247" s="64" t="s">
        <v>115</v>
      </c>
      <c r="O247" s="64">
        <v>1707524</v>
      </c>
      <c r="Q247" s="64">
        <f t="shared" si="20"/>
        <v>6011</v>
      </c>
      <c r="R247" s="64">
        <v>4000000</v>
      </c>
      <c r="W247" s="64">
        <v>6</v>
      </c>
      <c r="X247" s="64">
        <v>11</v>
      </c>
    </row>
    <row r="248" spans="1:28" x14ac:dyDescent="0.3">
      <c r="B248" s="64" t="str">
        <f t="shared" si="22"/>
        <v/>
      </c>
      <c r="C248" s="64" t="str">
        <f>IF($A248=0,"",IF(VLOOKUP($A248,成就条件映射!$A$4:$D$66,2)=0,"",VLOOKUP($A248,成就条件映射!$A$4:$D$66,2)))</f>
        <v/>
      </c>
      <c r="D248" s="64" t="str">
        <f>IF($A248=0,"",IF(VLOOKUP($A248,成就条件映射!$A$4:$D$66,3)=0,"",VLOOKUP($A248,成就条件映射!$A$4:$D$66,3)))</f>
        <v/>
      </c>
      <c r="E248" s="64" t="str">
        <f>IF($A248=0,"",IF(VLOOKUP($A248,成就条件映射!$A$4:$D$66,4)=0,"",VLOOKUP($A248,成就条件映射!$A$4:$D$66,4)))</f>
        <v/>
      </c>
      <c r="I248" s="64">
        <f>A244*100+J248</f>
        <v>601105</v>
      </c>
      <c r="J248" s="64">
        <f t="shared" si="18"/>
        <v>5</v>
      </c>
      <c r="M248" t="str">
        <f t="shared" si="19"/>
        <v>achievementAccumulative{achieveId:6011,count:9000000}</v>
      </c>
      <c r="N248" s="64" t="s">
        <v>115</v>
      </c>
      <c r="O248" s="64">
        <v>1707525</v>
      </c>
      <c r="Q248" s="64">
        <f t="shared" si="20"/>
        <v>6011</v>
      </c>
      <c r="R248" s="64">
        <v>9000000</v>
      </c>
      <c r="W248" s="64">
        <v>6</v>
      </c>
      <c r="X248" s="64">
        <v>11</v>
      </c>
    </row>
    <row r="249" spans="1:28" x14ac:dyDescent="0.3">
      <c r="A249" s="64">
        <f>W249*1000+X249</f>
        <v>6012</v>
      </c>
      <c r="B249" s="64">
        <f t="shared" si="22"/>
        <v>6</v>
      </c>
      <c r="C249" s="64" t="s">
        <v>201</v>
      </c>
      <c r="D249" s="64" t="s">
        <v>202</v>
      </c>
      <c r="E249" s="64" t="s">
        <v>113</v>
      </c>
      <c r="F249" s="64">
        <v>2</v>
      </c>
      <c r="G249" s="64" t="s">
        <v>114</v>
      </c>
      <c r="H249" s="64" t="str">
        <f>"icon_silver_"&amp;Y249</f>
        <v>icon_silver_09</v>
      </c>
      <c r="I249" s="64">
        <f>A249*100+J249</f>
        <v>601201</v>
      </c>
      <c r="J249" s="64">
        <f t="shared" si="18"/>
        <v>1</v>
      </c>
      <c r="M249" t="str">
        <f t="shared" si="19"/>
        <v>achievementAccumulative{achieveId:6012,count:60000}</v>
      </c>
      <c r="N249" s="64" t="s">
        <v>115</v>
      </c>
      <c r="O249" s="64">
        <v>1707521</v>
      </c>
      <c r="Q249" s="64">
        <f t="shared" si="20"/>
        <v>6012</v>
      </c>
      <c r="R249" s="64">
        <v>60000</v>
      </c>
      <c r="W249" s="64">
        <v>6</v>
      </c>
      <c r="X249" s="64">
        <v>12</v>
      </c>
      <c r="Y249" s="66" t="s">
        <v>132</v>
      </c>
      <c r="Z249" t="str">
        <f>IF($A249=0,"",IF(VLOOKUP($A249,成就条件映射!$A$4:$D$66,2)=0,"",VLOOKUP($A249,成就条件映射!$A$4:$D$66,2)))</f>
        <v>文明倾轧</v>
      </c>
      <c r="AA249" t="str">
        <f>IF($A249=0,"",IF(VLOOKUP($A249,成就条件映射!$A$4:$D$66,3)=0,"",VLOOKUP($A249,成就条件映射!$A$4:$D$66,3)))</f>
        <v>在&lt;color=#ffc766&gt;集结战斗&lt;/color&gt;中，我方部队使用&lt;color=#ffc766&gt;追击技能&lt;/color&gt;累计造成的&lt;color=#ffc766&gt;谋略&lt;/color&gt;&lt;color=#ffc766&gt;伤害量&lt;/color&gt;</v>
      </c>
      <c r="AB249" t="str">
        <f>IF($A249=0,"",IF(VLOOKUP($A249,成就条件映射!$A$4:$D$66,4)=0,"",VLOOKUP($A249,成就条件映射!$A$4:$D$66,4)))</f>
        <v>当前累计伤害</v>
      </c>
    </row>
    <row r="250" spans="1:28" x14ac:dyDescent="0.3">
      <c r="B250" s="64" t="str">
        <f t="shared" si="22"/>
        <v/>
      </c>
      <c r="C250" s="64" t="str">
        <f>IF($A250=0,"",IF(VLOOKUP($A250,成就条件映射!$A$4:$D$66,2)=0,"",VLOOKUP($A250,成就条件映射!$A$4:$D$66,2)))</f>
        <v/>
      </c>
      <c r="D250" s="64" t="str">
        <f>IF($A250=0,"",IF(VLOOKUP($A250,成就条件映射!$A$4:$D$66,3)=0,"",VLOOKUP($A250,成就条件映射!$A$4:$D$66,3)))</f>
        <v/>
      </c>
      <c r="E250" s="64" t="str">
        <f>IF($A250=0,"",IF(VLOOKUP($A250,成就条件映射!$A$4:$D$66,4)=0,"",VLOOKUP($A250,成就条件映射!$A$4:$D$66,4)))</f>
        <v/>
      </c>
      <c r="I250" s="64">
        <f>A249*100+J250</f>
        <v>601202</v>
      </c>
      <c r="J250" s="64">
        <f t="shared" si="18"/>
        <v>2</v>
      </c>
      <c r="M250" t="str">
        <f t="shared" si="19"/>
        <v>achievementAccumulative{achieveId:6012,count:200000}</v>
      </c>
      <c r="N250" s="64" t="s">
        <v>115</v>
      </c>
      <c r="O250" s="64">
        <v>1707522</v>
      </c>
      <c r="Q250" s="64">
        <f t="shared" si="20"/>
        <v>6012</v>
      </c>
      <c r="R250" s="64">
        <v>200000</v>
      </c>
      <c r="W250" s="64">
        <v>6</v>
      </c>
      <c r="X250" s="64">
        <v>12</v>
      </c>
    </row>
    <row r="251" spans="1:28" x14ac:dyDescent="0.3">
      <c r="B251" s="64" t="str">
        <f t="shared" si="22"/>
        <v/>
      </c>
      <c r="C251" s="64" t="str">
        <f>IF($A251=0,"",IF(VLOOKUP($A251,成就条件映射!$A$4:$D$66,2)=0,"",VLOOKUP($A251,成就条件映射!$A$4:$D$66,2)))</f>
        <v/>
      </c>
      <c r="D251" s="64" t="str">
        <f>IF($A251=0,"",IF(VLOOKUP($A251,成就条件映射!$A$4:$D$66,3)=0,"",VLOOKUP($A251,成就条件映射!$A$4:$D$66,3)))</f>
        <v/>
      </c>
      <c r="E251" s="64" t="str">
        <f>IF($A251=0,"",IF(VLOOKUP($A251,成就条件映射!$A$4:$D$66,4)=0,"",VLOOKUP($A251,成就条件映射!$A$4:$D$66,4)))</f>
        <v/>
      </c>
      <c r="I251" s="64">
        <f>A249*100+J251</f>
        <v>601203</v>
      </c>
      <c r="J251" s="64">
        <f t="shared" si="18"/>
        <v>3</v>
      </c>
      <c r="M251" t="str">
        <f t="shared" si="19"/>
        <v>achievementAccumulative{achieveId:6012,count:600000}</v>
      </c>
      <c r="N251" s="64" t="s">
        <v>115</v>
      </c>
      <c r="O251" s="64">
        <v>1707523</v>
      </c>
      <c r="Q251" s="64">
        <f t="shared" si="20"/>
        <v>6012</v>
      </c>
      <c r="R251" s="64">
        <v>600000</v>
      </c>
      <c r="W251" s="64">
        <v>6</v>
      </c>
      <c r="X251" s="64">
        <v>12</v>
      </c>
    </row>
    <row r="252" spans="1:28" x14ac:dyDescent="0.3">
      <c r="B252" s="64" t="str">
        <f t="shared" si="22"/>
        <v/>
      </c>
      <c r="C252" s="64" t="str">
        <f>IF($A252=0,"",IF(VLOOKUP($A252,成就条件映射!$A$4:$D$66,2)=0,"",VLOOKUP($A252,成就条件映射!$A$4:$D$66,2)))</f>
        <v/>
      </c>
      <c r="D252" s="64" t="str">
        <f>IF($A252=0,"",IF(VLOOKUP($A252,成就条件映射!$A$4:$D$66,3)=0,"",VLOOKUP($A252,成就条件映射!$A$4:$D$66,3)))</f>
        <v/>
      </c>
      <c r="E252" s="64" t="str">
        <f>IF($A252=0,"",IF(VLOOKUP($A252,成就条件映射!$A$4:$D$66,4)=0,"",VLOOKUP($A252,成就条件映射!$A$4:$D$66,4)))</f>
        <v/>
      </c>
      <c r="I252" s="64">
        <f>A249*100+J252</f>
        <v>601204</v>
      </c>
      <c r="J252" s="64">
        <f t="shared" si="18"/>
        <v>4</v>
      </c>
      <c r="M252" t="str">
        <f t="shared" si="19"/>
        <v>achievementAccumulative{achieveId:6012,count:1000000}</v>
      </c>
      <c r="N252" s="64" t="s">
        <v>115</v>
      </c>
      <c r="O252" s="64">
        <v>1707524</v>
      </c>
      <c r="Q252" s="64">
        <f t="shared" si="20"/>
        <v>6012</v>
      </c>
      <c r="R252" s="64">
        <v>1000000</v>
      </c>
      <c r="W252" s="64">
        <v>6</v>
      </c>
      <c r="X252" s="64">
        <v>12</v>
      </c>
    </row>
    <row r="253" spans="1:28" x14ac:dyDescent="0.3">
      <c r="C253" s="64" t="str">
        <f>IF($A253=0,"",IF(VLOOKUP($A253,成就条件映射!$A$4:$D$66,2)=0,"",VLOOKUP($A253,成就条件映射!$A$4:$D$66,2)))</f>
        <v/>
      </c>
      <c r="D253" s="64" t="str">
        <f>IF($A253=0,"",IF(VLOOKUP($A253,成就条件映射!$A$4:$D$66,3)=0,"",VLOOKUP($A253,成就条件映射!$A$4:$D$66,3)))</f>
        <v/>
      </c>
      <c r="E253" s="64" t="str">
        <f>IF($A253=0,"",IF(VLOOKUP($A253,成就条件映射!$A$4:$D$66,4)=0,"",VLOOKUP($A253,成就条件映射!$A$4:$D$66,4)))</f>
        <v/>
      </c>
      <c r="I253" s="64">
        <f>A249*100+J253</f>
        <v>601205</v>
      </c>
      <c r="J253" s="64">
        <f t="shared" si="18"/>
        <v>5</v>
      </c>
      <c r="M253" t="str">
        <f t="shared" si="19"/>
        <v>achievementAccumulative{achieveId:6012,count:2000000}</v>
      </c>
      <c r="N253" s="64" t="s">
        <v>115</v>
      </c>
      <c r="O253" s="64">
        <v>1707525</v>
      </c>
      <c r="Q253" s="64">
        <f t="shared" si="20"/>
        <v>6012</v>
      </c>
      <c r="R253" s="64">
        <v>2000000</v>
      </c>
      <c r="W253" s="64">
        <v>6</v>
      </c>
      <c r="X253" s="64">
        <v>12</v>
      </c>
    </row>
    <row r="254" spans="1:28" x14ac:dyDescent="0.3">
      <c r="A254" s="64">
        <f>W254*1000+X254</f>
        <v>6013</v>
      </c>
      <c r="C254" s="64" t="str">
        <f>IF($A254=0,"",IF(VLOOKUP($A254,成就条件映射!$A$4:$D$66,2)=0,"",VLOOKUP($A254,成就条件映射!$A$4:$D$66,2)))</f>
        <v/>
      </c>
      <c r="D254" s="64" t="str">
        <f>IF($A254=0,"",IF(VLOOKUP($A254,成就条件映射!$A$4:$D$66,3)=0,"",VLOOKUP($A254,成就条件映射!$A$4:$D$66,3)))</f>
        <v/>
      </c>
      <c r="E254" s="64" t="str">
        <f>IF($A254=0,"",IF(VLOOKUP($A254,成就条件映射!$A$4:$D$66,4)=0,"",VLOOKUP($A254,成就条件映射!$A$4:$D$66,4)))</f>
        <v/>
      </c>
      <c r="F254" s="64">
        <v>2</v>
      </c>
      <c r="G254" s="64" t="s">
        <v>114</v>
      </c>
      <c r="H254" s="64" t="str">
        <f>"icon_silver_"&amp;Y254</f>
        <v>icon_silver_</v>
      </c>
      <c r="I254" s="64">
        <f>A254*100+J254</f>
        <v>601301</v>
      </c>
      <c r="J254" s="64">
        <f t="shared" si="18"/>
        <v>1</v>
      </c>
      <c r="M254" t="str">
        <f t="shared" si="19"/>
        <v>achievementAccumulative{achieveId:6013,count:1}</v>
      </c>
      <c r="N254" s="64" t="s">
        <v>115</v>
      </c>
      <c r="O254" s="64">
        <v>1707521</v>
      </c>
      <c r="Q254" s="64">
        <f t="shared" si="20"/>
        <v>6013</v>
      </c>
      <c r="R254" s="64">
        <v>1</v>
      </c>
      <c r="W254" s="64">
        <v>6</v>
      </c>
      <c r="X254" s="64">
        <v>13</v>
      </c>
    </row>
    <row r="255" spans="1:28" x14ac:dyDescent="0.3">
      <c r="C255" s="64" t="str">
        <f>IF($A255=0,"",IF(VLOOKUP($A255,成就条件映射!$A$4:$D$66,2)=0,"",VLOOKUP($A255,成就条件映射!$A$4:$D$66,2)))</f>
        <v/>
      </c>
      <c r="D255" s="64" t="str">
        <f>IF($A255=0,"",IF(VLOOKUP($A255,成就条件映射!$A$4:$D$66,3)=0,"",VLOOKUP($A255,成就条件映射!$A$4:$D$66,3)))</f>
        <v/>
      </c>
      <c r="E255" s="64" t="str">
        <f>IF($A255=0,"",IF(VLOOKUP($A255,成就条件映射!$A$4:$D$66,4)=0,"",VLOOKUP($A255,成就条件映射!$A$4:$D$66,4)))</f>
        <v/>
      </c>
      <c r="I255" s="64">
        <f>A254*100+J255</f>
        <v>601302</v>
      </c>
      <c r="J255" s="64">
        <f t="shared" si="18"/>
        <v>2</v>
      </c>
      <c r="M255" t="str">
        <f t="shared" si="19"/>
        <v>achievementAccumulative{achieveId:6013,count:2}</v>
      </c>
      <c r="N255" s="64" t="s">
        <v>115</v>
      </c>
      <c r="O255" s="64">
        <v>1707522</v>
      </c>
      <c r="Q255" s="64">
        <f t="shared" si="20"/>
        <v>6013</v>
      </c>
      <c r="R255" s="64">
        <v>2</v>
      </c>
      <c r="W255" s="64">
        <v>6</v>
      </c>
      <c r="X255" s="64">
        <v>13</v>
      </c>
    </row>
    <row r="256" spans="1:28" x14ac:dyDescent="0.3">
      <c r="B256" s="64" t="str">
        <f t="shared" ref="B256:B267" si="23">IF(A256=0,"",INT(A256/1000))</f>
        <v/>
      </c>
      <c r="C256" s="64" t="str">
        <f>IF($A256=0,"",IF(VLOOKUP($A256,成就条件映射!$A$4:$D$66,2)=0,"",VLOOKUP($A256,成就条件映射!$A$4:$D$66,2)))</f>
        <v/>
      </c>
      <c r="D256" s="64" t="str">
        <f>IF($A256=0,"",IF(VLOOKUP($A256,成就条件映射!$A$4:$D$66,3)=0,"",VLOOKUP($A256,成就条件映射!$A$4:$D$66,3)))</f>
        <v/>
      </c>
      <c r="E256" s="64" t="str">
        <f>IF($A256=0,"",IF(VLOOKUP($A256,成就条件映射!$A$4:$D$66,4)=0,"",VLOOKUP($A256,成就条件映射!$A$4:$D$66,4)))</f>
        <v/>
      </c>
      <c r="I256" s="64">
        <f>A254*100+J256</f>
        <v>601303</v>
      </c>
      <c r="J256" s="64">
        <f t="shared" si="18"/>
        <v>3</v>
      </c>
      <c r="M256" t="str">
        <f t="shared" si="19"/>
        <v>achievementAccumulative{achieveId:6013,count:3}</v>
      </c>
      <c r="N256" s="64" t="s">
        <v>115</v>
      </c>
      <c r="O256" s="64">
        <v>1707523</v>
      </c>
      <c r="Q256" s="64">
        <f t="shared" si="20"/>
        <v>6013</v>
      </c>
      <c r="R256" s="64">
        <v>3</v>
      </c>
      <c r="W256" s="64">
        <v>6</v>
      </c>
      <c r="X256" s="64">
        <v>13</v>
      </c>
    </row>
    <row r="257" spans="1:28" x14ac:dyDescent="0.3">
      <c r="B257" s="64" t="str">
        <f t="shared" si="23"/>
        <v/>
      </c>
      <c r="C257" s="64" t="str">
        <f>IF($A257=0,"",IF(VLOOKUP($A257,成就条件映射!$A$4:$D$66,2)=0,"",VLOOKUP($A257,成就条件映射!$A$4:$D$66,2)))</f>
        <v/>
      </c>
      <c r="D257" s="64" t="str">
        <f>IF($A257=0,"",IF(VLOOKUP($A257,成就条件映射!$A$4:$D$66,3)=0,"",VLOOKUP($A257,成就条件映射!$A$4:$D$66,3)))</f>
        <v/>
      </c>
      <c r="E257" s="64" t="str">
        <f>IF($A257=0,"",IF(VLOOKUP($A257,成就条件映射!$A$4:$D$66,4)=0,"",VLOOKUP($A257,成就条件映射!$A$4:$D$66,4)))</f>
        <v/>
      </c>
      <c r="I257" s="64">
        <f>A254*100+J257</f>
        <v>601304</v>
      </c>
      <c r="J257" s="64">
        <f t="shared" si="18"/>
        <v>4</v>
      </c>
      <c r="M257" t="str">
        <f t="shared" si="19"/>
        <v>achievementAccumulative{achieveId:6013,count:4}</v>
      </c>
      <c r="N257" s="64" t="s">
        <v>115</v>
      </c>
      <c r="O257" s="64">
        <v>1707524</v>
      </c>
      <c r="Q257" s="64">
        <f t="shared" si="20"/>
        <v>6013</v>
      </c>
      <c r="R257" s="64">
        <v>4</v>
      </c>
      <c r="W257" s="64">
        <v>6</v>
      </c>
      <c r="X257" s="64">
        <v>13</v>
      </c>
    </row>
    <row r="258" spans="1:28" x14ac:dyDescent="0.3">
      <c r="B258" s="64" t="str">
        <f t="shared" si="23"/>
        <v/>
      </c>
      <c r="C258" s="64" t="str">
        <f>IF($A258=0,"",IF(VLOOKUP($A258,成就条件映射!$A$4:$D$66,2)=0,"",VLOOKUP($A258,成就条件映射!$A$4:$D$66,2)))</f>
        <v/>
      </c>
      <c r="D258" s="64" t="str">
        <f>IF($A258=0,"",IF(VLOOKUP($A258,成就条件映射!$A$4:$D$66,3)=0,"",VLOOKUP($A258,成就条件映射!$A$4:$D$66,3)))</f>
        <v/>
      </c>
      <c r="E258" s="64" t="str">
        <f>IF($A258=0,"",IF(VLOOKUP($A258,成就条件映射!$A$4:$D$66,4)=0,"",VLOOKUP($A258,成就条件映射!$A$4:$D$66,4)))</f>
        <v/>
      </c>
      <c r="I258" s="64">
        <f>A254*100+J258</f>
        <v>601305</v>
      </c>
      <c r="J258" s="64">
        <f t="shared" si="18"/>
        <v>5</v>
      </c>
      <c r="M258" t="str">
        <f t="shared" si="19"/>
        <v>achievementAccumulative{achieveId:6013,count:5}</v>
      </c>
      <c r="N258" s="64" t="s">
        <v>115</v>
      </c>
      <c r="O258" s="64">
        <v>1707525</v>
      </c>
      <c r="Q258" s="64">
        <f t="shared" si="20"/>
        <v>6013</v>
      </c>
      <c r="R258" s="64">
        <v>5</v>
      </c>
      <c r="W258" s="64">
        <v>6</v>
      </c>
      <c r="X258" s="64">
        <v>13</v>
      </c>
    </row>
    <row r="259" spans="1:28" x14ac:dyDescent="0.3">
      <c r="A259" s="64">
        <f>W259*1000+X259</f>
        <v>6021</v>
      </c>
      <c r="B259" s="64">
        <f t="shared" si="23"/>
        <v>6</v>
      </c>
      <c r="C259" s="64" t="s">
        <v>203</v>
      </c>
      <c r="D259" s="64" t="s">
        <v>204</v>
      </c>
      <c r="E259" s="64" t="s">
        <v>135</v>
      </c>
      <c r="F259" s="64">
        <v>3</v>
      </c>
      <c r="G259" s="64" t="s">
        <v>114</v>
      </c>
      <c r="H259" s="64" t="str">
        <f>"icon_kim_"&amp;Y259</f>
        <v>icon_kim_13</v>
      </c>
      <c r="I259" s="64">
        <f>A259*100+J259</f>
        <v>602101</v>
      </c>
      <c r="J259" s="64">
        <f t="shared" si="18"/>
        <v>1</v>
      </c>
      <c r="M259" t="str">
        <f t="shared" si="19"/>
        <v>achievementAccumulative{achieveId:6021,count:6}</v>
      </c>
      <c r="N259" s="64" t="s">
        <v>115</v>
      </c>
      <c r="O259" s="64">
        <v>1707531</v>
      </c>
      <c r="Q259" s="64">
        <f t="shared" si="20"/>
        <v>6021</v>
      </c>
      <c r="R259" s="64">
        <v>6</v>
      </c>
      <c r="W259" s="64">
        <v>6</v>
      </c>
      <c r="X259" s="64">
        <v>21</v>
      </c>
      <c r="Y259" s="66" t="s">
        <v>205</v>
      </c>
      <c r="Z259" t="str">
        <f>IF($A259=0,"",IF(VLOOKUP($A259,成就条件映射!$A$4:$D$66,2)=0,"",VLOOKUP($A259,成就条件映射!$A$4:$D$66,2)))</f>
        <v>翻越阿尔卑斯</v>
      </c>
      <c r="AA259" t="str">
        <f>IF($A259=0,"",IF(VLOOKUP($A259,成就条件映射!$A$4:$D$66,3)=0,"",VLOOKUP($A259,成就条件映射!$A$4:$D$66,3)))</f>
        <v>我方部队累计获取敌军玩家主将&lt;color=#ffc766&gt;属性弱化&lt;/color&gt;值的次数</v>
      </c>
      <c r="AB259" t="str">
        <f>IF($A259=0,"",IF(VLOOKUP($A259,成就条件映射!$A$4:$D$66,4)=0,"",VLOOKUP($A259,成就条件映射!$A$4:$D$66,4)))</f>
        <v>当前累计次数</v>
      </c>
    </row>
    <row r="260" spans="1:28" x14ac:dyDescent="0.3">
      <c r="B260" s="64" t="str">
        <f t="shared" si="23"/>
        <v/>
      </c>
      <c r="C260" s="64" t="str">
        <f>IF($A260=0,"",IF(VLOOKUP($A260,成就条件映射!$A$4:$D$66,2)=0,"",VLOOKUP($A260,成就条件映射!$A$4:$D$66,2)))</f>
        <v/>
      </c>
      <c r="D260" s="64" t="str">
        <f>IF($A260=0,"",IF(VLOOKUP($A260,成就条件映射!$A$4:$D$66,3)=0,"",VLOOKUP($A260,成就条件映射!$A$4:$D$66,3)))</f>
        <v/>
      </c>
      <c r="E260" s="64" t="str">
        <f>IF($A260=0,"",IF(VLOOKUP($A260,成就条件映射!$A$4:$D$66,4)=0,"",VLOOKUP($A260,成就条件映射!$A$4:$D$66,4)))</f>
        <v/>
      </c>
      <c r="I260" s="64">
        <f>A259*100+J260</f>
        <v>602102</v>
      </c>
      <c r="J260" s="64">
        <f t="shared" ref="J260:J318" si="24">IF(MOD(ROW()+2,5)=0,MOD(ROW()+2,5)+5,MOD(ROW()+2,5))</f>
        <v>2</v>
      </c>
      <c r="M260" t="str">
        <f t="shared" ref="M260:M318" si="25">"achievementAccumulative{achieveId:"&amp;Q260&amp;",count:"&amp;R260&amp;"}"</f>
        <v>achievementAccumulative{achieveId:6021,count:15}</v>
      </c>
      <c r="N260" s="64" t="s">
        <v>115</v>
      </c>
      <c r="O260" s="64">
        <v>1707532</v>
      </c>
      <c r="Q260" s="64">
        <f t="shared" ref="Q260:Q318" si="26">IF(0=A260,Q259,A260)</f>
        <v>6021</v>
      </c>
      <c r="R260" s="64">
        <v>15</v>
      </c>
      <c r="W260" s="64">
        <v>6</v>
      </c>
      <c r="X260" s="64">
        <v>21</v>
      </c>
    </row>
    <row r="261" spans="1:28" x14ac:dyDescent="0.3">
      <c r="B261" s="64" t="str">
        <f t="shared" si="23"/>
        <v/>
      </c>
      <c r="C261" s="64" t="str">
        <f>IF($A261=0,"",IF(VLOOKUP($A261,成就条件映射!$A$4:$D$66,2)=0,"",VLOOKUP($A261,成就条件映射!$A$4:$D$66,2)))</f>
        <v/>
      </c>
      <c r="D261" s="64" t="str">
        <f>IF($A261=0,"",IF(VLOOKUP($A261,成就条件映射!$A$4:$D$66,3)=0,"",VLOOKUP($A261,成就条件映射!$A$4:$D$66,3)))</f>
        <v/>
      </c>
      <c r="E261" s="64" t="str">
        <f>IF($A261=0,"",IF(VLOOKUP($A261,成就条件映射!$A$4:$D$66,4)=0,"",VLOOKUP($A261,成就条件映射!$A$4:$D$66,4)))</f>
        <v/>
      </c>
      <c r="I261" s="64">
        <f>A259*100+J261</f>
        <v>602103</v>
      </c>
      <c r="J261" s="64">
        <f t="shared" si="24"/>
        <v>3</v>
      </c>
      <c r="M261" t="str">
        <f t="shared" si="25"/>
        <v>achievementAccumulative{achieveId:6021,count:30}</v>
      </c>
      <c r="N261" s="64" t="s">
        <v>115</v>
      </c>
      <c r="O261" s="64">
        <v>1707533</v>
      </c>
      <c r="Q261" s="64">
        <f t="shared" si="26"/>
        <v>6021</v>
      </c>
      <c r="R261" s="64">
        <v>30</v>
      </c>
      <c r="W261" s="64">
        <v>6</v>
      </c>
      <c r="X261" s="64">
        <v>21</v>
      </c>
    </row>
    <row r="262" spans="1:28" x14ac:dyDescent="0.3">
      <c r="B262" s="64" t="str">
        <f t="shared" si="23"/>
        <v/>
      </c>
      <c r="C262" s="64" t="str">
        <f>IF($A262=0,"",IF(VLOOKUP($A262,成就条件映射!$A$4:$D$66,2)=0,"",VLOOKUP($A262,成就条件映射!$A$4:$D$66,2)))</f>
        <v/>
      </c>
      <c r="D262" s="64" t="str">
        <f>IF($A262=0,"",IF(VLOOKUP($A262,成就条件映射!$A$4:$D$66,3)=0,"",VLOOKUP($A262,成就条件映射!$A$4:$D$66,3)))</f>
        <v/>
      </c>
      <c r="E262" s="64" t="str">
        <f>IF($A262=0,"",IF(VLOOKUP($A262,成就条件映射!$A$4:$D$66,4)=0,"",VLOOKUP($A262,成就条件映射!$A$4:$D$66,4)))</f>
        <v/>
      </c>
      <c r="I262" s="64">
        <f>A259*100+J262</f>
        <v>602104</v>
      </c>
      <c r="J262" s="64">
        <f t="shared" si="24"/>
        <v>4</v>
      </c>
      <c r="M262" t="str">
        <f t="shared" si="25"/>
        <v>achievementAccumulative{achieveId:6021,count:80}</v>
      </c>
      <c r="N262" s="64" t="s">
        <v>115</v>
      </c>
      <c r="O262" s="64">
        <v>1707534</v>
      </c>
      <c r="Q262" s="64">
        <f t="shared" si="26"/>
        <v>6021</v>
      </c>
      <c r="R262" s="64">
        <v>80</v>
      </c>
      <c r="W262" s="64">
        <v>6</v>
      </c>
      <c r="X262" s="64">
        <v>21</v>
      </c>
    </row>
    <row r="263" spans="1:28" x14ac:dyDescent="0.3">
      <c r="B263" s="64" t="str">
        <f t="shared" si="23"/>
        <v/>
      </c>
      <c r="C263" s="64" t="str">
        <f>IF($A263=0,"",IF(VLOOKUP($A263,成就条件映射!$A$4:$D$66,2)=0,"",VLOOKUP($A263,成就条件映射!$A$4:$D$66,2)))</f>
        <v/>
      </c>
      <c r="D263" s="64" t="str">
        <f>IF($A263=0,"",IF(VLOOKUP($A263,成就条件映射!$A$4:$D$66,3)=0,"",VLOOKUP($A263,成就条件映射!$A$4:$D$66,3)))</f>
        <v/>
      </c>
      <c r="E263" s="64" t="str">
        <f>IF($A263=0,"",IF(VLOOKUP($A263,成就条件映射!$A$4:$D$66,4)=0,"",VLOOKUP($A263,成就条件映射!$A$4:$D$66,4)))</f>
        <v/>
      </c>
      <c r="I263" s="64">
        <f>A259*100+J263</f>
        <v>602105</v>
      </c>
      <c r="J263" s="64">
        <f t="shared" si="24"/>
        <v>5</v>
      </c>
      <c r="M263" t="str">
        <f t="shared" si="25"/>
        <v>achievementAccumulative{achieveId:6021,count:160}</v>
      </c>
      <c r="N263" s="64" t="s">
        <v>115</v>
      </c>
      <c r="O263" s="64">
        <v>1707535</v>
      </c>
      <c r="Q263" s="64">
        <f t="shared" si="26"/>
        <v>6021</v>
      </c>
      <c r="R263" s="64">
        <v>160</v>
      </c>
      <c r="W263" s="64">
        <v>6</v>
      </c>
      <c r="X263" s="64">
        <v>21</v>
      </c>
    </row>
    <row r="264" spans="1:28" x14ac:dyDescent="0.3">
      <c r="A264" s="64">
        <f>W264*1000+X264</f>
        <v>6022</v>
      </c>
      <c r="B264" s="64">
        <f t="shared" si="23"/>
        <v>6</v>
      </c>
      <c r="C264" s="64" t="s">
        <v>206</v>
      </c>
      <c r="D264" s="64" t="s">
        <v>207</v>
      </c>
      <c r="E264" s="64" t="s">
        <v>128</v>
      </c>
      <c r="F264" s="64">
        <v>3</v>
      </c>
      <c r="G264" s="64" t="s">
        <v>114</v>
      </c>
      <c r="H264" s="64" t="str">
        <f>"icon_kim_"&amp;Y264</f>
        <v>icon_kim_12</v>
      </c>
      <c r="I264" s="64">
        <f>A264*100+J264</f>
        <v>602201</v>
      </c>
      <c r="J264" s="64">
        <f t="shared" si="24"/>
        <v>1</v>
      </c>
      <c r="M264" t="str">
        <f t="shared" si="25"/>
        <v>achievementAccumulative{achieveId:6022,count:840}</v>
      </c>
      <c r="N264" s="64" t="s">
        <v>115</v>
      </c>
      <c r="O264" s="64">
        <v>1707531</v>
      </c>
      <c r="Q264" s="64">
        <f t="shared" si="26"/>
        <v>6022</v>
      </c>
      <c r="R264" s="64">
        <v>840</v>
      </c>
      <c r="W264" s="64">
        <v>6</v>
      </c>
      <c r="X264" s="64">
        <v>22</v>
      </c>
      <c r="Y264" s="66" t="s">
        <v>208</v>
      </c>
      <c r="Z264" t="str">
        <f>IF($A264=0,"",IF(VLOOKUP($A264,成就条件映射!$A$4:$D$66,2)=0,"",VLOOKUP($A264,成就条件映射!$A$4:$D$66,2)))</f>
        <v>文武双全</v>
      </c>
      <c r="AA264" t="str">
        <f>IF($A264=0,"",IF(VLOOKUP($A264,成就条件映射!$A$4:$D$66,3)=0,"",VLOOKUP($A264,成就条件映射!$A$4:$D$66,3)))</f>
        <v>我方部队使用&lt;color=#ffc766&gt;追击技能&lt;/color&gt;造成的&lt;color=#ffc766&gt;单次最大谋略&lt;/color&gt;&lt;color=#ffc766&gt;伤害量&lt;/color&gt;</v>
      </c>
      <c r="AB264" t="str">
        <f>IF($A264=0,"",IF(VLOOKUP($A264,成就条件映射!$A$4:$D$66,4)=0,"",VLOOKUP($A264,成就条件映射!$A$4:$D$66,4)))</f>
        <v>当前造成伤害</v>
      </c>
    </row>
    <row r="265" spans="1:28" x14ac:dyDescent="0.3">
      <c r="B265" s="64" t="str">
        <f t="shared" si="23"/>
        <v/>
      </c>
      <c r="C265" s="64" t="str">
        <f>IF($A265=0,"",IF(VLOOKUP($A265,成就条件映射!$A$4:$D$66,2)=0,"",VLOOKUP($A265,成就条件映射!$A$4:$D$66,2)))</f>
        <v/>
      </c>
      <c r="D265" s="64" t="str">
        <f>IF($A265=0,"",IF(VLOOKUP($A265,成就条件映射!$A$4:$D$66,3)=0,"",VLOOKUP($A265,成就条件映射!$A$4:$D$66,3)))</f>
        <v/>
      </c>
      <c r="E265" s="64" t="str">
        <f>IF($A265=0,"",IF(VLOOKUP($A265,成就条件映射!$A$4:$D$66,4)=0,"",VLOOKUP($A265,成就条件映射!$A$4:$D$66,4)))</f>
        <v/>
      </c>
      <c r="I265" s="64">
        <f>A264*100+J265</f>
        <v>602202</v>
      </c>
      <c r="J265" s="64">
        <f t="shared" si="24"/>
        <v>2</v>
      </c>
      <c r="M265" t="str">
        <f t="shared" si="25"/>
        <v>achievementAccumulative{achieveId:6022,count:2500}</v>
      </c>
      <c r="N265" s="64" t="s">
        <v>115</v>
      </c>
      <c r="O265" s="64">
        <v>1707532</v>
      </c>
      <c r="Q265" s="64">
        <f t="shared" si="26"/>
        <v>6022</v>
      </c>
      <c r="R265" s="64">
        <v>2500</v>
      </c>
      <c r="W265" s="64">
        <v>6</v>
      </c>
      <c r="X265" s="64">
        <v>22</v>
      </c>
    </row>
    <row r="266" spans="1:28" x14ac:dyDescent="0.3">
      <c r="B266" s="64" t="str">
        <f t="shared" si="23"/>
        <v/>
      </c>
      <c r="C266" s="64" t="str">
        <f>IF($A266=0,"",IF(VLOOKUP($A266,成就条件映射!$A$4:$D$66,2)=0,"",VLOOKUP($A266,成就条件映射!$A$4:$D$66,2)))</f>
        <v/>
      </c>
      <c r="D266" s="64" t="str">
        <f>IF($A266=0,"",IF(VLOOKUP($A266,成就条件映射!$A$4:$D$66,3)=0,"",VLOOKUP($A266,成就条件映射!$A$4:$D$66,3)))</f>
        <v/>
      </c>
      <c r="E266" s="64" t="str">
        <f>IF($A266=0,"",IF(VLOOKUP($A266,成就条件映射!$A$4:$D$66,4)=0,"",VLOOKUP($A266,成就条件映射!$A$4:$D$66,4)))</f>
        <v/>
      </c>
      <c r="I266" s="64">
        <f>A264*100+J266</f>
        <v>602203</v>
      </c>
      <c r="J266" s="64">
        <f t="shared" si="24"/>
        <v>3</v>
      </c>
      <c r="M266" t="str">
        <f t="shared" si="25"/>
        <v>achievementAccumulative{achieveId:6022,count:2900}</v>
      </c>
      <c r="N266" s="64" t="s">
        <v>115</v>
      </c>
      <c r="O266" s="64">
        <v>1707533</v>
      </c>
      <c r="Q266" s="64">
        <f t="shared" si="26"/>
        <v>6022</v>
      </c>
      <c r="R266" s="64">
        <v>2900</v>
      </c>
      <c r="W266" s="64">
        <v>6</v>
      </c>
      <c r="X266" s="64">
        <v>22</v>
      </c>
    </row>
    <row r="267" spans="1:28" x14ac:dyDescent="0.3">
      <c r="B267" s="64" t="str">
        <f t="shared" si="23"/>
        <v/>
      </c>
      <c r="C267" s="64" t="str">
        <f>IF($A267=0,"",IF(VLOOKUP($A267,成就条件映射!$A$4:$D$66,2)=0,"",VLOOKUP($A267,成就条件映射!$A$4:$D$66,2)))</f>
        <v/>
      </c>
      <c r="D267" s="64" t="str">
        <f>IF($A267=0,"",IF(VLOOKUP($A267,成就条件映射!$A$4:$D$66,3)=0,"",VLOOKUP($A267,成就条件映射!$A$4:$D$66,3)))</f>
        <v/>
      </c>
      <c r="E267" s="64" t="str">
        <f>IF($A267=0,"",IF(VLOOKUP($A267,成就条件映射!$A$4:$D$66,4)=0,"",VLOOKUP($A267,成就条件映射!$A$4:$D$66,4)))</f>
        <v/>
      </c>
      <c r="I267" s="64">
        <f>A264*100+J267</f>
        <v>602204</v>
      </c>
      <c r="J267" s="64">
        <f t="shared" si="24"/>
        <v>4</v>
      </c>
      <c r="M267" t="str">
        <f t="shared" si="25"/>
        <v>achievementAccumulative{achieveId:6022,count:3800}</v>
      </c>
      <c r="N267" s="64" t="s">
        <v>115</v>
      </c>
      <c r="O267" s="64">
        <v>1707534</v>
      </c>
      <c r="Q267" s="64">
        <f t="shared" si="26"/>
        <v>6022</v>
      </c>
      <c r="R267" s="64">
        <v>3800</v>
      </c>
      <c r="W267" s="64">
        <v>6</v>
      </c>
      <c r="X267" s="64">
        <v>22</v>
      </c>
    </row>
    <row r="268" spans="1:28" x14ac:dyDescent="0.3">
      <c r="C268" s="64" t="str">
        <f>IF($A268=0,"",IF(VLOOKUP($A268,成就条件映射!$A$4:$D$66,2)=0,"",VLOOKUP($A268,成就条件映射!$A$4:$D$66,2)))</f>
        <v/>
      </c>
      <c r="D268" s="64" t="str">
        <f>IF($A268=0,"",IF(VLOOKUP($A268,成就条件映射!$A$4:$D$66,3)=0,"",VLOOKUP($A268,成就条件映射!$A$4:$D$66,3)))</f>
        <v/>
      </c>
      <c r="E268" s="64" t="str">
        <f>IF($A268=0,"",IF(VLOOKUP($A268,成就条件映射!$A$4:$D$66,4)=0,"",VLOOKUP($A268,成就条件映射!$A$4:$D$66,4)))</f>
        <v/>
      </c>
      <c r="I268" s="64">
        <f>A264*100+J268</f>
        <v>602205</v>
      </c>
      <c r="J268" s="64">
        <f t="shared" si="24"/>
        <v>5</v>
      </c>
      <c r="M268" t="str">
        <f t="shared" si="25"/>
        <v>achievementAccumulative{achieveId:6022,count:4200}</v>
      </c>
      <c r="N268" s="64" t="s">
        <v>115</v>
      </c>
      <c r="O268" s="64">
        <v>1707535</v>
      </c>
      <c r="Q268" s="64">
        <f t="shared" si="26"/>
        <v>6022</v>
      </c>
      <c r="R268" s="64">
        <v>4200</v>
      </c>
      <c r="W268" s="64">
        <v>6</v>
      </c>
      <c r="X268" s="64">
        <v>22</v>
      </c>
    </row>
    <row r="269" spans="1:28" x14ac:dyDescent="0.3">
      <c r="A269" s="64">
        <f>W269*1000+X269</f>
        <v>6023</v>
      </c>
      <c r="C269" s="64" t="str">
        <f>IF($A269=0,"",IF(VLOOKUP($A269,成就条件映射!$A$4:$D$66,2)=0,"",VLOOKUP($A269,成就条件映射!$A$4:$D$66,2)))</f>
        <v/>
      </c>
      <c r="D269" s="64" t="str">
        <f>IF($A269=0,"",IF(VLOOKUP($A269,成就条件映射!$A$4:$D$66,3)=0,"",VLOOKUP($A269,成就条件映射!$A$4:$D$66,3)))</f>
        <v/>
      </c>
      <c r="E269" s="64" t="str">
        <f>IF($A269=0,"",IF(VLOOKUP($A269,成就条件映射!$A$4:$D$66,4)=0,"",VLOOKUP($A269,成就条件映射!$A$4:$D$66,4)))</f>
        <v/>
      </c>
      <c r="F269" s="64">
        <v>3</v>
      </c>
      <c r="G269" s="64" t="s">
        <v>114</v>
      </c>
      <c r="H269" s="64" t="str">
        <f>"icon_kim_"&amp;Y269</f>
        <v>icon_kim_</v>
      </c>
      <c r="I269" s="64">
        <f>A269*100+J269</f>
        <v>602301</v>
      </c>
      <c r="J269" s="64">
        <f t="shared" si="24"/>
        <v>1</v>
      </c>
      <c r="M269" t="str">
        <f t="shared" si="25"/>
        <v>achievementAccumulative{achieveId:6023,count:1}</v>
      </c>
      <c r="N269" s="64" t="s">
        <v>115</v>
      </c>
      <c r="O269" s="64">
        <v>1707531</v>
      </c>
      <c r="Q269" s="64">
        <f t="shared" si="26"/>
        <v>6023</v>
      </c>
      <c r="R269" s="64">
        <v>1</v>
      </c>
      <c r="W269" s="64">
        <v>6</v>
      </c>
      <c r="X269" s="64">
        <v>23</v>
      </c>
    </row>
    <row r="270" spans="1:28" x14ac:dyDescent="0.3">
      <c r="C270" s="64" t="str">
        <f>IF($A270=0,"",IF(VLOOKUP($A270,成就条件映射!$A$4:$D$66,2)=0,"",VLOOKUP($A270,成就条件映射!$A$4:$D$66,2)))</f>
        <v/>
      </c>
      <c r="D270" s="64" t="str">
        <f>IF($A270=0,"",IF(VLOOKUP($A270,成就条件映射!$A$4:$D$66,3)=0,"",VLOOKUP($A270,成就条件映射!$A$4:$D$66,3)))</f>
        <v/>
      </c>
      <c r="E270" s="64" t="str">
        <f>IF($A270=0,"",IF(VLOOKUP($A270,成就条件映射!$A$4:$D$66,4)=0,"",VLOOKUP($A270,成就条件映射!$A$4:$D$66,4)))</f>
        <v/>
      </c>
      <c r="I270" s="64">
        <f>A269*100+J270</f>
        <v>602302</v>
      </c>
      <c r="J270" s="64">
        <f t="shared" si="24"/>
        <v>2</v>
      </c>
      <c r="M270" t="str">
        <f t="shared" si="25"/>
        <v>achievementAccumulative{achieveId:6023,count:2}</v>
      </c>
      <c r="N270" s="64" t="s">
        <v>115</v>
      </c>
      <c r="O270" s="64">
        <v>1707532</v>
      </c>
      <c r="Q270" s="64">
        <f t="shared" si="26"/>
        <v>6023</v>
      </c>
      <c r="R270" s="64">
        <v>2</v>
      </c>
      <c r="W270" s="64">
        <v>6</v>
      </c>
      <c r="X270" s="64">
        <v>23</v>
      </c>
    </row>
    <row r="271" spans="1:28" x14ac:dyDescent="0.3">
      <c r="B271" s="64" t="str">
        <f t="shared" ref="B271:B296" si="27">IF(A271=0,"",INT(A271/1000))</f>
        <v/>
      </c>
      <c r="C271" s="64" t="str">
        <f>IF($A271=0,"",IF(VLOOKUP($A271,成就条件映射!$A$4:$D$66,2)=0,"",VLOOKUP($A271,成就条件映射!$A$4:$D$66,2)))</f>
        <v/>
      </c>
      <c r="D271" s="64" t="str">
        <f>IF($A271=0,"",IF(VLOOKUP($A271,成就条件映射!$A$4:$D$66,3)=0,"",VLOOKUP($A271,成就条件映射!$A$4:$D$66,3)))</f>
        <v/>
      </c>
      <c r="E271" s="64" t="str">
        <f>IF($A271=0,"",IF(VLOOKUP($A271,成就条件映射!$A$4:$D$66,4)=0,"",VLOOKUP($A271,成就条件映射!$A$4:$D$66,4)))</f>
        <v/>
      </c>
      <c r="I271" s="64">
        <f>A269*100+J271</f>
        <v>602303</v>
      </c>
      <c r="J271" s="64">
        <f t="shared" si="24"/>
        <v>3</v>
      </c>
      <c r="M271" t="str">
        <f t="shared" si="25"/>
        <v>achievementAccumulative{achieveId:6023,count:3}</v>
      </c>
      <c r="N271" s="64" t="s">
        <v>115</v>
      </c>
      <c r="O271" s="64">
        <v>1707533</v>
      </c>
      <c r="Q271" s="64">
        <f t="shared" si="26"/>
        <v>6023</v>
      </c>
      <c r="R271" s="64">
        <v>3</v>
      </c>
      <c r="W271" s="64">
        <v>6</v>
      </c>
      <c r="X271" s="64">
        <v>23</v>
      </c>
    </row>
    <row r="272" spans="1:28" x14ac:dyDescent="0.3">
      <c r="B272" s="64" t="str">
        <f t="shared" si="27"/>
        <v/>
      </c>
      <c r="C272" s="64" t="str">
        <f>IF($A272=0,"",IF(VLOOKUP($A272,成就条件映射!$A$4:$D$66,2)=0,"",VLOOKUP($A272,成就条件映射!$A$4:$D$66,2)))</f>
        <v/>
      </c>
      <c r="D272" s="64" t="str">
        <f>IF($A272=0,"",IF(VLOOKUP($A272,成就条件映射!$A$4:$D$66,3)=0,"",VLOOKUP($A272,成就条件映射!$A$4:$D$66,3)))</f>
        <v/>
      </c>
      <c r="E272" s="64" t="str">
        <f>IF($A272=0,"",IF(VLOOKUP($A272,成就条件映射!$A$4:$D$66,4)=0,"",VLOOKUP($A272,成就条件映射!$A$4:$D$66,4)))</f>
        <v/>
      </c>
      <c r="I272" s="64">
        <f>A269*100+J272</f>
        <v>602304</v>
      </c>
      <c r="J272" s="64">
        <f t="shared" si="24"/>
        <v>4</v>
      </c>
      <c r="M272" t="str">
        <f t="shared" si="25"/>
        <v>achievementAccumulative{achieveId:6023,count:4}</v>
      </c>
      <c r="N272" s="64" t="s">
        <v>115</v>
      </c>
      <c r="O272" s="64">
        <v>1707534</v>
      </c>
      <c r="Q272" s="64">
        <f t="shared" si="26"/>
        <v>6023</v>
      </c>
      <c r="R272" s="64">
        <v>4</v>
      </c>
      <c r="W272" s="64">
        <v>6</v>
      </c>
      <c r="X272" s="64">
        <v>23</v>
      </c>
    </row>
    <row r="273" spans="1:28" x14ac:dyDescent="0.3">
      <c r="B273" s="64" t="str">
        <f t="shared" si="27"/>
        <v/>
      </c>
      <c r="C273" s="64" t="str">
        <f>IF($A273=0,"",IF(VLOOKUP($A273,成就条件映射!$A$4:$D$66,2)=0,"",VLOOKUP($A273,成就条件映射!$A$4:$D$66,2)))</f>
        <v/>
      </c>
      <c r="D273" s="64" t="str">
        <f>IF($A273=0,"",IF(VLOOKUP($A273,成就条件映射!$A$4:$D$66,3)=0,"",VLOOKUP($A273,成就条件映射!$A$4:$D$66,3)))</f>
        <v/>
      </c>
      <c r="E273" s="64" t="str">
        <f>IF($A273=0,"",IF(VLOOKUP($A273,成就条件映射!$A$4:$D$66,4)=0,"",VLOOKUP($A273,成就条件映射!$A$4:$D$66,4)))</f>
        <v/>
      </c>
      <c r="I273" s="64">
        <f>A269*100+J273</f>
        <v>602305</v>
      </c>
      <c r="J273" s="64">
        <f t="shared" si="24"/>
        <v>5</v>
      </c>
      <c r="M273" t="str">
        <f t="shared" si="25"/>
        <v>achievementAccumulative{achieveId:6023,count:5}</v>
      </c>
      <c r="N273" s="64" t="s">
        <v>115</v>
      </c>
      <c r="O273" s="64">
        <v>1707535</v>
      </c>
      <c r="Q273" s="64">
        <f t="shared" si="26"/>
        <v>6023</v>
      </c>
      <c r="R273" s="64">
        <v>5</v>
      </c>
      <c r="W273" s="64">
        <v>6</v>
      </c>
      <c r="X273" s="64">
        <v>23</v>
      </c>
    </row>
    <row r="274" spans="1:28" s="3" customFormat="1" x14ac:dyDescent="0.3">
      <c r="A274" s="3">
        <f>W274*1000+X274</f>
        <v>7001</v>
      </c>
      <c r="B274" s="3">
        <f t="shared" si="27"/>
        <v>7</v>
      </c>
      <c r="C274" s="3" t="s">
        <v>111</v>
      </c>
      <c r="D274" s="3" t="s">
        <v>209</v>
      </c>
      <c r="E274" s="3" t="s">
        <v>113</v>
      </c>
      <c r="F274" s="3">
        <v>1</v>
      </c>
      <c r="G274" s="3" t="s">
        <v>114</v>
      </c>
      <c r="H274" s="3" t="str">
        <f>"icon_copper_"&amp;Y274</f>
        <v>icon_copper_07</v>
      </c>
      <c r="I274" s="3">
        <f>A274*100+J274</f>
        <v>700101</v>
      </c>
      <c r="J274" s="3">
        <f t="shared" si="24"/>
        <v>1</v>
      </c>
      <c r="K274" s="8">
        <v>7253</v>
      </c>
      <c r="L274" s="8">
        <v>7253</v>
      </c>
      <c r="M274" s="4" t="str">
        <f t="shared" si="25"/>
        <v>achievementAccumulative{achieveId:7001,count:10000}</v>
      </c>
      <c r="N274" s="3" t="s">
        <v>115</v>
      </c>
      <c r="O274" s="3">
        <v>1707511</v>
      </c>
      <c r="Q274" s="3">
        <f t="shared" si="26"/>
        <v>7001</v>
      </c>
      <c r="R274" s="3">
        <v>10000</v>
      </c>
      <c r="W274" s="3">
        <v>7</v>
      </c>
      <c r="X274" s="3">
        <v>1</v>
      </c>
      <c r="Y274" s="43" t="s">
        <v>116</v>
      </c>
      <c r="Z274" t="str">
        <f>IF($A274=0,"",IF(VLOOKUP($A274,成就条件映射!$A$4:$D$66,2)=0,"",VLOOKUP($A274,成就条件映射!$A$4:$D$66,2)))</f>
        <v>攻克资源点</v>
      </c>
      <c r="AA274" t="str">
        <f>IF($A274=0,"",IF(VLOOKUP($A274,成就条件映射!$A$4:$D$66,3)=0,"",VLOOKUP($A274,成就条件映射!$A$4:$D$66,3)))</f>
        <v>在与&lt;color=#ffc766&gt;资源点守军&lt;/color&gt;战斗中，我方部队使用&lt;color=#ffc766&gt;主将技&lt;/color&gt;累计造成的&lt;color=#ffc766&gt;伤害量&lt;/color&gt;</v>
      </c>
      <c r="AB274" t="str">
        <f>IF($A274=0,"",IF(VLOOKUP($A274,成就条件映射!$A$4:$D$66,4)=0,"",VLOOKUP($A274,成就条件映射!$A$4:$D$66,4)))</f>
        <v>当前累计伤害</v>
      </c>
    </row>
    <row r="275" spans="1:28" s="3" customFormat="1" x14ac:dyDescent="0.3">
      <c r="B275" s="3" t="str">
        <f t="shared" si="27"/>
        <v/>
      </c>
      <c r="C275" s="3" t="str">
        <f>IF($A275=0,"",IF(VLOOKUP($A275,成就条件映射!$A$4:$D$66,2)=0,"",VLOOKUP($A275,成就条件映射!$A$4:$D$66,2)))</f>
        <v/>
      </c>
      <c r="D275" s="3" t="str">
        <f>IF($A275=0,"",IF(VLOOKUP($A275,成就条件映射!$A$4:$D$66,3)=0,"",VLOOKUP($A275,成就条件映射!$A$4:$D$66,3)))</f>
        <v/>
      </c>
      <c r="E275" s="3" t="str">
        <f>IF($A275=0,"",IF(VLOOKUP($A275,成就条件映射!$A$4:$D$66,4)=0,"",VLOOKUP($A275,成就条件映射!$A$4:$D$66,4)))</f>
        <v/>
      </c>
      <c r="I275" s="3">
        <f>A274*100+J275</f>
        <v>700102</v>
      </c>
      <c r="J275" s="3">
        <f t="shared" si="24"/>
        <v>2</v>
      </c>
      <c r="K275" s="8">
        <v>7253</v>
      </c>
      <c r="L275" s="8">
        <v>7253</v>
      </c>
      <c r="M275" s="4" t="str">
        <f t="shared" si="25"/>
        <v>achievementAccumulative{achieveId:7001,count:180000}</v>
      </c>
      <c r="N275" s="3" t="s">
        <v>115</v>
      </c>
      <c r="O275" s="3">
        <v>1707512</v>
      </c>
      <c r="Q275" s="3">
        <f t="shared" si="26"/>
        <v>7001</v>
      </c>
      <c r="R275" s="3">
        <v>180000</v>
      </c>
      <c r="W275" s="3">
        <v>7</v>
      </c>
      <c r="X275" s="3">
        <v>1</v>
      </c>
      <c r="Y275" s="43"/>
    </row>
    <row r="276" spans="1:28" s="3" customFormat="1" x14ac:dyDescent="0.3">
      <c r="B276" s="3" t="str">
        <f t="shared" si="27"/>
        <v/>
      </c>
      <c r="C276" s="3" t="str">
        <f>IF($A276=0,"",IF(VLOOKUP($A276,成就条件映射!$A$4:$D$66,2)=0,"",VLOOKUP($A276,成就条件映射!$A$4:$D$66,2)))</f>
        <v/>
      </c>
      <c r="D276" s="3" t="str">
        <f>IF($A276=0,"",IF(VLOOKUP($A276,成就条件映射!$A$4:$D$66,3)=0,"",VLOOKUP($A276,成就条件映射!$A$4:$D$66,3)))</f>
        <v/>
      </c>
      <c r="E276" s="3" t="str">
        <f>IF($A276=0,"",IF(VLOOKUP($A276,成就条件映射!$A$4:$D$66,4)=0,"",VLOOKUP($A276,成就条件映射!$A$4:$D$66,4)))</f>
        <v/>
      </c>
      <c r="I276" s="3">
        <f>A274*100+J276</f>
        <v>700103</v>
      </c>
      <c r="J276" s="3">
        <f t="shared" si="24"/>
        <v>3</v>
      </c>
      <c r="K276" s="8">
        <v>7253</v>
      </c>
      <c r="L276" s="8">
        <v>7253</v>
      </c>
      <c r="M276" s="4" t="str">
        <f t="shared" si="25"/>
        <v>achievementAccumulative{achieveId:7001,count:1000000}</v>
      </c>
      <c r="N276" s="3" t="s">
        <v>115</v>
      </c>
      <c r="O276" s="3">
        <v>1707513</v>
      </c>
      <c r="Q276" s="3">
        <f t="shared" si="26"/>
        <v>7001</v>
      </c>
      <c r="R276" s="3">
        <v>1000000</v>
      </c>
      <c r="W276" s="3">
        <v>7</v>
      </c>
      <c r="X276" s="3">
        <v>1</v>
      </c>
      <c r="Y276" s="43"/>
    </row>
    <row r="277" spans="1:28" s="3" customFormat="1" x14ac:dyDescent="0.3">
      <c r="B277" s="3" t="str">
        <f t="shared" si="27"/>
        <v/>
      </c>
      <c r="C277" s="3" t="str">
        <f>IF($A277=0,"",IF(VLOOKUP($A277,成就条件映射!$A$4:$D$66,2)=0,"",VLOOKUP($A277,成就条件映射!$A$4:$D$66,2)))</f>
        <v/>
      </c>
      <c r="D277" s="3" t="str">
        <f>IF($A277=0,"",IF(VLOOKUP($A277,成就条件映射!$A$4:$D$66,3)=0,"",VLOOKUP($A277,成就条件映射!$A$4:$D$66,3)))</f>
        <v/>
      </c>
      <c r="E277" s="3" t="str">
        <f>IF($A277=0,"",IF(VLOOKUP($A277,成就条件映射!$A$4:$D$66,4)=0,"",VLOOKUP($A277,成就条件映射!$A$4:$D$66,4)))</f>
        <v/>
      </c>
      <c r="I277" s="3">
        <f>A274*100+J277</f>
        <v>700104</v>
      </c>
      <c r="J277" s="3">
        <f t="shared" si="24"/>
        <v>4</v>
      </c>
      <c r="K277" s="8">
        <v>7253</v>
      </c>
      <c r="L277" s="8">
        <v>7253</v>
      </c>
      <c r="M277" s="4" t="str">
        <f t="shared" si="25"/>
        <v>achievementAccumulative{achieveId:7001,count:4200000}</v>
      </c>
      <c r="N277" s="3" t="s">
        <v>115</v>
      </c>
      <c r="O277" s="3">
        <v>1707514</v>
      </c>
      <c r="Q277" s="3">
        <f t="shared" si="26"/>
        <v>7001</v>
      </c>
      <c r="R277" s="3">
        <v>4200000</v>
      </c>
      <c r="W277" s="3">
        <v>7</v>
      </c>
      <c r="X277" s="3">
        <v>1</v>
      </c>
      <c r="Y277" s="43"/>
    </row>
    <row r="278" spans="1:28" s="3" customFormat="1" x14ac:dyDescent="0.3">
      <c r="B278" s="3" t="str">
        <f t="shared" si="27"/>
        <v/>
      </c>
      <c r="C278" s="3" t="str">
        <f>IF($A278=0,"",IF(VLOOKUP($A278,成就条件映射!$A$4:$D$66,2)=0,"",VLOOKUP($A278,成就条件映射!$A$4:$D$66,2)))</f>
        <v/>
      </c>
      <c r="D278" s="3" t="str">
        <f>IF($A278=0,"",IF(VLOOKUP($A278,成就条件映射!$A$4:$D$66,3)=0,"",VLOOKUP($A278,成就条件映射!$A$4:$D$66,3)))</f>
        <v/>
      </c>
      <c r="E278" s="3" t="str">
        <f>IF($A278=0,"",IF(VLOOKUP($A278,成就条件映射!$A$4:$D$66,4)=0,"",VLOOKUP($A278,成就条件映射!$A$4:$D$66,4)))</f>
        <v/>
      </c>
      <c r="I278" s="3">
        <f>A274*100+J278</f>
        <v>700105</v>
      </c>
      <c r="J278" s="3">
        <f t="shared" si="24"/>
        <v>5</v>
      </c>
      <c r="K278" s="8">
        <v>7253</v>
      </c>
      <c r="L278" s="8">
        <v>7253</v>
      </c>
      <c r="M278" s="4" t="str">
        <f t="shared" si="25"/>
        <v>achievementAccumulative{achieveId:7001,count:9000000}</v>
      </c>
      <c r="N278" s="3" t="s">
        <v>115</v>
      </c>
      <c r="O278" s="3">
        <v>1707515</v>
      </c>
      <c r="Q278" s="3">
        <f t="shared" si="26"/>
        <v>7001</v>
      </c>
      <c r="R278" s="3">
        <v>9000000</v>
      </c>
      <c r="W278" s="3">
        <v>7</v>
      </c>
      <c r="X278" s="3">
        <v>1</v>
      </c>
      <c r="Y278" s="43"/>
    </row>
    <row r="279" spans="1:28" s="3" customFormat="1" x14ac:dyDescent="0.3">
      <c r="A279" s="3">
        <f>W279*1000+X279</f>
        <v>7002</v>
      </c>
      <c r="B279" s="3">
        <f t="shared" si="27"/>
        <v>7</v>
      </c>
      <c r="C279" s="3" t="s">
        <v>117</v>
      </c>
      <c r="D279" s="3" t="s">
        <v>210</v>
      </c>
      <c r="E279" s="3" t="s">
        <v>113</v>
      </c>
      <c r="F279" s="3">
        <v>1</v>
      </c>
      <c r="G279" s="3" t="s">
        <v>114</v>
      </c>
      <c r="H279" s="3" t="str">
        <f>"icon_copper_"&amp;Y279</f>
        <v>icon_copper_10</v>
      </c>
      <c r="I279" s="3">
        <f>A279*100+J279</f>
        <v>700201</v>
      </c>
      <c r="J279" s="3">
        <f t="shared" si="24"/>
        <v>1</v>
      </c>
      <c r="K279" s="8">
        <v>7254</v>
      </c>
      <c r="L279" s="8">
        <v>7254</v>
      </c>
      <c r="M279" s="4" t="str">
        <f t="shared" si="25"/>
        <v>achievementAccumulative{achieveId:7002,count:10000}</v>
      </c>
      <c r="N279" s="3" t="s">
        <v>115</v>
      </c>
      <c r="O279" s="3">
        <v>1707511</v>
      </c>
      <c r="Q279" s="3">
        <f t="shared" si="26"/>
        <v>7002</v>
      </c>
      <c r="R279" s="3">
        <v>10000</v>
      </c>
      <c r="W279" s="3">
        <v>7</v>
      </c>
      <c r="X279" s="3">
        <v>2</v>
      </c>
      <c r="Y279" s="43" t="s">
        <v>119</v>
      </c>
      <c r="Z279" t="str">
        <f>IF($A279=0,"",IF(VLOOKUP($A279,成就条件映射!$A$4:$D$66,2)=0,"",VLOOKUP($A279,成就条件映射!$A$4:$D$66,2)))</f>
        <v>蛮族讨伐</v>
      </c>
      <c r="AA279" t="str">
        <f>IF($A279=0,"",IF(VLOOKUP($A279,成就条件映射!$A$4:$D$66,3)=0,"",VLOOKUP($A279,成就条件映射!$A$4:$D$66,3)))</f>
        <v>在与&lt;color=#ffc766&gt;野外蛮族&lt;/color&gt;战斗中，我方部队使用&lt;color=#ffc766&gt;主将技&lt;/color&gt;累计造成的&lt;color=#ffc766&gt;伤害量&lt;/color&gt;</v>
      </c>
      <c r="AB279" t="str">
        <f>IF($A279=0,"",IF(VLOOKUP($A279,成就条件映射!$A$4:$D$66,4)=0,"",VLOOKUP($A279,成就条件映射!$A$4:$D$66,4)))</f>
        <v>当前累计伤害</v>
      </c>
    </row>
    <row r="280" spans="1:28" s="3" customFormat="1" x14ac:dyDescent="0.3">
      <c r="B280" s="3" t="str">
        <f t="shared" si="27"/>
        <v/>
      </c>
      <c r="C280" s="3" t="str">
        <f>IF($A280=0,"",IF(VLOOKUP($A280,成就条件映射!$A$4:$D$66,2)=0,"",VLOOKUP($A280,成就条件映射!$A$4:$D$66,2)))</f>
        <v/>
      </c>
      <c r="D280" s="3" t="str">
        <f>IF($A280=0,"",IF(VLOOKUP($A280,成就条件映射!$A$4:$D$66,3)=0,"",VLOOKUP($A280,成就条件映射!$A$4:$D$66,3)))</f>
        <v/>
      </c>
      <c r="E280" s="3" t="str">
        <f>IF($A280=0,"",IF(VLOOKUP($A280,成就条件映射!$A$4:$D$66,4)=0,"",VLOOKUP($A280,成就条件映射!$A$4:$D$66,4)))</f>
        <v/>
      </c>
      <c r="I280" s="3">
        <f>A279*100+J280</f>
        <v>700202</v>
      </c>
      <c r="J280" s="3">
        <f t="shared" si="24"/>
        <v>2</v>
      </c>
      <c r="K280" s="8">
        <v>7254</v>
      </c>
      <c r="L280" s="8">
        <v>7254</v>
      </c>
      <c r="M280" s="4" t="str">
        <f t="shared" si="25"/>
        <v>achievementAccumulative{achieveId:7002,count:190000}</v>
      </c>
      <c r="N280" s="3" t="s">
        <v>115</v>
      </c>
      <c r="O280" s="3">
        <v>1707512</v>
      </c>
      <c r="Q280" s="3">
        <f t="shared" si="26"/>
        <v>7002</v>
      </c>
      <c r="R280" s="3">
        <v>190000</v>
      </c>
      <c r="W280" s="3">
        <v>7</v>
      </c>
      <c r="X280" s="3">
        <v>2</v>
      </c>
      <c r="Y280" s="43"/>
    </row>
    <row r="281" spans="1:28" s="3" customFormat="1" x14ac:dyDescent="0.3">
      <c r="B281" s="3" t="str">
        <f t="shared" si="27"/>
        <v/>
      </c>
      <c r="C281" s="3" t="str">
        <f>IF($A281=0,"",IF(VLOOKUP($A281,成就条件映射!$A$4:$D$66,2)=0,"",VLOOKUP($A281,成就条件映射!$A$4:$D$66,2)))</f>
        <v/>
      </c>
      <c r="D281" s="3" t="str">
        <f>IF($A281=0,"",IF(VLOOKUP($A281,成就条件映射!$A$4:$D$66,3)=0,"",VLOOKUP($A281,成就条件映射!$A$4:$D$66,3)))</f>
        <v/>
      </c>
      <c r="E281" s="3" t="str">
        <f>IF($A281=0,"",IF(VLOOKUP($A281,成就条件映射!$A$4:$D$66,4)=0,"",VLOOKUP($A281,成就条件映射!$A$4:$D$66,4)))</f>
        <v/>
      </c>
      <c r="I281" s="3">
        <f>A279*100+J281</f>
        <v>700203</v>
      </c>
      <c r="J281" s="3">
        <f t="shared" si="24"/>
        <v>3</v>
      </c>
      <c r="K281" s="8">
        <v>7254</v>
      </c>
      <c r="L281" s="8">
        <v>7254</v>
      </c>
      <c r="M281" s="4" t="str">
        <f t="shared" si="25"/>
        <v>achievementAccumulative{achieveId:7002,count:470000}</v>
      </c>
      <c r="N281" s="3" t="s">
        <v>115</v>
      </c>
      <c r="O281" s="3">
        <v>1707513</v>
      </c>
      <c r="Q281" s="3">
        <f t="shared" si="26"/>
        <v>7002</v>
      </c>
      <c r="R281" s="3">
        <v>470000</v>
      </c>
      <c r="W281" s="3">
        <v>7</v>
      </c>
      <c r="X281" s="3">
        <v>2</v>
      </c>
      <c r="Y281" s="43"/>
    </row>
    <row r="282" spans="1:28" s="3" customFormat="1" x14ac:dyDescent="0.3">
      <c r="B282" s="3" t="str">
        <f t="shared" si="27"/>
        <v/>
      </c>
      <c r="C282" s="3" t="str">
        <f>IF($A282=0,"",IF(VLOOKUP($A282,成就条件映射!$A$4:$D$66,2)=0,"",VLOOKUP($A282,成就条件映射!$A$4:$D$66,2)))</f>
        <v/>
      </c>
      <c r="D282" s="3" t="str">
        <f>IF($A282=0,"",IF(VLOOKUP($A282,成就条件映射!$A$4:$D$66,3)=0,"",VLOOKUP($A282,成就条件映射!$A$4:$D$66,3)))</f>
        <v/>
      </c>
      <c r="E282" s="3" t="str">
        <f>IF($A282=0,"",IF(VLOOKUP($A282,成就条件映射!$A$4:$D$66,4)=0,"",VLOOKUP($A282,成就条件映射!$A$4:$D$66,4)))</f>
        <v/>
      </c>
      <c r="I282" s="3">
        <f>A279*100+J282</f>
        <v>700204</v>
      </c>
      <c r="J282" s="3">
        <f t="shared" si="24"/>
        <v>4</v>
      </c>
      <c r="K282" s="8">
        <v>7254</v>
      </c>
      <c r="L282" s="8">
        <v>7254</v>
      </c>
      <c r="M282" s="4" t="str">
        <f t="shared" si="25"/>
        <v>achievementAccumulative{achieveId:7002,count:1800000}</v>
      </c>
      <c r="N282" s="3" t="s">
        <v>115</v>
      </c>
      <c r="O282" s="3">
        <v>1707514</v>
      </c>
      <c r="Q282" s="3">
        <f t="shared" si="26"/>
        <v>7002</v>
      </c>
      <c r="R282" s="3">
        <v>1800000</v>
      </c>
      <c r="W282" s="3">
        <v>7</v>
      </c>
      <c r="X282" s="3">
        <v>2</v>
      </c>
      <c r="Y282" s="43"/>
    </row>
    <row r="283" spans="1:28" s="3" customFormat="1" x14ac:dyDescent="0.3">
      <c r="B283" s="3" t="str">
        <f t="shared" si="27"/>
        <v/>
      </c>
      <c r="C283" s="3" t="str">
        <f>IF($A283=0,"",IF(VLOOKUP($A283,成就条件映射!$A$4:$D$66,2)=0,"",VLOOKUP($A283,成就条件映射!$A$4:$D$66,2)))</f>
        <v/>
      </c>
      <c r="D283" s="3" t="str">
        <f>IF($A283=0,"",IF(VLOOKUP($A283,成就条件映射!$A$4:$D$66,3)=0,"",VLOOKUP($A283,成就条件映射!$A$4:$D$66,3)))</f>
        <v/>
      </c>
      <c r="E283" s="3" t="str">
        <f>IF($A283=0,"",IF(VLOOKUP($A283,成就条件映射!$A$4:$D$66,4)=0,"",VLOOKUP($A283,成就条件映射!$A$4:$D$66,4)))</f>
        <v/>
      </c>
      <c r="I283" s="3">
        <f>A279*100+J283</f>
        <v>700205</v>
      </c>
      <c r="J283" s="3">
        <f t="shared" si="24"/>
        <v>5</v>
      </c>
      <c r="K283" s="8">
        <v>7254</v>
      </c>
      <c r="L283" s="8">
        <v>7254</v>
      </c>
      <c r="M283" s="4" t="str">
        <f t="shared" si="25"/>
        <v>achievementAccumulative{achieveId:7002,count:6000000}</v>
      </c>
      <c r="N283" s="3" t="s">
        <v>115</v>
      </c>
      <c r="O283" s="3">
        <v>1707515</v>
      </c>
      <c r="Q283" s="3">
        <f t="shared" si="26"/>
        <v>7002</v>
      </c>
      <c r="R283" s="3">
        <v>6000000</v>
      </c>
      <c r="W283" s="3">
        <v>7</v>
      </c>
      <c r="X283" s="3">
        <v>2</v>
      </c>
      <c r="Y283" s="43"/>
    </row>
    <row r="284" spans="1:28" s="3" customFormat="1" x14ac:dyDescent="0.3">
      <c r="A284" s="3">
        <f>W284*1000+X284</f>
        <v>7003</v>
      </c>
      <c r="B284" s="3">
        <f t="shared" si="27"/>
        <v>7</v>
      </c>
      <c r="C284" s="3" t="s">
        <v>120</v>
      </c>
      <c r="D284" s="3" t="s">
        <v>211</v>
      </c>
      <c r="E284" s="3" t="s">
        <v>113</v>
      </c>
      <c r="F284" s="3">
        <v>1</v>
      </c>
      <c r="G284" s="3" t="s">
        <v>114</v>
      </c>
      <c r="H284" s="3" t="str">
        <f>"icon_copper_"&amp;Y284</f>
        <v>icon_copper_04</v>
      </c>
      <c r="I284" s="3">
        <f>A284*100+J284</f>
        <v>700301</v>
      </c>
      <c r="J284" s="3">
        <f t="shared" si="24"/>
        <v>1</v>
      </c>
      <c r="K284" s="8"/>
      <c r="L284" s="8"/>
      <c r="M284" s="4" t="str">
        <f t="shared" si="25"/>
        <v>achievementAccumulative{achieveId:7003,count:20000}</v>
      </c>
      <c r="N284" s="3" t="s">
        <v>115</v>
      </c>
      <c r="O284" s="3">
        <v>1707511</v>
      </c>
      <c r="Q284" s="3">
        <f t="shared" si="26"/>
        <v>7003</v>
      </c>
      <c r="R284" s="3">
        <v>20000</v>
      </c>
      <c r="W284" s="3">
        <v>7</v>
      </c>
      <c r="X284" s="3">
        <v>3</v>
      </c>
      <c r="Y284" s="43" t="s">
        <v>122</v>
      </c>
      <c r="Z284" t="str">
        <f>IF($A284=0,"",IF(VLOOKUP($A284,成就条件映射!$A$4:$D$66,2)=0,"",VLOOKUP($A284,成就条件映射!$A$4:$D$66,2)))</f>
        <v>野战先锋</v>
      </c>
      <c r="AA284" t="str">
        <f>IF($A284=0,"",IF(VLOOKUP($A284,成就条件映射!$A$4:$D$66,3)=0,"",VLOOKUP($A284,成就条件映射!$A$4:$D$66,3)))</f>
        <v>野外与&lt;color=#ffc766&gt;玩家&lt;/color&gt;部队战斗中，我方部队使用&lt;color=#ffc766&gt;主将技&lt;/color&gt;累计对敌方玩家造成的&lt;color=#ffc766&gt;伤害量&lt;/color&gt;</v>
      </c>
      <c r="AB284" t="str">
        <f>IF($A284=0,"",IF(VLOOKUP($A284,成就条件映射!$A$4:$D$66,4)=0,"",VLOOKUP($A284,成就条件映射!$A$4:$D$66,4)))</f>
        <v>当前累计伤害</v>
      </c>
    </row>
    <row r="285" spans="1:28" s="3" customFormat="1" x14ac:dyDescent="0.3">
      <c r="B285" s="3" t="str">
        <f t="shared" si="27"/>
        <v/>
      </c>
      <c r="C285" s="3" t="str">
        <f>IF($A285=0,"",IF(VLOOKUP($A285,成就条件映射!$A$4:$D$66,2)=0,"",VLOOKUP($A285,成就条件映射!$A$4:$D$66,2)))</f>
        <v/>
      </c>
      <c r="D285" s="3" t="str">
        <f>IF($A285=0,"",IF(VLOOKUP($A285,成就条件映射!$A$4:$D$66,3)=0,"",VLOOKUP($A285,成就条件映射!$A$4:$D$66,3)))</f>
        <v/>
      </c>
      <c r="E285" s="3" t="str">
        <f>IF($A285=0,"",IF(VLOOKUP($A285,成就条件映射!$A$4:$D$66,4)=0,"",VLOOKUP($A285,成就条件映射!$A$4:$D$66,4)))</f>
        <v/>
      </c>
      <c r="I285" s="3">
        <f>A284*100+J285</f>
        <v>700302</v>
      </c>
      <c r="J285" s="3">
        <f t="shared" si="24"/>
        <v>2</v>
      </c>
      <c r="K285" s="8"/>
      <c r="L285" s="8"/>
      <c r="M285" s="4" t="str">
        <f t="shared" si="25"/>
        <v>achievementAccumulative{achieveId:7003,count:90000}</v>
      </c>
      <c r="N285" s="3" t="s">
        <v>115</v>
      </c>
      <c r="O285" s="3">
        <v>1707512</v>
      </c>
      <c r="Q285" s="3">
        <f t="shared" si="26"/>
        <v>7003</v>
      </c>
      <c r="R285" s="3">
        <v>90000</v>
      </c>
      <c r="W285" s="3">
        <v>7</v>
      </c>
      <c r="X285" s="3">
        <v>3</v>
      </c>
      <c r="Y285" s="43"/>
    </row>
    <row r="286" spans="1:28" s="3" customFormat="1" x14ac:dyDescent="0.3">
      <c r="B286" s="3" t="str">
        <f t="shared" si="27"/>
        <v/>
      </c>
      <c r="C286" s="3" t="str">
        <f>IF($A286=0,"",IF(VLOOKUP($A286,成就条件映射!$A$4:$D$66,2)=0,"",VLOOKUP($A286,成就条件映射!$A$4:$D$66,2)))</f>
        <v/>
      </c>
      <c r="D286" s="3" t="str">
        <f>IF($A286=0,"",IF(VLOOKUP($A286,成就条件映射!$A$4:$D$66,3)=0,"",VLOOKUP($A286,成就条件映射!$A$4:$D$66,3)))</f>
        <v/>
      </c>
      <c r="E286" s="3" t="str">
        <f>IF($A286=0,"",IF(VLOOKUP($A286,成就条件映射!$A$4:$D$66,4)=0,"",VLOOKUP($A286,成就条件映射!$A$4:$D$66,4)))</f>
        <v/>
      </c>
      <c r="I286" s="3">
        <f>A284*100+J286</f>
        <v>700303</v>
      </c>
      <c r="J286" s="3">
        <f t="shared" si="24"/>
        <v>3</v>
      </c>
      <c r="K286" s="8"/>
      <c r="L286" s="8"/>
      <c r="M286" s="4" t="str">
        <f t="shared" si="25"/>
        <v>achievementAccumulative{achieveId:7003,count:330000}</v>
      </c>
      <c r="N286" s="3" t="s">
        <v>115</v>
      </c>
      <c r="O286" s="3">
        <v>1707513</v>
      </c>
      <c r="Q286" s="3">
        <f t="shared" si="26"/>
        <v>7003</v>
      </c>
      <c r="R286" s="3">
        <v>330000</v>
      </c>
      <c r="W286" s="3">
        <v>7</v>
      </c>
      <c r="X286" s="3">
        <v>3</v>
      </c>
      <c r="Y286" s="43"/>
    </row>
    <row r="287" spans="1:28" s="3" customFormat="1" x14ac:dyDescent="0.3">
      <c r="B287" s="3" t="str">
        <f t="shared" si="27"/>
        <v/>
      </c>
      <c r="C287" s="3" t="str">
        <f>IF($A287=0,"",IF(VLOOKUP($A287,成就条件映射!$A$4:$D$66,2)=0,"",VLOOKUP($A287,成就条件映射!$A$4:$D$66,2)))</f>
        <v/>
      </c>
      <c r="D287" s="3" t="str">
        <f>IF($A287=0,"",IF(VLOOKUP($A287,成就条件映射!$A$4:$D$66,3)=0,"",VLOOKUP($A287,成就条件映射!$A$4:$D$66,3)))</f>
        <v/>
      </c>
      <c r="E287" s="3" t="str">
        <f>IF($A287=0,"",IF(VLOOKUP($A287,成就条件映射!$A$4:$D$66,4)=0,"",VLOOKUP($A287,成就条件映射!$A$4:$D$66,4)))</f>
        <v/>
      </c>
      <c r="I287" s="3">
        <f>A284*100+J287</f>
        <v>700304</v>
      </c>
      <c r="J287" s="3">
        <f t="shared" si="24"/>
        <v>4</v>
      </c>
      <c r="K287" s="8"/>
      <c r="L287" s="8"/>
      <c r="M287" s="4" t="str">
        <f t="shared" si="25"/>
        <v>achievementAccumulative{achieveId:7003,count:1100000}</v>
      </c>
      <c r="N287" s="3" t="s">
        <v>115</v>
      </c>
      <c r="O287" s="3">
        <v>1707514</v>
      </c>
      <c r="Q287" s="3">
        <f t="shared" si="26"/>
        <v>7003</v>
      </c>
      <c r="R287" s="3">
        <v>1100000</v>
      </c>
      <c r="W287" s="3">
        <v>7</v>
      </c>
      <c r="X287" s="3">
        <v>3</v>
      </c>
      <c r="Y287" s="43"/>
    </row>
    <row r="288" spans="1:28" s="3" customFormat="1" x14ac:dyDescent="0.3">
      <c r="B288" s="3" t="str">
        <f t="shared" si="27"/>
        <v/>
      </c>
      <c r="C288" s="3" t="str">
        <f>IF($A288=0,"",IF(VLOOKUP($A288,成就条件映射!$A$4:$D$66,2)=0,"",VLOOKUP($A288,成就条件映射!$A$4:$D$66,2)))</f>
        <v/>
      </c>
      <c r="D288" s="3" t="str">
        <f>IF($A288=0,"",IF(VLOOKUP($A288,成就条件映射!$A$4:$D$66,3)=0,"",VLOOKUP($A288,成就条件映射!$A$4:$D$66,3)))</f>
        <v/>
      </c>
      <c r="E288" s="3" t="str">
        <f>IF($A288=0,"",IF(VLOOKUP($A288,成就条件映射!$A$4:$D$66,4)=0,"",VLOOKUP($A288,成就条件映射!$A$4:$D$66,4)))</f>
        <v/>
      </c>
      <c r="I288" s="3">
        <f>A284*100+J288</f>
        <v>700305</v>
      </c>
      <c r="J288" s="3">
        <f t="shared" si="24"/>
        <v>5</v>
      </c>
      <c r="K288" s="8"/>
      <c r="L288" s="8"/>
      <c r="M288" s="4" t="str">
        <f t="shared" si="25"/>
        <v>achievementAccumulative{achieveId:7003,count:3000000}</v>
      </c>
      <c r="N288" s="3" t="s">
        <v>115</v>
      </c>
      <c r="O288" s="3">
        <v>1707515</v>
      </c>
      <c r="Q288" s="3">
        <f t="shared" si="26"/>
        <v>7003</v>
      </c>
      <c r="R288" s="3">
        <v>3000000</v>
      </c>
      <c r="W288" s="3">
        <v>7</v>
      </c>
      <c r="X288" s="3">
        <v>3</v>
      </c>
      <c r="Y288" s="43"/>
    </row>
    <row r="289" spans="1:28" s="3" customFormat="1" x14ac:dyDescent="0.3">
      <c r="A289" s="3">
        <f>W289*1000+X289</f>
        <v>7011</v>
      </c>
      <c r="B289" s="3">
        <f t="shared" si="27"/>
        <v>7</v>
      </c>
      <c r="C289" s="3" t="s">
        <v>212</v>
      </c>
      <c r="D289" s="3" t="s">
        <v>213</v>
      </c>
      <c r="E289" s="3" t="s">
        <v>135</v>
      </c>
      <c r="F289" s="3">
        <v>2</v>
      </c>
      <c r="G289" s="3" t="s">
        <v>114</v>
      </c>
      <c r="H289" s="3" t="str">
        <f>"icon_silver_"&amp;Y289</f>
        <v>icon_silver_13</v>
      </c>
      <c r="I289" s="3">
        <f>A289*100+J289</f>
        <v>701101</v>
      </c>
      <c r="J289" s="3">
        <f t="shared" si="24"/>
        <v>1</v>
      </c>
      <c r="K289" s="8"/>
      <c r="L289" s="8"/>
      <c r="M289" s="4" t="str">
        <f t="shared" si="25"/>
        <v>achievementAccumulative{achieveId:7011,count:100}</v>
      </c>
      <c r="N289" s="3" t="s">
        <v>115</v>
      </c>
      <c r="O289" s="3">
        <v>1707521</v>
      </c>
      <c r="Q289" s="3">
        <f t="shared" si="26"/>
        <v>7011</v>
      </c>
      <c r="R289" s="3">
        <v>100</v>
      </c>
      <c r="W289" s="3">
        <v>7</v>
      </c>
      <c r="X289" s="3">
        <v>11</v>
      </c>
      <c r="Y289" s="43" t="s">
        <v>205</v>
      </c>
      <c r="Z289" t="str">
        <f>IF($A289=0,"",IF(VLOOKUP($A289,成就条件映射!$A$4:$D$66,2)=0,"",VLOOKUP($A289,成就条件映射!$A$4:$D$66,2)))</f>
        <v>品德教育</v>
      </c>
      <c r="AA289" t="str">
        <f>IF($A289=0,"",IF(VLOOKUP($A289,成就条件映射!$A$4:$D$66,3)=0,"",VLOOKUP($A289,成就条件映射!$A$4:$D$66,3)))</f>
        <v>我方部队使用&lt;color=#ffc766&gt;固有&lt;/color&gt;&lt;color=#ffc766&gt;主动技能&lt;/color&gt;，降低敌方玩家属性的次数</v>
      </c>
      <c r="AB289" t="str">
        <f>IF($A289=0,"",IF(VLOOKUP($A289,成就条件映射!$A$4:$D$66,4)=0,"",VLOOKUP($A289,成就条件映射!$A$4:$D$66,4)))</f>
        <v>当前累计次数</v>
      </c>
    </row>
    <row r="290" spans="1:28" s="3" customFormat="1" x14ac:dyDescent="0.3">
      <c r="B290" s="3" t="str">
        <f t="shared" si="27"/>
        <v/>
      </c>
      <c r="C290" s="3" t="str">
        <f>IF($A290=0,"",IF(VLOOKUP($A290,成就条件映射!$A$4:$D$66,2)=0,"",VLOOKUP($A290,成就条件映射!$A$4:$D$66,2)))</f>
        <v/>
      </c>
      <c r="D290" s="3" t="str">
        <f>IF($A290=0,"",IF(VLOOKUP($A290,成就条件映射!$A$4:$D$66,3)=0,"",VLOOKUP($A290,成就条件映射!$A$4:$D$66,3)))</f>
        <v/>
      </c>
      <c r="E290" s="3" t="str">
        <f>IF($A290=0,"",IF(VLOOKUP($A290,成就条件映射!$A$4:$D$66,4)=0,"",VLOOKUP($A290,成就条件映射!$A$4:$D$66,4)))</f>
        <v/>
      </c>
      <c r="I290" s="3">
        <f>A289*100+J290</f>
        <v>701102</v>
      </c>
      <c r="J290" s="3">
        <f t="shared" si="24"/>
        <v>2</v>
      </c>
      <c r="K290" s="8"/>
      <c r="L290" s="8"/>
      <c r="M290" s="4" t="str">
        <f t="shared" si="25"/>
        <v>achievementAccumulative{achieveId:7011,count:400}</v>
      </c>
      <c r="N290" s="3" t="s">
        <v>115</v>
      </c>
      <c r="O290" s="3">
        <v>1707522</v>
      </c>
      <c r="Q290" s="3">
        <f t="shared" si="26"/>
        <v>7011</v>
      </c>
      <c r="R290" s="3">
        <v>400</v>
      </c>
      <c r="W290" s="3">
        <v>7</v>
      </c>
      <c r="X290" s="3">
        <v>11</v>
      </c>
      <c r="Y290" s="43"/>
    </row>
    <row r="291" spans="1:28" s="3" customFormat="1" x14ac:dyDescent="0.3">
      <c r="B291" s="3" t="str">
        <f t="shared" si="27"/>
        <v/>
      </c>
      <c r="C291" s="3" t="str">
        <f>IF($A291=0,"",IF(VLOOKUP($A291,成就条件映射!$A$4:$D$66,2)=0,"",VLOOKUP($A291,成就条件映射!$A$4:$D$66,2)))</f>
        <v/>
      </c>
      <c r="D291" s="3" t="str">
        <f>IF($A291=0,"",IF(VLOOKUP($A291,成就条件映射!$A$4:$D$66,3)=0,"",VLOOKUP($A291,成就条件映射!$A$4:$D$66,3)))</f>
        <v/>
      </c>
      <c r="E291" s="3" t="str">
        <f>IF($A291=0,"",IF(VLOOKUP($A291,成就条件映射!$A$4:$D$66,4)=0,"",VLOOKUP($A291,成就条件映射!$A$4:$D$66,4)))</f>
        <v/>
      </c>
      <c r="I291" s="3">
        <f>A289*100+J291</f>
        <v>701103</v>
      </c>
      <c r="J291" s="3">
        <f t="shared" si="24"/>
        <v>3</v>
      </c>
      <c r="K291" s="8"/>
      <c r="L291" s="8"/>
      <c r="M291" s="4" t="str">
        <f t="shared" si="25"/>
        <v>achievementAccumulative{achieveId:7011,count:1000}</v>
      </c>
      <c r="N291" s="3" t="s">
        <v>115</v>
      </c>
      <c r="O291" s="3">
        <v>1707523</v>
      </c>
      <c r="Q291" s="3">
        <f t="shared" si="26"/>
        <v>7011</v>
      </c>
      <c r="R291" s="3">
        <v>1000</v>
      </c>
      <c r="W291" s="3">
        <v>7</v>
      </c>
      <c r="X291" s="3">
        <v>11</v>
      </c>
      <c r="Y291" s="43"/>
    </row>
    <row r="292" spans="1:28" s="3" customFormat="1" x14ac:dyDescent="0.3">
      <c r="B292" s="3" t="str">
        <f t="shared" si="27"/>
        <v/>
      </c>
      <c r="C292" s="3" t="str">
        <f>IF($A292=0,"",IF(VLOOKUP($A292,成就条件映射!$A$4:$D$66,2)=0,"",VLOOKUP($A292,成就条件映射!$A$4:$D$66,2)))</f>
        <v/>
      </c>
      <c r="D292" s="3" t="str">
        <f>IF($A292=0,"",IF(VLOOKUP($A292,成就条件映射!$A$4:$D$66,3)=0,"",VLOOKUP($A292,成就条件映射!$A$4:$D$66,3)))</f>
        <v/>
      </c>
      <c r="E292" s="3" t="str">
        <f>IF($A292=0,"",IF(VLOOKUP($A292,成就条件映射!$A$4:$D$66,4)=0,"",VLOOKUP($A292,成就条件映射!$A$4:$D$66,4)))</f>
        <v/>
      </c>
      <c r="I292" s="3">
        <f>A289*100+J292</f>
        <v>701104</v>
      </c>
      <c r="J292" s="3">
        <f t="shared" si="24"/>
        <v>4</v>
      </c>
      <c r="K292" s="8"/>
      <c r="L292" s="8"/>
      <c r="M292" s="4" t="str">
        <f t="shared" si="25"/>
        <v>achievementAccumulative{achieveId:7011,count:2000}</v>
      </c>
      <c r="N292" s="3" t="s">
        <v>115</v>
      </c>
      <c r="O292" s="3">
        <v>1707524</v>
      </c>
      <c r="Q292" s="3">
        <f t="shared" si="26"/>
        <v>7011</v>
      </c>
      <c r="R292" s="3">
        <v>2000</v>
      </c>
      <c r="W292" s="3">
        <v>7</v>
      </c>
      <c r="X292" s="3">
        <v>11</v>
      </c>
      <c r="Y292" s="43"/>
    </row>
    <row r="293" spans="1:28" s="3" customFormat="1" x14ac:dyDescent="0.3">
      <c r="B293" s="3" t="str">
        <f t="shared" si="27"/>
        <v/>
      </c>
      <c r="C293" s="3" t="str">
        <f>IF($A293=0,"",IF(VLOOKUP($A293,成就条件映射!$A$4:$D$66,2)=0,"",VLOOKUP($A293,成就条件映射!$A$4:$D$66,2)))</f>
        <v/>
      </c>
      <c r="D293" s="3" t="str">
        <f>IF($A293=0,"",IF(VLOOKUP($A293,成就条件映射!$A$4:$D$66,3)=0,"",VLOOKUP($A293,成就条件映射!$A$4:$D$66,3)))</f>
        <v/>
      </c>
      <c r="E293" s="3" t="str">
        <f>IF($A293=0,"",IF(VLOOKUP($A293,成就条件映射!$A$4:$D$66,4)=0,"",VLOOKUP($A293,成就条件映射!$A$4:$D$66,4)))</f>
        <v/>
      </c>
      <c r="I293" s="3">
        <f>A289*100+J293</f>
        <v>701105</v>
      </c>
      <c r="J293" s="3">
        <f t="shared" si="24"/>
        <v>5</v>
      </c>
      <c r="K293" s="8"/>
      <c r="L293" s="8"/>
      <c r="M293" s="4" t="str">
        <f t="shared" si="25"/>
        <v>achievementAccumulative{achieveId:7011,count:4000}</v>
      </c>
      <c r="N293" s="3" t="s">
        <v>115</v>
      </c>
      <c r="O293" s="3">
        <v>1707525</v>
      </c>
      <c r="Q293" s="3">
        <f t="shared" si="26"/>
        <v>7011</v>
      </c>
      <c r="R293" s="3">
        <v>4000</v>
      </c>
      <c r="W293" s="3">
        <v>7</v>
      </c>
      <c r="X293" s="3">
        <v>11</v>
      </c>
      <c r="Y293" s="43"/>
    </row>
    <row r="294" spans="1:28" s="3" customFormat="1" x14ac:dyDescent="0.3">
      <c r="A294" s="3">
        <f>W294*1000+X294</f>
        <v>7012</v>
      </c>
      <c r="B294" s="3">
        <f t="shared" si="27"/>
        <v>7</v>
      </c>
      <c r="C294" s="3" t="s">
        <v>214</v>
      </c>
      <c r="D294" s="3" t="s">
        <v>215</v>
      </c>
      <c r="E294" s="3" t="s">
        <v>216</v>
      </c>
      <c r="F294" s="3">
        <v>2</v>
      </c>
      <c r="G294" s="3" t="s">
        <v>114</v>
      </c>
      <c r="H294" s="3" t="str">
        <f>"icon_silver_"&amp;Y294</f>
        <v>icon_silver_01</v>
      </c>
      <c r="I294" s="3">
        <f>A294*100+J294</f>
        <v>701201</v>
      </c>
      <c r="J294" s="3">
        <f t="shared" si="24"/>
        <v>1</v>
      </c>
      <c r="K294" s="8"/>
      <c r="L294" s="8"/>
      <c r="M294" s="4" t="str">
        <f t="shared" si="25"/>
        <v>achievementAccumulative{achieveId:7012,count:2000}</v>
      </c>
      <c r="N294" s="3" t="s">
        <v>115</v>
      </c>
      <c r="O294" s="3">
        <v>1707521</v>
      </c>
      <c r="Q294" s="3">
        <f t="shared" si="26"/>
        <v>7012</v>
      </c>
      <c r="R294" s="3">
        <v>2000</v>
      </c>
      <c r="W294" s="3">
        <v>7</v>
      </c>
      <c r="X294" s="3">
        <v>12</v>
      </c>
      <c r="Y294" s="43" t="s">
        <v>192</v>
      </c>
      <c r="Z294" t="str">
        <f>IF($A294=0,"",IF(VLOOKUP($A294,成就条件映射!$A$4:$D$66,2)=0,"",VLOOKUP($A294,成就条件映射!$A$4:$D$66,2)))</f>
        <v>天子一怒</v>
      </c>
      <c r="AA294" t="str">
        <f>IF($A294=0,"",IF(VLOOKUP($A294,成就条件映射!$A$4:$D$66,3)=0,"",VLOOKUP($A294,成就条件映射!$A$4:$D$66,3)))</f>
        <v>我方部队使用&lt;color=#ffc766&gt;固有技能&lt;/color&gt;，累计回复的怒气量</v>
      </c>
      <c r="AB294" t="str">
        <f>IF($A294=0,"",IF(VLOOKUP($A294,成就条件映射!$A$4:$D$66,4)=0,"",VLOOKUP($A294,成就条件映射!$A$4:$D$66,4)))</f>
        <v>当前累计回复</v>
      </c>
    </row>
    <row r="295" spans="1:28" s="3" customFormat="1" x14ac:dyDescent="0.3">
      <c r="B295" s="3" t="str">
        <f t="shared" si="27"/>
        <v/>
      </c>
      <c r="C295" s="3" t="str">
        <f>IF($A295=0,"",IF(VLOOKUP($A295,成就条件映射!$A$4:$D$66,2)=0,"",VLOOKUP($A295,成就条件映射!$A$4:$D$66,2)))</f>
        <v/>
      </c>
      <c r="D295" s="3" t="str">
        <f>IF($A295=0,"",IF(VLOOKUP($A295,成就条件映射!$A$4:$D$66,3)=0,"",VLOOKUP($A295,成就条件映射!$A$4:$D$66,3)))</f>
        <v/>
      </c>
      <c r="E295" s="3" t="str">
        <f>IF($A295=0,"",IF(VLOOKUP($A295,成就条件映射!$A$4:$D$66,4)=0,"",VLOOKUP($A295,成就条件映射!$A$4:$D$66,4)))</f>
        <v/>
      </c>
      <c r="I295" s="3">
        <f>A294*100+J295</f>
        <v>701202</v>
      </c>
      <c r="J295" s="3">
        <f t="shared" si="24"/>
        <v>2</v>
      </c>
      <c r="K295" s="8"/>
      <c r="L295" s="8"/>
      <c r="M295" s="4" t="str">
        <f t="shared" si="25"/>
        <v>achievementAccumulative{achieveId:7012,count:10000}</v>
      </c>
      <c r="N295" s="3" t="s">
        <v>115</v>
      </c>
      <c r="O295" s="3">
        <v>1707522</v>
      </c>
      <c r="Q295" s="3">
        <f t="shared" si="26"/>
        <v>7012</v>
      </c>
      <c r="R295" s="3">
        <v>10000</v>
      </c>
      <c r="W295" s="3">
        <v>7</v>
      </c>
      <c r="X295" s="3">
        <v>12</v>
      </c>
      <c r="Y295" s="43"/>
    </row>
    <row r="296" spans="1:28" s="3" customFormat="1" x14ac:dyDescent="0.3">
      <c r="B296" s="3" t="str">
        <f t="shared" si="27"/>
        <v/>
      </c>
      <c r="C296" s="3" t="str">
        <f>IF($A296=0,"",IF(VLOOKUP($A296,成就条件映射!$A$4:$D$66,2)=0,"",VLOOKUP($A296,成就条件映射!$A$4:$D$66,2)))</f>
        <v/>
      </c>
      <c r="D296" s="3" t="str">
        <f>IF($A296=0,"",IF(VLOOKUP($A296,成就条件映射!$A$4:$D$66,3)=0,"",VLOOKUP($A296,成就条件映射!$A$4:$D$66,3)))</f>
        <v/>
      </c>
      <c r="E296" s="3" t="str">
        <f>IF($A296=0,"",IF(VLOOKUP($A296,成就条件映射!$A$4:$D$66,4)=0,"",VLOOKUP($A296,成就条件映射!$A$4:$D$66,4)))</f>
        <v/>
      </c>
      <c r="I296" s="3">
        <f>A294*100+J296</f>
        <v>701203</v>
      </c>
      <c r="J296" s="3">
        <f t="shared" si="24"/>
        <v>3</v>
      </c>
      <c r="K296" s="8"/>
      <c r="L296" s="8"/>
      <c r="M296" s="4" t="str">
        <f t="shared" si="25"/>
        <v>achievementAccumulative{achieveId:7012,count:40000}</v>
      </c>
      <c r="N296" s="3" t="s">
        <v>115</v>
      </c>
      <c r="O296" s="3">
        <v>1707523</v>
      </c>
      <c r="Q296" s="3">
        <f t="shared" si="26"/>
        <v>7012</v>
      </c>
      <c r="R296" s="3">
        <v>40000</v>
      </c>
      <c r="W296" s="3">
        <v>7</v>
      </c>
      <c r="X296" s="3">
        <v>12</v>
      </c>
      <c r="Y296" s="43"/>
    </row>
    <row r="297" spans="1:28" s="3" customFormat="1" x14ac:dyDescent="0.3">
      <c r="C297" s="3" t="str">
        <f>IF($A297=0,"",IF(VLOOKUP($A297,成就条件映射!$A$4:$D$66,2)=0,"",VLOOKUP($A297,成就条件映射!$A$4:$D$66,2)))</f>
        <v/>
      </c>
      <c r="D297" s="3" t="str">
        <f>IF($A297=0,"",IF(VLOOKUP($A297,成就条件映射!$A$4:$D$66,3)=0,"",VLOOKUP($A297,成就条件映射!$A$4:$D$66,3)))</f>
        <v/>
      </c>
      <c r="E297" s="3" t="str">
        <f>IF($A297=0,"",IF(VLOOKUP($A297,成就条件映射!$A$4:$D$66,4)=0,"",VLOOKUP($A297,成就条件映射!$A$4:$D$66,4)))</f>
        <v/>
      </c>
      <c r="I297" s="3">
        <f>A294*100+J297</f>
        <v>701204</v>
      </c>
      <c r="J297" s="3">
        <f t="shared" si="24"/>
        <v>4</v>
      </c>
      <c r="K297" s="8"/>
      <c r="L297" s="8"/>
      <c r="M297" s="4" t="str">
        <f t="shared" si="25"/>
        <v>achievementAccumulative{achieveId:7012,count:90000}</v>
      </c>
      <c r="N297" s="3" t="s">
        <v>115</v>
      </c>
      <c r="O297" s="3">
        <v>1707524</v>
      </c>
      <c r="Q297" s="3">
        <f t="shared" si="26"/>
        <v>7012</v>
      </c>
      <c r="R297" s="3">
        <v>90000</v>
      </c>
      <c r="W297" s="3">
        <v>7</v>
      </c>
      <c r="X297" s="3">
        <v>12</v>
      </c>
      <c r="Y297" s="43"/>
    </row>
    <row r="298" spans="1:28" s="3" customFormat="1" x14ac:dyDescent="0.3">
      <c r="C298" s="3" t="str">
        <f>IF($A298=0,"",IF(VLOOKUP($A298,成就条件映射!$A$4:$D$66,2)=0,"",VLOOKUP($A298,成就条件映射!$A$4:$D$66,2)))</f>
        <v/>
      </c>
      <c r="D298" s="3" t="str">
        <f>IF($A298=0,"",IF(VLOOKUP($A298,成就条件映射!$A$4:$D$66,3)=0,"",VLOOKUP($A298,成就条件映射!$A$4:$D$66,3)))</f>
        <v/>
      </c>
      <c r="E298" s="3" t="str">
        <f>IF($A298=0,"",IF(VLOOKUP($A298,成就条件映射!$A$4:$D$66,4)=0,"",VLOOKUP($A298,成就条件映射!$A$4:$D$66,4)))</f>
        <v/>
      </c>
      <c r="I298" s="3">
        <f>A294*100+J298</f>
        <v>701205</v>
      </c>
      <c r="J298" s="3">
        <f t="shared" si="24"/>
        <v>5</v>
      </c>
      <c r="K298" s="8"/>
      <c r="L298" s="8"/>
      <c r="M298" s="4" t="str">
        <f t="shared" si="25"/>
        <v>achievementAccumulative{achieveId:7012,count:170000}</v>
      </c>
      <c r="N298" s="3" t="s">
        <v>115</v>
      </c>
      <c r="O298" s="3">
        <v>1707525</v>
      </c>
      <c r="Q298" s="3">
        <f t="shared" si="26"/>
        <v>7012</v>
      </c>
      <c r="R298" s="3">
        <v>170000</v>
      </c>
      <c r="W298" s="3">
        <v>7</v>
      </c>
      <c r="X298" s="3">
        <v>12</v>
      </c>
      <c r="Y298" s="43"/>
    </row>
    <row r="299" spans="1:28" s="3" customFormat="1" x14ac:dyDescent="0.3">
      <c r="A299" s="3">
        <f>W299*1000+X299</f>
        <v>7013</v>
      </c>
      <c r="C299" s="3" t="str">
        <f>IF($A299=0,"",IF(VLOOKUP($A299,成就条件映射!$A$4:$D$66,2)=0,"",VLOOKUP($A299,成就条件映射!$A$4:$D$66,2)))</f>
        <v/>
      </c>
      <c r="D299" s="3" t="str">
        <f>IF($A299=0,"",IF(VLOOKUP($A299,成就条件映射!$A$4:$D$66,3)=0,"",VLOOKUP($A299,成就条件映射!$A$4:$D$66,3)))</f>
        <v/>
      </c>
      <c r="E299" s="3" t="str">
        <f>IF($A299=0,"",IF(VLOOKUP($A299,成就条件映射!$A$4:$D$66,4)=0,"",VLOOKUP($A299,成就条件映射!$A$4:$D$66,4)))</f>
        <v/>
      </c>
      <c r="F299" s="3">
        <v>2</v>
      </c>
      <c r="G299" s="3" t="s">
        <v>114</v>
      </c>
      <c r="H299" s="3" t="str">
        <f>"icon_silver_"&amp;Y299</f>
        <v>icon_silver_</v>
      </c>
      <c r="I299" s="3">
        <f>A299*100+J299</f>
        <v>701301</v>
      </c>
      <c r="J299" s="3">
        <f t="shared" si="24"/>
        <v>1</v>
      </c>
      <c r="K299" s="8"/>
      <c r="L299" s="8"/>
      <c r="M299" s="4" t="str">
        <f t="shared" si="25"/>
        <v>achievementAccumulative{achieveId:7013,count:1}</v>
      </c>
      <c r="N299" s="3" t="s">
        <v>115</v>
      </c>
      <c r="O299" s="3">
        <v>1707521</v>
      </c>
      <c r="Q299" s="3">
        <f t="shared" si="26"/>
        <v>7013</v>
      </c>
      <c r="R299" s="3">
        <v>1</v>
      </c>
      <c r="W299" s="3">
        <v>7</v>
      </c>
      <c r="X299" s="3">
        <v>13</v>
      </c>
      <c r="Y299" s="43"/>
    </row>
    <row r="300" spans="1:28" s="3" customFormat="1" x14ac:dyDescent="0.3">
      <c r="C300" s="3" t="str">
        <f>IF($A300=0,"",IF(VLOOKUP($A300,成就条件映射!$A$4:$D$66,2)=0,"",VLOOKUP($A300,成就条件映射!$A$4:$D$66,2)))</f>
        <v/>
      </c>
      <c r="D300" s="3" t="str">
        <f>IF($A300=0,"",IF(VLOOKUP($A300,成就条件映射!$A$4:$D$66,3)=0,"",VLOOKUP($A300,成就条件映射!$A$4:$D$66,3)))</f>
        <v/>
      </c>
      <c r="E300" s="3" t="str">
        <f>IF($A300=0,"",IF(VLOOKUP($A300,成就条件映射!$A$4:$D$66,4)=0,"",VLOOKUP($A300,成就条件映射!$A$4:$D$66,4)))</f>
        <v/>
      </c>
      <c r="I300" s="3">
        <f>A299*100+J300</f>
        <v>701302</v>
      </c>
      <c r="J300" s="3">
        <f t="shared" si="24"/>
        <v>2</v>
      </c>
      <c r="K300" s="8"/>
      <c r="L300" s="8"/>
      <c r="M300" s="4" t="str">
        <f t="shared" si="25"/>
        <v>achievementAccumulative{achieveId:7013,count:2}</v>
      </c>
      <c r="N300" s="3" t="s">
        <v>115</v>
      </c>
      <c r="O300" s="3">
        <v>1707522</v>
      </c>
      <c r="Q300" s="3">
        <f t="shared" si="26"/>
        <v>7013</v>
      </c>
      <c r="R300" s="3">
        <v>2</v>
      </c>
      <c r="W300" s="3">
        <v>7</v>
      </c>
      <c r="X300" s="3">
        <v>13</v>
      </c>
      <c r="Y300" s="43"/>
    </row>
    <row r="301" spans="1:28" s="3" customFormat="1" x14ac:dyDescent="0.3">
      <c r="C301" s="3" t="str">
        <f>IF($A301=0,"",IF(VLOOKUP($A301,成就条件映射!$A$4:$D$66,2)=0,"",VLOOKUP($A301,成就条件映射!$A$4:$D$66,2)))</f>
        <v/>
      </c>
      <c r="D301" s="3" t="str">
        <f>IF($A301=0,"",IF(VLOOKUP($A301,成就条件映射!$A$4:$D$66,3)=0,"",VLOOKUP($A301,成就条件映射!$A$4:$D$66,3)))</f>
        <v/>
      </c>
      <c r="E301" s="3" t="str">
        <f>IF($A301=0,"",IF(VLOOKUP($A301,成就条件映射!$A$4:$D$66,4)=0,"",VLOOKUP($A301,成就条件映射!$A$4:$D$66,4)))</f>
        <v/>
      </c>
      <c r="I301" s="3">
        <f>A299*100+J301</f>
        <v>701303</v>
      </c>
      <c r="J301" s="3">
        <f t="shared" si="24"/>
        <v>3</v>
      </c>
      <c r="K301" s="8"/>
      <c r="L301" s="8"/>
      <c r="M301" s="4" t="str">
        <f t="shared" si="25"/>
        <v>achievementAccumulative{achieveId:7013,count:3}</v>
      </c>
      <c r="N301" s="3" t="s">
        <v>115</v>
      </c>
      <c r="O301" s="3">
        <v>1707523</v>
      </c>
      <c r="Q301" s="3">
        <f t="shared" si="26"/>
        <v>7013</v>
      </c>
      <c r="R301" s="3">
        <v>3</v>
      </c>
      <c r="W301" s="3">
        <v>7</v>
      </c>
      <c r="X301" s="3">
        <v>13</v>
      </c>
      <c r="Y301" s="43"/>
    </row>
    <row r="302" spans="1:28" s="3" customFormat="1" x14ac:dyDescent="0.3">
      <c r="B302" s="3" t="str">
        <f t="shared" ref="B302:B312" si="28">IF(A302=0,"",INT(A302/1000))</f>
        <v/>
      </c>
      <c r="C302" s="3" t="str">
        <f>IF($A302=0,"",IF(VLOOKUP($A302,成就条件映射!$A$4:$D$66,2)=0,"",VLOOKUP($A302,成就条件映射!$A$4:$D$66,2)))</f>
        <v/>
      </c>
      <c r="D302" s="3" t="str">
        <f>IF($A302=0,"",IF(VLOOKUP($A302,成就条件映射!$A$4:$D$66,3)=0,"",VLOOKUP($A302,成就条件映射!$A$4:$D$66,3)))</f>
        <v/>
      </c>
      <c r="E302" s="3" t="str">
        <f>IF($A302=0,"",IF(VLOOKUP($A302,成就条件映射!$A$4:$D$66,4)=0,"",VLOOKUP($A302,成就条件映射!$A$4:$D$66,4)))</f>
        <v/>
      </c>
      <c r="I302" s="3">
        <f>A299*100+J302</f>
        <v>701304</v>
      </c>
      <c r="J302" s="3">
        <f t="shared" si="24"/>
        <v>4</v>
      </c>
      <c r="K302" s="8"/>
      <c r="L302" s="8"/>
      <c r="M302" s="4" t="str">
        <f t="shared" si="25"/>
        <v>achievementAccumulative{achieveId:7013,count:4}</v>
      </c>
      <c r="N302" s="3" t="s">
        <v>115</v>
      </c>
      <c r="O302" s="3">
        <v>1707524</v>
      </c>
      <c r="Q302" s="3">
        <f t="shared" si="26"/>
        <v>7013</v>
      </c>
      <c r="R302" s="3">
        <v>4</v>
      </c>
      <c r="W302" s="3">
        <v>7</v>
      </c>
      <c r="X302" s="3">
        <v>13</v>
      </c>
      <c r="Y302" s="43"/>
    </row>
    <row r="303" spans="1:28" s="3" customFormat="1" x14ac:dyDescent="0.3">
      <c r="B303" s="3" t="str">
        <f t="shared" si="28"/>
        <v/>
      </c>
      <c r="C303" s="3" t="str">
        <f>IF($A303=0,"",IF(VLOOKUP($A303,成就条件映射!$A$4:$D$66,2)=0,"",VLOOKUP($A303,成就条件映射!$A$4:$D$66,2)))</f>
        <v/>
      </c>
      <c r="D303" s="3" t="str">
        <f>IF($A303=0,"",IF(VLOOKUP($A303,成就条件映射!$A$4:$D$66,3)=0,"",VLOOKUP($A303,成就条件映射!$A$4:$D$66,3)))</f>
        <v/>
      </c>
      <c r="E303" s="3" t="str">
        <f>IF($A303=0,"",IF(VLOOKUP($A303,成就条件映射!$A$4:$D$66,4)=0,"",VLOOKUP($A303,成就条件映射!$A$4:$D$66,4)))</f>
        <v/>
      </c>
      <c r="I303" s="3">
        <f>A299*100+J303</f>
        <v>701305</v>
      </c>
      <c r="J303" s="3">
        <f t="shared" si="24"/>
        <v>5</v>
      </c>
      <c r="K303" s="8"/>
      <c r="L303" s="8"/>
      <c r="M303" s="4" t="str">
        <f t="shared" si="25"/>
        <v>achievementAccumulative{achieveId:7013,count:5}</v>
      </c>
      <c r="N303" s="3" t="s">
        <v>115</v>
      </c>
      <c r="O303" s="3">
        <v>1707525</v>
      </c>
      <c r="Q303" s="3">
        <f t="shared" si="26"/>
        <v>7013</v>
      </c>
      <c r="R303" s="3">
        <v>5</v>
      </c>
      <c r="W303" s="3">
        <v>7</v>
      </c>
      <c r="X303" s="3">
        <v>13</v>
      </c>
      <c r="Y303" s="43"/>
    </row>
    <row r="304" spans="1:28" s="3" customFormat="1" x14ac:dyDescent="0.3">
      <c r="A304" s="3">
        <f>W304*1000+X304</f>
        <v>7021</v>
      </c>
      <c r="B304" s="3">
        <f t="shared" si="28"/>
        <v>7</v>
      </c>
      <c r="C304" s="3" t="s">
        <v>217</v>
      </c>
      <c r="D304" s="3" t="s">
        <v>218</v>
      </c>
      <c r="E304" s="3" t="s">
        <v>128</v>
      </c>
      <c r="F304" s="3">
        <v>3</v>
      </c>
      <c r="G304" s="3" t="s">
        <v>114</v>
      </c>
      <c r="H304" s="3" t="str">
        <f>"icon_kim_"&amp;Y304</f>
        <v>icon_kim_21</v>
      </c>
      <c r="I304" s="3">
        <f>A304*100+J304</f>
        <v>702101</v>
      </c>
      <c r="J304" s="3">
        <f t="shared" si="24"/>
        <v>1</v>
      </c>
      <c r="K304" s="8"/>
      <c r="L304" s="8"/>
      <c r="M304" s="4" t="str">
        <f t="shared" si="25"/>
        <v>achievementAccumulative{achieveId:7021,count:2000}</v>
      </c>
      <c r="N304" s="3" t="s">
        <v>115</v>
      </c>
      <c r="O304" s="3">
        <v>1707531</v>
      </c>
      <c r="Q304" s="3">
        <f t="shared" si="26"/>
        <v>7021</v>
      </c>
      <c r="R304" s="3">
        <v>2000</v>
      </c>
      <c r="W304" s="3">
        <v>7</v>
      </c>
      <c r="X304" s="3">
        <v>21</v>
      </c>
      <c r="Y304" s="43" t="s">
        <v>187</v>
      </c>
      <c r="Z304" t="str">
        <f>IF($A304=0,"",IF(VLOOKUP($A304,成就条件映射!$A$4:$D$66,2)=0,"",VLOOKUP($A304,成就条件映射!$A$4:$D$66,2)))</f>
        <v>众卿平身</v>
      </c>
      <c r="AA304" t="str">
        <f>IF($A304=0,"",IF(VLOOKUP($A304,成就条件映射!$A$4:$D$66,3)=0,"",VLOOKUP($A304,成就条件映射!$A$4:$D$66,3)))</f>
        <v>我方部队&lt;color=#ffc766&gt;主将技&lt;/color&gt;造成的&lt;color=#ffc766&gt;单次最大伤害量&lt;/color&gt;</v>
      </c>
      <c r="AB304" t="str">
        <f>IF($A304=0,"",IF(VLOOKUP($A304,成就条件映射!$A$4:$D$66,4)=0,"",VLOOKUP($A304,成就条件映射!$A$4:$D$66,4)))</f>
        <v>当前造成伤害</v>
      </c>
    </row>
    <row r="305" spans="1:28" s="3" customFormat="1" x14ac:dyDescent="0.3">
      <c r="B305" s="3" t="str">
        <f t="shared" si="28"/>
        <v/>
      </c>
      <c r="C305" s="3" t="str">
        <f>IF($A305=0,"",IF(VLOOKUP($A305,成就条件映射!$A$4:$D$66,2)=0,"",VLOOKUP($A305,成就条件映射!$A$4:$D$66,2)))</f>
        <v/>
      </c>
      <c r="D305" s="3" t="str">
        <f>IF($A305=0,"",IF(VLOOKUP($A305,成就条件映射!$A$4:$D$66,3)=0,"",VLOOKUP($A305,成就条件映射!$A$4:$D$66,3)))</f>
        <v/>
      </c>
      <c r="E305" s="3" t="str">
        <f>IF($A305=0,"",IF(VLOOKUP($A305,成就条件映射!$A$4:$D$66,4)=0,"",VLOOKUP($A305,成就条件映射!$A$4:$D$66,4)))</f>
        <v/>
      </c>
      <c r="I305" s="3">
        <f>A304*100+J305</f>
        <v>702102</v>
      </c>
      <c r="J305" s="3">
        <f t="shared" si="24"/>
        <v>2</v>
      </c>
      <c r="K305" s="8"/>
      <c r="L305" s="8"/>
      <c r="M305" s="4" t="str">
        <f t="shared" si="25"/>
        <v>achievementAccumulative{achieveId:7021,count:6000}</v>
      </c>
      <c r="N305" s="3" t="s">
        <v>115</v>
      </c>
      <c r="O305" s="3">
        <v>1707532</v>
      </c>
      <c r="Q305" s="3">
        <f t="shared" si="26"/>
        <v>7021</v>
      </c>
      <c r="R305" s="3">
        <v>6000</v>
      </c>
      <c r="W305" s="3">
        <v>7</v>
      </c>
      <c r="X305" s="3">
        <v>21</v>
      </c>
      <c r="Y305" s="43"/>
    </row>
    <row r="306" spans="1:28" s="3" customFormat="1" x14ac:dyDescent="0.3">
      <c r="B306" s="3" t="str">
        <f t="shared" si="28"/>
        <v/>
      </c>
      <c r="C306" s="3" t="str">
        <f>IF($A306=0,"",IF(VLOOKUP($A306,成就条件映射!$A$4:$D$66,2)=0,"",VLOOKUP($A306,成就条件映射!$A$4:$D$66,2)))</f>
        <v/>
      </c>
      <c r="D306" s="3" t="str">
        <f>IF($A306=0,"",IF(VLOOKUP($A306,成就条件映射!$A$4:$D$66,3)=0,"",VLOOKUP($A306,成就条件映射!$A$4:$D$66,3)))</f>
        <v/>
      </c>
      <c r="E306" s="3" t="str">
        <f>IF($A306=0,"",IF(VLOOKUP($A306,成就条件映射!$A$4:$D$66,4)=0,"",VLOOKUP($A306,成就条件映射!$A$4:$D$66,4)))</f>
        <v/>
      </c>
      <c r="I306" s="3">
        <f>A304*100+J306</f>
        <v>702103</v>
      </c>
      <c r="J306" s="3">
        <f t="shared" si="24"/>
        <v>3</v>
      </c>
      <c r="K306" s="8"/>
      <c r="L306" s="8"/>
      <c r="M306" s="4" t="str">
        <f t="shared" si="25"/>
        <v>achievementAccumulative{achieveId:7021,count:8000}</v>
      </c>
      <c r="N306" s="3" t="s">
        <v>115</v>
      </c>
      <c r="O306" s="3">
        <v>1707533</v>
      </c>
      <c r="Q306" s="3">
        <f t="shared" si="26"/>
        <v>7021</v>
      </c>
      <c r="R306" s="3">
        <v>8000</v>
      </c>
      <c r="W306" s="3">
        <v>7</v>
      </c>
      <c r="X306" s="3">
        <v>21</v>
      </c>
      <c r="Y306" s="43"/>
    </row>
    <row r="307" spans="1:28" s="3" customFormat="1" x14ac:dyDescent="0.3">
      <c r="B307" s="3" t="str">
        <f t="shared" si="28"/>
        <v/>
      </c>
      <c r="C307" s="3" t="str">
        <f>IF($A307=0,"",IF(VLOOKUP($A307,成就条件映射!$A$4:$D$66,2)=0,"",VLOOKUP($A307,成就条件映射!$A$4:$D$66,2)))</f>
        <v/>
      </c>
      <c r="D307" s="3" t="str">
        <f>IF($A307=0,"",IF(VLOOKUP($A307,成就条件映射!$A$4:$D$66,3)=0,"",VLOOKUP($A307,成就条件映射!$A$4:$D$66,3)))</f>
        <v/>
      </c>
      <c r="E307" s="3" t="str">
        <f>IF($A307=0,"",IF(VLOOKUP($A307,成就条件映射!$A$4:$D$66,4)=0,"",VLOOKUP($A307,成就条件映射!$A$4:$D$66,4)))</f>
        <v/>
      </c>
      <c r="I307" s="3">
        <f>A304*100+J307</f>
        <v>702104</v>
      </c>
      <c r="J307" s="3">
        <f t="shared" si="24"/>
        <v>4</v>
      </c>
      <c r="K307" s="8"/>
      <c r="L307" s="8"/>
      <c r="M307" s="4" t="str">
        <f t="shared" si="25"/>
        <v>achievementAccumulative{achieveId:7021,count:11000}</v>
      </c>
      <c r="N307" s="3" t="s">
        <v>115</v>
      </c>
      <c r="O307" s="3">
        <v>1707534</v>
      </c>
      <c r="Q307" s="3">
        <f t="shared" si="26"/>
        <v>7021</v>
      </c>
      <c r="R307" s="3">
        <v>11000</v>
      </c>
      <c r="W307" s="3">
        <v>7</v>
      </c>
      <c r="X307" s="3">
        <v>21</v>
      </c>
      <c r="Y307" s="43"/>
    </row>
    <row r="308" spans="1:28" s="3" customFormat="1" x14ac:dyDescent="0.3">
      <c r="B308" s="3" t="str">
        <f t="shared" si="28"/>
        <v/>
      </c>
      <c r="C308" s="3" t="str">
        <f>IF($A308=0,"",IF(VLOOKUP($A308,成就条件映射!$A$4:$D$66,2)=0,"",VLOOKUP($A308,成就条件映射!$A$4:$D$66,2)))</f>
        <v/>
      </c>
      <c r="D308" s="3" t="str">
        <f>IF($A308=0,"",IF(VLOOKUP($A308,成就条件映射!$A$4:$D$66,3)=0,"",VLOOKUP($A308,成就条件映射!$A$4:$D$66,3)))</f>
        <v/>
      </c>
      <c r="E308" s="3" t="str">
        <f>IF($A308=0,"",IF(VLOOKUP($A308,成就条件映射!$A$4:$D$66,4)=0,"",VLOOKUP($A308,成就条件映射!$A$4:$D$66,4)))</f>
        <v/>
      </c>
      <c r="I308" s="3">
        <f>A304*100+J308</f>
        <v>702105</v>
      </c>
      <c r="J308" s="3">
        <f t="shared" si="24"/>
        <v>5</v>
      </c>
      <c r="K308" s="8"/>
      <c r="L308" s="8"/>
      <c r="M308" s="4" t="str">
        <f t="shared" si="25"/>
        <v>achievementAccumulative{achieveId:7021,count:13000}</v>
      </c>
      <c r="N308" s="3" t="s">
        <v>115</v>
      </c>
      <c r="O308" s="3">
        <v>1707535</v>
      </c>
      <c r="Q308" s="3">
        <f t="shared" si="26"/>
        <v>7021</v>
      </c>
      <c r="R308" s="3">
        <v>13000</v>
      </c>
      <c r="W308" s="3">
        <v>7</v>
      </c>
      <c r="X308" s="3">
        <v>21</v>
      </c>
      <c r="Y308" s="43"/>
    </row>
    <row r="309" spans="1:28" s="3" customFormat="1" x14ac:dyDescent="0.3">
      <c r="A309" s="3">
        <f>W309*1000+X309</f>
        <v>7022</v>
      </c>
      <c r="B309" s="3">
        <f t="shared" si="28"/>
        <v>7</v>
      </c>
      <c r="C309" s="3" t="s">
        <v>219</v>
      </c>
      <c r="D309" s="3" t="s">
        <v>220</v>
      </c>
      <c r="E309" s="3" t="s">
        <v>135</v>
      </c>
      <c r="F309" s="3">
        <v>3</v>
      </c>
      <c r="G309" s="3" t="s">
        <v>114</v>
      </c>
      <c r="H309" s="3" t="str">
        <f>"icon_kim_"&amp;Y309</f>
        <v>icon_kim_07</v>
      </c>
      <c r="I309" s="3">
        <f>A309*100+J309</f>
        <v>702201</v>
      </c>
      <c r="J309" s="3">
        <f t="shared" si="24"/>
        <v>1</v>
      </c>
      <c r="K309" s="8"/>
      <c r="L309" s="8"/>
      <c r="M309" s="4" t="str">
        <f t="shared" si="25"/>
        <v>achievementAccumulative{achieveId:7022,count:1}</v>
      </c>
      <c r="N309" s="3" t="s">
        <v>115</v>
      </c>
      <c r="O309" s="3">
        <v>1707531</v>
      </c>
      <c r="Q309" s="3">
        <f t="shared" si="26"/>
        <v>7022</v>
      </c>
      <c r="R309" s="3">
        <v>1</v>
      </c>
      <c r="W309" s="3">
        <v>7</v>
      </c>
      <c r="X309" s="3">
        <v>22</v>
      </c>
      <c r="Y309" s="43" t="s">
        <v>116</v>
      </c>
      <c r="Z309" t="str">
        <f>IF($A309=0,"",IF(VLOOKUP($A309,成就条件映射!$A$4:$D$66,2)=0,"",VLOOKUP($A309,成就条件映射!$A$4:$D$66,2)))</f>
        <v>六合绝艺</v>
      </c>
      <c r="AA309" t="str">
        <f>IF($A309=0,"",IF(VLOOKUP($A309,成就条件映射!$A$4:$D$66,3)=0,"",VLOOKUP($A309,成就条件映射!$A$4:$D$66,3)))</f>
        <v>&lt;color=#ffc766&gt;60秒&lt;/color&gt;内，我方部队累计发动的&lt;color=#ffc766&gt;主将技&lt;/color&gt;次数</v>
      </c>
      <c r="AB309" t="str">
        <f>IF($A309=0,"",IF(VLOOKUP($A309,成就条件映射!$A$4:$D$66,4)=0,"",VLOOKUP($A309,成就条件映射!$A$4:$D$66,4)))</f>
        <v>当前累计次数</v>
      </c>
    </row>
    <row r="310" spans="1:28" s="3" customFormat="1" x14ac:dyDescent="0.3">
      <c r="B310" s="3" t="str">
        <f t="shared" si="28"/>
        <v/>
      </c>
      <c r="C310" s="3" t="str">
        <f>IF($A310=0,"",IF(VLOOKUP($A310,成就条件映射!$A$4:$D$66,2)=0,"",VLOOKUP($A310,成就条件映射!$A$4:$D$66,2)))</f>
        <v/>
      </c>
      <c r="D310" s="3" t="str">
        <f>IF($A310=0,"",IF(VLOOKUP($A310,成就条件映射!$A$4:$D$66,3)=0,"",VLOOKUP($A310,成就条件映射!$A$4:$D$66,3)))</f>
        <v/>
      </c>
      <c r="E310" s="3" t="str">
        <f>IF($A310=0,"",IF(VLOOKUP($A310,成就条件映射!$A$4:$D$66,4)=0,"",VLOOKUP($A310,成就条件映射!$A$4:$D$66,4)))</f>
        <v/>
      </c>
      <c r="I310" s="3">
        <f>A309*100+J310</f>
        <v>702202</v>
      </c>
      <c r="J310" s="3">
        <f t="shared" si="24"/>
        <v>2</v>
      </c>
      <c r="K310" s="8"/>
      <c r="L310" s="8"/>
      <c r="M310" s="4" t="str">
        <f t="shared" si="25"/>
        <v>achievementAccumulative{achieveId:7022,count:2}</v>
      </c>
      <c r="N310" s="3" t="s">
        <v>115</v>
      </c>
      <c r="O310" s="3">
        <v>1707532</v>
      </c>
      <c r="Q310" s="3">
        <f t="shared" si="26"/>
        <v>7022</v>
      </c>
      <c r="R310" s="3">
        <v>2</v>
      </c>
      <c r="W310" s="3">
        <v>7</v>
      </c>
      <c r="X310" s="3">
        <v>22</v>
      </c>
      <c r="Y310" s="43"/>
    </row>
    <row r="311" spans="1:28" s="3" customFormat="1" x14ac:dyDescent="0.3">
      <c r="B311" s="3" t="str">
        <f t="shared" si="28"/>
        <v/>
      </c>
      <c r="C311" s="3" t="str">
        <f>IF($A311=0,"",IF(VLOOKUP($A311,成就条件映射!$A$4:$D$66,2)=0,"",VLOOKUP($A311,成就条件映射!$A$4:$D$66,2)))</f>
        <v/>
      </c>
      <c r="D311" s="3" t="str">
        <f>IF($A311=0,"",IF(VLOOKUP($A311,成就条件映射!$A$4:$D$66,3)=0,"",VLOOKUP($A311,成就条件映射!$A$4:$D$66,3)))</f>
        <v/>
      </c>
      <c r="E311" s="3" t="str">
        <f>IF($A311=0,"",IF(VLOOKUP($A311,成就条件映射!$A$4:$D$66,4)=0,"",VLOOKUP($A311,成就条件映射!$A$4:$D$66,4)))</f>
        <v/>
      </c>
      <c r="I311" s="3">
        <f>A309*100+J311</f>
        <v>702203</v>
      </c>
      <c r="J311" s="3">
        <f t="shared" si="24"/>
        <v>3</v>
      </c>
      <c r="K311" s="8"/>
      <c r="L311" s="8"/>
      <c r="M311" s="4" t="str">
        <f t="shared" si="25"/>
        <v>achievementAccumulative{achieveId:7022,count:3}</v>
      </c>
      <c r="N311" s="3" t="s">
        <v>115</v>
      </c>
      <c r="O311" s="3">
        <v>1707533</v>
      </c>
      <c r="Q311" s="3">
        <f t="shared" si="26"/>
        <v>7022</v>
      </c>
      <c r="R311" s="3">
        <v>3</v>
      </c>
      <c r="W311" s="3">
        <v>7</v>
      </c>
      <c r="X311" s="3">
        <v>22</v>
      </c>
      <c r="Y311" s="43"/>
    </row>
    <row r="312" spans="1:28" s="3" customFormat="1" x14ac:dyDescent="0.3">
      <c r="B312" s="3" t="str">
        <f t="shared" si="28"/>
        <v/>
      </c>
      <c r="C312" s="3" t="str">
        <f>IF($A312=0,"",IF(VLOOKUP($A312,成就条件映射!$A$4:$D$66,2)=0,"",VLOOKUP($A312,成就条件映射!$A$4:$D$66,2)))</f>
        <v/>
      </c>
      <c r="D312" s="3" t="str">
        <f>IF($A312=0,"",IF(VLOOKUP($A312,成就条件映射!$A$4:$D$66,3)=0,"",VLOOKUP($A312,成就条件映射!$A$4:$D$66,3)))</f>
        <v/>
      </c>
      <c r="E312" s="3" t="str">
        <f>IF($A312=0,"",IF(VLOOKUP($A312,成就条件映射!$A$4:$D$66,4)=0,"",VLOOKUP($A312,成就条件映射!$A$4:$D$66,4)))</f>
        <v/>
      </c>
      <c r="I312" s="3">
        <f>A309*100+J312</f>
        <v>702204</v>
      </c>
      <c r="J312" s="3">
        <f t="shared" si="24"/>
        <v>4</v>
      </c>
      <c r="K312" s="8"/>
      <c r="L312" s="8"/>
      <c r="M312" s="4" t="str">
        <f t="shared" si="25"/>
        <v>achievementAccumulative{achieveId:7022,count:4}</v>
      </c>
      <c r="N312" s="3" t="s">
        <v>115</v>
      </c>
      <c r="O312" s="3">
        <v>1707534</v>
      </c>
      <c r="Q312" s="3">
        <f t="shared" si="26"/>
        <v>7022</v>
      </c>
      <c r="R312" s="3">
        <v>4</v>
      </c>
      <c r="W312" s="3">
        <v>7</v>
      </c>
      <c r="X312" s="3">
        <v>22</v>
      </c>
      <c r="Y312" s="43"/>
    </row>
    <row r="313" spans="1:28" s="3" customFormat="1" x14ac:dyDescent="0.3">
      <c r="C313" s="3" t="str">
        <f>IF($A313=0,"",IF(VLOOKUP($A313,成就条件映射!$A$4:$D$66,2)=0,"",VLOOKUP($A313,成就条件映射!$A$4:$D$66,2)))</f>
        <v/>
      </c>
      <c r="D313" s="3" t="str">
        <f>IF($A313=0,"",IF(VLOOKUP($A313,成就条件映射!$A$4:$D$66,3)=0,"",VLOOKUP($A313,成就条件映射!$A$4:$D$66,3)))</f>
        <v/>
      </c>
      <c r="E313" s="3" t="str">
        <f>IF($A313=0,"",IF(VLOOKUP($A313,成就条件映射!$A$4:$D$66,4)=0,"",VLOOKUP($A313,成就条件映射!$A$4:$D$66,4)))</f>
        <v/>
      </c>
      <c r="I313" s="3">
        <f>A309*100+J313</f>
        <v>702205</v>
      </c>
      <c r="J313" s="3">
        <f t="shared" si="24"/>
        <v>5</v>
      </c>
      <c r="K313" s="8"/>
      <c r="L313" s="8"/>
      <c r="M313" s="4" t="str">
        <f t="shared" si="25"/>
        <v>achievementAccumulative{achieveId:7022,count:5}</v>
      </c>
      <c r="N313" s="3" t="s">
        <v>115</v>
      </c>
      <c r="O313" s="3">
        <v>1707535</v>
      </c>
      <c r="Q313" s="3">
        <f t="shared" si="26"/>
        <v>7022</v>
      </c>
      <c r="R313" s="3">
        <v>5</v>
      </c>
      <c r="W313" s="3">
        <v>7</v>
      </c>
      <c r="X313" s="3">
        <v>22</v>
      </c>
      <c r="Y313" s="43"/>
    </row>
    <row r="314" spans="1:28" s="3" customFormat="1" x14ac:dyDescent="0.3">
      <c r="A314" s="3">
        <f>W314*1000+X314</f>
        <v>7023</v>
      </c>
      <c r="C314" s="3" t="str">
        <f>IF($A314=0,"",IF(VLOOKUP($A314,成就条件映射!$A$4:$D$66,2)=0,"",VLOOKUP($A314,成就条件映射!$A$4:$D$66,2)))</f>
        <v/>
      </c>
      <c r="D314" s="3" t="str">
        <f>IF($A314=0,"",IF(VLOOKUP($A314,成就条件映射!$A$4:$D$66,3)=0,"",VLOOKUP($A314,成就条件映射!$A$4:$D$66,3)))</f>
        <v/>
      </c>
      <c r="E314" s="3" t="str">
        <f>IF($A314=0,"",IF(VLOOKUP($A314,成就条件映射!$A$4:$D$66,4)=0,"",VLOOKUP($A314,成就条件映射!$A$4:$D$66,4)))</f>
        <v/>
      </c>
      <c r="F314" s="3">
        <v>3</v>
      </c>
      <c r="G314" s="3" t="s">
        <v>114</v>
      </c>
      <c r="H314" s="3" t="str">
        <f>"icon_kim_"&amp;Y314</f>
        <v>icon_kim_</v>
      </c>
      <c r="I314" s="3">
        <f>A314*100+J314</f>
        <v>702301</v>
      </c>
      <c r="J314" s="3">
        <f t="shared" si="24"/>
        <v>1</v>
      </c>
      <c r="K314" s="8"/>
      <c r="L314" s="8"/>
      <c r="M314" s="4" t="str">
        <f t="shared" si="25"/>
        <v>achievementAccumulative{achieveId:7023,count:1}</v>
      </c>
      <c r="N314" s="3" t="s">
        <v>115</v>
      </c>
      <c r="O314" s="3">
        <v>1707531</v>
      </c>
      <c r="Q314" s="3">
        <f t="shared" si="26"/>
        <v>7023</v>
      </c>
      <c r="R314" s="3">
        <v>1</v>
      </c>
      <c r="W314" s="3">
        <v>7</v>
      </c>
      <c r="X314" s="3">
        <v>23</v>
      </c>
      <c r="Y314" s="43"/>
    </row>
    <row r="315" spans="1:28" s="3" customFormat="1" x14ac:dyDescent="0.3">
      <c r="C315" s="3" t="str">
        <f>IF($A315=0,"",IF(VLOOKUP($A315,成就条件映射!$A$4:$D$66,2)=0,"",VLOOKUP($A315,成就条件映射!$A$4:$D$66,2)))</f>
        <v/>
      </c>
      <c r="D315" s="3" t="str">
        <f>IF($A315=0,"",IF(VLOOKUP($A315,成就条件映射!$A$4:$D$66,3)=0,"",VLOOKUP($A315,成就条件映射!$A$4:$D$66,3)))</f>
        <v/>
      </c>
      <c r="E315" s="3" t="str">
        <f>IF($A315=0,"",IF(VLOOKUP($A315,成就条件映射!$A$4:$D$66,4)=0,"",VLOOKUP($A315,成就条件映射!$A$4:$D$66,4)))</f>
        <v/>
      </c>
      <c r="I315" s="3">
        <f>A314*100+J315</f>
        <v>702302</v>
      </c>
      <c r="J315" s="3">
        <f t="shared" si="24"/>
        <v>2</v>
      </c>
      <c r="K315" s="8"/>
      <c r="L315" s="8"/>
      <c r="M315" s="4" t="str">
        <f t="shared" si="25"/>
        <v>achievementAccumulative{achieveId:7023,count:2}</v>
      </c>
      <c r="N315" s="3" t="s">
        <v>115</v>
      </c>
      <c r="O315" s="3">
        <v>1707532</v>
      </c>
      <c r="Q315" s="3">
        <f t="shared" si="26"/>
        <v>7023</v>
      </c>
      <c r="R315" s="3">
        <v>2</v>
      </c>
      <c r="W315" s="3">
        <v>7</v>
      </c>
      <c r="X315" s="3">
        <v>23</v>
      </c>
      <c r="Y315" s="43"/>
    </row>
    <row r="316" spans="1:28" s="3" customFormat="1" x14ac:dyDescent="0.3">
      <c r="C316" s="3" t="str">
        <f>IF($A316=0,"",IF(VLOOKUP($A316,成就条件映射!$A$4:$D$66,2)=0,"",VLOOKUP($A316,成就条件映射!$A$4:$D$66,2)))</f>
        <v/>
      </c>
      <c r="D316" s="3" t="str">
        <f>IF($A316=0,"",IF(VLOOKUP($A316,成就条件映射!$A$4:$D$66,3)=0,"",VLOOKUP($A316,成就条件映射!$A$4:$D$66,3)))</f>
        <v/>
      </c>
      <c r="E316" s="3" t="str">
        <f>IF($A316=0,"",IF(VLOOKUP($A316,成就条件映射!$A$4:$D$66,4)=0,"",VLOOKUP($A316,成就条件映射!$A$4:$D$66,4)))</f>
        <v/>
      </c>
      <c r="I316" s="3">
        <f>A314*100+J316</f>
        <v>702303</v>
      </c>
      <c r="J316" s="3">
        <f t="shared" si="24"/>
        <v>3</v>
      </c>
      <c r="K316" s="8"/>
      <c r="L316" s="8"/>
      <c r="M316" s="4" t="str">
        <f t="shared" si="25"/>
        <v>achievementAccumulative{achieveId:7023,count:3}</v>
      </c>
      <c r="N316" s="3" t="s">
        <v>115</v>
      </c>
      <c r="O316" s="3">
        <v>1707533</v>
      </c>
      <c r="Q316" s="3">
        <f t="shared" si="26"/>
        <v>7023</v>
      </c>
      <c r="R316" s="3">
        <v>3</v>
      </c>
      <c r="W316" s="3">
        <v>7</v>
      </c>
      <c r="X316" s="3">
        <v>23</v>
      </c>
      <c r="Y316" s="43"/>
    </row>
    <row r="317" spans="1:28" s="3" customFormat="1" x14ac:dyDescent="0.3">
      <c r="B317" s="3" t="str">
        <f>IF(A317=0,"",INT(A317/1000))</f>
        <v/>
      </c>
      <c r="C317" s="3" t="str">
        <f>IF($A317=0,"",IF(VLOOKUP($A317,成就条件映射!$A$4:$D$66,2)=0,"",VLOOKUP($A317,成就条件映射!$A$4:$D$66,2)))</f>
        <v/>
      </c>
      <c r="D317" s="3" t="str">
        <f>IF($A317=0,"",IF(VLOOKUP($A317,成就条件映射!$A$4:$D$66,3)=0,"",VLOOKUP($A317,成就条件映射!$A$4:$D$66,3)))</f>
        <v/>
      </c>
      <c r="E317" s="3" t="str">
        <f>IF($A317=0,"",IF(VLOOKUP($A317,成就条件映射!$A$4:$D$66,4)=0,"",VLOOKUP($A317,成就条件映射!$A$4:$D$66,4)))</f>
        <v/>
      </c>
      <c r="I317" s="3">
        <f>A314*100+J317</f>
        <v>702304</v>
      </c>
      <c r="J317" s="3">
        <f t="shared" si="24"/>
        <v>4</v>
      </c>
      <c r="K317" s="8"/>
      <c r="L317" s="8"/>
      <c r="M317" s="4" t="str">
        <f t="shared" si="25"/>
        <v>achievementAccumulative{achieveId:7023,count:4}</v>
      </c>
      <c r="N317" s="3" t="s">
        <v>115</v>
      </c>
      <c r="O317" s="3">
        <v>1707534</v>
      </c>
      <c r="Q317" s="3">
        <f t="shared" si="26"/>
        <v>7023</v>
      </c>
      <c r="R317" s="3">
        <v>4</v>
      </c>
      <c r="W317" s="3">
        <v>7</v>
      </c>
      <c r="X317" s="3">
        <v>23</v>
      </c>
      <c r="Y317" s="43"/>
    </row>
    <row r="318" spans="1:28" s="3" customFormat="1" x14ac:dyDescent="0.3">
      <c r="B318" s="3" t="str">
        <f>IF(A318=0,"",INT(A318/1000))</f>
        <v/>
      </c>
      <c r="C318" s="3" t="str">
        <f>IF($A318=0,"",IF(VLOOKUP($A318,成就条件映射!$A$4:$D$66,2)=0,"",VLOOKUP($A318,成就条件映射!$A$4:$D$66,2)))</f>
        <v/>
      </c>
      <c r="D318" s="3" t="str">
        <f>IF($A318=0,"",IF(VLOOKUP($A318,成就条件映射!$A$4:$D$66,3)=0,"",VLOOKUP($A318,成就条件映射!$A$4:$D$66,3)))</f>
        <v/>
      </c>
      <c r="E318" s="3" t="str">
        <f>IF($A318=0,"",IF(VLOOKUP($A318,成就条件映射!$A$4:$D$66,4)=0,"",VLOOKUP($A318,成就条件映射!$A$4:$D$66,4)))</f>
        <v/>
      </c>
      <c r="I318" s="3">
        <f>A314*100+J318</f>
        <v>702305</v>
      </c>
      <c r="J318" s="3">
        <f t="shared" si="24"/>
        <v>5</v>
      </c>
      <c r="K318" s="8"/>
      <c r="L318" s="8"/>
      <c r="M318" s="4" t="str">
        <f t="shared" si="25"/>
        <v>achievementAccumulative{achieveId:7023,count:5}</v>
      </c>
      <c r="N318" s="3" t="s">
        <v>115</v>
      </c>
      <c r="O318" s="3">
        <v>1707535</v>
      </c>
      <c r="Q318" s="3">
        <f t="shared" si="26"/>
        <v>7023</v>
      </c>
      <c r="R318" s="3">
        <v>5</v>
      </c>
      <c r="W318" s="3">
        <v>7</v>
      </c>
      <c r="X318" s="3">
        <v>23</v>
      </c>
      <c r="Y318" s="43"/>
    </row>
  </sheetData>
  <autoFilter ref="A2:O318" xr:uid="{00000000-0009-0000-0000-000001000000}"/>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6"/>
  <sheetViews>
    <sheetView zoomScaleNormal="100" workbookViewId="0">
      <pane xSplit="3" ySplit="3" topLeftCell="D22" activePane="bottomRight" state="frozen"/>
      <selection pane="topRight" activeCell="D1" sqref="D1"/>
      <selection pane="bottomLeft" activeCell="A4" sqref="A4"/>
      <selection pane="bottomRight" activeCell="K47" sqref="K47"/>
    </sheetView>
  </sheetViews>
  <sheetFormatPr defaultColWidth="9" defaultRowHeight="16.5" x14ac:dyDescent="0.45"/>
  <cols>
    <col min="1" max="2" width="12.33203125" style="26" customWidth="1"/>
    <col min="3" max="3" width="81.83203125" style="26" customWidth="1"/>
    <col min="4" max="4" width="22.75" style="26" customWidth="1"/>
    <col min="5" max="6" width="17.08203125" style="26" customWidth="1"/>
    <col min="7" max="7" width="19.33203125" style="26" customWidth="1"/>
    <col min="8" max="9" width="24.58203125" style="26" customWidth="1"/>
    <col min="10" max="10" width="38.08203125" style="19" customWidth="1"/>
    <col min="11" max="12" width="18.08203125" style="26" customWidth="1"/>
    <col min="13" max="14" width="20.5" style="26" customWidth="1"/>
    <col min="15" max="15" width="10.58203125" style="25" customWidth="1"/>
    <col min="16" max="16" width="15" style="25" customWidth="1"/>
    <col min="17" max="18" width="9" style="25" customWidth="1"/>
    <col min="19" max="16384" width="9" style="25"/>
  </cols>
  <sheetData>
    <row r="1" spans="1:17" x14ac:dyDescent="0.45">
      <c r="A1" s="19" t="s">
        <v>221</v>
      </c>
    </row>
    <row r="2" spans="1:17" x14ac:dyDescent="0.45">
      <c r="A2" s="24" t="s">
        <v>222</v>
      </c>
      <c r="B2" s="24" t="s">
        <v>79</v>
      </c>
      <c r="C2" s="24" t="s">
        <v>80</v>
      </c>
      <c r="D2" s="24" t="s">
        <v>223</v>
      </c>
      <c r="E2" s="24" t="s">
        <v>224</v>
      </c>
      <c r="F2" s="24" t="s">
        <v>225</v>
      </c>
      <c r="G2" s="24" t="s">
        <v>226</v>
      </c>
      <c r="H2" s="24" t="s">
        <v>227</v>
      </c>
      <c r="I2" s="24" t="s">
        <v>228</v>
      </c>
      <c r="J2" s="24" t="s">
        <v>229</v>
      </c>
      <c r="K2" s="24" t="s">
        <v>230</v>
      </c>
      <c r="L2" s="24"/>
      <c r="M2" s="24" t="s">
        <v>231</v>
      </c>
      <c r="N2" s="24" t="s">
        <v>232</v>
      </c>
    </row>
    <row r="3" spans="1:17" x14ac:dyDescent="0.45">
      <c r="A3" s="24" t="s">
        <v>233</v>
      </c>
      <c r="B3" s="24"/>
      <c r="C3" s="24"/>
      <c r="D3" s="24"/>
      <c r="E3" s="24" t="s">
        <v>234</v>
      </c>
      <c r="F3" s="24" t="s">
        <v>235</v>
      </c>
      <c r="G3" s="24" t="s">
        <v>236</v>
      </c>
      <c r="H3" s="24" t="s">
        <v>237</v>
      </c>
      <c r="I3" s="24" t="s">
        <v>238</v>
      </c>
      <c r="J3" s="24" t="s">
        <v>239</v>
      </c>
      <c r="K3" s="24" t="s">
        <v>240</v>
      </c>
      <c r="L3" s="24"/>
      <c r="M3" s="24" t="s">
        <v>241</v>
      </c>
      <c r="N3" s="24" t="s">
        <v>242</v>
      </c>
    </row>
    <row r="4" spans="1:17" x14ac:dyDescent="0.45">
      <c r="A4" s="26">
        <f t="shared" ref="A4:A35" si="0">O4*1000+P4+(Q4-1)*10</f>
        <v>1001</v>
      </c>
      <c r="B4" s="56" t="s">
        <v>243</v>
      </c>
      <c r="C4" s="5" t="s">
        <v>244</v>
      </c>
      <c r="D4" s="5" t="s">
        <v>245</v>
      </c>
      <c r="E4" s="26" t="s">
        <v>246</v>
      </c>
      <c r="F4" s="26" t="s">
        <v>247</v>
      </c>
      <c r="G4" s="26" t="s">
        <v>248</v>
      </c>
      <c r="H4" s="26" t="s">
        <v>249</v>
      </c>
      <c r="I4" s="26" t="b">
        <v>1</v>
      </c>
      <c r="K4" s="26" t="s">
        <v>250</v>
      </c>
      <c r="O4" s="25">
        <f t="shared" ref="O4:O35" si="1">INT((ROW()-4)/9)+1</f>
        <v>1</v>
      </c>
      <c r="P4" s="25">
        <v>1</v>
      </c>
      <c r="Q4" s="25">
        <v>1</v>
      </c>
    </row>
    <row r="5" spans="1:17" x14ac:dyDescent="0.45">
      <c r="A5" s="26">
        <f t="shared" si="0"/>
        <v>1002</v>
      </c>
      <c r="B5" s="57" t="s">
        <v>251</v>
      </c>
      <c r="C5" s="5" t="s">
        <v>252</v>
      </c>
      <c r="D5" s="5" t="s">
        <v>245</v>
      </c>
      <c r="E5" s="26" t="s">
        <v>246</v>
      </c>
      <c r="F5" s="26" t="s">
        <v>247</v>
      </c>
      <c r="G5" s="26" t="s">
        <v>253</v>
      </c>
      <c r="H5" s="26" t="s">
        <v>249</v>
      </c>
      <c r="I5" s="26" t="b">
        <v>1</v>
      </c>
      <c r="K5" s="26" t="s">
        <v>250</v>
      </c>
      <c r="O5" s="25">
        <f t="shared" si="1"/>
        <v>1</v>
      </c>
      <c r="P5" s="25">
        <v>2</v>
      </c>
      <c r="Q5" s="25">
        <v>1</v>
      </c>
    </row>
    <row r="6" spans="1:17" x14ac:dyDescent="0.45">
      <c r="A6" s="26">
        <f t="shared" si="0"/>
        <v>1003</v>
      </c>
      <c r="B6" s="57" t="s">
        <v>254</v>
      </c>
      <c r="C6" s="5" t="s">
        <v>255</v>
      </c>
      <c r="D6" s="5" t="s">
        <v>245</v>
      </c>
      <c r="E6" s="26" t="s">
        <v>246</v>
      </c>
      <c r="F6" s="26" t="s">
        <v>247</v>
      </c>
      <c r="G6" s="26" t="s">
        <v>256</v>
      </c>
      <c r="H6" s="26" t="s">
        <v>249</v>
      </c>
      <c r="I6" s="26" t="b">
        <v>1</v>
      </c>
      <c r="K6" s="26" t="s">
        <v>250</v>
      </c>
      <c r="O6" s="25">
        <f t="shared" si="1"/>
        <v>1</v>
      </c>
      <c r="P6" s="25">
        <v>3</v>
      </c>
      <c r="Q6" s="25">
        <v>1</v>
      </c>
    </row>
    <row r="7" spans="1:17" x14ac:dyDescent="0.45">
      <c r="A7" s="26">
        <f t="shared" si="0"/>
        <v>1011</v>
      </c>
      <c r="B7" s="57" t="s">
        <v>257</v>
      </c>
      <c r="C7" s="6" t="s">
        <v>258</v>
      </c>
      <c r="D7" s="6" t="s">
        <v>245</v>
      </c>
      <c r="E7" s="26" t="s">
        <v>259</v>
      </c>
      <c r="G7" s="26" t="s">
        <v>260</v>
      </c>
      <c r="H7" s="26" t="s">
        <v>261</v>
      </c>
      <c r="K7" s="26" t="s">
        <v>250</v>
      </c>
      <c r="N7" s="26">
        <v>60</v>
      </c>
      <c r="O7" s="25">
        <f t="shared" si="1"/>
        <v>1</v>
      </c>
      <c r="P7" s="25">
        <v>1</v>
      </c>
      <c r="Q7" s="25">
        <v>2</v>
      </c>
    </row>
    <row r="8" spans="1:17" x14ac:dyDescent="0.45">
      <c r="A8" s="26">
        <f t="shared" si="0"/>
        <v>1012</v>
      </c>
      <c r="B8" s="57" t="s">
        <v>262</v>
      </c>
      <c r="C8" s="6" t="s">
        <v>263</v>
      </c>
      <c r="D8" s="6" t="s">
        <v>264</v>
      </c>
      <c r="E8" s="26" t="s">
        <v>265</v>
      </c>
      <c r="F8" s="26" t="s">
        <v>247</v>
      </c>
      <c r="G8" s="26" t="s">
        <v>260</v>
      </c>
      <c r="H8" s="26" t="s">
        <v>249</v>
      </c>
      <c r="I8" s="26" t="b">
        <v>1</v>
      </c>
      <c r="K8" s="26" t="s">
        <v>266</v>
      </c>
      <c r="O8" s="25">
        <f t="shared" si="1"/>
        <v>1</v>
      </c>
      <c r="P8" s="25">
        <v>2</v>
      </c>
      <c r="Q8" s="25">
        <v>2</v>
      </c>
    </row>
    <row r="9" spans="1:17" s="63" customFormat="1" x14ac:dyDescent="0.45">
      <c r="A9" s="59">
        <f t="shared" si="0"/>
        <v>1013</v>
      </c>
      <c r="B9" s="60" t="s">
        <v>267</v>
      </c>
      <c r="C9" s="61" t="s">
        <v>268</v>
      </c>
      <c r="D9" s="61" t="s">
        <v>245</v>
      </c>
      <c r="E9" s="59" t="s">
        <v>246</v>
      </c>
      <c r="F9" s="59" t="s">
        <v>247</v>
      </c>
      <c r="G9" s="59" t="s">
        <v>269</v>
      </c>
      <c r="H9" s="59" t="s">
        <v>249</v>
      </c>
      <c r="I9" s="59" t="b">
        <v>1</v>
      </c>
      <c r="J9" s="62"/>
      <c r="K9" s="59" t="s">
        <v>250</v>
      </c>
      <c r="L9" s="59"/>
      <c r="M9" s="59"/>
      <c r="N9" s="59"/>
      <c r="O9" s="63">
        <f t="shared" si="1"/>
        <v>1</v>
      </c>
      <c r="P9" s="63">
        <v>3</v>
      </c>
      <c r="Q9" s="63">
        <v>2</v>
      </c>
    </row>
    <row r="10" spans="1:17" x14ac:dyDescent="0.45">
      <c r="A10" s="26">
        <f t="shared" si="0"/>
        <v>1021</v>
      </c>
      <c r="B10" s="57" t="s">
        <v>270</v>
      </c>
      <c r="C10" s="2" t="s">
        <v>271</v>
      </c>
      <c r="D10" s="2" t="s">
        <v>272</v>
      </c>
      <c r="E10" s="26" t="s">
        <v>246</v>
      </c>
      <c r="G10" s="26" t="s">
        <v>260</v>
      </c>
      <c r="J10" s="18" t="s">
        <v>273</v>
      </c>
      <c r="K10" s="26" t="s">
        <v>274</v>
      </c>
      <c r="O10" s="25">
        <f t="shared" si="1"/>
        <v>1</v>
      </c>
      <c r="P10" s="25">
        <v>1</v>
      </c>
      <c r="Q10" s="25">
        <v>3</v>
      </c>
    </row>
    <row r="11" spans="1:17" x14ac:dyDescent="0.45">
      <c r="A11" s="26">
        <f t="shared" si="0"/>
        <v>1022</v>
      </c>
      <c r="B11" s="57" t="s">
        <v>275</v>
      </c>
      <c r="C11" s="2" t="s">
        <v>276</v>
      </c>
      <c r="D11" s="2" t="s">
        <v>272</v>
      </c>
      <c r="E11" s="26" t="s">
        <v>246</v>
      </c>
      <c r="F11" s="26" t="s">
        <v>247</v>
      </c>
      <c r="G11" s="26" t="s">
        <v>260</v>
      </c>
      <c r="H11" s="26" t="s">
        <v>261</v>
      </c>
      <c r="K11" s="26" t="s">
        <v>277</v>
      </c>
      <c r="O11" s="25">
        <f t="shared" si="1"/>
        <v>1</v>
      </c>
      <c r="P11" s="25">
        <v>2</v>
      </c>
      <c r="Q11" s="25">
        <v>3</v>
      </c>
    </row>
    <row r="12" spans="1:17" x14ac:dyDescent="0.45">
      <c r="A12" s="26">
        <f t="shared" si="0"/>
        <v>1023</v>
      </c>
      <c r="B12" s="58"/>
      <c r="C12" s="2"/>
      <c r="D12" s="2"/>
      <c r="O12" s="25">
        <f t="shared" si="1"/>
        <v>1</v>
      </c>
      <c r="P12" s="25">
        <v>3</v>
      </c>
      <c r="Q12" s="25">
        <v>3</v>
      </c>
    </row>
    <row r="13" spans="1:17" x14ac:dyDescent="0.45">
      <c r="A13" s="26">
        <f t="shared" si="0"/>
        <v>2001</v>
      </c>
      <c r="B13" s="56" t="s">
        <v>243</v>
      </c>
      <c r="C13" s="5" t="s">
        <v>278</v>
      </c>
      <c r="D13" s="5" t="s">
        <v>272</v>
      </c>
      <c r="E13" s="26" t="s">
        <v>246</v>
      </c>
      <c r="G13" s="26" t="s">
        <v>248</v>
      </c>
      <c r="J13" s="19" t="s">
        <v>279</v>
      </c>
      <c r="K13" s="26" t="s">
        <v>274</v>
      </c>
      <c r="O13" s="25">
        <f t="shared" si="1"/>
        <v>2</v>
      </c>
      <c r="P13" s="25">
        <v>1</v>
      </c>
      <c r="Q13" s="25">
        <v>1</v>
      </c>
    </row>
    <row r="14" spans="1:17" x14ac:dyDescent="0.45">
      <c r="A14" s="26">
        <f t="shared" si="0"/>
        <v>2002</v>
      </c>
      <c r="B14" s="57" t="s">
        <v>251</v>
      </c>
      <c r="C14" s="5" t="s">
        <v>280</v>
      </c>
      <c r="D14" s="5" t="s">
        <v>272</v>
      </c>
      <c r="E14" s="26" t="s">
        <v>246</v>
      </c>
      <c r="G14" s="26" t="s">
        <v>253</v>
      </c>
      <c r="J14" s="19" t="s">
        <v>279</v>
      </c>
      <c r="K14" s="26" t="s">
        <v>274</v>
      </c>
      <c r="O14" s="25">
        <f t="shared" si="1"/>
        <v>2</v>
      </c>
      <c r="P14" s="25">
        <v>2</v>
      </c>
      <c r="Q14" s="25">
        <v>1</v>
      </c>
    </row>
    <row r="15" spans="1:17" x14ac:dyDescent="0.45">
      <c r="A15" s="26">
        <f t="shared" si="0"/>
        <v>2003</v>
      </c>
      <c r="B15" s="57" t="s">
        <v>254</v>
      </c>
      <c r="C15" s="5" t="s">
        <v>281</v>
      </c>
      <c r="D15" s="5" t="s">
        <v>272</v>
      </c>
      <c r="E15" s="26" t="s">
        <v>246</v>
      </c>
      <c r="G15" s="26" t="s">
        <v>256</v>
      </c>
      <c r="J15" s="19" t="s">
        <v>279</v>
      </c>
      <c r="K15" s="26" t="s">
        <v>274</v>
      </c>
      <c r="O15" s="25">
        <f t="shared" si="1"/>
        <v>2</v>
      </c>
      <c r="P15" s="25">
        <v>3</v>
      </c>
      <c r="Q15" s="25">
        <v>1</v>
      </c>
    </row>
    <row r="16" spans="1:17" x14ac:dyDescent="0.45">
      <c r="A16" s="26">
        <f t="shared" si="0"/>
        <v>2011</v>
      </c>
      <c r="B16" s="57" t="s">
        <v>282</v>
      </c>
      <c r="C16" s="6" t="s">
        <v>283</v>
      </c>
      <c r="D16" s="6" t="s">
        <v>272</v>
      </c>
      <c r="E16" s="26" t="s">
        <v>259</v>
      </c>
      <c r="G16" s="26" t="s">
        <v>260</v>
      </c>
      <c r="H16" s="26" t="s">
        <v>249</v>
      </c>
      <c r="I16" s="26" t="b">
        <v>1</v>
      </c>
      <c r="K16" s="26" t="s">
        <v>274</v>
      </c>
      <c r="N16" s="26">
        <v>30</v>
      </c>
      <c r="O16" s="25">
        <f t="shared" si="1"/>
        <v>2</v>
      </c>
      <c r="P16" s="25">
        <v>1</v>
      </c>
      <c r="Q16" s="25">
        <v>2</v>
      </c>
    </row>
    <row r="17" spans="1:17" x14ac:dyDescent="0.45">
      <c r="A17" s="26">
        <f t="shared" si="0"/>
        <v>2012</v>
      </c>
      <c r="B17" s="57" t="s">
        <v>284</v>
      </c>
      <c r="C17" s="6" t="s">
        <v>285</v>
      </c>
      <c r="D17" s="6" t="s">
        <v>264</v>
      </c>
      <c r="E17" s="26" t="s">
        <v>265</v>
      </c>
      <c r="F17" s="26" t="s">
        <v>286</v>
      </c>
      <c r="G17" s="26" t="s">
        <v>260</v>
      </c>
      <c r="H17" s="26" t="s">
        <v>249</v>
      </c>
      <c r="I17" s="26" t="b">
        <v>1</v>
      </c>
      <c r="K17" s="26" t="s">
        <v>266</v>
      </c>
      <c r="O17" s="25">
        <f t="shared" si="1"/>
        <v>2</v>
      </c>
      <c r="P17" s="25">
        <v>2</v>
      </c>
      <c r="Q17" s="25">
        <v>2</v>
      </c>
    </row>
    <row r="18" spans="1:17" s="63" customFormat="1" x14ac:dyDescent="0.45">
      <c r="A18" s="59">
        <f t="shared" si="0"/>
        <v>2013</v>
      </c>
      <c r="B18" s="60" t="s">
        <v>287</v>
      </c>
      <c r="C18" s="61" t="s">
        <v>288</v>
      </c>
      <c r="D18" s="61" t="s">
        <v>245</v>
      </c>
      <c r="E18" s="59" t="s">
        <v>246</v>
      </c>
      <c r="F18" s="59" t="s">
        <v>286</v>
      </c>
      <c r="G18" s="59" t="s">
        <v>269</v>
      </c>
      <c r="H18" s="59" t="s">
        <v>249</v>
      </c>
      <c r="I18" s="59" t="b">
        <v>1</v>
      </c>
      <c r="J18" s="62"/>
      <c r="K18" s="59" t="s">
        <v>250</v>
      </c>
      <c r="L18" s="59"/>
      <c r="M18" s="59"/>
      <c r="N18" s="59"/>
      <c r="O18" s="63">
        <f t="shared" si="1"/>
        <v>2</v>
      </c>
      <c r="P18" s="63">
        <v>3</v>
      </c>
      <c r="Q18" s="63">
        <v>2</v>
      </c>
    </row>
    <row r="19" spans="1:17" x14ac:dyDescent="0.45">
      <c r="A19" s="26">
        <f t="shared" si="0"/>
        <v>2021</v>
      </c>
      <c r="B19" s="57" t="s">
        <v>289</v>
      </c>
      <c r="C19" s="2" t="s">
        <v>290</v>
      </c>
      <c r="D19" s="2" t="s">
        <v>291</v>
      </c>
      <c r="E19" s="26" t="s">
        <v>246</v>
      </c>
      <c r="G19" s="26" t="s">
        <v>260</v>
      </c>
      <c r="J19" s="19" t="s">
        <v>292</v>
      </c>
      <c r="K19" s="26" t="s">
        <v>293</v>
      </c>
      <c r="O19" s="25">
        <f t="shared" si="1"/>
        <v>2</v>
      </c>
      <c r="P19" s="25">
        <v>1</v>
      </c>
      <c r="Q19" s="25">
        <v>3</v>
      </c>
    </row>
    <row r="20" spans="1:17" x14ac:dyDescent="0.45">
      <c r="A20" s="26">
        <f t="shared" si="0"/>
        <v>2022</v>
      </c>
      <c r="B20" s="57" t="s">
        <v>294</v>
      </c>
      <c r="C20" s="2" t="s">
        <v>295</v>
      </c>
      <c r="D20" s="2" t="s">
        <v>272</v>
      </c>
      <c r="E20" s="26" t="s">
        <v>246</v>
      </c>
      <c r="F20" s="26" t="s">
        <v>286</v>
      </c>
      <c r="G20" s="26" t="s">
        <v>260</v>
      </c>
      <c r="H20" s="26" t="s">
        <v>261</v>
      </c>
      <c r="K20" s="26" t="s">
        <v>277</v>
      </c>
      <c r="O20" s="25">
        <f t="shared" si="1"/>
        <v>2</v>
      </c>
      <c r="P20" s="25">
        <v>2</v>
      </c>
      <c r="Q20" s="25">
        <v>3</v>
      </c>
    </row>
    <row r="21" spans="1:17" x14ac:dyDescent="0.45">
      <c r="A21" s="26">
        <f t="shared" si="0"/>
        <v>2023</v>
      </c>
      <c r="B21" s="58"/>
      <c r="C21" s="2"/>
      <c r="D21" s="2"/>
      <c r="O21" s="25">
        <f t="shared" si="1"/>
        <v>2</v>
      </c>
      <c r="P21" s="25">
        <v>3</v>
      </c>
      <c r="Q21" s="25">
        <v>3</v>
      </c>
    </row>
    <row r="22" spans="1:17" x14ac:dyDescent="0.45">
      <c r="A22" s="26">
        <f t="shared" si="0"/>
        <v>3001</v>
      </c>
      <c r="B22" s="56" t="s">
        <v>243</v>
      </c>
      <c r="C22" s="5" t="s">
        <v>296</v>
      </c>
      <c r="D22" s="5" t="s">
        <v>245</v>
      </c>
      <c r="E22" s="26" t="s">
        <v>246</v>
      </c>
      <c r="G22" s="26" t="s">
        <v>248</v>
      </c>
      <c r="H22" s="26" t="s">
        <v>297</v>
      </c>
      <c r="K22" s="26" t="s">
        <v>250</v>
      </c>
      <c r="O22" s="25">
        <f t="shared" si="1"/>
        <v>3</v>
      </c>
      <c r="P22" s="25">
        <v>1</v>
      </c>
      <c r="Q22" s="25">
        <v>1</v>
      </c>
    </row>
    <row r="23" spans="1:17" x14ac:dyDescent="0.45">
      <c r="A23" s="26">
        <f t="shared" si="0"/>
        <v>3002</v>
      </c>
      <c r="B23" s="57" t="s">
        <v>251</v>
      </c>
      <c r="C23" s="5" t="s">
        <v>298</v>
      </c>
      <c r="D23" s="5" t="s">
        <v>245</v>
      </c>
      <c r="E23" s="26" t="s">
        <v>246</v>
      </c>
      <c r="G23" s="26" t="s">
        <v>253</v>
      </c>
      <c r="H23" s="26" t="s">
        <v>297</v>
      </c>
      <c r="K23" s="26" t="s">
        <v>250</v>
      </c>
      <c r="O23" s="25">
        <f t="shared" si="1"/>
        <v>3</v>
      </c>
      <c r="P23" s="25">
        <v>2</v>
      </c>
      <c r="Q23" s="25">
        <v>1</v>
      </c>
    </row>
    <row r="24" spans="1:17" x14ac:dyDescent="0.45">
      <c r="A24" s="26">
        <f t="shared" si="0"/>
        <v>3003</v>
      </c>
      <c r="B24" s="57" t="s">
        <v>254</v>
      </c>
      <c r="C24" s="5" t="s">
        <v>299</v>
      </c>
      <c r="D24" s="5" t="s">
        <v>245</v>
      </c>
      <c r="E24" s="26" t="s">
        <v>246</v>
      </c>
      <c r="G24" s="26" t="s">
        <v>256</v>
      </c>
      <c r="H24" s="26" t="s">
        <v>297</v>
      </c>
      <c r="K24" s="26" t="s">
        <v>250</v>
      </c>
      <c r="O24" s="25">
        <f t="shared" si="1"/>
        <v>3</v>
      </c>
      <c r="P24" s="25">
        <v>3</v>
      </c>
      <c r="Q24" s="25">
        <v>1</v>
      </c>
    </row>
    <row r="25" spans="1:17" x14ac:dyDescent="0.45">
      <c r="A25" s="26">
        <f t="shared" si="0"/>
        <v>3011</v>
      </c>
      <c r="B25" s="57" t="s">
        <v>300</v>
      </c>
      <c r="C25" s="6" t="s">
        <v>301</v>
      </c>
      <c r="D25" s="6" t="s">
        <v>272</v>
      </c>
      <c r="E25" s="26" t="s">
        <v>259</v>
      </c>
      <c r="G25" s="26" t="s">
        <v>260</v>
      </c>
      <c r="H25" s="26" t="s">
        <v>297</v>
      </c>
      <c r="K25" s="26" t="s">
        <v>274</v>
      </c>
      <c r="N25" s="26">
        <v>30</v>
      </c>
      <c r="O25" s="25">
        <f t="shared" si="1"/>
        <v>3</v>
      </c>
      <c r="P25" s="25">
        <v>1</v>
      </c>
      <c r="Q25" s="25">
        <v>2</v>
      </c>
    </row>
    <row r="26" spans="1:17" x14ac:dyDescent="0.45">
      <c r="A26" s="26">
        <f t="shared" si="0"/>
        <v>3012</v>
      </c>
      <c r="B26" s="57" t="s">
        <v>302</v>
      </c>
      <c r="C26" s="6" t="s">
        <v>303</v>
      </c>
      <c r="D26" s="6" t="s">
        <v>245</v>
      </c>
      <c r="E26" s="26" t="s">
        <v>246</v>
      </c>
      <c r="G26" s="26" t="s">
        <v>269</v>
      </c>
      <c r="H26" s="26" t="s">
        <v>297</v>
      </c>
      <c r="K26" s="26" t="s">
        <v>250</v>
      </c>
      <c r="O26" s="25">
        <f t="shared" si="1"/>
        <v>3</v>
      </c>
      <c r="P26" s="25">
        <v>2</v>
      </c>
      <c r="Q26" s="25">
        <v>2</v>
      </c>
    </row>
    <row r="27" spans="1:17" s="63" customFormat="1" x14ac:dyDescent="0.45">
      <c r="A27" s="59">
        <f t="shared" si="0"/>
        <v>3013</v>
      </c>
      <c r="B27" s="60" t="s">
        <v>304</v>
      </c>
      <c r="C27" s="61" t="s">
        <v>305</v>
      </c>
      <c r="D27" s="61" t="s">
        <v>291</v>
      </c>
      <c r="E27" s="59" t="s">
        <v>259</v>
      </c>
      <c r="F27" s="59"/>
      <c r="G27" s="59" t="s">
        <v>260</v>
      </c>
      <c r="H27" s="59" t="s">
        <v>260</v>
      </c>
      <c r="I27" s="59"/>
      <c r="J27" s="62"/>
      <c r="K27" s="59" t="s">
        <v>293</v>
      </c>
      <c r="L27" s="59"/>
      <c r="M27" s="59"/>
      <c r="N27" s="59">
        <v>60</v>
      </c>
      <c r="O27" s="63">
        <f t="shared" si="1"/>
        <v>3</v>
      </c>
      <c r="P27" s="63">
        <v>3</v>
      </c>
      <c r="Q27" s="63">
        <v>2</v>
      </c>
    </row>
    <row r="28" spans="1:17" x14ac:dyDescent="0.45">
      <c r="A28" s="26">
        <f t="shared" si="0"/>
        <v>3021</v>
      </c>
      <c r="B28" s="57" t="s">
        <v>306</v>
      </c>
      <c r="C28" s="2" t="s">
        <v>307</v>
      </c>
      <c r="D28" s="2" t="s">
        <v>245</v>
      </c>
      <c r="E28" s="26" t="s">
        <v>259</v>
      </c>
      <c r="G28" s="26" t="s">
        <v>260</v>
      </c>
      <c r="H28" s="26" t="s">
        <v>297</v>
      </c>
      <c r="K28" s="26" t="s">
        <v>250</v>
      </c>
      <c r="N28" s="26">
        <v>30</v>
      </c>
      <c r="O28" s="25">
        <f t="shared" si="1"/>
        <v>3</v>
      </c>
      <c r="P28" s="25">
        <v>1</v>
      </c>
      <c r="Q28" s="25">
        <v>3</v>
      </c>
    </row>
    <row r="29" spans="1:17" x14ac:dyDescent="0.45">
      <c r="A29" s="26">
        <f t="shared" si="0"/>
        <v>3022</v>
      </c>
      <c r="B29" s="57" t="s">
        <v>308</v>
      </c>
      <c r="C29" s="2" t="s">
        <v>309</v>
      </c>
      <c r="D29" s="2" t="s">
        <v>264</v>
      </c>
      <c r="E29" s="26" t="s">
        <v>265</v>
      </c>
      <c r="G29" s="26" t="s">
        <v>260</v>
      </c>
      <c r="H29" s="26" t="s">
        <v>297</v>
      </c>
      <c r="K29" s="26" t="s">
        <v>266</v>
      </c>
      <c r="O29" s="25">
        <f t="shared" si="1"/>
        <v>3</v>
      </c>
      <c r="P29" s="25">
        <v>2</v>
      </c>
      <c r="Q29" s="25">
        <v>3</v>
      </c>
    </row>
    <row r="30" spans="1:17" x14ac:dyDescent="0.45">
      <c r="A30" s="26">
        <f t="shared" si="0"/>
        <v>3023</v>
      </c>
      <c r="B30" s="58"/>
      <c r="C30" s="2"/>
      <c r="D30" s="2"/>
      <c r="O30" s="25">
        <f t="shared" si="1"/>
        <v>3</v>
      </c>
      <c r="P30" s="25">
        <v>3</v>
      </c>
      <c r="Q30" s="25">
        <v>3</v>
      </c>
    </row>
    <row r="31" spans="1:17" x14ac:dyDescent="0.45">
      <c r="A31" s="26">
        <f t="shared" si="0"/>
        <v>4001</v>
      </c>
      <c r="B31" s="56" t="s">
        <v>243</v>
      </c>
      <c r="C31" s="5" t="s">
        <v>310</v>
      </c>
      <c r="D31" s="5" t="s">
        <v>245</v>
      </c>
      <c r="E31" s="26" t="s">
        <v>246</v>
      </c>
      <c r="G31" s="26" t="s">
        <v>248</v>
      </c>
      <c r="H31" s="26" t="s">
        <v>311</v>
      </c>
      <c r="K31" s="26" t="s">
        <v>250</v>
      </c>
      <c r="O31" s="25">
        <f t="shared" si="1"/>
        <v>4</v>
      </c>
      <c r="P31" s="25">
        <v>1</v>
      </c>
      <c r="Q31" s="25">
        <v>1</v>
      </c>
    </row>
    <row r="32" spans="1:17" x14ac:dyDescent="0.45">
      <c r="A32" s="26">
        <f t="shared" si="0"/>
        <v>4002</v>
      </c>
      <c r="B32" s="57" t="s">
        <v>251</v>
      </c>
      <c r="C32" s="5" t="s">
        <v>312</v>
      </c>
      <c r="D32" s="5" t="s">
        <v>245</v>
      </c>
      <c r="E32" s="26" t="s">
        <v>246</v>
      </c>
      <c r="G32" s="26" t="s">
        <v>253</v>
      </c>
      <c r="H32" s="26" t="s">
        <v>311</v>
      </c>
      <c r="K32" s="26" t="s">
        <v>250</v>
      </c>
      <c r="O32" s="25">
        <f t="shared" si="1"/>
        <v>4</v>
      </c>
      <c r="P32" s="25">
        <v>2</v>
      </c>
      <c r="Q32" s="25">
        <v>1</v>
      </c>
    </row>
    <row r="33" spans="1:17" x14ac:dyDescent="0.45">
      <c r="A33" s="26">
        <f t="shared" si="0"/>
        <v>4003</v>
      </c>
      <c r="B33" s="57" t="s">
        <v>254</v>
      </c>
      <c r="C33" s="5" t="s">
        <v>313</v>
      </c>
      <c r="D33" s="5" t="s">
        <v>245</v>
      </c>
      <c r="E33" s="26" t="s">
        <v>246</v>
      </c>
      <c r="G33" s="26" t="s">
        <v>256</v>
      </c>
      <c r="H33" s="26" t="s">
        <v>311</v>
      </c>
      <c r="K33" s="26" t="s">
        <v>250</v>
      </c>
      <c r="O33" s="25">
        <f t="shared" si="1"/>
        <v>4</v>
      </c>
      <c r="P33" s="25">
        <v>3</v>
      </c>
      <c r="Q33" s="25">
        <v>1</v>
      </c>
    </row>
    <row r="34" spans="1:17" x14ac:dyDescent="0.45">
      <c r="A34" s="26">
        <f t="shared" si="0"/>
        <v>4011</v>
      </c>
      <c r="B34" s="57" t="s">
        <v>314</v>
      </c>
      <c r="C34" s="6" t="s">
        <v>315</v>
      </c>
      <c r="D34" s="6" t="s">
        <v>272</v>
      </c>
      <c r="E34" s="26" t="s">
        <v>259</v>
      </c>
      <c r="G34" s="26" t="s">
        <v>260</v>
      </c>
      <c r="J34" s="19" t="s">
        <v>316</v>
      </c>
      <c r="K34" s="26" t="s">
        <v>274</v>
      </c>
      <c r="N34" s="26">
        <v>30</v>
      </c>
      <c r="O34" s="25">
        <f t="shared" si="1"/>
        <v>4</v>
      </c>
      <c r="P34" s="25">
        <v>1</v>
      </c>
      <c r="Q34" s="25">
        <v>2</v>
      </c>
    </row>
    <row r="35" spans="1:17" x14ac:dyDescent="0.45">
      <c r="A35" s="26">
        <f t="shared" si="0"/>
        <v>4012</v>
      </c>
      <c r="B35" s="57" t="s">
        <v>317</v>
      </c>
      <c r="C35" s="6" t="s">
        <v>318</v>
      </c>
      <c r="D35" s="6" t="s">
        <v>291</v>
      </c>
      <c r="E35" s="26" t="s">
        <v>246</v>
      </c>
      <c r="G35" s="26" t="s">
        <v>260</v>
      </c>
      <c r="J35" s="19" t="s">
        <v>319</v>
      </c>
      <c r="K35" s="26" t="s">
        <v>293</v>
      </c>
      <c r="O35" s="25">
        <f t="shared" si="1"/>
        <v>4</v>
      </c>
      <c r="P35" s="25">
        <v>2</v>
      </c>
      <c r="Q35" s="25">
        <v>2</v>
      </c>
    </row>
    <row r="36" spans="1:17" x14ac:dyDescent="0.45">
      <c r="A36" s="26">
        <f t="shared" ref="A36:A66" si="2">O36*1000+P36+(Q36-1)*10</f>
        <v>4013</v>
      </c>
      <c r="B36" s="57"/>
      <c r="C36" s="6"/>
      <c r="D36" s="6"/>
      <c r="O36" s="25">
        <f t="shared" ref="O36:O66" si="3">INT((ROW()-4)/9)+1</f>
        <v>4</v>
      </c>
      <c r="P36" s="25">
        <v>3</v>
      </c>
      <c r="Q36" s="25">
        <v>2</v>
      </c>
    </row>
    <row r="37" spans="1:17" x14ac:dyDescent="0.45">
      <c r="A37" s="26">
        <f t="shared" si="2"/>
        <v>4021</v>
      </c>
      <c r="B37" s="57" t="s">
        <v>320</v>
      </c>
      <c r="C37" s="2" t="s">
        <v>321</v>
      </c>
      <c r="D37" s="2" t="s">
        <v>245</v>
      </c>
      <c r="E37" s="26" t="s">
        <v>259</v>
      </c>
      <c r="G37" s="26" t="s">
        <v>260</v>
      </c>
      <c r="J37" s="19" t="s">
        <v>316</v>
      </c>
      <c r="K37" s="26" t="s">
        <v>250</v>
      </c>
      <c r="N37" s="26">
        <v>30</v>
      </c>
      <c r="O37" s="25">
        <f t="shared" si="3"/>
        <v>4</v>
      </c>
      <c r="P37" s="25">
        <v>1</v>
      </c>
      <c r="Q37" s="25">
        <v>3</v>
      </c>
    </row>
    <row r="38" spans="1:17" x14ac:dyDescent="0.45">
      <c r="A38" s="26">
        <f t="shared" si="2"/>
        <v>4022</v>
      </c>
      <c r="B38" s="57" t="s">
        <v>322</v>
      </c>
      <c r="C38" s="2" t="s">
        <v>323</v>
      </c>
      <c r="D38" s="2" t="s">
        <v>324</v>
      </c>
      <c r="E38" s="26" t="s">
        <v>265</v>
      </c>
      <c r="G38" s="26" t="s">
        <v>260</v>
      </c>
      <c r="H38" s="26" t="s">
        <v>311</v>
      </c>
      <c r="K38" s="26" t="s">
        <v>266</v>
      </c>
      <c r="N38" s="26">
        <v>-1</v>
      </c>
      <c r="O38" s="25">
        <f t="shared" si="3"/>
        <v>4</v>
      </c>
      <c r="P38" s="25">
        <v>2</v>
      </c>
      <c r="Q38" s="25">
        <v>3</v>
      </c>
    </row>
    <row r="39" spans="1:17" x14ac:dyDescent="0.45">
      <c r="A39" s="26">
        <f t="shared" si="2"/>
        <v>4023</v>
      </c>
      <c r="B39" s="58"/>
      <c r="C39" s="2"/>
      <c r="D39" s="2"/>
      <c r="O39" s="25">
        <f t="shared" si="3"/>
        <v>4</v>
      </c>
      <c r="P39" s="25">
        <v>3</v>
      </c>
      <c r="Q39" s="25">
        <v>3</v>
      </c>
    </row>
    <row r="40" spans="1:17" x14ac:dyDescent="0.45">
      <c r="A40" s="26">
        <f t="shared" si="2"/>
        <v>5001</v>
      </c>
      <c r="B40" s="56" t="s">
        <v>243</v>
      </c>
      <c r="C40" s="5" t="s">
        <v>325</v>
      </c>
      <c r="D40" s="5" t="s">
        <v>245</v>
      </c>
      <c r="E40" s="26" t="s">
        <v>246</v>
      </c>
      <c r="G40" s="26" t="s">
        <v>248</v>
      </c>
      <c r="H40" s="26" t="s">
        <v>326</v>
      </c>
      <c r="K40" s="26" t="s">
        <v>327</v>
      </c>
      <c r="O40" s="25">
        <f t="shared" si="3"/>
        <v>5</v>
      </c>
      <c r="P40" s="25">
        <v>1</v>
      </c>
      <c r="Q40" s="25">
        <v>1</v>
      </c>
    </row>
    <row r="41" spans="1:17" x14ac:dyDescent="0.45">
      <c r="A41" s="26">
        <f t="shared" si="2"/>
        <v>5002</v>
      </c>
      <c r="B41" s="57" t="s">
        <v>251</v>
      </c>
      <c r="C41" s="5" t="s">
        <v>328</v>
      </c>
      <c r="D41" s="5" t="s">
        <v>245</v>
      </c>
      <c r="E41" s="26" t="s">
        <v>246</v>
      </c>
      <c r="G41" s="26" t="s">
        <v>253</v>
      </c>
      <c r="H41" s="26" t="s">
        <v>326</v>
      </c>
      <c r="K41" s="26" t="s">
        <v>327</v>
      </c>
      <c r="O41" s="25">
        <f t="shared" si="3"/>
        <v>5</v>
      </c>
      <c r="P41" s="25">
        <v>2</v>
      </c>
      <c r="Q41" s="25">
        <v>1</v>
      </c>
    </row>
    <row r="42" spans="1:17" x14ac:dyDescent="0.45">
      <c r="A42" s="26">
        <f t="shared" si="2"/>
        <v>5003</v>
      </c>
      <c r="B42" s="57" t="s">
        <v>254</v>
      </c>
      <c r="C42" s="5" t="s">
        <v>329</v>
      </c>
      <c r="D42" s="5" t="s">
        <v>245</v>
      </c>
      <c r="E42" s="26" t="s">
        <v>246</v>
      </c>
      <c r="G42" s="26" t="s">
        <v>256</v>
      </c>
      <c r="H42" s="26" t="s">
        <v>326</v>
      </c>
      <c r="K42" s="26" t="s">
        <v>327</v>
      </c>
      <c r="O42" s="25">
        <f t="shared" si="3"/>
        <v>5</v>
      </c>
      <c r="P42" s="25">
        <v>3</v>
      </c>
      <c r="Q42" s="25">
        <v>1</v>
      </c>
    </row>
    <row r="43" spans="1:17" x14ac:dyDescent="0.45">
      <c r="A43" s="26">
        <f t="shared" si="2"/>
        <v>5011</v>
      </c>
      <c r="B43" s="57" t="s">
        <v>330</v>
      </c>
      <c r="C43" s="6" t="s">
        <v>331</v>
      </c>
      <c r="D43" s="6" t="s">
        <v>272</v>
      </c>
      <c r="E43" s="26" t="s">
        <v>259</v>
      </c>
      <c r="G43" s="26" t="s">
        <v>260</v>
      </c>
      <c r="H43" s="26" t="s">
        <v>326</v>
      </c>
      <c r="K43" s="26" t="s">
        <v>274</v>
      </c>
      <c r="N43" s="26">
        <v>30</v>
      </c>
      <c r="O43" s="25">
        <f t="shared" si="3"/>
        <v>5</v>
      </c>
      <c r="P43" s="25">
        <v>1</v>
      </c>
      <c r="Q43" s="25">
        <v>2</v>
      </c>
    </row>
    <row r="44" spans="1:17" x14ac:dyDescent="0.45">
      <c r="A44" s="26">
        <f t="shared" si="2"/>
        <v>5012</v>
      </c>
      <c r="B44" s="57" t="s">
        <v>332</v>
      </c>
      <c r="C44" s="6" t="s">
        <v>333</v>
      </c>
      <c r="D44" s="6" t="s">
        <v>245</v>
      </c>
      <c r="E44" s="26" t="s">
        <v>246</v>
      </c>
      <c r="G44" s="26" t="s">
        <v>269</v>
      </c>
      <c r="H44" s="26" t="s">
        <v>326</v>
      </c>
      <c r="K44" s="26" t="s">
        <v>327</v>
      </c>
      <c r="O44" s="25">
        <f t="shared" si="3"/>
        <v>5</v>
      </c>
      <c r="P44" s="25">
        <v>2</v>
      </c>
      <c r="Q44" s="25">
        <v>2</v>
      </c>
    </row>
    <row r="45" spans="1:17" x14ac:dyDescent="0.45">
      <c r="A45" s="26">
        <f t="shared" si="2"/>
        <v>5013</v>
      </c>
      <c r="B45" s="57"/>
      <c r="C45" s="6"/>
      <c r="D45" s="6"/>
      <c r="O45" s="25">
        <f t="shared" si="3"/>
        <v>5</v>
      </c>
      <c r="P45" s="25">
        <v>3</v>
      </c>
      <c r="Q45" s="25">
        <v>2</v>
      </c>
    </row>
    <row r="46" spans="1:17" x14ac:dyDescent="0.45">
      <c r="A46" s="26">
        <f t="shared" si="2"/>
        <v>5021</v>
      </c>
      <c r="B46" s="57" t="s">
        <v>334</v>
      </c>
      <c r="C46" s="2" t="s">
        <v>335</v>
      </c>
      <c r="D46" s="2" t="s">
        <v>245</v>
      </c>
      <c r="E46" s="26" t="s">
        <v>336</v>
      </c>
      <c r="G46" s="26" t="s">
        <v>260</v>
      </c>
      <c r="H46" s="26" t="s">
        <v>260</v>
      </c>
      <c r="K46" s="26" t="s">
        <v>337</v>
      </c>
      <c r="O46" s="25">
        <f t="shared" si="3"/>
        <v>5</v>
      </c>
      <c r="P46" s="25">
        <v>1</v>
      </c>
      <c r="Q46" s="25">
        <v>3</v>
      </c>
    </row>
    <row r="47" spans="1:17" x14ac:dyDescent="0.45">
      <c r="A47" s="26">
        <f t="shared" si="2"/>
        <v>5022</v>
      </c>
      <c r="B47" s="57" t="s">
        <v>338</v>
      </c>
      <c r="C47" s="2" t="s">
        <v>339</v>
      </c>
      <c r="D47" s="2" t="s">
        <v>264</v>
      </c>
      <c r="E47" s="26" t="s">
        <v>265</v>
      </c>
      <c r="G47" s="26" t="s">
        <v>260</v>
      </c>
      <c r="H47" s="26" t="s">
        <v>326</v>
      </c>
      <c r="K47" s="26" t="s">
        <v>340</v>
      </c>
      <c r="O47" s="25">
        <f t="shared" si="3"/>
        <v>5</v>
      </c>
      <c r="P47" s="25">
        <v>2</v>
      </c>
      <c r="Q47" s="25">
        <v>3</v>
      </c>
    </row>
    <row r="48" spans="1:17" x14ac:dyDescent="0.45">
      <c r="A48" s="26">
        <f t="shared" si="2"/>
        <v>5023</v>
      </c>
      <c r="B48" s="58"/>
      <c r="C48" s="2"/>
      <c r="D48" s="2"/>
      <c r="O48" s="25">
        <f t="shared" si="3"/>
        <v>5</v>
      </c>
      <c r="P48" s="25">
        <v>3</v>
      </c>
      <c r="Q48" s="25">
        <v>3</v>
      </c>
    </row>
    <row r="49" spans="1:17" x14ac:dyDescent="0.45">
      <c r="A49" s="26">
        <f t="shared" si="2"/>
        <v>6001</v>
      </c>
      <c r="B49" s="56" t="s">
        <v>243</v>
      </c>
      <c r="C49" s="5" t="s">
        <v>341</v>
      </c>
      <c r="D49" s="5" t="s">
        <v>245</v>
      </c>
      <c r="E49" s="26" t="s">
        <v>246</v>
      </c>
      <c r="G49" s="26" t="s">
        <v>248</v>
      </c>
      <c r="H49" s="26" t="s">
        <v>326</v>
      </c>
      <c r="K49" s="26" t="s">
        <v>342</v>
      </c>
      <c r="O49" s="25">
        <f t="shared" si="3"/>
        <v>6</v>
      </c>
      <c r="P49" s="25">
        <v>1</v>
      </c>
      <c r="Q49" s="25">
        <v>1</v>
      </c>
    </row>
    <row r="50" spans="1:17" x14ac:dyDescent="0.45">
      <c r="A50" s="26">
        <f t="shared" si="2"/>
        <v>6002</v>
      </c>
      <c r="B50" s="57" t="s">
        <v>251</v>
      </c>
      <c r="C50" s="5" t="s">
        <v>343</v>
      </c>
      <c r="D50" s="5" t="s">
        <v>245</v>
      </c>
      <c r="E50" s="26" t="s">
        <v>246</v>
      </c>
      <c r="G50" s="26" t="s">
        <v>253</v>
      </c>
      <c r="H50" s="26" t="s">
        <v>326</v>
      </c>
      <c r="K50" s="26" t="s">
        <v>342</v>
      </c>
      <c r="O50" s="25">
        <f t="shared" si="3"/>
        <v>6</v>
      </c>
      <c r="P50" s="25">
        <v>2</v>
      </c>
      <c r="Q50" s="25">
        <v>1</v>
      </c>
    </row>
    <row r="51" spans="1:17" x14ac:dyDescent="0.45">
      <c r="A51" s="26">
        <f t="shared" si="2"/>
        <v>6003</v>
      </c>
      <c r="B51" s="57" t="s">
        <v>254</v>
      </c>
      <c r="C51" s="5" t="s">
        <v>344</v>
      </c>
      <c r="D51" s="5" t="s">
        <v>245</v>
      </c>
      <c r="E51" s="26" t="s">
        <v>246</v>
      </c>
      <c r="G51" s="26" t="s">
        <v>256</v>
      </c>
      <c r="H51" s="26" t="s">
        <v>326</v>
      </c>
      <c r="K51" s="26" t="s">
        <v>342</v>
      </c>
      <c r="O51" s="25">
        <f t="shared" si="3"/>
        <v>6</v>
      </c>
      <c r="P51" s="25">
        <v>3</v>
      </c>
      <c r="Q51" s="25">
        <v>1</v>
      </c>
    </row>
    <row r="52" spans="1:17" x14ac:dyDescent="0.45">
      <c r="A52" s="26">
        <f t="shared" si="2"/>
        <v>6011</v>
      </c>
      <c r="B52" s="57" t="s">
        <v>345</v>
      </c>
      <c r="C52" s="6" t="s">
        <v>346</v>
      </c>
      <c r="D52" s="6" t="s">
        <v>291</v>
      </c>
      <c r="E52" s="26" t="s">
        <v>246</v>
      </c>
      <c r="G52" s="26" t="s">
        <v>260</v>
      </c>
      <c r="J52" s="19" t="s">
        <v>347</v>
      </c>
      <c r="K52" s="26" t="s">
        <v>293</v>
      </c>
      <c r="O52" s="25">
        <f t="shared" si="3"/>
        <v>6</v>
      </c>
      <c r="P52" s="25">
        <v>1</v>
      </c>
      <c r="Q52" s="25">
        <v>2</v>
      </c>
    </row>
    <row r="53" spans="1:17" x14ac:dyDescent="0.45">
      <c r="A53" s="26">
        <f t="shared" si="2"/>
        <v>6012</v>
      </c>
      <c r="B53" s="57" t="s">
        <v>348</v>
      </c>
      <c r="C53" s="6" t="s">
        <v>349</v>
      </c>
      <c r="D53" s="6" t="s">
        <v>245</v>
      </c>
      <c r="E53" s="26" t="s">
        <v>246</v>
      </c>
      <c r="G53" s="26" t="s">
        <v>269</v>
      </c>
      <c r="H53" s="26" t="s">
        <v>326</v>
      </c>
      <c r="K53" s="26" t="s">
        <v>342</v>
      </c>
      <c r="O53" s="25">
        <f t="shared" si="3"/>
        <v>6</v>
      </c>
      <c r="P53" s="25">
        <v>2</v>
      </c>
      <c r="Q53" s="25">
        <v>2</v>
      </c>
    </row>
    <row r="54" spans="1:17" x14ac:dyDescent="0.45">
      <c r="A54" s="26">
        <f t="shared" si="2"/>
        <v>6013</v>
      </c>
      <c r="B54" s="57"/>
      <c r="C54" s="6"/>
      <c r="D54" s="6"/>
      <c r="O54" s="25">
        <f t="shared" si="3"/>
        <v>6</v>
      </c>
      <c r="P54" s="25">
        <v>3</v>
      </c>
      <c r="Q54" s="25">
        <v>2</v>
      </c>
    </row>
    <row r="55" spans="1:17" x14ac:dyDescent="0.45">
      <c r="A55" s="26">
        <f t="shared" si="2"/>
        <v>6021</v>
      </c>
      <c r="B55" s="57" t="s">
        <v>350</v>
      </c>
      <c r="C55" s="2" t="s">
        <v>351</v>
      </c>
      <c r="D55" s="2" t="s">
        <v>272</v>
      </c>
      <c r="E55" s="26" t="s">
        <v>246</v>
      </c>
      <c r="G55" s="26" t="s">
        <v>256</v>
      </c>
      <c r="J55" s="19">
        <v>102300</v>
      </c>
      <c r="K55" s="26" t="s">
        <v>274</v>
      </c>
      <c r="O55" s="25">
        <f t="shared" si="3"/>
        <v>6</v>
      </c>
      <c r="P55" s="25">
        <v>1</v>
      </c>
      <c r="Q55" s="25">
        <v>3</v>
      </c>
    </row>
    <row r="56" spans="1:17" x14ac:dyDescent="0.45">
      <c r="A56" s="26">
        <f t="shared" si="2"/>
        <v>6022</v>
      </c>
      <c r="B56" s="57" t="s">
        <v>352</v>
      </c>
      <c r="C56" s="2" t="s">
        <v>353</v>
      </c>
      <c r="D56" s="2" t="s">
        <v>264</v>
      </c>
      <c r="E56" s="26" t="s">
        <v>265</v>
      </c>
      <c r="G56" s="26" t="s">
        <v>260</v>
      </c>
      <c r="H56" s="26" t="s">
        <v>326</v>
      </c>
      <c r="K56" s="26" t="s">
        <v>354</v>
      </c>
      <c r="N56" s="26">
        <v>30</v>
      </c>
      <c r="O56" s="25">
        <f t="shared" si="3"/>
        <v>6</v>
      </c>
      <c r="P56" s="25">
        <v>2</v>
      </c>
      <c r="Q56" s="25">
        <v>3</v>
      </c>
    </row>
    <row r="57" spans="1:17" x14ac:dyDescent="0.45">
      <c r="A57" s="26">
        <f t="shared" si="2"/>
        <v>6023</v>
      </c>
      <c r="B57" s="58"/>
      <c r="C57" s="2"/>
      <c r="D57" s="2"/>
      <c r="O57" s="25">
        <f t="shared" si="3"/>
        <v>6</v>
      </c>
      <c r="P57" s="25">
        <v>3</v>
      </c>
      <c r="Q57" s="25">
        <v>3</v>
      </c>
    </row>
    <row r="58" spans="1:17" x14ac:dyDescent="0.45">
      <c r="A58" s="26">
        <f t="shared" si="2"/>
        <v>7001</v>
      </c>
      <c r="B58" s="56" t="s">
        <v>243</v>
      </c>
      <c r="C58" s="5" t="s">
        <v>355</v>
      </c>
      <c r="D58" s="5" t="s">
        <v>245</v>
      </c>
      <c r="E58" s="26" t="s">
        <v>246</v>
      </c>
      <c r="G58" s="26" t="s">
        <v>248</v>
      </c>
      <c r="H58" s="26" t="s">
        <v>356</v>
      </c>
      <c r="K58" s="26" t="s">
        <v>250</v>
      </c>
      <c r="O58" s="25">
        <f t="shared" si="3"/>
        <v>7</v>
      </c>
      <c r="P58" s="25">
        <v>1</v>
      </c>
      <c r="Q58" s="25">
        <v>1</v>
      </c>
    </row>
    <row r="59" spans="1:17" x14ac:dyDescent="0.45">
      <c r="A59" s="26">
        <f t="shared" si="2"/>
        <v>7002</v>
      </c>
      <c r="B59" s="57" t="s">
        <v>251</v>
      </c>
      <c r="C59" s="5" t="s">
        <v>357</v>
      </c>
      <c r="D59" s="5" t="s">
        <v>245</v>
      </c>
      <c r="E59" s="26" t="s">
        <v>246</v>
      </c>
      <c r="G59" s="26" t="s">
        <v>253</v>
      </c>
      <c r="H59" s="26" t="s">
        <v>356</v>
      </c>
      <c r="K59" s="26" t="s">
        <v>250</v>
      </c>
      <c r="O59" s="25">
        <f t="shared" si="3"/>
        <v>7</v>
      </c>
      <c r="P59" s="25">
        <v>2</v>
      </c>
      <c r="Q59" s="25">
        <v>1</v>
      </c>
    </row>
    <row r="60" spans="1:17" x14ac:dyDescent="0.45">
      <c r="A60" s="26">
        <f t="shared" si="2"/>
        <v>7003</v>
      </c>
      <c r="B60" s="57" t="s">
        <v>254</v>
      </c>
      <c r="C60" s="5" t="s">
        <v>358</v>
      </c>
      <c r="D60" s="5" t="s">
        <v>245</v>
      </c>
      <c r="E60" s="26" t="s">
        <v>246</v>
      </c>
      <c r="G60" s="26" t="s">
        <v>256</v>
      </c>
      <c r="H60" s="26" t="s">
        <v>356</v>
      </c>
      <c r="K60" s="26" t="s">
        <v>250</v>
      </c>
      <c r="O60" s="25">
        <f t="shared" si="3"/>
        <v>7</v>
      </c>
      <c r="P60" s="25">
        <v>3</v>
      </c>
      <c r="Q60" s="25">
        <v>1</v>
      </c>
    </row>
    <row r="61" spans="1:17" x14ac:dyDescent="0.45">
      <c r="A61" s="26">
        <f t="shared" si="2"/>
        <v>7011</v>
      </c>
      <c r="B61" s="57" t="s">
        <v>359</v>
      </c>
      <c r="C61" s="6" t="s">
        <v>360</v>
      </c>
      <c r="D61" s="6" t="s">
        <v>272</v>
      </c>
      <c r="E61" s="26" t="s">
        <v>246</v>
      </c>
      <c r="G61" s="26" t="s">
        <v>256</v>
      </c>
      <c r="J61" s="19" t="s">
        <v>361</v>
      </c>
      <c r="K61" s="26" t="s">
        <v>274</v>
      </c>
      <c r="O61" s="25">
        <f t="shared" si="3"/>
        <v>7</v>
      </c>
      <c r="P61" s="25">
        <v>1</v>
      </c>
      <c r="Q61" s="25">
        <v>2</v>
      </c>
    </row>
    <row r="62" spans="1:17" x14ac:dyDescent="0.45">
      <c r="A62" s="26">
        <f t="shared" si="2"/>
        <v>7012</v>
      </c>
      <c r="B62" s="57" t="s">
        <v>362</v>
      </c>
      <c r="C62" s="6" t="s">
        <v>363</v>
      </c>
      <c r="D62" s="6" t="s">
        <v>364</v>
      </c>
      <c r="E62" s="26" t="s">
        <v>246</v>
      </c>
      <c r="G62" s="26" t="s">
        <v>260</v>
      </c>
      <c r="H62" s="26" t="s">
        <v>365</v>
      </c>
      <c r="J62" s="19" t="s">
        <v>366</v>
      </c>
      <c r="K62" s="26" t="s">
        <v>367</v>
      </c>
      <c r="O62" s="25">
        <f t="shared" si="3"/>
        <v>7</v>
      </c>
      <c r="P62" s="25">
        <v>2</v>
      </c>
      <c r="Q62" s="25">
        <v>2</v>
      </c>
    </row>
    <row r="63" spans="1:17" x14ac:dyDescent="0.45">
      <c r="A63" s="26">
        <f t="shared" si="2"/>
        <v>7013</v>
      </c>
      <c r="B63" s="57"/>
      <c r="C63" s="6"/>
      <c r="D63" s="6"/>
      <c r="O63" s="25">
        <f t="shared" si="3"/>
        <v>7</v>
      </c>
      <c r="P63" s="25">
        <v>3</v>
      </c>
      <c r="Q63" s="25">
        <v>2</v>
      </c>
    </row>
    <row r="64" spans="1:17" x14ac:dyDescent="0.45">
      <c r="A64" s="26">
        <f t="shared" si="2"/>
        <v>7021</v>
      </c>
      <c r="B64" s="57" t="s">
        <v>368</v>
      </c>
      <c r="C64" s="2" t="s">
        <v>369</v>
      </c>
      <c r="D64" s="2" t="s">
        <v>264</v>
      </c>
      <c r="E64" s="26" t="s">
        <v>265</v>
      </c>
      <c r="G64" s="26" t="s">
        <v>260</v>
      </c>
      <c r="H64" s="26" t="s">
        <v>356</v>
      </c>
      <c r="K64" s="26" t="s">
        <v>266</v>
      </c>
      <c r="O64" s="25">
        <f t="shared" si="3"/>
        <v>7</v>
      </c>
      <c r="P64" s="25">
        <v>1</v>
      </c>
      <c r="Q64" s="25">
        <v>3</v>
      </c>
    </row>
    <row r="65" spans="1:17" x14ac:dyDescent="0.45">
      <c r="A65" s="26">
        <f t="shared" si="2"/>
        <v>7022</v>
      </c>
      <c r="B65" s="57" t="s">
        <v>370</v>
      </c>
      <c r="C65" s="2" t="s">
        <v>371</v>
      </c>
      <c r="D65" s="2" t="s">
        <v>272</v>
      </c>
      <c r="E65" s="26" t="s">
        <v>259</v>
      </c>
      <c r="G65" s="26" t="s">
        <v>260</v>
      </c>
      <c r="H65" s="26" t="s">
        <v>356</v>
      </c>
      <c r="K65" s="26" t="s">
        <v>274</v>
      </c>
      <c r="N65" s="26">
        <v>60</v>
      </c>
      <c r="O65" s="25">
        <f t="shared" si="3"/>
        <v>7</v>
      </c>
      <c r="P65" s="25">
        <v>2</v>
      </c>
      <c r="Q65" s="25">
        <v>3</v>
      </c>
    </row>
    <row r="66" spans="1:17" x14ac:dyDescent="0.45">
      <c r="A66" s="26">
        <f t="shared" si="2"/>
        <v>7023</v>
      </c>
      <c r="B66" s="58"/>
      <c r="C66" s="2"/>
      <c r="D66" s="2"/>
      <c r="O66" s="25">
        <f t="shared" si="3"/>
        <v>7</v>
      </c>
      <c r="P66" s="25">
        <v>3</v>
      </c>
      <c r="Q66" s="25">
        <v>3</v>
      </c>
    </row>
  </sheetData>
  <phoneticPr fontId="1" type="noConversion"/>
  <conditionalFormatting sqref="I17">
    <cfRule type="colorScale" priority="1">
      <colorScale>
        <cfvo type="min"/>
        <cfvo type="percentile" val="50"/>
        <cfvo type="max"/>
        <color rgb="FFF8696B"/>
        <color rgb="FFFCFCFF"/>
        <color rgb="FF63BE7B"/>
      </colorScale>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workbookViewId="0">
      <selection activeCell="H29" sqref="H29"/>
    </sheetView>
  </sheetViews>
  <sheetFormatPr defaultColWidth="9" defaultRowHeight="14" x14ac:dyDescent="0.3"/>
  <cols>
    <col min="1" max="1" width="10" style="51" customWidth="1"/>
    <col min="2" max="2" width="17" style="49" customWidth="1"/>
    <col min="3" max="3" width="43" style="50" customWidth="1"/>
    <col min="4" max="5" width="9" style="51" customWidth="1"/>
    <col min="6" max="16384" width="9" style="51"/>
  </cols>
  <sheetData>
    <row r="1" spans="1:3" ht="14.5" customHeight="1" x14ac:dyDescent="0.3">
      <c r="A1" s="48" t="s">
        <v>372</v>
      </c>
    </row>
    <row r="2" spans="1:3" s="52" customFormat="1" x14ac:dyDescent="0.3">
      <c r="A2" s="52" t="s">
        <v>100</v>
      </c>
      <c r="B2" s="53" t="s">
        <v>373</v>
      </c>
      <c r="C2" s="54" t="s">
        <v>374</v>
      </c>
    </row>
    <row r="3" spans="1:3" s="52" customFormat="1" x14ac:dyDescent="0.3">
      <c r="A3" s="52" t="s">
        <v>100</v>
      </c>
      <c r="B3" s="53" t="s">
        <v>101</v>
      </c>
      <c r="C3" s="54" t="s">
        <v>375</v>
      </c>
    </row>
    <row r="4" spans="1:3" s="55" customFormat="1" x14ac:dyDescent="0.3">
      <c r="A4" s="55">
        <v>1</v>
      </c>
      <c r="B4" s="49" t="s">
        <v>376</v>
      </c>
      <c r="C4" s="50" t="s">
        <v>377</v>
      </c>
    </row>
    <row r="5" spans="1:3" s="55" customFormat="1" x14ac:dyDescent="0.3">
      <c r="A5" s="55">
        <v>2</v>
      </c>
      <c r="B5" s="49" t="s">
        <v>378</v>
      </c>
      <c r="C5" s="50" t="s">
        <v>379</v>
      </c>
    </row>
    <row r="6" spans="1:3" s="55" customFormat="1" x14ac:dyDescent="0.3">
      <c r="A6" s="55">
        <v>3</v>
      </c>
      <c r="B6" s="49" t="s">
        <v>380</v>
      </c>
      <c r="C6" s="50" t="s">
        <v>381</v>
      </c>
    </row>
    <row r="7" spans="1:3" s="55" customFormat="1" x14ac:dyDescent="0.3">
      <c r="A7" s="55">
        <v>4</v>
      </c>
      <c r="B7" s="49" t="s">
        <v>382</v>
      </c>
      <c r="C7" s="50" t="s">
        <v>383</v>
      </c>
    </row>
    <row r="8" spans="1:3" s="55" customFormat="1" x14ac:dyDescent="0.3">
      <c r="A8" s="55">
        <v>5</v>
      </c>
      <c r="B8" s="49" t="s">
        <v>384</v>
      </c>
      <c r="C8" s="50" t="s">
        <v>385</v>
      </c>
    </row>
    <row r="9" spans="1:3" s="55" customFormat="1" x14ac:dyDescent="0.3">
      <c r="A9" s="55">
        <v>6</v>
      </c>
      <c r="B9" s="49" t="s">
        <v>386</v>
      </c>
      <c r="C9" s="50" t="s">
        <v>387</v>
      </c>
    </row>
    <row r="10" spans="1:3" s="55" customFormat="1" x14ac:dyDescent="0.3">
      <c r="A10" s="55">
        <v>7</v>
      </c>
      <c r="B10" s="49" t="s">
        <v>388</v>
      </c>
      <c r="C10" s="50" t="s">
        <v>389</v>
      </c>
    </row>
    <row r="11" spans="1:3" x14ac:dyDescent="0.3">
      <c r="A11" s="55">
        <v>8</v>
      </c>
      <c r="B11" s="49" t="s">
        <v>390</v>
      </c>
      <c r="C11" s="50" t="s">
        <v>391</v>
      </c>
    </row>
    <row r="12" spans="1:3" x14ac:dyDescent="0.3">
      <c r="A12" s="55">
        <v>9</v>
      </c>
      <c r="B12" s="49" t="s">
        <v>392</v>
      </c>
      <c r="C12" s="50" t="s">
        <v>393</v>
      </c>
    </row>
    <row r="13" spans="1:3" x14ac:dyDescent="0.3">
      <c r="A13" s="55">
        <v>10</v>
      </c>
      <c r="B13" s="49" t="s">
        <v>394</v>
      </c>
      <c r="C13" s="50" t="s">
        <v>395</v>
      </c>
    </row>
    <row r="14" spans="1:3" x14ac:dyDescent="0.3">
      <c r="A14" s="55">
        <v>11</v>
      </c>
      <c r="B14" s="49" t="s">
        <v>396</v>
      </c>
      <c r="C14" s="50" t="s">
        <v>397</v>
      </c>
    </row>
    <row r="15" spans="1:3" x14ac:dyDescent="0.3">
      <c r="A15" s="55">
        <v>12</v>
      </c>
      <c r="B15" s="49" t="s">
        <v>150</v>
      </c>
      <c r="C15" s="50" t="s">
        <v>398</v>
      </c>
    </row>
    <row r="16" spans="1:3" x14ac:dyDescent="0.3">
      <c r="A16" s="55">
        <v>13</v>
      </c>
      <c r="B16" s="49" t="s">
        <v>399</v>
      </c>
      <c r="C16" s="50" t="s">
        <v>400</v>
      </c>
    </row>
    <row r="17" spans="1:3" x14ac:dyDescent="0.3">
      <c r="A17" s="55">
        <v>14</v>
      </c>
      <c r="B17" s="49" t="s">
        <v>401</v>
      </c>
      <c r="C17" s="50" t="s">
        <v>402</v>
      </c>
    </row>
    <row r="18" spans="1:3" x14ac:dyDescent="0.3">
      <c r="A18" s="55">
        <v>15</v>
      </c>
      <c r="B18" s="49" t="s">
        <v>403</v>
      </c>
      <c r="C18" s="50" t="s">
        <v>404</v>
      </c>
    </row>
    <row r="19" spans="1:3" x14ac:dyDescent="0.3">
      <c r="A19" s="55">
        <v>16</v>
      </c>
      <c r="B19" s="49" t="s">
        <v>405</v>
      </c>
      <c r="C19" s="50" t="s">
        <v>406</v>
      </c>
    </row>
    <row r="20" spans="1:3" x14ac:dyDescent="0.3">
      <c r="A20" s="55"/>
    </row>
    <row r="21" spans="1:3" x14ac:dyDescent="0.3">
      <c r="A21" s="55"/>
    </row>
    <row r="22" spans="1:3" x14ac:dyDescent="0.3">
      <c r="A22" s="55"/>
    </row>
  </sheetData>
  <phoneticPr fontId="1" type="noConversion"/>
  <conditionalFormatting sqref="A1">
    <cfRule type="duplicateValues" dxfId="6" priority="1"/>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workbookViewId="0">
      <selection activeCell="C48" sqref="C48"/>
    </sheetView>
  </sheetViews>
  <sheetFormatPr defaultRowHeight="14" x14ac:dyDescent="0.3"/>
  <cols>
    <col min="1" max="1" width="15.5" style="65" customWidth="1"/>
    <col min="2" max="4" width="27.25" style="65" customWidth="1"/>
  </cols>
  <sheetData>
    <row r="1" spans="1:4" x14ac:dyDescent="0.3">
      <c r="A1" t="s">
        <v>407</v>
      </c>
    </row>
    <row r="2" spans="1:4" x14ac:dyDescent="0.3">
      <c r="A2" s="12" t="s">
        <v>226</v>
      </c>
      <c r="B2" s="12" t="s">
        <v>408</v>
      </c>
      <c r="C2" s="12" t="s">
        <v>409</v>
      </c>
      <c r="D2" s="12" t="s">
        <v>410</v>
      </c>
    </row>
    <row r="3" spans="1:4" x14ac:dyDescent="0.3">
      <c r="A3" s="15" t="s">
        <v>411</v>
      </c>
      <c r="B3" s="15" t="s">
        <v>412</v>
      </c>
      <c r="C3" s="15" t="s">
        <v>413</v>
      </c>
      <c r="D3" s="15" t="s">
        <v>414</v>
      </c>
    </row>
    <row r="4" spans="1:4" x14ac:dyDescent="0.3">
      <c r="A4" s="11" t="s">
        <v>256</v>
      </c>
      <c r="B4" s="11" t="s">
        <v>415</v>
      </c>
      <c r="C4" s="11" t="s">
        <v>415</v>
      </c>
      <c r="D4" s="11" t="s">
        <v>416</v>
      </c>
    </row>
    <row r="5" spans="1:4" x14ac:dyDescent="0.3">
      <c r="A5" s="11"/>
      <c r="B5" s="11" t="s">
        <v>415</v>
      </c>
      <c r="C5" s="11" t="s">
        <v>417</v>
      </c>
      <c r="D5" s="11" t="s">
        <v>416</v>
      </c>
    </row>
    <row r="6" spans="1:4" x14ac:dyDescent="0.3">
      <c r="A6" s="11" t="s">
        <v>253</v>
      </c>
      <c r="B6" s="11" t="s">
        <v>415</v>
      </c>
      <c r="C6" s="11" t="s">
        <v>418</v>
      </c>
      <c r="D6" s="11" t="s">
        <v>416</v>
      </c>
    </row>
    <row r="7" spans="1:4" x14ac:dyDescent="0.3">
      <c r="A7" s="11"/>
      <c r="B7" s="11" t="s">
        <v>415</v>
      </c>
      <c r="C7" s="11" t="s">
        <v>419</v>
      </c>
      <c r="D7" s="11" t="s">
        <v>416</v>
      </c>
    </row>
    <row r="8" spans="1:4" x14ac:dyDescent="0.3">
      <c r="A8" s="11" t="s">
        <v>248</v>
      </c>
      <c r="B8" s="11" t="s">
        <v>415</v>
      </c>
      <c r="C8" s="11" t="s">
        <v>420</v>
      </c>
      <c r="D8" s="11" t="s">
        <v>416</v>
      </c>
    </row>
    <row r="9" spans="1:4" x14ac:dyDescent="0.3">
      <c r="A9" s="11" t="s">
        <v>269</v>
      </c>
      <c r="B9" s="11" t="s">
        <v>417</v>
      </c>
      <c r="C9" s="11" t="s">
        <v>421</v>
      </c>
      <c r="D9" s="11" t="s">
        <v>416</v>
      </c>
    </row>
    <row r="10" spans="1:4" x14ac:dyDescent="0.3">
      <c r="A10" s="11"/>
      <c r="B10" s="11" t="s">
        <v>422</v>
      </c>
      <c r="C10" s="11" t="s">
        <v>421</v>
      </c>
      <c r="D10" s="11" t="s">
        <v>416</v>
      </c>
    </row>
    <row r="11" spans="1:4" x14ac:dyDescent="0.3">
      <c r="A11" s="11"/>
      <c r="B11" s="11" t="s">
        <v>423</v>
      </c>
      <c r="C11" s="11" t="s">
        <v>421</v>
      </c>
      <c r="D11" s="11" t="s">
        <v>416</v>
      </c>
    </row>
    <row r="12" spans="1:4" x14ac:dyDescent="0.3">
      <c r="A12" s="11"/>
      <c r="B12" s="11" t="s">
        <v>424</v>
      </c>
      <c r="C12" s="11" t="s">
        <v>421</v>
      </c>
      <c r="D12" s="11" t="s">
        <v>416</v>
      </c>
    </row>
    <row r="13" spans="1:4" x14ac:dyDescent="0.3">
      <c r="A13" s="11"/>
      <c r="B13" s="11" t="s">
        <v>425</v>
      </c>
      <c r="C13" s="11" t="s">
        <v>421</v>
      </c>
      <c r="D13" s="11" t="s">
        <v>416</v>
      </c>
    </row>
    <row r="14" spans="1:4" x14ac:dyDescent="0.3">
      <c r="A14" s="11"/>
      <c r="B14" s="11" t="s">
        <v>426</v>
      </c>
      <c r="C14" s="11" t="s">
        <v>421</v>
      </c>
      <c r="D14" s="11" t="s">
        <v>416</v>
      </c>
    </row>
    <row r="15" spans="1:4" x14ac:dyDescent="0.3">
      <c r="A15" s="11"/>
      <c r="B15" s="11" t="s">
        <v>427</v>
      </c>
      <c r="C15" s="11" t="s">
        <v>421</v>
      </c>
      <c r="D15" s="11" t="s">
        <v>416</v>
      </c>
    </row>
    <row r="16" spans="1:4" x14ac:dyDescent="0.3">
      <c r="A16" s="11"/>
      <c r="B16" s="11" t="s">
        <v>428</v>
      </c>
      <c r="C16" s="11" t="s">
        <v>421</v>
      </c>
      <c r="D16" s="11" t="s">
        <v>416</v>
      </c>
    </row>
    <row r="17" spans="1:4" x14ac:dyDescent="0.3">
      <c r="A17" s="11"/>
      <c r="B17" s="11" t="s">
        <v>429</v>
      </c>
      <c r="C17" s="11" t="s">
        <v>421</v>
      </c>
      <c r="D17" s="11" t="s">
        <v>416</v>
      </c>
    </row>
    <row r="18" spans="1:4" x14ac:dyDescent="0.3">
      <c r="A18" s="11"/>
      <c r="B18" s="11" t="s">
        <v>430</v>
      </c>
      <c r="C18" s="11" t="s">
        <v>421</v>
      </c>
      <c r="D18" s="11" t="s">
        <v>416</v>
      </c>
    </row>
    <row r="19" spans="1:4" x14ac:dyDescent="0.3">
      <c r="A19" s="11"/>
      <c r="B19" s="11" t="s">
        <v>431</v>
      </c>
      <c r="C19" s="11" t="s">
        <v>421</v>
      </c>
      <c r="D19" s="11" t="s">
        <v>416</v>
      </c>
    </row>
    <row r="20" spans="1:4" x14ac:dyDescent="0.3">
      <c r="A20" s="11"/>
      <c r="B20" s="11" t="s">
        <v>432</v>
      </c>
      <c r="C20" s="11" t="s">
        <v>421</v>
      </c>
      <c r="D20" s="11" t="s">
        <v>416</v>
      </c>
    </row>
    <row r="21" spans="1:4" x14ac:dyDescent="0.3">
      <c r="A21" s="11"/>
      <c r="B21" s="11" t="s">
        <v>433</v>
      </c>
      <c r="C21" s="11" t="s">
        <v>421</v>
      </c>
      <c r="D21" s="11" t="s">
        <v>416</v>
      </c>
    </row>
  </sheetData>
  <phoneticPr fontId="1"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
  <sheetViews>
    <sheetView workbookViewId="0">
      <selection activeCell="C47" sqref="C47"/>
    </sheetView>
  </sheetViews>
  <sheetFormatPr defaultColWidth="9" defaultRowHeight="14" x14ac:dyDescent="0.3"/>
  <cols>
    <col min="1" max="1" width="28.75" style="13" customWidth="1"/>
    <col min="2" max="2" width="28.58203125" style="13" customWidth="1"/>
    <col min="3" max="3" width="49.08203125" style="13" bestFit="1" customWidth="1"/>
    <col min="4" max="5" width="9" style="65" customWidth="1"/>
    <col min="6" max="16384" width="9" style="65"/>
  </cols>
  <sheetData>
    <row r="1" spans="1:3" x14ac:dyDescent="0.3">
      <c r="A1" s="14" t="s">
        <v>434</v>
      </c>
    </row>
    <row r="2" spans="1:3" x14ac:dyDescent="0.3">
      <c r="A2" s="12" t="s">
        <v>435</v>
      </c>
      <c r="B2" s="12" t="s">
        <v>100</v>
      </c>
      <c r="C2" s="12">
        <v>0</v>
      </c>
    </row>
    <row r="3" spans="1:3" x14ac:dyDescent="0.3">
      <c r="A3" s="11" t="s">
        <v>436</v>
      </c>
      <c r="B3" s="11" t="s">
        <v>437</v>
      </c>
      <c r="C3" s="11" t="s">
        <v>438</v>
      </c>
    </row>
    <row r="4" spans="1:3" x14ac:dyDescent="0.3">
      <c r="A4" s="11" t="s">
        <v>439</v>
      </c>
      <c r="B4" s="11" t="s">
        <v>440</v>
      </c>
      <c r="C4" s="11" t="s">
        <v>441</v>
      </c>
    </row>
  </sheetData>
  <phoneticPr fontId="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
  <sheetViews>
    <sheetView workbookViewId="0">
      <selection activeCell="C34" sqref="C34"/>
    </sheetView>
  </sheetViews>
  <sheetFormatPr defaultRowHeight="14" x14ac:dyDescent="0.3"/>
  <cols>
    <col min="1" max="1" width="17.83203125" style="65" customWidth="1"/>
    <col min="2" max="2" width="53.75" style="65" customWidth="1"/>
  </cols>
  <sheetData>
    <row r="1" spans="1:2" x14ac:dyDescent="0.3">
      <c r="A1" t="s">
        <v>442</v>
      </c>
    </row>
    <row r="2" spans="1:2" x14ac:dyDescent="0.3">
      <c r="A2" s="46" t="s">
        <v>443</v>
      </c>
      <c r="B2" s="46" t="s">
        <v>444</v>
      </c>
    </row>
    <row r="3" spans="1:2" x14ac:dyDescent="0.3">
      <c r="A3" s="46" t="s">
        <v>445</v>
      </c>
      <c r="B3" s="46" t="s">
        <v>446</v>
      </c>
    </row>
    <row r="4" spans="1:2" x14ac:dyDescent="0.3">
      <c r="A4" s="47">
        <v>1</v>
      </c>
      <c r="B4" s="47">
        <v>3</v>
      </c>
    </row>
    <row r="5" spans="1:2" x14ac:dyDescent="0.3">
      <c r="A5" s="47">
        <v>2</v>
      </c>
      <c r="B5" s="47">
        <v>3</v>
      </c>
    </row>
    <row r="6" spans="1:2" x14ac:dyDescent="0.3">
      <c r="A6" s="47">
        <v>3</v>
      </c>
      <c r="B6" s="47">
        <v>3</v>
      </c>
    </row>
    <row r="7" spans="1:2" x14ac:dyDescent="0.3">
      <c r="A7" s="47">
        <v>4</v>
      </c>
      <c r="B7" s="47">
        <v>3</v>
      </c>
    </row>
    <row r="8" spans="1:2" x14ac:dyDescent="0.3">
      <c r="A8" s="47">
        <v>5</v>
      </c>
      <c r="B8" s="47">
        <v>3</v>
      </c>
    </row>
  </sheetData>
  <phoneticPr fontId="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I30"/>
  <sheetViews>
    <sheetView topLeftCell="AE1" workbookViewId="0">
      <selection activeCell="AL16" sqref="AL16"/>
    </sheetView>
  </sheetViews>
  <sheetFormatPr defaultColWidth="8.6640625" defaultRowHeight="14" x14ac:dyDescent="0.3"/>
  <cols>
    <col min="1" max="1" width="8.6640625" style="70" customWidth="1"/>
    <col min="2" max="2" width="12.33203125" style="70" customWidth="1"/>
    <col min="3" max="5" width="8.6640625" style="70" customWidth="1"/>
    <col min="6" max="6" width="65.1640625" style="70" customWidth="1"/>
    <col min="7" max="24" width="8.6640625" style="70" customWidth="1"/>
    <col min="25" max="25" width="32.58203125" style="70" customWidth="1"/>
    <col min="26" max="27" width="8.6640625" style="70" customWidth="1"/>
    <col min="28" max="28" width="15.33203125" style="70" customWidth="1"/>
    <col min="29" max="29" width="13.83203125" style="70" customWidth="1"/>
    <col min="30" max="30" width="8.6640625" style="70" customWidth="1"/>
    <col min="31" max="31" width="15.33203125" style="70" customWidth="1"/>
    <col min="32" max="32" width="13.83203125" style="70" customWidth="1"/>
    <col min="33" max="33" width="8.6640625" style="70" customWidth="1"/>
    <col min="34" max="34" width="15.33203125" style="70" customWidth="1"/>
    <col min="35" max="35" width="13.83203125" style="70" customWidth="1"/>
    <col min="36" max="50" width="8.6640625" style="70" customWidth="1"/>
    <col min="51" max="16384" width="8.6640625" style="70"/>
  </cols>
  <sheetData>
    <row r="1" spans="1:55" s="64" customFormat="1" x14ac:dyDescent="0.3">
      <c r="A1" s="1" t="s">
        <v>447</v>
      </c>
      <c r="AB1" s="3"/>
    </row>
    <row r="2" spans="1:55" s="68" customFormat="1" ht="42" customHeight="1" x14ac:dyDescent="0.3">
      <c r="A2" s="68" t="s">
        <v>448</v>
      </c>
      <c r="B2" s="68" t="s">
        <v>449</v>
      </c>
      <c r="C2" s="68" t="s">
        <v>450</v>
      </c>
      <c r="D2" s="68" t="s">
        <v>451</v>
      </c>
      <c r="E2" s="68" t="s">
        <v>452</v>
      </c>
      <c r="F2" s="68" t="s">
        <v>453</v>
      </c>
      <c r="G2" s="68" t="s">
        <v>454</v>
      </c>
      <c r="H2" s="68" t="s">
        <v>455</v>
      </c>
      <c r="I2" s="68" t="s">
        <v>456</v>
      </c>
      <c r="J2" s="68" t="s">
        <v>457</v>
      </c>
      <c r="K2" s="68" t="s">
        <v>458</v>
      </c>
      <c r="L2" s="68" t="s">
        <v>459</v>
      </c>
      <c r="M2" s="68" t="s">
        <v>460</v>
      </c>
      <c r="N2" s="68" t="s">
        <v>461</v>
      </c>
      <c r="O2" s="68" t="s">
        <v>462</v>
      </c>
      <c r="P2" s="68" t="s">
        <v>463</v>
      </c>
      <c r="Q2" s="68" t="s">
        <v>464</v>
      </c>
      <c r="R2" s="68" t="s">
        <v>465</v>
      </c>
      <c r="S2" s="68" t="s">
        <v>466</v>
      </c>
      <c r="T2" s="68" t="s">
        <v>467</v>
      </c>
      <c r="U2" s="68" t="s">
        <v>468</v>
      </c>
      <c r="V2" s="68" t="s">
        <v>469</v>
      </c>
      <c r="W2" s="68" t="s">
        <v>470</v>
      </c>
      <c r="X2" s="68" t="s">
        <v>471</v>
      </c>
      <c r="Y2" s="68" t="s">
        <v>472</v>
      </c>
      <c r="Z2" s="68" t="s">
        <v>473</v>
      </c>
      <c r="AA2" s="68" t="s">
        <v>474</v>
      </c>
      <c r="AB2" s="68" t="s">
        <v>475</v>
      </c>
      <c r="AC2" s="68" t="s">
        <v>476</v>
      </c>
      <c r="AD2" s="68" t="s">
        <v>477</v>
      </c>
      <c r="AE2" s="68" t="s">
        <v>475</v>
      </c>
      <c r="AF2" s="68" t="s">
        <v>476</v>
      </c>
      <c r="AG2" s="68" t="s">
        <v>477</v>
      </c>
      <c r="AH2" s="68" t="s">
        <v>475</v>
      </c>
      <c r="AI2" s="68" t="s">
        <v>476</v>
      </c>
      <c r="AJ2" s="68" t="s">
        <v>477</v>
      </c>
      <c r="AK2" s="68" t="s">
        <v>478</v>
      </c>
      <c r="AL2" s="68" t="s">
        <v>478</v>
      </c>
      <c r="AM2" s="68" t="s">
        <v>478</v>
      </c>
      <c r="AN2" s="68" t="s">
        <v>479</v>
      </c>
      <c r="AO2" s="68" t="s">
        <v>479</v>
      </c>
      <c r="AP2" s="68" t="s">
        <v>479</v>
      </c>
    </row>
    <row r="3" spans="1:55" s="69" customFormat="1" ht="42" customHeight="1" x14ac:dyDescent="0.3">
      <c r="A3" s="69" t="s">
        <v>100</v>
      </c>
      <c r="B3" s="69" t="s">
        <v>101</v>
      </c>
      <c r="C3" s="69" t="s">
        <v>480</v>
      </c>
      <c r="D3" s="69" t="s">
        <v>481</v>
      </c>
      <c r="E3" s="69" t="s">
        <v>235</v>
      </c>
      <c r="F3" s="69" t="s">
        <v>23</v>
      </c>
      <c r="Y3" s="69" t="s">
        <v>482</v>
      </c>
      <c r="Z3" s="69" t="s">
        <v>483</v>
      </c>
      <c r="AA3" s="69" t="s">
        <v>484</v>
      </c>
      <c r="AB3" s="69" t="s">
        <v>485</v>
      </c>
      <c r="AC3" s="69" t="s">
        <v>486</v>
      </c>
      <c r="AD3" s="69" t="s">
        <v>487</v>
      </c>
      <c r="AE3" s="69" t="s">
        <v>488</v>
      </c>
      <c r="AF3" s="69" t="s">
        <v>489</v>
      </c>
      <c r="AG3" s="69" t="s">
        <v>490</v>
      </c>
      <c r="AH3" s="69" t="s">
        <v>491</v>
      </c>
      <c r="AI3" s="69" t="s">
        <v>492</v>
      </c>
      <c r="AJ3" s="69" t="s">
        <v>493</v>
      </c>
      <c r="AK3" s="69" t="s">
        <v>494</v>
      </c>
      <c r="AL3" s="69" t="s">
        <v>495</v>
      </c>
      <c r="AM3" s="69" t="s">
        <v>496</v>
      </c>
      <c r="AN3" s="69" t="s">
        <v>497</v>
      </c>
      <c r="AO3" s="69" t="s">
        <v>498</v>
      </c>
      <c r="AP3" s="69" t="s">
        <v>499</v>
      </c>
      <c r="AQ3" s="69" t="s">
        <v>500</v>
      </c>
      <c r="AR3" s="69" t="s">
        <v>501</v>
      </c>
      <c r="AS3" s="69" t="s">
        <v>502</v>
      </c>
      <c r="AT3" s="69" t="s">
        <v>503</v>
      </c>
      <c r="AU3" s="69" t="s">
        <v>504</v>
      </c>
      <c r="AV3" s="69" t="s">
        <v>505</v>
      </c>
    </row>
    <row r="4" spans="1:55" s="67" customFormat="1" ht="31" customHeight="1" x14ac:dyDescent="0.3">
      <c r="A4" s="67">
        <v>1001</v>
      </c>
      <c r="B4" s="67" t="s">
        <v>506</v>
      </c>
      <c r="C4" s="67" t="s">
        <v>507</v>
      </c>
      <c r="D4" s="67" t="s">
        <v>508</v>
      </c>
      <c r="E4" s="67" t="s">
        <v>247</v>
      </c>
      <c r="F4" s="67" t="s">
        <v>509</v>
      </c>
      <c r="G4" s="67">
        <v>14</v>
      </c>
      <c r="H4" s="67" t="s">
        <v>510</v>
      </c>
      <c r="I4" s="67">
        <v>200016</v>
      </c>
      <c r="J4" s="67" t="s">
        <v>511</v>
      </c>
      <c r="K4" s="67">
        <v>200063</v>
      </c>
      <c r="L4" s="67">
        <v>703002</v>
      </c>
      <c r="M4" s="67">
        <v>18</v>
      </c>
      <c r="N4" s="67" t="s">
        <v>512</v>
      </c>
      <c r="O4" s="67">
        <v>200065</v>
      </c>
      <c r="P4" s="67" t="s">
        <v>513</v>
      </c>
      <c r="Q4" s="67">
        <v>200008</v>
      </c>
      <c r="R4" s="67">
        <v>703105</v>
      </c>
      <c r="S4" s="67">
        <v>16</v>
      </c>
      <c r="T4" s="67" t="s">
        <v>514</v>
      </c>
      <c r="U4" s="67">
        <v>200064</v>
      </c>
      <c r="V4" s="67" t="s">
        <v>515</v>
      </c>
      <c r="W4" s="67">
        <v>200060</v>
      </c>
      <c r="X4" s="67">
        <v>703002</v>
      </c>
      <c r="Y4" s="67" t="str">
        <f t="shared" ref="Y4:Y30" si="0">B4</f>
        <v>TID_HeroFactionRecommend_1001_name_CN_Main</v>
      </c>
      <c r="Z4" s="67">
        <f t="shared" ref="Z4:Z30" si="1">IF(C4="大神",3,IF(C4="进阶",2,IF(C4="标准",1,0)))</f>
        <v>0</v>
      </c>
      <c r="AA4" s="67" t="s">
        <v>516</v>
      </c>
      <c r="AB4" s="67">
        <f t="shared" ref="AB4:AB30" si="2">G4</f>
        <v>14</v>
      </c>
      <c r="AC4" s="67" t="str">
        <f t="shared" ref="AC4:AC30" si="3">I4&amp;"|"&amp;K4</f>
        <v>200016|200063</v>
      </c>
      <c r="AD4" s="67">
        <f t="shared" ref="AD4:AD30" si="4">L4</f>
        <v>703002</v>
      </c>
      <c r="AE4" s="67">
        <f t="shared" ref="AE4:AE30" si="5">M4</f>
        <v>18</v>
      </c>
      <c r="AF4" s="67" t="str">
        <f t="shared" ref="AF4:AF30" si="6">O4&amp;"|"&amp;Q4</f>
        <v>200065|200008</v>
      </c>
      <c r="AG4" s="67">
        <f t="shared" ref="AG4:AG30" si="7">R4</f>
        <v>703105</v>
      </c>
      <c r="AH4" s="67">
        <f t="shared" ref="AH4:AH30" si="8">S4</f>
        <v>16</v>
      </c>
      <c r="AI4" s="67" t="str">
        <f t="shared" ref="AI4:AI30" si="9">U4&amp;"|"&amp;W4</f>
        <v>200064|200060</v>
      </c>
      <c r="AJ4" s="67">
        <f t="shared" ref="AJ4:AJ30" si="10">X4</f>
        <v>703002</v>
      </c>
      <c r="AK4" s="67" t="str">
        <f>IF($AX4=0,"",VLOOKUP(AX4,'#Sheet1'!$N$2:$O$192,2,0)&amp;"|"&amp;VLOOKUP(AY4,'#Sheet1'!$N$2:$O$192,2,0))</f>
        <v>200008|200015</v>
      </c>
      <c r="AL4" s="67" t="str">
        <f>IF($AX4=0,"",VLOOKUP(AZ4,'#Sheet1'!$N$2:$O$192,2,0)&amp;"|"&amp;VLOOKUP(BA4,'#Sheet1'!$N$2:$O$192,2,0))</f>
        <v>200060|200042</v>
      </c>
      <c r="AM4" s="67" t="str">
        <f>IF($AX4=0,"",VLOOKUP(BB4,'#Sheet1'!$N$2:$O$192,2,0)&amp;"|"&amp;VLOOKUP(BC4,'#Sheet1'!$N$2:$O$192,2,0))</f>
        <v>200021|200116</v>
      </c>
      <c r="AN4" s="67" t="str">
        <f>IF($BD4=0,"",VLOOKUP(BD4,'#Sheet1'!$N$2:$O$192,2,0)&amp;"|"&amp;VLOOKUP(BE4,'#Sheet1'!$N$2:$O$192,2,0))</f>
        <v/>
      </c>
      <c r="AO4" s="67" t="str">
        <f>IF($BD4=0,"",VLOOKUP(BF4,'#Sheet1'!$N$2:$O$192,2,0)&amp;"|"&amp;VLOOKUP(BG4,'#Sheet1'!$N$2:$O$192,2,0))</f>
        <v/>
      </c>
      <c r="AP4" s="67" t="str">
        <f>IF($BD4=0,"",VLOOKUP(BH4,'#Sheet1'!$N$2:$O$192,2,0)&amp;"|"&amp;VLOOKUP(BI4,'#Sheet1'!$N$2:$O$192,2,0))</f>
        <v/>
      </c>
      <c r="AX4" s="67" t="s">
        <v>513</v>
      </c>
      <c r="AY4" s="67" t="s">
        <v>517</v>
      </c>
      <c r="AZ4" s="67" t="s">
        <v>515</v>
      </c>
      <c r="BA4" s="67" t="s">
        <v>518</v>
      </c>
      <c r="BB4" s="67" t="s">
        <v>519</v>
      </c>
      <c r="BC4" s="67" t="s">
        <v>520</v>
      </c>
    </row>
    <row r="5" spans="1:55" s="67" customFormat="1" ht="31" customHeight="1" x14ac:dyDescent="0.3">
      <c r="A5" s="67">
        <v>1002</v>
      </c>
      <c r="B5" s="67" t="s">
        <v>521</v>
      </c>
      <c r="C5" s="67" t="s">
        <v>522</v>
      </c>
      <c r="D5" s="67" t="s">
        <v>508</v>
      </c>
      <c r="E5" s="67" t="s">
        <v>247</v>
      </c>
      <c r="F5" s="67" t="s">
        <v>523</v>
      </c>
      <c r="G5" s="67">
        <v>14</v>
      </c>
      <c r="H5" s="67" t="s">
        <v>510</v>
      </c>
      <c r="I5" s="67">
        <v>200016</v>
      </c>
      <c r="J5" s="67" t="s">
        <v>511</v>
      </c>
      <c r="K5" s="67">
        <v>200063</v>
      </c>
      <c r="L5" s="67">
        <v>703002</v>
      </c>
      <c r="M5" s="67">
        <v>4</v>
      </c>
      <c r="N5" s="67" t="s">
        <v>524</v>
      </c>
      <c r="O5" s="67">
        <v>200020</v>
      </c>
      <c r="P5" s="67" t="s">
        <v>525</v>
      </c>
      <c r="Q5" s="67">
        <v>200074</v>
      </c>
      <c r="R5" s="67">
        <v>701005</v>
      </c>
      <c r="S5" s="67">
        <v>16</v>
      </c>
      <c r="T5" s="67" t="s">
        <v>513</v>
      </c>
      <c r="U5" s="67">
        <v>200008</v>
      </c>
      <c r="V5" s="67" t="s">
        <v>512</v>
      </c>
      <c r="W5" s="67">
        <v>200065</v>
      </c>
      <c r="X5" s="67">
        <v>703002</v>
      </c>
      <c r="Y5" s="67" t="str">
        <f t="shared" si="0"/>
        <v>TID_HeroFactionRecommend_1002_name_CN_Main</v>
      </c>
      <c r="Z5" s="67">
        <f t="shared" si="1"/>
        <v>0</v>
      </c>
      <c r="AA5" s="67" t="s">
        <v>516</v>
      </c>
      <c r="AB5" s="67">
        <f t="shared" si="2"/>
        <v>14</v>
      </c>
      <c r="AC5" s="67" t="str">
        <f t="shared" si="3"/>
        <v>200016|200063</v>
      </c>
      <c r="AD5" s="67">
        <f t="shared" si="4"/>
        <v>703002</v>
      </c>
      <c r="AE5" s="67">
        <f t="shared" si="5"/>
        <v>4</v>
      </c>
      <c r="AF5" s="67" t="str">
        <f t="shared" si="6"/>
        <v>200020|200074</v>
      </c>
      <c r="AG5" s="67">
        <f t="shared" si="7"/>
        <v>701005</v>
      </c>
      <c r="AH5" s="67">
        <f t="shared" si="8"/>
        <v>16</v>
      </c>
      <c r="AI5" s="67" t="str">
        <f t="shared" si="9"/>
        <v>200008|200065</v>
      </c>
      <c r="AJ5" s="67">
        <f t="shared" si="10"/>
        <v>703002</v>
      </c>
      <c r="AK5" s="67" t="str">
        <f>IF($AX5=0,"",VLOOKUP(AX5,'#Sheet1'!$N$2:$O$192,2,0)&amp;"|"&amp;VLOOKUP(AY5,'#Sheet1'!$N$2:$O$192,2,0))</f>
        <v>200008|200015</v>
      </c>
      <c r="AL5" s="67" t="str">
        <f>IF($AX5=0,"",VLOOKUP(AZ5,'#Sheet1'!$N$2:$O$192,2,0)&amp;"|"&amp;VLOOKUP(BA5,'#Sheet1'!$N$2:$O$192,2,0))</f>
        <v>200020|200115</v>
      </c>
      <c r="AM5" s="67" t="str">
        <f>IF($AX5=0,"",VLOOKUP(BB5,'#Sheet1'!$N$2:$O$192,2,0)&amp;"|"&amp;VLOOKUP(BC5,'#Sheet1'!$N$2:$O$192,2,0))</f>
        <v>200116|200060</v>
      </c>
      <c r="AN5" s="67" t="str">
        <f>IF($BD5=0,"",VLOOKUP(BD5,'#Sheet1'!$N$2:$O$192,2,0)&amp;"|"&amp;VLOOKUP(BE5,'#Sheet1'!$N$2:$O$192,2,0))</f>
        <v/>
      </c>
      <c r="AO5" s="67" t="str">
        <f>IF($BD5=0,"",VLOOKUP(BF5,'#Sheet1'!$N$2:$O$192,2,0)&amp;"|"&amp;VLOOKUP(BG5,'#Sheet1'!$N$2:$O$192,2,0))</f>
        <v/>
      </c>
      <c r="AP5" s="67" t="str">
        <f>IF($BD5=0,"",VLOOKUP(BH5,'#Sheet1'!$N$2:$O$192,2,0)&amp;"|"&amp;VLOOKUP(BI5,'#Sheet1'!$N$2:$O$192,2,0))</f>
        <v/>
      </c>
      <c r="AX5" s="67" t="s">
        <v>513</v>
      </c>
      <c r="AY5" s="67" t="s">
        <v>517</v>
      </c>
      <c r="AZ5" s="67" t="s">
        <v>524</v>
      </c>
      <c r="BA5" s="67" t="s">
        <v>526</v>
      </c>
      <c r="BB5" s="67" t="s">
        <v>520</v>
      </c>
      <c r="BC5" s="67" t="s">
        <v>515</v>
      </c>
    </row>
    <row r="6" spans="1:55" s="67" customFormat="1" ht="31" customHeight="1" x14ac:dyDescent="0.3">
      <c r="A6" s="67">
        <v>1003</v>
      </c>
      <c r="B6" s="67" t="s">
        <v>527</v>
      </c>
      <c r="C6" s="67" t="s">
        <v>528</v>
      </c>
      <c r="D6" s="67" t="s">
        <v>508</v>
      </c>
      <c r="E6" s="67" t="s">
        <v>247</v>
      </c>
      <c r="F6" s="67" t="s">
        <v>529</v>
      </c>
      <c r="G6" s="67">
        <v>16</v>
      </c>
      <c r="H6" s="67" t="s">
        <v>515</v>
      </c>
      <c r="I6" s="67">
        <v>200060</v>
      </c>
      <c r="J6" s="67" t="s">
        <v>530</v>
      </c>
      <c r="K6" s="67">
        <v>200047</v>
      </c>
      <c r="L6" s="67">
        <v>703002</v>
      </c>
      <c r="M6" s="67">
        <v>4</v>
      </c>
      <c r="N6" s="67" t="s">
        <v>524</v>
      </c>
      <c r="O6" s="67">
        <v>200020</v>
      </c>
      <c r="P6" s="67" t="s">
        <v>525</v>
      </c>
      <c r="Q6" s="67">
        <v>200074</v>
      </c>
      <c r="R6" s="67">
        <v>701005</v>
      </c>
      <c r="S6" s="67">
        <v>205</v>
      </c>
      <c r="T6" s="67" t="s">
        <v>531</v>
      </c>
      <c r="U6" s="67">
        <v>200070</v>
      </c>
      <c r="V6" s="67" t="s">
        <v>532</v>
      </c>
      <c r="W6" s="67">
        <v>200011</v>
      </c>
      <c r="X6" s="67">
        <v>703002</v>
      </c>
      <c r="Y6" s="67" t="str">
        <f t="shared" si="0"/>
        <v>TID_HeroFactionRecommend_1003_name_CN_Main</v>
      </c>
      <c r="Z6" s="67">
        <f t="shared" si="1"/>
        <v>0</v>
      </c>
      <c r="AA6" s="67" t="s">
        <v>516</v>
      </c>
      <c r="AB6" s="67">
        <f t="shared" si="2"/>
        <v>16</v>
      </c>
      <c r="AC6" s="67" t="str">
        <f t="shared" si="3"/>
        <v>200060|200047</v>
      </c>
      <c r="AD6" s="67">
        <f t="shared" si="4"/>
        <v>703002</v>
      </c>
      <c r="AE6" s="67">
        <f t="shared" si="5"/>
        <v>4</v>
      </c>
      <c r="AF6" s="67" t="str">
        <f t="shared" si="6"/>
        <v>200020|200074</v>
      </c>
      <c r="AG6" s="67">
        <f t="shared" si="7"/>
        <v>701005</v>
      </c>
      <c r="AH6" s="67">
        <f t="shared" si="8"/>
        <v>205</v>
      </c>
      <c r="AI6" s="67" t="str">
        <f t="shared" si="9"/>
        <v>200070|200011</v>
      </c>
      <c r="AJ6" s="67">
        <f t="shared" si="10"/>
        <v>703002</v>
      </c>
      <c r="AK6" s="67" t="str">
        <f>IF($AX6=0,"",VLOOKUP(AX6,'#Sheet1'!$N$2:$O$192,2,0)&amp;"|"&amp;VLOOKUP(AY6,'#Sheet1'!$N$2:$O$192,2,0))</f>
        <v>200116|200001</v>
      </c>
      <c r="AL6" s="67" t="str">
        <f>IF($AX6=0,"",VLOOKUP(AZ6,'#Sheet1'!$N$2:$O$192,2,0)&amp;"|"&amp;VLOOKUP(BA6,'#Sheet1'!$N$2:$O$192,2,0))</f>
        <v>200020|200115</v>
      </c>
      <c r="AM6" s="67" t="str">
        <f>IF($AX6=0,"",VLOOKUP(BB6,'#Sheet1'!$N$2:$O$192,2,0)&amp;"|"&amp;VLOOKUP(BC6,'#Sheet1'!$N$2:$O$192,2,0))</f>
        <v>200070|200021</v>
      </c>
      <c r="AN6" s="67" t="str">
        <f>IF($BD6=0,"",VLOOKUP(BD6,'#Sheet1'!$N$2:$O$192,2,0)&amp;"|"&amp;VLOOKUP(BE6,'#Sheet1'!$N$2:$O$192,2,0))</f>
        <v/>
      </c>
      <c r="AO6" s="67" t="str">
        <f>IF($BD6=0,"",VLOOKUP(BF6,'#Sheet1'!$N$2:$O$192,2,0)&amp;"|"&amp;VLOOKUP(BG6,'#Sheet1'!$N$2:$O$192,2,0))</f>
        <v/>
      </c>
      <c r="AP6" s="67" t="str">
        <f>IF($BD6=0,"",VLOOKUP(BH6,'#Sheet1'!$N$2:$O$192,2,0)&amp;"|"&amp;VLOOKUP(BI6,'#Sheet1'!$N$2:$O$192,2,0))</f>
        <v/>
      </c>
      <c r="AX6" s="67" t="s">
        <v>520</v>
      </c>
      <c r="AY6" s="67" t="s">
        <v>533</v>
      </c>
      <c r="AZ6" s="67" t="s">
        <v>524</v>
      </c>
      <c r="BA6" s="67" t="s">
        <v>526</v>
      </c>
      <c r="BB6" s="67" t="s">
        <v>531</v>
      </c>
      <c r="BC6" s="67" t="s">
        <v>519</v>
      </c>
    </row>
    <row r="7" spans="1:55" s="71" customFormat="1" ht="31" customHeight="1" x14ac:dyDescent="0.3">
      <c r="A7" s="71">
        <v>2001</v>
      </c>
      <c r="B7" s="71" t="s">
        <v>534</v>
      </c>
      <c r="C7" s="71" t="s">
        <v>507</v>
      </c>
      <c r="D7" s="71" t="s">
        <v>508</v>
      </c>
      <c r="E7" s="71" t="s">
        <v>286</v>
      </c>
      <c r="F7" s="71" t="s">
        <v>535</v>
      </c>
      <c r="G7" s="71">
        <v>33</v>
      </c>
      <c r="H7" s="71" t="s">
        <v>510</v>
      </c>
      <c r="I7" s="71">
        <v>200016</v>
      </c>
      <c r="J7" s="71" t="s">
        <v>511</v>
      </c>
      <c r="K7" s="71">
        <v>200063</v>
      </c>
      <c r="L7" s="71">
        <v>704002</v>
      </c>
      <c r="M7" s="71">
        <v>18</v>
      </c>
      <c r="N7" s="71" t="s">
        <v>512</v>
      </c>
      <c r="O7" s="71">
        <v>200065</v>
      </c>
      <c r="P7" s="71" t="s">
        <v>514</v>
      </c>
      <c r="Q7" s="71">
        <v>200064</v>
      </c>
      <c r="R7" s="71">
        <v>704105</v>
      </c>
      <c r="S7" s="71">
        <v>24</v>
      </c>
      <c r="T7" s="71" t="s">
        <v>530</v>
      </c>
      <c r="U7" s="71">
        <v>200047</v>
      </c>
      <c r="V7" s="71" t="s">
        <v>536</v>
      </c>
      <c r="W7" s="71">
        <v>200073</v>
      </c>
      <c r="X7" s="71">
        <v>704103</v>
      </c>
      <c r="Y7" s="71" t="str">
        <f t="shared" si="0"/>
        <v>TID_HeroFactionRecommend_2001_name_CN_Main</v>
      </c>
      <c r="Z7" s="71">
        <f t="shared" si="1"/>
        <v>0</v>
      </c>
      <c r="AA7" s="71" t="s">
        <v>516</v>
      </c>
      <c r="AB7" s="71">
        <f t="shared" si="2"/>
        <v>33</v>
      </c>
      <c r="AC7" s="71" t="str">
        <f t="shared" si="3"/>
        <v>200016|200063</v>
      </c>
      <c r="AD7" s="71">
        <f t="shared" si="4"/>
        <v>704002</v>
      </c>
      <c r="AE7" s="71">
        <f t="shared" si="5"/>
        <v>18</v>
      </c>
      <c r="AF7" s="71" t="str">
        <f t="shared" si="6"/>
        <v>200065|200064</v>
      </c>
      <c r="AG7" s="71">
        <f t="shared" si="7"/>
        <v>704105</v>
      </c>
      <c r="AH7" s="71">
        <f t="shared" si="8"/>
        <v>24</v>
      </c>
      <c r="AI7" s="71" t="str">
        <f t="shared" si="9"/>
        <v>200047|200073</v>
      </c>
      <c r="AJ7" s="71">
        <f t="shared" si="10"/>
        <v>704103</v>
      </c>
      <c r="AK7" s="71" t="str">
        <f>IF($AX7=0,"",VLOOKUP(AX7,'#Sheet1'!$N$2:$O$192,2,0)&amp;"|"&amp;VLOOKUP(AY7,'#Sheet1'!$N$2:$O$192,2,0))</f>
        <v>200015|200063</v>
      </c>
      <c r="AL7" s="71" t="str">
        <f>IF($AX7=0,"",VLOOKUP(AZ7,'#Sheet1'!$N$2:$O$192,2,0)&amp;"|"&amp;VLOOKUP(BA7,'#Sheet1'!$N$2:$O$192,2,0))</f>
        <v>200060|200042</v>
      </c>
      <c r="AM7" s="71" t="str">
        <f>IF($AX7=0,"",VLOOKUP(BB7,'#Sheet1'!$N$2:$O$192,2,0)&amp;"|"&amp;VLOOKUP(BC7,'#Sheet1'!$N$2:$O$192,2,0))</f>
        <v>200021|200116</v>
      </c>
      <c r="AN7" s="71" t="str">
        <f>IF($BD7=0,"",VLOOKUP(BD7,'#Sheet1'!$N$2:$O$192,2,0)&amp;"|"&amp;VLOOKUP(BE7,'#Sheet1'!$N$2:$O$192,2,0))</f>
        <v/>
      </c>
      <c r="AO7" s="71" t="str">
        <f>IF($BD7=0,"",VLOOKUP(BF7,'#Sheet1'!$N$2:$O$192,2,0)&amp;"|"&amp;VLOOKUP(BG7,'#Sheet1'!$N$2:$O$192,2,0))</f>
        <v/>
      </c>
      <c r="AP7" s="71" t="str">
        <f>IF($BD7=0,"",VLOOKUP(BH7,'#Sheet1'!$N$2:$O$192,2,0)&amp;"|"&amp;VLOOKUP(BI7,'#Sheet1'!$N$2:$O$192,2,0))</f>
        <v/>
      </c>
      <c r="AX7" s="71" t="s">
        <v>517</v>
      </c>
      <c r="AY7" s="71" t="s">
        <v>511</v>
      </c>
      <c r="AZ7" s="71" t="s">
        <v>515</v>
      </c>
      <c r="BA7" s="71" t="s">
        <v>518</v>
      </c>
      <c r="BB7" s="71" t="s">
        <v>519</v>
      </c>
      <c r="BC7" s="71" t="s">
        <v>520</v>
      </c>
    </row>
    <row r="8" spans="1:55" s="71" customFormat="1" ht="31" customHeight="1" x14ac:dyDescent="0.3">
      <c r="A8" s="71">
        <v>2002</v>
      </c>
      <c r="B8" s="71" t="s">
        <v>537</v>
      </c>
      <c r="C8" s="71" t="s">
        <v>522</v>
      </c>
      <c r="D8" s="71" t="s">
        <v>508</v>
      </c>
      <c r="E8" s="71" t="s">
        <v>286</v>
      </c>
      <c r="F8" s="71" t="s">
        <v>538</v>
      </c>
      <c r="G8" s="71">
        <v>33</v>
      </c>
      <c r="H8" s="71" t="s">
        <v>510</v>
      </c>
      <c r="I8" s="71">
        <v>200016</v>
      </c>
      <c r="J8" s="71" t="s">
        <v>511</v>
      </c>
      <c r="K8" s="71">
        <v>200063</v>
      </c>
      <c r="L8" s="71">
        <v>704002</v>
      </c>
      <c r="M8" s="71">
        <v>20</v>
      </c>
      <c r="N8" s="71" t="s">
        <v>530</v>
      </c>
      <c r="O8" s="71">
        <v>200047</v>
      </c>
      <c r="P8" s="71" t="s">
        <v>539</v>
      </c>
      <c r="Q8" s="71">
        <v>200001</v>
      </c>
      <c r="R8" s="71">
        <v>704105</v>
      </c>
      <c r="S8" s="71">
        <v>24</v>
      </c>
      <c r="T8" s="71" t="s">
        <v>513</v>
      </c>
      <c r="U8" s="71">
        <v>200008</v>
      </c>
      <c r="V8" s="71" t="s">
        <v>515</v>
      </c>
      <c r="W8" s="71">
        <v>200060</v>
      </c>
      <c r="X8" s="71">
        <v>704103</v>
      </c>
      <c r="Y8" s="71" t="str">
        <f t="shared" si="0"/>
        <v>TID_HeroFactionRecommend_2002_name_CN_Main</v>
      </c>
      <c r="Z8" s="71">
        <f t="shared" si="1"/>
        <v>0</v>
      </c>
      <c r="AA8" s="71" t="s">
        <v>516</v>
      </c>
      <c r="AB8" s="71">
        <f t="shared" si="2"/>
        <v>33</v>
      </c>
      <c r="AC8" s="71" t="str">
        <f t="shared" si="3"/>
        <v>200016|200063</v>
      </c>
      <c r="AD8" s="71">
        <f t="shared" si="4"/>
        <v>704002</v>
      </c>
      <c r="AE8" s="71">
        <f t="shared" si="5"/>
        <v>20</v>
      </c>
      <c r="AF8" s="71" t="str">
        <f t="shared" si="6"/>
        <v>200047|200001</v>
      </c>
      <c r="AG8" s="71">
        <f t="shared" si="7"/>
        <v>704105</v>
      </c>
      <c r="AH8" s="71">
        <f t="shared" si="8"/>
        <v>24</v>
      </c>
      <c r="AI8" s="71" t="str">
        <f t="shared" si="9"/>
        <v>200008|200060</v>
      </c>
      <c r="AJ8" s="71">
        <f t="shared" si="10"/>
        <v>704103</v>
      </c>
      <c r="AK8" s="71" t="str">
        <f>IF($AX8=0,"",VLOOKUP(AX8,'#Sheet1'!$N$2:$O$192,2,0)&amp;"|"&amp;VLOOKUP(AY8,'#Sheet1'!$N$2:$O$192,2,0))</f>
        <v>200116|200047</v>
      </c>
      <c r="AL8" s="71" t="str">
        <f>IF($AX8=0,"",VLOOKUP(AZ8,'#Sheet1'!$N$2:$O$192,2,0)&amp;"|"&amp;VLOOKUP(BA8,'#Sheet1'!$N$2:$O$192,2,0))</f>
        <v>200011|200021</v>
      </c>
      <c r="AM8" s="71" t="str">
        <f>IF($AX8=0,"",VLOOKUP(BB8,'#Sheet1'!$N$2:$O$192,2,0)&amp;"|"&amp;VLOOKUP(BC8,'#Sheet1'!$N$2:$O$192,2,0))</f>
        <v>200015|200060</v>
      </c>
      <c r="AN8" s="71" t="str">
        <f>IF($BD8=0,"",VLOOKUP(BD8,'#Sheet1'!$N$2:$O$192,2,0)&amp;"|"&amp;VLOOKUP(BE8,'#Sheet1'!$N$2:$O$192,2,0))</f>
        <v/>
      </c>
      <c r="AO8" s="71" t="str">
        <f>IF($BD8=0,"",VLOOKUP(BF8,'#Sheet1'!$N$2:$O$192,2,0)&amp;"|"&amp;VLOOKUP(BG8,'#Sheet1'!$N$2:$O$192,2,0))</f>
        <v/>
      </c>
      <c r="AP8" s="71" t="str">
        <f>IF($BD8=0,"",VLOOKUP(BH8,'#Sheet1'!$N$2:$O$192,2,0)&amp;"|"&amp;VLOOKUP(BI8,'#Sheet1'!$N$2:$O$192,2,0))</f>
        <v/>
      </c>
      <c r="AX8" s="71" t="s">
        <v>520</v>
      </c>
      <c r="AY8" s="71" t="s">
        <v>530</v>
      </c>
      <c r="AZ8" s="71" t="s">
        <v>532</v>
      </c>
      <c r="BA8" s="71" t="s">
        <v>519</v>
      </c>
      <c r="BB8" s="71" t="s">
        <v>517</v>
      </c>
      <c r="BC8" s="71" t="s">
        <v>515</v>
      </c>
    </row>
    <row r="9" spans="1:55" s="71" customFormat="1" ht="31" customHeight="1" x14ac:dyDescent="0.3">
      <c r="A9" s="71">
        <v>2003</v>
      </c>
      <c r="B9" s="71" t="s">
        <v>540</v>
      </c>
      <c r="C9" s="71" t="s">
        <v>528</v>
      </c>
      <c r="D9" s="71" t="s">
        <v>508</v>
      </c>
      <c r="E9" s="71" t="s">
        <v>286</v>
      </c>
      <c r="F9" s="71" t="s">
        <v>541</v>
      </c>
      <c r="G9" s="71">
        <v>20</v>
      </c>
      <c r="H9" s="71" t="s">
        <v>515</v>
      </c>
      <c r="I9" s="71">
        <v>200060</v>
      </c>
      <c r="J9" s="71" t="s">
        <v>530</v>
      </c>
      <c r="K9" s="71">
        <v>200047</v>
      </c>
      <c r="L9" s="71">
        <v>704002</v>
      </c>
      <c r="M9" s="71">
        <v>4</v>
      </c>
      <c r="N9" s="71" t="s">
        <v>524</v>
      </c>
      <c r="O9" s="71">
        <v>200020</v>
      </c>
      <c r="P9" s="71" t="s">
        <v>542</v>
      </c>
      <c r="Q9" s="71">
        <v>200014</v>
      </c>
      <c r="R9" s="71">
        <v>704105</v>
      </c>
      <c r="S9" s="71">
        <v>212</v>
      </c>
      <c r="T9" s="71" t="s">
        <v>531</v>
      </c>
      <c r="U9" s="71">
        <v>200070</v>
      </c>
      <c r="V9" s="71" t="s">
        <v>532</v>
      </c>
      <c r="W9" s="71">
        <v>200011</v>
      </c>
      <c r="X9" s="71">
        <v>700201</v>
      </c>
      <c r="Y9" s="71" t="str">
        <f t="shared" si="0"/>
        <v>TID_HeroFactionRecommend_2003_name_CN_Main</v>
      </c>
      <c r="Z9" s="71">
        <f t="shared" si="1"/>
        <v>0</v>
      </c>
      <c r="AA9" s="71" t="s">
        <v>516</v>
      </c>
      <c r="AB9" s="71">
        <f t="shared" si="2"/>
        <v>20</v>
      </c>
      <c r="AC9" s="71" t="str">
        <f t="shared" si="3"/>
        <v>200060|200047</v>
      </c>
      <c r="AD9" s="71">
        <f t="shared" si="4"/>
        <v>704002</v>
      </c>
      <c r="AE9" s="71">
        <f t="shared" si="5"/>
        <v>4</v>
      </c>
      <c r="AF9" s="71" t="str">
        <f t="shared" si="6"/>
        <v>200020|200014</v>
      </c>
      <c r="AG9" s="71">
        <f t="shared" si="7"/>
        <v>704105</v>
      </c>
      <c r="AH9" s="71">
        <f t="shared" si="8"/>
        <v>212</v>
      </c>
      <c r="AI9" s="71" t="str">
        <f t="shared" si="9"/>
        <v>200070|200011</v>
      </c>
      <c r="AJ9" s="71">
        <f t="shared" si="10"/>
        <v>700201</v>
      </c>
      <c r="AK9" s="71" t="str">
        <f>IF($AX9=0,"",VLOOKUP(AX9,'#Sheet1'!$N$2:$O$192,2,0)&amp;"|"&amp;VLOOKUP(AY9,'#Sheet1'!$N$2:$O$192,2,0))</f>
        <v>200015|200001</v>
      </c>
      <c r="AL9" s="71" t="str">
        <f>IF($AX9=0,"",VLOOKUP(AZ9,'#Sheet1'!$N$2:$O$192,2,0)&amp;"|"&amp;VLOOKUP(BA9,'#Sheet1'!$N$2:$O$192,2,0))</f>
        <v>200020|200115</v>
      </c>
      <c r="AM9" s="71" t="str">
        <f>IF($AX9=0,"",VLOOKUP(BB9,'#Sheet1'!$N$2:$O$192,2,0)&amp;"|"&amp;VLOOKUP(BC9,'#Sheet1'!$N$2:$O$192,2,0))</f>
        <v>200025|200021</v>
      </c>
      <c r="AN9" s="71" t="str">
        <f>IF($BD9=0,"",VLOOKUP(BD9,'#Sheet1'!$N$2:$O$192,2,0)&amp;"|"&amp;VLOOKUP(BE9,'#Sheet1'!$N$2:$O$192,2,0))</f>
        <v/>
      </c>
      <c r="AO9" s="71" t="str">
        <f>IF($BD9=0,"",VLOOKUP(BF9,'#Sheet1'!$N$2:$O$192,2,0)&amp;"|"&amp;VLOOKUP(BG9,'#Sheet1'!$N$2:$O$192,2,0))</f>
        <v/>
      </c>
      <c r="AP9" s="71" t="str">
        <f>IF($BD9=0,"",VLOOKUP(BH9,'#Sheet1'!$N$2:$O$192,2,0)&amp;"|"&amp;VLOOKUP(BI9,'#Sheet1'!$N$2:$O$192,2,0))</f>
        <v/>
      </c>
      <c r="AX9" s="71" t="s">
        <v>517</v>
      </c>
      <c r="AY9" s="71" t="s">
        <v>533</v>
      </c>
      <c r="AZ9" s="71" t="s">
        <v>524</v>
      </c>
      <c r="BA9" s="71" t="s">
        <v>526</v>
      </c>
      <c r="BB9" s="71" t="s">
        <v>543</v>
      </c>
      <c r="BC9" s="71" t="s">
        <v>519</v>
      </c>
    </row>
    <row r="10" spans="1:55" s="67" customFormat="1" ht="31" customHeight="1" x14ac:dyDescent="0.3">
      <c r="A10" s="67">
        <v>3001</v>
      </c>
      <c r="B10" s="67" t="s">
        <v>544</v>
      </c>
      <c r="C10" s="67" t="s">
        <v>545</v>
      </c>
      <c r="D10" s="67" t="s">
        <v>546</v>
      </c>
      <c r="E10" s="67" t="s">
        <v>547</v>
      </c>
      <c r="F10" s="67" t="s">
        <v>548</v>
      </c>
      <c r="G10" s="67">
        <v>13</v>
      </c>
      <c r="H10" s="67" t="s">
        <v>549</v>
      </c>
      <c r="I10" s="67">
        <v>200080</v>
      </c>
      <c r="J10" s="67" t="s">
        <v>550</v>
      </c>
      <c r="K10" s="67">
        <v>200005</v>
      </c>
      <c r="L10" s="67">
        <v>702003</v>
      </c>
      <c r="M10" s="67">
        <v>34</v>
      </c>
      <c r="N10" s="67" t="s">
        <v>551</v>
      </c>
      <c r="O10" s="67">
        <v>200068</v>
      </c>
      <c r="P10" s="67" t="s">
        <v>552</v>
      </c>
      <c r="Q10" s="67">
        <v>200012</v>
      </c>
      <c r="R10" s="67">
        <v>702003</v>
      </c>
      <c r="S10" s="67">
        <v>22</v>
      </c>
      <c r="T10" s="67" t="s">
        <v>553</v>
      </c>
      <c r="U10" s="67">
        <v>200013</v>
      </c>
      <c r="V10" s="67" t="s">
        <v>554</v>
      </c>
      <c r="W10" s="67">
        <v>200010</v>
      </c>
      <c r="X10" s="67">
        <v>702104</v>
      </c>
      <c r="Y10" s="67" t="str">
        <f t="shared" si="0"/>
        <v>TID_HeroFactionRecommend_3001_name_CN_Main</v>
      </c>
      <c r="Z10" s="67">
        <f t="shared" si="1"/>
        <v>0</v>
      </c>
      <c r="AA10" s="67" t="s">
        <v>516</v>
      </c>
      <c r="AB10" s="67">
        <f t="shared" si="2"/>
        <v>13</v>
      </c>
      <c r="AC10" s="67" t="str">
        <f t="shared" si="3"/>
        <v>200080|200005</v>
      </c>
      <c r="AD10" s="67">
        <f t="shared" si="4"/>
        <v>702003</v>
      </c>
      <c r="AE10" s="67">
        <f t="shared" si="5"/>
        <v>34</v>
      </c>
      <c r="AF10" s="67" t="str">
        <f t="shared" si="6"/>
        <v>200068|200012</v>
      </c>
      <c r="AG10" s="67">
        <f t="shared" si="7"/>
        <v>702003</v>
      </c>
      <c r="AH10" s="67">
        <f t="shared" si="8"/>
        <v>22</v>
      </c>
      <c r="AI10" s="67" t="str">
        <f t="shared" si="9"/>
        <v>200013|200010</v>
      </c>
      <c r="AJ10" s="67">
        <f t="shared" si="10"/>
        <v>702104</v>
      </c>
      <c r="AK10" s="67" t="str">
        <f>IF($AX10=0,"",VLOOKUP(AX10,'#Sheet1'!$N$2:$O$192,2,0)&amp;"|"&amp;VLOOKUP(AY10,'#Sheet1'!$N$2:$O$192,2,0))</f>
        <v>200061|200037</v>
      </c>
      <c r="AL10" s="67" t="str">
        <f>IF($AX10=0,"",VLOOKUP(AZ10,'#Sheet1'!$N$2:$O$192,2,0)&amp;"|"&amp;VLOOKUP(BA10,'#Sheet1'!$N$2:$O$192,2,0))</f>
        <v>200069|200122</v>
      </c>
      <c r="AM10" s="67" t="str">
        <f>IF($AX10=0,"",VLOOKUP(BB10,'#Sheet1'!$N$2:$O$192,2,0)&amp;"|"&amp;VLOOKUP(BC10,'#Sheet1'!$N$2:$O$192,2,0))</f>
        <v>200042|200121</v>
      </c>
      <c r="AN10" s="67" t="str">
        <f>IF($BD10=0,"",VLOOKUP(BD10,'#Sheet1'!$N$2:$O$192,2,0)&amp;"|"&amp;VLOOKUP(BE10,'#Sheet1'!$N$2:$O$192,2,0))</f>
        <v/>
      </c>
      <c r="AO10" s="67" t="str">
        <f>IF($BD10=0,"",VLOOKUP(BF10,'#Sheet1'!$N$2:$O$192,2,0)&amp;"|"&amp;VLOOKUP(BG10,'#Sheet1'!$N$2:$O$192,2,0))</f>
        <v/>
      </c>
      <c r="AP10" s="67" t="str">
        <f>IF($BD10=0,"",VLOOKUP(BH10,'#Sheet1'!$N$2:$O$192,2,0)&amp;"|"&amp;VLOOKUP(BI10,'#Sheet1'!$N$2:$O$192,2,0))</f>
        <v/>
      </c>
      <c r="AX10" s="67" t="s">
        <v>555</v>
      </c>
      <c r="AY10" s="67" t="s">
        <v>556</v>
      </c>
      <c r="AZ10" s="67" t="s">
        <v>557</v>
      </c>
      <c r="BA10" s="67" t="s">
        <v>558</v>
      </c>
      <c r="BB10" s="67" t="s">
        <v>518</v>
      </c>
      <c r="BC10" s="67" t="s">
        <v>559</v>
      </c>
    </row>
    <row r="11" spans="1:55" s="67" customFormat="1" ht="31" customHeight="1" x14ac:dyDescent="0.3">
      <c r="A11" s="67">
        <v>3002</v>
      </c>
      <c r="B11" s="67" t="s">
        <v>560</v>
      </c>
      <c r="C11" s="67" t="s">
        <v>507</v>
      </c>
      <c r="D11" s="67" t="s">
        <v>546</v>
      </c>
      <c r="E11" s="67" t="s">
        <v>247</v>
      </c>
      <c r="F11" s="67" t="s">
        <v>561</v>
      </c>
      <c r="G11" s="67">
        <v>3</v>
      </c>
      <c r="H11" s="67" t="s">
        <v>550</v>
      </c>
      <c r="I11" s="67">
        <v>200005</v>
      </c>
      <c r="J11" s="67" t="s">
        <v>549</v>
      </c>
      <c r="K11" s="67">
        <v>200080</v>
      </c>
      <c r="L11" s="67">
        <v>703001</v>
      </c>
      <c r="M11" s="67">
        <v>2</v>
      </c>
      <c r="N11" s="67" t="s">
        <v>551</v>
      </c>
      <c r="O11" s="67">
        <v>200068</v>
      </c>
      <c r="P11" s="67" t="s">
        <v>552</v>
      </c>
      <c r="Q11" s="67">
        <v>200012</v>
      </c>
      <c r="R11" s="67">
        <v>703001</v>
      </c>
      <c r="S11" s="67">
        <v>22</v>
      </c>
      <c r="T11" s="67" t="s">
        <v>553</v>
      </c>
      <c r="U11" s="67">
        <v>200013</v>
      </c>
      <c r="V11" s="67" t="s">
        <v>554</v>
      </c>
      <c r="W11" s="67">
        <v>200010</v>
      </c>
      <c r="X11" s="67">
        <v>703104</v>
      </c>
      <c r="Y11" s="67" t="str">
        <f t="shared" si="0"/>
        <v>TID_HeroFactionRecommend_3002_name_CN_Main</v>
      </c>
      <c r="Z11" s="67">
        <f t="shared" si="1"/>
        <v>0</v>
      </c>
      <c r="AA11" s="67" t="s">
        <v>516</v>
      </c>
      <c r="AB11" s="67">
        <f t="shared" si="2"/>
        <v>3</v>
      </c>
      <c r="AC11" s="67" t="str">
        <f t="shared" si="3"/>
        <v>200005|200080</v>
      </c>
      <c r="AD11" s="67">
        <f t="shared" si="4"/>
        <v>703001</v>
      </c>
      <c r="AE11" s="67">
        <f t="shared" si="5"/>
        <v>2</v>
      </c>
      <c r="AF11" s="67" t="str">
        <f t="shared" si="6"/>
        <v>200068|200012</v>
      </c>
      <c r="AG11" s="67">
        <f t="shared" si="7"/>
        <v>703001</v>
      </c>
      <c r="AH11" s="67">
        <f t="shared" si="8"/>
        <v>22</v>
      </c>
      <c r="AI11" s="67" t="str">
        <f t="shared" si="9"/>
        <v>200013|200010</v>
      </c>
      <c r="AJ11" s="67">
        <f t="shared" si="10"/>
        <v>703104</v>
      </c>
      <c r="AK11" s="67" t="str">
        <f>IF($AX11=0,"",VLOOKUP(AX11,'#Sheet1'!$N$2:$O$192,2,0)&amp;"|"&amp;VLOOKUP(AY11,'#Sheet1'!$N$2:$O$192,2,0))</f>
        <v>200061|200037</v>
      </c>
      <c r="AL11" s="67" t="str">
        <f>IF($AX11=0,"",VLOOKUP(AZ11,'#Sheet1'!$N$2:$O$192,2,0)&amp;"|"&amp;VLOOKUP(BA11,'#Sheet1'!$N$2:$O$192,2,0))</f>
        <v>200069|200122</v>
      </c>
      <c r="AM11" s="67" t="str">
        <f>IF($AX11=0,"",VLOOKUP(BB11,'#Sheet1'!$N$2:$O$192,2,0)&amp;"|"&amp;VLOOKUP(BC11,'#Sheet1'!$N$2:$O$192,2,0))</f>
        <v>200042|200121</v>
      </c>
      <c r="AN11" s="67" t="str">
        <f>IF($BD11=0,"",VLOOKUP(BD11,'#Sheet1'!$N$2:$O$192,2,0)&amp;"|"&amp;VLOOKUP(BE11,'#Sheet1'!$N$2:$O$192,2,0))</f>
        <v/>
      </c>
      <c r="AO11" s="67" t="str">
        <f>IF($BD11=0,"",VLOOKUP(BF11,'#Sheet1'!$N$2:$O$192,2,0)&amp;"|"&amp;VLOOKUP(BG11,'#Sheet1'!$N$2:$O$192,2,0))</f>
        <v/>
      </c>
      <c r="AP11" s="67" t="str">
        <f>IF($BD11=0,"",VLOOKUP(BH11,'#Sheet1'!$N$2:$O$192,2,0)&amp;"|"&amp;VLOOKUP(BI11,'#Sheet1'!$N$2:$O$192,2,0))</f>
        <v/>
      </c>
      <c r="AX11" s="67" t="s">
        <v>555</v>
      </c>
      <c r="AY11" s="67" t="s">
        <v>556</v>
      </c>
      <c r="AZ11" s="67" t="s">
        <v>557</v>
      </c>
      <c r="BA11" s="67" t="s">
        <v>558</v>
      </c>
      <c r="BB11" s="67" t="s">
        <v>518</v>
      </c>
      <c r="BC11" s="67" t="s">
        <v>559</v>
      </c>
    </row>
    <row r="12" spans="1:55" s="67" customFormat="1" ht="31" customHeight="1" x14ac:dyDescent="0.3">
      <c r="A12" s="67">
        <v>3003</v>
      </c>
      <c r="B12" s="67" t="s">
        <v>562</v>
      </c>
      <c r="C12" s="67" t="s">
        <v>507</v>
      </c>
      <c r="D12" s="67" t="s">
        <v>546</v>
      </c>
      <c r="E12" s="67" t="s">
        <v>547</v>
      </c>
      <c r="F12" s="67" t="s">
        <v>563</v>
      </c>
      <c r="G12" s="67">
        <v>13</v>
      </c>
      <c r="H12" s="67" t="s">
        <v>549</v>
      </c>
      <c r="I12" s="67">
        <v>200080</v>
      </c>
      <c r="J12" s="67" t="s">
        <v>550</v>
      </c>
      <c r="K12" s="67">
        <v>200005</v>
      </c>
      <c r="L12" s="67">
        <v>702003</v>
      </c>
      <c r="M12" s="67">
        <v>34</v>
      </c>
      <c r="N12" s="67" t="s">
        <v>551</v>
      </c>
      <c r="O12" s="67">
        <v>200068</v>
      </c>
      <c r="P12" s="67" t="s">
        <v>552</v>
      </c>
      <c r="Q12" s="67">
        <v>200012</v>
      </c>
      <c r="R12" s="67">
        <v>702003</v>
      </c>
      <c r="S12" s="67">
        <v>19</v>
      </c>
      <c r="T12" s="67" t="s">
        <v>554</v>
      </c>
      <c r="U12" s="67">
        <v>200010</v>
      </c>
      <c r="V12" s="67" t="s">
        <v>553</v>
      </c>
      <c r="W12" s="67">
        <v>200013</v>
      </c>
      <c r="X12" s="67">
        <v>702002</v>
      </c>
      <c r="Y12" s="67" t="str">
        <f t="shared" si="0"/>
        <v>TID_HeroFactionRecommend_3003_name_CN_Main</v>
      </c>
      <c r="Z12" s="67">
        <f t="shared" si="1"/>
        <v>0</v>
      </c>
      <c r="AA12" s="67" t="s">
        <v>516</v>
      </c>
      <c r="AB12" s="67">
        <f t="shared" si="2"/>
        <v>13</v>
      </c>
      <c r="AC12" s="67" t="str">
        <f t="shared" si="3"/>
        <v>200080|200005</v>
      </c>
      <c r="AD12" s="67">
        <f t="shared" si="4"/>
        <v>702003</v>
      </c>
      <c r="AE12" s="67">
        <f t="shared" si="5"/>
        <v>34</v>
      </c>
      <c r="AF12" s="67" t="str">
        <f t="shared" si="6"/>
        <v>200068|200012</v>
      </c>
      <c r="AG12" s="67">
        <f t="shared" si="7"/>
        <v>702003</v>
      </c>
      <c r="AH12" s="67">
        <f t="shared" si="8"/>
        <v>19</v>
      </c>
      <c r="AI12" s="67" t="str">
        <f t="shared" si="9"/>
        <v>200010|200013</v>
      </c>
      <c r="AJ12" s="67">
        <f t="shared" si="10"/>
        <v>702002</v>
      </c>
      <c r="AK12" s="67" t="str">
        <f>IF($AX12=0,"",VLOOKUP(AX12,'#Sheet1'!$N$2:$O$192,2,0)&amp;"|"&amp;VLOOKUP(AY12,'#Sheet1'!$N$2:$O$192,2,0))</f>
        <v>200061|200037</v>
      </c>
      <c r="AL12" s="67" t="str">
        <f>IF($AX12=0,"",VLOOKUP(AZ12,'#Sheet1'!$N$2:$O$192,2,0)&amp;"|"&amp;VLOOKUP(BA12,'#Sheet1'!$N$2:$O$192,2,0))</f>
        <v>200069|200122</v>
      </c>
      <c r="AM12" s="67" t="str">
        <f>IF($AX12=0,"",VLOOKUP(BB12,'#Sheet1'!$N$2:$O$192,2,0)&amp;"|"&amp;VLOOKUP(BC12,'#Sheet1'!$N$2:$O$192,2,0))</f>
        <v>200042|200121</v>
      </c>
      <c r="AN12" s="67" t="str">
        <f>IF($BD12=0,"",VLOOKUP(BD12,'#Sheet1'!$N$2:$O$192,2,0)&amp;"|"&amp;VLOOKUP(BE12,'#Sheet1'!$N$2:$O$192,2,0))</f>
        <v/>
      </c>
      <c r="AO12" s="67" t="str">
        <f>IF($BD12=0,"",VLOOKUP(BF12,'#Sheet1'!$N$2:$O$192,2,0)&amp;"|"&amp;VLOOKUP(BG12,'#Sheet1'!$N$2:$O$192,2,0))</f>
        <v/>
      </c>
      <c r="AP12" s="67" t="str">
        <f>IF($BD12=0,"",VLOOKUP(BH12,'#Sheet1'!$N$2:$O$192,2,0)&amp;"|"&amp;VLOOKUP(BI12,'#Sheet1'!$N$2:$O$192,2,0))</f>
        <v/>
      </c>
      <c r="AX12" s="67" t="s">
        <v>555</v>
      </c>
      <c r="AY12" s="67" t="s">
        <v>556</v>
      </c>
      <c r="AZ12" s="67" t="s">
        <v>557</v>
      </c>
      <c r="BA12" s="67" t="s">
        <v>558</v>
      </c>
      <c r="BB12" s="67" t="s">
        <v>518</v>
      </c>
      <c r="BC12" s="67" t="s">
        <v>559</v>
      </c>
    </row>
    <row r="13" spans="1:55" s="67" customFormat="1" ht="31" customHeight="1" x14ac:dyDescent="0.3">
      <c r="A13" s="67">
        <v>3004</v>
      </c>
      <c r="B13" s="67" t="s">
        <v>564</v>
      </c>
      <c r="C13" s="67" t="s">
        <v>522</v>
      </c>
      <c r="D13" s="67" t="s">
        <v>546</v>
      </c>
      <c r="E13" s="67" t="s">
        <v>547</v>
      </c>
      <c r="F13" s="67" t="s">
        <v>565</v>
      </c>
      <c r="G13" s="67">
        <v>3</v>
      </c>
      <c r="H13" s="67" t="s">
        <v>551</v>
      </c>
      <c r="I13" s="67">
        <v>200068</v>
      </c>
      <c r="J13" s="67" t="s">
        <v>566</v>
      </c>
      <c r="K13" s="67">
        <v>200006</v>
      </c>
      <c r="L13" s="67">
        <v>702003</v>
      </c>
      <c r="M13" s="67">
        <v>19</v>
      </c>
      <c r="N13" s="67" t="s">
        <v>554</v>
      </c>
      <c r="O13" s="67">
        <v>200010</v>
      </c>
      <c r="P13" s="67" t="s">
        <v>518</v>
      </c>
      <c r="Q13" s="67">
        <v>200042</v>
      </c>
      <c r="R13" s="67">
        <v>702002</v>
      </c>
      <c r="S13" s="67">
        <v>13</v>
      </c>
      <c r="T13" s="67" t="s">
        <v>550</v>
      </c>
      <c r="U13" s="67">
        <v>200005</v>
      </c>
      <c r="V13" s="67" t="s">
        <v>549</v>
      </c>
      <c r="W13" s="67">
        <v>200080</v>
      </c>
      <c r="X13" s="67">
        <v>702003</v>
      </c>
      <c r="Y13" s="67" t="str">
        <f t="shared" si="0"/>
        <v>TID_HeroFactionRecommend_3004_name_CN_Main</v>
      </c>
      <c r="Z13" s="67">
        <f t="shared" si="1"/>
        <v>0</v>
      </c>
      <c r="AA13" s="67" t="s">
        <v>516</v>
      </c>
      <c r="AB13" s="67">
        <f t="shared" si="2"/>
        <v>3</v>
      </c>
      <c r="AC13" s="67" t="str">
        <f t="shared" si="3"/>
        <v>200068|200006</v>
      </c>
      <c r="AD13" s="67">
        <f t="shared" si="4"/>
        <v>702003</v>
      </c>
      <c r="AE13" s="67">
        <f t="shared" si="5"/>
        <v>19</v>
      </c>
      <c r="AF13" s="67" t="str">
        <f t="shared" si="6"/>
        <v>200010|200042</v>
      </c>
      <c r="AG13" s="67">
        <f t="shared" si="7"/>
        <v>702002</v>
      </c>
      <c r="AH13" s="67">
        <f t="shared" si="8"/>
        <v>13</v>
      </c>
      <c r="AI13" s="67" t="str">
        <f t="shared" si="9"/>
        <v>200005|200080</v>
      </c>
      <c r="AJ13" s="67">
        <f t="shared" si="10"/>
        <v>702003</v>
      </c>
      <c r="AK13" s="67" t="str">
        <f>IF($AX13=0,"",VLOOKUP(AX13,'#Sheet1'!$N$2:$O$192,2,0)&amp;"|"&amp;VLOOKUP(AY13,'#Sheet1'!$N$2:$O$192,2,0))</f>
        <v>200061|200040</v>
      </c>
      <c r="AL13" s="67" t="str">
        <f>IF($AX13=0,"",VLOOKUP(AZ13,'#Sheet1'!$N$2:$O$192,2,0)&amp;"|"&amp;VLOOKUP(BA13,'#Sheet1'!$N$2:$O$192,2,0))</f>
        <v>200010|200045</v>
      </c>
      <c r="AM13" s="67" t="str">
        <f>IF($AX13=0,"",VLOOKUP(BB13,'#Sheet1'!$N$2:$O$192,2,0)&amp;"|"&amp;VLOOKUP(BC13,'#Sheet1'!$N$2:$O$192,2,0))</f>
        <v>200068|200121</v>
      </c>
      <c r="AN13" s="67" t="str">
        <f>IF($BD13=0,"",VLOOKUP(BD13,'#Sheet1'!$N$2:$O$192,2,0)&amp;"|"&amp;VLOOKUP(BE13,'#Sheet1'!$N$2:$O$192,2,0))</f>
        <v/>
      </c>
      <c r="AO13" s="67" t="str">
        <f>IF($BD13=0,"",VLOOKUP(BF13,'#Sheet1'!$N$2:$O$192,2,0)&amp;"|"&amp;VLOOKUP(BG13,'#Sheet1'!$N$2:$O$192,2,0))</f>
        <v/>
      </c>
      <c r="AP13" s="67" t="str">
        <f>IF($BD13=0,"",VLOOKUP(BH13,'#Sheet1'!$N$2:$O$192,2,0)&amp;"|"&amp;VLOOKUP(BI13,'#Sheet1'!$N$2:$O$192,2,0))</f>
        <v/>
      </c>
      <c r="AX13" s="67" t="s">
        <v>555</v>
      </c>
      <c r="AY13" s="67" t="s">
        <v>567</v>
      </c>
      <c r="AZ13" s="67" t="s">
        <v>554</v>
      </c>
      <c r="BA13" s="67" t="s">
        <v>568</v>
      </c>
      <c r="BB13" s="67" t="s">
        <v>551</v>
      </c>
      <c r="BC13" s="67" t="s">
        <v>559</v>
      </c>
    </row>
    <row r="14" spans="1:55" s="67" customFormat="1" ht="31" customHeight="1" x14ac:dyDescent="0.3">
      <c r="A14" s="67">
        <v>3005</v>
      </c>
      <c r="B14" s="67" t="s">
        <v>569</v>
      </c>
      <c r="C14" s="67" t="s">
        <v>522</v>
      </c>
      <c r="D14" s="67" t="s">
        <v>546</v>
      </c>
      <c r="E14" s="67" t="s">
        <v>247</v>
      </c>
      <c r="F14" s="67" t="s">
        <v>570</v>
      </c>
      <c r="G14" s="67">
        <v>3</v>
      </c>
      <c r="H14" s="67" t="s">
        <v>549</v>
      </c>
      <c r="I14" s="67">
        <v>200080</v>
      </c>
      <c r="J14" s="67" t="s">
        <v>550</v>
      </c>
      <c r="K14" s="67">
        <v>200005</v>
      </c>
      <c r="L14" s="67">
        <v>703001</v>
      </c>
      <c r="M14" s="67">
        <v>2</v>
      </c>
      <c r="N14" s="67" t="s">
        <v>551</v>
      </c>
      <c r="O14" s="67">
        <v>200068</v>
      </c>
      <c r="P14" s="67" t="s">
        <v>566</v>
      </c>
      <c r="Q14" s="67">
        <v>200006</v>
      </c>
      <c r="R14" s="67">
        <v>703001</v>
      </c>
      <c r="S14" s="67">
        <v>1</v>
      </c>
      <c r="T14" s="67" t="s">
        <v>553</v>
      </c>
      <c r="U14" s="67">
        <v>200013</v>
      </c>
      <c r="V14" s="67" t="s">
        <v>532</v>
      </c>
      <c r="W14" s="67">
        <v>200011</v>
      </c>
      <c r="X14" s="67">
        <v>703104</v>
      </c>
      <c r="Y14" s="67" t="str">
        <f t="shared" si="0"/>
        <v>TID_HeroFactionRecommend_3005_name_CN_Main</v>
      </c>
      <c r="Z14" s="67">
        <f t="shared" si="1"/>
        <v>0</v>
      </c>
      <c r="AA14" s="67" t="s">
        <v>516</v>
      </c>
      <c r="AB14" s="67">
        <f t="shared" si="2"/>
        <v>3</v>
      </c>
      <c r="AC14" s="67" t="str">
        <f t="shared" si="3"/>
        <v>200080|200005</v>
      </c>
      <c r="AD14" s="67">
        <f t="shared" si="4"/>
        <v>703001</v>
      </c>
      <c r="AE14" s="67">
        <f t="shared" si="5"/>
        <v>2</v>
      </c>
      <c r="AF14" s="67" t="str">
        <f t="shared" si="6"/>
        <v>200068|200006</v>
      </c>
      <c r="AG14" s="67">
        <f t="shared" si="7"/>
        <v>703001</v>
      </c>
      <c r="AH14" s="67">
        <f t="shared" si="8"/>
        <v>1</v>
      </c>
      <c r="AI14" s="67" t="str">
        <f t="shared" si="9"/>
        <v>200013|200011</v>
      </c>
      <c r="AJ14" s="67">
        <f t="shared" si="10"/>
        <v>703104</v>
      </c>
      <c r="AK14" s="67" t="str">
        <f>IF($AX14=0,"",VLOOKUP(AX14,'#Sheet1'!$N$2:$O$192,2,0)&amp;"|"&amp;VLOOKUP(AY14,'#Sheet1'!$N$2:$O$192,2,0))</f>
        <v>200061|200040</v>
      </c>
      <c r="AL14" s="67" t="str">
        <f>IF($AX14=0,"",VLOOKUP(AZ14,'#Sheet1'!$N$2:$O$192,2,0)&amp;"|"&amp;VLOOKUP(BA14,'#Sheet1'!$N$2:$O$192,2,0))</f>
        <v>200121|200069</v>
      </c>
      <c r="AM14" s="67" t="str">
        <f>IF($AX14=0,"",VLOOKUP(BB14,'#Sheet1'!$N$2:$O$192,2,0)&amp;"|"&amp;VLOOKUP(BC14,'#Sheet1'!$N$2:$O$192,2,0))</f>
        <v>200021|200001</v>
      </c>
      <c r="AN14" s="67" t="str">
        <f>IF($BD14=0,"",VLOOKUP(BD14,'#Sheet1'!$N$2:$O$192,2,0)&amp;"|"&amp;VLOOKUP(BE14,'#Sheet1'!$N$2:$O$192,2,0))</f>
        <v/>
      </c>
      <c r="AO14" s="67" t="str">
        <f>IF($BD14=0,"",VLOOKUP(BF14,'#Sheet1'!$N$2:$O$192,2,0)&amp;"|"&amp;VLOOKUP(BG14,'#Sheet1'!$N$2:$O$192,2,0))</f>
        <v/>
      </c>
      <c r="AP14" s="67" t="str">
        <f>IF($BD14=0,"",VLOOKUP(BH14,'#Sheet1'!$N$2:$O$192,2,0)&amp;"|"&amp;VLOOKUP(BI14,'#Sheet1'!$N$2:$O$192,2,0))</f>
        <v/>
      </c>
      <c r="AX14" s="67" t="s">
        <v>555</v>
      </c>
      <c r="AY14" s="67" t="s">
        <v>567</v>
      </c>
      <c r="AZ14" s="67" t="s">
        <v>559</v>
      </c>
      <c r="BA14" s="67" t="s">
        <v>557</v>
      </c>
      <c r="BB14" s="67" t="s">
        <v>519</v>
      </c>
      <c r="BC14" s="67" t="s">
        <v>533</v>
      </c>
    </row>
    <row r="15" spans="1:55" s="67" customFormat="1" ht="31" customHeight="1" x14ac:dyDescent="0.3">
      <c r="A15" s="67">
        <v>3006</v>
      </c>
      <c r="B15" s="67" t="s">
        <v>571</v>
      </c>
      <c r="C15" s="67" t="s">
        <v>528</v>
      </c>
      <c r="D15" s="67" t="s">
        <v>546</v>
      </c>
      <c r="E15" s="67" t="s">
        <v>247</v>
      </c>
      <c r="F15" s="67" t="s">
        <v>572</v>
      </c>
      <c r="G15" s="67">
        <v>2</v>
      </c>
      <c r="H15" s="67" t="s">
        <v>555</v>
      </c>
      <c r="I15" s="67">
        <v>200061</v>
      </c>
      <c r="J15" s="67" t="s">
        <v>573</v>
      </c>
      <c r="K15" s="67">
        <v>200007</v>
      </c>
      <c r="L15" s="67">
        <v>703001</v>
      </c>
      <c r="M15" s="67">
        <v>1</v>
      </c>
      <c r="N15" s="67" t="s">
        <v>554</v>
      </c>
      <c r="O15" s="67">
        <v>200010</v>
      </c>
      <c r="P15" s="67" t="s">
        <v>519</v>
      </c>
      <c r="Q15" s="67">
        <v>200021</v>
      </c>
      <c r="R15" s="67">
        <v>703104</v>
      </c>
      <c r="S15" s="67">
        <v>201</v>
      </c>
      <c r="T15" s="67" t="s">
        <v>557</v>
      </c>
      <c r="U15" s="67">
        <v>200069</v>
      </c>
      <c r="V15" s="67" t="s">
        <v>574</v>
      </c>
      <c r="W15" s="67">
        <v>200002</v>
      </c>
      <c r="X15" s="67">
        <v>703001</v>
      </c>
      <c r="Y15" s="67" t="str">
        <f t="shared" si="0"/>
        <v>TID_HeroFactionRecommend_3006_name_CN_Main</v>
      </c>
      <c r="Z15" s="67">
        <f t="shared" si="1"/>
        <v>0</v>
      </c>
      <c r="AA15" s="67" t="s">
        <v>516</v>
      </c>
      <c r="AB15" s="67">
        <f t="shared" si="2"/>
        <v>2</v>
      </c>
      <c r="AC15" s="67" t="str">
        <f t="shared" si="3"/>
        <v>200061|200007</v>
      </c>
      <c r="AD15" s="67">
        <f t="shared" si="4"/>
        <v>703001</v>
      </c>
      <c r="AE15" s="67">
        <f t="shared" si="5"/>
        <v>1</v>
      </c>
      <c r="AF15" s="67" t="str">
        <f t="shared" si="6"/>
        <v>200010|200021</v>
      </c>
      <c r="AG15" s="67">
        <f t="shared" si="7"/>
        <v>703104</v>
      </c>
      <c r="AH15" s="67">
        <f t="shared" si="8"/>
        <v>201</v>
      </c>
      <c r="AI15" s="67" t="str">
        <f t="shared" si="9"/>
        <v>200069|200002</v>
      </c>
      <c r="AJ15" s="67">
        <f t="shared" si="10"/>
        <v>703001</v>
      </c>
      <c r="AK15" s="67" t="str">
        <f>IF($AX15=0,"",VLOOKUP(AX15,'#Sheet1'!$N$2:$O$192,2,0)&amp;"|"&amp;VLOOKUP(AY15,'#Sheet1'!$N$2:$O$192,2,0))</f>
        <v>200002|200040</v>
      </c>
      <c r="AL15" s="67" t="str">
        <f>IF($AX15=0,"",VLOOKUP(AZ15,'#Sheet1'!$N$2:$O$192,2,0)&amp;"|"&amp;VLOOKUP(BA15,'#Sheet1'!$N$2:$O$192,2,0))</f>
        <v>200021|200001</v>
      </c>
      <c r="AM15" s="67" t="str">
        <f>IF($AX15=0,"",VLOOKUP(BB15,'#Sheet1'!$N$2:$O$192,2,0)&amp;"|"&amp;VLOOKUP(BC15,'#Sheet1'!$N$2:$O$192,2,0))</f>
        <v>200069|200121</v>
      </c>
      <c r="AN15" s="67" t="str">
        <f>IF($BD15=0,"",VLOOKUP(BD15,'#Sheet1'!$N$2:$O$192,2,0)&amp;"|"&amp;VLOOKUP(BE15,'#Sheet1'!$N$2:$O$192,2,0))</f>
        <v/>
      </c>
      <c r="AO15" s="67" t="str">
        <f>IF($BD15=0,"",VLOOKUP(BF15,'#Sheet1'!$N$2:$O$192,2,0)&amp;"|"&amp;VLOOKUP(BG15,'#Sheet1'!$N$2:$O$192,2,0))</f>
        <v/>
      </c>
      <c r="AP15" s="67" t="str">
        <f>IF($BD15=0,"",VLOOKUP(BH15,'#Sheet1'!$N$2:$O$192,2,0)&amp;"|"&amp;VLOOKUP(BI15,'#Sheet1'!$N$2:$O$192,2,0))</f>
        <v/>
      </c>
      <c r="AX15" s="67" t="s">
        <v>574</v>
      </c>
      <c r="AY15" s="67" t="s">
        <v>567</v>
      </c>
      <c r="AZ15" s="67" t="s">
        <v>519</v>
      </c>
      <c r="BA15" s="67" t="s">
        <v>533</v>
      </c>
      <c r="BB15" s="67" t="s">
        <v>557</v>
      </c>
      <c r="BC15" s="67" t="s">
        <v>559</v>
      </c>
    </row>
    <row r="16" spans="1:55" s="71" customFormat="1" ht="56" customHeight="1" x14ac:dyDescent="0.3">
      <c r="A16" s="71">
        <v>4001</v>
      </c>
      <c r="B16" s="71" t="s">
        <v>575</v>
      </c>
      <c r="C16" s="71" t="s">
        <v>507</v>
      </c>
      <c r="D16" s="71" t="s">
        <v>576</v>
      </c>
      <c r="E16" s="71" t="s">
        <v>547</v>
      </c>
      <c r="F16" s="71" t="s">
        <v>577</v>
      </c>
      <c r="G16" s="71">
        <v>7</v>
      </c>
      <c r="H16" s="71" t="s">
        <v>556</v>
      </c>
      <c r="I16" s="71">
        <v>200037</v>
      </c>
      <c r="J16" s="71" t="s">
        <v>566</v>
      </c>
      <c r="K16" s="71">
        <v>200006</v>
      </c>
      <c r="L16" s="71">
        <v>702001</v>
      </c>
      <c r="M16" s="71">
        <v>25</v>
      </c>
      <c r="N16" s="71" t="s">
        <v>551</v>
      </c>
      <c r="O16" s="71">
        <v>200068</v>
      </c>
      <c r="P16" s="71" t="s">
        <v>567</v>
      </c>
      <c r="Q16" s="71">
        <v>200040</v>
      </c>
      <c r="R16" s="71">
        <v>702001</v>
      </c>
      <c r="S16" s="71">
        <v>17</v>
      </c>
      <c r="T16" s="71" t="s">
        <v>578</v>
      </c>
      <c r="U16" s="71">
        <v>200046</v>
      </c>
      <c r="V16" s="71" t="s">
        <v>518</v>
      </c>
      <c r="W16" s="71">
        <v>200042</v>
      </c>
      <c r="X16" s="71">
        <v>702002</v>
      </c>
      <c r="Y16" s="71" t="str">
        <f t="shared" si="0"/>
        <v>TID_HeroFactionRecommend_4001_name_CN_Main</v>
      </c>
      <c r="Z16" s="71">
        <f t="shared" si="1"/>
        <v>0</v>
      </c>
      <c r="AA16" s="71" t="s">
        <v>516</v>
      </c>
      <c r="AB16" s="71">
        <f t="shared" si="2"/>
        <v>7</v>
      </c>
      <c r="AC16" s="71" t="str">
        <f t="shared" si="3"/>
        <v>200037|200006</v>
      </c>
      <c r="AD16" s="71">
        <f t="shared" si="4"/>
        <v>702001</v>
      </c>
      <c r="AE16" s="71">
        <f t="shared" si="5"/>
        <v>25</v>
      </c>
      <c r="AF16" s="71" t="str">
        <f t="shared" si="6"/>
        <v>200068|200040</v>
      </c>
      <c r="AG16" s="71">
        <f t="shared" si="7"/>
        <v>702001</v>
      </c>
      <c r="AH16" s="71">
        <f t="shared" si="8"/>
        <v>17</v>
      </c>
      <c r="AI16" s="71" t="str">
        <f t="shared" si="9"/>
        <v>200046|200042</v>
      </c>
      <c r="AJ16" s="71">
        <f t="shared" si="10"/>
        <v>702002</v>
      </c>
      <c r="AK16" s="71" t="str">
        <f>IF($AX16=0,"",VLOOKUP(AX16,'#Sheet1'!$N$2:$O$192,2,0)&amp;"|"&amp;VLOOKUP(AY16,'#Sheet1'!$N$2:$O$192,2,0))</f>
        <v>200040|200006</v>
      </c>
      <c r="AL16" s="71" t="str">
        <f>IF($AX16=0,"",VLOOKUP(AZ16,'#Sheet1'!$N$2:$O$192,2,0)&amp;"|"&amp;VLOOKUP(BA16,'#Sheet1'!$N$2:$O$192,2,0))</f>
        <v>200083|200119</v>
      </c>
      <c r="AM16" s="71" t="str">
        <f>IF($AX16=0,"",VLOOKUP(BB16,'#Sheet1'!$N$2:$O$192,2,0)&amp;"|"&amp;VLOOKUP(BC16,'#Sheet1'!$N$2:$O$192,2,0))</f>
        <v>200042|200126</v>
      </c>
      <c r="AN16" s="71" t="str">
        <f>IF($BD16=0,"",VLOOKUP(BD16,'#Sheet1'!$N$2:$O$192,2,0)&amp;"|"&amp;VLOOKUP(BE16,'#Sheet1'!$N$2:$O$192,2,0))</f>
        <v/>
      </c>
      <c r="AO16" s="71" t="str">
        <f>IF($BD16=0,"",VLOOKUP(BF16,'#Sheet1'!$N$2:$O$192,2,0)&amp;"|"&amp;VLOOKUP(BG16,'#Sheet1'!$N$2:$O$192,2,0))</f>
        <v/>
      </c>
      <c r="AP16" s="71" t="str">
        <f>IF($BD16=0,"",VLOOKUP(BH16,'#Sheet1'!$N$2:$O$192,2,0)&amp;"|"&amp;VLOOKUP(BI16,'#Sheet1'!$N$2:$O$192,2,0))</f>
        <v/>
      </c>
      <c r="AX16" s="71" t="s">
        <v>567</v>
      </c>
      <c r="AY16" s="71" t="s">
        <v>566</v>
      </c>
      <c r="AZ16" s="71" t="s">
        <v>579</v>
      </c>
      <c r="BA16" s="71" t="s">
        <v>580</v>
      </c>
      <c r="BB16" s="71" t="s">
        <v>518</v>
      </c>
      <c r="BC16" s="71" t="s">
        <v>581</v>
      </c>
    </row>
    <row r="17" spans="1:61" s="71" customFormat="1" ht="42" customHeight="1" x14ac:dyDescent="0.3">
      <c r="A17" s="71">
        <v>4002</v>
      </c>
      <c r="B17" s="71" t="s">
        <v>582</v>
      </c>
      <c r="C17" s="71" t="s">
        <v>522</v>
      </c>
      <c r="D17" s="71" t="s">
        <v>576</v>
      </c>
      <c r="E17" s="71" t="s">
        <v>547</v>
      </c>
      <c r="F17" s="71" t="s">
        <v>583</v>
      </c>
      <c r="G17" s="71">
        <v>7</v>
      </c>
      <c r="H17" s="71" t="s">
        <v>556</v>
      </c>
      <c r="I17" s="71">
        <v>200037</v>
      </c>
      <c r="J17" s="71" t="s">
        <v>566</v>
      </c>
      <c r="K17" s="71">
        <v>200006</v>
      </c>
      <c r="L17" s="71">
        <v>702001</v>
      </c>
      <c r="M17" s="71">
        <v>11</v>
      </c>
      <c r="N17" s="71" t="s">
        <v>551</v>
      </c>
      <c r="O17" s="71">
        <v>200068</v>
      </c>
      <c r="P17" s="71" t="s">
        <v>555</v>
      </c>
      <c r="Q17" s="71">
        <v>200061</v>
      </c>
      <c r="R17" s="71">
        <v>702001</v>
      </c>
      <c r="S17" s="71">
        <v>17</v>
      </c>
      <c r="T17" s="71" t="s">
        <v>554</v>
      </c>
      <c r="U17" s="71">
        <v>200010</v>
      </c>
      <c r="V17" s="71" t="s">
        <v>518</v>
      </c>
      <c r="W17" s="71">
        <v>200042</v>
      </c>
      <c r="X17" s="71">
        <v>702002</v>
      </c>
      <c r="Y17" s="71" t="str">
        <f t="shared" si="0"/>
        <v>TID_HeroFactionRecommend_4002_name_CN_Main</v>
      </c>
      <c r="Z17" s="71">
        <f t="shared" si="1"/>
        <v>0</v>
      </c>
      <c r="AA17" s="71" t="s">
        <v>516</v>
      </c>
      <c r="AB17" s="71">
        <f t="shared" si="2"/>
        <v>7</v>
      </c>
      <c r="AC17" s="71" t="str">
        <f t="shared" si="3"/>
        <v>200037|200006</v>
      </c>
      <c r="AD17" s="71">
        <f t="shared" si="4"/>
        <v>702001</v>
      </c>
      <c r="AE17" s="71">
        <f t="shared" si="5"/>
        <v>11</v>
      </c>
      <c r="AF17" s="71" t="str">
        <f t="shared" si="6"/>
        <v>200068|200061</v>
      </c>
      <c r="AG17" s="71">
        <f t="shared" si="7"/>
        <v>702001</v>
      </c>
      <c r="AH17" s="71">
        <f t="shared" si="8"/>
        <v>17</v>
      </c>
      <c r="AI17" s="71" t="str">
        <f t="shared" si="9"/>
        <v>200010|200042</v>
      </c>
      <c r="AJ17" s="71">
        <f t="shared" si="10"/>
        <v>702002</v>
      </c>
      <c r="AK17" s="71" t="str">
        <f>IF($AX17=0,"",VLOOKUP(AX17,'#Sheet1'!$N$2:$O$192,2,0)&amp;"|"&amp;VLOOKUP(AY17,'#Sheet1'!$N$2:$O$192,2,0))</f>
        <v>200040|200006</v>
      </c>
      <c r="AL17" s="71" t="str">
        <f>IF($AX17=0,"",VLOOKUP(AZ17,'#Sheet1'!$N$2:$O$192,2,0)&amp;"|"&amp;VLOOKUP(BA17,'#Sheet1'!$N$2:$O$192,2,0))</f>
        <v>200119|200045</v>
      </c>
      <c r="AM17" s="71" t="str">
        <f>IF($AX17=0,"",VLOOKUP(BB17,'#Sheet1'!$N$2:$O$192,2,0)&amp;"|"&amp;VLOOKUP(BC17,'#Sheet1'!$N$2:$O$192,2,0))</f>
        <v>200043|200118</v>
      </c>
      <c r="AN17" s="71" t="str">
        <f>IF($BD17=0,"",VLOOKUP(BD17,'#Sheet1'!$N$2:$O$192,2,0)&amp;"|"&amp;VLOOKUP(BE17,'#Sheet1'!$N$2:$O$192,2,0))</f>
        <v/>
      </c>
      <c r="AO17" s="71" t="str">
        <f>IF($BD17=0,"",VLOOKUP(BF17,'#Sheet1'!$N$2:$O$192,2,0)&amp;"|"&amp;VLOOKUP(BG17,'#Sheet1'!$N$2:$O$192,2,0))</f>
        <v/>
      </c>
      <c r="AP17" s="71" t="str">
        <f>IF($BD17=0,"",VLOOKUP(BH17,'#Sheet1'!$N$2:$O$192,2,0)&amp;"|"&amp;VLOOKUP(BI17,'#Sheet1'!$N$2:$O$192,2,0))</f>
        <v/>
      </c>
      <c r="AX17" s="71" t="s">
        <v>567</v>
      </c>
      <c r="AY17" s="71" t="s">
        <v>566</v>
      </c>
      <c r="AZ17" s="71" t="s">
        <v>580</v>
      </c>
      <c r="BA17" s="71" t="s">
        <v>568</v>
      </c>
      <c r="BB17" s="71" t="s">
        <v>584</v>
      </c>
      <c r="BC17" s="71" t="s">
        <v>585</v>
      </c>
    </row>
    <row r="18" spans="1:61" s="71" customFormat="1" ht="42" customHeight="1" x14ac:dyDescent="0.3">
      <c r="A18" s="71">
        <v>4003</v>
      </c>
      <c r="B18" s="71" t="s">
        <v>586</v>
      </c>
      <c r="C18" s="71" t="s">
        <v>522</v>
      </c>
      <c r="D18" s="71" t="s">
        <v>576</v>
      </c>
      <c r="E18" s="71" t="s">
        <v>547</v>
      </c>
      <c r="F18" s="71" t="s">
        <v>587</v>
      </c>
      <c r="G18" s="71">
        <v>26</v>
      </c>
      <c r="H18" s="71" t="s">
        <v>588</v>
      </c>
      <c r="I18" s="71">
        <v>200019</v>
      </c>
      <c r="J18" s="71" t="s">
        <v>589</v>
      </c>
      <c r="K18" s="71">
        <v>200031</v>
      </c>
      <c r="L18" s="71">
        <v>702102</v>
      </c>
      <c r="M18" s="71">
        <v>11</v>
      </c>
      <c r="N18" s="71" t="s">
        <v>573</v>
      </c>
      <c r="O18" s="71">
        <v>200007</v>
      </c>
      <c r="P18" s="71" t="s">
        <v>567</v>
      </c>
      <c r="Q18" s="71">
        <v>200040</v>
      </c>
      <c r="R18" s="71">
        <v>702001</v>
      </c>
      <c r="S18" s="71">
        <v>17</v>
      </c>
      <c r="T18" s="71" t="s">
        <v>518</v>
      </c>
      <c r="U18" s="71">
        <v>200042</v>
      </c>
      <c r="V18" s="71" t="s">
        <v>532</v>
      </c>
      <c r="W18" s="71">
        <v>200011</v>
      </c>
      <c r="X18" s="71">
        <v>702002</v>
      </c>
      <c r="Y18" s="71" t="str">
        <f t="shared" si="0"/>
        <v>TID_HeroFactionRecommend_4003_name_CN_Main</v>
      </c>
      <c r="Z18" s="71">
        <f t="shared" si="1"/>
        <v>0</v>
      </c>
      <c r="AA18" s="71" t="s">
        <v>516</v>
      </c>
      <c r="AB18" s="71">
        <f t="shared" si="2"/>
        <v>26</v>
      </c>
      <c r="AC18" s="71" t="str">
        <f t="shared" si="3"/>
        <v>200019|200031</v>
      </c>
      <c r="AD18" s="71">
        <f t="shared" si="4"/>
        <v>702102</v>
      </c>
      <c r="AE18" s="71">
        <f t="shared" si="5"/>
        <v>11</v>
      </c>
      <c r="AF18" s="71" t="str">
        <f t="shared" si="6"/>
        <v>200007|200040</v>
      </c>
      <c r="AG18" s="71">
        <f t="shared" si="7"/>
        <v>702001</v>
      </c>
      <c r="AH18" s="71">
        <f t="shared" si="8"/>
        <v>17</v>
      </c>
      <c r="AI18" s="71" t="str">
        <f t="shared" si="9"/>
        <v>200042|200011</v>
      </c>
      <c r="AJ18" s="71">
        <f t="shared" si="10"/>
        <v>702002</v>
      </c>
      <c r="AK18" s="71" t="str">
        <f>IF($AX18=0,"",VLOOKUP(AX18,'#Sheet1'!$N$2:$O$192,2,0)&amp;"|"&amp;VLOOKUP(AY18,'#Sheet1'!$N$2:$O$192,2,0))</f>
        <v>200030|200040</v>
      </c>
      <c r="AL18" s="71" t="str">
        <f>IF($AX18=0,"",VLOOKUP(AZ18,'#Sheet1'!$N$2:$O$192,2,0)&amp;"|"&amp;VLOOKUP(BA18,'#Sheet1'!$N$2:$O$192,2,0))</f>
        <v>200119|200045</v>
      </c>
      <c r="AM18" s="71" t="str">
        <f>IF($AX18=0,"",VLOOKUP(BB18,'#Sheet1'!$N$2:$O$192,2,0)&amp;"|"&amp;VLOOKUP(BC18,'#Sheet1'!$N$2:$O$192,2,0))</f>
        <v>200126|200043</v>
      </c>
      <c r="AN18" s="71" t="str">
        <f>IF($BD18=0,"",VLOOKUP(BD18,'#Sheet1'!$N$2:$O$192,2,0)&amp;"|"&amp;VLOOKUP(BE18,'#Sheet1'!$N$2:$O$192,2,0))</f>
        <v/>
      </c>
      <c r="AO18" s="71" t="str">
        <f>IF($BD18=0,"",VLOOKUP(BF18,'#Sheet1'!$N$2:$O$192,2,0)&amp;"|"&amp;VLOOKUP(BG18,'#Sheet1'!$N$2:$O$192,2,0))</f>
        <v/>
      </c>
      <c r="AP18" s="71" t="str">
        <f>IF($BD18=0,"",VLOOKUP(BH18,'#Sheet1'!$N$2:$O$192,2,0)&amp;"|"&amp;VLOOKUP(BI18,'#Sheet1'!$N$2:$O$192,2,0))</f>
        <v/>
      </c>
      <c r="AX18" s="71" t="s">
        <v>590</v>
      </c>
      <c r="AY18" s="71" t="s">
        <v>567</v>
      </c>
      <c r="AZ18" s="71" t="s">
        <v>580</v>
      </c>
      <c r="BA18" s="71" t="s">
        <v>568</v>
      </c>
      <c r="BB18" s="71" t="s">
        <v>581</v>
      </c>
      <c r="BC18" s="71" t="s">
        <v>584</v>
      </c>
    </row>
    <row r="19" spans="1:61" s="71" customFormat="1" ht="42" customHeight="1" x14ac:dyDescent="0.3">
      <c r="A19" s="71">
        <v>4004</v>
      </c>
      <c r="B19" s="71" t="s">
        <v>591</v>
      </c>
      <c r="C19" s="71" t="s">
        <v>528</v>
      </c>
      <c r="D19" s="71" t="s">
        <v>576</v>
      </c>
      <c r="E19" s="71" t="s">
        <v>547</v>
      </c>
      <c r="F19" s="71" t="s">
        <v>592</v>
      </c>
      <c r="G19" s="71">
        <v>11</v>
      </c>
      <c r="H19" s="71" t="s">
        <v>555</v>
      </c>
      <c r="I19" s="71">
        <v>200061</v>
      </c>
      <c r="J19" s="71" t="s">
        <v>567</v>
      </c>
      <c r="K19" s="71">
        <v>200040</v>
      </c>
      <c r="L19" s="71">
        <v>702001</v>
      </c>
      <c r="M19" s="71">
        <v>17</v>
      </c>
      <c r="N19" s="71" t="s">
        <v>593</v>
      </c>
      <c r="O19" s="71">
        <v>200117</v>
      </c>
      <c r="P19" s="71" t="s">
        <v>585</v>
      </c>
      <c r="Q19" s="71">
        <v>200118</v>
      </c>
      <c r="R19" s="71">
        <v>702002</v>
      </c>
      <c r="S19" s="71">
        <v>207</v>
      </c>
      <c r="T19" s="71" t="s">
        <v>580</v>
      </c>
      <c r="U19" s="71">
        <v>200119</v>
      </c>
      <c r="V19" s="71" t="s">
        <v>543</v>
      </c>
      <c r="W19" s="71">
        <v>200025</v>
      </c>
      <c r="X19" s="71">
        <v>702001</v>
      </c>
      <c r="Y19" s="71" t="str">
        <f t="shared" si="0"/>
        <v>TID_HeroFactionRecommend_4004_name_CN_Main</v>
      </c>
      <c r="Z19" s="71">
        <f t="shared" si="1"/>
        <v>0</v>
      </c>
      <c r="AA19" s="71" t="s">
        <v>516</v>
      </c>
      <c r="AB19" s="71">
        <f t="shared" si="2"/>
        <v>11</v>
      </c>
      <c r="AC19" s="71" t="str">
        <f t="shared" si="3"/>
        <v>200061|200040</v>
      </c>
      <c r="AD19" s="71">
        <f t="shared" si="4"/>
        <v>702001</v>
      </c>
      <c r="AE19" s="71">
        <f t="shared" si="5"/>
        <v>17</v>
      </c>
      <c r="AF19" s="71" t="str">
        <f t="shared" si="6"/>
        <v>200117|200118</v>
      </c>
      <c r="AG19" s="71">
        <f t="shared" si="7"/>
        <v>702002</v>
      </c>
      <c r="AH19" s="71">
        <f t="shared" si="8"/>
        <v>207</v>
      </c>
      <c r="AI19" s="71" t="str">
        <f t="shared" si="9"/>
        <v>200119|200025</v>
      </c>
      <c r="AJ19" s="71">
        <f t="shared" si="10"/>
        <v>702001</v>
      </c>
      <c r="AK19" s="71" t="str">
        <f>IF($AX19=0,"",VLOOKUP(AX19,'#Sheet1'!$N$2:$O$192,2,0)&amp;"|"&amp;VLOOKUP(AY19,'#Sheet1'!$N$2:$O$192,2,0))</f>
        <v>200040|200002</v>
      </c>
      <c r="AL19" s="71" t="str">
        <f>IF($AX19=0,"",VLOOKUP(AZ19,'#Sheet1'!$N$2:$O$192,2,0)&amp;"|"&amp;VLOOKUP(BA19,'#Sheet1'!$N$2:$O$192,2,0))</f>
        <v>200117|200043</v>
      </c>
      <c r="AM19" s="71" t="str">
        <f>IF($AX19=0,"",VLOOKUP(BB19,'#Sheet1'!$N$2:$O$192,2,0)&amp;"|"&amp;VLOOKUP(BC19,'#Sheet1'!$N$2:$O$192,2,0))</f>
        <v>200119|200045</v>
      </c>
      <c r="AN19" s="71" t="str">
        <f>IF($BD19=0,"",VLOOKUP(BD19,'#Sheet1'!$N$2:$O$192,2,0)&amp;"|"&amp;VLOOKUP(BE19,'#Sheet1'!$N$2:$O$192,2,0))</f>
        <v/>
      </c>
      <c r="AO19" s="71" t="str">
        <f>IF($BD19=0,"",VLOOKUP(BF19,'#Sheet1'!$N$2:$O$192,2,0)&amp;"|"&amp;VLOOKUP(BG19,'#Sheet1'!$N$2:$O$192,2,0))</f>
        <v/>
      </c>
      <c r="AP19" s="71" t="str">
        <f>IF($BD19=0,"",VLOOKUP(BH19,'#Sheet1'!$N$2:$O$192,2,0)&amp;"|"&amp;VLOOKUP(BI19,'#Sheet1'!$N$2:$O$192,2,0))</f>
        <v/>
      </c>
      <c r="AX19" s="71" t="s">
        <v>567</v>
      </c>
      <c r="AY19" s="71" t="s">
        <v>574</v>
      </c>
      <c r="AZ19" s="71" t="s">
        <v>593</v>
      </c>
      <c r="BA19" s="71" t="s">
        <v>584</v>
      </c>
      <c r="BB19" s="71" t="s">
        <v>580</v>
      </c>
      <c r="BC19" s="71" t="s">
        <v>568</v>
      </c>
    </row>
    <row r="20" spans="1:61" s="67" customFormat="1" ht="42" customHeight="1" x14ac:dyDescent="0.3">
      <c r="A20" s="67">
        <v>5001</v>
      </c>
      <c r="B20" s="67" t="s">
        <v>594</v>
      </c>
      <c r="C20" s="67" t="s">
        <v>507</v>
      </c>
      <c r="D20" s="67" t="s">
        <v>576</v>
      </c>
      <c r="E20" s="67" t="s">
        <v>595</v>
      </c>
      <c r="F20" s="67" t="s">
        <v>596</v>
      </c>
      <c r="G20" s="67">
        <v>21</v>
      </c>
      <c r="H20" s="67" t="s">
        <v>597</v>
      </c>
      <c r="I20" s="67">
        <v>200072</v>
      </c>
      <c r="J20" s="67" t="s">
        <v>589</v>
      </c>
      <c r="K20" s="67">
        <v>200031</v>
      </c>
      <c r="L20" s="67">
        <v>701001</v>
      </c>
      <c r="M20" s="67">
        <v>26</v>
      </c>
      <c r="N20" s="67" t="s">
        <v>512</v>
      </c>
      <c r="O20" s="67">
        <v>200065</v>
      </c>
      <c r="P20" s="67" t="s">
        <v>598</v>
      </c>
      <c r="Q20" s="67">
        <v>200009</v>
      </c>
      <c r="R20" s="67">
        <v>701001</v>
      </c>
      <c r="S20" s="67">
        <v>28</v>
      </c>
      <c r="T20" s="67" t="s">
        <v>573</v>
      </c>
      <c r="U20" s="67">
        <v>200007</v>
      </c>
      <c r="V20" s="67" t="s">
        <v>532</v>
      </c>
      <c r="W20" s="67">
        <v>200011</v>
      </c>
      <c r="X20" s="67">
        <v>701104</v>
      </c>
      <c r="Y20" s="67" t="str">
        <f t="shared" si="0"/>
        <v>TID_HeroFactionRecommend_5001_name_CN_Main</v>
      </c>
      <c r="Z20" s="67">
        <f t="shared" si="1"/>
        <v>0</v>
      </c>
      <c r="AA20" s="67" t="s">
        <v>516</v>
      </c>
      <c r="AB20" s="67">
        <f t="shared" si="2"/>
        <v>21</v>
      </c>
      <c r="AC20" s="67" t="str">
        <f t="shared" si="3"/>
        <v>200072|200031</v>
      </c>
      <c r="AD20" s="67">
        <f t="shared" si="4"/>
        <v>701001</v>
      </c>
      <c r="AE20" s="67">
        <f t="shared" si="5"/>
        <v>26</v>
      </c>
      <c r="AF20" s="67" t="str">
        <f t="shared" si="6"/>
        <v>200065|200009</v>
      </c>
      <c r="AG20" s="67">
        <f t="shared" si="7"/>
        <v>701001</v>
      </c>
      <c r="AH20" s="67">
        <f t="shared" si="8"/>
        <v>28</v>
      </c>
      <c r="AI20" s="67" t="str">
        <f t="shared" si="9"/>
        <v>200007|200011</v>
      </c>
      <c r="AJ20" s="67">
        <f t="shared" si="10"/>
        <v>701104</v>
      </c>
      <c r="AK20" s="67" t="str">
        <f>IF($AX20=0,"",VLOOKUP(AX20,'#Sheet1'!$N$2:$O$192,2,0)&amp;"|"&amp;VLOOKUP(AY20,'#Sheet1'!$N$2:$O$192,2,0))</f>
        <v>200019|200078</v>
      </c>
      <c r="AL20" s="67" t="str">
        <f>IF($AX20=0,"",VLOOKUP(AZ20,'#Sheet1'!$N$2:$O$192,2,0)&amp;"|"&amp;VLOOKUP(BA20,'#Sheet1'!$N$2:$O$192,2,0))</f>
        <v>200030|200068</v>
      </c>
      <c r="AM20" s="67" t="str">
        <f>IF($AX20=0,"",VLOOKUP(BB20,'#Sheet1'!$N$2:$O$192,2,0)&amp;"|"&amp;VLOOKUP(BC20,'#Sheet1'!$N$2:$O$192,2,0))</f>
        <v>200011|200112</v>
      </c>
      <c r="AN20" s="67" t="str">
        <f>IF($BD20=0,"",VLOOKUP(BD20,'#Sheet1'!$N$2:$O$192,2,0)&amp;"|"&amp;VLOOKUP(BE20,'#Sheet1'!$N$2:$O$192,2,0))</f>
        <v/>
      </c>
      <c r="AO20" s="67" t="str">
        <f>IF($BD20=0,"",VLOOKUP(BF20,'#Sheet1'!$N$2:$O$192,2,0)&amp;"|"&amp;VLOOKUP(BG20,'#Sheet1'!$N$2:$O$192,2,0))</f>
        <v/>
      </c>
      <c r="AP20" s="67" t="str">
        <f>IF($BD20=0,"",VLOOKUP(BH20,'#Sheet1'!$N$2:$O$192,2,0)&amp;"|"&amp;VLOOKUP(BI20,'#Sheet1'!$N$2:$O$192,2,0))</f>
        <v/>
      </c>
      <c r="AX20" s="67" t="s">
        <v>588</v>
      </c>
      <c r="AY20" s="67" t="s">
        <v>599</v>
      </c>
      <c r="AZ20" s="67" t="s">
        <v>590</v>
      </c>
      <c r="BA20" s="67" t="s">
        <v>551</v>
      </c>
      <c r="BB20" s="67" t="s">
        <v>532</v>
      </c>
      <c r="BC20" s="67" t="s">
        <v>600</v>
      </c>
    </row>
    <row r="21" spans="1:61" s="67" customFormat="1" ht="28" customHeight="1" x14ac:dyDescent="0.3">
      <c r="A21" s="67">
        <v>5002</v>
      </c>
      <c r="B21" s="67" t="s">
        <v>601</v>
      </c>
      <c r="C21" s="67" t="s">
        <v>507</v>
      </c>
      <c r="D21" s="67" t="s">
        <v>576</v>
      </c>
      <c r="E21" s="67" t="s">
        <v>595</v>
      </c>
      <c r="F21" s="67" t="s">
        <v>602</v>
      </c>
      <c r="G21" s="67">
        <v>26</v>
      </c>
      <c r="H21" s="67" t="s">
        <v>597</v>
      </c>
      <c r="I21" s="67">
        <v>200072</v>
      </c>
      <c r="J21" s="67" t="s">
        <v>589</v>
      </c>
      <c r="K21" s="67">
        <v>200031</v>
      </c>
      <c r="L21" s="67">
        <v>701001</v>
      </c>
      <c r="M21" s="67">
        <v>5</v>
      </c>
      <c r="N21" s="67" t="s">
        <v>603</v>
      </c>
      <c r="O21" s="67">
        <v>200028</v>
      </c>
      <c r="P21" s="67" t="s">
        <v>604</v>
      </c>
      <c r="Q21" s="67">
        <v>200027</v>
      </c>
      <c r="R21" s="67">
        <v>701006</v>
      </c>
      <c r="S21" s="67">
        <v>27</v>
      </c>
      <c r="T21" s="67" t="s">
        <v>605</v>
      </c>
      <c r="U21" s="67">
        <v>200029</v>
      </c>
      <c r="V21" s="67" t="s">
        <v>606</v>
      </c>
      <c r="W21" s="67">
        <v>200036</v>
      </c>
      <c r="X21" s="67">
        <v>701104</v>
      </c>
      <c r="Y21" s="67" t="str">
        <f t="shared" si="0"/>
        <v>TID_HeroFactionRecommend_5002_name_CN_Main</v>
      </c>
      <c r="Z21" s="67">
        <f t="shared" si="1"/>
        <v>0</v>
      </c>
      <c r="AA21" s="67" t="s">
        <v>516</v>
      </c>
      <c r="AB21" s="67">
        <f t="shared" si="2"/>
        <v>26</v>
      </c>
      <c r="AC21" s="67" t="str">
        <f t="shared" si="3"/>
        <v>200072|200031</v>
      </c>
      <c r="AD21" s="67">
        <f t="shared" si="4"/>
        <v>701001</v>
      </c>
      <c r="AE21" s="67">
        <f t="shared" si="5"/>
        <v>5</v>
      </c>
      <c r="AF21" s="67" t="str">
        <f t="shared" si="6"/>
        <v>200028|200027</v>
      </c>
      <c r="AG21" s="67">
        <f t="shared" si="7"/>
        <v>701006</v>
      </c>
      <c r="AH21" s="67">
        <f t="shared" si="8"/>
        <v>27</v>
      </c>
      <c r="AI21" s="67" t="str">
        <f t="shared" si="9"/>
        <v>200029|200036</v>
      </c>
      <c r="AJ21" s="67">
        <f t="shared" si="10"/>
        <v>701104</v>
      </c>
      <c r="AK21" s="67" t="str">
        <f>IF($AX21=0,"",VLOOKUP(AX21,'#Sheet1'!$N$2:$O$192,2,0)&amp;"|"&amp;VLOOKUP(AY21,'#Sheet1'!$N$2:$O$192,2,0))</f>
        <v>200019|200113</v>
      </c>
      <c r="AL21" s="67" t="str">
        <f>IF($AX21=0,"",VLOOKUP(AZ21,'#Sheet1'!$N$2:$O$192,2,0)&amp;"|"&amp;VLOOKUP(BA21,'#Sheet1'!$N$2:$O$192,2,0))</f>
        <v>200028|200027</v>
      </c>
      <c r="AM21" s="67" t="str">
        <f>IF($AX21=0,"",VLOOKUP(BB21,'#Sheet1'!$N$2:$O$192,2,0)&amp;"|"&amp;VLOOKUP(BC21,'#Sheet1'!$N$2:$O$192,2,0))</f>
        <v>200030|200112</v>
      </c>
      <c r="AN21" s="67" t="str">
        <f>IF($BD21=0,"",VLOOKUP(BD21,'#Sheet1'!$N$2:$O$192,2,0)&amp;"|"&amp;VLOOKUP(BE21,'#Sheet1'!$N$2:$O$192,2,0))</f>
        <v/>
      </c>
      <c r="AO21" s="67" t="str">
        <f>IF($BD21=0,"",VLOOKUP(BF21,'#Sheet1'!$N$2:$O$192,2,0)&amp;"|"&amp;VLOOKUP(BG21,'#Sheet1'!$N$2:$O$192,2,0))</f>
        <v/>
      </c>
      <c r="AP21" s="67" t="str">
        <f>IF($BD21=0,"",VLOOKUP(BH21,'#Sheet1'!$N$2:$O$192,2,0)&amp;"|"&amp;VLOOKUP(BI21,'#Sheet1'!$N$2:$O$192,2,0))</f>
        <v/>
      </c>
      <c r="AX21" s="67" t="s">
        <v>588</v>
      </c>
      <c r="AY21" s="67" t="s">
        <v>607</v>
      </c>
      <c r="AZ21" s="67" t="s">
        <v>603</v>
      </c>
      <c r="BA21" s="67" t="s">
        <v>604</v>
      </c>
      <c r="BB21" s="67" t="s">
        <v>590</v>
      </c>
      <c r="BC21" s="67" t="s">
        <v>600</v>
      </c>
    </row>
    <row r="22" spans="1:61" s="67" customFormat="1" ht="28" customHeight="1" x14ac:dyDescent="0.3">
      <c r="A22" s="67">
        <v>5003</v>
      </c>
      <c r="B22" s="67" t="s">
        <v>608</v>
      </c>
      <c r="C22" s="67" t="s">
        <v>522</v>
      </c>
      <c r="D22" s="67" t="s">
        <v>576</v>
      </c>
      <c r="E22" s="67" t="s">
        <v>595</v>
      </c>
      <c r="F22" s="67" t="s">
        <v>609</v>
      </c>
      <c r="G22" s="67">
        <v>26</v>
      </c>
      <c r="H22" s="67" t="s">
        <v>588</v>
      </c>
      <c r="I22" s="67">
        <v>200019</v>
      </c>
      <c r="J22" s="67" t="s">
        <v>589</v>
      </c>
      <c r="K22" s="67">
        <v>200031</v>
      </c>
      <c r="L22" s="67">
        <v>701001</v>
      </c>
      <c r="M22" s="67">
        <v>5</v>
      </c>
      <c r="N22" s="67" t="s">
        <v>603</v>
      </c>
      <c r="O22" s="67">
        <v>200028</v>
      </c>
      <c r="P22" s="67" t="s">
        <v>604</v>
      </c>
      <c r="Q22" s="67">
        <v>200027</v>
      </c>
      <c r="R22" s="67">
        <v>701006</v>
      </c>
      <c r="S22" s="67">
        <v>28</v>
      </c>
      <c r="T22" s="67" t="s">
        <v>532</v>
      </c>
      <c r="U22" s="67">
        <v>200011</v>
      </c>
      <c r="V22" s="67" t="s">
        <v>555</v>
      </c>
      <c r="W22" s="67">
        <v>200061</v>
      </c>
      <c r="X22" s="67">
        <v>701104</v>
      </c>
      <c r="Y22" s="67" t="str">
        <f t="shared" si="0"/>
        <v>TID_HeroFactionRecommend_5003_name_CN_Main</v>
      </c>
      <c r="Z22" s="67">
        <f t="shared" si="1"/>
        <v>0</v>
      </c>
      <c r="AA22" s="67" t="s">
        <v>516</v>
      </c>
      <c r="AB22" s="67">
        <f t="shared" si="2"/>
        <v>26</v>
      </c>
      <c r="AC22" s="67" t="str">
        <f t="shared" si="3"/>
        <v>200019|200031</v>
      </c>
      <c r="AD22" s="67">
        <f t="shared" si="4"/>
        <v>701001</v>
      </c>
      <c r="AE22" s="67">
        <f t="shared" si="5"/>
        <v>5</v>
      </c>
      <c r="AF22" s="67" t="str">
        <f t="shared" si="6"/>
        <v>200028|200027</v>
      </c>
      <c r="AG22" s="67">
        <f t="shared" si="7"/>
        <v>701006</v>
      </c>
      <c r="AH22" s="67">
        <f t="shared" si="8"/>
        <v>28</v>
      </c>
      <c r="AI22" s="67" t="str">
        <f t="shared" si="9"/>
        <v>200011|200061</v>
      </c>
      <c r="AJ22" s="67">
        <f t="shared" si="10"/>
        <v>701104</v>
      </c>
      <c r="AK22" s="67" t="str">
        <f>IF($AX22=0,"",VLOOKUP(AX22,'#Sheet1'!$N$2:$O$192,2,0)&amp;"|"&amp;VLOOKUP(AY22,'#Sheet1'!$N$2:$O$192,2,0))</f>
        <v>200078|200030</v>
      </c>
      <c r="AL22" s="67" t="str">
        <f>IF($AX22=0,"",VLOOKUP(AZ22,'#Sheet1'!$N$2:$O$192,2,0)&amp;"|"&amp;VLOOKUP(BA22,'#Sheet1'!$N$2:$O$192,2,0))</f>
        <v>200028|200027</v>
      </c>
      <c r="AM22" s="67" t="str">
        <f>IF($AX22=0,"",VLOOKUP(BB22,'#Sheet1'!$N$2:$O$192,2,0)&amp;"|"&amp;VLOOKUP(BC22,'#Sheet1'!$N$2:$O$192,2,0))</f>
        <v>200112|200007</v>
      </c>
      <c r="AN22" s="67" t="str">
        <f>IF($BD22=0,"",VLOOKUP(BD22,'#Sheet1'!$N$2:$O$192,2,0)&amp;"|"&amp;VLOOKUP(BE22,'#Sheet1'!$N$2:$O$192,2,0))</f>
        <v>200030|200032</v>
      </c>
      <c r="AO22" s="67" t="str">
        <f>IF($BD22=0,"",VLOOKUP(BF22,'#Sheet1'!$N$2:$O$192,2,0)&amp;"|"&amp;VLOOKUP(BG22,'#Sheet1'!$N$2:$O$192,2,0))</f>
        <v>200027|200026</v>
      </c>
      <c r="AP22" s="67" t="str">
        <f>IF($BD22=0,"",VLOOKUP(BH22,'#Sheet1'!$N$2:$O$192,2,0)&amp;"|"&amp;VLOOKUP(BI22,'#Sheet1'!$N$2:$O$192,2,0))</f>
        <v>200112|200025</v>
      </c>
      <c r="AX22" s="67" t="s">
        <v>599</v>
      </c>
      <c r="AY22" s="67" t="s">
        <v>590</v>
      </c>
      <c r="AZ22" s="67" t="s">
        <v>603</v>
      </c>
      <c r="BA22" s="67" t="s">
        <v>604</v>
      </c>
      <c r="BB22" s="67" t="s">
        <v>600</v>
      </c>
      <c r="BC22" s="67" t="s">
        <v>573</v>
      </c>
      <c r="BD22" s="67" t="s">
        <v>590</v>
      </c>
      <c r="BE22" s="67" t="s">
        <v>610</v>
      </c>
      <c r="BF22" s="67" t="s">
        <v>604</v>
      </c>
      <c r="BG22" s="67" t="s">
        <v>611</v>
      </c>
      <c r="BH22" s="67" t="s">
        <v>600</v>
      </c>
      <c r="BI22" s="67" t="s">
        <v>543</v>
      </c>
    </row>
    <row r="23" spans="1:61" s="67" customFormat="1" ht="42" customHeight="1" x14ac:dyDescent="0.3">
      <c r="A23" s="67">
        <v>5004</v>
      </c>
      <c r="B23" s="67" t="s">
        <v>612</v>
      </c>
      <c r="C23" s="67" t="s">
        <v>522</v>
      </c>
      <c r="D23" s="67" t="s">
        <v>576</v>
      </c>
      <c r="E23" s="67" t="s">
        <v>286</v>
      </c>
      <c r="F23" s="67" t="s">
        <v>613</v>
      </c>
      <c r="G23" s="67">
        <v>9</v>
      </c>
      <c r="H23" s="67" t="s">
        <v>588</v>
      </c>
      <c r="I23" s="67">
        <v>200019</v>
      </c>
      <c r="J23" s="67" t="s">
        <v>589</v>
      </c>
      <c r="K23" s="67">
        <v>200031</v>
      </c>
      <c r="L23" s="67">
        <v>704003</v>
      </c>
      <c r="M23" s="67">
        <v>36</v>
      </c>
      <c r="N23" s="67" t="s">
        <v>573</v>
      </c>
      <c r="O23" s="67">
        <v>200007</v>
      </c>
      <c r="P23" s="67" t="s">
        <v>555</v>
      </c>
      <c r="Q23" s="67">
        <v>200061</v>
      </c>
      <c r="R23" s="67">
        <v>704104</v>
      </c>
      <c r="S23" s="67">
        <v>28</v>
      </c>
      <c r="T23" s="67" t="s">
        <v>614</v>
      </c>
      <c r="U23" s="67">
        <v>200041</v>
      </c>
      <c r="V23" s="67" t="s">
        <v>532</v>
      </c>
      <c r="W23" s="67">
        <v>200011</v>
      </c>
      <c r="X23" s="67">
        <v>704104</v>
      </c>
      <c r="Y23" s="67" t="str">
        <f t="shared" si="0"/>
        <v>TID_HeroFactionRecommend_5004_name_CN_Main</v>
      </c>
      <c r="Z23" s="67">
        <f t="shared" si="1"/>
        <v>0</v>
      </c>
      <c r="AA23" s="67" t="s">
        <v>516</v>
      </c>
      <c r="AB23" s="67">
        <f t="shared" si="2"/>
        <v>9</v>
      </c>
      <c r="AC23" s="67" t="str">
        <f t="shared" si="3"/>
        <v>200019|200031</v>
      </c>
      <c r="AD23" s="67">
        <f t="shared" si="4"/>
        <v>704003</v>
      </c>
      <c r="AE23" s="67">
        <f t="shared" si="5"/>
        <v>36</v>
      </c>
      <c r="AF23" s="67" t="str">
        <f t="shared" si="6"/>
        <v>200007|200061</v>
      </c>
      <c r="AG23" s="67">
        <f t="shared" si="7"/>
        <v>704104</v>
      </c>
      <c r="AH23" s="67">
        <f t="shared" si="8"/>
        <v>28</v>
      </c>
      <c r="AI23" s="67" t="str">
        <f t="shared" si="9"/>
        <v>200041|200011</v>
      </c>
      <c r="AJ23" s="67">
        <f t="shared" si="10"/>
        <v>704104</v>
      </c>
      <c r="AK23" s="67" t="str">
        <f>IF($AX23=0,"",VLOOKUP(AX23,'#Sheet1'!$N$2:$O$192,2,0)&amp;"|"&amp;VLOOKUP(AY23,'#Sheet1'!$N$2:$O$192,2,0))</f>
        <v>200078|200113</v>
      </c>
      <c r="AL23" s="67" t="str">
        <f>IF($AX23=0,"",VLOOKUP(AZ23,'#Sheet1'!$N$2:$O$192,2,0)&amp;"|"&amp;VLOOKUP(BA23,'#Sheet1'!$N$2:$O$192,2,0))</f>
        <v>200020|200030</v>
      </c>
      <c r="AM23" s="67" t="str">
        <f>IF($AX23=0,"",VLOOKUP(BB23,'#Sheet1'!$N$2:$O$192,2,0)&amp;"|"&amp;VLOOKUP(BC23,'#Sheet1'!$N$2:$O$192,2,0))</f>
        <v>200112|200034</v>
      </c>
      <c r="AN23" s="67" t="str">
        <f>IF($BD23=0,"",VLOOKUP(BD23,'#Sheet1'!$N$2:$O$192,2,0)&amp;"|"&amp;VLOOKUP(BE23,'#Sheet1'!$N$2:$O$192,2,0))</f>
        <v/>
      </c>
      <c r="AO23" s="67" t="str">
        <f>IF($BD23=0,"",VLOOKUP(BF23,'#Sheet1'!$N$2:$O$192,2,0)&amp;"|"&amp;VLOOKUP(BG23,'#Sheet1'!$N$2:$O$192,2,0))</f>
        <v/>
      </c>
      <c r="AP23" s="67" t="str">
        <f>IF($BD23=0,"",VLOOKUP(BH23,'#Sheet1'!$N$2:$O$192,2,0)&amp;"|"&amp;VLOOKUP(BI23,'#Sheet1'!$N$2:$O$192,2,0))</f>
        <v/>
      </c>
      <c r="AX23" s="67" t="s">
        <v>599</v>
      </c>
      <c r="AY23" s="67" t="s">
        <v>607</v>
      </c>
      <c r="AZ23" s="67" t="s">
        <v>524</v>
      </c>
      <c r="BA23" s="67" t="s">
        <v>590</v>
      </c>
      <c r="BB23" s="67" t="s">
        <v>600</v>
      </c>
      <c r="BC23" s="67" t="s">
        <v>615</v>
      </c>
    </row>
    <row r="24" spans="1:61" s="67" customFormat="1" ht="42" customHeight="1" x14ac:dyDescent="0.3">
      <c r="A24" s="67">
        <v>5005</v>
      </c>
      <c r="B24" s="67" t="s">
        <v>616</v>
      </c>
      <c r="C24" s="67" t="s">
        <v>528</v>
      </c>
      <c r="D24" s="67" t="s">
        <v>576</v>
      </c>
      <c r="E24" s="67" t="s">
        <v>286</v>
      </c>
      <c r="F24" s="67" t="s">
        <v>617</v>
      </c>
      <c r="G24" s="67">
        <v>9</v>
      </c>
      <c r="H24" s="67" t="s">
        <v>588</v>
      </c>
      <c r="I24" s="67">
        <v>200019</v>
      </c>
      <c r="J24" s="67" t="s">
        <v>524</v>
      </c>
      <c r="K24" s="67">
        <v>200020</v>
      </c>
      <c r="L24" s="67">
        <v>704003</v>
      </c>
      <c r="M24" s="67">
        <v>36</v>
      </c>
      <c r="N24" s="67" t="s">
        <v>554</v>
      </c>
      <c r="O24" s="67">
        <v>200010</v>
      </c>
      <c r="P24" s="67" t="s">
        <v>615</v>
      </c>
      <c r="Q24" s="67">
        <v>200034</v>
      </c>
      <c r="R24" s="67">
        <v>704104</v>
      </c>
      <c r="S24" s="67">
        <v>208</v>
      </c>
      <c r="T24" s="67" t="s">
        <v>555</v>
      </c>
      <c r="U24" s="67">
        <v>200061</v>
      </c>
      <c r="V24" s="67" t="s">
        <v>584</v>
      </c>
      <c r="W24" s="67">
        <v>200043</v>
      </c>
      <c r="X24" s="67">
        <v>700202</v>
      </c>
      <c r="Y24" s="67" t="str">
        <f t="shared" si="0"/>
        <v>TID_HeroFactionRecommend_5005_name_CN_Main</v>
      </c>
      <c r="Z24" s="67">
        <f t="shared" si="1"/>
        <v>0</v>
      </c>
      <c r="AA24" s="67" t="s">
        <v>516</v>
      </c>
      <c r="AB24" s="67">
        <f t="shared" si="2"/>
        <v>9</v>
      </c>
      <c r="AC24" s="67" t="str">
        <f t="shared" si="3"/>
        <v>200019|200020</v>
      </c>
      <c r="AD24" s="67">
        <f t="shared" si="4"/>
        <v>704003</v>
      </c>
      <c r="AE24" s="67">
        <f t="shared" si="5"/>
        <v>36</v>
      </c>
      <c r="AF24" s="67" t="str">
        <f t="shared" si="6"/>
        <v>200010|200034</v>
      </c>
      <c r="AG24" s="67">
        <f t="shared" si="7"/>
        <v>704104</v>
      </c>
      <c r="AH24" s="67">
        <f t="shared" si="8"/>
        <v>208</v>
      </c>
      <c r="AI24" s="67" t="str">
        <f t="shared" si="9"/>
        <v>200061|200043</v>
      </c>
      <c r="AJ24" s="67">
        <f t="shared" si="10"/>
        <v>700202</v>
      </c>
      <c r="AK24" s="67" t="str">
        <f>IF($AX24=0,"",VLOOKUP(AX24,'#Sheet1'!$N$2:$O$192,2,0)&amp;"|"&amp;VLOOKUP(AY24,'#Sheet1'!$N$2:$O$192,2,0))</f>
        <v>200020|200030</v>
      </c>
      <c r="AL24" s="67" t="str">
        <f>IF($AX24=0,"",VLOOKUP(AZ24,'#Sheet1'!$N$2:$O$192,2,0)&amp;"|"&amp;VLOOKUP(BA24,'#Sheet1'!$N$2:$O$192,2,0))</f>
        <v>200034|200113</v>
      </c>
      <c r="AM24" s="67" t="str">
        <f>IF($AX24=0,"",VLOOKUP(BB24,'#Sheet1'!$N$2:$O$192,2,0)&amp;"|"&amp;VLOOKUP(BC24,'#Sheet1'!$N$2:$O$192,2,0))</f>
        <v>200025|200045</v>
      </c>
      <c r="AN24" s="67" t="str">
        <f>IF($BD24=0,"",VLOOKUP(BD24,'#Sheet1'!$N$2:$O$192,2,0)&amp;"|"&amp;VLOOKUP(BE24,'#Sheet1'!$N$2:$O$192,2,0))</f>
        <v/>
      </c>
      <c r="AO24" s="67" t="str">
        <f>IF($BD24=0,"",VLOOKUP(BF24,'#Sheet1'!$N$2:$O$192,2,0)&amp;"|"&amp;VLOOKUP(BG24,'#Sheet1'!$N$2:$O$192,2,0))</f>
        <v/>
      </c>
      <c r="AP24" s="67" t="str">
        <f>IF($BD24=0,"",VLOOKUP(BH24,'#Sheet1'!$N$2:$O$192,2,0)&amp;"|"&amp;VLOOKUP(BI24,'#Sheet1'!$N$2:$O$192,2,0))</f>
        <v/>
      </c>
      <c r="AX24" s="67" t="s">
        <v>524</v>
      </c>
      <c r="AY24" s="67" t="s">
        <v>590</v>
      </c>
      <c r="AZ24" s="67" t="s">
        <v>615</v>
      </c>
      <c r="BA24" s="67" t="s">
        <v>607</v>
      </c>
      <c r="BB24" s="67" t="s">
        <v>543</v>
      </c>
      <c r="BC24" s="67" t="s">
        <v>568</v>
      </c>
    </row>
    <row r="25" spans="1:61" s="67" customFormat="1" ht="28" customHeight="1" x14ac:dyDescent="0.3">
      <c r="A25" s="67">
        <v>5006</v>
      </c>
      <c r="B25" s="67" t="s">
        <v>618</v>
      </c>
      <c r="C25" s="67" t="s">
        <v>528</v>
      </c>
      <c r="D25" s="67" t="s">
        <v>576</v>
      </c>
      <c r="E25" s="67" t="s">
        <v>595</v>
      </c>
      <c r="F25" s="67" t="s">
        <v>619</v>
      </c>
      <c r="G25" s="67">
        <v>5</v>
      </c>
      <c r="H25" s="67" t="s">
        <v>603</v>
      </c>
      <c r="I25" s="67">
        <v>200028</v>
      </c>
      <c r="J25" s="67" t="s">
        <v>604</v>
      </c>
      <c r="K25" s="67">
        <v>200027</v>
      </c>
      <c r="L25" s="67">
        <v>701006</v>
      </c>
      <c r="M25" s="67">
        <v>202</v>
      </c>
      <c r="N25" s="67" t="s">
        <v>590</v>
      </c>
      <c r="O25" s="67">
        <v>200030</v>
      </c>
      <c r="P25" s="67" t="s">
        <v>524</v>
      </c>
      <c r="Q25" s="67">
        <v>200020</v>
      </c>
      <c r="R25" s="67">
        <v>701001</v>
      </c>
      <c r="S25" s="67">
        <v>28</v>
      </c>
      <c r="T25" s="67" t="s">
        <v>615</v>
      </c>
      <c r="U25" s="67">
        <v>200034</v>
      </c>
      <c r="V25" s="67" t="s">
        <v>555</v>
      </c>
      <c r="W25" s="67">
        <v>200061</v>
      </c>
      <c r="X25" s="67">
        <v>701104</v>
      </c>
      <c r="Y25" s="67" t="str">
        <f t="shared" si="0"/>
        <v>TID_HeroFactionRecommend_5006_name_CN_Main</v>
      </c>
      <c r="Z25" s="67">
        <f t="shared" si="1"/>
        <v>0</v>
      </c>
      <c r="AA25" s="67" t="s">
        <v>516</v>
      </c>
      <c r="AB25" s="67">
        <f t="shared" si="2"/>
        <v>5</v>
      </c>
      <c r="AC25" s="67" t="str">
        <f t="shared" si="3"/>
        <v>200028|200027</v>
      </c>
      <c r="AD25" s="67">
        <f t="shared" si="4"/>
        <v>701006</v>
      </c>
      <c r="AE25" s="67">
        <f t="shared" si="5"/>
        <v>202</v>
      </c>
      <c r="AF25" s="67" t="str">
        <f t="shared" si="6"/>
        <v>200030|200020</v>
      </c>
      <c r="AG25" s="67">
        <f t="shared" si="7"/>
        <v>701001</v>
      </c>
      <c r="AH25" s="67">
        <f t="shared" si="8"/>
        <v>28</v>
      </c>
      <c r="AI25" s="67" t="str">
        <f t="shared" si="9"/>
        <v>200034|200061</v>
      </c>
      <c r="AJ25" s="67">
        <f t="shared" si="10"/>
        <v>701104</v>
      </c>
      <c r="AK25" s="67" t="str">
        <f>IF($AX25=0,"",VLOOKUP(AX25,'#Sheet1'!$N$2:$O$192,2,0)&amp;"|"&amp;VLOOKUP(AY25,'#Sheet1'!$N$2:$O$192,2,0))</f>
        <v>200028|200027</v>
      </c>
      <c r="AL25" s="67" t="str">
        <f>IF($AX25=0,"",VLOOKUP(AZ25,'#Sheet1'!$N$2:$O$192,2,0)&amp;"|"&amp;VLOOKUP(BA25,'#Sheet1'!$N$2:$O$192,2,0))</f>
        <v>200026|200113</v>
      </c>
      <c r="AM25" s="67" t="str">
        <f>IF($AX25=0,"",VLOOKUP(BB25,'#Sheet1'!$N$2:$O$192,2,0)&amp;"|"&amp;VLOOKUP(BC25,'#Sheet1'!$N$2:$O$192,2,0))</f>
        <v>200034|200025</v>
      </c>
      <c r="AN25" s="67" t="str">
        <f>IF($BD25=0,"",VLOOKUP(BD25,'#Sheet1'!$N$2:$O$192,2,0)&amp;"|"&amp;VLOOKUP(BE25,'#Sheet1'!$N$2:$O$192,2,0))</f>
        <v/>
      </c>
      <c r="AO25" s="67" t="str">
        <f>IF($BD25=0,"",VLOOKUP(BF25,'#Sheet1'!$N$2:$O$192,2,0)&amp;"|"&amp;VLOOKUP(BG25,'#Sheet1'!$N$2:$O$192,2,0))</f>
        <v/>
      </c>
      <c r="AP25" s="67" t="str">
        <f>IF($BD25=0,"",VLOOKUP(BH25,'#Sheet1'!$N$2:$O$192,2,0)&amp;"|"&amp;VLOOKUP(BI25,'#Sheet1'!$N$2:$O$192,2,0))</f>
        <v/>
      </c>
      <c r="AX25" s="67" t="s">
        <v>603</v>
      </c>
      <c r="AY25" s="67" t="s">
        <v>604</v>
      </c>
      <c r="AZ25" s="67" t="s">
        <v>611</v>
      </c>
      <c r="BA25" s="67" t="s">
        <v>607</v>
      </c>
      <c r="BB25" s="67" t="s">
        <v>615</v>
      </c>
      <c r="BC25" s="67" t="s">
        <v>543</v>
      </c>
    </row>
    <row r="26" spans="1:61" s="71" customFormat="1" ht="42" customHeight="1" x14ac:dyDescent="0.3">
      <c r="A26" s="71">
        <v>6001</v>
      </c>
      <c r="B26" s="71" t="s">
        <v>620</v>
      </c>
      <c r="C26" s="71" t="s">
        <v>507</v>
      </c>
      <c r="D26" s="71" t="s">
        <v>508</v>
      </c>
      <c r="E26" s="71" t="s">
        <v>595</v>
      </c>
      <c r="F26" s="71" t="s">
        <v>621</v>
      </c>
      <c r="G26" s="71">
        <v>23</v>
      </c>
      <c r="H26" s="71" t="s">
        <v>622</v>
      </c>
      <c r="I26" s="71">
        <v>200079</v>
      </c>
      <c r="J26" s="71" t="s">
        <v>623</v>
      </c>
      <c r="K26" s="71">
        <v>200018</v>
      </c>
      <c r="L26" s="71">
        <v>701005</v>
      </c>
      <c r="M26" s="71">
        <v>35</v>
      </c>
      <c r="N26" s="71" t="s">
        <v>597</v>
      </c>
      <c r="O26" s="71">
        <v>200072</v>
      </c>
      <c r="P26" s="71" t="s">
        <v>589</v>
      </c>
      <c r="Q26" s="71">
        <v>200031</v>
      </c>
      <c r="R26" s="71">
        <v>701001</v>
      </c>
      <c r="S26" s="71">
        <v>10</v>
      </c>
      <c r="T26" s="71" t="s">
        <v>554</v>
      </c>
      <c r="U26" s="71">
        <v>200010</v>
      </c>
      <c r="V26" s="71" t="s">
        <v>525</v>
      </c>
      <c r="W26" s="71">
        <v>200074</v>
      </c>
      <c r="X26" s="71">
        <v>701004</v>
      </c>
      <c r="Y26" s="71" t="str">
        <f t="shared" si="0"/>
        <v>TID_HeroFactionRecommend_6001_name_CN_Main</v>
      </c>
      <c r="Z26" s="71">
        <f t="shared" si="1"/>
        <v>0</v>
      </c>
      <c r="AA26" s="71" t="s">
        <v>516</v>
      </c>
      <c r="AB26" s="71">
        <f t="shared" si="2"/>
        <v>23</v>
      </c>
      <c r="AC26" s="71" t="str">
        <f t="shared" si="3"/>
        <v>200079|200018</v>
      </c>
      <c r="AD26" s="71">
        <f t="shared" si="4"/>
        <v>701005</v>
      </c>
      <c r="AE26" s="71">
        <f t="shared" si="5"/>
        <v>35</v>
      </c>
      <c r="AF26" s="71" t="str">
        <f t="shared" si="6"/>
        <v>200072|200031</v>
      </c>
      <c r="AG26" s="71">
        <f t="shared" si="7"/>
        <v>701001</v>
      </c>
      <c r="AH26" s="71">
        <f t="shared" si="8"/>
        <v>10</v>
      </c>
      <c r="AI26" s="71" t="str">
        <f t="shared" si="9"/>
        <v>200010|200074</v>
      </c>
      <c r="AJ26" s="71">
        <f t="shared" si="10"/>
        <v>701004</v>
      </c>
      <c r="AK26" s="71" t="str">
        <f>IF($AX26=0,"",VLOOKUP(AX26,'#Sheet1'!$N$2:$O$192,2,0)&amp;"|"&amp;VLOOKUP(AY26,'#Sheet1'!$N$2:$O$192,2,0))</f>
        <v>200115|200020</v>
      </c>
      <c r="AL26" s="71" t="str">
        <f>IF($AX26=0,"",VLOOKUP(AZ26,'#Sheet1'!$N$2:$O$192,2,0)&amp;"|"&amp;VLOOKUP(BA26,'#Sheet1'!$N$2:$O$192,2,0))</f>
        <v>200030|200113</v>
      </c>
      <c r="AM26" s="71" t="str">
        <f>IF($AX26=0,"",VLOOKUP(BB26,'#Sheet1'!$N$2:$O$192,2,0)&amp;"|"&amp;VLOOKUP(BC26,'#Sheet1'!$N$2:$O$192,2,0))</f>
        <v>200021|200034</v>
      </c>
      <c r="AN26" s="71" t="str">
        <f>IF($BD26=0,"",VLOOKUP(BD26,'#Sheet1'!$N$2:$O$192,2,0)&amp;"|"&amp;VLOOKUP(BE26,'#Sheet1'!$N$2:$O$192,2,0))</f>
        <v/>
      </c>
      <c r="AO26" s="71" t="str">
        <f>IF($BD26=0,"",VLOOKUP(BF26,'#Sheet1'!$N$2:$O$192,2,0)&amp;"|"&amp;VLOOKUP(BG26,'#Sheet1'!$N$2:$O$192,2,0))</f>
        <v/>
      </c>
      <c r="AP26" s="71" t="str">
        <f>IF($BD26=0,"",VLOOKUP(BH26,'#Sheet1'!$N$2:$O$192,2,0)&amp;"|"&amp;VLOOKUP(BI26,'#Sheet1'!$N$2:$O$192,2,0))</f>
        <v/>
      </c>
      <c r="AX26" s="71" t="s">
        <v>526</v>
      </c>
      <c r="AY26" s="71" t="s">
        <v>524</v>
      </c>
      <c r="AZ26" s="71" t="s">
        <v>590</v>
      </c>
      <c r="BA26" s="71" t="s">
        <v>607</v>
      </c>
      <c r="BB26" s="71" t="s">
        <v>519</v>
      </c>
      <c r="BC26" s="71" t="s">
        <v>615</v>
      </c>
    </row>
    <row r="27" spans="1:61" s="71" customFormat="1" ht="28" customHeight="1" x14ac:dyDescent="0.3">
      <c r="A27" s="71">
        <v>6002</v>
      </c>
      <c r="B27" s="71" t="s">
        <v>624</v>
      </c>
      <c r="C27" s="71" t="s">
        <v>522</v>
      </c>
      <c r="D27" s="71" t="s">
        <v>508</v>
      </c>
      <c r="E27" s="71" t="s">
        <v>595</v>
      </c>
      <c r="F27" s="71" t="s">
        <v>625</v>
      </c>
      <c r="G27" s="71">
        <v>23</v>
      </c>
      <c r="H27" s="71" t="s">
        <v>623</v>
      </c>
      <c r="I27" s="71">
        <v>200018</v>
      </c>
      <c r="J27" s="71" t="s">
        <v>525</v>
      </c>
      <c r="K27" s="71">
        <v>200074</v>
      </c>
      <c r="L27" s="71">
        <v>701005</v>
      </c>
      <c r="M27" s="71">
        <v>4</v>
      </c>
      <c r="N27" s="71" t="s">
        <v>515</v>
      </c>
      <c r="O27" s="71">
        <v>200060</v>
      </c>
      <c r="P27" s="71" t="s">
        <v>530</v>
      </c>
      <c r="Q27" s="71">
        <v>200047</v>
      </c>
      <c r="R27" s="71">
        <v>701005</v>
      </c>
      <c r="S27" s="71">
        <v>10</v>
      </c>
      <c r="T27" s="71" t="s">
        <v>554</v>
      </c>
      <c r="U27" s="71">
        <v>200010</v>
      </c>
      <c r="V27" s="71" t="s">
        <v>532</v>
      </c>
      <c r="W27" s="71">
        <v>200011</v>
      </c>
      <c r="X27" s="71">
        <v>701004</v>
      </c>
      <c r="Y27" s="71" t="str">
        <f t="shared" si="0"/>
        <v>TID_HeroFactionRecommend_6002_name_CN_Main</v>
      </c>
      <c r="Z27" s="71">
        <f t="shared" si="1"/>
        <v>0</v>
      </c>
      <c r="AA27" s="71" t="s">
        <v>516</v>
      </c>
      <c r="AB27" s="71">
        <f t="shared" si="2"/>
        <v>23</v>
      </c>
      <c r="AC27" s="71" t="str">
        <f t="shared" si="3"/>
        <v>200018|200074</v>
      </c>
      <c r="AD27" s="71">
        <f t="shared" si="4"/>
        <v>701005</v>
      </c>
      <c r="AE27" s="71">
        <f t="shared" si="5"/>
        <v>4</v>
      </c>
      <c r="AF27" s="71" t="str">
        <f t="shared" si="6"/>
        <v>200060|200047</v>
      </c>
      <c r="AG27" s="71">
        <f t="shared" si="7"/>
        <v>701005</v>
      </c>
      <c r="AH27" s="71">
        <f t="shared" si="8"/>
        <v>10</v>
      </c>
      <c r="AI27" s="71" t="str">
        <f t="shared" si="9"/>
        <v>200010|200011</v>
      </c>
      <c r="AJ27" s="71">
        <f t="shared" si="10"/>
        <v>701004</v>
      </c>
      <c r="AK27" s="71" t="str">
        <f>IF($AX27=0,"",VLOOKUP(AX27,'#Sheet1'!$N$2:$O$192,2,0)&amp;"|"&amp;VLOOKUP(AY27,'#Sheet1'!$N$2:$O$192,2,0))</f>
        <v>200115|200020</v>
      </c>
      <c r="AL27" s="71" t="str">
        <f>IF($AX27=0,"",VLOOKUP(AZ27,'#Sheet1'!$N$2:$O$192,2,0)&amp;"|"&amp;VLOOKUP(BA27,'#Sheet1'!$N$2:$O$192,2,0))</f>
        <v>200021|200035</v>
      </c>
      <c r="AM27" s="71" t="str">
        <f>IF($AX27=0,"",VLOOKUP(BB27,'#Sheet1'!$N$2:$O$192,2,0)&amp;"|"&amp;VLOOKUP(BC27,'#Sheet1'!$N$2:$O$192,2,0))</f>
        <v>200034|200112</v>
      </c>
      <c r="AN27" s="71" t="str">
        <f>IF($BD27=0,"",VLOOKUP(BD27,'#Sheet1'!$N$2:$O$192,2,0)&amp;"|"&amp;VLOOKUP(BE27,'#Sheet1'!$N$2:$O$192,2,0))</f>
        <v/>
      </c>
      <c r="AO27" s="71" t="str">
        <f>IF($BD27=0,"",VLOOKUP(BF27,'#Sheet1'!$N$2:$O$192,2,0)&amp;"|"&amp;VLOOKUP(BG27,'#Sheet1'!$N$2:$O$192,2,0))</f>
        <v/>
      </c>
      <c r="AP27" s="71" t="str">
        <f>IF($BD27=0,"",VLOOKUP(BH27,'#Sheet1'!$N$2:$O$192,2,0)&amp;"|"&amp;VLOOKUP(BI27,'#Sheet1'!$N$2:$O$192,2,0))</f>
        <v/>
      </c>
      <c r="AX27" s="71" t="s">
        <v>526</v>
      </c>
      <c r="AY27" s="71" t="s">
        <v>524</v>
      </c>
      <c r="AZ27" s="71" t="s">
        <v>519</v>
      </c>
      <c r="BA27" s="71" t="s">
        <v>626</v>
      </c>
      <c r="BB27" s="71" t="s">
        <v>615</v>
      </c>
      <c r="BC27" s="71" t="s">
        <v>600</v>
      </c>
    </row>
    <row r="28" spans="1:61" s="71" customFormat="1" ht="28" customHeight="1" x14ac:dyDescent="0.3">
      <c r="A28" s="71">
        <v>6003</v>
      </c>
      <c r="B28" s="71" t="s">
        <v>627</v>
      </c>
      <c r="C28" s="71" t="s">
        <v>522</v>
      </c>
      <c r="D28" s="71" t="s">
        <v>508</v>
      </c>
      <c r="E28" s="71" t="s">
        <v>595</v>
      </c>
      <c r="F28" s="71" t="s">
        <v>628</v>
      </c>
      <c r="G28" s="71">
        <v>35</v>
      </c>
      <c r="H28" s="71" t="s">
        <v>597</v>
      </c>
      <c r="I28" s="71">
        <v>200072</v>
      </c>
      <c r="J28" s="71" t="s">
        <v>589</v>
      </c>
      <c r="K28" s="71">
        <v>200031</v>
      </c>
      <c r="L28" s="71">
        <v>701001</v>
      </c>
      <c r="M28" s="71">
        <v>10</v>
      </c>
      <c r="N28" s="71" t="s">
        <v>554</v>
      </c>
      <c r="O28" s="71">
        <v>200010</v>
      </c>
      <c r="P28" s="71" t="s">
        <v>530</v>
      </c>
      <c r="Q28" s="71">
        <v>200047</v>
      </c>
      <c r="R28" s="71">
        <v>701004</v>
      </c>
      <c r="S28" s="71">
        <v>4</v>
      </c>
      <c r="T28" s="71" t="s">
        <v>524</v>
      </c>
      <c r="U28" s="71">
        <v>200020</v>
      </c>
      <c r="V28" s="71" t="s">
        <v>525</v>
      </c>
      <c r="W28" s="71">
        <v>200074</v>
      </c>
      <c r="X28" s="71">
        <v>701005</v>
      </c>
      <c r="Y28" s="71" t="str">
        <f t="shared" si="0"/>
        <v>TID_HeroFactionRecommend_6003_name_CN_Main</v>
      </c>
      <c r="Z28" s="71">
        <f t="shared" si="1"/>
        <v>0</v>
      </c>
      <c r="AA28" s="71" t="s">
        <v>516</v>
      </c>
      <c r="AB28" s="71">
        <f t="shared" si="2"/>
        <v>35</v>
      </c>
      <c r="AC28" s="71" t="str">
        <f t="shared" si="3"/>
        <v>200072|200031</v>
      </c>
      <c r="AD28" s="71">
        <f t="shared" si="4"/>
        <v>701001</v>
      </c>
      <c r="AE28" s="71">
        <f t="shared" si="5"/>
        <v>10</v>
      </c>
      <c r="AF28" s="71" t="str">
        <f t="shared" si="6"/>
        <v>200010|200047</v>
      </c>
      <c r="AG28" s="71">
        <f t="shared" si="7"/>
        <v>701004</v>
      </c>
      <c r="AH28" s="71">
        <f t="shared" si="8"/>
        <v>4</v>
      </c>
      <c r="AI28" s="71" t="str">
        <f t="shared" si="9"/>
        <v>200020|200074</v>
      </c>
      <c r="AJ28" s="71">
        <f t="shared" si="10"/>
        <v>701005</v>
      </c>
      <c r="AK28" s="71" t="str">
        <f>IF($AX28=0,"",VLOOKUP(AX28,'#Sheet1'!$N$2:$O$192,2,0)&amp;"|"&amp;VLOOKUP(AY28,'#Sheet1'!$N$2:$O$192,2,0))</f>
        <v>200019|200113</v>
      </c>
      <c r="AL28" s="71" t="str">
        <f>IF($AX28=0,"",VLOOKUP(AZ28,'#Sheet1'!$N$2:$O$192,2,0)&amp;"|"&amp;VLOOKUP(BA28,'#Sheet1'!$N$2:$O$192,2,0))</f>
        <v>200011|200112</v>
      </c>
      <c r="AM28" s="71" t="str">
        <f>IF($AX28=0,"",VLOOKUP(BB28,'#Sheet1'!$N$2:$O$192,2,0)&amp;"|"&amp;VLOOKUP(BC28,'#Sheet1'!$N$2:$O$192,2,0))</f>
        <v>200020|200115</v>
      </c>
      <c r="AN28" s="71" t="str">
        <f>IF($BD28=0,"",VLOOKUP(BD28,'#Sheet1'!$N$2:$O$192,2,0)&amp;"|"&amp;VLOOKUP(BE28,'#Sheet1'!$N$2:$O$192,2,0))</f>
        <v/>
      </c>
      <c r="AO28" s="71" t="str">
        <f>IF($BD28=0,"",VLOOKUP(BF28,'#Sheet1'!$N$2:$O$192,2,0)&amp;"|"&amp;VLOOKUP(BG28,'#Sheet1'!$N$2:$O$192,2,0))</f>
        <v/>
      </c>
      <c r="AP28" s="71" t="str">
        <f>IF($BD28=0,"",VLOOKUP(BH28,'#Sheet1'!$N$2:$O$192,2,0)&amp;"|"&amp;VLOOKUP(BI28,'#Sheet1'!$N$2:$O$192,2,0))</f>
        <v/>
      </c>
      <c r="AX28" s="71" t="s">
        <v>588</v>
      </c>
      <c r="AY28" s="71" t="s">
        <v>607</v>
      </c>
      <c r="AZ28" s="71" t="s">
        <v>532</v>
      </c>
      <c r="BA28" s="71" t="s">
        <v>600</v>
      </c>
      <c r="BB28" s="71" t="s">
        <v>524</v>
      </c>
      <c r="BC28" s="71" t="s">
        <v>526</v>
      </c>
    </row>
    <row r="29" spans="1:61" s="67" customFormat="1" ht="28" customHeight="1" x14ac:dyDescent="0.3">
      <c r="A29" s="67">
        <v>7001</v>
      </c>
      <c r="B29" s="67" t="s">
        <v>629</v>
      </c>
      <c r="C29" s="67" t="s">
        <v>545</v>
      </c>
      <c r="D29" s="67" t="s">
        <v>546</v>
      </c>
      <c r="E29" s="67" t="s">
        <v>286</v>
      </c>
      <c r="F29" s="67" t="s">
        <v>630</v>
      </c>
      <c r="G29" s="67">
        <v>15</v>
      </c>
      <c r="H29" s="67" t="s">
        <v>510</v>
      </c>
      <c r="I29" s="67">
        <v>200016</v>
      </c>
      <c r="J29" s="67" t="s">
        <v>513</v>
      </c>
      <c r="K29" s="67">
        <v>200008</v>
      </c>
      <c r="L29" s="67">
        <v>704001</v>
      </c>
      <c r="M29" s="67">
        <v>12</v>
      </c>
      <c r="N29" s="67" t="s">
        <v>599</v>
      </c>
      <c r="O29" s="67">
        <v>200078</v>
      </c>
      <c r="P29" s="67" t="s">
        <v>631</v>
      </c>
      <c r="Q29" s="67">
        <v>200023</v>
      </c>
      <c r="R29" s="67">
        <v>704101</v>
      </c>
      <c r="S29" s="67">
        <v>6</v>
      </c>
      <c r="T29" s="67" t="s">
        <v>514</v>
      </c>
      <c r="U29" s="67">
        <v>200064</v>
      </c>
      <c r="V29" s="67" t="s">
        <v>632</v>
      </c>
      <c r="W29" s="67">
        <v>200022</v>
      </c>
      <c r="X29" s="67">
        <v>704001</v>
      </c>
      <c r="Y29" s="67" t="str">
        <f t="shared" si="0"/>
        <v>TID_HeroFactionRecommend_7001_name_CN_Main</v>
      </c>
      <c r="Z29" s="67">
        <f t="shared" si="1"/>
        <v>0</v>
      </c>
      <c r="AA29" s="67" t="s">
        <v>516</v>
      </c>
      <c r="AB29" s="67">
        <f t="shared" si="2"/>
        <v>15</v>
      </c>
      <c r="AC29" s="67" t="str">
        <f t="shared" si="3"/>
        <v>200016|200008</v>
      </c>
      <c r="AD29" s="67">
        <f t="shared" si="4"/>
        <v>704001</v>
      </c>
      <c r="AE29" s="67">
        <f t="shared" si="5"/>
        <v>12</v>
      </c>
      <c r="AF29" s="67" t="str">
        <f t="shared" si="6"/>
        <v>200078|200023</v>
      </c>
      <c r="AG29" s="67">
        <f t="shared" si="7"/>
        <v>704101</v>
      </c>
      <c r="AH29" s="67">
        <f t="shared" si="8"/>
        <v>6</v>
      </c>
      <c r="AI29" s="67" t="str">
        <f t="shared" si="9"/>
        <v>200064|200022</v>
      </c>
      <c r="AJ29" s="67">
        <f t="shared" si="10"/>
        <v>704001</v>
      </c>
      <c r="AK29" s="67" t="str">
        <f>IF($AX29=0,"",VLOOKUP(AX29,'#Sheet1'!$N$2:$O$192,2,0)&amp;"|"&amp;VLOOKUP(AY29,'#Sheet1'!$N$2:$O$192,2,0))</f>
        <v>200016|200060</v>
      </c>
      <c r="AL29" s="67" t="str">
        <f>IF($AX29=0,"",VLOOKUP(AZ29,'#Sheet1'!$N$2:$O$192,2,0)&amp;"|"&amp;VLOOKUP(BA29,'#Sheet1'!$N$2:$O$192,2,0))</f>
        <v>200011|200024</v>
      </c>
      <c r="AM29" s="67" t="str">
        <f>IF($AX29=0,"",VLOOKUP(BB29,'#Sheet1'!$N$2:$O$192,2,0)&amp;"|"&amp;VLOOKUP(BC29,'#Sheet1'!$N$2:$O$192,2,0))</f>
        <v>200047|200015</v>
      </c>
      <c r="AN29" s="67" t="str">
        <f>IF($BD29=0,"",VLOOKUP(BD29,'#Sheet1'!$N$2:$O$192,2,0)&amp;"|"&amp;VLOOKUP(BE29,'#Sheet1'!$N$2:$O$192,2,0))</f>
        <v/>
      </c>
      <c r="AO29" s="67" t="str">
        <f>IF($BD29=0,"",VLOOKUP(BF29,'#Sheet1'!$N$2:$O$192,2,0)&amp;"|"&amp;VLOOKUP(BG29,'#Sheet1'!$N$2:$O$192,2,0))</f>
        <v/>
      </c>
      <c r="AP29" s="67" t="str">
        <f>IF($BD29=0,"",VLOOKUP(BH29,'#Sheet1'!$N$2:$O$192,2,0)&amp;"|"&amp;VLOOKUP(BI29,'#Sheet1'!$N$2:$O$192,2,0))</f>
        <v/>
      </c>
      <c r="AX29" s="67" t="s">
        <v>510</v>
      </c>
      <c r="AY29" s="67" t="s">
        <v>515</v>
      </c>
      <c r="AZ29" s="67" t="s">
        <v>532</v>
      </c>
      <c r="BA29" s="67" t="s">
        <v>633</v>
      </c>
      <c r="BB29" s="67" t="s">
        <v>530</v>
      </c>
      <c r="BC29" s="67" t="s">
        <v>517</v>
      </c>
    </row>
    <row r="30" spans="1:61" s="67" customFormat="1" ht="28" customHeight="1" x14ac:dyDescent="0.3">
      <c r="A30" s="67">
        <v>7002</v>
      </c>
      <c r="B30" s="67" t="s">
        <v>634</v>
      </c>
      <c r="C30" s="67" t="s">
        <v>528</v>
      </c>
      <c r="D30" s="67" t="s">
        <v>546</v>
      </c>
      <c r="E30" s="67" t="s">
        <v>286</v>
      </c>
      <c r="F30" s="67" t="s">
        <v>635</v>
      </c>
      <c r="G30" s="67">
        <v>6</v>
      </c>
      <c r="H30" s="67" t="s">
        <v>515</v>
      </c>
      <c r="I30" s="67">
        <v>200060</v>
      </c>
      <c r="J30" s="67" t="s">
        <v>530</v>
      </c>
      <c r="K30" s="67">
        <v>200047</v>
      </c>
      <c r="L30" s="67">
        <v>704103</v>
      </c>
      <c r="M30" s="67">
        <v>8</v>
      </c>
      <c r="N30" s="67" t="s">
        <v>352</v>
      </c>
      <c r="O30" s="67">
        <v>200039</v>
      </c>
      <c r="P30" s="67" t="s">
        <v>623</v>
      </c>
      <c r="Q30" s="67">
        <v>200018</v>
      </c>
      <c r="R30" s="67">
        <v>704102</v>
      </c>
      <c r="S30" s="67">
        <v>204</v>
      </c>
      <c r="T30" s="67" t="s">
        <v>539</v>
      </c>
      <c r="U30" s="67">
        <v>200001</v>
      </c>
      <c r="V30" s="67" t="s">
        <v>542</v>
      </c>
      <c r="W30" s="67">
        <v>200014</v>
      </c>
      <c r="X30" s="67">
        <v>700201</v>
      </c>
      <c r="Y30" s="67" t="str">
        <f t="shared" si="0"/>
        <v>TID_HeroFactionRecommend_7002_name_CN_Main</v>
      </c>
      <c r="Z30" s="67">
        <f t="shared" si="1"/>
        <v>0</v>
      </c>
      <c r="AA30" s="67" t="s">
        <v>516</v>
      </c>
      <c r="AB30" s="67">
        <f t="shared" si="2"/>
        <v>6</v>
      </c>
      <c r="AC30" s="67" t="str">
        <f t="shared" si="3"/>
        <v>200060|200047</v>
      </c>
      <c r="AD30" s="67">
        <f t="shared" si="4"/>
        <v>704103</v>
      </c>
      <c r="AE30" s="67">
        <f t="shared" si="5"/>
        <v>8</v>
      </c>
      <c r="AF30" s="67" t="str">
        <f t="shared" si="6"/>
        <v>200039|200018</v>
      </c>
      <c r="AG30" s="67">
        <f t="shared" si="7"/>
        <v>704102</v>
      </c>
      <c r="AH30" s="67">
        <f t="shared" si="8"/>
        <v>204</v>
      </c>
      <c r="AI30" s="67" t="str">
        <f t="shared" si="9"/>
        <v>200001|200014</v>
      </c>
      <c r="AJ30" s="67">
        <f t="shared" si="10"/>
        <v>700201</v>
      </c>
      <c r="AK30" s="67" t="str">
        <f>IF($AX30=0,"",VLOOKUP(AX30,'#Sheet1'!$N$2:$O$192,2,0)&amp;"|"&amp;VLOOKUP(AY30,'#Sheet1'!$N$2:$O$192,2,0))</f>
        <v>200114|200021</v>
      </c>
      <c r="AL30" s="67" t="str">
        <f>IF($AX30=0,"",VLOOKUP(AZ30,'#Sheet1'!$N$2:$O$192,2,0)&amp;"|"&amp;VLOOKUP(BA30,'#Sheet1'!$N$2:$O$192,2,0))</f>
        <v>200014|200025</v>
      </c>
      <c r="AM30" s="67" t="str">
        <f>IF($AX30=0,"",VLOOKUP(BB30,'#Sheet1'!$N$2:$O$192,2,0)&amp;"|"&amp;VLOOKUP(BC30,'#Sheet1'!$N$2:$O$192,2,0))</f>
        <v>200017|200124</v>
      </c>
      <c r="AN30" s="67" t="str">
        <f>IF($BD30=0,"",VLOOKUP(BD30,'#Sheet1'!$N$2:$O$192,2,0)&amp;"|"&amp;VLOOKUP(BE30,'#Sheet1'!$N$2:$O$192,2,0))</f>
        <v/>
      </c>
      <c r="AO30" s="67" t="str">
        <f>IF($BD30=0,"",VLOOKUP(BF30,'#Sheet1'!$N$2:$O$192,2,0)&amp;"|"&amp;VLOOKUP(BG30,'#Sheet1'!$N$2:$O$192,2,0))</f>
        <v/>
      </c>
      <c r="AP30" s="67" t="str">
        <f>IF($BD30=0,"",VLOOKUP(BH30,'#Sheet1'!$N$2:$O$192,2,0)&amp;"|"&amp;VLOOKUP(BI30,'#Sheet1'!$N$2:$O$192,2,0))</f>
        <v/>
      </c>
      <c r="AX30" s="67" t="s">
        <v>636</v>
      </c>
      <c r="AY30" s="67" t="s">
        <v>519</v>
      </c>
      <c r="AZ30" s="67" t="s">
        <v>542</v>
      </c>
      <c r="BA30" s="67" t="s">
        <v>543</v>
      </c>
      <c r="BB30" s="67" t="s">
        <v>637</v>
      </c>
      <c r="BC30" s="67" t="s">
        <v>638</v>
      </c>
    </row>
  </sheetData>
  <phoneticPr fontId="1"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218"/>
  <sheetViews>
    <sheetView workbookViewId="0">
      <selection activeCell="N162" sqref="N162"/>
    </sheetView>
  </sheetViews>
  <sheetFormatPr defaultColWidth="9" defaultRowHeight="14.5" x14ac:dyDescent="0.4"/>
  <cols>
    <col min="1" max="5" width="9.08203125" style="29" customWidth="1"/>
    <col min="6" max="7" width="9" style="29" customWidth="1"/>
    <col min="8" max="8" width="10.5" style="29" customWidth="1"/>
    <col min="9" max="9" width="9" style="29" customWidth="1"/>
    <col min="10" max="10" width="10.5" style="29" customWidth="1"/>
    <col min="11" max="12" width="9" style="29" customWidth="1"/>
    <col min="13" max="13" width="9.83203125" style="30" customWidth="1"/>
    <col min="14" max="14" width="9" style="30" customWidth="1"/>
    <col min="15" max="15" width="9.83203125" style="30" customWidth="1"/>
    <col min="16" max="20" width="9" style="29" customWidth="1"/>
    <col min="21" max="23" width="9.08203125" style="29" customWidth="1"/>
    <col min="24" max="25" width="9" style="29" customWidth="1"/>
    <col min="26" max="26" width="9.08203125" style="29" customWidth="1"/>
    <col min="27" max="28" width="9" style="29" customWidth="1"/>
    <col min="29" max="16384" width="9" style="29"/>
  </cols>
  <sheetData>
    <row r="1" spans="1:31" x14ac:dyDescent="0.4">
      <c r="A1" s="28" t="s">
        <v>435</v>
      </c>
      <c r="B1" s="28" t="s">
        <v>639</v>
      </c>
      <c r="C1" s="28" t="s">
        <v>640</v>
      </c>
      <c r="D1" s="28" t="s">
        <v>365</v>
      </c>
      <c r="E1" s="28" t="s">
        <v>641</v>
      </c>
      <c r="F1" s="29" t="s">
        <v>435</v>
      </c>
      <c r="H1" s="28" t="s">
        <v>642</v>
      </c>
      <c r="I1" s="28" t="s">
        <v>643</v>
      </c>
      <c r="J1" s="28" t="s">
        <v>642</v>
      </c>
      <c r="M1" s="30" t="s">
        <v>435</v>
      </c>
      <c r="N1" s="30" t="s">
        <v>644</v>
      </c>
      <c r="O1" s="30" t="s">
        <v>435</v>
      </c>
      <c r="T1" s="29" t="s">
        <v>645</v>
      </c>
      <c r="U1" s="29" t="s">
        <v>435</v>
      </c>
      <c r="Y1" s="29" t="s">
        <v>641</v>
      </c>
      <c r="Z1" s="29" t="s">
        <v>435</v>
      </c>
    </row>
    <row r="2" spans="1:31" x14ac:dyDescent="0.4">
      <c r="A2" s="31">
        <v>1</v>
      </c>
      <c r="B2" s="32" t="s">
        <v>646</v>
      </c>
      <c r="C2" s="32" t="s">
        <v>646</v>
      </c>
      <c r="D2" s="32" t="s">
        <v>647</v>
      </c>
      <c r="E2" s="32" t="s">
        <v>648</v>
      </c>
      <c r="F2" s="33">
        <v>1</v>
      </c>
      <c r="H2" s="34">
        <v>101002001</v>
      </c>
      <c r="I2" s="34" t="s">
        <v>649</v>
      </c>
      <c r="J2" s="34">
        <v>101002001</v>
      </c>
      <c r="M2" s="30">
        <v>100100</v>
      </c>
      <c r="N2" s="30" t="s">
        <v>648</v>
      </c>
      <c r="O2" s="30">
        <v>100100</v>
      </c>
      <c r="T2" s="35" t="s">
        <v>533</v>
      </c>
      <c r="U2" s="35">
        <f t="shared" ref="U2:U47" si="0">VLOOKUP(T2,$N:$O,2,FALSE)</f>
        <v>200001</v>
      </c>
      <c r="Y2" s="29" t="s">
        <v>647</v>
      </c>
      <c r="Z2" s="29">
        <f t="shared" ref="Z2:Z21" si="1">VLOOKUP(Y2,$N:$O,2,FALSE)</f>
        <v>100101</v>
      </c>
      <c r="AB2" s="29">
        <v>100101</v>
      </c>
      <c r="AD2" s="29" t="s">
        <v>647</v>
      </c>
      <c r="AE2" s="29" t="s">
        <v>650</v>
      </c>
    </row>
    <row r="3" spans="1:31" x14ac:dyDescent="0.4">
      <c r="A3" s="36">
        <v>2</v>
      </c>
      <c r="B3" s="37" t="s">
        <v>651</v>
      </c>
      <c r="C3" s="37" t="s">
        <v>651</v>
      </c>
      <c r="D3" s="37" t="s">
        <v>652</v>
      </c>
      <c r="E3" s="37" t="s">
        <v>653</v>
      </c>
      <c r="F3" s="33">
        <v>2</v>
      </c>
      <c r="H3" s="34">
        <v>101002002</v>
      </c>
      <c r="I3" s="34" t="s">
        <v>654</v>
      </c>
      <c r="J3" s="34">
        <v>101002002</v>
      </c>
      <c r="M3" s="30">
        <v>100101</v>
      </c>
      <c r="N3" s="30" t="s">
        <v>647</v>
      </c>
      <c r="O3" s="30">
        <v>100101</v>
      </c>
      <c r="T3" s="35" t="s">
        <v>574</v>
      </c>
      <c r="U3" s="35">
        <f t="shared" si="0"/>
        <v>200002</v>
      </c>
      <c r="Y3" s="29" t="s">
        <v>655</v>
      </c>
      <c r="Z3" s="29" t="e">
        <f t="shared" si="1"/>
        <v>#N/A</v>
      </c>
      <c r="AB3" s="29">
        <v>100201</v>
      </c>
      <c r="AD3" s="29" t="s">
        <v>652</v>
      </c>
      <c r="AE3" s="29" t="s">
        <v>656</v>
      </c>
    </row>
    <row r="4" spans="1:31" x14ac:dyDescent="0.4">
      <c r="A4" s="36">
        <v>3</v>
      </c>
      <c r="B4" s="37" t="s">
        <v>657</v>
      </c>
      <c r="C4" s="37" t="s">
        <v>657</v>
      </c>
      <c r="D4" s="37" t="s">
        <v>658</v>
      </c>
      <c r="E4" s="37" t="s">
        <v>659</v>
      </c>
      <c r="F4" s="33">
        <v>3</v>
      </c>
      <c r="H4" s="34">
        <v>101002003</v>
      </c>
      <c r="I4" s="34" t="s">
        <v>660</v>
      </c>
      <c r="J4" s="34">
        <v>101002003</v>
      </c>
      <c r="M4" s="30">
        <v>100200</v>
      </c>
      <c r="N4" s="30" t="s">
        <v>653</v>
      </c>
      <c r="O4" s="30">
        <v>100200</v>
      </c>
      <c r="T4" s="29" t="s">
        <v>661</v>
      </c>
      <c r="U4" s="29">
        <f t="shared" si="0"/>
        <v>200003</v>
      </c>
      <c r="Y4" s="29" t="s">
        <v>658</v>
      </c>
      <c r="Z4" s="29">
        <f t="shared" si="1"/>
        <v>100301</v>
      </c>
      <c r="AB4" s="29">
        <v>100301</v>
      </c>
      <c r="AD4" s="29" t="s">
        <v>658</v>
      </c>
      <c r="AE4" s="29" t="s">
        <v>662</v>
      </c>
    </row>
    <row r="5" spans="1:31" x14ac:dyDescent="0.4">
      <c r="A5" s="38">
        <v>4</v>
      </c>
      <c r="B5" s="39" t="s">
        <v>663</v>
      </c>
      <c r="C5" s="39" t="s">
        <v>663</v>
      </c>
      <c r="D5" s="39" t="s">
        <v>664</v>
      </c>
      <c r="E5" s="39" t="s">
        <v>665</v>
      </c>
      <c r="F5" s="33">
        <v>4</v>
      </c>
      <c r="H5" s="34">
        <v>101002004</v>
      </c>
      <c r="I5" s="34" t="s">
        <v>666</v>
      </c>
      <c r="J5" s="34">
        <v>101002004</v>
      </c>
      <c r="M5" s="30">
        <v>100201</v>
      </c>
      <c r="N5" s="30" t="s">
        <v>652</v>
      </c>
      <c r="O5" s="30">
        <v>100201</v>
      </c>
      <c r="T5" s="29" t="s">
        <v>667</v>
      </c>
      <c r="U5" s="29">
        <f t="shared" si="0"/>
        <v>200004</v>
      </c>
      <c r="Y5" s="29" t="s">
        <v>668</v>
      </c>
      <c r="Z5" s="29">
        <f t="shared" si="1"/>
        <v>100701</v>
      </c>
      <c r="AB5" s="29">
        <v>100701</v>
      </c>
      <c r="AD5" s="29" t="s">
        <v>668</v>
      </c>
      <c r="AE5" s="29" t="s">
        <v>669</v>
      </c>
    </row>
    <row r="6" spans="1:31" x14ac:dyDescent="0.4">
      <c r="A6" s="38">
        <v>5</v>
      </c>
      <c r="B6" s="39" t="s">
        <v>670</v>
      </c>
      <c r="C6" s="39" t="s">
        <v>670</v>
      </c>
      <c r="D6" s="39" t="s">
        <v>671</v>
      </c>
      <c r="E6" s="39" t="s">
        <v>672</v>
      </c>
      <c r="F6" s="33">
        <v>5</v>
      </c>
      <c r="H6" s="34">
        <v>101002005</v>
      </c>
      <c r="I6" s="34" t="s">
        <v>673</v>
      </c>
      <c r="J6" s="34">
        <v>101002005</v>
      </c>
      <c r="M6" s="30">
        <v>100300</v>
      </c>
      <c r="N6" s="30" t="s">
        <v>659</v>
      </c>
      <c r="O6" s="30">
        <v>100300</v>
      </c>
      <c r="T6" s="29" t="s">
        <v>517</v>
      </c>
      <c r="U6" s="29">
        <f t="shared" si="0"/>
        <v>200015</v>
      </c>
      <c r="Y6" s="29" t="s">
        <v>674</v>
      </c>
      <c r="Z6" s="29">
        <f t="shared" si="1"/>
        <v>100601</v>
      </c>
      <c r="AB6" s="29">
        <v>100601</v>
      </c>
      <c r="AD6" s="29" t="s">
        <v>674</v>
      </c>
      <c r="AE6" s="29" t="s">
        <v>675</v>
      </c>
    </row>
    <row r="7" spans="1:31" x14ac:dyDescent="0.4">
      <c r="A7" s="36">
        <v>6</v>
      </c>
      <c r="B7" s="37" t="s">
        <v>676</v>
      </c>
      <c r="C7" s="37" t="s">
        <v>676</v>
      </c>
      <c r="D7" s="37" t="s">
        <v>674</v>
      </c>
      <c r="E7" s="37" t="s">
        <v>677</v>
      </c>
      <c r="F7" s="33">
        <v>6</v>
      </c>
      <c r="H7" s="34">
        <v>102002001</v>
      </c>
      <c r="I7" s="34" t="s">
        <v>678</v>
      </c>
      <c r="J7" s="34">
        <v>102002001</v>
      </c>
      <c r="M7" s="30">
        <v>100301</v>
      </c>
      <c r="N7" s="30" t="s">
        <v>658</v>
      </c>
      <c r="O7" s="30">
        <v>100301</v>
      </c>
      <c r="T7" s="29" t="s">
        <v>637</v>
      </c>
      <c r="U7" s="29">
        <f t="shared" si="0"/>
        <v>200017</v>
      </c>
      <c r="Y7" s="29" t="s">
        <v>679</v>
      </c>
      <c r="Z7" s="29">
        <f t="shared" si="1"/>
        <v>200125</v>
      </c>
      <c r="AB7" s="29">
        <v>102701</v>
      </c>
      <c r="AD7" s="29" t="s">
        <v>680</v>
      </c>
      <c r="AE7" s="29" t="s">
        <v>681</v>
      </c>
    </row>
    <row r="8" spans="1:31" x14ac:dyDescent="0.4">
      <c r="A8" s="36">
        <v>7</v>
      </c>
      <c r="B8" s="37" t="s">
        <v>682</v>
      </c>
      <c r="C8" s="37" t="s">
        <v>682</v>
      </c>
      <c r="D8" s="37" t="s">
        <v>668</v>
      </c>
      <c r="E8" s="37" t="s">
        <v>683</v>
      </c>
      <c r="F8" s="33">
        <v>7</v>
      </c>
      <c r="H8" s="34">
        <v>102002002</v>
      </c>
      <c r="I8" s="34" t="s">
        <v>684</v>
      </c>
      <c r="J8" s="34">
        <v>102002002</v>
      </c>
      <c r="M8" s="30">
        <v>100400</v>
      </c>
      <c r="N8" s="30" t="s">
        <v>665</v>
      </c>
      <c r="O8" s="30">
        <v>100400</v>
      </c>
      <c r="T8" s="29" t="s">
        <v>524</v>
      </c>
      <c r="U8" s="29">
        <f t="shared" si="0"/>
        <v>200020</v>
      </c>
      <c r="Y8" s="29" t="s">
        <v>685</v>
      </c>
      <c r="Z8" s="29" t="e">
        <f t="shared" si="1"/>
        <v>#N/A</v>
      </c>
      <c r="AB8" s="29">
        <v>102601</v>
      </c>
      <c r="AD8" s="29" t="s">
        <v>686</v>
      </c>
      <c r="AE8" s="29" t="s">
        <v>687</v>
      </c>
    </row>
    <row r="9" spans="1:31" x14ac:dyDescent="0.4">
      <c r="A9" s="36">
        <v>8</v>
      </c>
      <c r="B9" s="37" t="s">
        <v>688</v>
      </c>
      <c r="C9" s="37" t="s">
        <v>688</v>
      </c>
      <c r="D9" s="37" t="s">
        <v>689</v>
      </c>
      <c r="E9" s="37" t="s">
        <v>690</v>
      </c>
      <c r="F9" s="33">
        <v>8</v>
      </c>
      <c r="H9" s="34">
        <v>102002003</v>
      </c>
      <c r="I9" s="34" t="s">
        <v>691</v>
      </c>
      <c r="J9" s="34">
        <v>102002003</v>
      </c>
      <c r="M9" s="30">
        <v>100401</v>
      </c>
      <c r="N9" s="30" t="s">
        <v>664</v>
      </c>
      <c r="O9" s="30">
        <v>100401</v>
      </c>
      <c r="T9" s="29" t="s">
        <v>692</v>
      </c>
      <c r="U9" s="29" t="e">
        <f t="shared" si="0"/>
        <v>#N/A</v>
      </c>
      <c r="Y9" s="29" t="s">
        <v>693</v>
      </c>
      <c r="Z9" s="29" t="e">
        <f t="shared" si="1"/>
        <v>#N/A</v>
      </c>
      <c r="AB9" s="29">
        <v>101301</v>
      </c>
      <c r="AD9" s="29" t="s">
        <v>694</v>
      </c>
      <c r="AE9" s="29" t="s">
        <v>695</v>
      </c>
    </row>
    <row r="10" spans="1:31" x14ac:dyDescent="0.4">
      <c r="A10" s="36">
        <v>9</v>
      </c>
      <c r="B10" s="37" t="s">
        <v>696</v>
      </c>
      <c r="C10" s="37" t="s">
        <v>696</v>
      </c>
      <c r="D10" s="37" t="s">
        <v>697</v>
      </c>
      <c r="E10" s="37" t="s">
        <v>698</v>
      </c>
      <c r="F10" s="33">
        <v>9</v>
      </c>
      <c r="H10" s="34">
        <v>102002004</v>
      </c>
      <c r="I10" s="34" t="s">
        <v>699</v>
      </c>
      <c r="J10" s="34">
        <v>102002004</v>
      </c>
      <c r="M10" s="30">
        <v>100500</v>
      </c>
      <c r="N10" s="30" t="s">
        <v>672</v>
      </c>
      <c r="O10" s="30">
        <v>100500</v>
      </c>
      <c r="T10" s="29" t="s">
        <v>633</v>
      </c>
      <c r="U10" s="29">
        <f t="shared" si="0"/>
        <v>200024</v>
      </c>
      <c r="Y10" s="29" t="s">
        <v>700</v>
      </c>
      <c r="Z10" s="29" t="e">
        <f t="shared" si="1"/>
        <v>#N/A</v>
      </c>
      <c r="AB10" s="29">
        <v>100501</v>
      </c>
      <c r="AD10" s="29" t="s">
        <v>671</v>
      </c>
      <c r="AE10" s="29" t="s">
        <v>701</v>
      </c>
    </row>
    <row r="11" spans="1:31" x14ac:dyDescent="0.4">
      <c r="A11" s="38">
        <v>10</v>
      </c>
      <c r="B11" s="39" t="s">
        <v>702</v>
      </c>
      <c r="C11" s="39" t="s">
        <v>702</v>
      </c>
      <c r="D11" s="39" t="s">
        <v>703</v>
      </c>
      <c r="E11" s="39" t="s">
        <v>704</v>
      </c>
      <c r="F11" s="33">
        <v>10</v>
      </c>
      <c r="H11" s="34">
        <v>102002005</v>
      </c>
      <c r="I11" s="34" t="s">
        <v>705</v>
      </c>
      <c r="J11" s="34">
        <v>102002005</v>
      </c>
      <c r="M11" s="30">
        <v>100501</v>
      </c>
      <c r="N11" s="30" t="s">
        <v>671</v>
      </c>
      <c r="O11" s="30">
        <v>100501</v>
      </c>
      <c r="T11" s="29" t="s">
        <v>611</v>
      </c>
      <c r="U11" s="29">
        <f t="shared" si="0"/>
        <v>200026</v>
      </c>
      <c r="Y11" s="29" t="s">
        <v>706</v>
      </c>
      <c r="Z11" s="29">
        <f t="shared" si="1"/>
        <v>101501</v>
      </c>
      <c r="AB11" s="29">
        <v>101501</v>
      </c>
      <c r="AD11" s="29" t="s">
        <v>706</v>
      </c>
      <c r="AE11" s="29" t="s">
        <v>707</v>
      </c>
    </row>
    <row r="12" spans="1:31" x14ac:dyDescent="0.4">
      <c r="A12" s="38">
        <v>11</v>
      </c>
      <c r="B12" s="39" t="s">
        <v>708</v>
      </c>
      <c r="C12" s="39" t="s">
        <v>708</v>
      </c>
      <c r="D12" s="39" t="s">
        <v>709</v>
      </c>
      <c r="E12" s="39" t="s">
        <v>710</v>
      </c>
      <c r="F12" s="33">
        <v>11</v>
      </c>
      <c r="H12" s="34">
        <v>103002001</v>
      </c>
      <c r="I12" s="34" t="s">
        <v>711</v>
      </c>
      <c r="J12" s="34">
        <v>103002001</v>
      </c>
      <c r="M12" s="30">
        <v>100600</v>
      </c>
      <c r="N12" s="30" t="s">
        <v>677</v>
      </c>
      <c r="O12" s="30">
        <v>100600</v>
      </c>
      <c r="T12" s="29" t="s">
        <v>605</v>
      </c>
      <c r="U12" s="29">
        <f t="shared" si="0"/>
        <v>200029</v>
      </c>
      <c r="Y12" s="29" t="s">
        <v>648</v>
      </c>
      <c r="Z12" s="29">
        <f t="shared" si="1"/>
        <v>100100</v>
      </c>
      <c r="AB12" s="29">
        <v>103200</v>
      </c>
      <c r="AD12" s="29" t="s">
        <v>712</v>
      </c>
      <c r="AE12" s="29" t="s">
        <v>713</v>
      </c>
    </row>
    <row r="13" spans="1:31" x14ac:dyDescent="0.4">
      <c r="A13" s="38">
        <v>12</v>
      </c>
      <c r="B13" s="39" t="s">
        <v>714</v>
      </c>
      <c r="C13" s="39" t="s">
        <v>714</v>
      </c>
      <c r="D13" s="39" t="s">
        <v>715</v>
      </c>
      <c r="E13" s="39" t="s">
        <v>716</v>
      </c>
      <c r="F13" s="33">
        <v>12</v>
      </c>
      <c r="H13" s="34">
        <v>103002002</v>
      </c>
      <c r="I13" s="34" t="s">
        <v>717</v>
      </c>
      <c r="J13" s="34">
        <v>103002002</v>
      </c>
      <c r="M13" s="30">
        <v>100601</v>
      </c>
      <c r="N13" s="30" t="s">
        <v>674</v>
      </c>
      <c r="O13" s="30">
        <v>100601</v>
      </c>
      <c r="T13" s="29" t="s">
        <v>590</v>
      </c>
      <c r="U13" s="29">
        <f t="shared" si="0"/>
        <v>200030</v>
      </c>
      <c r="Y13" s="29" t="s">
        <v>718</v>
      </c>
      <c r="Z13" s="29" t="e">
        <f t="shared" si="1"/>
        <v>#N/A</v>
      </c>
      <c r="AB13" s="29">
        <v>101200</v>
      </c>
      <c r="AD13" s="29" t="s">
        <v>716</v>
      </c>
      <c r="AE13" s="29" t="s">
        <v>719</v>
      </c>
    </row>
    <row r="14" spans="1:31" x14ac:dyDescent="0.4">
      <c r="A14" s="38">
        <v>13</v>
      </c>
      <c r="B14" s="39" t="s">
        <v>720</v>
      </c>
      <c r="C14" s="39" t="s">
        <v>720</v>
      </c>
      <c r="D14" s="39" t="s">
        <v>721</v>
      </c>
      <c r="E14" s="39" t="s">
        <v>722</v>
      </c>
      <c r="F14" s="33">
        <v>13</v>
      </c>
      <c r="H14" s="34">
        <v>103002003</v>
      </c>
      <c r="I14" s="34" t="s">
        <v>723</v>
      </c>
      <c r="J14" s="34">
        <v>103002003</v>
      </c>
      <c r="M14" s="30">
        <v>100700</v>
      </c>
      <c r="N14" s="30" t="s">
        <v>683</v>
      </c>
      <c r="O14" s="30">
        <v>100700</v>
      </c>
      <c r="T14" s="29" t="s">
        <v>610</v>
      </c>
      <c r="U14" s="29">
        <f t="shared" si="0"/>
        <v>200032</v>
      </c>
      <c r="Y14" s="29" t="s">
        <v>659</v>
      </c>
      <c r="Z14" s="29">
        <f t="shared" si="1"/>
        <v>100300</v>
      </c>
      <c r="AB14" s="29">
        <v>101400</v>
      </c>
      <c r="AD14" s="29" t="s">
        <v>724</v>
      </c>
      <c r="AE14" s="29" t="s">
        <v>725</v>
      </c>
    </row>
    <row r="15" spans="1:31" x14ac:dyDescent="0.4">
      <c r="A15" s="38">
        <v>14</v>
      </c>
      <c r="B15" s="39" t="s">
        <v>726</v>
      </c>
      <c r="C15" s="39" t="s">
        <v>726</v>
      </c>
      <c r="D15" s="39" t="s">
        <v>727</v>
      </c>
      <c r="E15" s="39" t="s">
        <v>724</v>
      </c>
      <c r="F15" s="33">
        <v>14</v>
      </c>
      <c r="H15" s="34">
        <v>103002004</v>
      </c>
      <c r="I15" s="34" t="s">
        <v>728</v>
      </c>
      <c r="J15" s="34">
        <v>103002004</v>
      </c>
      <c r="M15" s="30">
        <v>100701</v>
      </c>
      <c r="N15" s="30" t="s">
        <v>668</v>
      </c>
      <c r="O15" s="30">
        <v>100701</v>
      </c>
      <c r="T15" s="29" t="s">
        <v>626</v>
      </c>
      <c r="U15" s="29">
        <f t="shared" si="0"/>
        <v>200035</v>
      </c>
      <c r="Y15" s="29" t="s">
        <v>683</v>
      </c>
      <c r="Z15" s="29">
        <f t="shared" si="1"/>
        <v>100700</v>
      </c>
      <c r="AB15" s="29">
        <v>101800</v>
      </c>
      <c r="AD15" s="29" t="s">
        <v>729</v>
      </c>
      <c r="AE15" s="29" t="s">
        <v>730</v>
      </c>
    </row>
    <row r="16" spans="1:31" x14ac:dyDescent="0.4">
      <c r="A16" s="38">
        <v>15</v>
      </c>
      <c r="B16" s="39" t="s">
        <v>731</v>
      </c>
      <c r="C16" s="39" t="s">
        <v>731</v>
      </c>
      <c r="D16" s="39" t="s">
        <v>706</v>
      </c>
      <c r="E16" s="39" t="s">
        <v>732</v>
      </c>
      <c r="F16" s="33">
        <v>15</v>
      </c>
      <c r="H16" s="34">
        <v>103002005</v>
      </c>
      <c r="I16" s="34" t="s">
        <v>733</v>
      </c>
      <c r="J16" s="34">
        <v>103002005</v>
      </c>
      <c r="M16" s="30">
        <v>100800</v>
      </c>
      <c r="N16" s="30" t="s">
        <v>690</v>
      </c>
      <c r="O16" s="30">
        <v>100800</v>
      </c>
      <c r="T16" s="29" t="s">
        <v>352</v>
      </c>
      <c r="U16" s="29">
        <f t="shared" si="0"/>
        <v>200039</v>
      </c>
      <c r="Y16" s="29" t="s">
        <v>677</v>
      </c>
      <c r="Z16" s="29">
        <f t="shared" si="1"/>
        <v>100600</v>
      </c>
      <c r="AB16" s="29">
        <v>101600</v>
      </c>
      <c r="AD16" s="29" t="s">
        <v>734</v>
      </c>
      <c r="AE16" s="29" t="s">
        <v>735</v>
      </c>
    </row>
    <row r="17" spans="1:31" x14ac:dyDescent="0.4">
      <c r="A17" s="38">
        <v>16</v>
      </c>
      <c r="B17" s="39" t="s">
        <v>736</v>
      </c>
      <c r="C17" s="39" t="s">
        <v>736</v>
      </c>
      <c r="D17" s="39" t="s">
        <v>737</v>
      </c>
      <c r="E17" s="39" t="s">
        <v>734</v>
      </c>
      <c r="F17" s="33">
        <v>16</v>
      </c>
      <c r="H17" s="34">
        <v>104002001</v>
      </c>
      <c r="I17" s="34" t="s">
        <v>738</v>
      </c>
      <c r="J17" s="34">
        <v>104002001</v>
      </c>
      <c r="M17" s="30">
        <v>100801</v>
      </c>
      <c r="N17" s="30" t="s">
        <v>689</v>
      </c>
      <c r="O17" s="30">
        <v>100801</v>
      </c>
      <c r="T17" s="29" t="s">
        <v>567</v>
      </c>
      <c r="U17" s="29">
        <f t="shared" si="0"/>
        <v>200040</v>
      </c>
      <c r="Y17" s="29" t="s">
        <v>739</v>
      </c>
      <c r="Z17" s="29" t="e">
        <f t="shared" si="1"/>
        <v>#N/A</v>
      </c>
      <c r="AB17" s="29">
        <v>120100</v>
      </c>
      <c r="AD17" s="29" t="s">
        <v>740</v>
      </c>
      <c r="AE17" s="29" t="s">
        <v>741</v>
      </c>
    </row>
    <row r="18" spans="1:31" x14ac:dyDescent="0.4">
      <c r="A18" s="36">
        <v>17</v>
      </c>
      <c r="B18" s="37" t="s">
        <v>742</v>
      </c>
      <c r="C18" s="37" t="s">
        <v>742</v>
      </c>
      <c r="D18" s="37" t="s">
        <v>694</v>
      </c>
      <c r="E18" s="37" t="s">
        <v>743</v>
      </c>
      <c r="F18" s="33">
        <v>17</v>
      </c>
      <c r="H18" s="34">
        <v>104002002</v>
      </c>
      <c r="I18" s="34" t="s">
        <v>744</v>
      </c>
      <c r="J18" s="34">
        <v>104002002</v>
      </c>
      <c r="M18" s="30">
        <v>100900</v>
      </c>
      <c r="N18" s="30" t="s">
        <v>698</v>
      </c>
      <c r="O18" s="30">
        <v>100900</v>
      </c>
      <c r="T18" s="29" t="s">
        <v>584</v>
      </c>
      <c r="U18" s="29">
        <f t="shared" si="0"/>
        <v>200043</v>
      </c>
      <c r="Y18" s="29" t="s">
        <v>745</v>
      </c>
      <c r="Z18" s="29" t="e">
        <f t="shared" si="1"/>
        <v>#N/A</v>
      </c>
      <c r="AB18" s="29">
        <v>120200</v>
      </c>
      <c r="AD18" s="29" t="s">
        <v>746</v>
      </c>
      <c r="AE18" s="29" t="s">
        <v>747</v>
      </c>
    </row>
    <row r="19" spans="1:31" x14ac:dyDescent="0.4">
      <c r="A19" s="38">
        <v>18</v>
      </c>
      <c r="B19" s="39" t="s">
        <v>748</v>
      </c>
      <c r="C19" s="39" t="s">
        <v>748</v>
      </c>
      <c r="D19" s="39" t="s">
        <v>749</v>
      </c>
      <c r="E19" s="39" t="s">
        <v>729</v>
      </c>
      <c r="F19" s="33">
        <v>18</v>
      </c>
      <c r="H19" s="34">
        <v>104002003</v>
      </c>
      <c r="I19" s="34" t="s">
        <v>750</v>
      </c>
      <c r="J19" s="34">
        <v>104002003</v>
      </c>
      <c r="M19" s="30">
        <v>100901</v>
      </c>
      <c r="N19" s="30" t="s">
        <v>697</v>
      </c>
      <c r="O19" s="30">
        <v>100901</v>
      </c>
      <c r="T19" s="35" t="s">
        <v>550</v>
      </c>
      <c r="U19" s="35">
        <f t="shared" si="0"/>
        <v>200005</v>
      </c>
      <c r="Y19" s="29" t="s">
        <v>751</v>
      </c>
      <c r="Z19" s="29" t="e">
        <f t="shared" si="1"/>
        <v>#N/A</v>
      </c>
      <c r="AB19" s="29">
        <v>120300</v>
      </c>
      <c r="AD19" s="29" t="s">
        <v>752</v>
      </c>
      <c r="AE19" s="29" t="s">
        <v>753</v>
      </c>
    </row>
    <row r="20" spans="1:31" x14ac:dyDescent="0.4">
      <c r="A20" s="38">
        <v>19</v>
      </c>
      <c r="B20" s="39" t="s">
        <v>754</v>
      </c>
      <c r="C20" s="39" t="s">
        <v>754</v>
      </c>
      <c r="D20" s="39" t="s">
        <v>755</v>
      </c>
      <c r="E20" s="39" t="s">
        <v>756</v>
      </c>
      <c r="F20" s="33">
        <v>19</v>
      </c>
      <c r="H20" s="34">
        <v>104002004</v>
      </c>
      <c r="I20" s="34" t="s">
        <v>757</v>
      </c>
      <c r="J20" s="34">
        <v>104002004</v>
      </c>
      <c r="M20" s="30">
        <v>101000</v>
      </c>
      <c r="N20" s="30" t="s">
        <v>704</v>
      </c>
      <c r="O20" s="30">
        <v>101000</v>
      </c>
      <c r="T20" s="29" t="s">
        <v>566</v>
      </c>
      <c r="U20" s="29">
        <f t="shared" si="0"/>
        <v>200006</v>
      </c>
      <c r="Y20" s="29" t="s">
        <v>671</v>
      </c>
      <c r="Z20" s="29">
        <f t="shared" si="1"/>
        <v>100501</v>
      </c>
      <c r="AB20" s="29">
        <v>120400</v>
      </c>
      <c r="AD20" s="29" t="s">
        <v>758</v>
      </c>
      <c r="AE20" s="29" t="s">
        <v>759</v>
      </c>
    </row>
    <row r="21" spans="1:31" x14ac:dyDescent="0.4">
      <c r="A21" s="38">
        <v>20</v>
      </c>
      <c r="B21" s="39" t="s">
        <v>760</v>
      </c>
      <c r="C21" s="39" t="s">
        <v>760</v>
      </c>
      <c r="D21" s="39" t="s">
        <v>761</v>
      </c>
      <c r="E21" s="39" t="s">
        <v>762</v>
      </c>
      <c r="F21" s="33">
        <v>20</v>
      </c>
      <c r="H21" s="34">
        <v>104002005</v>
      </c>
      <c r="I21" s="34" t="s">
        <v>763</v>
      </c>
      <c r="J21" s="34">
        <v>104002005</v>
      </c>
      <c r="M21" s="30">
        <v>101001</v>
      </c>
      <c r="N21" s="30" t="s">
        <v>703</v>
      </c>
      <c r="O21" s="30">
        <v>101001</v>
      </c>
      <c r="T21" s="29" t="s">
        <v>573</v>
      </c>
      <c r="U21" s="29">
        <f t="shared" si="0"/>
        <v>200007</v>
      </c>
      <c r="Y21" s="29" t="s">
        <v>732</v>
      </c>
      <c r="Z21" s="29">
        <f t="shared" si="1"/>
        <v>101500</v>
      </c>
      <c r="AB21" s="29">
        <v>100100</v>
      </c>
      <c r="AD21" s="29" t="s">
        <v>648</v>
      </c>
      <c r="AE21" s="29" t="s">
        <v>764</v>
      </c>
    </row>
    <row r="22" spans="1:31" x14ac:dyDescent="0.4">
      <c r="A22" s="38">
        <v>21</v>
      </c>
      <c r="B22" s="39" t="s">
        <v>765</v>
      </c>
      <c r="C22" s="39" t="s">
        <v>765</v>
      </c>
      <c r="D22" s="39" t="s">
        <v>766</v>
      </c>
      <c r="E22" s="39" t="s">
        <v>767</v>
      </c>
      <c r="F22" s="33">
        <v>21</v>
      </c>
      <c r="M22" s="30">
        <v>101100</v>
      </c>
      <c r="N22" s="30" t="s">
        <v>710</v>
      </c>
      <c r="O22" s="30">
        <v>101100</v>
      </c>
      <c r="T22" s="29" t="s">
        <v>513</v>
      </c>
      <c r="U22" s="29">
        <f t="shared" si="0"/>
        <v>200008</v>
      </c>
      <c r="AB22" s="29">
        <v>100200</v>
      </c>
      <c r="AD22" s="29" t="s">
        <v>718</v>
      </c>
      <c r="AE22" s="29" t="s">
        <v>768</v>
      </c>
    </row>
    <row r="23" spans="1:31" x14ac:dyDescent="0.4">
      <c r="A23" s="38">
        <v>22</v>
      </c>
      <c r="B23" s="39" t="s">
        <v>769</v>
      </c>
      <c r="C23" s="39" t="s">
        <v>769</v>
      </c>
      <c r="D23" s="39" t="s">
        <v>770</v>
      </c>
      <c r="E23" s="39" t="s">
        <v>771</v>
      </c>
      <c r="F23" s="33">
        <v>22</v>
      </c>
      <c r="M23" s="30">
        <v>101101</v>
      </c>
      <c r="N23" s="30" t="s">
        <v>709</v>
      </c>
      <c r="O23" s="30">
        <v>101101</v>
      </c>
      <c r="T23" s="29" t="s">
        <v>598</v>
      </c>
      <c r="U23" s="29">
        <f t="shared" si="0"/>
        <v>200009</v>
      </c>
      <c r="AB23" s="29">
        <v>100300</v>
      </c>
      <c r="AD23" s="29" t="s">
        <v>659</v>
      </c>
      <c r="AE23" s="29" t="s">
        <v>772</v>
      </c>
    </row>
    <row r="24" spans="1:31" x14ac:dyDescent="0.4">
      <c r="A24" s="38">
        <v>23</v>
      </c>
      <c r="B24" s="39" t="s">
        <v>773</v>
      </c>
      <c r="C24" s="39" t="s">
        <v>773</v>
      </c>
      <c r="D24" s="39" t="s">
        <v>774</v>
      </c>
      <c r="E24" s="39" t="s">
        <v>775</v>
      </c>
      <c r="F24" s="33">
        <v>23</v>
      </c>
      <c r="M24" s="30">
        <v>101200</v>
      </c>
      <c r="N24" s="30" t="s">
        <v>716</v>
      </c>
      <c r="O24" s="30">
        <v>101200</v>
      </c>
      <c r="T24" s="29" t="s">
        <v>554</v>
      </c>
      <c r="U24" s="29">
        <f t="shared" si="0"/>
        <v>200010</v>
      </c>
      <c r="AB24" s="29">
        <v>100700</v>
      </c>
      <c r="AD24" s="29" t="s">
        <v>683</v>
      </c>
      <c r="AE24" s="29" t="s">
        <v>776</v>
      </c>
    </row>
    <row r="25" spans="1:31" x14ac:dyDescent="0.4">
      <c r="A25" s="38">
        <v>24</v>
      </c>
      <c r="B25" s="39" t="s">
        <v>777</v>
      </c>
      <c r="C25" s="39" t="s">
        <v>777</v>
      </c>
      <c r="D25" s="39" t="s">
        <v>778</v>
      </c>
      <c r="E25" s="39" t="s">
        <v>779</v>
      </c>
      <c r="F25" s="33">
        <v>24</v>
      </c>
      <c r="M25" s="30">
        <v>101201</v>
      </c>
      <c r="N25" s="30" t="s">
        <v>715</v>
      </c>
      <c r="O25" s="30">
        <v>101201</v>
      </c>
      <c r="T25" s="29" t="s">
        <v>532</v>
      </c>
      <c r="U25" s="29">
        <f t="shared" si="0"/>
        <v>200011</v>
      </c>
      <c r="AB25" s="29">
        <v>100600</v>
      </c>
      <c r="AD25" s="29" t="s">
        <v>677</v>
      </c>
      <c r="AE25" s="29" t="s">
        <v>780</v>
      </c>
    </row>
    <row r="26" spans="1:31" x14ac:dyDescent="0.4">
      <c r="A26" s="38">
        <v>25</v>
      </c>
      <c r="B26" s="39" t="s">
        <v>781</v>
      </c>
      <c r="C26" s="39" t="s">
        <v>781</v>
      </c>
      <c r="D26" s="39" t="s">
        <v>782</v>
      </c>
      <c r="E26" s="39" t="s">
        <v>783</v>
      </c>
      <c r="F26" s="33">
        <v>25</v>
      </c>
      <c r="M26" s="30">
        <v>101300</v>
      </c>
      <c r="N26" s="30" t="s">
        <v>722</v>
      </c>
      <c r="O26" s="30">
        <v>101300</v>
      </c>
      <c r="T26" s="29" t="s">
        <v>552</v>
      </c>
      <c r="U26" s="29">
        <f t="shared" si="0"/>
        <v>200012</v>
      </c>
      <c r="AB26" s="29">
        <v>102700</v>
      </c>
      <c r="AD26" s="29" t="s">
        <v>784</v>
      </c>
      <c r="AE26" s="29" t="s">
        <v>785</v>
      </c>
    </row>
    <row r="27" spans="1:31" x14ac:dyDescent="0.4">
      <c r="A27" s="38">
        <v>26</v>
      </c>
      <c r="B27" s="39" t="s">
        <v>786</v>
      </c>
      <c r="C27" s="39" t="s">
        <v>786</v>
      </c>
      <c r="D27" s="39" t="s">
        <v>787</v>
      </c>
      <c r="E27" s="39" t="s">
        <v>788</v>
      </c>
      <c r="F27" s="33">
        <v>26</v>
      </c>
      <c r="M27" s="30">
        <v>101301</v>
      </c>
      <c r="N27" s="30" t="s">
        <v>721</v>
      </c>
      <c r="O27" s="30">
        <v>101301</v>
      </c>
      <c r="T27" s="35" t="s">
        <v>553</v>
      </c>
      <c r="U27" s="35">
        <f t="shared" si="0"/>
        <v>200013</v>
      </c>
      <c r="AB27" s="29">
        <v>102600</v>
      </c>
      <c r="AD27" s="29" t="s">
        <v>789</v>
      </c>
      <c r="AE27" s="29" t="s">
        <v>790</v>
      </c>
    </row>
    <row r="28" spans="1:31" x14ac:dyDescent="0.4">
      <c r="A28" s="38">
        <v>27</v>
      </c>
      <c r="B28" s="39" t="s">
        <v>791</v>
      </c>
      <c r="C28" s="39" t="s">
        <v>791</v>
      </c>
      <c r="D28" s="39" t="s">
        <v>680</v>
      </c>
      <c r="E28" s="39" t="s">
        <v>784</v>
      </c>
      <c r="F28" s="33">
        <v>27</v>
      </c>
      <c r="M28" s="30">
        <v>101400</v>
      </c>
      <c r="N28" s="30" t="s">
        <v>724</v>
      </c>
      <c r="O28" s="30">
        <v>101400</v>
      </c>
      <c r="T28" s="35" t="s">
        <v>542</v>
      </c>
      <c r="U28" s="35">
        <f t="shared" si="0"/>
        <v>200014</v>
      </c>
      <c r="AB28" s="29">
        <v>101300</v>
      </c>
      <c r="AD28" s="29" t="s">
        <v>743</v>
      </c>
      <c r="AE28" s="29" t="s">
        <v>792</v>
      </c>
    </row>
    <row r="29" spans="1:31" x14ac:dyDescent="0.4">
      <c r="A29" s="38">
        <v>28</v>
      </c>
      <c r="B29" s="39" t="s">
        <v>793</v>
      </c>
      <c r="C29" s="39" t="s">
        <v>793</v>
      </c>
      <c r="D29" s="39" t="s">
        <v>794</v>
      </c>
      <c r="E29" s="39" t="s">
        <v>795</v>
      </c>
      <c r="F29" s="33">
        <v>28</v>
      </c>
      <c r="M29" s="30">
        <v>101401</v>
      </c>
      <c r="N29" s="30" t="s">
        <v>727</v>
      </c>
      <c r="O29" s="30">
        <v>101401</v>
      </c>
      <c r="T29" s="29" t="s">
        <v>510</v>
      </c>
      <c r="U29" s="29">
        <f t="shared" si="0"/>
        <v>200016</v>
      </c>
      <c r="AB29" s="29">
        <v>100500</v>
      </c>
      <c r="AD29" s="29" t="s">
        <v>672</v>
      </c>
      <c r="AE29" s="29" t="s">
        <v>796</v>
      </c>
    </row>
    <row r="30" spans="1:31" x14ac:dyDescent="0.4">
      <c r="A30" s="38">
        <v>29</v>
      </c>
      <c r="B30" s="39" t="s">
        <v>797</v>
      </c>
      <c r="C30" s="39" t="s">
        <v>797</v>
      </c>
      <c r="D30" s="39" t="s">
        <v>798</v>
      </c>
      <c r="E30" s="39" t="s">
        <v>799</v>
      </c>
      <c r="F30" s="33">
        <v>29</v>
      </c>
      <c r="M30" s="30">
        <v>101500</v>
      </c>
      <c r="N30" s="30" t="s">
        <v>732</v>
      </c>
      <c r="O30" s="30">
        <v>101500</v>
      </c>
      <c r="T30" s="29" t="s">
        <v>623</v>
      </c>
      <c r="U30" s="29">
        <f t="shared" si="0"/>
        <v>200018</v>
      </c>
      <c r="AB30" s="29">
        <v>101500</v>
      </c>
      <c r="AD30" s="29" t="s">
        <v>732</v>
      </c>
      <c r="AE30" s="29" t="s">
        <v>800</v>
      </c>
    </row>
    <row r="31" spans="1:31" x14ac:dyDescent="0.4">
      <c r="A31" s="38">
        <v>30</v>
      </c>
      <c r="B31" s="39" t="s">
        <v>801</v>
      </c>
      <c r="C31" s="39" t="s">
        <v>801</v>
      </c>
      <c r="D31" s="39" t="s">
        <v>802</v>
      </c>
      <c r="E31" s="39" t="s">
        <v>803</v>
      </c>
      <c r="F31" s="33">
        <v>30</v>
      </c>
      <c r="M31" s="30">
        <v>101501</v>
      </c>
      <c r="N31" s="30" t="s">
        <v>706</v>
      </c>
      <c r="O31" s="30">
        <v>101501</v>
      </c>
      <c r="T31" s="29" t="s">
        <v>588</v>
      </c>
      <c r="U31" s="29">
        <f t="shared" si="0"/>
        <v>200019</v>
      </c>
      <c r="AB31" s="29">
        <v>103201</v>
      </c>
      <c r="AD31" s="29" t="s">
        <v>804</v>
      </c>
      <c r="AE31" s="29" t="s">
        <v>805</v>
      </c>
    </row>
    <row r="32" spans="1:31" x14ac:dyDescent="0.4">
      <c r="A32" s="38">
        <v>31</v>
      </c>
      <c r="B32" s="39" t="s">
        <v>806</v>
      </c>
      <c r="C32" s="39" t="s">
        <v>806</v>
      </c>
      <c r="D32" s="39" t="s">
        <v>807</v>
      </c>
      <c r="E32" s="39" t="s">
        <v>808</v>
      </c>
      <c r="F32" s="33">
        <v>31</v>
      </c>
      <c r="M32" s="30">
        <v>101600</v>
      </c>
      <c r="N32" s="30" t="s">
        <v>734</v>
      </c>
      <c r="O32" s="30">
        <v>101600</v>
      </c>
      <c r="T32" s="29" t="s">
        <v>632</v>
      </c>
      <c r="U32" s="29">
        <f t="shared" si="0"/>
        <v>200022</v>
      </c>
      <c r="AB32" s="29">
        <v>101201</v>
      </c>
      <c r="AD32" s="29" t="s">
        <v>715</v>
      </c>
      <c r="AE32" s="29" t="s">
        <v>809</v>
      </c>
    </row>
    <row r="33" spans="1:31" x14ac:dyDescent="0.4">
      <c r="A33" s="38">
        <v>32</v>
      </c>
      <c r="B33" s="39" t="s">
        <v>810</v>
      </c>
      <c r="C33" s="39" t="s">
        <v>810</v>
      </c>
      <c r="D33" s="39" t="s">
        <v>804</v>
      </c>
      <c r="E33" s="39" t="s">
        <v>712</v>
      </c>
      <c r="F33" s="33">
        <v>32</v>
      </c>
      <c r="M33" s="30">
        <v>101601</v>
      </c>
      <c r="N33" s="30" t="s">
        <v>737</v>
      </c>
      <c r="O33" s="30">
        <v>101601</v>
      </c>
      <c r="T33" s="29" t="s">
        <v>631</v>
      </c>
      <c r="U33" s="29">
        <f t="shared" si="0"/>
        <v>200023</v>
      </c>
      <c r="AB33" s="29">
        <v>101401</v>
      </c>
      <c r="AD33" s="29" t="s">
        <v>270</v>
      </c>
      <c r="AE33" s="29" t="s">
        <v>811</v>
      </c>
    </row>
    <row r="34" spans="1:31" x14ac:dyDescent="0.4">
      <c r="A34" s="38">
        <v>33</v>
      </c>
      <c r="B34" s="39" t="s">
        <v>812</v>
      </c>
      <c r="C34" s="39" t="s">
        <v>812</v>
      </c>
      <c r="D34" s="39" t="s">
        <v>289</v>
      </c>
      <c r="E34" s="39" t="s">
        <v>813</v>
      </c>
      <c r="F34" s="33">
        <v>33</v>
      </c>
      <c r="M34" s="30">
        <v>101700</v>
      </c>
      <c r="N34" s="30" t="s">
        <v>743</v>
      </c>
      <c r="O34" s="30">
        <v>101700</v>
      </c>
      <c r="T34" s="29" t="s">
        <v>543</v>
      </c>
      <c r="U34" s="29">
        <f t="shared" si="0"/>
        <v>200025</v>
      </c>
      <c r="AB34" s="29">
        <v>101801</v>
      </c>
      <c r="AD34" s="29" t="s">
        <v>749</v>
      </c>
      <c r="AE34" s="29" t="s">
        <v>814</v>
      </c>
    </row>
    <row r="35" spans="1:31" x14ac:dyDescent="0.4">
      <c r="A35" s="38">
        <v>34</v>
      </c>
      <c r="B35" s="39" t="s">
        <v>815</v>
      </c>
      <c r="C35" s="39" t="s">
        <v>815</v>
      </c>
      <c r="D35" s="39" t="s">
        <v>816</v>
      </c>
      <c r="E35" s="39" t="s">
        <v>817</v>
      </c>
      <c r="F35" s="33">
        <v>34</v>
      </c>
      <c r="M35" s="30">
        <v>101701</v>
      </c>
      <c r="N35" s="30" t="s">
        <v>694</v>
      </c>
      <c r="O35" s="30">
        <v>101701</v>
      </c>
      <c r="T35" s="29" t="s">
        <v>604</v>
      </c>
      <c r="U35" s="29">
        <f t="shared" si="0"/>
        <v>200027</v>
      </c>
      <c r="AB35" s="29">
        <v>101601</v>
      </c>
      <c r="AD35" s="29" t="s">
        <v>737</v>
      </c>
      <c r="AE35" s="29" t="s">
        <v>818</v>
      </c>
    </row>
    <row r="36" spans="1:31" x14ac:dyDescent="0.4">
      <c r="A36" s="38">
        <v>35</v>
      </c>
      <c r="B36" s="39" t="s">
        <v>819</v>
      </c>
      <c r="C36" s="39" t="s">
        <v>819</v>
      </c>
      <c r="D36" s="39" t="s">
        <v>820</v>
      </c>
      <c r="E36" s="39" t="s">
        <v>821</v>
      </c>
      <c r="F36" s="33">
        <v>35</v>
      </c>
      <c r="M36" s="30">
        <v>101800</v>
      </c>
      <c r="N36" s="30" t="s">
        <v>729</v>
      </c>
      <c r="O36" s="30">
        <v>101800</v>
      </c>
      <c r="T36" s="29" t="s">
        <v>603</v>
      </c>
      <c r="U36" s="29">
        <f t="shared" si="0"/>
        <v>200028</v>
      </c>
      <c r="AB36" s="29">
        <v>120101</v>
      </c>
      <c r="AD36" s="29" t="s">
        <v>822</v>
      </c>
      <c r="AE36" s="29" t="s">
        <v>823</v>
      </c>
    </row>
    <row r="37" spans="1:31" x14ac:dyDescent="0.4">
      <c r="A37" s="38">
        <v>36</v>
      </c>
      <c r="B37" s="39" t="s">
        <v>824</v>
      </c>
      <c r="C37" s="39" t="s">
        <v>824</v>
      </c>
      <c r="D37" s="39" t="s">
        <v>825</v>
      </c>
      <c r="E37" s="39" t="s">
        <v>826</v>
      </c>
      <c r="F37" s="33">
        <v>36</v>
      </c>
      <c r="M37" s="30">
        <v>101801</v>
      </c>
      <c r="N37" s="30" t="s">
        <v>749</v>
      </c>
      <c r="O37" s="30">
        <v>101801</v>
      </c>
      <c r="T37" s="29" t="s">
        <v>589</v>
      </c>
      <c r="U37" s="29">
        <f t="shared" si="0"/>
        <v>200031</v>
      </c>
      <c r="AB37" s="29">
        <v>120201</v>
      </c>
      <c r="AD37" s="29" t="s">
        <v>827</v>
      </c>
      <c r="AE37" s="29" t="s">
        <v>828</v>
      </c>
    </row>
    <row r="38" spans="1:31" x14ac:dyDescent="0.4">
      <c r="A38" s="38">
        <v>201</v>
      </c>
      <c r="B38" s="39" t="s">
        <v>829</v>
      </c>
      <c r="C38" s="39" t="s">
        <v>829</v>
      </c>
      <c r="D38" s="39" t="s">
        <v>822</v>
      </c>
      <c r="E38" s="39" t="s">
        <v>740</v>
      </c>
      <c r="F38" s="33">
        <v>201</v>
      </c>
      <c r="M38" s="30">
        <v>101900</v>
      </c>
      <c r="N38" s="30" t="s">
        <v>756</v>
      </c>
      <c r="O38" s="30">
        <v>101900</v>
      </c>
      <c r="T38" s="29" t="s">
        <v>830</v>
      </c>
      <c r="U38" s="29">
        <f t="shared" si="0"/>
        <v>200033</v>
      </c>
      <c r="AB38" s="29">
        <v>120301</v>
      </c>
      <c r="AD38" s="29" t="s">
        <v>831</v>
      </c>
      <c r="AE38" s="29" t="s">
        <v>832</v>
      </c>
    </row>
    <row r="39" spans="1:31" x14ac:dyDescent="0.4">
      <c r="A39" s="38">
        <v>202</v>
      </c>
      <c r="B39" s="39" t="s">
        <v>833</v>
      </c>
      <c r="C39" s="39" t="s">
        <v>833</v>
      </c>
      <c r="D39" s="39" t="s">
        <v>827</v>
      </c>
      <c r="E39" s="39" t="s">
        <v>746</v>
      </c>
      <c r="F39" s="33">
        <v>202</v>
      </c>
      <c r="M39" s="30">
        <v>101901</v>
      </c>
      <c r="N39" s="30" t="s">
        <v>755</v>
      </c>
      <c r="O39" s="30">
        <v>101901</v>
      </c>
      <c r="T39" s="35" t="s">
        <v>615</v>
      </c>
      <c r="U39" s="35">
        <f t="shared" si="0"/>
        <v>200034</v>
      </c>
      <c r="AB39" s="29">
        <v>120401</v>
      </c>
      <c r="AD39" s="29" t="s">
        <v>834</v>
      </c>
      <c r="AE39" s="29" t="s">
        <v>835</v>
      </c>
    </row>
    <row r="40" spans="1:31" x14ac:dyDescent="0.4">
      <c r="A40" s="38">
        <v>203</v>
      </c>
      <c r="B40" s="39" t="s">
        <v>836</v>
      </c>
      <c r="C40" s="39" t="s">
        <v>836</v>
      </c>
      <c r="D40" s="39" t="s">
        <v>831</v>
      </c>
      <c r="E40" s="39" t="s">
        <v>752</v>
      </c>
      <c r="F40" s="33">
        <v>203</v>
      </c>
      <c r="M40" s="30">
        <v>102000</v>
      </c>
      <c r="N40" s="30" t="s">
        <v>762</v>
      </c>
      <c r="O40" s="30">
        <v>102000</v>
      </c>
      <c r="T40" s="29" t="s">
        <v>606</v>
      </c>
      <c r="U40" s="29">
        <f t="shared" si="0"/>
        <v>200036</v>
      </c>
      <c r="AB40" s="29">
        <v>101100</v>
      </c>
      <c r="AD40" s="29" t="s">
        <v>710</v>
      </c>
      <c r="AE40" s="29" t="s">
        <v>837</v>
      </c>
    </row>
    <row r="41" spans="1:31" x14ac:dyDescent="0.4">
      <c r="A41" s="38">
        <v>204</v>
      </c>
      <c r="B41" s="39" t="s">
        <v>838</v>
      </c>
      <c r="C41" s="39" t="s">
        <v>838</v>
      </c>
      <c r="D41" s="39" t="s">
        <v>834</v>
      </c>
      <c r="E41" s="39" t="s">
        <v>758</v>
      </c>
      <c r="F41" s="33">
        <v>204</v>
      </c>
      <c r="M41" s="30">
        <v>102001</v>
      </c>
      <c r="N41" s="30" t="s">
        <v>761</v>
      </c>
      <c r="O41" s="30">
        <v>102001</v>
      </c>
      <c r="T41" s="29" t="s">
        <v>556</v>
      </c>
      <c r="U41" s="29">
        <f t="shared" si="0"/>
        <v>200037</v>
      </c>
      <c r="AB41" s="29">
        <v>101101</v>
      </c>
      <c r="AD41" s="29" t="s">
        <v>709</v>
      </c>
      <c r="AE41" s="29" t="s">
        <v>839</v>
      </c>
    </row>
    <row r="42" spans="1:31" x14ac:dyDescent="0.4">
      <c r="A42" s="38">
        <v>205</v>
      </c>
      <c r="B42" s="39" t="s">
        <v>840</v>
      </c>
      <c r="C42" s="39" t="s">
        <v>840</v>
      </c>
      <c r="D42" s="39" t="s">
        <v>841</v>
      </c>
      <c r="E42" s="39" t="s">
        <v>842</v>
      </c>
      <c r="F42" s="33">
        <v>205</v>
      </c>
      <c r="M42" s="30">
        <v>102100</v>
      </c>
      <c r="N42" s="30" t="s">
        <v>767</v>
      </c>
      <c r="O42" s="30">
        <v>102100</v>
      </c>
      <c r="T42" s="35" t="s">
        <v>843</v>
      </c>
      <c r="U42" s="35">
        <f t="shared" si="0"/>
        <v>200038</v>
      </c>
      <c r="AB42" s="29">
        <v>102400</v>
      </c>
      <c r="AD42" s="29" t="s">
        <v>779</v>
      </c>
      <c r="AE42" s="29" t="s">
        <v>844</v>
      </c>
    </row>
    <row r="43" spans="1:31" x14ac:dyDescent="0.4">
      <c r="A43" s="38">
        <v>206</v>
      </c>
      <c r="B43" s="39" t="s">
        <v>845</v>
      </c>
      <c r="C43" s="39" t="s">
        <v>845</v>
      </c>
      <c r="D43" s="39" t="s">
        <v>846</v>
      </c>
      <c r="E43" s="39" t="s">
        <v>847</v>
      </c>
      <c r="F43" s="33">
        <v>206</v>
      </c>
      <c r="M43" s="30">
        <v>102101</v>
      </c>
      <c r="N43" s="30" t="s">
        <v>766</v>
      </c>
      <c r="O43" s="30">
        <v>102101</v>
      </c>
      <c r="T43" s="35" t="s">
        <v>848</v>
      </c>
      <c r="U43" s="35" t="e">
        <f t="shared" si="0"/>
        <v>#N/A</v>
      </c>
      <c r="AB43" s="29">
        <v>102401</v>
      </c>
      <c r="AD43" s="29" t="s">
        <v>778</v>
      </c>
      <c r="AE43" s="29" t="s">
        <v>849</v>
      </c>
    </row>
    <row r="44" spans="1:31" x14ac:dyDescent="0.4">
      <c r="A44" s="38">
        <v>207</v>
      </c>
      <c r="B44" s="39" t="s">
        <v>850</v>
      </c>
      <c r="C44" s="39" t="s">
        <v>850</v>
      </c>
      <c r="D44" s="39" t="s">
        <v>851</v>
      </c>
      <c r="E44" s="39" t="s">
        <v>852</v>
      </c>
      <c r="F44" s="33">
        <v>207</v>
      </c>
      <c r="M44" s="30">
        <v>102200</v>
      </c>
      <c r="N44" s="30" t="s">
        <v>771</v>
      </c>
      <c r="O44" s="30">
        <v>102200</v>
      </c>
      <c r="T44" s="29" t="s">
        <v>518</v>
      </c>
      <c r="U44" s="29">
        <f t="shared" si="0"/>
        <v>200042</v>
      </c>
      <c r="AB44" s="29">
        <v>103300</v>
      </c>
      <c r="AD44" s="29" t="s">
        <v>853</v>
      </c>
      <c r="AE44" s="29" t="s">
        <v>854</v>
      </c>
    </row>
    <row r="45" spans="1:31" x14ac:dyDescent="0.4">
      <c r="A45" s="38">
        <v>208</v>
      </c>
      <c r="B45" s="39" t="s">
        <v>855</v>
      </c>
      <c r="C45" s="39" t="s">
        <v>855</v>
      </c>
      <c r="D45" s="39" t="s">
        <v>856</v>
      </c>
      <c r="E45" s="39" t="s">
        <v>857</v>
      </c>
      <c r="F45" s="33">
        <v>208</v>
      </c>
      <c r="M45" s="30">
        <v>102201</v>
      </c>
      <c r="N45" s="30" t="s">
        <v>770</v>
      </c>
      <c r="O45" s="30">
        <v>102201</v>
      </c>
      <c r="T45" s="29" t="s">
        <v>858</v>
      </c>
      <c r="U45" s="29">
        <f t="shared" si="0"/>
        <v>200044</v>
      </c>
      <c r="AB45" s="29">
        <v>103301</v>
      </c>
      <c r="AD45" s="29" t="s">
        <v>859</v>
      </c>
      <c r="AE45" s="29" t="s">
        <v>860</v>
      </c>
    </row>
    <row r="46" spans="1:31" x14ac:dyDescent="0.4">
      <c r="A46" s="38">
        <v>209</v>
      </c>
      <c r="B46" s="39" t="s">
        <v>861</v>
      </c>
      <c r="C46" s="39" t="s">
        <v>861</v>
      </c>
      <c r="D46" s="39" t="s">
        <v>862</v>
      </c>
      <c r="E46" s="39" t="s">
        <v>863</v>
      </c>
      <c r="F46" s="33">
        <v>209</v>
      </c>
      <c r="M46" s="30">
        <v>102300</v>
      </c>
      <c r="N46" s="30" t="s">
        <v>775</v>
      </c>
      <c r="O46" s="30">
        <v>102300</v>
      </c>
      <c r="T46" s="35" t="s">
        <v>864</v>
      </c>
      <c r="U46" s="35" t="e">
        <f t="shared" si="0"/>
        <v>#N/A</v>
      </c>
      <c r="AB46" s="29">
        <v>100800</v>
      </c>
      <c r="AD46" s="29" t="s">
        <v>690</v>
      </c>
      <c r="AE46" s="29" t="s">
        <v>865</v>
      </c>
    </row>
    <row r="47" spans="1:31" x14ac:dyDescent="0.4">
      <c r="A47" s="38">
        <v>210</v>
      </c>
      <c r="B47" s="39" t="s">
        <v>866</v>
      </c>
      <c r="C47" s="39" t="s">
        <v>866</v>
      </c>
      <c r="D47" s="39" t="s">
        <v>867</v>
      </c>
      <c r="E47" s="39" t="s">
        <v>868</v>
      </c>
      <c r="F47" s="33">
        <v>210</v>
      </c>
      <c r="M47" s="30">
        <v>102301</v>
      </c>
      <c r="N47" s="30" t="s">
        <v>774</v>
      </c>
      <c r="O47" s="30">
        <v>102301</v>
      </c>
      <c r="T47" s="29" t="s">
        <v>578</v>
      </c>
      <c r="U47" s="29">
        <f t="shared" si="0"/>
        <v>200046</v>
      </c>
      <c r="AB47" s="29">
        <v>100801</v>
      </c>
      <c r="AD47" s="29" t="s">
        <v>689</v>
      </c>
      <c r="AE47" s="29" t="s">
        <v>869</v>
      </c>
    </row>
    <row r="48" spans="1:31" x14ac:dyDescent="0.4">
      <c r="A48" s="38">
        <v>211</v>
      </c>
      <c r="B48" s="39" t="s">
        <v>870</v>
      </c>
      <c r="C48" s="39" t="s">
        <v>870</v>
      </c>
      <c r="D48" s="39" t="s">
        <v>871</v>
      </c>
      <c r="E48" s="39" t="s">
        <v>872</v>
      </c>
      <c r="F48" s="33">
        <v>211</v>
      </c>
      <c r="M48" s="30">
        <v>102400</v>
      </c>
      <c r="N48" s="30" t="s">
        <v>779</v>
      </c>
      <c r="O48" s="30">
        <v>102400</v>
      </c>
      <c r="AB48" s="29">
        <v>100900</v>
      </c>
      <c r="AD48" s="29" t="s">
        <v>698</v>
      </c>
      <c r="AE48" s="29" t="s">
        <v>873</v>
      </c>
    </row>
    <row r="49" spans="1:31" x14ac:dyDescent="0.4">
      <c r="A49" s="38">
        <v>212</v>
      </c>
      <c r="B49" s="39" t="s">
        <v>874</v>
      </c>
      <c r="C49" s="39" t="s">
        <v>874</v>
      </c>
      <c r="D49" s="39" t="s">
        <v>875</v>
      </c>
      <c r="E49" s="39" t="s">
        <v>876</v>
      </c>
      <c r="F49" s="33">
        <v>212</v>
      </c>
      <c r="M49" s="30">
        <v>102401</v>
      </c>
      <c r="N49" s="30" t="s">
        <v>778</v>
      </c>
      <c r="O49" s="30">
        <v>102401</v>
      </c>
      <c r="AB49" s="29">
        <v>100901</v>
      </c>
      <c r="AD49" s="29" t="s">
        <v>697</v>
      </c>
      <c r="AE49" s="29" t="s">
        <v>877</v>
      </c>
    </row>
    <row r="50" spans="1:31" x14ac:dyDescent="0.4">
      <c r="M50" s="30">
        <v>102500</v>
      </c>
      <c r="N50" s="30" t="s">
        <v>783</v>
      </c>
      <c r="O50" s="30">
        <v>102500</v>
      </c>
      <c r="AB50" s="29">
        <v>101700</v>
      </c>
      <c r="AD50" s="29" t="s">
        <v>878</v>
      </c>
      <c r="AE50" s="29" t="s">
        <v>879</v>
      </c>
    </row>
    <row r="51" spans="1:31" x14ac:dyDescent="0.4">
      <c r="M51" s="30">
        <v>102501</v>
      </c>
      <c r="N51" s="30" t="s">
        <v>782</v>
      </c>
      <c r="O51" s="30">
        <v>102501</v>
      </c>
      <c r="AB51" s="29">
        <v>101701</v>
      </c>
      <c r="AD51" s="29" t="s">
        <v>880</v>
      </c>
      <c r="AE51" s="29" t="s">
        <v>881</v>
      </c>
    </row>
    <row r="52" spans="1:31" x14ac:dyDescent="0.4">
      <c r="M52" s="30">
        <v>102600</v>
      </c>
      <c r="N52" s="30" t="s">
        <v>788</v>
      </c>
      <c r="O52" s="30">
        <v>102600</v>
      </c>
      <c r="AB52" s="29">
        <v>120500</v>
      </c>
      <c r="AD52" s="29" t="s">
        <v>842</v>
      </c>
      <c r="AE52" s="29" t="s">
        <v>882</v>
      </c>
    </row>
    <row r="53" spans="1:31" x14ac:dyDescent="0.4">
      <c r="M53" s="30">
        <v>102601</v>
      </c>
      <c r="N53" s="30" t="s">
        <v>787</v>
      </c>
      <c r="O53" s="30">
        <v>102601</v>
      </c>
      <c r="AB53" s="29">
        <v>120501</v>
      </c>
      <c r="AD53" s="29" t="s">
        <v>841</v>
      </c>
      <c r="AE53" s="29" t="s">
        <v>883</v>
      </c>
    </row>
    <row r="54" spans="1:31" x14ac:dyDescent="0.4">
      <c r="M54" s="30">
        <v>102700</v>
      </c>
      <c r="N54" s="30" t="s">
        <v>784</v>
      </c>
      <c r="O54" s="30">
        <v>102700</v>
      </c>
      <c r="AB54" s="29">
        <v>120600</v>
      </c>
      <c r="AD54" s="29" t="s">
        <v>847</v>
      </c>
      <c r="AE54" s="29" t="s">
        <v>884</v>
      </c>
    </row>
    <row r="55" spans="1:31" x14ac:dyDescent="0.4">
      <c r="M55" s="30">
        <v>102701</v>
      </c>
      <c r="N55" s="30" t="s">
        <v>680</v>
      </c>
      <c r="O55" s="30">
        <v>102701</v>
      </c>
      <c r="AB55" s="29">
        <v>120601</v>
      </c>
      <c r="AD55" s="29" t="s">
        <v>846</v>
      </c>
      <c r="AE55" s="29" t="s">
        <v>885</v>
      </c>
    </row>
    <row r="56" spans="1:31" x14ac:dyDescent="0.4">
      <c r="M56" s="30">
        <v>102800</v>
      </c>
      <c r="N56" s="30" t="s">
        <v>795</v>
      </c>
      <c r="O56" s="30">
        <v>102800</v>
      </c>
      <c r="AB56" s="29">
        <v>120700</v>
      </c>
      <c r="AD56" s="29" t="s">
        <v>852</v>
      </c>
      <c r="AE56" s="29" t="s">
        <v>886</v>
      </c>
    </row>
    <row r="57" spans="1:31" x14ac:dyDescent="0.4">
      <c r="M57" s="30">
        <v>102801</v>
      </c>
      <c r="N57" s="30" t="s">
        <v>794</v>
      </c>
      <c r="O57" s="30">
        <v>102801</v>
      </c>
      <c r="AB57" s="29">
        <v>120701</v>
      </c>
      <c r="AD57" s="29" t="s">
        <v>851</v>
      </c>
      <c r="AE57" s="29" t="s">
        <v>887</v>
      </c>
    </row>
    <row r="58" spans="1:31" x14ac:dyDescent="0.4">
      <c r="M58" s="30">
        <v>102900</v>
      </c>
      <c r="N58" s="30" t="s">
        <v>799</v>
      </c>
      <c r="O58" s="30">
        <v>102900</v>
      </c>
      <c r="AB58" s="29">
        <v>120800</v>
      </c>
      <c r="AD58" s="29" t="s">
        <v>857</v>
      </c>
      <c r="AE58" s="29" t="s">
        <v>888</v>
      </c>
    </row>
    <row r="59" spans="1:31" x14ac:dyDescent="0.4">
      <c r="M59" s="30">
        <v>102901</v>
      </c>
      <c r="N59" s="30" t="s">
        <v>798</v>
      </c>
      <c r="O59" s="30">
        <v>102901</v>
      </c>
      <c r="AB59" s="29">
        <v>120801</v>
      </c>
      <c r="AD59" s="29" t="s">
        <v>856</v>
      </c>
      <c r="AE59" s="29" t="s">
        <v>889</v>
      </c>
    </row>
    <row r="60" spans="1:31" x14ac:dyDescent="0.4">
      <c r="M60" s="30">
        <v>103000</v>
      </c>
      <c r="N60" s="30" t="s">
        <v>803</v>
      </c>
      <c r="O60" s="30">
        <v>103000</v>
      </c>
      <c r="AB60" s="29">
        <v>102100</v>
      </c>
      <c r="AD60" s="29" t="s">
        <v>767</v>
      </c>
      <c r="AE60" s="29" t="s">
        <v>890</v>
      </c>
    </row>
    <row r="61" spans="1:31" x14ac:dyDescent="0.4">
      <c r="M61" s="30">
        <v>103001</v>
      </c>
      <c r="N61" s="30" t="s">
        <v>802</v>
      </c>
      <c r="O61" s="30">
        <v>103001</v>
      </c>
      <c r="AB61" s="29">
        <v>102101</v>
      </c>
      <c r="AD61" s="29" t="s">
        <v>766</v>
      </c>
      <c r="AE61" s="29" t="s">
        <v>891</v>
      </c>
    </row>
    <row r="62" spans="1:31" x14ac:dyDescent="0.4">
      <c r="M62" s="30">
        <v>103100</v>
      </c>
      <c r="N62" s="30" t="s">
        <v>808</v>
      </c>
      <c r="O62" s="30">
        <v>103100</v>
      </c>
      <c r="AB62" s="29">
        <v>103000</v>
      </c>
      <c r="AD62" s="29" t="s">
        <v>803</v>
      </c>
      <c r="AE62" s="29" t="s">
        <v>892</v>
      </c>
    </row>
    <row r="63" spans="1:31" x14ac:dyDescent="0.4">
      <c r="M63" s="30">
        <v>103101</v>
      </c>
      <c r="N63" s="30" t="s">
        <v>807</v>
      </c>
      <c r="O63" s="30">
        <v>103101</v>
      </c>
      <c r="AB63" s="29">
        <v>103001</v>
      </c>
      <c r="AD63" s="29" t="s">
        <v>802</v>
      </c>
      <c r="AE63" s="29" t="s">
        <v>893</v>
      </c>
    </row>
    <row r="64" spans="1:31" x14ac:dyDescent="0.4">
      <c r="M64" s="30">
        <v>103200</v>
      </c>
      <c r="N64" s="30" t="s">
        <v>712</v>
      </c>
      <c r="O64" s="30">
        <v>103200</v>
      </c>
      <c r="AB64" s="29">
        <v>103100</v>
      </c>
      <c r="AD64" s="29" t="s">
        <v>808</v>
      </c>
      <c r="AE64" s="29" t="s">
        <v>894</v>
      </c>
    </row>
    <row r="65" spans="13:31" x14ac:dyDescent="0.4">
      <c r="M65" s="30">
        <v>103201</v>
      </c>
      <c r="N65" s="30" t="s">
        <v>804</v>
      </c>
      <c r="O65" s="30">
        <v>103201</v>
      </c>
      <c r="AB65" s="29">
        <v>103101</v>
      </c>
      <c r="AD65" s="29" t="s">
        <v>807</v>
      </c>
      <c r="AE65" s="29" t="s">
        <v>895</v>
      </c>
    </row>
    <row r="66" spans="13:31" x14ac:dyDescent="0.4">
      <c r="M66" s="30">
        <v>103300</v>
      </c>
      <c r="N66" s="30" t="s">
        <v>813</v>
      </c>
      <c r="O66" s="30">
        <v>103300</v>
      </c>
      <c r="AB66" s="29">
        <v>102300</v>
      </c>
      <c r="AD66" s="29" t="s">
        <v>775</v>
      </c>
      <c r="AE66" s="29" t="s">
        <v>896</v>
      </c>
    </row>
    <row r="67" spans="13:31" x14ac:dyDescent="0.4">
      <c r="M67" s="30">
        <v>103301</v>
      </c>
      <c r="N67" s="30" t="s">
        <v>289</v>
      </c>
      <c r="O67" s="30">
        <v>103301</v>
      </c>
      <c r="AB67" s="29">
        <v>102301</v>
      </c>
      <c r="AD67" s="29" t="s">
        <v>774</v>
      </c>
      <c r="AE67" s="29" t="s">
        <v>897</v>
      </c>
    </row>
    <row r="68" spans="13:31" x14ac:dyDescent="0.4">
      <c r="M68" s="30">
        <v>103400</v>
      </c>
      <c r="N68" s="30" t="s">
        <v>817</v>
      </c>
      <c r="O68" s="30">
        <v>103400</v>
      </c>
      <c r="AB68" s="29">
        <v>103500</v>
      </c>
      <c r="AD68" s="29" t="s">
        <v>821</v>
      </c>
      <c r="AE68" s="29" t="s">
        <v>898</v>
      </c>
    </row>
    <row r="69" spans="13:31" x14ac:dyDescent="0.4">
      <c r="M69" s="30">
        <v>103401</v>
      </c>
      <c r="N69" s="30" t="s">
        <v>816</v>
      </c>
      <c r="O69" s="30">
        <v>103401</v>
      </c>
      <c r="AB69" s="29">
        <v>103501</v>
      </c>
      <c r="AD69" s="29" t="s">
        <v>820</v>
      </c>
      <c r="AE69" s="29" t="s">
        <v>899</v>
      </c>
    </row>
    <row r="70" spans="13:31" x14ac:dyDescent="0.4">
      <c r="M70" s="30">
        <v>103500</v>
      </c>
      <c r="N70" s="30" t="s">
        <v>821</v>
      </c>
      <c r="O70" s="30">
        <v>103500</v>
      </c>
      <c r="AB70" s="29">
        <v>101000</v>
      </c>
      <c r="AD70" s="29" t="s">
        <v>704</v>
      </c>
      <c r="AE70" s="29" t="s">
        <v>900</v>
      </c>
    </row>
    <row r="71" spans="13:31" x14ac:dyDescent="0.4">
      <c r="M71" s="30">
        <v>103501</v>
      </c>
      <c r="N71" s="30" t="s">
        <v>820</v>
      </c>
      <c r="O71" s="30">
        <v>103501</v>
      </c>
      <c r="AB71" s="29">
        <v>101001</v>
      </c>
      <c r="AD71" s="29" t="s">
        <v>703</v>
      </c>
      <c r="AE71" s="29" t="s">
        <v>901</v>
      </c>
    </row>
    <row r="72" spans="13:31" x14ac:dyDescent="0.4">
      <c r="M72" s="30">
        <v>103600</v>
      </c>
      <c r="N72" s="30" t="s">
        <v>826</v>
      </c>
      <c r="O72" s="30">
        <v>103600</v>
      </c>
      <c r="AB72" s="29">
        <v>103600</v>
      </c>
      <c r="AD72" s="29" t="s">
        <v>902</v>
      </c>
      <c r="AE72" s="29" t="s">
        <v>903</v>
      </c>
    </row>
    <row r="73" spans="13:31" x14ac:dyDescent="0.4">
      <c r="M73" s="30">
        <v>103601</v>
      </c>
      <c r="N73" s="30" t="s">
        <v>825</v>
      </c>
      <c r="O73" s="30">
        <v>103601</v>
      </c>
      <c r="AB73" s="29">
        <v>103601</v>
      </c>
      <c r="AD73" s="29" t="s">
        <v>904</v>
      </c>
      <c r="AE73" s="29" t="s">
        <v>905</v>
      </c>
    </row>
    <row r="74" spans="13:31" x14ac:dyDescent="0.4">
      <c r="M74" s="30">
        <v>120100</v>
      </c>
      <c r="N74" s="30" t="s">
        <v>740</v>
      </c>
      <c r="O74" s="30">
        <v>120100</v>
      </c>
      <c r="AB74" s="29">
        <v>120900</v>
      </c>
      <c r="AD74" s="29" t="s">
        <v>863</v>
      </c>
      <c r="AE74" s="29" t="s">
        <v>906</v>
      </c>
    </row>
    <row r="75" spans="13:31" x14ac:dyDescent="0.4">
      <c r="M75" s="30">
        <v>120101</v>
      </c>
      <c r="N75" s="30" t="s">
        <v>822</v>
      </c>
      <c r="O75" s="30">
        <v>120101</v>
      </c>
      <c r="AB75" s="29">
        <v>121000</v>
      </c>
      <c r="AD75" s="29" t="s">
        <v>868</v>
      </c>
      <c r="AE75" s="29" t="s">
        <v>907</v>
      </c>
    </row>
    <row r="76" spans="13:31" x14ac:dyDescent="0.4">
      <c r="M76" s="30">
        <v>120200</v>
      </c>
      <c r="N76" s="30" t="s">
        <v>746</v>
      </c>
      <c r="O76" s="30">
        <v>120200</v>
      </c>
      <c r="AB76" s="29">
        <v>121100</v>
      </c>
      <c r="AD76" s="29" t="s">
        <v>872</v>
      </c>
      <c r="AE76" s="29" t="s">
        <v>908</v>
      </c>
    </row>
    <row r="77" spans="13:31" x14ac:dyDescent="0.4">
      <c r="M77" s="30">
        <v>120201</v>
      </c>
      <c r="N77" s="30" t="s">
        <v>827</v>
      </c>
      <c r="O77" s="30">
        <v>120201</v>
      </c>
      <c r="AB77" s="29">
        <v>121200</v>
      </c>
      <c r="AD77" s="29" t="s">
        <v>876</v>
      </c>
      <c r="AE77" s="29" t="s">
        <v>909</v>
      </c>
    </row>
    <row r="78" spans="13:31" x14ac:dyDescent="0.4">
      <c r="M78" s="30">
        <v>120300</v>
      </c>
      <c r="N78" s="30" t="s">
        <v>752</v>
      </c>
      <c r="O78" s="30">
        <v>120300</v>
      </c>
      <c r="AB78" s="29">
        <v>120901</v>
      </c>
      <c r="AD78" s="29" t="s">
        <v>862</v>
      </c>
      <c r="AE78" s="29" t="s">
        <v>910</v>
      </c>
    </row>
    <row r="79" spans="13:31" x14ac:dyDescent="0.4">
      <c r="M79" s="30">
        <v>120301</v>
      </c>
      <c r="N79" s="30" t="s">
        <v>831</v>
      </c>
      <c r="O79" s="30">
        <v>120301</v>
      </c>
      <c r="AB79" s="29">
        <v>121001</v>
      </c>
      <c r="AD79" s="29" t="s">
        <v>867</v>
      </c>
      <c r="AE79" s="29" t="s">
        <v>911</v>
      </c>
    </row>
    <row r="80" spans="13:31" x14ac:dyDescent="0.4">
      <c r="M80" s="30">
        <v>120400</v>
      </c>
      <c r="N80" s="30" t="s">
        <v>758</v>
      </c>
      <c r="O80" s="30">
        <v>120400</v>
      </c>
      <c r="AB80" s="29">
        <v>121101</v>
      </c>
      <c r="AD80" s="29" t="s">
        <v>871</v>
      </c>
      <c r="AE80" s="29" t="s">
        <v>912</v>
      </c>
    </row>
    <row r="81" spans="13:31" x14ac:dyDescent="0.4">
      <c r="M81" s="30">
        <v>120401</v>
      </c>
      <c r="N81" s="30" t="s">
        <v>834</v>
      </c>
      <c r="O81" s="30">
        <v>120401</v>
      </c>
      <c r="AB81" s="29">
        <v>121201</v>
      </c>
      <c r="AD81" s="29" t="s">
        <v>875</v>
      </c>
      <c r="AE81" s="29" t="s">
        <v>913</v>
      </c>
    </row>
    <row r="82" spans="13:31" x14ac:dyDescent="0.4">
      <c r="M82" s="30">
        <v>120500</v>
      </c>
      <c r="N82" s="30" t="s">
        <v>842</v>
      </c>
      <c r="O82" s="30">
        <v>120500</v>
      </c>
      <c r="AB82" s="40">
        <v>200001</v>
      </c>
      <c r="AD82" s="29" t="s">
        <v>539</v>
      </c>
      <c r="AE82" s="29" t="s">
        <v>914</v>
      </c>
    </row>
    <row r="83" spans="13:31" x14ac:dyDescent="0.4">
      <c r="M83" s="30">
        <v>120501</v>
      </c>
      <c r="N83" s="30" t="s">
        <v>841</v>
      </c>
      <c r="O83" s="30">
        <v>120501</v>
      </c>
      <c r="AB83" s="29">
        <v>200002</v>
      </c>
      <c r="AD83" s="29" t="s">
        <v>574</v>
      </c>
      <c r="AE83" s="29" t="s">
        <v>915</v>
      </c>
    </row>
    <row r="84" spans="13:31" x14ac:dyDescent="0.4">
      <c r="M84" s="30">
        <v>120600</v>
      </c>
      <c r="N84" s="30" t="s">
        <v>847</v>
      </c>
      <c r="O84" s="30">
        <v>120600</v>
      </c>
      <c r="AB84" s="29">
        <v>200003</v>
      </c>
      <c r="AD84" s="29" t="s">
        <v>661</v>
      </c>
      <c r="AE84" s="29" t="s">
        <v>916</v>
      </c>
    </row>
    <row r="85" spans="13:31" x14ac:dyDescent="0.4">
      <c r="M85" s="30">
        <v>120601</v>
      </c>
      <c r="N85" s="30" t="s">
        <v>846</v>
      </c>
      <c r="O85" s="30">
        <v>120601</v>
      </c>
      <c r="AB85" s="29">
        <v>200004</v>
      </c>
      <c r="AD85" s="29" t="s">
        <v>667</v>
      </c>
      <c r="AE85" s="29" t="s">
        <v>917</v>
      </c>
    </row>
    <row r="86" spans="13:31" x14ac:dyDescent="0.4">
      <c r="M86" s="30">
        <v>120700</v>
      </c>
      <c r="N86" s="30" t="s">
        <v>852</v>
      </c>
      <c r="O86" s="30">
        <v>120700</v>
      </c>
      <c r="AB86" s="29">
        <v>200005</v>
      </c>
      <c r="AD86" s="29" t="s">
        <v>550</v>
      </c>
      <c r="AE86" s="29" t="s">
        <v>918</v>
      </c>
    </row>
    <row r="87" spans="13:31" x14ac:dyDescent="0.4">
      <c r="M87" s="30">
        <v>120701</v>
      </c>
      <c r="N87" s="30" t="s">
        <v>851</v>
      </c>
      <c r="O87" s="30">
        <v>120701</v>
      </c>
      <c r="AB87" s="29">
        <v>200006</v>
      </c>
      <c r="AD87" s="29" t="s">
        <v>566</v>
      </c>
      <c r="AE87" s="29" t="s">
        <v>919</v>
      </c>
    </row>
    <row r="88" spans="13:31" x14ac:dyDescent="0.4">
      <c r="M88" s="30">
        <v>120800</v>
      </c>
      <c r="N88" s="30" t="s">
        <v>857</v>
      </c>
      <c r="O88" s="30">
        <v>120800</v>
      </c>
      <c r="AB88" s="29">
        <v>200007</v>
      </c>
      <c r="AD88" s="29" t="s">
        <v>573</v>
      </c>
      <c r="AE88" s="29" t="s">
        <v>920</v>
      </c>
    </row>
    <row r="89" spans="13:31" x14ac:dyDescent="0.4">
      <c r="M89" s="30">
        <v>120801</v>
      </c>
      <c r="N89" s="30" t="s">
        <v>856</v>
      </c>
      <c r="O89" s="30">
        <v>120801</v>
      </c>
      <c r="AB89" s="29">
        <v>200008</v>
      </c>
      <c r="AD89" s="29" t="s">
        <v>921</v>
      </c>
      <c r="AE89" s="29" t="s">
        <v>922</v>
      </c>
    </row>
    <row r="90" spans="13:31" x14ac:dyDescent="0.4">
      <c r="M90" s="30">
        <v>120900</v>
      </c>
      <c r="N90" s="30" t="s">
        <v>863</v>
      </c>
      <c r="O90" s="30">
        <v>120900</v>
      </c>
      <c r="AB90" s="29">
        <v>200009</v>
      </c>
      <c r="AD90" s="29" t="s">
        <v>598</v>
      </c>
      <c r="AE90" s="29" t="s">
        <v>923</v>
      </c>
    </row>
    <row r="91" spans="13:31" x14ac:dyDescent="0.4">
      <c r="M91" s="30">
        <v>120901</v>
      </c>
      <c r="N91" s="30" t="s">
        <v>862</v>
      </c>
      <c r="O91" s="30">
        <v>120901</v>
      </c>
      <c r="AB91" s="29">
        <v>200010</v>
      </c>
      <c r="AD91" s="29" t="s">
        <v>554</v>
      </c>
      <c r="AE91" s="29" t="s">
        <v>924</v>
      </c>
    </row>
    <row r="92" spans="13:31" x14ac:dyDescent="0.4">
      <c r="M92" s="30">
        <v>121000</v>
      </c>
      <c r="N92" s="30" t="s">
        <v>868</v>
      </c>
      <c r="O92" s="30">
        <v>121000</v>
      </c>
      <c r="AB92" s="29">
        <v>200011</v>
      </c>
      <c r="AD92" s="29" t="s">
        <v>532</v>
      </c>
      <c r="AE92" s="29" t="s">
        <v>925</v>
      </c>
    </row>
    <row r="93" spans="13:31" x14ac:dyDescent="0.4">
      <c r="M93" s="30">
        <v>121001</v>
      </c>
      <c r="N93" s="30" t="s">
        <v>867</v>
      </c>
      <c r="O93" s="30">
        <v>121001</v>
      </c>
      <c r="AB93" s="29">
        <v>200012</v>
      </c>
      <c r="AD93" s="29" t="s">
        <v>552</v>
      </c>
      <c r="AE93" s="29" t="s">
        <v>926</v>
      </c>
    </row>
    <row r="94" spans="13:31" x14ac:dyDescent="0.4">
      <c r="M94" s="30">
        <v>121100</v>
      </c>
      <c r="N94" s="30" t="s">
        <v>872</v>
      </c>
      <c r="O94" s="30">
        <v>121100</v>
      </c>
      <c r="AB94" s="29">
        <v>200013</v>
      </c>
      <c r="AD94" s="29" t="s">
        <v>553</v>
      </c>
      <c r="AE94" s="29" t="s">
        <v>927</v>
      </c>
    </row>
    <row r="95" spans="13:31" x14ac:dyDescent="0.4">
      <c r="M95" s="30">
        <v>121101</v>
      </c>
      <c r="N95" s="30" t="s">
        <v>871</v>
      </c>
      <c r="O95" s="30">
        <v>121101</v>
      </c>
      <c r="AB95" s="29">
        <v>200014</v>
      </c>
      <c r="AD95" s="29" t="s">
        <v>542</v>
      </c>
      <c r="AE95" s="29" t="s">
        <v>928</v>
      </c>
    </row>
    <row r="96" spans="13:31" x14ac:dyDescent="0.4">
      <c r="M96" s="30">
        <v>121200</v>
      </c>
      <c r="N96" s="30" t="s">
        <v>876</v>
      </c>
      <c r="O96" s="30">
        <v>121200</v>
      </c>
      <c r="AB96" s="29">
        <v>200015</v>
      </c>
      <c r="AD96" s="29" t="s">
        <v>517</v>
      </c>
      <c r="AE96" s="29" t="s">
        <v>929</v>
      </c>
    </row>
    <row r="97" spans="13:31" x14ac:dyDescent="0.4">
      <c r="M97" s="30">
        <v>121201</v>
      </c>
      <c r="N97" s="30" t="s">
        <v>875</v>
      </c>
      <c r="O97" s="30">
        <v>121201</v>
      </c>
      <c r="AB97" s="29">
        <v>200016</v>
      </c>
      <c r="AD97" s="29" t="s">
        <v>510</v>
      </c>
      <c r="AE97" s="29" t="s">
        <v>930</v>
      </c>
    </row>
    <row r="98" spans="13:31" x14ac:dyDescent="0.4">
      <c r="M98" s="30">
        <v>200001</v>
      </c>
      <c r="N98" s="30" t="s">
        <v>533</v>
      </c>
      <c r="O98" s="30">
        <v>200001</v>
      </c>
      <c r="AB98" s="29">
        <v>200017</v>
      </c>
      <c r="AD98" s="29" t="s">
        <v>637</v>
      </c>
      <c r="AE98" s="29" t="s">
        <v>931</v>
      </c>
    </row>
    <row r="99" spans="13:31" x14ac:dyDescent="0.4">
      <c r="M99" s="30">
        <v>200002</v>
      </c>
      <c r="N99" s="30" t="s">
        <v>574</v>
      </c>
      <c r="O99" s="30">
        <v>200002</v>
      </c>
      <c r="AB99" s="29">
        <v>200018</v>
      </c>
      <c r="AD99" s="29" t="s">
        <v>623</v>
      </c>
      <c r="AE99" s="29" t="s">
        <v>932</v>
      </c>
    </row>
    <row r="100" spans="13:31" x14ac:dyDescent="0.4">
      <c r="M100" s="30">
        <v>200003</v>
      </c>
      <c r="N100" s="30" t="s">
        <v>661</v>
      </c>
      <c r="O100" s="30">
        <v>200003</v>
      </c>
      <c r="AB100" s="29">
        <v>200019</v>
      </c>
      <c r="AD100" s="29" t="s">
        <v>588</v>
      </c>
      <c r="AE100" s="29" t="s">
        <v>933</v>
      </c>
    </row>
    <row r="101" spans="13:31" x14ac:dyDescent="0.4">
      <c r="M101" s="30">
        <v>200004</v>
      </c>
      <c r="N101" s="30" t="s">
        <v>667</v>
      </c>
      <c r="O101" s="30">
        <v>200004</v>
      </c>
      <c r="AB101" s="29">
        <v>200020</v>
      </c>
      <c r="AD101" s="29" t="s">
        <v>524</v>
      </c>
      <c r="AE101" s="29" t="s">
        <v>934</v>
      </c>
    </row>
    <row r="102" spans="13:31" x14ac:dyDescent="0.4">
      <c r="M102" s="30">
        <v>200005</v>
      </c>
      <c r="N102" s="30" t="s">
        <v>550</v>
      </c>
      <c r="O102" s="30">
        <v>200005</v>
      </c>
      <c r="AB102" s="29">
        <v>200021</v>
      </c>
      <c r="AD102" s="29" t="s">
        <v>519</v>
      </c>
      <c r="AE102" s="29" t="s">
        <v>935</v>
      </c>
    </row>
    <row r="103" spans="13:31" x14ac:dyDescent="0.4">
      <c r="M103" s="30">
        <v>200006</v>
      </c>
      <c r="N103" s="30" t="s">
        <v>566</v>
      </c>
      <c r="O103" s="30">
        <v>200006</v>
      </c>
      <c r="AB103" s="29">
        <v>200022</v>
      </c>
      <c r="AD103" s="29" t="s">
        <v>632</v>
      </c>
      <c r="AE103" s="29" t="s">
        <v>936</v>
      </c>
    </row>
    <row r="104" spans="13:31" x14ac:dyDescent="0.4">
      <c r="M104" s="30">
        <v>200007</v>
      </c>
      <c r="N104" s="30" t="s">
        <v>573</v>
      </c>
      <c r="O104" s="30">
        <v>200007</v>
      </c>
      <c r="AB104" s="29">
        <v>200023</v>
      </c>
      <c r="AD104" s="29" t="s">
        <v>631</v>
      </c>
      <c r="AE104" s="29" t="s">
        <v>937</v>
      </c>
    </row>
    <row r="105" spans="13:31" x14ac:dyDescent="0.4">
      <c r="M105" s="30">
        <v>200008</v>
      </c>
      <c r="N105" s="30" t="s">
        <v>513</v>
      </c>
      <c r="O105" s="30">
        <v>200008</v>
      </c>
      <c r="AB105" s="29">
        <v>200024</v>
      </c>
      <c r="AD105" s="29" t="s">
        <v>633</v>
      </c>
      <c r="AE105" s="29" t="s">
        <v>938</v>
      </c>
    </row>
    <row r="106" spans="13:31" x14ac:dyDescent="0.4">
      <c r="M106" s="30">
        <v>200009</v>
      </c>
      <c r="N106" s="30" t="s">
        <v>598</v>
      </c>
      <c r="O106" s="30">
        <v>200009</v>
      </c>
      <c r="AB106" s="29">
        <v>200025</v>
      </c>
      <c r="AD106" s="29" t="s">
        <v>543</v>
      </c>
      <c r="AE106" s="29" t="s">
        <v>939</v>
      </c>
    </row>
    <row r="107" spans="13:31" x14ac:dyDescent="0.4">
      <c r="M107" s="30">
        <v>200010</v>
      </c>
      <c r="N107" s="30" t="s">
        <v>554</v>
      </c>
      <c r="O107" s="30">
        <v>200010</v>
      </c>
      <c r="AB107" s="29">
        <v>200026</v>
      </c>
      <c r="AD107" s="29" t="s">
        <v>611</v>
      </c>
      <c r="AE107" s="29" t="s">
        <v>940</v>
      </c>
    </row>
    <row r="108" spans="13:31" x14ac:dyDescent="0.4">
      <c r="M108" s="30">
        <v>200011</v>
      </c>
      <c r="N108" s="30" t="s">
        <v>532</v>
      </c>
      <c r="O108" s="30">
        <v>200011</v>
      </c>
      <c r="AB108" s="29">
        <v>200027</v>
      </c>
      <c r="AD108" s="29" t="s">
        <v>604</v>
      </c>
      <c r="AE108" s="29" t="s">
        <v>941</v>
      </c>
    </row>
    <row r="109" spans="13:31" x14ac:dyDescent="0.4">
      <c r="M109" s="30">
        <v>200012</v>
      </c>
      <c r="N109" s="30" t="s">
        <v>552</v>
      </c>
      <c r="O109" s="30">
        <v>200012</v>
      </c>
      <c r="AB109" s="29">
        <v>200028</v>
      </c>
      <c r="AD109" s="29" t="s">
        <v>603</v>
      </c>
      <c r="AE109" s="29" t="s">
        <v>942</v>
      </c>
    </row>
    <row r="110" spans="13:31" x14ac:dyDescent="0.4">
      <c r="M110" s="30">
        <v>200013</v>
      </c>
      <c r="N110" s="30" t="s">
        <v>553</v>
      </c>
      <c r="O110" s="30">
        <v>200013</v>
      </c>
      <c r="AB110" s="29">
        <v>200029</v>
      </c>
      <c r="AD110" s="29" t="s">
        <v>605</v>
      </c>
      <c r="AE110" s="29" t="s">
        <v>943</v>
      </c>
    </row>
    <row r="111" spans="13:31" x14ac:dyDescent="0.4">
      <c r="M111" s="30">
        <v>200014</v>
      </c>
      <c r="N111" s="30" t="s">
        <v>542</v>
      </c>
      <c r="O111" s="30">
        <v>200014</v>
      </c>
      <c r="AB111" s="29">
        <v>200030</v>
      </c>
      <c r="AD111" s="29" t="s">
        <v>590</v>
      </c>
      <c r="AE111" s="29" t="s">
        <v>944</v>
      </c>
    </row>
    <row r="112" spans="13:31" x14ac:dyDescent="0.4">
      <c r="M112" s="30">
        <v>200015</v>
      </c>
      <c r="N112" s="30" t="s">
        <v>517</v>
      </c>
      <c r="O112" s="30">
        <v>200015</v>
      </c>
      <c r="AB112" s="29">
        <v>200031</v>
      </c>
      <c r="AD112" s="29" t="s">
        <v>589</v>
      </c>
      <c r="AE112" s="29" t="s">
        <v>945</v>
      </c>
    </row>
    <row r="113" spans="13:31" x14ac:dyDescent="0.4">
      <c r="M113" s="30">
        <v>200016</v>
      </c>
      <c r="N113" s="30" t="s">
        <v>510</v>
      </c>
      <c r="O113" s="30">
        <v>200016</v>
      </c>
      <c r="AB113" s="29">
        <v>200032</v>
      </c>
      <c r="AD113" s="29" t="s">
        <v>610</v>
      </c>
      <c r="AE113" s="29" t="s">
        <v>946</v>
      </c>
    </row>
    <row r="114" spans="13:31" x14ac:dyDescent="0.4">
      <c r="M114" s="30">
        <v>200017</v>
      </c>
      <c r="N114" s="30" t="s">
        <v>637</v>
      </c>
      <c r="O114" s="30">
        <v>200017</v>
      </c>
      <c r="AB114" s="29">
        <v>200033</v>
      </c>
      <c r="AD114" s="29" t="s">
        <v>830</v>
      </c>
      <c r="AE114" s="29" t="s">
        <v>947</v>
      </c>
    </row>
    <row r="115" spans="13:31" x14ac:dyDescent="0.4">
      <c r="M115" s="30">
        <v>200018</v>
      </c>
      <c r="N115" s="30" t="s">
        <v>623</v>
      </c>
      <c r="O115" s="30">
        <v>200018</v>
      </c>
      <c r="AB115" s="29">
        <v>200034</v>
      </c>
      <c r="AD115" s="29" t="s">
        <v>615</v>
      </c>
      <c r="AE115" s="29" t="s">
        <v>948</v>
      </c>
    </row>
    <row r="116" spans="13:31" x14ac:dyDescent="0.4">
      <c r="M116" s="30">
        <v>200019</v>
      </c>
      <c r="N116" s="30" t="s">
        <v>588</v>
      </c>
      <c r="O116" s="30">
        <v>200019</v>
      </c>
      <c r="AB116" s="29">
        <v>200035</v>
      </c>
      <c r="AD116" s="29" t="s">
        <v>626</v>
      </c>
      <c r="AE116" s="29" t="s">
        <v>949</v>
      </c>
    </row>
    <row r="117" spans="13:31" x14ac:dyDescent="0.4">
      <c r="M117" s="30">
        <v>200020</v>
      </c>
      <c r="N117" s="30" t="s">
        <v>524</v>
      </c>
      <c r="O117" s="30">
        <v>200020</v>
      </c>
      <c r="AB117" s="29">
        <v>200036</v>
      </c>
      <c r="AD117" s="29" t="s">
        <v>606</v>
      </c>
      <c r="AE117" s="29" t="s">
        <v>950</v>
      </c>
    </row>
    <row r="118" spans="13:31" x14ac:dyDescent="0.4">
      <c r="M118" s="30">
        <v>200021</v>
      </c>
      <c r="N118" s="30" t="s">
        <v>519</v>
      </c>
      <c r="O118" s="30">
        <v>200021</v>
      </c>
      <c r="AB118" s="29">
        <v>200037</v>
      </c>
      <c r="AD118" s="29" t="s">
        <v>556</v>
      </c>
      <c r="AE118" s="29" t="s">
        <v>951</v>
      </c>
    </row>
    <row r="119" spans="13:31" x14ac:dyDescent="0.4">
      <c r="M119" s="30">
        <v>200022</v>
      </c>
      <c r="N119" s="30" t="s">
        <v>632</v>
      </c>
      <c r="O119" s="30">
        <v>200022</v>
      </c>
      <c r="AB119" s="29">
        <v>200038</v>
      </c>
      <c r="AD119" s="29" t="s">
        <v>843</v>
      </c>
      <c r="AE119" s="29" t="s">
        <v>952</v>
      </c>
    </row>
    <row r="120" spans="13:31" x14ac:dyDescent="0.4">
      <c r="M120" s="30">
        <v>200023</v>
      </c>
      <c r="N120" s="30" t="s">
        <v>631</v>
      </c>
      <c r="O120" s="30">
        <v>200023</v>
      </c>
      <c r="AB120" s="29">
        <v>200039</v>
      </c>
      <c r="AD120" s="29" t="s">
        <v>352</v>
      </c>
      <c r="AE120" s="29" t="s">
        <v>953</v>
      </c>
    </row>
    <row r="121" spans="13:31" x14ac:dyDescent="0.4">
      <c r="M121" s="30">
        <v>200024</v>
      </c>
      <c r="N121" s="30" t="s">
        <v>633</v>
      </c>
      <c r="O121" s="30">
        <v>200024</v>
      </c>
      <c r="AB121" s="29">
        <v>200040</v>
      </c>
      <c r="AD121" s="29" t="s">
        <v>567</v>
      </c>
      <c r="AE121" s="29" t="s">
        <v>954</v>
      </c>
    </row>
    <row r="122" spans="13:31" x14ac:dyDescent="0.4">
      <c r="M122" s="30">
        <v>200025</v>
      </c>
      <c r="N122" s="30" t="s">
        <v>543</v>
      </c>
      <c r="O122" s="30">
        <v>200025</v>
      </c>
      <c r="AB122" s="29">
        <v>200041</v>
      </c>
      <c r="AD122" s="29" t="s">
        <v>614</v>
      </c>
      <c r="AE122" s="29" t="s">
        <v>955</v>
      </c>
    </row>
    <row r="123" spans="13:31" x14ac:dyDescent="0.4">
      <c r="M123" s="30">
        <v>200026</v>
      </c>
      <c r="N123" s="30" t="s">
        <v>611</v>
      </c>
      <c r="O123" s="30">
        <v>200026</v>
      </c>
      <c r="AB123" s="29">
        <v>200042</v>
      </c>
      <c r="AD123" s="29" t="s">
        <v>518</v>
      </c>
      <c r="AE123" s="29" t="s">
        <v>956</v>
      </c>
    </row>
    <row r="124" spans="13:31" x14ac:dyDescent="0.4">
      <c r="M124" s="30">
        <v>200027</v>
      </c>
      <c r="N124" s="30" t="s">
        <v>604</v>
      </c>
      <c r="O124" s="30">
        <v>200027</v>
      </c>
      <c r="AB124" s="29">
        <v>200043</v>
      </c>
      <c r="AD124" s="29" t="s">
        <v>584</v>
      </c>
      <c r="AE124" s="29" t="s">
        <v>957</v>
      </c>
    </row>
    <row r="125" spans="13:31" x14ac:dyDescent="0.4">
      <c r="M125" s="30">
        <v>200028</v>
      </c>
      <c r="N125" s="30" t="s">
        <v>603</v>
      </c>
      <c r="O125" s="30">
        <v>200028</v>
      </c>
      <c r="AB125" s="29">
        <v>200044</v>
      </c>
      <c r="AD125" s="29" t="s">
        <v>858</v>
      </c>
      <c r="AE125" s="29" t="s">
        <v>958</v>
      </c>
    </row>
    <row r="126" spans="13:31" x14ac:dyDescent="0.4">
      <c r="M126" s="30">
        <v>200029</v>
      </c>
      <c r="N126" s="30" t="s">
        <v>605</v>
      </c>
      <c r="O126" s="30">
        <v>200029</v>
      </c>
      <c r="AB126" s="29">
        <v>200045</v>
      </c>
      <c r="AD126" s="29" t="s">
        <v>568</v>
      </c>
      <c r="AE126" s="29" t="s">
        <v>959</v>
      </c>
    </row>
    <row r="127" spans="13:31" x14ac:dyDescent="0.4">
      <c r="M127" s="30">
        <v>200030</v>
      </c>
      <c r="N127" s="30" t="s">
        <v>590</v>
      </c>
      <c r="O127" s="30">
        <v>200030</v>
      </c>
      <c r="AB127" s="29">
        <v>200046</v>
      </c>
      <c r="AD127" s="29" t="s">
        <v>578</v>
      </c>
      <c r="AE127" s="29" t="s">
        <v>960</v>
      </c>
    </row>
    <row r="128" spans="13:31" x14ac:dyDescent="0.4">
      <c r="M128" s="30">
        <v>200031</v>
      </c>
      <c r="N128" s="30" t="s">
        <v>589</v>
      </c>
      <c r="O128" s="30">
        <v>200031</v>
      </c>
      <c r="AB128" s="29">
        <v>200047</v>
      </c>
      <c r="AD128" s="29" t="s">
        <v>530</v>
      </c>
      <c r="AE128" s="29" t="s">
        <v>961</v>
      </c>
    </row>
    <row r="129" spans="13:31" x14ac:dyDescent="0.4">
      <c r="M129" s="30">
        <v>200032</v>
      </c>
      <c r="N129" s="30" t="s">
        <v>610</v>
      </c>
      <c r="O129" s="30">
        <v>200032</v>
      </c>
      <c r="AB129" s="29">
        <v>200048</v>
      </c>
      <c r="AD129" s="29" t="s">
        <v>962</v>
      </c>
      <c r="AE129" s="29" t="s">
        <v>963</v>
      </c>
    </row>
    <row r="130" spans="13:31" x14ac:dyDescent="0.4">
      <c r="M130" s="30">
        <v>200033</v>
      </c>
      <c r="N130" s="30" t="s">
        <v>830</v>
      </c>
      <c r="O130" s="30">
        <v>200033</v>
      </c>
      <c r="AB130" s="29">
        <v>200049</v>
      </c>
      <c r="AD130" s="29" t="s">
        <v>964</v>
      </c>
      <c r="AE130" s="29" t="s">
        <v>965</v>
      </c>
    </row>
    <row r="131" spans="13:31" x14ac:dyDescent="0.4">
      <c r="M131" s="30">
        <v>200034</v>
      </c>
      <c r="N131" s="30" t="s">
        <v>615</v>
      </c>
      <c r="O131" s="30">
        <v>200034</v>
      </c>
      <c r="AB131" s="29">
        <v>200050</v>
      </c>
      <c r="AD131" s="29" t="s">
        <v>966</v>
      </c>
      <c r="AE131" s="29" t="s">
        <v>967</v>
      </c>
    </row>
    <row r="132" spans="13:31" x14ac:dyDescent="0.4">
      <c r="M132" s="30">
        <v>200035</v>
      </c>
      <c r="N132" s="30" t="s">
        <v>626</v>
      </c>
      <c r="O132" s="30">
        <v>200035</v>
      </c>
      <c r="AB132" s="29">
        <v>200051</v>
      </c>
      <c r="AD132" s="29" t="s">
        <v>968</v>
      </c>
      <c r="AE132" s="29" t="s">
        <v>969</v>
      </c>
    </row>
    <row r="133" spans="13:31" x14ac:dyDescent="0.4">
      <c r="M133" s="30">
        <v>200036</v>
      </c>
      <c r="N133" s="30" t="s">
        <v>606</v>
      </c>
      <c r="O133" s="30">
        <v>200036</v>
      </c>
      <c r="AB133" s="29">
        <v>200052</v>
      </c>
      <c r="AD133" s="29" t="s">
        <v>970</v>
      </c>
      <c r="AE133" s="29" t="s">
        <v>971</v>
      </c>
    </row>
    <row r="134" spans="13:31" x14ac:dyDescent="0.4">
      <c r="M134" s="30">
        <v>200037</v>
      </c>
      <c r="N134" s="30" t="s">
        <v>556</v>
      </c>
      <c r="O134" s="30">
        <v>200037</v>
      </c>
      <c r="AB134" s="29">
        <v>200053</v>
      </c>
      <c r="AD134" s="29" t="s">
        <v>972</v>
      </c>
      <c r="AE134" s="29" t="s">
        <v>973</v>
      </c>
    </row>
    <row r="135" spans="13:31" x14ac:dyDescent="0.4">
      <c r="M135" s="30">
        <v>200038</v>
      </c>
      <c r="N135" s="30" t="s">
        <v>843</v>
      </c>
      <c r="O135" s="30">
        <v>200038</v>
      </c>
      <c r="AB135" s="29">
        <v>200054</v>
      </c>
      <c r="AD135" s="29" t="s">
        <v>974</v>
      </c>
      <c r="AE135" s="29" t="s">
        <v>975</v>
      </c>
    </row>
    <row r="136" spans="13:31" x14ac:dyDescent="0.4">
      <c r="M136" s="30">
        <v>200039</v>
      </c>
      <c r="N136" s="30" t="s">
        <v>352</v>
      </c>
      <c r="O136" s="30">
        <v>200039</v>
      </c>
      <c r="AB136" s="29">
        <v>200055</v>
      </c>
      <c r="AD136" s="29" t="s">
        <v>976</v>
      </c>
      <c r="AE136" s="29" t="s">
        <v>977</v>
      </c>
    </row>
    <row r="137" spans="13:31" x14ac:dyDescent="0.4">
      <c r="M137" s="30">
        <v>200040</v>
      </c>
      <c r="N137" s="30" t="s">
        <v>567</v>
      </c>
      <c r="O137" s="30">
        <v>200040</v>
      </c>
      <c r="AB137" s="29">
        <v>200056</v>
      </c>
      <c r="AD137" s="29" t="s">
        <v>978</v>
      </c>
      <c r="AE137" s="29" t="s">
        <v>979</v>
      </c>
    </row>
    <row r="138" spans="13:31" x14ac:dyDescent="0.4">
      <c r="M138" s="30">
        <v>200041</v>
      </c>
      <c r="N138" s="30" t="s">
        <v>614</v>
      </c>
      <c r="O138" s="30">
        <v>200041</v>
      </c>
      <c r="AB138" s="29">
        <v>200057</v>
      </c>
      <c r="AD138" s="29" t="s">
        <v>980</v>
      </c>
      <c r="AE138" s="29" t="s">
        <v>981</v>
      </c>
    </row>
    <row r="139" spans="13:31" x14ac:dyDescent="0.4">
      <c r="M139" s="30">
        <v>200042</v>
      </c>
      <c r="N139" s="30" t="s">
        <v>518</v>
      </c>
      <c r="O139" s="30">
        <v>200042</v>
      </c>
      <c r="AB139" s="29">
        <v>200058</v>
      </c>
      <c r="AD139" s="29" t="s">
        <v>982</v>
      </c>
      <c r="AE139" s="29" t="s">
        <v>983</v>
      </c>
    </row>
    <row r="140" spans="13:31" x14ac:dyDescent="0.4">
      <c r="M140" s="30">
        <v>200043</v>
      </c>
      <c r="N140" s="30" t="s">
        <v>584</v>
      </c>
      <c r="O140" s="30">
        <v>200043</v>
      </c>
      <c r="AB140" s="29">
        <v>200059</v>
      </c>
      <c r="AD140" s="29" t="s">
        <v>984</v>
      </c>
      <c r="AE140" s="29" t="s">
        <v>985</v>
      </c>
    </row>
    <row r="141" spans="13:31" x14ac:dyDescent="0.4">
      <c r="M141" s="30">
        <v>200044</v>
      </c>
      <c r="N141" s="30" t="s">
        <v>858</v>
      </c>
      <c r="O141" s="30">
        <v>200044</v>
      </c>
      <c r="AB141" s="29">
        <v>200060</v>
      </c>
      <c r="AD141" s="29" t="s">
        <v>515</v>
      </c>
      <c r="AE141" s="29" t="s">
        <v>986</v>
      </c>
    </row>
    <row r="142" spans="13:31" x14ac:dyDescent="0.4">
      <c r="M142" s="30">
        <v>200045</v>
      </c>
      <c r="N142" s="30" t="s">
        <v>568</v>
      </c>
      <c r="O142" s="30">
        <v>200045</v>
      </c>
      <c r="AB142" s="29">
        <v>200061</v>
      </c>
      <c r="AD142" s="29" t="s">
        <v>555</v>
      </c>
      <c r="AE142" s="29" t="s">
        <v>987</v>
      </c>
    </row>
    <row r="143" spans="13:31" x14ac:dyDescent="0.4">
      <c r="M143" s="30">
        <v>200046</v>
      </c>
      <c r="N143" s="30" t="s">
        <v>578</v>
      </c>
      <c r="O143" s="30">
        <v>200046</v>
      </c>
      <c r="AB143" s="29">
        <v>200062</v>
      </c>
      <c r="AD143" s="29" t="s">
        <v>988</v>
      </c>
      <c r="AE143" s="29" t="s">
        <v>989</v>
      </c>
    </row>
    <row r="144" spans="13:31" x14ac:dyDescent="0.4">
      <c r="M144" s="30">
        <v>200047</v>
      </c>
      <c r="N144" s="30" t="s">
        <v>530</v>
      </c>
      <c r="O144" s="30">
        <v>200047</v>
      </c>
      <c r="AB144" s="29">
        <v>200063</v>
      </c>
      <c r="AD144" s="29" t="s">
        <v>511</v>
      </c>
      <c r="AE144" s="29" t="s">
        <v>990</v>
      </c>
    </row>
    <row r="145" spans="13:31" x14ac:dyDescent="0.4">
      <c r="M145" s="30">
        <v>200048</v>
      </c>
      <c r="N145" s="30" t="s">
        <v>962</v>
      </c>
      <c r="O145" s="30">
        <v>200048</v>
      </c>
      <c r="AB145" s="29">
        <v>200064</v>
      </c>
      <c r="AD145" s="29" t="s">
        <v>514</v>
      </c>
      <c r="AE145" s="29" t="s">
        <v>991</v>
      </c>
    </row>
    <row r="146" spans="13:31" x14ac:dyDescent="0.4">
      <c r="M146" s="30">
        <v>200049</v>
      </c>
      <c r="N146" s="30" t="s">
        <v>964</v>
      </c>
      <c r="O146" s="30">
        <v>200049</v>
      </c>
      <c r="AB146" s="29">
        <v>200065</v>
      </c>
      <c r="AD146" s="29" t="s">
        <v>512</v>
      </c>
      <c r="AE146" s="29" t="s">
        <v>992</v>
      </c>
    </row>
    <row r="147" spans="13:31" x14ac:dyDescent="0.4">
      <c r="M147" s="30">
        <v>200050</v>
      </c>
      <c r="N147" s="30" t="s">
        <v>966</v>
      </c>
      <c r="O147" s="30">
        <v>200050</v>
      </c>
      <c r="AB147" s="29">
        <v>200066</v>
      </c>
      <c r="AD147" s="29" t="s">
        <v>993</v>
      </c>
      <c r="AE147" s="29" t="s">
        <v>994</v>
      </c>
    </row>
    <row r="148" spans="13:31" x14ac:dyDescent="0.4">
      <c r="M148" s="30">
        <v>200051</v>
      </c>
      <c r="N148" s="30" t="s">
        <v>968</v>
      </c>
      <c r="O148" s="30">
        <v>200051</v>
      </c>
      <c r="AB148" s="29">
        <v>200067</v>
      </c>
      <c r="AD148" s="29" t="s">
        <v>995</v>
      </c>
      <c r="AE148" s="29" t="s">
        <v>996</v>
      </c>
    </row>
    <row r="149" spans="13:31" x14ac:dyDescent="0.4">
      <c r="M149" s="30">
        <v>200052</v>
      </c>
      <c r="N149" s="30" t="s">
        <v>970</v>
      </c>
      <c r="O149" s="30">
        <v>200052</v>
      </c>
      <c r="AB149" s="29">
        <v>200068</v>
      </c>
      <c r="AD149" s="29" t="s">
        <v>551</v>
      </c>
      <c r="AE149" s="29" t="s">
        <v>997</v>
      </c>
    </row>
    <row r="150" spans="13:31" x14ac:dyDescent="0.4">
      <c r="M150" s="30">
        <v>200053</v>
      </c>
      <c r="N150" s="30" t="s">
        <v>972</v>
      </c>
      <c r="O150" s="30">
        <v>200053</v>
      </c>
      <c r="AB150" s="29">
        <v>200069</v>
      </c>
      <c r="AD150" s="29" t="s">
        <v>557</v>
      </c>
      <c r="AE150" s="29" t="s">
        <v>998</v>
      </c>
    </row>
    <row r="151" spans="13:31" x14ac:dyDescent="0.4">
      <c r="M151" s="30">
        <v>200054</v>
      </c>
      <c r="N151" s="30" t="s">
        <v>974</v>
      </c>
      <c r="O151" s="30">
        <v>200054</v>
      </c>
      <c r="AB151" s="29">
        <v>200070</v>
      </c>
      <c r="AD151" s="29" t="s">
        <v>531</v>
      </c>
      <c r="AE151" s="29" t="s">
        <v>999</v>
      </c>
    </row>
    <row r="152" spans="13:31" x14ac:dyDescent="0.4">
      <c r="M152" s="30">
        <v>200055</v>
      </c>
      <c r="N152" s="30" t="s">
        <v>976</v>
      </c>
      <c r="O152" s="30">
        <v>200055</v>
      </c>
      <c r="AB152" s="29">
        <v>200071</v>
      </c>
      <c r="AD152" s="29" t="s">
        <v>1000</v>
      </c>
      <c r="AE152" s="29" t="s">
        <v>1001</v>
      </c>
    </row>
    <row r="153" spans="13:31" x14ac:dyDescent="0.4">
      <c r="M153" s="30">
        <v>200056</v>
      </c>
      <c r="N153" s="30" t="s">
        <v>978</v>
      </c>
      <c r="O153" s="30">
        <v>200056</v>
      </c>
      <c r="AB153" s="29">
        <v>200072</v>
      </c>
      <c r="AD153" s="29" t="s">
        <v>597</v>
      </c>
      <c r="AE153" s="29" t="s">
        <v>1002</v>
      </c>
    </row>
    <row r="154" spans="13:31" x14ac:dyDescent="0.4">
      <c r="M154" s="30">
        <v>200057</v>
      </c>
      <c r="N154" s="30" t="s">
        <v>980</v>
      </c>
      <c r="O154" s="30">
        <v>200057</v>
      </c>
      <c r="AB154" s="29">
        <v>200073</v>
      </c>
      <c r="AD154" s="29" t="s">
        <v>536</v>
      </c>
      <c r="AE154" s="29" t="s">
        <v>1003</v>
      </c>
    </row>
    <row r="155" spans="13:31" x14ac:dyDescent="0.4">
      <c r="M155" s="30">
        <v>200058</v>
      </c>
      <c r="N155" s="30" t="s">
        <v>982</v>
      </c>
      <c r="O155" s="30">
        <v>200058</v>
      </c>
      <c r="AB155" s="29">
        <v>200074</v>
      </c>
      <c r="AD155" s="29" t="s">
        <v>1004</v>
      </c>
      <c r="AE155" s="29" t="s">
        <v>1005</v>
      </c>
    </row>
    <row r="156" spans="13:31" x14ac:dyDescent="0.4">
      <c r="M156" s="30">
        <v>200059</v>
      </c>
      <c r="N156" s="30" t="s">
        <v>984</v>
      </c>
      <c r="O156" s="30">
        <v>200059</v>
      </c>
      <c r="AB156" s="29">
        <v>200075</v>
      </c>
      <c r="AD156" s="29" t="s">
        <v>1006</v>
      </c>
      <c r="AE156" s="29" t="s">
        <v>1007</v>
      </c>
    </row>
    <row r="157" spans="13:31" x14ac:dyDescent="0.4">
      <c r="M157" s="30">
        <v>200060</v>
      </c>
      <c r="N157" s="30" t="s">
        <v>515</v>
      </c>
      <c r="O157" s="30">
        <v>200060</v>
      </c>
      <c r="AB157" s="29">
        <v>200076</v>
      </c>
      <c r="AD157" s="29" t="s">
        <v>1008</v>
      </c>
      <c r="AE157" s="29" t="s">
        <v>1009</v>
      </c>
    </row>
    <row r="158" spans="13:31" x14ac:dyDescent="0.4">
      <c r="M158" s="30">
        <v>200061</v>
      </c>
      <c r="N158" s="30" t="s">
        <v>555</v>
      </c>
      <c r="O158" s="30">
        <v>200061</v>
      </c>
      <c r="AB158" s="29">
        <v>200077</v>
      </c>
      <c r="AD158" s="29" t="s">
        <v>1010</v>
      </c>
      <c r="AE158" s="29" t="s">
        <v>1011</v>
      </c>
    </row>
    <row r="159" spans="13:31" x14ac:dyDescent="0.4">
      <c r="M159" s="30">
        <v>200062</v>
      </c>
      <c r="N159" s="30" t="s">
        <v>988</v>
      </c>
      <c r="O159" s="30">
        <v>200062</v>
      </c>
    </row>
    <row r="160" spans="13:31" x14ac:dyDescent="0.4">
      <c r="M160" s="30">
        <v>200063</v>
      </c>
      <c r="N160" s="30" t="s">
        <v>511</v>
      </c>
      <c r="O160" s="30">
        <v>200063</v>
      </c>
    </row>
    <row r="161" spans="13:15" x14ac:dyDescent="0.4">
      <c r="M161" s="30">
        <v>200064</v>
      </c>
      <c r="N161" s="30" t="s">
        <v>514</v>
      </c>
      <c r="O161" s="30">
        <v>200064</v>
      </c>
    </row>
    <row r="162" spans="13:15" x14ac:dyDescent="0.4">
      <c r="M162" s="30">
        <v>200065</v>
      </c>
      <c r="N162" s="30" t="s">
        <v>512</v>
      </c>
      <c r="O162" s="30">
        <v>200065</v>
      </c>
    </row>
    <row r="163" spans="13:15" x14ac:dyDescent="0.4">
      <c r="M163" s="30">
        <v>200066</v>
      </c>
      <c r="N163" s="30" t="s">
        <v>1012</v>
      </c>
      <c r="O163" s="30">
        <v>200066</v>
      </c>
    </row>
    <row r="164" spans="13:15" x14ac:dyDescent="0.4">
      <c r="M164" s="30">
        <v>200067</v>
      </c>
      <c r="N164" s="30" t="s">
        <v>995</v>
      </c>
      <c r="O164" s="30">
        <v>200067</v>
      </c>
    </row>
    <row r="165" spans="13:15" x14ac:dyDescent="0.4">
      <c r="M165" s="30">
        <v>200068</v>
      </c>
      <c r="N165" s="30" t="s">
        <v>551</v>
      </c>
      <c r="O165" s="30">
        <v>200068</v>
      </c>
    </row>
    <row r="166" spans="13:15" x14ac:dyDescent="0.4">
      <c r="M166" s="30">
        <v>200069</v>
      </c>
      <c r="N166" s="30" t="s">
        <v>557</v>
      </c>
      <c r="O166" s="30">
        <v>200069</v>
      </c>
    </row>
    <row r="167" spans="13:15" x14ac:dyDescent="0.4">
      <c r="M167" s="30">
        <v>200070</v>
      </c>
      <c r="N167" s="30" t="s">
        <v>531</v>
      </c>
      <c r="O167" s="30">
        <v>200070</v>
      </c>
    </row>
    <row r="168" spans="13:15" x14ac:dyDescent="0.4">
      <c r="M168" s="30">
        <v>200071</v>
      </c>
      <c r="N168" s="30" t="s">
        <v>1000</v>
      </c>
      <c r="O168" s="30">
        <v>200071</v>
      </c>
    </row>
    <row r="169" spans="13:15" x14ac:dyDescent="0.4">
      <c r="M169" s="30">
        <v>200072</v>
      </c>
      <c r="N169" s="30" t="s">
        <v>597</v>
      </c>
      <c r="O169" s="30">
        <v>200072</v>
      </c>
    </row>
    <row r="170" spans="13:15" x14ac:dyDescent="0.4">
      <c r="M170" s="30">
        <v>200073</v>
      </c>
      <c r="N170" s="30" t="s">
        <v>536</v>
      </c>
      <c r="O170" s="30">
        <v>200073</v>
      </c>
    </row>
    <row r="171" spans="13:15" x14ac:dyDescent="0.4">
      <c r="M171" s="30">
        <v>200074</v>
      </c>
      <c r="N171" s="30" t="s">
        <v>525</v>
      </c>
      <c r="O171" s="30">
        <v>200074</v>
      </c>
    </row>
    <row r="172" spans="13:15" x14ac:dyDescent="0.4">
      <c r="M172" s="30">
        <v>200075</v>
      </c>
      <c r="N172" s="30" t="s">
        <v>1006</v>
      </c>
      <c r="O172" s="30">
        <v>200075</v>
      </c>
    </row>
    <row r="173" spans="13:15" x14ac:dyDescent="0.4">
      <c r="M173" s="30">
        <v>200076</v>
      </c>
      <c r="N173" s="30" t="s">
        <v>1008</v>
      </c>
      <c r="O173" s="30">
        <v>200076</v>
      </c>
    </row>
    <row r="174" spans="13:15" x14ac:dyDescent="0.4">
      <c r="M174" s="30">
        <v>200078</v>
      </c>
      <c r="N174" s="30" t="s">
        <v>599</v>
      </c>
      <c r="O174" s="30">
        <v>200078</v>
      </c>
    </row>
    <row r="175" spans="13:15" x14ac:dyDescent="0.4">
      <c r="M175" s="30">
        <v>200079</v>
      </c>
      <c r="N175" s="30" t="s">
        <v>622</v>
      </c>
      <c r="O175" s="30">
        <v>200079</v>
      </c>
    </row>
    <row r="176" spans="13:15" x14ac:dyDescent="0.4">
      <c r="M176" s="30">
        <v>200080</v>
      </c>
      <c r="N176" s="30" t="s">
        <v>549</v>
      </c>
      <c r="O176" s="30">
        <v>200080</v>
      </c>
    </row>
    <row r="177" spans="13:15" x14ac:dyDescent="0.4">
      <c r="M177" s="30">
        <v>200083</v>
      </c>
      <c r="N177" s="30" t="s">
        <v>579</v>
      </c>
      <c r="O177" s="30">
        <v>200083</v>
      </c>
    </row>
    <row r="178" spans="13:15" x14ac:dyDescent="0.4">
      <c r="M178" s="30">
        <v>200112</v>
      </c>
      <c r="N178" s="30" t="s">
        <v>600</v>
      </c>
      <c r="O178" s="30">
        <v>200112</v>
      </c>
    </row>
    <row r="179" spans="13:15" x14ac:dyDescent="0.4">
      <c r="M179" s="30">
        <v>200113</v>
      </c>
      <c r="N179" s="30" t="s">
        <v>607</v>
      </c>
      <c r="O179" s="30">
        <v>200113</v>
      </c>
    </row>
    <row r="180" spans="13:15" x14ac:dyDescent="0.4">
      <c r="M180" s="30">
        <v>200114</v>
      </c>
      <c r="N180" s="30" t="s">
        <v>636</v>
      </c>
      <c r="O180" s="30">
        <v>200114</v>
      </c>
    </row>
    <row r="181" spans="13:15" x14ac:dyDescent="0.4">
      <c r="M181" s="30">
        <v>200115</v>
      </c>
      <c r="N181" s="30" t="s">
        <v>526</v>
      </c>
      <c r="O181" s="30">
        <v>200115</v>
      </c>
    </row>
    <row r="182" spans="13:15" x14ac:dyDescent="0.4">
      <c r="M182" s="30">
        <v>200116</v>
      </c>
      <c r="N182" s="30" t="s">
        <v>520</v>
      </c>
      <c r="O182" s="30">
        <v>200116</v>
      </c>
    </row>
    <row r="183" spans="13:15" x14ac:dyDescent="0.4">
      <c r="M183" s="30">
        <v>200117</v>
      </c>
      <c r="N183" s="30" t="s">
        <v>593</v>
      </c>
      <c r="O183" s="30">
        <v>200117</v>
      </c>
    </row>
    <row r="184" spans="13:15" x14ac:dyDescent="0.4">
      <c r="M184" s="30">
        <v>200118</v>
      </c>
      <c r="N184" s="30" t="s">
        <v>585</v>
      </c>
      <c r="O184" s="30">
        <v>200118</v>
      </c>
    </row>
    <row r="185" spans="13:15" x14ac:dyDescent="0.4">
      <c r="M185" s="30">
        <v>200119</v>
      </c>
      <c r="N185" s="30" t="s">
        <v>580</v>
      </c>
      <c r="O185" s="30">
        <v>200119</v>
      </c>
    </row>
    <row r="186" spans="13:15" x14ac:dyDescent="0.4">
      <c r="M186" s="30">
        <v>200120</v>
      </c>
      <c r="N186" s="30" t="s">
        <v>1013</v>
      </c>
      <c r="O186" s="30">
        <v>200120</v>
      </c>
    </row>
    <row r="187" spans="13:15" x14ac:dyDescent="0.4">
      <c r="M187" s="30">
        <v>200121</v>
      </c>
      <c r="N187" s="30" t="s">
        <v>559</v>
      </c>
      <c r="O187" s="30">
        <v>200121</v>
      </c>
    </row>
    <row r="188" spans="13:15" x14ac:dyDescent="0.4">
      <c r="M188" s="30">
        <v>200122</v>
      </c>
      <c r="N188" s="30" t="s">
        <v>558</v>
      </c>
      <c r="O188" s="30">
        <v>200122</v>
      </c>
    </row>
    <row r="189" spans="13:15" x14ac:dyDescent="0.4">
      <c r="M189" s="30">
        <v>200123</v>
      </c>
      <c r="N189" s="30" t="s">
        <v>1014</v>
      </c>
      <c r="O189" s="30">
        <v>200123</v>
      </c>
    </row>
    <row r="190" spans="13:15" x14ac:dyDescent="0.4">
      <c r="M190" s="30">
        <v>200124</v>
      </c>
      <c r="N190" s="30" t="s">
        <v>638</v>
      </c>
      <c r="O190" s="30">
        <v>200124</v>
      </c>
    </row>
    <row r="191" spans="13:15" x14ac:dyDescent="0.4">
      <c r="M191" s="34">
        <v>200125</v>
      </c>
      <c r="N191" s="34" t="s">
        <v>679</v>
      </c>
      <c r="O191" s="30">
        <v>200125</v>
      </c>
    </row>
    <row r="192" spans="13:15" x14ac:dyDescent="0.4">
      <c r="M192" s="30">
        <v>200126</v>
      </c>
      <c r="N192" s="30" t="s">
        <v>581</v>
      </c>
      <c r="O192" s="30">
        <v>200126</v>
      </c>
    </row>
    <row r="210" spans="2:22" ht="15" customHeight="1" x14ac:dyDescent="0.4">
      <c r="B210" s="41"/>
      <c r="C210" s="41"/>
      <c r="D210" s="41" t="s">
        <v>1015</v>
      </c>
      <c r="E210" s="41"/>
      <c r="F210" s="41" t="s">
        <v>1016</v>
      </c>
      <c r="G210" s="72" t="s">
        <v>643</v>
      </c>
      <c r="H210" s="73"/>
      <c r="I210" s="74"/>
      <c r="J210" s="41" t="s">
        <v>1017</v>
      </c>
    </row>
    <row r="211" spans="2:22" x14ac:dyDescent="0.4">
      <c r="B211" s="34"/>
      <c r="C211" s="34"/>
      <c r="D211" s="34">
        <v>1</v>
      </c>
      <c r="E211" s="34"/>
      <c r="F211" s="34" t="s">
        <v>657</v>
      </c>
      <c r="G211" s="34" t="s">
        <v>247</v>
      </c>
      <c r="H211" s="34"/>
      <c r="I211" s="34" t="s">
        <v>547</v>
      </c>
      <c r="J211" s="34" t="s">
        <v>546</v>
      </c>
      <c r="O211" s="34" t="s">
        <v>646</v>
      </c>
      <c r="P211" s="34" t="s">
        <v>696</v>
      </c>
      <c r="R211" s="29" t="e">
        <f>VLOOKUP(#REF!,$F$210:$J$218,4,FALSE)</f>
        <v>#REF!</v>
      </c>
      <c r="S211" s="29" t="str">
        <f t="shared" ref="S211:T214" si="2">VLOOKUP(O211,$F$210:$J$218,4,FALSE)</f>
        <v>弓兵</v>
      </c>
      <c r="T211" s="29" t="str">
        <f t="shared" si="2"/>
        <v>弓兵</v>
      </c>
      <c r="U211" s="42">
        <v>0.8</v>
      </c>
      <c r="V211" s="29" t="s">
        <v>297</v>
      </c>
    </row>
    <row r="212" spans="2:22" x14ac:dyDescent="0.4">
      <c r="B212" s="34"/>
      <c r="C212" s="34"/>
      <c r="D212" s="34">
        <v>2</v>
      </c>
      <c r="E212" s="34"/>
      <c r="F212" s="34" t="s">
        <v>1018</v>
      </c>
      <c r="G212" s="34" t="s">
        <v>547</v>
      </c>
      <c r="H212" s="34"/>
      <c r="I212" s="34"/>
      <c r="J212" s="34" t="s">
        <v>546</v>
      </c>
      <c r="O212" s="34" t="s">
        <v>742</v>
      </c>
      <c r="P212" s="34" t="s">
        <v>688</v>
      </c>
      <c r="R212" s="29" t="e">
        <f>VLOOKUP(N191,$F$210:$J$218,4,FALSE)</f>
        <v>#N/A</v>
      </c>
      <c r="S212" s="29">
        <f t="shared" si="2"/>
        <v>0</v>
      </c>
      <c r="T212" s="29">
        <f t="shared" si="2"/>
        <v>0</v>
      </c>
      <c r="U212" s="42">
        <v>0.8</v>
      </c>
      <c r="V212" s="29" t="s">
        <v>1019</v>
      </c>
    </row>
    <row r="213" spans="2:22" x14ac:dyDescent="0.4">
      <c r="B213" s="34"/>
      <c r="C213" s="34"/>
      <c r="D213" s="34">
        <v>3</v>
      </c>
      <c r="E213" s="34"/>
      <c r="F213" s="34" t="s">
        <v>742</v>
      </c>
      <c r="G213" s="34" t="s">
        <v>547</v>
      </c>
      <c r="H213" s="34"/>
      <c r="I213" s="34"/>
      <c r="J213" s="34" t="s">
        <v>546</v>
      </c>
      <c r="O213" s="34" t="s">
        <v>676</v>
      </c>
      <c r="P213" s="34" t="s">
        <v>1020</v>
      </c>
      <c r="R213" s="29" t="e">
        <f>VLOOKUP(#REF!,$F$210:$J$218,4,FALSE)</f>
        <v>#REF!</v>
      </c>
      <c r="S213" s="29">
        <f t="shared" si="2"/>
        <v>0</v>
      </c>
      <c r="T213" s="29">
        <f t="shared" si="2"/>
        <v>0</v>
      </c>
      <c r="U213" s="42">
        <v>0.8</v>
      </c>
      <c r="V213" s="29" t="s">
        <v>1021</v>
      </c>
    </row>
    <row r="214" spans="2:22" x14ac:dyDescent="0.4">
      <c r="B214" s="34"/>
      <c r="C214" s="34"/>
      <c r="D214" s="34">
        <v>4</v>
      </c>
      <c r="E214" s="34"/>
      <c r="F214" s="34" t="s">
        <v>696</v>
      </c>
      <c r="G214" s="34" t="s">
        <v>595</v>
      </c>
      <c r="H214" s="34"/>
      <c r="I214" s="34" t="s">
        <v>286</v>
      </c>
      <c r="J214" s="34" t="s">
        <v>576</v>
      </c>
      <c r="O214" s="34" t="s">
        <v>696</v>
      </c>
      <c r="P214" s="28" t="s">
        <v>1018</v>
      </c>
      <c r="R214" s="29" t="e">
        <f>VLOOKUP(#REF!,$F$210:$J$218,4,FALSE)</f>
        <v>#REF!</v>
      </c>
      <c r="S214" s="29" t="str">
        <f t="shared" si="2"/>
        <v>弓兵</v>
      </c>
      <c r="T214" s="29">
        <f t="shared" si="2"/>
        <v>0</v>
      </c>
      <c r="U214" s="42">
        <v>0.8</v>
      </c>
      <c r="V214" s="29" t="s">
        <v>1022</v>
      </c>
    </row>
    <row r="215" spans="2:22" x14ac:dyDescent="0.4">
      <c r="B215" s="34"/>
      <c r="C215" s="34"/>
      <c r="D215" s="34">
        <v>5</v>
      </c>
      <c r="E215" s="34"/>
      <c r="F215" s="34" t="s">
        <v>688</v>
      </c>
      <c r="G215" s="34" t="s">
        <v>595</v>
      </c>
      <c r="H215" s="34"/>
      <c r="I215" s="34"/>
      <c r="J215" s="34" t="s">
        <v>576</v>
      </c>
    </row>
    <row r="216" spans="2:22" x14ac:dyDescent="0.4">
      <c r="B216" s="34"/>
      <c r="C216" s="34"/>
      <c r="D216" s="34">
        <v>6</v>
      </c>
      <c r="E216" s="34"/>
      <c r="F216" s="34" t="s">
        <v>676</v>
      </c>
      <c r="G216" s="34" t="s">
        <v>595</v>
      </c>
      <c r="H216" s="34"/>
      <c r="I216" s="34"/>
      <c r="J216" s="34" t="s">
        <v>546</v>
      </c>
    </row>
    <row r="217" spans="2:22" x14ac:dyDescent="0.4">
      <c r="B217" s="34"/>
      <c r="C217" s="34"/>
      <c r="D217" s="34">
        <v>7</v>
      </c>
      <c r="E217" s="34"/>
      <c r="F217" s="34" t="s">
        <v>646</v>
      </c>
      <c r="G217" s="34" t="s">
        <v>247</v>
      </c>
      <c r="H217" s="34"/>
      <c r="I217" s="34" t="s">
        <v>286</v>
      </c>
      <c r="J217" s="34" t="s">
        <v>546</v>
      </c>
    </row>
    <row r="218" spans="2:22" x14ac:dyDescent="0.4">
      <c r="B218" s="34"/>
      <c r="C218" s="34"/>
      <c r="D218" s="34">
        <v>8</v>
      </c>
      <c r="E218" s="34"/>
      <c r="F218" s="34" t="s">
        <v>1020</v>
      </c>
      <c r="G218" s="34" t="s">
        <v>247</v>
      </c>
      <c r="H218" s="34"/>
      <c r="I218" s="34"/>
      <c r="J218" s="34" t="s">
        <v>546</v>
      </c>
    </row>
  </sheetData>
  <mergeCells count="1">
    <mergeCell ref="G210:I210"/>
  </mergeCells>
  <phoneticPr fontId="1" type="noConversion"/>
  <conditionalFormatting sqref="H2:H21">
    <cfRule type="duplicateValues" dxfId="5" priority="4"/>
    <cfRule type="duplicateValues" dxfId="4" priority="5"/>
    <cfRule type="duplicateValues" dxfId="3" priority="6"/>
  </conditionalFormatting>
  <conditionalFormatting sqref="J2:J21">
    <cfRule type="duplicateValues" dxfId="2" priority="1"/>
    <cfRule type="duplicateValues" dxfId="1" priority="2"/>
    <cfRule type="duplicateValues" dxfId="0" priority="3"/>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02"/>
  <sheetViews>
    <sheetView workbookViewId="0"/>
  </sheetViews>
  <sheetFormatPr defaultRowHeight="14" x14ac:dyDescent="0.3"/>
  <cols>
    <col min="1" max="3" width="80" style="65" customWidth="1"/>
  </cols>
  <sheetData>
    <row r="1" spans="1:3" x14ac:dyDescent="0.3">
      <c r="A1" t="s">
        <v>1023</v>
      </c>
      <c r="B1" t="s">
        <v>1024</v>
      </c>
      <c r="C1" t="s">
        <v>1025</v>
      </c>
    </row>
    <row r="2" spans="1:3" x14ac:dyDescent="0.3">
      <c r="A2" t="s">
        <v>1026</v>
      </c>
      <c r="B2" t="s">
        <v>39</v>
      </c>
      <c r="C2" t="s">
        <v>1027</v>
      </c>
    </row>
    <row r="3" spans="1:3" x14ac:dyDescent="0.3">
      <c r="A3" t="s">
        <v>1028</v>
      </c>
      <c r="B3" t="s">
        <v>40</v>
      </c>
      <c r="C3" t="s">
        <v>1029</v>
      </c>
    </row>
    <row r="4" spans="1:3" x14ac:dyDescent="0.3">
      <c r="A4" t="s">
        <v>1030</v>
      </c>
      <c r="B4" t="s">
        <v>45</v>
      </c>
      <c r="C4" t="s">
        <v>1031</v>
      </c>
    </row>
    <row r="5" spans="1:3" x14ac:dyDescent="0.3">
      <c r="A5" t="s">
        <v>1032</v>
      </c>
      <c r="B5" t="s">
        <v>46</v>
      </c>
      <c r="C5" t="s">
        <v>1033</v>
      </c>
    </row>
    <row r="6" spans="1:3" x14ac:dyDescent="0.3">
      <c r="A6" t="s">
        <v>1034</v>
      </c>
      <c r="B6" t="s">
        <v>50</v>
      </c>
      <c r="C6" t="s">
        <v>1035</v>
      </c>
    </row>
    <row r="7" spans="1:3" x14ac:dyDescent="0.3">
      <c r="A7" t="s">
        <v>1036</v>
      </c>
      <c r="B7" t="s">
        <v>51</v>
      </c>
      <c r="C7" t="s">
        <v>1037</v>
      </c>
    </row>
    <row r="8" spans="1:3" x14ac:dyDescent="0.3">
      <c r="A8" t="s">
        <v>1038</v>
      </c>
      <c r="B8" t="s">
        <v>55</v>
      </c>
      <c r="C8" t="s">
        <v>1039</v>
      </c>
    </row>
    <row r="9" spans="1:3" x14ac:dyDescent="0.3">
      <c r="A9" t="s">
        <v>1040</v>
      </c>
      <c r="B9" t="s">
        <v>56</v>
      </c>
      <c r="C9" t="s">
        <v>1041</v>
      </c>
    </row>
    <row r="10" spans="1:3" x14ac:dyDescent="0.3">
      <c r="A10" t="s">
        <v>1042</v>
      </c>
      <c r="B10" t="s">
        <v>60</v>
      </c>
      <c r="C10" t="s">
        <v>1043</v>
      </c>
    </row>
    <row r="11" spans="1:3" x14ac:dyDescent="0.3">
      <c r="A11" t="s">
        <v>1044</v>
      </c>
      <c r="B11" t="s">
        <v>61</v>
      </c>
      <c r="C11" t="s">
        <v>1045</v>
      </c>
    </row>
    <row r="12" spans="1:3" x14ac:dyDescent="0.3">
      <c r="A12" t="s">
        <v>1046</v>
      </c>
      <c r="B12" t="s">
        <v>65</v>
      </c>
      <c r="C12" t="s">
        <v>1047</v>
      </c>
    </row>
    <row r="13" spans="1:3" x14ac:dyDescent="0.3">
      <c r="A13" t="s">
        <v>1048</v>
      </c>
      <c r="B13" t="s">
        <v>66</v>
      </c>
      <c r="C13" t="s">
        <v>1049</v>
      </c>
    </row>
    <row r="14" spans="1:3" x14ac:dyDescent="0.3">
      <c r="A14" t="s">
        <v>1050</v>
      </c>
      <c r="B14" t="s">
        <v>70</v>
      </c>
      <c r="C14" t="s">
        <v>1051</v>
      </c>
    </row>
    <row r="15" spans="1:3" x14ac:dyDescent="0.3">
      <c r="A15" t="s">
        <v>1052</v>
      </c>
      <c r="B15" t="s">
        <v>71</v>
      </c>
      <c r="C15" t="s">
        <v>1053</v>
      </c>
    </row>
    <row r="16" spans="1:3" x14ac:dyDescent="0.3">
      <c r="A16" t="s">
        <v>1054</v>
      </c>
      <c r="B16" t="s">
        <v>75</v>
      </c>
      <c r="C16" t="s">
        <v>1055</v>
      </c>
    </row>
    <row r="17" spans="1:3" x14ac:dyDescent="0.3">
      <c r="A17" t="s">
        <v>1056</v>
      </c>
      <c r="B17" t="s">
        <v>111</v>
      </c>
      <c r="C17" t="s">
        <v>243</v>
      </c>
    </row>
    <row r="18" spans="1:3" x14ac:dyDescent="0.3">
      <c r="A18" t="s">
        <v>1057</v>
      </c>
      <c r="B18" t="s">
        <v>112</v>
      </c>
      <c r="C18" t="s">
        <v>244</v>
      </c>
    </row>
    <row r="19" spans="1:3" x14ac:dyDescent="0.3">
      <c r="A19" t="s">
        <v>1058</v>
      </c>
      <c r="B19" t="s">
        <v>113</v>
      </c>
      <c r="C19" t="s">
        <v>245</v>
      </c>
    </row>
    <row r="20" spans="1:3" x14ac:dyDescent="0.3">
      <c r="A20" t="s">
        <v>1059</v>
      </c>
      <c r="B20" t="s">
        <v>117</v>
      </c>
      <c r="C20" t="s">
        <v>251</v>
      </c>
    </row>
    <row r="21" spans="1:3" x14ac:dyDescent="0.3">
      <c r="A21" t="s">
        <v>1060</v>
      </c>
      <c r="B21" t="s">
        <v>118</v>
      </c>
      <c r="C21" t="s">
        <v>252</v>
      </c>
    </row>
    <row r="22" spans="1:3" x14ac:dyDescent="0.3">
      <c r="A22" t="s">
        <v>1061</v>
      </c>
      <c r="B22" t="s">
        <v>120</v>
      </c>
      <c r="C22" t="s">
        <v>254</v>
      </c>
    </row>
    <row r="23" spans="1:3" x14ac:dyDescent="0.3">
      <c r="A23" t="s">
        <v>1062</v>
      </c>
      <c r="B23" t="s">
        <v>121</v>
      </c>
      <c r="C23" t="s">
        <v>255</v>
      </c>
    </row>
    <row r="24" spans="1:3" x14ac:dyDescent="0.3">
      <c r="A24" t="s">
        <v>1063</v>
      </c>
      <c r="B24" t="s">
        <v>123</v>
      </c>
      <c r="C24" t="s">
        <v>257</v>
      </c>
    </row>
    <row r="25" spans="1:3" x14ac:dyDescent="0.3">
      <c r="A25" t="s">
        <v>1064</v>
      </c>
      <c r="B25" t="s">
        <v>124</v>
      </c>
      <c r="C25" t="s">
        <v>258</v>
      </c>
    </row>
    <row r="26" spans="1:3" x14ac:dyDescent="0.3">
      <c r="A26" t="s">
        <v>1065</v>
      </c>
      <c r="B26" t="s">
        <v>126</v>
      </c>
      <c r="C26" t="s">
        <v>262</v>
      </c>
    </row>
    <row r="27" spans="1:3" x14ac:dyDescent="0.3">
      <c r="A27" t="s">
        <v>1066</v>
      </c>
      <c r="B27" t="s">
        <v>127</v>
      </c>
      <c r="C27" t="s">
        <v>263</v>
      </c>
    </row>
    <row r="28" spans="1:3" x14ac:dyDescent="0.3">
      <c r="A28" t="s">
        <v>1067</v>
      </c>
      <c r="B28" t="s">
        <v>128</v>
      </c>
      <c r="C28" t="s">
        <v>264</v>
      </c>
    </row>
    <row r="29" spans="1:3" x14ac:dyDescent="0.3">
      <c r="A29" t="s">
        <v>1068</v>
      </c>
      <c r="B29" t="s">
        <v>130</v>
      </c>
      <c r="C29" t="s">
        <v>267</v>
      </c>
    </row>
    <row r="30" spans="1:3" x14ac:dyDescent="0.3">
      <c r="A30" t="s">
        <v>1069</v>
      </c>
      <c r="B30" t="s">
        <v>131</v>
      </c>
      <c r="C30" t="s">
        <v>268</v>
      </c>
    </row>
    <row r="31" spans="1:3" x14ac:dyDescent="0.3">
      <c r="A31" t="s">
        <v>1070</v>
      </c>
      <c r="B31" t="s">
        <v>133</v>
      </c>
      <c r="C31" t="s">
        <v>270</v>
      </c>
    </row>
    <row r="32" spans="1:3" x14ac:dyDescent="0.3">
      <c r="A32" t="s">
        <v>1071</v>
      </c>
      <c r="B32" t="s">
        <v>134</v>
      </c>
      <c r="C32" t="s">
        <v>271</v>
      </c>
    </row>
    <row r="33" spans="1:3" x14ac:dyDescent="0.3">
      <c r="A33" t="s">
        <v>1072</v>
      </c>
      <c r="B33" t="s">
        <v>135</v>
      </c>
      <c r="C33" t="s">
        <v>272</v>
      </c>
    </row>
    <row r="34" spans="1:3" x14ac:dyDescent="0.3">
      <c r="A34" t="s">
        <v>1073</v>
      </c>
      <c r="B34" t="s">
        <v>137</v>
      </c>
      <c r="C34" t="s">
        <v>275</v>
      </c>
    </row>
    <row r="35" spans="1:3" x14ac:dyDescent="0.3">
      <c r="A35" t="s">
        <v>1074</v>
      </c>
      <c r="B35" t="s">
        <v>138</v>
      </c>
      <c r="C35" t="s">
        <v>276</v>
      </c>
    </row>
    <row r="36" spans="1:3" x14ac:dyDescent="0.3">
      <c r="A36" t="s">
        <v>1075</v>
      </c>
      <c r="B36" t="s">
        <v>140</v>
      </c>
      <c r="C36" t="s">
        <v>278</v>
      </c>
    </row>
    <row r="37" spans="1:3" x14ac:dyDescent="0.3">
      <c r="A37" t="s">
        <v>1076</v>
      </c>
      <c r="B37" t="s">
        <v>141</v>
      </c>
      <c r="C37" t="s">
        <v>280</v>
      </c>
    </row>
    <row r="38" spans="1:3" x14ac:dyDescent="0.3">
      <c r="A38" t="s">
        <v>1077</v>
      </c>
      <c r="B38" t="s">
        <v>142</v>
      </c>
      <c r="C38" t="s">
        <v>281</v>
      </c>
    </row>
    <row r="39" spans="1:3" x14ac:dyDescent="0.3">
      <c r="A39" t="s">
        <v>1078</v>
      </c>
      <c r="B39" t="s">
        <v>143</v>
      </c>
      <c r="C39" t="s">
        <v>282</v>
      </c>
    </row>
    <row r="40" spans="1:3" x14ac:dyDescent="0.3">
      <c r="A40" t="s">
        <v>1079</v>
      </c>
      <c r="B40" t="s">
        <v>144</v>
      </c>
      <c r="C40" t="s">
        <v>283</v>
      </c>
    </row>
    <row r="41" spans="1:3" x14ac:dyDescent="0.3">
      <c r="A41" t="s">
        <v>1080</v>
      </c>
      <c r="B41" t="s">
        <v>146</v>
      </c>
      <c r="C41" t="s">
        <v>284</v>
      </c>
    </row>
    <row r="42" spans="1:3" x14ac:dyDescent="0.3">
      <c r="A42" t="s">
        <v>1081</v>
      </c>
      <c r="B42" t="s">
        <v>147</v>
      </c>
      <c r="C42" t="s">
        <v>285</v>
      </c>
    </row>
    <row r="43" spans="1:3" x14ac:dyDescent="0.3">
      <c r="A43" t="s">
        <v>1082</v>
      </c>
      <c r="B43" t="s">
        <v>148</v>
      </c>
      <c r="C43" t="s">
        <v>287</v>
      </c>
    </row>
    <row r="44" spans="1:3" x14ac:dyDescent="0.3">
      <c r="A44" t="s">
        <v>1083</v>
      </c>
      <c r="B44" t="s">
        <v>149</v>
      </c>
      <c r="C44" t="s">
        <v>288</v>
      </c>
    </row>
    <row r="45" spans="1:3" x14ac:dyDescent="0.3">
      <c r="A45" t="s">
        <v>1084</v>
      </c>
      <c r="B45" t="s">
        <v>1085</v>
      </c>
      <c r="C45" t="s">
        <v>289</v>
      </c>
    </row>
    <row r="46" spans="1:3" x14ac:dyDescent="0.3">
      <c r="A46" t="s">
        <v>1086</v>
      </c>
      <c r="B46" t="s">
        <v>151</v>
      </c>
      <c r="C46" t="s">
        <v>290</v>
      </c>
    </row>
    <row r="47" spans="1:3" x14ac:dyDescent="0.3">
      <c r="A47" t="s">
        <v>1087</v>
      </c>
      <c r="B47" t="s">
        <v>152</v>
      </c>
      <c r="C47" t="s">
        <v>291</v>
      </c>
    </row>
    <row r="48" spans="1:3" x14ac:dyDescent="0.3">
      <c r="A48" t="s">
        <v>1088</v>
      </c>
      <c r="B48" t="s">
        <v>153</v>
      </c>
      <c r="C48" t="s">
        <v>294</v>
      </c>
    </row>
    <row r="49" spans="1:3" x14ac:dyDescent="0.3">
      <c r="A49" t="s">
        <v>1089</v>
      </c>
      <c r="B49" t="s">
        <v>154</v>
      </c>
      <c r="C49" t="s">
        <v>295</v>
      </c>
    </row>
    <row r="50" spans="1:3" x14ac:dyDescent="0.3">
      <c r="A50" t="s">
        <v>1090</v>
      </c>
      <c r="B50" t="s">
        <v>155</v>
      </c>
      <c r="C50" t="s">
        <v>296</v>
      </c>
    </row>
    <row r="51" spans="1:3" x14ac:dyDescent="0.3">
      <c r="A51" t="s">
        <v>1091</v>
      </c>
      <c r="B51" t="s">
        <v>156</v>
      </c>
      <c r="C51" t="s">
        <v>298</v>
      </c>
    </row>
    <row r="52" spans="1:3" x14ac:dyDescent="0.3">
      <c r="A52" t="s">
        <v>1092</v>
      </c>
      <c r="B52" t="s">
        <v>157</v>
      </c>
      <c r="C52" t="s">
        <v>299</v>
      </c>
    </row>
    <row r="53" spans="1:3" x14ac:dyDescent="0.3">
      <c r="A53" t="s">
        <v>1093</v>
      </c>
      <c r="B53" t="s">
        <v>158</v>
      </c>
      <c r="C53" t="s">
        <v>300</v>
      </c>
    </row>
    <row r="54" spans="1:3" x14ac:dyDescent="0.3">
      <c r="A54" t="s">
        <v>1094</v>
      </c>
      <c r="B54" t="s">
        <v>159</v>
      </c>
      <c r="C54" t="s">
        <v>301</v>
      </c>
    </row>
    <row r="55" spans="1:3" x14ac:dyDescent="0.3">
      <c r="A55" t="s">
        <v>1095</v>
      </c>
      <c r="B55" t="s">
        <v>160</v>
      </c>
      <c r="C55" t="s">
        <v>302</v>
      </c>
    </row>
    <row r="56" spans="1:3" x14ac:dyDescent="0.3">
      <c r="A56" t="s">
        <v>1096</v>
      </c>
      <c r="B56" t="s">
        <v>161</v>
      </c>
      <c r="C56" t="s">
        <v>303</v>
      </c>
    </row>
    <row r="57" spans="1:3" x14ac:dyDescent="0.3">
      <c r="A57" t="s">
        <v>1097</v>
      </c>
      <c r="B57" t="s">
        <v>162</v>
      </c>
      <c r="C57" t="s">
        <v>304</v>
      </c>
    </row>
    <row r="58" spans="1:3" x14ac:dyDescent="0.3">
      <c r="A58" t="s">
        <v>1098</v>
      </c>
      <c r="B58" t="s">
        <v>163</v>
      </c>
      <c r="C58" t="s">
        <v>305</v>
      </c>
    </row>
    <row r="59" spans="1:3" x14ac:dyDescent="0.3">
      <c r="A59" t="s">
        <v>1099</v>
      </c>
      <c r="B59" t="s">
        <v>165</v>
      </c>
      <c r="C59" t="s">
        <v>306</v>
      </c>
    </row>
    <row r="60" spans="1:3" x14ac:dyDescent="0.3">
      <c r="A60" t="s">
        <v>1100</v>
      </c>
      <c r="B60" t="s">
        <v>166</v>
      </c>
      <c r="C60" t="s">
        <v>307</v>
      </c>
    </row>
    <row r="61" spans="1:3" x14ac:dyDescent="0.3">
      <c r="A61" t="s">
        <v>1101</v>
      </c>
      <c r="B61" t="s">
        <v>168</v>
      </c>
      <c r="C61" t="s">
        <v>308</v>
      </c>
    </row>
    <row r="62" spans="1:3" x14ac:dyDescent="0.3">
      <c r="A62" t="s">
        <v>1102</v>
      </c>
      <c r="B62" t="s">
        <v>169</v>
      </c>
      <c r="C62" t="s">
        <v>309</v>
      </c>
    </row>
    <row r="63" spans="1:3" x14ac:dyDescent="0.3">
      <c r="A63" t="s">
        <v>1103</v>
      </c>
      <c r="B63" t="s">
        <v>171</v>
      </c>
      <c r="C63" t="s">
        <v>310</v>
      </c>
    </row>
    <row r="64" spans="1:3" x14ac:dyDescent="0.3">
      <c r="A64" t="s">
        <v>1104</v>
      </c>
      <c r="B64" t="s">
        <v>172</v>
      </c>
      <c r="C64" t="s">
        <v>312</v>
      </c>
    </row>
    <row r="65" spans="1:3" x14ac:dyDescent="0.3">
      <c r="A65" t="s">
        <v>1105</v>
      </c>
      <c r="B65" t="s">
        <v>173</v>
      </c>
      <c r="C65" t="s">
        <v>313</v>
      </c>
    </row>
    <row r="66" spans="1:3" x14ac:dyDescent="0.3">
      <c r="A66" t="s">
        <v>1106</v>
      </c>
      <c r="B66" t="s">
        <v>174</v>
      </c>
      <c r="C66" t="s">
        <v>314</v>
      </c>
    </row>
    <row r="67" spans="1:3" x14ac:dyDescent="0.3">
      <c r="A67" t="s">
        <v>1107</v>
      </c>
      <c r="B67" t="s">
        <v>175</v>
      </c>
      <c r="C67" t="s">
        <v>315</v>
      </c>
    </row>
    <row r="68" spans="1:3" x14ac:dyDescent="0.3">
      <c r="A68" t="s">
        <v>1108</v>
      </c>
      <c r="B68" t="s">
        <v>176</v>
      </c>
      <c r="C68" t="s">
        <v>317</v>
      </c>
    </row>
    <row r="69" spans="1:3" x14ac:dyDescent="0.3">
      <c r="A69" t="s">
        <v>1109</v>
      </c>
      <c r="B69" t="s">
        <v>177</v>
      </c>
      <c r="C69" t="s">
        <v>318</v>
      </c>
    </row>
    <row r="70" spans="1:3" x14ac:dyDescent="0.3">
      <c r="A70" t="s">
        <v>1110</v>
      </c>
      <c r="B70" t="s">
        <v>178</v>
      </c>
      <c r="C70" t="s">
        <v>320</v>
      </c>
    </row>
    <row r="71" spans="1:3" x14ac:dyDescent="0.3">
      <c r="A71" t="s">
        <v>1111</v>
      </c>
      <c r="B71" t="s">
        <v>179</v>
      </c>
      <c r="C71" t="s">
        <v>321</v>
      </c>
    </row>
    <row r="72" spans="1:3" x14ac:dyDescent="0.3">
      <c r="A72" t="s">
        <v>1112</v>
      </c>
      <c r="B72" t="s">
        <v>180</v>
      </c>
      <c r="C72" t="s">
        <v>322</v>
      </c>
    </row>
    <row r="73" spans="1:3" x14ac:dyDescent="0.3">
      <c r="A73" t="s">
        <v>1113</v>
      </c>
      <c r="B73" t="s">
        <v>181</v>
      </c>
      <c r="C73" t="s">
        <v>323</v>
      </c>
    </row>
    <row r="74" spans="1:3" x14ac:dyDescent="0.3">
      <c r="A74" t="s">
        <v>1114</v>
      </c>
      <c r="B74" t="s">
        <v>182</v>
      </c>
      <c r="C74" t="s">
        <v>325</v>
      </c>
    </row>
    <row r="75" spans="1:3" x14ac:dyDescent="0.3">
      <c r="A75" t="s">
        <v>1115</v>
      </c>
      <c r="B75" t="s">
        <v>183</v>
      </c>
      <c r="C75" t="s">
        <v>328</v>
      </c>
    </row>
    <row r="76" spans="1:3" x14ac:dyDescent="0.3">
      <c r="A76" t="s">
        <v>1116</v>
      </c>
      <c r="B76" t="s">
        <v>184</v>
      </c>
      <c r="C76" t="s">
        <v>329</v>
      </c>
    </row>
    <row r="77" spans="1:3" x14ac:dyDescent="0.3">
      <c r="A77" t="s">
        <v>1117</v>
      </c>
      <c r="B77" t="s">
        <v>185</v>
      </c>
      <c r="C77" t="s">
        <v>330</v>
      </c>
    </row>
    <row r="78" spans="1:3" x14ac:dyDescent="0.3">
      <c r="A78" t="s">
        <v>1118</v>
      </c>
      <c r="B78" t="s">
        <v>186</v>
      </c>
      <c r="C78" t="s">
        <v>331</v>
      </c>
    </row>
    <row r="79" spans="1:3" x14ac:dyDescent="0.3">
      <c r="A79" t="s">
        <v>1119</v>
      </c>
      <c r="B79" t="s">
        <v>188</v>
      </c>
      <c r="C79" t="s">
        <v>332</v>
      </c>
    </row>
    <row r="80" spans="1:3" x14ac:dyDescent="0.3">
      <c r="A80" t="s">
        <v>1120</v>
      </c>
      <c r="B80" t="s">
        <v>189</v>
      </c>
      <c r="C80" t="s">
        <v>333</v>
      </c>
    </row>
    <row r="81" spans="1:3" x14ac:dyDescent="0.3">
      <c r="A81" t="s">
        <v>1121</v>
      </c>
      <c r="B81" t="s">
        <v>190</v>
      </c>
      <c r="C81" t="s">
        <v>334</v>
      </c>
    </row>
    <row r="82" spans="1:3" x14ac:dyDescent="0.3">
      <c r="A82" t="s">
        <v>1122</v>
      </c>
      <c r="B82" t="s">
        <v>191</v>
      </c>
      <c r="C82" t="s">
        <v>335</v>
      </c>
    </row>
    <row r="83" spans="1:3" x14ac:dyDescent="0.3">
      <c r="A83" t="s">
        <v>1123</v>
      </c>
      <c r="B83" t="s">
        <v>193</v>
      </c>
      <c r="C83" t="s">
        <v>338</v>
      </c>
    </row>
    <row r="84" spans="1:3" x14ac:dyDescent="0.3">
      <c r="A84" t="s">
        <v>1124</v>
      </c>
      <c r="B84" t="s">
        <v>194</v>
      </c>
      <c r="C84" t="s">
        <v>339</v>
      </c>
    </row>
    <row r="85" spans="1:3" x14ac:dyDescent="0.3">
      <c r="A85" t="s">
        <v>1125</v>
      </c>
      <c r="B85" t="s">
        <v>196</v>
      </c>
      <c r="C85" t="s">
        <v>341</v>
      </c>
    </row>
    <row r="86" spans="1:3" x14ac:dyDescent="0.3">
      <c r="A86" t="s">
        <v>1126</v>
      </c>
      <c r="B86" t="s">
        <v>197</v>
      </c>
      <c r="C86" t="s">
        <v>343</v>
      </c>
    </row>
    <row r="87" spans="1:3" x14ac:dyDescent="0.3">
      <c r="A87" t="s">
        <v>1127</v>
      </c>
      <c r="B87" t="s">
        <v>198</v>
      </c>
      <c r="C87" t="s">
        <v>344</v>
      </c>
    </row>
    <row r="88" spans="1:3" x14ac:dyDescent="0.3">
      <c r="A88" t="s">
        <v>1128</v>
      </c>
      <c r="B88" t="s">
        <v>199</v>
      </c>
      <c r="C88" t="s">
        <v>345</v>
      </c>
    </row>
    <row r="89" spans="1:3" x14ac:dyDescent="0.3">
      <c r="A89" t="s">
        <v>1129</v>
      </c>
      <c r="B89" t="s">
        <v>200</v>
      </c>
      <c r="C89" t="s">
        <v>346</v>
      </c>
    </row>
    <row r="90" spans="1:3" x14ac:dyDescent="0.3">
      <c r="A90" t="s">
        <v>1130</v>
      </c>
      <c r="B90" t="s">
        <v>201</v>
      </c>
      <c r="C90" t="s">
        <v>348</v>
      </c>
    </row>
    <row r="91" spans="1:3" x14ac:dyDescent="0.3">
      <c r="A91" t="s">
        <v>1131</v>
      </c>
      <c r="B91" t="s">
        <v>202</v>
      </c>
      <c r="C91" t="s">
        <v>349</v>
      </c>
    </row>
    <row r="92" spans="1:3" x14ac:dyDescent="0.3">
      <c r="A92" t="s">
        <v>1132</v>
      </c>
      <c r="B92" t="s">
        <v>203</v>
      </c>
      <c r="C92" t="s">
        <v>350</v>
      </c>
    </row>
    <row r="93" spans="1:3" x14ac:dyDescent="0.3">
      <c r="A93" t="s">
        <v>1133</v>
      </c>
      <c r="B93" t="s">
        <v>204</v>
      </c>
      <c r="C93" t="s">
        <v>351</v>
      </c>
    </row>
    <row r="94" spans="1:3" x14ac:dyDescent="0.3">
      <c r="A94" t="s">
        <v>1134</v>
      </c>
      <c r="B94" t="s">
        <v>206</v>
      </c>
      <c r="C94" t="s">
        <v>352</v>
      </c>
    </row>
    <row r="95" spans="1:3" x14ac:dyDescent="0.3">
      <c r="A95" t="s">
        <v>1135</v>
      </c>
      <c r="B95" t="s">
        <v>207</v>
      </c>
      <c r="C95" t="s">
        <v>353</v>
      </c>
    </row>
    <row r="96" spans="1:3" x14ac:dyDescent="0.3">
      <c r="A96" t="s">
        <v>1136</v>
      </c>
      <c r="B96" t="s">
        <v>209</v>
      </c>
      <c r="C96" t="s">
        <v>355</v>
      </c>
    </row>
    <row r="97" spans="1:3" x14ac:dyDescent="0.3">
      <c r="A97" t="s">
        <v>1137</v>
      </c>
      <c r="B97" t="s">
        <v>210</v>
      </c>
      <c r="C97" t="s">
        <v>357</v>
      </c>
    </row>
    <row r="98" spans="1:3" x14ac:dyDescent="0.3">
      <c r="A98" t="s">
        <v>1138</v>
      </c>
      <c r="B98" t="s">
        <v>211</v>
      </c>
      <c r="C98" t="s">
        <v>358</v>
      </c>
    </row>
    <row r="99" spans="1:3" x14ac:dyDescent="0.3">
      <c r="A99" t="s">
        <v>1139</v>
      </c>
      <c r="B99" t="s">
        <v>212</v>
      </c>
      <c r="C99" t="s">
        <v>359</v>
      </c>
    </row>
    <row r="100" spans="1:3" x14ac:dyDescent="0.3">
      <c r="A100" t="s">
        <v>1140</v>
      </c>
      <c r="B100" t="s">
        <v>213</v>
      </c>
      <c r="C100" t="s">
        <v>360</v>
      </c>
    </row>
    <row r="101" spans="1:3" x14ac:dyDescent="0.3">
      <c r="A101" t="s">
        <v>1141</v>
      </c>
      <c r="B101" t="s">
        <v>214</v>
      </c>
      <c r="C101" t="s">
        <v>362</v>
      </c>
    </row>
    <row r="102" spans="1:3" x14ac:dyDescent="0.3">
      <c r="A102" t="s">
        <v>1142</v>
      </c>
      <c r="B102" t="s">
        <v>215</v>
      </c>
      <c r="C102" t="s">
        <v>363</v>
      </c>
    </row>
    <row r="103" spans="1:3" x14ac:dyDescent="0.3">
      <c r="A103" t="s">
        <v>1143</v>
      </c>
      <c r="B103" t="s">
        <v>216</v>
      </c>
      <c r="C103" t="s">
        <v>364</v>
      </c>
    </row>
    <row r="104" spans="1:3" x14ac:dyDescent="0.3">
      <c r="A104" t="s">
        <v>1144</v>
      </c>
      <c r="B104" t="s">
        <v>217</v>
      </c>
      <c r="C104" t="s">
        <v>368</v>
      </c>
    </row>
    <row r="105" spans="1:3" x14ac:dyDescent="0.3">
      <c r="A105" t="s">
        <v>1145</v>
      </c>
      <c r="B105" t="s">
        <v>218</v>
      </c>
      <c r="C105" t="s">
        <v>369</v>
      </c>
    </row>
    <row r="106" spans="1:3" x14ac:dyDescent="0.3">
      <c r="A106" t="s">
        <v>1146</v>
      </c>
      <c r="B106" t="s">
        <v>219</v>
      </c>
      <c r="C106" t="s">
        <v>370</v>
      </c>
    </row>
    <row r="107" spans="1:3" x14ac:dyDescent="0.3">
      <c r="A107" t="s">
        <v>1147</v>
      </c>
      <c r="B107" t="s">
        <v>220</v>
      </c>
      <c r="C107" t="s">
        <v>371</v>
      </c>
    </row>
    <row r="108" spans="1:3" x14ac:dyDescent="0.3">
      <c r="A108" t="s">
        <v>1148</v>
      </c>
      <c r="B108" t="s">
        <v>376</v>
      </c>
      <c r="C108" t="s">
        <v>356</v>
      </c>
    </row>
    <row r="109" spans="1:3" x14ac:dyDescent="0.3">
      <c r="A109" t="s">
        <v>1149</v>
      </c>
      <c r="B109" t="s">
        <v>377</v>
      </c>
      <c r="C109" t="s">
        <v>1150</v>
      </c>
    </row>
    <row r="110" spans="1:3" x14ac:dyDescent="0.3">
      <c r="A110" t="s">
        <v>1151</v>
      </c>
      <c r="B110" t="s">
        <v>378</v>
      </c>
      <c r="C110" t="s">
        <v>1022</v>
      </c>
    </row>
    <row r="111" spans="1:3" x14ac:dyDescent="0.3">
      <c r="A111" t="s">
        <v>1152</v>
      </c>
      <c r="B111" t="s">
        <v>379</v>
      </c>
      <c r="C111" t="s">
        <v>1153</v>
      </c>
    </row>
    <row r="112" spans="1:3" x14ac:dyDescent="0.3">
      <c r="A112" t="s">
        <v>1154</v>
      </c>
      <c r="B112" t="s">
        <v>380</v>
      </c>
      <c r="C112" t="s">
        <v>1155</v>
      </c>
    </row>
    <row r="113" spans="1:3" x14ac:dyDescent="0.3">
      <c r="A113" t="s">
        <v>1156</v>
      </c>
      <c r="B113" t="s">
        <v>381</v>
      </c>
      <c r="C113" t="s">
        <v>1157</v>
      </c>
    </row>
    <row r="114" spans="1:3" x14ac:dyDescent="0.3">
      <c r="A114" t="s">
        <v>1158</v>
      </c>
      <c r="B114" t="s">
        <v>382</v>
      </c>
      <c r="C114" t="s">
        <v>1021</v>
      </c>
    </row>
    <row r="115" spans="1:3" x14ac:dyDescent="0.3">
      <c r="A115" t="s">
        <v>1159</v>
      </c>
      <c r="B115" t="s">
        <v>383</v>
      </c>
      <c r="C115" t="s">
        <v>1160</v>
      </c>
    </row>
    <row r="116" spans="1:3" x14ac:dyDescent="0.3">
      <c r="A116" t="s">
        <v>1161</v>
      </c>
      <c r="B116" t="s">
        <v>384</v>
      </c>
      <c r="C116" t="s">
        <v>1162</v>
      </c>
    </row>
    <row r="117" spans="1:3" x14ac:dyDescent="0.3">
      <c r="A117" t="s">
        <v>1163</v>
      </c>
      <c r="B117" t="s">
        <v>385</v>
      </c>
      <c r="C117" t="s">
        <v>1164</v>
      </c>
    </row>
    <row r="118" spans="1:3" x14ac:dyDescent="0.3">
      <c r="A118" t="s">
        <v>1165</v>
      </c>
      <c r="B118" t="s">
        <v>386</v>
      </c>
      <c r="C118" t="s">
        <v>365</v>
      </c>
    </row>
    <row r="119" spans="1:3" x14ac:dyDescent="0.3">
      <c r="A119" t="s">
        <v>1166</v>
      </c>
      <c r="B119" t="s">
        <v>387</v>
      </c>
      <c r="C119" t="s">
        <v>1167</v>
      </c>
    </row>
    <row r="120" spans="1:3" x14ac:dyDescent="0.3">
      <c r="A120" t="s">
        <v>1168</v>
      </c>
      <c r="B120" t="s">
        <v>388</v>
      </c>
      <c r="C120" t="s">
        <v>261</v>
      </c>
    </row>
    <row r="121" spans="1:3" x14ac:dyDescent="0.3">
      <c r="A121" t="s">
        <v>1169</v>
      </c>
      <c r="B121" t="s">
        <v>389</v>
      </c>
      <c r="C121" t="s">
        <v>1170</v>
      </c>
    </row>
    <row r="122" spans="1:3" x14ac:dyDescent="0.3">
      <c r="A122" t="s">
        <v>1171</v>
      </c>
      <c r="B122" t="s">
        <v>390</v>
      </c>
      <c r="C122" t="s">
        <v>1172</v>
      </c>
    </row>
    <row r="123" spans="1:3" x14ac:dyDescent="0.3">
      <c r="A123" t="s">
        <v>1173</v>
      </c>
      <c r="B123" t="s">
        <v>391</v>
      </c>
      <c r="C123" t="s">
        <v>1174</v>
      </c>
    </row>
    <row r="124" spans="1:3" x14ac:dyDescent="0.3">
      <c r="A124" t="s">
        <v>1175</v>
      </c>
      <c r="B124" t="s">
        <v>392</v>
      </c>
      <c r="C124" t="s">
        <v>1176</v>
      </c>
    </row>
    <row r="125" spans="1:3" x14ac:dyDescent="0.3">
      <c r="A125" t="s">
        <v>1177</v>
      </c>
      <c r="B125" t="s">
        <v>393</v>
      </c>
      <c r="C125" t="s">
        <v>1178</v>
      </c>
    </row>
    <row r="126" spans="1:3" x14ac:dyDescent="0.3">
      <c r="A126" t="s">
        <v>1179</v>
      </c>
      <c r="B126" t="s">
        <v>394</v>
      </c>
      <c r="C126" t="s">
        <v>1180</v>
      </c>
    </row>
    <row r="127" spans="1:3" x14ac:dyDescent="0.3">
      <c r="A127" t="s">
        <v>1181</v>
      </c>
      <c r="B127" t="s">
        <v>395</v>
      </c>
      <c r="C127" t="s">
        <v>1182</v>
      </c>
    </row>
    <row r="128" spans="1:3" x14ac:dyDescent="0.3">
      <c r="A128" t="s">
        <v>1183</v>
      </c>
      <c r="B128" t="s">
        <v>396</v>
      </c>
      <c r="C128" t="s">
        <v>1184</v>
      </c>
    </row>
    <row r="129" spans="1:3" x14ac:dyDescent="0.3">
      <c r="A129" t="s">
        <v>1185</v>
      </c>
      <c r="B129" t="s">
        <v>397</v>
      </c>
      <c r="C129" t="s">
        <v>1186</v>
      </c>
    </row>
    <row r="130" spans="1:3" x14ac:dyDescent="0.3">
      <c r="A130" t="s">
        <v>1187</v>
      </c>
      <c r="B130" t="s">
        <v>150</v>
      </c>
      <c r="C130" t="s">
        <v>289</v>
      </c>
    </row>
    <row r="131" spans="1:3" x14ac:dyDescent="0.3">
      <c r="A131" t="s">
        <v>1188</v>
      </c>
      <c r="B131" t="s">
        <v>398</v>
      </c>
      <c r="C131" t="s">
        <v>1189</v>
      </c>
    </row>
    <row r="132" spans="1:3" x14ac:dyDescent="0.3">
      <c r="A132" t="s">
        <v>1190</v>
      </c>
      <c r="B132" t="s">
        <v>399</v>
      </c>
      <c r="C132" t="s">
        <v>694</v>
      </c>
    </row>
    <row r="133" spans="1:3" x14ac:dyDescent="0.3">
      <c r="A133" t="s">
        <v>1191</v>
      </c>
      <c r="B133" t="s">
        <v>400</v>
      </c>
      <c r="C133" t="s">
        <v>1192</v>
      </c>
    </row>
    <row r="134" spans="1:3" x14ac:dyDescent="0.3">
      <c r="A134" t="s">
        <v>1193</v>
      </c>
      <c r="B134" t="s">
        <v>401</v>
      </c>
      <c r="C134" t="s">
        <v>567</v>
      </c>
    </row>
    <row r="135" spans="1:3" x14ac:dyDescent="0.3">
      <c r="A135" t="s">
        <v>1194</v>
      </c>
      <c r="B135" t="s">
        <v>402</v>
      </c>
      <c r="C135" t="s">
        <v>1195</v>
      </c>
    </row>
    <row r="136" spans="1:3" x14ac:dyDescent="0.3">
      <c r="A136" t="s">
        <v>1196</v>
      </c>
      <c r="B136" t="s">
        <v>403</v>
      </c>
      <c r="C136" t="s">
        <v>703</v>
      </c>
    </row>
    <row r="137" spans="1:3" x14ac:dyDescent="0.3">
      <c r="A137" t="s">
        <v>1197</v>
      </c>
      <c r="B137" t="s">
        <v>404</v>
      </c>
      <c r="C137" t="s">
        <v>1198</v>
      </c>
    </row>
    <row r="138" spans="1:3" x14ac:dyDescent="0.3">
      <c r="A138" t="s">
        <v>1199</v>
      </c>
      <c r="B138" t="s">
        <v>405</v>
      </c>
      <c r="C138" t="s">
        <v>1200</v>
      </c>
    </row>
    <row r="139" spans="1:3" x14ac:dyDescent="0.3">
      <c r="A139" t="s">
        <v>1201</v>
      </c>
      <c r="B139" t="s">
        <v>406</v>
      </c>
      <c r="C139" t="s">
        <v>1202</v>
      </c>
    </row>
    <row r="140" spans="1:3" x14ac:dyDescent="0.3">
      <c r="A140" t="s">
        <v>1203</v>
      </c>
      <c r="B140" t="s">
        <v>1204</v>
      </c>
      <c r="C140" t="s">
        <v>1205</v>
      </c>
    </row>
    <row r="141" spans="1:3" x14ac:dyDescent="0.3">
      <c r="A141" t="s">
        <v>1206</v>
      </c>
      <c r="B141" t="s">
        <v>1207</v>
      </c>
      <c r="C141" t="s">
        <v>1208</v>
      </c>
    </row>
    <row r="142" spans="1:3" x14ac:dyDescent="0.3">
      <c r="A142" t="s">
        <v>1209</v>
      </c>
      <c r="B142" t="s">
        <v>1210</v>
      </c>
      <c r="C142" t="s">
        <v>1211</v>
      </c>
    </row>
    <row r="143" spans="1:3" x14ac:dyDescent="0.3">
      <c r="A143" t="s">
        <v>1212</v>
      </c>
      <c r="B143" t="s">
        <v>1213</v>
      </c>
      <c r="C143" t="s">
        <v>1214</v>
      </c>
    </row>
    <row r="144" spans="1:3" x14ac:dyDescent="0.3">
      <c r="A144" t="s">
        <v>1215</v>
      </c>
      <c r="B144" t="s">
        <v>1216</v>
      </c>
      <c r="C144" t="s">
        <v>1217</v>
      </c>
    </row>
    <row r="145" spans="1:3" x14ac:dyDescent="0.3">
      <c r="A145" t="s">
        <v>1218</v>
      </c>
      <c r="B145" t="s">
        <v>506</v>
      </c>
      <c r="C145" t="s">
        <v>1219</v>
      </c>
    </row>
    <row r="146" spans="1:3" x14ac:dyDescent="0.3">
      <c r="A146" t="s">
        <v>1220</v>
      </c>
      <c r="B146" t="s">
        <v>507</v>
      </c>
      <c r="C146" t="s">
        <v>1221</v>
      </c>
    </row>
    <row r="147" spans="1:3" x14ac:dyDescent="0.3">
      <c r="A147" t="s">
        <v>1222</v>
      </c>
      <c r="B147" t="s">
        <v>509</v>
      </c>
      <c r="C147" t="s">
        <v>1223</v>
      </c>
    </row>
    <row r="148" spans="1:3" x14ac:dyDescent="0.3">
      <c r="A148" t="s">
        <v>1224</v>
      </c>
      <c r="B148" t="s">
        <v>521</v>
      </c>
      <c r="C148" t="s">
        <v>38</v>
      </c>
    </row>
    <row r="149" spans="1:3" x14ac:dyDescent="0.3">
      <c r="A149" t="s">
        <v>1225</v>
      </c>
      <c r="B149" t="s">
        <v>522</v>
      </c>
      <c r="C149" t="s">
        <v>1226</v>
      </c>
    </row>
    <row r="150" spans="1:3" x14ac:dyDescent="0.3">
      <c r="A150" t="s">
        <v>1227</v>
      </c>
      <c r="B150" t="s">
        <v>523</v>
      </c>
      <c r="C150" t="s">
        <v>1228</v>
      </c>
    </row>
    <row r="151" spans="1:3" x14ac:dyDescent="0.3">
      <c r="A151" t="s">
        <v>1229</v>
      </c>
      <c r="B151" t="s">
        <v>527</v>
      </c>
      <c r="C151" t="s">
        <v>1230</v>
      </c>
    </row>
    <row r="152" spans="1:3" x14ac:dyDescent="0.3">
      <c r="A152" t="s">
        <v>1231</v>
      </c>
      <c r="B152" t="s">
        <v>528</v>
      </c>
      <c r="C152" t="s">
        <v>1232</v>
      </c>
    </row>
    <row r="153" spans="1:3" x14ac:dyDescent="0.3">
      <c r="A153" t="s">
        <v>1233</v>
      </c>
      <c r="B153" t="s">
        <v>529</v>
      </c>
      <c r="C153" t="s">
        <v>1234</v>
      </c>
    </row>
    <row r="154" spans="1:3" x14ac:dyDescent="0.3">
      <c r="A154" t="s">
        <v>1235</v>
      </c>
      <c r="B154" t="s">
        <v>534</v>
      </c>
      <c r="C154" t="s">
        <v>1236</v>
      </c>
    </row>
    <row r="155" spans="1:3" x14ac:dyDescent="0.3">
      <c r="A155" t="s">
        <v>1237</v>
      </c>
      <c r="B155" t="s">
        <v>535</v>
      </c>
      <c r="C155" t="s">
        <v>1238</v>
      </c>
    </row>
    <row r="156" spans="1:3" x14ac:dyDescent="0.3">
      <c r="A156" t="s">
        <v>1239</v>
      </c>
      <c r="B156" t="s">
        <v>537</v>
      </c>
      <c r="C156" t="s">
        <v>1240</v>
      </c>
    </row>
    <row r="157" spans="1:3" x14ac:dyDescent="0.3">
      <c r="A157" t="s">
        <v>1241</v>
      </c>
      <c r="B157" t="s">
        <v>538</v>
      </c>
      <c r="C157" t="s">
        <v>1242</v>
      </c>
    </row>
    <row r="158" spans="1:3" x14ac:dyDescent="0.3">
      <c r="A158" t="s">
        <v>1243</v>
      </c>
      <c r="B158" t="s">
        <v>540</v>
      </c>
      <c r="C158" t="s">
        <v>1244</v>
      </c>
    </row>
    <row r="159" spans="1:3" x14ac:dyDescent="0.3">
      <c r="A159" t="s">
        <v>1245</v>
      </c>
      <c r="B159" t="s">
        <v>541</v>
      </c>
      <c r="C159" t="s">
        <v>1246</v>
      </c>
    </row>
    <row r="160" spans="1:3" x14ac:dyDescent="0.3">
      <c r="A160" t="s">
        <v>1247</v>
      </c>
      <c r="B160" t="s">
        <v>544</v>
      </c>
      <c r="C160" t="s">
        <v>1248</v>
      </c>
    </row>
    <row r="161" spans="1:3" x14ac:dyDescent="0.3">
      <c r="A161" t="s">
        <v>1249</v>
      </c>
      <c r="B161" t="s">
        <v>545</v>
      </c>
      <c r="C161" t="s">
        <v>1250</v>
      </c>
    </row>
    <row r="162" spans="1:3" x14ac:dyDescent="0.3">
      <c r="A162" t="s">
        <v>1251</v>
      </c>
      <c r="B162" t="s">
        <v>548</v>
      </c>
      <c r="C162" t="s">
        <v>1252</v>
      </c>
    </row>
    <row r="163" spans="1:3" x14ac:dyDescent="0.3">
      <c r="A163" t="s">
        <v>1253</v>
      </c>
      <c r="B163" t="s">
        <v>560</v>
      </c>
      <c r="C163" t="s">
        <v>1254</v>
      </c>
    </row>
    <row r="164" spans="1:3" x14ac:dyDescent="0.3">
      <c r="A164" t="s">
        <v>1255</v>
      </c>
      <c r="B164" t="s">
        <v>561</v>
      </c>
      <c r="C164" t="s">
        <v>1256</v>
      </c>
    </row>
    <row r="165" spans="1:3" x14ac:dyDescent="0.3">
      <c r="A165" t="s">
        <v>1257</v>
      </c>
      <c r="B165" t="s">
        <v>562</v>
      </c>
      <c r="C165" t="s">
        <v>1258</v>
      </c>
    </row>
    <row r="166" spans="1:3" x14ac:dyDescent="0.3">
      <c r="A166" t="s">
        <v>1259</v>
      </c>
      <c r="B166" t="s">
        <v>563</v>
      </c>
      <c r="C166" t="s">
        <v>1260</v>
      </c>
    </row>
    <row r="167" spans="1:3" x14ac:dyDescent="0.3">
      <c r="A167" t="s">
        <v>1261</v>
      </c>
      <c r="B167" t="s">
        <v>564</v>
      </c>
      <c r="C167" t="s">
        <v>1262</v>
      </c>
    </row>
    <row r="168" spans="1:3" x14ac:dyDescent="0.3">
      <c r="A168" t="s">
        <v>1263</v>
      </c>
      <c r="B168" t="s">
        <v>565</v>
      </c>
      <c r="C168" t="s">
        <v>1264</v>
      </c>
    </row>
    <row r="169" spans="1:3" x14ac:dyDescent="0.3">
      <c r="A169" t="s">
        <v>1265</v>
      </c>
      <c r="B169" t="s">
        <v>569</v>
      </c>
      <c r="C169" t="s">
        <v>1266</v>
      </c>
    </row>
    <row r="170" spans="1:3" x14ac:dyDescent="0.3">
      <c r="A170" t="s">
        <v>1267</v>
      </c>
      <c r="B170" t="s">
        <v>570</v>
      </c>
      <c r="C170" t="s">
        <v>1268</v>
      </c>
    </row>
    <row r="171" spans="1:3" x14ac:dyDescent="0.3">
      <c r="A171" t="s">
        <v>1269</v>
      </c>
      <c r="B171" t="s">
        <v>571</v>
      </c>
      <c r="C171" t="s">
        <v>1270</v>
      </c>
    </row>
    <row r="172" spans="1:3" x14ac:dyDescent="0.3">
      <c r="A172" t="s">
        <v>1271</v>
      </c>
      <c r="B172" t="s">
        <v>572</v>
      </c>
      <c r="C172" t="s">
        <v>1272</v>
      </c>
    </row>
    <row r="173" spans="1:3" x14ac:dyDescent="0.3">
      <c r="A173" t="s">
        <v>1273</v>
      </c>
      <c r="B173" t="s">
        <v>575</v>
      </c>
      <c r="C173" t="s">
        <v>1274</v>
      </c>
    </row>
    <row r="174" spans="1:3" x14ac:dyDescent="0.3">
      <c r="A174" t="s">
        <v>1275</v>
      </c>
      <c r="B174" t="s">
        <v>577</v>
      </c>
      <c r="C174" t="s">
        <v>1276</v>
      </c>
    </row>
    <row r="175" spans="1:3" x14ac:dyDescent="0.3">
      <c r="A175" t="s">
        <v>1277</v>
      </c>
      <c r="B175" t="s">
        <v>582</v>
      </c>
      <c r="C175" t="s">
        <v>54</v>
      </c>
    </row>
    <row r="176" spans="1:3" x14ac:dyDescent="0.3">
      <c r="A176" t="s">
        <v>1278</v>
      </c>
      <c r="B176" t="s">
        <v>583</v>
      </c>
      <c r="C176" t="s">
        <v>1279</v>
      </c>
    </row>
    <row r="177" spans="1:3" x14ac:dyDescent="0.3">
      <c r="A177" t="s">
        <v>1280</v>
      </c>
      <c r="B177" t="s">
        <v>586</v>
      </c>
      <c r="C177" t="s">
        <v>1281</v>
      </c>
    </row>
    <row r="178" spans="1:3" x14ac:dyDescent="0.3">
      <c r="A178" t="s">
        <v>1282</v>
      </c>
      <c r="B178" t="s">
        <v>587</v>
      </c>
      <c r="C178" t="s">
        <v>1283</v>
      </c>
    </row>
    <row r="179" spans="1:3" x14ac:dyDescent="0.3">
      <c r="A179" t="s">
        <v>1284</v>
      </c>
      <c r="B179" t="s">
        <v>591</v>
      </c>
      <c r="C179" t="s">
        <v>1285</v>
      </c>
    </row>
    <row r="180" spans="1:3" x14ac:dyDescent="0.3">
      <c r="A180" t="s">
        <v>1286</v>
      </c>
      <c r="B180" t="s">
        <v>592</v>
      </c>
      <c r="C180" t="s">
        <v>1287</v>
      </c>
    </row>
    <row r="181" spans="1:3" x14ac:dyDescent="0.3">
      <c r="A181" t="s">
        <v>1288</v>
      </c>
      <c r="B181" t="s">
        <v>594</v>
      </c>
      <c r="C181" t="s">
        <v>1289</v>
      </c>
    </row>
    <row r="182" spans="1:3" x14ac:dyDescent="0.3">
      <c r="A182" t="s">
        <v>1290</v>
      </c>
      <c r="B182" t="s">
        <v>596</v>
      </c>
      <c r="C182" t="s">
        <v>1291</v>
      </c>
    </row>
    <row r="183" spans="1:3" x14ac:dyDescent="0.3">
      <c r="A183" t="s">
        <v>1292</v>
      </c>
      <c r="B183" t="s">
        <v>601</v>
      </c>
      <c r="C183" t="s">
        <v>1293</v>
      </c>
    </row>
    <row r="184" spans="1:3" x14ac:dyDescent="0.3">
      <c r="A184" t="s">
        <v>1294</v>
      </c>
      <c r="B184" t="s">
        <v>602</v>
      </c>
      <c r="C184" t="s">
        <v>1295</v>
      </c>
    </row>
    <row r="185" spans="1:3" x14ac:dyDescent="0.3">
      <c r="A185" t="s">
        <v>1296</v>
      </c>
      <c r="B185" t="s">
        <v>608</v>
      </c>
      <c r="C185" t="s">
        <v>1297</v>
      </c>
    </row>
    <row r="186" spans="1:3" x14ac:dyDescent="0.3">
      <c r="A186" t="s">
        <v>1298</v>
      </c>
      <c r="B186" t="s">
        <v>609</v>
      </c>
      <c r="C186" t="s">
        <v>1299</v>
      </c>
    </row>
    <row r="187" spans="1:3" x14ac:dyDescent="0.3">
      <c r="A187" t="s">
        <v>1300</v>
      </c>
      <c r="B187" t="s">
        <v>612</v>
      </c>
      <c r="C187" t="s">
        <v>1301</v>
      </c>
    </row>
    <row r="188" spans="1:3" x14ac:dyDescent="0.3">
      <c r="A188" t="s">
        <v>1302</v>
      </c>
      <c r="B188" t="s">
        <v>613</v>
      </c>
      <c r="C188" t="s">
        <v>1303</v>
      </c>
    </row>
    <row r="189" spans="1:3" x14ac:dyDescent="0.3">
      <c r="A189" t="s">
        <v>1304</v>
      </c>
      <c r="B189" t="s">
        <v>616</v>
      </c>
      <c r="C189" t="s">
        <v>1305</v>
      </c>
    </row>
    <row r="190" spans="1:3" x14ac:dyDescent="0.3">
      <c r="A190" t="s">
        <v>1306</v>
      </c>
      <c r="B190" t="s">
        <v>617</v>
      </c>
      <c r="C190" t="s">
        <v>1307</v>
      </c>
    </row>
    <row r="191" spans="1:3" x14ac:dyDescent="0.3">
      <c r="A191" t="s">
        <v>1308</v>
      </c>
      <c r="B191" t="s">
        <v>618</v>
      </c>
      <c r="C191" t="s">
        <v>1309</v>
      </c>
    </row>
    <row r="192" spans="1:3" x14ac:dyDescent="0.3">
      <c r="A192" t="s">
        <v>1310</v>
      </c>
      <c r="B192" t="s">
        <v>619</v>
      </c>
      <c r="C192" t="s">
        <v>1311</v>
      </c>
    </row>
    <row r="193" spans="1:3" x14ac:dyDescent="0.3">
      <c r="A193" t="s">
        <v>1312</v>
      </c>
      <c r="B193" t="s">
        <v>620</v>
      </c>
      <c r="C193" t="s">
        <v>1313</v>
      </c>
    </row>
    <row r="194" spans="1:3" x14ac:dyDescent="0.3">
      <c r="A194" t="s">
        <v>1314</v>
      </c>
      <c r="B194" t="s">
        <v>621</v>
      </c>
      <c r="C194" t="s">
        <v>1315</v>
      </c>
    </row>
    <row r="195" spans="1:3" x14ac:dyDescent="0.3">
      <c r="A195" t="s">
        <v>1316</v>
      </c>
      <c r="B195" t="s">
        <v>624</v>
      </c>
      <c r="C195" t="s">
        <v>1317</v>
      </c>
    </row>
    <row r="196" spans="1:3" x14ac:dyDescent="0.3">
      <c r="A196" t="s">
        <v>1318</v>
      </c>
      <c r="B196" t="s">
        <v>625</v>
      </c>
      <c r="C196" t="s">
        <v>1319</v>
      </c>
    </row>
    <row r="197" spans="1:3" x14ac:dyDescent="0.3">
      <c r="A197" t="s">
        <v>1320</v>
      </c>
      <c r="B197" t="s">
        <v>627</v>
      </c>
      <c r="C197" t="s">
        <v>1321</v>
      </c>
    </row>
    <row r="198" spans="1:3" x14ac:dyDescent="0.3">
      <c r="A198" t="s">
        <v>1322</v>
      </c>
      <c r="B198" t="s">
        <v>628</v>
      </c>
      <c r="C198" t="s">
        <v>1323</v>
      </c>
    </row>
    <row r="199" spans="1:3" x14ac:dyDescent="0.3">
      <c r="A199" t="s">
        <v>1324</v>
      </c>
      <c r="B199" t="s">
        <v>629</v>
      </c>
      <c r="C199" t="s">
        <v>1325</v>
      </c>
    </row>
    <row r="200" spans="1:3" x14ac:dyDescent="0.3">
      <c r="A200" t="s">
        <v>1326</v>
      </c>
      <c r="B200" t="s">
        <v>630</v>
      </c>
      <c r="C200" t="s">
        <v>1327</v>
      </c>
    </row>
    <row r="201" spans="1:3" x14ac:dyDescent="0.3">
      <c r="A201" t="s">
        <v>1328</v>
      </c>
      <c r="B201" t="s">
        <v>634</v>
      </c>
      <c r="C201" t="s">
        <v>1329</v>
      </c>
    </row>
    <row r="202" spans="1:3" x14ac:dyDescent="0.3">
      <c r="A202" t="s">
        <v>1330</v>
      </c>
      <c r="B202" t="s">
        <v>635</v>
      </c>
      <c r="C202" t="s">
        <v>1331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英雄流派</vt:lpstr>
      <vt:lpstr>英雄成就</vt:lpstr>
      <vt:lpstr>成就条件映射</vt:lpstr>
      <vt:lpstr>成就关键字</vt:lpstr>
      <vt:lpstr>技能场景配置</vt:lpstr>
      <vt:lpstr>杂项配置</vt:lpstr>
      <vt:lpstr>阶段奖励领取限制</vt:lpstr>
      <vt:lpstr>英雄推荐配置</vt:lpstr>
      <vt:lpstr>#Sheet1</vt:lpstr>
      <vt:lpstr>#TID_base_up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wenshen(沈文)</cp:lastModifiedBy>
  <dcterms:created xsi:type="dcterms:W3CDTF">2015-06-05T18:19:34Z</dcterms:created>
  <dcterms:modified xsi:type="dcterms:W3CDTF">2023-05-31T09:22:35Z</dcterms:modified>
</cp:coreProperties>
</file>