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ameDesigner_Global\common\excel\xls\Main\"/>
    </mc:Choice>
  </mc:AlternateContent>
  <xr:revisionPtr revIDLastSave="0" documentId="13_ncr:1_{00955665-DA41-42C9-895A-B877D040258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联盟投石车模板" sheetId="1" r:id="rId1"/>
    <sheet name="#TID_base_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1" l="1"/>
  <c r="AC11" i="1"/>
  <c r="AC10" i="1"/>
  <c r="AC9" i="1"/>
  <c r="AC8" i="1"/>
  <c r="AC7" i="1"/>
  <c r="AC6" i="1"/>
  <c r="AC5" i="1"/>
  <c r="AC4" i="1"/>
</calcChain>
</file>

<file path=xl/sharedStrings.xml><?xml version="1.0" encoding="utf-8"?>
<sst xmlns="http://schemas.openxmlformats.org/spreadsheetml/2006/main" count="221" uniqueCount="107">
  <si>
    <t>convert(ResWorld.proto, table_AllianceMangonelTemplateConf, AllianceMangonelTemplateConfData.pbin)</t>
  </si>
  <si>
    <t>已废弃</t>
  </si>
  <si>
    <t>id</t>
  </si>
  <si>
    <t>等级</t>
  </si>
  <si>
    <t>炮弹最大数量</t>
  </si>
  <si>
    <t>技能1配置id</t>
  </si>
  <si>
    <t>种类</t>
  </si>
  <si>
    <t>名字</t>
  </si>
  <si>
    <t>模型Id</t>
  </si>
  <si>
    <t>士兵Id</t>
  </si>
  <si>
    <t>icon图集（大图）</t>
  </si>
  <si>
    <t>icon名称（大图）</t>
  </si>
  <si>
    <t>icon图集（建造页面）</t>
  </si>
  <si>
    <t>icon名称（建造页面）</t>
  </si>
  <si>
    <t>icon图集（总览页面）</t>
  </si>
  <si>
    <t>icon名称（总览页面）</t>
  </si>
  <si>
    <t>描述</t>
  </si>
  <si>
    <t>地格半径</t>
  </si>
  <si>
    <t>移动速度</t>
  </si>
  <si>
    <t>转身速度</t>
  </si>
  <si>
    <t>城防值</t>
  </si>
  <si>
    <t>满部队驻军伤害提升(百分比)</t>
  </si>
  <si>
    <t>可升级为</t>
  </si>
  <si>
    <t>可改造为</t>
  </si>
  <si>
    <t>建造消耗资源</t>
  </si>
  <si>
    <t>建造消耗时间</t>
  </si>
  <si>
    <t>升到本级消耗资源</t>
  </si>
  <si>
    <t>升到本级消耗时间</t>
  </si>
  <si>
    <t>改造到本级消耗资源</t>
  </si>
  <si>
    <t>改造到本级消耗时间</t>
  </si>
  <si>
    <t>摧毁消耗时间</t>
  </si>
  <si>
    <t>集结配置</t>
  </si>
  <si>
    <t>满伤害集结士兵数量</t>
  </si>
  <si>
    <t>队伍半径</t>
  </si>
  <si>
    <t>是否可建造</t>
  </si>
  <si>
    <t>过期时间</t>
  </si>
  <si>
    <t>level</t>
  </si>
  <si>
    <t>cannonballMaxCount</t>
  </si>
  <si>
    <t>buildingSkill1ConfId</t>
  </si>
  <si>
    <t>type</t>
  </si>
  <si>
    <t>name</t>
  </si>
  <si>
    <t>prefabid</t>
  </si>
  <si>
    <t>soldierId</t>
  </si>
  <si>
    <t>bigBuildingIconAtlasPath</t>
  </si>
  <si>
    <t>bigBuildingIcon</t>
  </si>
  <si>
    <t>previewBuildingIconAtlasPath</t>
  </si>
  <si>
    <t>previewBuildingIcon</t>
  </si>
  <si>
    <t>overallBuildingIconAtlasPath</t>
  </si>
  <si>
    <t>overallBuildingIcon</t>
  </si>
  <si>
    <t>desc</t>
  </si>
  <si>
    <t>radius</t>
  </si>
  <si>
    <t>moveSpeed</t>
  </si>
  <si>
    <t>turningSpeed</t>
  </si>
  <si>
    <t>hp</t>
  </si>
  <si>
    <t>maxDamageEnhancement</t>
  </si>
  <si>
    <t>upgradeTo</t>
  </si>
  <si>
    <t>transferTo</t>
  </si>
  <si>
    <t>createCost.resource[|]{type;value}</t>
  </si>
  <si>
    <t>createCost.timeSec</t>
  </si>
  <si>
    <t>upgradeCost.resource[|]{type;value}</t>
  </si>
  <si>
    <t>upgradeCost.timeSec</t>
  </si>
  <si>
    <t>transferCost.resource[|]{type;value}</t>
  </si>
  <si>
    <t>transferCost.timeSec</t>
  </si>
  <si>
    <t>destroyTimeSec</t>
  </si>
  <si>
    <t>groupBuildingConf.intention[|]{intention;maxArmyCount;maxSoldierCount}</t>
  </si>
  <si>
    <t>maxDamageGroupSoliderCount</t>
  </si>
  <si>
    <t>catapultRadius</t>
  </si>
  <si>
    <t>canCreate</t>
  </si>
  <si>
    <t>expireTimeSec</t>
  </si>
  <si>
    <t>普通投石车</t>
  </si>
  <si>
    <t>TID_AllianceMangonelTemplateConfData_101_name_CN_Main</t>
  </si>
  <si>
    <t>icon_n_guild</t>
  </si>
  <si>
    <t>fc_buildings_siegemachine</t>
  </si>
  <si>
    <t>icon_city</t>
  </si>
  <si>
    <t>mangonelnomal</t>
  </si>
  <si>
    <t>TID_AllianceMangonelTemplateConfData_1_desc_CN_Main</t>
  </si>
  <si>
    <t>ART_Wood;100000|ART_Food;100000|ART_Stone;100000|ART_Gold;100000</t>
  </si>
  <si>
    <t>ART_Wood;50000|ART_Food;50000|ART_Stone;50000|ART_Gold;50000</t>
  </si>
  <si>
    <t>GAI_Operation;10;500000</t>
  </si>
  <si>
    <t>TID_AllianceMangonelTemplateConfData_2_desc_CN_Main</t>
  </si>
  <si>
    <t>ART_Wood;1090|ART_Food;1203|ART_Stone;303|ART_Gold;804</t>
  </si>
  <si>
    <t>GAI_Operation;10;200000</t>
  </si>
  <si>
    <t>TID_AllianceMangonelTemplateConfData_101_desc_CN_Main</t>
  </si>
  <si>
    <t>TID_AllianceMangonelTemplateConfData_103_desc_CN_Main</t>
  </si>
  <si>
    <t>战鼓车</t>
  </si>
  <si>
    <t>TID_AllianceMangonelTemplateConfData_1001_name_CN_Main</t>
  </si>
  <si>
    <t>icon_fieldimage</t>
  </si>
  <si>
    <t>bml_20</t>
  </si>
  <si>
    <t>wardrumcart</t>
  </si>
  <si>
    <t>TID_AllianceMangonelTemplateConfData_1001_desc_CN_Main</t>
  </si>
  <si>
    <t>旧Key</t>
  </si>
  <si>
    <t>新Key</t>
  </si>
  <si>
    <t>文本</t>
  </si>
  <si>
    <t>AllianceMangonelTemplateConfData_101_name_CN_Main</t>
  </si>
  <si>
    <t>投石车</t>
  </si>
  <si>
    <t>AllianceMangonelTemplateConfData_1_desc_CN_Main</t>
  </si>
  <si>
    <t>投石车是威力巨大的远程作战设施。援助后可以进行操控，驻军数量达到20万即可发挥最大威力。</t>
  </si>
  <si>
    <t>AllianceMangonelTemplateConfData_2_desc_CN_Main</t>
  </si>
  <si>
    <t>改良版投石车，威力巨大的远程作战设施。援助后可以进行操控。</t>
  </si>
  <si>
    <t>AllianceMangonelTemplateConfData_101_desc_CN_Main</t>
  </si>
  <si>
    <t>副本投石车描述占位</t>
  </si>
  <si>
    <t>AllianceMangonelTemplateConfData_103_desc_CN_Main</t>
  </si>
  <si>
    <t>新手关卡投石车</t>
  </si>
  <si>
    <t>AllianceMangonelTemplateConfData_1001_name_CN_Main</t>
  </si>
  <si>
    <t>AllianceMangonelTemplateConfData_1001_desc_CN_Main</t>
  </si>
  <si>
    <t>战鼓车可提升周围联盟部队与其他领主的作战能力。援助后可以进行操控，驻军数量达到20万即可发挥最大威力。</t>
  </si>
  <si>
    <t>catapult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</si>
</sst>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4"/>
  <sheetViews>
    <sheetView tabSelected="1" zoomScale="115" zoomScaleNormal="115" workbookViewId="0">
      <pane xSplit="5" ySplit="3" topLeftCell="H4" activePane="bottomRight" state="frozen"/>
      <selection pane="topRight" activeCell="F1" sqref="F1"/>
      <selection pane="bottomLeft" activeCell="A4" sqref="A4"/>
      <selection pane="bottomRight" activeCell="L8" sqref="L8"/>
    </sheetView>
  </sheetViews>
  <sheetFormatPr defaultColWidth="9" defaultRowHeight="16.5" x14ac:dyDescent="0.45"/>
  <cols>
    <col min="1" max="2" width="9" style="1" customWidth="1"/>
    <col min="3" max="3" width="20.453125" style="1" bestFit="1" customWidth="1"/>
    <col min="4" max="4" width="21.6328125" style="1" bestFit="1" customWidth="1"/>
    <col min="5" max="5" width="21.6328125" style="1" customWidth="1"/>
    <col min="6" max="6" width="13.453125" style="1" customWidth="1"/>
    <col min="7" max="8" width="12.36328125" style="1" customWidth="1"/>
    <col min="9" max="9" width="27.36328125" style="6" customWidth="1"/>
    <col min="10" max="10" width="25.453125" style="6" customWidth="1"/>
    <col min="11" max="11" width="27.36328125" style="6" customWidth="1"/>
    <col min="12" max="12" width="32.90625" style="6" customWidth="1"/>
    <col min="13" max="13" width="27.36328125" style="6" customWidth="1"/>
    <col min="14" max="14" width="31.6328125" style="6" customWidth="1"/>
    <col min="15" max="15" width="37.1796875" style="1" customWidth="1"/>
    <col min="16" max="16" width="14.81640625" style="2" customWidth="1"/>
    <col min="17" max="17" width="13" style="1" customWidth="1"/>
    <col min="18" max="18" width="15" style="1" customWidth="1"/>
    <col min="19" max="19" width="11.6328125" style="1" customWidth="1"/>
    <col min="20" max="20" width="28.36328125" style="1" customWidth="1"/>
    <col min="21" max="21" width="12" style="1" bestFit="1" customWidth="1"/>
    <col min="22" max="22" width="11.1796875" style="1" bestFit="1" customWidth="1"/>
    <col min="23" max="23" width="61.81640625" style="1" customWidth="1"/>
    <col min="24" max="24" width="28.08984375" style="1" customWidth="1"/>
    <col min="25" max="25" width="60.90625" style="1" customWidth="1"/>
    <col min="26" max="26" width="27.453125" style="1" customWidth="1"/>
    <col min="27" max="27" width="65" style="1" bestFit="1" customWidth="1"/>
    <col min="28" max="28" width="18.90625" style="1" customWidth="1"/>
    <col min="29" max="29" width="16.453125" style="1" customWidth="1"/>
    <col min="30" max="30" width="76.36328125" style="1" bestFit="1" customWidth="1"/>
    <col min="31" max="31" width="29.1796875" style="1" customWidth="1"/>
    <col min="32" max="32" width="9" style="1" customWidth="1"/>
    <col min="33" max="33" width="13.36328125" style="1" customWidth="1"/>
    <col min="34" max="34" width="16.6328125" style="1" customWidth="1"/>
    <col min="35" max="35" width="9" style="1" customWidth="1"/>
    <col min="36" max="16384" width="9" style="1"/>
  </cols>
  <sheetData>
    <row r="1" spans="1:34" x14ac:dyDescent="0.45">
      <c r="A1" s="1" t="s">
        <v>0</v>
      </c>
      <c r="T1" s="7" t="s">
        <v>1</v>
      </c>
    </row>
    <row r="2" spans="1:34" x14ac:dyDescent="0.4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2" t="s">
        <v>16</v>
      </c>
      <c r="P2" s="2" t="s">
        <v>17</v>
      </c>
      <c r="Q2" s="1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2" t="s">
        <v>25</v>
      </c>
      <c r="Y2" s="3" t="s">
        <v>26</v>
      </c>
      <c r="Z2" s="2" t="s">
        <v>27</v>
      </c>
      <c r="AA2" s="3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1" t="s">
        <v>33</v>
      </c>
      <c r="AG2" s="1" t="s">
        <v>34</v>
      </c>
      <c r="AH2" s="1" t="s">
        <v>35</v>
      </c>
    </row>
    <row r="3" spans="1:34" x14ac:dyDescent="0.45">
      <c r="A3" s="1" t="s">
        <v>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3" t="s">
        <v>41</v>
      </c>
      <c r="H3" s="3" t="s">
        <v>42</v>
      </c>
      <c r="I3" s="6" t="s">
        <v>43</v>
      </c>
      <c r="J3" s="6" t="s">
        <v>44</v>
      </c>
      <c r="K3" s="6" t="s">
        <v>45</v>
      </c>
      <c r="L3" s="6" t="s">
        <v>46</v>
      </c>
      <c r="M3" s="6" t="s">
        <v>47</v>
      </c>
      <c r="N3" s="6" t="s">
        <v>48</v>
      </c>
      <c r="O3" s="2" t="s">
        <v>49</v>
      </c>
      <c r="P3" s="2" t="s">
        <v>50</v>
      </c>
      <c r="Q3" s="1" t="s">
        <v>51</v>
      </c>
      <c r="R3" s="1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  <c r="X3" s="2" t="s">
        <v>58</v>
      </c>
      <c r="Y3" s="3" t="s">
        <v>59</v>
      </c>
      <c r="Z3" s="2" t="s">
        <v>60</v>
      </c>
      <c r="AA3" s="3" t="s">
        <v>61</v>
      </c>
      <c r="AB3" s="2" t="s">
        <v>62</v>
      </c>
      <c r="AC3" s="2" t="s">
        <v>63</v>
      </c>
      <c r="AD3" s="2" t="s">
        <v>64</v>
      </c>
      <c r="AE3" s="2" t="s">
        <v>65</v>
      </c>
      <c r="AF3" s="1" t="s">
        <v>66</v>
      </c>
      <c r="AG3" s="1" t="s">
        <v>67</v>
      </c>
      <c r="AH3" s="1" t="s">
        <v>68</v>
      </c>
    </row>
    <row r="4" spans="1:34" x14ac:dyDescent="0.45">
      <c r="A4" s="1">
        <v>1</v>
      </c>
      <c r="B4" s="1">
        <v>1</v>
      </c>
      <c r="C4" s="1">
        <v>10</v>
      </c>
      <c r="D4" s="4">
        <v>5</v>
      </c>
      <c r="E4" s="4" t="s">
        <v>69</v>
      </c>
      <c r="F4" s="2" t="s">
        <v>70</v>
      </c>
      <c r="G4" s="4">
        <v>1084</v>
      </c>
      <c r="H4" s="4">
        <v>100101</v>
      </c>
      <c r="I4" s="6" t="s">
        <v>71</v>
      </c>
      <c r="J4" s="6" t="s">
        <v>72</v>
      </c>
      <c r="K4" s="6" t="s">
        <v>73</v>
      </c>
      <c r="L4" s="6" t="s">
        <v>106</v>
      </c>
      <c r="M4" s="6" t="s">
        <v>73</v>
      </c>
      <c r="N4" s="6" t="s">
        <v>74</v>
      </c>
      <c r="O4" s="2" t="s">
        <v>75</v>
      </c>
      <c r="P4" s="2">
        <v>1</v>
      </c>
      <c r="Q4" s="1">
        <v>40</v>
      </c>
      <c r="R4" s="1">
        <v>30</v>
      </c>
      <c r="S4" s="1">
        <v>30000</v>
      </c>
      <c r="T4" s="1">
        <v>5</v>
      </c>
      <c r="W4" s="5" t="s">
        <v>76</v>
      </c>
      <c r="X4" s="1">
        <v>14400</v>
      </c>
      <c r="Y4" s="5" t="s">
        <v>77</v>
      </c>
      <c r="Z4" s="1">
        <v>120</v>
      </c>
      <c r="AA4" s="5" t="s">
        <v>77</v>
      </c>
      <c r="AB4" s="1">
        <v>120</v>
      </c>
      <c r="AC4" s="2">
        <f t="shared" ref="AC4:AC12" si="0">10*60</f>
        <v>600</v>
      </c>
      <c r="AD4" s="1" t="s">
        <v>78</v>
      </c>
      <c r="AE4" s="1">
        <v>200000</v>
      </c>
      <c r="AF4" s="1">
        <v>2</v>
      </c>
      <c r="AG4" s="1" t="b">
        <v>1</v>
      </c>
    </row>
    <row r="5" spans="1:34" x14ac:dyDescent="0.45">
      <c r="A5" s="1">
        <v>2</v>
      </c>
      <c r="B5" s="1">
        <v>1</v>
      </c>
      <c r="C5" s="1">
        <v>10</v>
      </c>
      <c r="D5" s="4">
        <v>5</v>
      </c>
      <c r="E5" s="4" t="s">
        <v>69</v>
      </c>
      <c r="F5" s="2" t="s">
        <v>70</v>
      </c>
      <c r="G5" s="4">
        <v>1084</v>
      </c>
      <c r="H5" s="4">
        <v>100101</v>
      </c>
      <c r="I5" s="6" t="s">
        <v>71</v>
      </c>
      <c r="J5" s="6" t="s">
        <v>72</v>
      </c>
      <c r="K5" s="6" t="s">
        <v>73</v>
      </c>
      <c r="L5" s="6" t="s">
        <v>106</v>
      </c>
      <c r="M5" s="6" t="s">
        <v>73</v>
      </c>
      <c r="N5" s="6" t="s">
        <v>74</v>
      </c>
      <c r="O5" s="2" t="s">
        <v>79</v>
      </c>
      <c r="P5" s="2">
        <v>1</v>
      </c>
      <c r="Q5" s="1">
        <v>200</v>
      </c>
      <c r="R5" s="1">
        <v>30</v>
      </c>
      <c r="S5" s="1">
        <v>30000</v>
      </c>
      <c r="T5" s="1">
        <v>5</v>
      </c>
      <c r="W5" s="5" t="s">
        <v>80</v>
      </c>
      <c r="X5" s="1">
        <v>14400</v>
      </c>
      <c r="Y5" s="5" t="s">
        <v>77</v>
      </c>
      <c r="Z5" s="1">
        <v>120</v>
      </c>
      <c r="AA5" s="5" t="s">
        <v>77</v>
      </c>
      <c r="AB5" s="1">
        <v>120</v>
      </c>
      <c r="AC5" s="2">
        <f t="shared" si="0"/>
        <v>600</v>
      </c>
      <c r="AD5" s="1" t="s">
        <v>81</v>
      </c>
      <c r="AE5" s="1">
        <v>200000</v>
      </c>
      <c r="AF5" s="1">
        <v>2</v>
      </c>
      <c r="AG5" s="1" t="b">
        <v>0</v>
      </c>
    </row>
    <row r="6" spans="1:34" x14ac:dyDescent="0.45">
      <c r="A6" s="1">
        <v>3</v>
      </c>
      <c r="B6" s="1">
        <v>1</v>
      </c>
      <c r="C6" s="1">
        <v>10</v>
      </c>
      <c r="D6" s="4">
        <v>5</v>
      </c>
      <c r="E6" s="4" t="s">
        <v>69</v>
      </c>
      <c r="F6" s="2" t="s">
        <v>70</v>
      </c>
      <c r="G6" s="4">
        <v>1084</v>
      </c>
      <c r="H6" s="4">
        <v>100101</v>
      </c>
      <c r="I6" s="6" t="s">
        <v>71</v>
      </c>
      <c r="J6" s="6" t="s">
        <v>72</v>
      </c>
      <c r="K6" s="6" t="s">
        <v>73</v>
      </c>
      <c r="L6" s="6" t="s">
        <v>106</v>
      </c>
      <c r="M6" s="6" t="s">
        <v>73</v>
      </c>
      <c r="N6" s="6" t="s">
        <v>74</v>
      </c>
      <c r="O6" s="2" t="s">
        <v>79</v>
      </c>
      <c r="P6" s="2">
        <v>1</v>
      </c>
      <c r="Q6" s="1">
        <v>200</v>
      </c>
      <c r="R6" s="1">
        <v>30</v>
      </c>
      <c r="S6" s="1">
        <v>15000</v>
      </c>
      <c r="T6" s="1">
        <v>5</v>
      </c>
      <c r="W6" s="5" t="s">
        <v>80</v>
      </c>
      <c r="X6" s="1">
        <v>14400</v>
      </c>
      <c r="Y6" s="5" t="s">
        <v>77</v>
      </c>
      <c r="Z6" s="1">
        <v>120</v>
      </c>
      <c r="AA6" s="5" t="s">
        <v>77</v>
      </c>
      <c r="AB6" s="1">
        <v>120</v>
      </c>
      <c r="AC6" s="2">
        <f t="shared" si="0"/>
        <v>600</v>
      </c>
      <c r="AD6" s="1" t="s">
        <v>81</v>
      </c>
      <c r="AE6" s="1">
        <v>200000</v>
      </c>
      <c r="AF6" s="1">
        <v>2</v>
      </c>
      <c r="AG6" s="1" t="b">
        <v>0</v>
      </c>
    </row>
    <row r="7" spans="1:34" x14ac:dyDescent="0.45">
      <c r="A7" s="1">
        <v>4</v>
      </c>
      <c r="B7" s="1">
        <v>1</v>
      </c>
      <c r="C7" s="1">
        <v>10</v>
      </c>
      <c r="D7" s="4">
        <v>5</v>
      </c>
      <c r="E7" s="4" t="s">
        <v>69</v>
      </c>
      <c r="F7" s="2" t="s">
        <v>70</v>
      </c>
      <c r="G7" s="4">
        <v>1084</v>
      </c>
      <c r="H7" s="4">
        <v>100101</v>
      </c>
      <c r="I7" s="6" t="s">
        <v>71</v>
      </c>
      <c r="J7" s="6" t="s">
        <v>72</v>
      </c>
      <c r="K7" s="6" t="s">
        <v>73</v>
      </c>
      <c r="L7" s="6" t="s">
        <v>106</v>
      </c>
      <c r="M7" s="6" t="s">
        <v>73</v>
      </c>
      <c r="N7" s="6" t="s">
        <v>74</v>
      </c>
      <c r="O7" s="2" t="s">
        <v>79</v>
      </c>
      <c r="P7" s="2">
        <v>1</v>
      </c>
      <c r="Q7" s="1">
        <v>200</v>
      </c>
      <c r="R7" s="1">
        <v>30</v>
      </c>
      <c r="S7" s="1">
        <v>60000</v>
      </c>
      <c r="T7" s="1">
        <v>5</v>
      </c>
      <c r="W7" s="5" t="s">
        <v>80</v>
      </c>
      <c r="X7" s="1">
        <v>14400</v>
      </c>
      <c r="Y7" s="5" t="s">
        <v>77</v>
      </c>
      <c r="Z7" s="1">
        <v>120</v>
      </c>
      <c r="AA7" s="5" t="s">
        <v>77</v>
      </c>
      <c r="AB7" s="1">
        <v>120</v>
      </c>
      <c r="AC7" s="2">
        <f t="shared" si="0"/>
        <v>600</v>
      </c>
      <c r="AD7" s="1" t="s">
        <v>81</v>
      </c>
      <c r="AE7" s="1">
        <v>200000</v>
      </c>
      <c r="AF7" s="1">
        <v>2</v>
      </c>
      <c r="AG7" s="1" t="b">
        <v>0</v>
      </c>
    </row>
    <row r="8" spans="1:34" x14ac:dyDescent="0.45">
      <c r="A8" s="1">
        <v>101</v>
      </c>
      <c r="B8" s="1">
        <v>1</v>
      </c>
      <c r="C8" s="1">
        <v>10</v>
      </c>
      <c r="D8" s="4">
        <v>5</v>
      </c>
      <c r="E8" s="4" t="s">
        <v>69</v>
      </c>
      <c r="F8" s="2" t="s">
        <v>70</v>
      </c>
      <c r="G8" s="4">
        <v>1084</v>
      </c>
      <c r="H8" s="4">
        <v>100101</v>
      </c>
      <c r="I8" s="6" t="s">
        <v>71</v>
      </c>
      <c r="J8" s="6" t="s">
        <v>72</v>
      </c>
      <c r="K8" s="6" t="s">
        <v>73</v>
      </c>
      <c r="L8" s="6" t="s">
        <v>106</v>
      </c>
      <c r="M8" s="6" t="s">
        <v>73</v>
      </c>
      <c r="N8" s="6" t="s">
        <v>74</v>
      </c>
      <c r="O8" s="2" t="s">
        <v>82</v>
      </c>
      <c r="P8" s="2">
        <v>1</v>
      </c>
      <c r="Q8" s="1">
        <v>200</v>
      </c>
      <c r="R8" s="1">
        <v>30</v>
      </c>
      <c r="S8" s="1">
        <v>5000</v>
      </c>
      <c r="T8" s="1">
        <v>500</v>
      </c>
      <c r="W8" s="5" t="s">
        <v>80</v>
      </c>
      <c r="X8" s="1">
        <v>10</v>
      </c>
      <c r="Y8" s="5" t="s">
        <v>80</v>
      </c>
      <c r="Z8" s="1">
        <v>120</v>
      </c>
      <c r="AA8" s="5" t="s">
        <v>80</v>
      </c>
      <c r="AB8" s="1">
        <v>120</v>
      </c>
      <c r="AC8" s="2">
        <f t="shared" si="0"/>
        <v>600</v>
      </c>
      <c r="AD8" s="1" t="s">
        <v>81</v>
      </c>
      <c r="AE8" s="1">
        <v>200000</v>
      </c>
      <c r="AF8" s="1">
        <v>2</v>
      </c>
      <c r="AG8" s="1" t="b">
        <v>0</v>
      </c>
    </row>
    <row r="9" spans="1:34" x14ac:dyDescent="0.45">
      <c r="A9" s="1">
        <v>102</v>
      </c>
      <c r="B9" s="1">
        <v>1</v>
      </c>
      <c r="C9" s="1">
        <v>10</v>
      </c>
      <c r="D9" s="4">
        <v>5</v>
      </c>
      <c r="E9" s="4" t="s">
        <v>69</v>
      </c>
      <c r="F9" s="2" t="s">
        <v>70</v>
      </c>
      <c r="G9" s="4">
        <v>1084</v>
      </c>
      <c r="H9" s="4">
        <v>100101</v>
      </c>
      <c r="I9" s="6" t="s">
        <v>71</v>
      </c>
      <c r="J9" s="6" t="s">
        <v>72</v>
      </c>
      <c r="K9" s="6" t="s">
        <v>73</v>
      </c>
      <c r="L9" s="6" t="s">
        <v>106</v>
      </c>
      <c r="M9" s="6" t="s">
        <v>73</v>
      </c>
      <c r="N9" s="6" t="s">
        <v>74</v>
      </c>
      <c r="O9" s="2" t="s">
        <v>82</v>
      </c>
      <c r="P9" s="2">
        <v>1</v>
      </c>
      <c r="Q9" s="1">
        <v>200</v>
      </c>
      <c r="R9" s="1">
        <v>30</v>
      </c>
      <c r="S9" s="1">
        <v>500001</v>
      </c>
      <c r="T9" s="1">
        <v>500</v>
      </c>
      <c r="W9" s="5" t="s">
        <v>80</v>
      </c>
      <c r="X9" s="1">
        <v>10</v>
      </c>
      <c r="Y9" s="5" t="s">
        <v>80</v>
      </c>
      <c r="Z9" s="1">
        <v>120</v>
      </c>
      <c r="AA9" s="5" t="s">
        <v>80</v>
      </c>
      <c r="AB9" s="1">
        <v>120</v>
      </c>
      <c r="AC9" s="2">
        <f t="shared" si="0"/>
        <v>600</v>
      </c>
      <c r="AD9" s="1" t="s">
        <v>81</v>
      </c>
      <c r="AE9" s="1">
        <v>200000</v>
      </c>
      <c r="AF9" s="1">
        <v>2</v>
      </c>
      <c r="AG9" s="1" t="b">
        <v>0</v>
      </c>
    </row>
    <row r="10" spans="1:34" x14ac:dyDescent="0.45">
      <c r="A10" s="1">
        <v>103</v>
      </c>
      <c r="B10" s="1">
        <v>1</v>
      </c>
      <c r="C10" s="1">
        <v>10</v>
      </c>
      <c r="D10" s="1">
        <v>5</v>
      </c>
      <c r="E10" s="4" t="s">
        <v>69</v>
      </c>
      <c r="F10" s="1" t="s">
        <v>70</v>
      </c>
      <c r="G10" s="1">
        <v>1084</v>
      </c>
      <c r="H10" s="1">
        <v>100102</v>
      </c>
      <c r="I10" s="6" t="s">
        <v>71</v>
      </c>
      <c r="J10" s="6" t="s">
        <v>72</v>
      </c>
      <c r="K10" s="6" t="s">
        <v>73</v>
      </c>
      <c r="L10" s="6" t="s">
        <v>106</v>
      </c>
      <c r="M10" s="6" t="s">
        <v>73</v>
      </c>
      <c r="N10" s="6" t="s">
        <v>74</v>
      </c>
      <c r="O10" s="1" t="s">
        <v>83</v>
      </c>
      <c r="P10" s="2">
        <v>1</v>
      </c>
      <c r="Q10" s="1">
        <v>200</v>
      </c>
      <c r="R10" s="1">
        <v>30</v>
      </c>
      <c r="S10" s="1">
        <v>500001</v>
      </c>
      <c r="T10" s="1">
        <v>500</v>
      </c>
      <c r="W10" s="1" t="s">
        <v>80</v>
      </c>
      <c r="X10" s="1">
        <v>10</v>
      </c>
      <c r="Y10" s="1" t="s">
        <v>80</v>
      </c>
      <c r="Z10" s="1">
        <v>120</v>
      </c>
      <c r="AA10" s="1" t="s">
        <v>80</v>
      </c>
      <c r="AB10" s="1">
        <v>120</v>
      </c>
      <c r="AC10" s="2">
        <f t="shared" si="0"/>
        <v>600</v>
      </c>
      <c r="AD10" s="1" t="s">
        <v>81</v>
      </c>
      <c r="AE10" s="1">
        <v>200000</v>
      </c>
      <c r="AF10" s="1">
        <v>0.8</v>
      </c>
      <c r="AG10" s="1" t="b">
        <v>0</v>
      </c>
    </row>
    <row r="11" spans="1:34" x14ac:dyDescent="0.45">
      <c r="A11" s="1">
        <v>201</v>
      </c>
      <c r="B11" s="1">
        <v>1</v>
      </c>
      <c r="C11" s="1">
        <v>999</v>
      </c>
      <c r="D11" s="4">
        <v>10</v>
      </c>
      <c r="E11" s="4" t="s">
        <v>69</v>
      </c>
      <c r="F11" s="2" t="s">
        <v>70</v>
      </c>
      <c r="G11" s="4">
        <v>1084</v>
      </c>
      <c r="H11" s="4">
        <v>205028004</v>
      </c>
      <c r="I11" s="6" t="s">
        <v>71</v>
      </c>
      <c r="J11" s="6" t="s">
        <v>72</v>
      </c>
      <c r="K11" s="6" t="s">
        <v>73</v>
      </c>
      <c r="L11" s="6" t="s">
        <v>106</v>
      </c>
      <c r="M11" s="6" t="s">
        <v>73</v>
      </c>
      <c r="N11" s="6" t="s">
        <v>74</v>
      </c>
      <c r="O11" s="2" t="s">
        <v>82</v>
      </c>
      <c r="P11" s="2">
        <v>1</v>
      </c>
      <c r="Q11" s="1">
        <v>130</v>
      </c>
      <c r="R11" s="1">
        <v>30</v>
      </c>
      <c r="S11" s="1">
        <v>12000</v>
      </c>
      <c r="T11" s="1">
        <v>500</v>
      </c>
      <c r="W11" s="5" t="s">
        <v>80</v>
      </c>
      <c r="X11" s="1">
        <v>10</v>
      </c>
      <c r="Y11" s="5" t="s">
        <v>80</v>
      </c>
      <c r="Z11" s="1">
        <v>120</v>
      </c>
      <c r="AA11" s="5" t="s">
        <v>80</v>
      </c>
      <c r="AB11" s="1">
        <v>120</v>
      </c>
      <c r="AC11" s="2">
        <f t="shared" si="0"/>
        <v>600</v>
      </c>
      <c r="AD11" s="1" t="s">
        <v>81</v>
      </c>
      <c r="AE11" s="1">
        <v>200000</v>
      </c>
      <c r="AF11" s="1">
        <v>2</v>
      </c>
      <c r="AG11" s="1" t="b">
        <v>0</v>
      </c>
    </row>
    <row r="12" spans="1:34" x14ac:dyDescent="0.45">
      <c r="A12" s="1">
        <v>202</v>
      </c>
      <c r="B12" s="1">
        <v>1</v>
      </c>
      <c r="C12" s="1">
        <v>999</v>
      </c>
      <c r="D12" s="4">
        <v>11</v>
      </c>
      <c r="E12" s="4" t="s">
        <v>69</v>
      </c>
      <c r="F12" s="2" t="s">
        <v>70</v>
      </c>
      <c r="G12" s="4">
        <v>1084</v>
      </c>
      <c r="H12" s="4">
        <v>205028004</v>
      </c>
      <c r="I12" s="6" t="s">
        <v>71</v>
      </c>
      <c r="J12" s="6" t="s">
        <v>72</v>
      </c>
      <c r="K12" s="6" t="s">
        <v>73</v>
      </c>
      <c r="L12" s="6" t="s">
        <v>106</v>
      </c>
      <c r="M12" s="6" t="s">
        <v>73</v>
      </c>
      <c r="N12" s="6" t="s">
        <v>74</v>
      </c>
      <c r="O12" s="2" t="s">
        <v>82</v>
      </c>
      <c r="P12" s="2">
        <v>1</v>
      </c>
      <c r="Q12" s="1">
        <v>130</v>
      </c>
      <c r="R12" s="1">
        <v>30</v>
      </c>
      <c r="S12" s="1">
        <v>12000</v>
      </c>
      <c r="T12" s="1">
        <v>500</v>
      </c>
      <c r="W12" s="5" t="s">
        <v>80</v>
      </c>
      <c r="X12" s="1">
        <v>10</v>
      </c>
      <c r="Y12" s="5" t="s">
        <v>80</v>
      </c>
      <c r="Z12" s="1">
        <v>120</v>
      </c>
      <c r="AA12" s="5" t="s">
        <v>80</v>
      </c>
      <c r="AB12" s="1">
        <v>120</v>
      </c>
      <c r="AC12" s="2">
        <f t="shared" si="0"/>
        <v>600</v>
      </c>
      <c r="AD12" s="1" t="s">
        <v>81</v>
      </c>
      <c r="AE12" s="1">
        <v>200000</v>
      </c>
      <c r="AF12" s="1">
        <v>2</v>
      </c>
      <c r="AG12" s="1" t="b">
        <v>0</v>
      </c>
    </row>
    <row r="13" spans="1:34" ht="49.5" customHeight="1" x14ac:dyDescent="0.45">
      <c r="A13" s="1">
        <v>1001</v>
      </c>
      <c r="B13" s="1">
        <v>1</v>
      </c>
      <c r="C13" s="1">
        <v>0</v>
      </c>
      <c r="D13" s="4">
        <v>14</v>
      </c>
      <c r="E13" s="4" t="s">
        <v>84</v>
      </c>
      <c r="F13" s="2" t="s">
        <v>85</v>
      </c>
      <c r="G13" s="4">
        <v>1090</v>
      </c>
      <c r="H13" s="4">
        <v>205028005</v>
      </c>
      <c r="I13" s="6" t="s">
        <v>86</v>
      </c>
      <c r="J13" s="6" t="s">
        <v>87</v>
      </c>
      <c r="K13" s="6" t="s">
        <v>73</v>
      </c>
      <c r="L13" s="6" t="s">
        <v>88</v>
      </c>
      <c r="M13" s="6" t="s">
        <v>73</v>
      </c>
      <c r="N13" s="6" t="s">
        <v>88</v>
      </c>
      <c r="O13" s="8" t="s">
        <v>89</v>
      </c>
      <c r="P13" s="2">
        <v>1</v>
      </c>
      <c r="Q13" s="1">
        <v>40</v>
      </c>
      <c r="R13" s="1">
        <v>30</v>
      </c>
      <c r="S13" s="1">
        <v>300000</v>
      </c>
      <c r="T13" s="1">
        <v>5</v>
      </c>
      <c r="W13" s="5"/>
      <c r="Y13" s="5"/>
      <c r="AA13" s="5"/>
      <c r="AC13" s="2"/>
      <c r="AD13" s="1" t="s">
        <v>78</v>
      </c>
      <c r="AE13" s="1">
        <v>200000</v>
      </c>
      <c r="AF13" s="1">
        <v>2</v>
      </c>
      <c r="AG13" s="1" t="b">
        <v>0</v>
      </c>
      <c r="AH13" s="1">
        <v>1800</v>
      </c>
    </row>
    <row r="14" spans="1:34" x14ac:dyDescent="0.45">
      <c r="F14" s="4"/>
    </row>
    <row r="91" spans="10:14" x14ac:dyDescent="0.45">
      <c r="J91" s="7"/>
      <c r="L91" s="7"/>
      <c r="N91" s="7"/>
    </row>
    <row r="92" spans="10:14" x14ac:dyDescent="0.45">
      <c r="J92" s="7"/>
      <c r="L92" s="7"/>
      <c r="N92" s="7"/>
    </row>
    <row r="93" spans="10:14" x14ac:dyDescent="0.45">
      <c r="J93" s="7"/>
      <c r="L93" s="7"/>
      <c r="N93" s="7"/>
    </row>
    <row r="94" spans="10:14" x14ac:dyDescent="0.45">
      <c r="J94" s="7"/>
      <c r="L94" s="7"/>
      <c r="N9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" x14ac:dyDescent="0.25"/>
  <cols>
    <col min="1" max="3" width="80" customWidth="1"/>
  </cols>
  <sheetData>
    <row r="1" spans="1:3" x14ac:dyDescent="0.25">
      <c r="A1" t="s">
        <v>90</v>
      </c>
      <c r="B1" t="s">
        <v>91</v>
      </c>
      <c r="C1" t="s">
        <v>92</v>
      </c>
    </row>
    <row r="2" spans="1:3" x14ac:dyDescent="0.25">
      <c r="A2" t="s">
        <v>93</v>
      </c>
      <c r="B2" t="s">
        <v>70</v>
      </c>
      <c r="C2" t="s">
        <v>94</v>
      </c>
    </row>
    <row r="3" spans="1:3" x14ac:dyDescent="0.25">
      <c r="A3" t="s">
        <v>95</v>
      </c>
      <c r="B3" t="s">
        <v>75</v>
      </c>
      <c r="C3" t="s">
        <v>96</v>
      </c>
    </row>
    <row r="4" spans="1:3" x14ac:dyDescent="0.25">
      <c r="A4" t="s">
        <v>97</v>
      </c>
      <c r="B4" t="s">
        <v>79</v>
      </c>
      <c r="C4" t="s">
        <v>98</v>
      </c>
    </row>
    <row r="5" spans="1:3" x14ac:dyDescent="0.25">
      <c r="A5" t="s">
        <v>99</v>
      </c>
      <c r="B5" t="s">
        <v>82</v>
      </c>
      <c r="C5" t="s">
        <v>100</v>
      </c>
    </row>
    <row r="6" spans="1:3" x14ac:dyDescent="0.25">
      <c r="A6" t="s">
        <v>101</v>
      </c>
      <c r="B6" t="s">
        <v>83</v>
      </c>
      <c r="C6" t="s">
        <v>102</v>
      </c>
    </row>
    <row r="7" spans="1:3" x14ac:dyDescent="0.25">
      <c r="A7" t="s">
        <v>103</v>
      </c>
      <c r="B7" t="s">
        <v>85</v>
      </c>
      <c r="C7" t="s">
        <v>84</v>
      </c>
    </row>
    <row r="8" spans="1:3" x14ac:dyDescent="0.25">
      <c r="A8" t="s">
        <v>104</v>
      </c>
      <c r="B8" t="s">
        <v>89</v>
      </c>
      <c r="C8" t="s">
        <v>105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联盟投石车模板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T144256</cp:lastModifiedBy>
  <dcterms:created xsi:type="dcterms:W3CDTF">2006-09-16T00:00:00Z</dcterms:created>
  <dcterms:modified xsi:type="dcterms:W3CDTF">2024-08-13T08:12:59Z</dcterms:modified>
</cp:coreProperties>
</file>