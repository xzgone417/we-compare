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G:\commonT2\excel\xls\Main\"/>
    </mc:Choice>
  </mc:AlternateContent>
  <xr:revisionPtr revIDLastSave="0" documentId="13_ncr:1_{7AEBBEC4-E29C-44AF-A5DD-55CA2BCDD2F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对话配置表" sheetId="1" r:id="rId1"/>
    <sheet name="Spine配置表" sheetId="2" r:id="rId2"/>
    <sheet name="#Sheet2" sheetId="3" r:id="rId3"/>
    <sheet name="#Sheet1" sheetId="4" r:id="rId4"/>
    <sheet name="#名称Key" sheetId="5" r:id="rId5"/>
    <sheet name="#对话模型配置" sheetId="6" r:id="rId6"/>
    <sheet name="#TID_base_up" sheetId="7" r:id="rId7"/>
  </sheets>
  <externalReferences>
    <externalReference r:id="rId8"/>
    <externalReference r:id="rId9"/>
    <externalReference r:id="rId10"/>
  </externalReferences>
  <definedNames>
    <definedName name="_xlnm._FilterDatabase" localSheetId="4" hidden="1">'#名称Key'!$A$1:$A$45</definedName>
    <definedName name="_xlnm._FilterDatabase" localSheetId="0" hidden="1">对话配置表!$F$1:$F$1753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328" i="1" l="1"/>
  <c r="AE1327" i="1"/>
  <c r="I1334" i="1"/>
  <c r="G1334" i="1"/>
  <c r="I1333" i="1"/>
  <c r="G1333" i="1"/>
  <c r="I1332" i="1"/>
  <c r="G1332" i="1"/>
  <c r="G1331" i="1"/>
  <c r="G1330" i="1"/>
  <c r="G1329" i="1"/>
  <c r="K10" i="4"/>
  <c r="K9" i="4"/>
  <c r="K8" i="4"/>
  <c r="K7" i="4"/>
  <c r="K6" i="4"/>
  <c r="K5" i="4"/>
  <c r="K4" i="4"/>
  <c r="K3" i="4"/>
  <c r="K2" i="4"/>
  <c r="I1787" i="1"/>
  <c r="H1787" i="1"/>
  <c r="G1787" i="1"/>
  <c r="I1786" i="1"/>
  <c r="H1786" i="1"/>
  <c r="G1786" i="1"/>
  <c r="AE1785" i="1"/>
  <c r="I1785" i="1"/>
  <c r="H1785" i="1"/>
  <c r="G1785" i="1"/>
  <c r="I1784" i="1"/>
  <c r="H1784" i="1"/>
  <c r="G1784" i="1"/>
  <c r="I1783" i="1"/>
  <c r="H1783" i="1"/>
  <c r="G1783" i="1"/>
  <c r="I1782" i="1"/>
  <c r="H1782" i="1"/>
  <c r="G1782" i="1"/>
  <c r="I1781" i="1"/>
  <c r="H1781" i="1"/>
  <c r="G1781" i="1"/>
  <c r="I1780" i="1"/>
  <c r="H1780" i="1"/>
  <c r="G1780" i="1"/>
  <c r="I1779" i="1"/>
  <c r="H1779" i="1"/>
  <c r="G1779" i="1"/>
  <c r="I1778" i="1"/>
  <c r="H1778" i="1"/>
  <c r="G1778" i="1"/>
  <c r="I1777" i="1"/>
  <c r="H1777" i="1"/>
  <c r="G1777" i="1"/>
  <c r="I1776" i="1"/>
  <c r="H1776" i="1"/>
  <c r="G1776" i="1"/>
  <c r="I1775" i="1"/>
  <c r="H1775" i="1"/>
  <c r="G1775" i="1"/>
  <c r="I1774" i="1"/>
  <c r="H1774" i="1"/>
  <c r="G1774" i="1"/>
  <c r="I1773" i="1"/>
  <c r="H1773" i="1"/>
  <c r="G1773" i="1"/>
  <c r="I1772" i="1"/>
  <c r="H1772" i="1"/>
  <c r="G1772" i="1"/>
  <c r="I1771" i="1"/>
  <c r="H1771" i="1"/>
  <c r="G1771" i="1"/>
  <c r="I1770" i="1"/>
  <c r="H1770" i="1"/>
  <c r="G1770" i="1"/>
  <c r="I1769" i="1"/>
  <c r="H1769" i="1"/>
  <c r="G1769" i="1"/>
  <c r="I1768" i="1"/>
  <c r="H1768" i="1"/>
  <c r="G1768" i="1"/>
  <c r="I1767" i="1"/>
  <c r="H1767" i="1"/>
  <c r="G1767" i="1"/>
  <c r="I1766" i="1"/>
  <c r="H1766" i="1"/>
  <c r="G1766" i="1"/>
  <c r="I1765" i="1"/>
  <c r="H1765" i="1"/>
  <c r="G1765" i="1"/>
  <c r="I1764" i="1"/>
  <c r="H1764" i="1"/>
  <c r="G1764" i="1"/>
  <c r="I1763" i="1"/>
  <c r="H1763" i="1"/>
  <c r="G1763" i="1"/>
  <c r="I1762" i="1"/>
  <c r="H1762" i="1"/>
  <c r="G1762" i="1"/>
  <c r="I1761" i="1"/>
  <c r="H1761" i="1"/>
  <c r="G1761" i="1"/>
  <c r="I1760" i="1"/>
  <c r="H1760" i="1"/>
  <c r="G1760" i="1"/>
  <c r="I1759" i="1"/>
  <c r="H1759" i="1"/>
  <c r="G1759" i="1"/>
  <c r="I1758" i="1"/>
  <c r="H1758" i="1"/>
  <c r="G1758" i="1"/>
  <c r="I1757" i="1"/>
  <c r="H1757" i="1"/>
  <c r="G1757" i="1"/>
  <c r="I1756" i="1"/>
  <c r="H1756" i="1"/>
  <c r="G1756" i="1"/>
  <c r="I1755" i="1"/>
  <c r="H1755" i="1"/>
  <c r="G1755" i="1"/>
  <c r="I1754" i="1"/>
  <c r="H1754" i="1"/>
  <c r="G1754" i="1"/>
  <c r="I1753" i="1"/>
  <c r="H1753" i="1"/>
  <c r="G1753" i="1"/>
  <c r="AE1752" i="1"/>
  <c r="I1752" i="1"/>
  <c r="H1752" i="1"/>
  <c r="G1752" i="1"/>
  <c r="AE1751" i="1"/>
  <c r="I1751" i="1"/>
  <c r="H1751" i="1"/>
  <c r="G1751" i="1"/>
  <c r="AE1750" i="1"/>
  <c r="I1750" i="1"/>
  <c r="H1750" i="1"/>
  <c r="G1750" i="1"/>
  <c r="AE1749" i="1"/>
  <c r="I1749" i="1"/>
  <c r="H1749" i="1"/>
  <c r="G1749" i="1"/>
  <c r="AE1748" i="1"/>
  <c r="I1748" i="1"/>
  <c r="H1748" i="1"/>
  <c r="G1748" i="1"/>
  <c r="AE1747" i="1"/>
  <c r="I1747" i="1"/>
  <c r="H1747" i="1"/>
  <c r="G1747" i="1"/>
  <c r="AE1746" i="1"/>
  <c r="I1746" i="1"/>
  <c r="H1746" i="1"/>
  <c r="G1746" i="1"/>
  <c r="AE1745" i="1"/>
  <c r="I1745" i="1"/>
  <c r="H1745" i="1"/>
  <c r="G1745" i="1"/>
  <c r="AE1744" i="1"/>
  <c r="I1744" i="1"/>
  <c r="H1744" i="1"/>
  <c r="G1744" i="1"/>
  <c r="AE1743" i="1"/>
  <c r="I1743" i="1"/>
  <c r="H1743" i="1"/>
  <c r="G1743" i="1"/>
  <c r="AE1742" i="1"/>
  <c r="I1742" i="1"/>
  <c r="H1742" i="1"/>
  <c r="G1742" i="1"/>
  <c r="AE1741" i="1"/>
  <c r="I1741" i="1"/>
  <c r="H1741" i="1"/>
  <c r="G1741" i="1"/>
  <c r="AE1740" i="1"/>
  <c r="I1740" i="1"/>
  <c r="H1740" i="1"/>
  <c r="G1740" i="1"/>
  <c r="AE1739" i="1"/>
  <c r="I1739" i="1"/>
  <c r="H1739" i="1"/>
  <c r="G1739" i="1"/>
  <c r="AE1738" i="1"/>
  <c r="I1738" i="1"/>
  <c r="H1738" i="1"/>
  <c r="G1738" i="1"/>
  <c r="AE1737" i="1"/>
  <c r="I1737" i="1"/>
  <c r="H1737" i="1"/>
  <c r="G1737" i="1"/>
  <c r="AE1736" i="1"/>
  <c r="I1736" i="1"/>
  <c r="H1736" i="1"/>
  <c r="G1736" i="1"/>
  <c r="AE1735" i="1"/>
  <c r="I1735" i="1"/>
  <c r="H1735" i="1"/>
  <c r="G1735" i="1"/>
  <c r="AE1734" i="1"/>
  <c r="I1734" i="1"/>
  <c r="H1734" i="1"/>
  <c r="G1734" i="1"/>
  <c r="AE1733" i="1"/>
  <c r="I1733" i="1"/>
  <c r="H1733" i="1"/>
  <c r="G1733" i="1"/>
  <c r="AE1732" i="1"/>
  <c r="I1732" i="1"/>
  <c r="H1732" i="1"/>
  <c r="G1732" i="1"/>
  <c r="AE1731" i="1"/>
  <c r="I1731" i="1"/>
  <c r="H1731" i="1"/>
  <c r="G1731" i="1"/>
  <c r="AE1730" i="1"/>
  <c r="I1730" i="1"/>
  <c r="H1730" i="1"/>
  <c r="G1730" i="1"/>
  <c r="AE1729" i="1"/>
  <c r="I1729" i="1"/>
  <c r="H1729" i="1"/>
  <c r="G1729" i="1"/>
  <c r="AE1728" i="1"/>
  <c r="I1728" i="1"/>
  <c r="H1728" i="1"/>
  <c r="G1728" i="1"/>
  <c r="AE1727" i="1"/>
  <c r="I1727" i="1"/>
  <c r="H1727" i="1"/>
  <c r="G1727" i="1"/>
  <c r="AE1726" i="1"/>
  <c r="I1726" i="1"/>
  <c r="H1726" i="1"/>
  <c r="G1726" i="1"/>
  <c r="AE1725" i="1"/>
  <c r="I1725" i="1"/>
  <c r="H1725" i="1"/>
  <c r="G1725" i="1"/>
  <c r="AE1724" i="1"/>
  <c r="I1724" i="1"/>
  <c r="H1724" i="1"/>
  <c r="G1724" i="1"/>
  <c r="AE1723" i="1"/>
  <c r="I1723" i="1"/>
  <c r="H1723" i="1"/>
  <c r="G1723" i="1"/>
  <c r="AE1722" i="1"/>
  <c r="I1722" i="1"/>
  <c r="H1722" i="1"/>
  <c r="G1722" i="1"/>
  <c r="AE1721" i="1"/>
  <c r="I1721" i="1"/>
  <c r="H1721" i="1"/>
  <c r="G1721" i="1"/>
  <c r="AE1720" i="1"/>
  <c r="I1720" i="1"/>
  <c r="H1720" i="1"/>
  <c r="G1720" i="1"/>
  <c r="AE1719" i="1"/>
  <c r="I1719" i="1"/>
  <c r="H1719" i="1"/>
  <c r="G1719" i="1"/>
  <c r="AE1718" i="1"/>
  <c r="I1718" i="1"/>
  <c r="H1718" i="1"/>
  <c r="G1718" i="1"/>
  <c r="AE1717" i="1"/>
  <c r="I1717" i="1"/>
  <c r="H1717" i="1"/>
  <c r="G1717" i="1"/>
  <c r="AE1716" i="1"/>
  <c r="I1716" i="1"/>
  <c r="H1716" i="1"/>
  <c r="G1716" i="1"/>
  <c r="AE1715" i="1"/>
  <c r="I1715" i="1"/>
  <c r="H1715" i="1"/>
  <c r="G1715" i="1"/>
  <c r="AE1714" i="1"/>
  <c r="I1714" i="1"/>
  <c r="H1714" i="1"/>
  <c r="G1714" i="1"/>
  <c r="AE1713" i="1"/>
  <c r="I1713" i="1"/>
  <c r="H1713" i="1"/>
  <c r="G1713" i="1"/>
  <c r="AE1712" i="1"/>
  <c r="I1712" i="1"/>
  <c r="H1712" i="1"/>
  <c r="G1712" i="1"/>
  <c r="AE1711" i="1"/>
  <c r="I1711" i="1"/>
  <c r="H1711" i="1"/>
  <c r="G1711" i="1"/>
  <c r="AE1710" i="1"/>
  <c r="I1710" i="1"/>
  <c r="H1710" i="1"/>
  <c r="G1710" i="1"/>
  <c r="AE1709" i="1"/>
  <c r="I1709" i="1"/>
  <c r="H1709" i="1"/>
  <c r="G1709" i="1"/>
  <c r="AE1708" i="1"/>
  <c r="I1708" i="1"/>
  <c r="H1708" i="1"/>
  <c r="G1708" i="1"/>
  <c r="AE1707" i="1"/>
  <c r="I1707" i="1"/>
  <c r="H1707" i="1"/>
  <c r="G1707" i="1"/>
  <c r="AE1706" i="1"/>
  <c r="I1706" i="1"/>
  <c r="H1706" i="1"/>
  <c r="G1706" i="1"/>
  <c r="AE1705" i="1"/>
  <c r="I1705" i="1"/>
  <c r="H1705" i="1"/>
  <c r="G1705" i="1"/>
  <c r="AE1704" i="1"/>
  <c r="I1704" i="1"/>
  <c r="H1704" i="1"/>
  <c r="G1704" i="1"/>
  <c r="AE1703" i="1"/>
  <c r="I1703" i="1"/>
  <c r="H1703" i="1"/>
  <c r="G1703" i="1"/>
  <c r="AE1702" i="1"/>
  <c r="I1702" i="1"/>
  <c r="H1702" i="1"/>
  <c r="G1702" i="1"/>
  <c r="AE1701" i="1"/>
  <c r="I1701" i="1"/>
  <c r="H1701" i="1"/>
  <c r="G1701" i="1"/>
  <c r="AE1700" i="1"/>
  <c r="I1700" i="1"/>
  <c r="H1700" i="1"/>
  <c r="G1700" i="1"/>
  <c r="AE1699" i="1"/>
  <c r="I1699" i="1"/>
  <c r="H1699" i="1"/>
  <c r="G1699" i="1"/>
  <c r="AE1698" i="1"/>
  <c r="I1698" i="1"/>
  <c r="H1698" i="1"/>
  <c r="G1698" i="1"/>
  <c r="AE1697" i="1"/>
  <c r="I1697" i="1"/>
  <c r="H1697" i="1"/>
  <c r="G1697" i="1"/>
  <c r="AE1696" i="1"/>
  <c r="I1696" i="1"/>
  <c r="H1696" i="1"/>
  <c r="G1696" i="1"/>
  <c r="AE1695" i="1"/>
  <c r="I1695" i="1"/>
  <c r="H1695" i="1"/>
  <c r="G1695" i="1"/>
  <c r="AE1694" i="1"/>
  <c r="I1694" i="1"/>
  <c r="H1694" i="1"/>
  <c r="G1694" i="1"/>
  <c r="AE1693" i="1"/>
  <c r="I1693" i="1"/>
  <c r="H1693" i="1"/>
  <c r="G1693" i="1"/>
  <c r="AE1692" i="1"/>
  <c r="I1692" i="1"/>
  <c r="H1692" i="1"/>
  <c r="G1692" i="1"/>
  <c r="AE1691" i="1"/>
  <c r="I1691" i="1"/>
  <c r="H1691" i="1"/>
  <c r="G1691" i="1"/>
  <c r="AE1690" i="1"/>
  <c r="I1690" i="1"/>
  <c r="H1690" i="1"/>
  <c r="G1690" i="1"/>
  <c r="AE1689" i="1"/>
  <c r="I1689" i="1"/>
  <c r="H1689" i="1"/>
  <c r="G1689" i="1"/>
  <c r="AE1688" i="1"/>
  <c r="I1688" i="1"/>
  <c r="H1688" i="1"/>
  <c r="G1688" i="1"/>
  <c r="AE1687" i="1"/>
  <c r="I1687" i="1"/>
  <c r="H1687" i="1"/>
  <c r="G1687" i="1"/>
  <c r="AE1686" i="1"/>
  <c r="I1686" i="1"/>
  <c r="H1686" i="1"/>
  <c r="G1686" i="1"/>
  <c r="AE1685" i="1"/>
  <c r="I1685" i="1"/>
  <c r="H1685" i="1"/>
  <c r="G1685" i="1"/>
  <c r="AE1684" i="1"/>
  <c r="I1684" i="1"/>
  <c r="H1684" i="1"/>
  <c r="G1684" i="1"/>
  <c r="AE1683" i="1"/>
  <c r="I1683" i="1"/>
  <c r="H1683" i="1"/>
  <c r="G1683" i="1"/>
  <c r="AE1682" i="1"/>
  <c r="I1682" i="1"/>
  <c r="H1682" i="1"/>
  <c r="G1682" i="1"/>
  <c r="AE1681" i="1"/>
  <c r="I1681" i="1"/>
  <c r="H1681" i="1"/>
  <c r="G1681" i="1"/>
  <c r="AE1680" i="1"/>
  <c r="I1680" i="1"/>
  <c r="H1680" i="1"/>
  <c r="G1680" i="1"/>
  <c r="AE1679" i="1"/>
  <c r="I1679" i="1"/>
  <c r="H1679" i="1"/>
  <c r="G1679" i="1"/>
  <c r="AE1678" i="1"/>
  <c r="I1678" i="1"/>
  <c r="H1678" i="1"/>
  <c r="G1678" i="1"/>
  <c r="AE1677" i="1"/>
  <c r="I1677" i="1"/>
  <c r="H1677" i="1"/>
  <c r="G1677" i="1"/>
  <c r="AE1676" i="1"/>
  <c r="I1676" i="1"/>
  <c r="H1676" i="1"/>
  <c r="G1676" i="1"/>
  <c r="AE1675" i="1"/>
  <c r="I1675" i="1"/>
  <c r="H1675" i="1"/>
  <c r="G1675" i="1"/>
  <c r="AE1674" i="1"/>
  <c r="I1674" i="1"/>
  <c r="H1674" i="1"/>
  <c r="G1674" i="1"/>
  <c r="AE1673" i="1"/>
  <c r="I1673" i="1"/>
  <c r="H1673" i="1"/>
  <c r="G1673" i="1"/>
  <c r="AE1672" i="1"/>
  <c r="I1672" i="1"/>
  <c r="H1672" i="1"/>
  <c r="G1672" i="1"/>
  <c r="AE1671" i="1"/>
  <c r="I1671" i="1"/>
  <c r="H1671" i="1"/>
  <c r="G1671" i="1"/>
  <c r="AE1670" i="1"/>
  <c r="I1670" i="1"/>
  <c r="H1670" i="1"/>
  <c r="G1670" i="1"/>
  <c r="AE1669" i="1"/>
  <c r="I1669" i="1"/>
  <c r="H1669" i="1"/>
  <c r="G1669" i="1"/>
  <c r="AE1668" i="1"/>
  <c r="I1668" i="1"/>
  <c r="H1668" i="1"/>
  <c r="G1668" i="1"/>
  <c r="AE1667" i="1"/>
  <c r="I1667" i="1"/>
  <c r="H1667" i="1"/>
  <c r="G1667" i="1"/>
  <c r="AE1666" i="1"/>
  <c r="I1666" i="1"/>
  <c r="H1666" i="1"/>
  <c r="G1666" i="1"/>
  <c r="AE1665" i="1"/>
  <c r="I1665" i="1"/>
  <c r="H1665" i="1"/>
  <c r="G1665" i="1"/>
  <c r="AE1664" i="1"/>
  <c r="I1664" i="1"/>
  <c r="H1664" i="1"/>
  <c r="G1664" i="1"/>
  <c r="AE1663" i="1"/>
  <c r="I1663" i="1"/>
  <c r="H1663" i="1"/>
  <c r="G1663" i="1"/>
  <c r="AE1662" i="1"/>
  <c r="I1662" i="1"/>
  <c r="H1662" i="1"/>
  <c r="G1662" i="1"/>
  <c r="AE1661" i="1"/>
  <c r="I1661" i="1"/>
  <c r="H1661" i="1"/>
  <c r="G1661" i="1"/>
  <c r="AE1660" i="1"/>
  <c r="I1660" i="1"/>
  <c r="H1660" i="1"/>
  <c r="G1660" i="1"/>
  <c r="AE1659" i="1"/>
  <c r="I1659" i="1"/>
  <c r="H1659" i="1"/>
  <c r="G1659" i="1"/>
  <c r="AE1658" i="1"/>
  <c r="I1658" i="1"/>
  <c r="H1658" i="1"/>
  <c r="G1658" i="1"/>
  <c r="AE1657" i="1"/>
  <c r="I1657" i="1"/>
  <c r="H1657" i="1"/>
  <c r="G1657" i="1"/>
  <c r="AE1656" i="1"/>
  <c r="I1656" i="1"/>
  <c r="H1656" i="1"/>
  <c r="G1656" i="1"/>
  <c r="AE1655" i="1"/>
  <c r="I1655" i="1"/>
  <c r="H1655" i="1"/>
  <c r="G1655" i="1"/>
  <c r="AE1654" i="1"/>
  <c r="I1654" i="1"/>
  <c r="H1654" i="1"/>
  <c r="G1654" i="1"/>
  <c r="AE1653" i="1"/>
  <c r="I1653" i="1"/>
  <c r="H1653" i="1"/>
  <c r="G1653" i="1"/>
  <c r="AE1652" i="1"/>
  <c r="I1652" i="1"/>
  <c r="H1652" i="1"/>
  <c r="G1652" i="1"/>
  <c r="AE1651" i="1"/>
  <c r="I1651" i="1"/>
  <c r="H1651" i="1"/>
  <c r="G1651" i="1"/>
  <c r="AE1650" i="1"/>
  <c r="I1650" i="1"/>
  <c r="H1650" i="1"/>
  <c r="G1650" i="1"/>
  <c r="AE1649" i="1"/>
  <c r="I1649" i="1"/>
  <c r="H1649" i="1"/>
  <c r="G1649" i="1"/>
  <c r="AE1648" i="1"/>
  <c r="I1648" i="1"/>
  <c r="H1648" i="1"/>
  <c r="G1648" i="1"/>
  <c r="AE1647" i="1"/>
  <c r="I1647" i="1"/>
  <c r="H1647" i="1"/>
  <c r="G1647" i="1"/>
  <c r="AE1646" i="1"/>
  <c r="I1646" i="1"/>
  <c r="H1646" i="1"/>
  <c r="G1646" i="1"/>
  <c r="AE1645" i="1"/>
  <c r="I1645" i="1"/>
  <c r="H1645" i="1"/>
  <c r="G1645" i="1"/>
  <c r="AE1644" i="1"/>
  <c r="I1644" i="1"/>
  <c r="H1644" i="1"/>
  <c r="G1644" i="1"/>
  <c r="AE1643" i="1"/>
  <c r="I1643" i="1"/>
  <c r="H1643" i="1"/>
  <c r="G1643" i="1"/>
  <c r="AE1642" i="1"/>
  <c r="I1642" i="1"/>
  <c r="H1642" i="1"/>
  <c r="G1642" i="1"/>
  <c r="AE1641" i="1"/>
  <c r="I1641" i="1"/>
  <c r="H1641" i="1"/>
  <c r="G1641" i="1"/>
  <c r="AE1640" i="1"/>
  <c r="I1640" i="1"/>
  <c r="H1640" i="1"/>
  <c r="G1640" i="1"/>
  <c r="AE1639" i="1"/>
  <c r="I1639" i="1"/>
  <c r="H1639" i="1"/>
  <c r="G1639" i="1"/>
  <c r="AE1638" i="1"/>
  <c r="I1638" i="1"/>
  <c r="H1638" i="1"/>
  <c r="G1638" i="1"/>
  <c r="AE1637" i="1"/>
  <c r="I1637" i="1"/>
  <c r="H1637" i="1"/>
  <c r="G1637" i="1"/>
  <c r="AE1636" i="1"/>
  <c r="I1636" i="1"/>
  <c r="H1636" i="1"/>
  <c r="G1636" i="1"/>
  <c r="AE1635" i="1"/>
  <c r="I1635" i="1"/>
  <c r="H1635" i="1"/>
  <c r="G1635" i="1"/>
  <c r="AE1634" i="1"/>
  <c r="I1634" i="1"/>
  <c r="H1634" i="1"/>
  <c r="G1634" i="1"/>
  <c r="AE1633" i="1"/>
  <c r="I1633" i="1"/>
  <c r="H1633" i="1"/>
  <c r="G1633" i="1"/>
  <c r="AE1632" i="1"/>
  <c r="I1632" i="1"/>
  <c r="H1632" i="1"/>
  <c r="G1632" i="1"/>
  <c r="AE1631" i="1"/>
  <c r="I1631" i="1"/>
  <c r="H1631" i="1"/>
  <c r="G1631" i="1"/>
  <c r="AE1630" i="1"/>
  <c r="I1630" i="1"/>
  <c r="H1630" i="1"/>
  <c r="G1630" i="1"/>
  <c r="AE1629" i="1"/>
  <c r="I1629" i="1"/>
  <c r="H1629" i="1"/>
  <c r="G1629" i="1"/>
  <c r="AE1628" i="1"/>
  <c r="I1628" i="1"/>
  <c r="H1628" i="1"/>
  <c r="G1628" i="1"/>
  <c r="AE1627" i="1"/>
  <c r="I1627" i="1"/>
  <c r="H1627" i="1"/>
  <c r="G1627" i="1"/>
  <c r="AE1626" i="1"/>
  <c r="I1626" i="1"/>
  <c r="H1626" i="1"/>
  <c r="G1626" i="1"/>
  <c r="AE1625" i="1"/>
  <c r="I1625" i="1"/>
  <c r="H1625" i="1"/>
  <c r="G1625" i="1"/>
  <c r="AE1624" i="1"/>
  <c r="I1624" i="1"/>
  <c r="H1624" i="1"/>
  <c r="G1624" i="1"/>
  <c r="AE1623" i="1"/>
  <c r="I1623" i="1"/>
  <c r="H1623" i="1"/>
  <c r="G1623" i="1"/>
  <c r="AE1622" i="1"/>
  <c r="I1622" i="1"/>
  <c r="H1622" i="1"/>
  <c r="G1622" i="1"/>
  <c r="AE1621" i="1"/>
  <c r="I1621" i="1"/>
  <c r="H1621" i="1"/>
  <c r="G1621" i="1"/>
  <c r="AE1620" i="1"/>
  <c r="I1620" i="1"/>
  <c r="H1620" i="1"/>
  <c r="G1620" i="1"/>
  <c r="AE1619" i="1"/>
  <c r="I1619" i="1"/>
  <c r="H1619" i="1"/>
  <c r="G1619" i="1"/>
  <c r="AE1618" i="1"/>
  <c r="I1618" i="1"/>
  <c r="H1618" i="1"/>
  <c r="G1618" i="1"/>
  <c r="AE1617" i="1"/>
  <c r="I1617" i="1"/>
  <c r="H1617" i="1"/>
  <c r="G1617" i="1"/>
  <c r="AE1616" i="1"/>
  <c r="I1616" i="1"/>
  <c r="H1616" i="1"/>
  <c r="G1616" i="1"/>
  <c r="AE1615" i="1"/>
  <c r="I1615" i="1"/>
  <c r="H1615" i="1"/>
  <c r="G1615" i="1"/>
  <c r="AE1614" i="1"/>
  <c r="I1614" i="1"/>
  <c r="H1614" i="1"/>
  <c r="G1614" i="1"/>
  <c r="AE1613" i="1"/>
  <c r="I1613" i="1"/>
  <c r="H1613" i="1"/>
  <c r="G1613" i="1"/>
  <c r="AE1612" i="1"/>
  <c r="I1612" i="1"/>
  <c r="H1612" i="1"/>
  <c r="G1612" i="1"/>
  <c r="AE1611" i="1"/>
  <c r="I1611" i="1"/>
  <c r="H1611" i="1"/>
  <c r="G1611" i="1"/>
  <c r="AE1610" i="1"/>
  <c r="I1610" i="1"/>
  <c r="H1610" i="1"/>
  <c r="G1610" i="1"/>
  <c r="AE1609" i="1"/>
  <c r="I1609" i="1"/>
  <c r="H1609" i="1"/>
  <c r="G1609" i="1"/>
  <c r="AE1608" i="1"/>
  <c r="I1608" i="1"/>
  <c r="H1608" i="1"/>
  <c r="G1608" i="1"/>
  <c r="AE1607" i="1"/>
  <c r="H1607" i="1"/>
  <c r="AE1606" i="1"/>
  <c r="H1606" i="1"/>
  <c r="AE1605" i="1"/>
  <c r="H1605" i="1"/>
  <c r="AE1604" i="1"/>
  <c r="H1604" i="1"/>
  <c r="AE1603" i="1"/>
  <c r="H1603" i="1"/>
  <c r="AE1602" i="1"/>
  <c r="H1602" i="1"/>
  <c r="AE1601" i="1"/>
  <c r="H1601" i="1"/>
  <c r="AE1600" i="1"/>
  <c r="H1600" i="1"/>
  <c r="AE1599" i="1"/>
  <c r="H1599" i="1"/>
  <c r="AE1598" i="1"/>
  <c r="H1598" i="1"/>
  <c r="AE1597" i="1"/>
  <c r="H1597" i="1"/>
  <c r="AE1596" i="1"/>
  <c r="H1596" i="1"/>
  <c r="AE1595" i="1"/>
  <c r="H1595" i="1"/>
  <c r="AE1594" i="1"/>
  <c r="H1594" i="1"/>
  <c r="AE1593" i="1"/>
  <c r="H1593" i="1"/>
  <c r="AE1592" i="1"/>
  <c r="H1592" i="1"/>
  <c r="AE1591" i="1"/>
  <c r="H1591" i="1"/>
  <c r="AE1590" i="1"/>
  <c r="H1590" i="1"/>
  <c r="AE1589" i="1"/>
  <c r="H1589" i="1"/>
  <c r="AE1588" i="1"/>
  <c r="H1588" i="1"/>
  <c r="AE1587" i="1"/>
  <c r="H1587" i="1"/>
  <c r="AE1586" i="1"/>
  <c r="H1586" i="1"/>
  <c r="AE1585" i="1"/>
  <c r="H1585" i="1"/>
  <c r="AE1584" i="1"/>
  <c r="H1584" i="1"/>
  <c r="AE1583" i="1"/>
  <c r="H1583" i="1"/>
  <c r="AE1582" i="1"/>
  <c r="H1582" i="1"/>
  <c r="AE1581" i="1"/>
  <c r="H1581" i="1"/>
  <c r="AE1580" i="1"/>
  <c r="H1580" i="1"/>
  <c r="AE1579" i="1"/>
  <c r="H1579" i="1"/>
  <c r="AE1578" i="1"/>
  <c r="H1578" i="1"/>
  <c r="AE1577" i="1"/>
  <c r="H1577" i="1"/>
  <c r="AE1576" i="1"/>
  <c r="H1576" i="1"/>
  <c r="AE1575" i="1"/>
  <c r="H1575" i="1"/>
  <c r="AE1574" i="1"/>
  <c r="H1574" i="1"/>
  <c r="AE1573" i="1"/>
  <c r="H1573" i="1"/>
  <c r="AE1572" i="1"/>
  <c r="H1572" i="1"/>
  <c r="AE1571" i="1"/>
  <c r="H1571" i="1"/>
  <c r="AE1570" i="1"/>
  <c r="H1570" i="1"/>
  <c r="AE1569" i="1"/>
  <c r="H1569" i="1"/>
  <c r="AE1568" i="1"/>
  <c r="H1568" i="1"/>
  <c r="AE1567" i="1"/>
  <c r="H1567" i="1"/>
  <c r="AE1566" i="1"/>
  <c r="H1566" i="1"/>
  <c r="AE1565" i="1"/>
  <c r="H1565" i="1"/>
  <c r="AE1564" i="1"/>
  <c r="H1564" i="1"/>
  <c r="AE1563" i="1"/>
  <c r="H1563" i="1"/>
  <c r="AE1562" i="1"/>
  <c r="H1562" i="1"/>
  <c r="AE1561" i="1"/>
  <c r="H1561" i="1"/>
  <c r="AE1560" i="1"/>
  <c r="H1560" i="1"/>
  <c r="AE1559" i="1"/>
  <c r="H1559" i="1"/>
  <c r="AE1558" i="1"/>
  <c r="H1558" i="1"/>
  <c r="AE1557" i="1"/>
  <c r="H1557" i="1"/>
  <c r="AE1556" i="1"/>
  <c r="H1556" i="1"/>
  <c r="AE1555" i="1"/>
  <c r="H1555" i="1"/>
  <c r="AE1554" i="1"/>
  <c r="H1554" i="1"/>
  <c r="AE1553" i="1"/>
  <c r="H1553" i="1"/>
  <c r="AE1552" i="1"/>
  <c r="H1552" i="1"/>
  <c r="AE1551" i="1"/>
  <c r="H1551" i="1"/>
  <c r="AE1550" i="1"/>
  <c r="H1550" i="1"/>
  <c r="AE1549" i="1"/>
  <c r="H1549" i="1"/>
  <c r="AE1548" i="1"/>
  <c r="H1548" i="1"/>
  <c r="AE1547" i="1"/>
  <c r="H1547" i="1"/>
  <c r="AE1546" i="1"/>
  <c r="H1546" i="1"/>
  <c r="AE1545" i="1"/>
  <c r="H1545" i="1"/>
  <c r="AE1544" i="1"/>
  <c r="H1544" i="1"/>
  <c r="AE1543" i="1"/>
  <c r="H1543" i="1"/>
  <c r="AE1542" i="1"/>
  <c r="H1542" i="1"/>
  <c r="AE1541" i="1"/>
  <c r="H1541" i="1"/>
  <c r="AE1540" i="1"/>
  <c r="H1540" i="1"/>
  <c r="AE1539" i="1"/>
  <c r="H1539" i="1"/>
  <c r="AE1538" i="1"/>
  <c r="H1538" i="1"/>
  <c r="AE1537" i="1"/>
  <c r="H1537" i="1"/>
  <c r="AE1536" i="1"/>
  <c r="H1536" i="1"/>
  <c r="AE1535" i="1"/>
  <c r="H1535" i="1"/>
  <c r="AE1534" i="1"/>
  <c r="H1534" i="1"/>
  <c r="AE1533" i="1"/>
  <c r="H1533" i="1"/>
  <c r="AE1532" i="1"/>
  <c r="H1532" i="1"/>
  <c r="AE1531" i="1"/>
  <c r="H1531" i="1"/>
  <c r="AE1530" i="1"/>
  <c r="H1530" i="1"/>
  <c r="AE1529" i="1"/>
  <c r="H1529" i="1"/>
  <c r="AE1528" i="1"/>
  <c r="H1528" i="1"/>
  <c r="AE1527" i="1"/>
  <c r="H1527" i="1"/>
  <c r="AE1526" i="1"/>
  <c r="H1526" i="1"/>
  <c r="AE1525" i="1"/>
  <c r="H1525" i="1"/>
  <c r="AE1524" i="1"/>
  <c r="H1524" i="1"/>
  <c r="AE1523" i="1"/>
  <c r="H1523" i="1"/>
  <c r="AE1522" i="1"/>
  <c r="H1522" i="1"/>
  <c r="AE1521" i="1"/>
  <c r="H1521" i="1"/>
  <c r="AE1520" i="1"/>
  <c r="H1520" i="1"/>
  <c r="AE1519" i="1"/>
  <c r="H1519" i="1"/>
  <c r="AE1518" i="1"/>
  <c r="H1518" i="1"/>
  <c r="AE1517" i="1"/>
  <c r="H1517" i="1"/>
  <c r="AE1516" i="1"/>
  <c r="H1516" i="1"/>
  <c r="AE1515" i="1"/>
  <c r="H1515" i="1"/>
  <c r="AE1514" i="1"/>
  <c r="H1514" i="1"/>
  <c r="AE1513" i="1"/>
  <c r="H1513" i="1"/>
  <c r="H1512" i="1"/>
  <c r="H1511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AE1496" i="1"/>
  <c r="H1496" i="1"/>
  <c r="AE1495" i="1"/>
  <c r="H1495" i="1"/>
  <c r="AE1494" i="1"/>
  <c r="H1494" i="1"/>
  <c r="AE1493" i="1"/>
  <c r="H1493" i="1"/>
  <c r="AE1492" i="1"/>
  <c r="H1492" i="1"/>
  <c r="AE1491" i="1"/>
  <c r="H1491" i="1"/>
  <c r="AE1490" i="1"/>
  <c r="H1490" i="1"/>
  <c r="AE1489" i="1"/>
  <c r="H1489" i="1"/>
  <c r="AE1488" i="1"/>
  <c r="H1488" i="1"/>
  <c r="AE1487" i="1"/>
  <c r="H1487" i="1"/>
  <c r="AE1486" i="1"/>
  <c r="H1486" i="1"/>
  <c r="AE1485" i="1"/>
  <c r="H1485" i="1"/>
  <c r="AE1484" i="1"/>
  <c r="H1484" i="1"/>
  <c r="AE1483" i="1"/>
  <c r="H1483" i="1"/>
  <c r="AE1482" i="1"/>
  <c r="H1482" i="1"/>
  <c r="AE1481" i="1"/>
  <c r="H1481" i="1"/>
  <c r="AE1480" i="1"/>
  <c r="H1480" i="1"/>
  <c r="AE1479" i="1"/>
  <c r="H1479" i="1"/>
  <c r="AE1478" i="1"/>
  <c r="H1478" i="1"/>
  <c r="AE1477" i="1"/>
  <c r="H1477" i="1"/>
  <c r="AE1476" i="1"/>
  <c r="H1476" i="1"/>
  <c r="AE1475" i="1"/>
  <c r="H1475" i="1"/>
  <c r="AE1474" i="1"/>
  <c r="H1474" i="1"/>
  <c r="AE1473" i="1"/>
  <c r="H1473" i="1"/>
  <c r="AE1472" i="1"/>
  <c r="H1472" i="1"/>
  <c r="AE1471" i="1"/>
  <c r="H1471" i="1"/>
  <c r="AE1470" i="1"/>
  <c r="H1470" i="1"/>
  <c r="AE1469" i="1"/>
  <c r="H1469" i="1"/>
  <c r="AE1468" i="1"/>
  <c r="H1468" i="1"/>
  <c r="AE1467" i="1"/>
  <c r="H1467" i="1"/>
  <c r="AE1466" i="1"/>
  <c r="H1466" i="1"/>
  <c r="AE1465" i="1"/>
  <c r="H1465" i="1"/>
  <c r="AE1464" i="1"/>
  <c r="H1464" i="1"/>
  <c r="AE1463" i="1"/>
  <c r="H1463" i="1"/>
  <c r="AE1462" i="1"/>
  <c r="H1462" i="1"/>
  <c r="AE1461" i="1"/>
  <c r="H1461" i="1"/>
  <c r="AE1460" i="1"/>
  <c r="H1460" i="1"/>
  <c r="AE1459" i="1"/>
  <c r="H1459" i="1"/>
  <c r="AE1458" i="1"/>
  <c r="H1458" i="1"/>
  <c r="AE1457" i="1"/>
  <c r="H1457" i="1"/>
  <c r="AE1456" i="1"/>
  <c r="H1456" i="1"/>
  <c r="AE1455" i="1"/>
  <c r="H1455" i="1"/>
  <c r="AE1454" i="1"/>
  <c r="H1454" i="1"/>
  <c r="AE1453" i="1"/>
  <c r="H1453" i="1"/>
  <c r="AE1452" i="1"/>
  <c r="H1452" i="1"/>
  <c r="AE1451" i="1"/>
  <c r="H1451" i="1"/>
  <c r="AE1450" i="1"/>
  <c r="H1450" i="1"/>
  <c r="AE1449" i="1"/>
  <c r="H1449" i="1"/>
  <c r="AE1448" i="1"/>
  <c r="H1448" i="1"/>
  <c r="AE1447" i="1"/>
  <c r="H1447" i="1"/>
  <c r="AE1446" i="1"/>
  <c r="H1446" i="1"/>
  <c r="AE1445" i="1"/>
  <c r="H1445" i="1"/>
  <c r="AE1444" i="1"/>
  <c r="I1444" i="1"/>
  <c r="H1444" i="1"/>
  <c r="G1444" i="1"/>
  <c r="AT1443" i="1"/>
  <c r="K1443" i="1" s="1"/>
  <c r="AE1443" i="1"/>
  <c r="F1443" i="1"/>
  <c r="I1443" i="1" s="1"/>
  <c r="D1443" i="1"/>
  <c r="AT1442" i="1"/>
  <c r="K1442" i="1" s="1"/>
  <c r="AE1442" i="1"/>
  <c r="F1442" i="1"/>
  <c r="I1442" i="1" s="1"/>
  <c r="D1442" i="1"/>
  <c r="AT1441" i="1"/>
  <c r="K1441" i="1" s="1"/>
  <c r="AE1441" i="1"/>
  <c r="F1441" i="1"/>
  <c r="I1441" i="1" s="1"/>
  <c r="D1441" i="1"/>
  <c r="AE1440" i="1"/>
  <c r="I1440" i="1"/>
  <c r="H1440" i="1"/>
  <c r="G1440" i="1"/>
  <c r="AT1439" i="1"/>
  <c r="K1439" i="1" s="1"/>
  <c r="AE1439" i="1"/>
  <c r="F1439" i="1"/>
  <c r="I1439" i="1" s="1"/>
  <c r="D1439" i="1"/>
  <c r="AT1438" i="1"/>
  <c r="K1438" i="1" s="1"/>
  <c r="AE1438" i="1"/>
  <c r="F1438" i="1"/>
  <c r="I1438" i="1" s="1"/>
  <c r="D1438" i="1"/>
  <c r="AT1437" i="1"/>
  <c r="AE1437" i="1"/>
  <c r="K1437" i="1"/>
  <c r="F1437" i="1"/>
  <c r="I1437" i="1" s="1"/>
  <c r="D1437" i="1"/>
  <c r="AT1436" i="1"/>
  <c r="K1436" i="1" s="1"/>
  <c r="AE1436" i="1"/>
  <c r="F1436" i="1"/>
  <c r="I1436" i="1" s="1"/>
  <c r="D1436" i="1"/>
  <c r="AT1435" i="1"/>
  <c r="AE1435" i="1"/>
  <c r="K1435" i="1"/>
  <c r="F1435" i="1"/>
  <c r="I1435" i="1" s="1"/>
  <c r="D1435" i="1"/>
  <c r="AT1434" i="1"/>
  <c r="K1434" i="1" s="1"/>
  <c r="AE1434" i="1"/>
  <c r="F1434" i="1"/>
  <c r="I1434" i="1" s="1"/>
  <c r="D1434" i="1"/>
  <c r="AT1433" i="1"/>
  <c r="K1433" i="1" s="1"/>
  <c r="AE1433" i="1"/>
  <c r="F1433" i="1"/>
  <c r="I1433" i="1" s="1"/>
  <c r="D1433" i="1"/>
  <c r="AE1432" i="1"/>
  <c r="I1432" i="1"/>
  <c r="H1432" i="1"/>
  <c r="G1432" i="1"/>
  <c r="AE1431" i="1"/>
  <c r="I1431" i="1"/>
  <c r="H1431" i="1"/>
  <c r="G1431" i="1"/>
  <c r="AE1430" i="1"/>
  <c r="I1430" i="1"/>
  <c r="H1430" i="1"/>
  <c r="G1430" i="1"/>
  <c r="AE1429" i="1"/>
  <c r="I1429" i="1"/>
  <c r="G1429" i="1"/>
  <c r="AE1428" i="1"/>
  <c r="I1428" i="1"/>
  <c r="G1428" i="1"/>
  <c r="AE1427" i="1"/>
  <c r="I1427" i="1"/>
  <c r="G1427" i="1"/>
  <c r="AE1426" i="1"/>
  <c r="I1426" i="1"/>
  <c r="H1426" i="1"/>
  <c r="G1426" i="1"/>
  <c r="AE1425" i="1"/>
  <c r="I1425" i="1"/>
  <c r="H1425" i="1"/>
  <c r="G1425" i="1"/>
  <c r="AE1424" i="1"/>
  <c r="I1424" i="1"/>
  <c r="H1424" i="1"/>
  <c r="G1424" i="1"/>
  <c r="AE1423" i="1"/>
  <c r="I1423" i="1"/>
  <c r="G1423" i="1"/>
  <c r="AE1422" i="1"/>
  <c r="I1422" i="1"/>
  <c r="G1422" i="1"/>
  <c r="AE1421" i="1"/>
  <c r="I1421" i="1"/>
  <c r="H1421" i="1"/>
  <c r="G1421" i="1"/>
  <c r="AE1420" i="1"/>
  <c r="I1420" i="1"/>
  <c r="G1420" i="1"/>
  <c r="AE1419" i="1"/>
  <c r="I1419" i="1"/>
  <c r="G1419" i="1"/>
  <c r="AE1418" i="1"/>
  <c r="I1418" i="1"/>
  <c r="G1418" i="1"/>
  <c r="AH1417" i="1"/>
  <c r="AE1417" i="1"/>
  <c r="I1417" i="1"/>
  <c r="H1417" i="1"/>
  <c r="G1417" i="1"/>
  <c r="AE1416" i="1"/>
  <c r="AH1416" i="1" s="1"/>
  <c r="I1416" i="1"/>
  <c r="H1416" i="1"/>
  <c r="G1416" i="1"/>
  <c r="AE1415" i="1"/>
  <c r="AH1415" i="1" s="1"/>
  <c r="I1415" i="1"/>
  <c r="H1415" i="1"/>
  <c r="G1415" i="1"/>
  <c r="AE1414" i="1"/>
  <c r="AH1414" i="1" s="1"/>
  <c r="I1414" i="1"/>
  <c r="H1414" i="1"/>
  <c r="G1414" i="1"/>
  <c r="AE1413" i="1"/>
  <c r="AH1413" i="1" s="1"/>
  <c r="I1413" i="1"/>
  <c r="H1413" i="1"/>
  <c r="G1413" i="1"/>
  <c r="AE1412" i="1"/>
  <c r="I1412" i="1"/>
  <c r="H1412" i="1"/>
  <c r="G1412" i="1"/>
  <c r="AE1411" i="1"/>
  <c r="I1411" i="1"/>
  <c r="H1411" i="1"/>
  <c r="G1411" i="1"/>
  <c r="AE1410" i="1"/>
  <c r="I1410" i="1"/>
  <c r="H1410" i="1"/>
  <c r="G1410" i="1"/>
  <c r="AE1409" i="1"/>
  <c r="I1409" i="1"/>
  <c r="H1409" i="1"/>
  <c r="G1409" i="1"/>
  <c r="AE1408" i="1"/>
  <c r="I1408" i="1"/>
  <c r="H1408" i="1"/>
  <c r="G1408" i="1"/>
  <c r="AE1407" i="1"/>
  <c r="I1407" i="1"/>
  <c r="H1407" i="1"/>
  <c r="G1407" i="1"/>
  <c r="AE1406" i="1"/>
  <c r="I1406" i="1"/>
  <c r="H1406" i="1"/>
  <c r="G1406" i="1"/>
  <c r="AE1405" i="1"/>
  <c r="I1405" i="1"/>
  <c r="H1405" i="1"/>
  <c r="G1405" i="1"/>
  <c r="AE1404" i="1"/>
  <c r="I1404" i="1"/>
  <c r="H1404" i="1"/>
  <c r="G1404" i="1"/>
  <c r="AE1403" i="1"/>
  <c r="I1403" i="1"/>
  <c r="H1403" i="1"/>
  <c r="G1403" i="1"/>
  <c r="AE1402" i="1"/>
  <c r="I1402" i="1"/>
  <c r="H1402" i="1"/>
  <c r="G1402" i="1"/>
  <c r="AE1401" i="1"/>
  <c r="I1401" i="1"/>
  <c r="H1401" i="1"/>
  <c r="G1401" i="1"/>
  <c r="AE1400" i="1"/>
  <c r="I1400" i="1"/>
  <c r="H1400" i="1"/>
  <c r="G1400" i="1"/>
  <c r="AE1399" i="1"/>
  <c r="AH1399" i="1" s="1"/>
  <c r="I1399" i="1"/>
  <c r="H1399" i="1"/>
  <c r="G1399" i="1"/>
  <c r="AH1398" i="1"/>
  <c r="AE1398" i="1"/>
  <c r="I1398" i="1"/>
  <c r="H1398" i="1"/>
  <c r="G1398" i="1"/>
  <c r="AE1397" i="1"/>
  <c r="AH1397" i="1" s="1"/>
  <c r="I1397" i="1"/>
  <c r="H1397" i="1"/>
  <c r="G1397" i="1"/>
  <c r="AE1396" i="1"/>
  <c r="AH1396" i="1" s="1"/>
  <c r="I1396" i="1"/>
  <c r="H1396" i="1"/>
  <c r="G1396" i="1"/>
  <c r="AH1395" i="1"/>
  <c r="AE1395" i="1"/>
  <c r="I1395" i="1"/>
  <c r="H1395" i="1"/>
  <c r="G1395" i="1"/>
  <c r="AE1394" i="1"/>
  <c r="AH1394" i="1" s="1"/>
  <c r="I1394" i="1"/>
  <c r="H1394" i="1"/>
  <c r="G1394" i="1"/>
  <c r="AE1393" i="1"/>
  <c r="AH1393" i="1" s="1"/>
  <c r="I1393" i="1"/>
  <c r="H1393" i="1"/>
  <c r="G1393" i="1"/>
  <c r="AE1392" i="1"/>
  <c r="I1392" i="1"/>
  <c r="H1392" i="1"/>
  <c r="G1392" i="1"/>
  <c r="AE1391" i="1"/>
  <c r="I1391" i="1"/>
  <c r="H1391" i="1"/>
  <c r="G1391" i="1"/>
  <c r="AH1390" i="1"/>
  <c r="AE1390" i="1"/>
  <c r="I1390" i="1"/>
  <c r="H1390" i="1"/>
  <c r="G1390" i="1"/>
  <c r="AE1389" i="1"/>
  <c r="AH1389" i="1" s="1"/>
  <c r="I1389" i="1"/>
  <c r="H1389" i="1"/>
  <c r="G1389" i="1"/>
  <c r="AH1388" i="1"/>
  <c r="AE1388" i="1"/>
  <c r="I1388" i="1"/>
  <c r="H1388" i="1"/>
  <c r="G1388" i="1"/>
  <c r="AE1387" i="1"/>
  <c r="AH1387" i="1" s="1"/>
  <c r="I1387" i="1"/>
  <c r="H1387" i="1"/>
  <c r="G1387" i="1"/>
  <c r="AE1386" i="1"/>
  <c r="AH1386" i="1" s="1"/>
  <c r="I1386" i="1"/>
  <c r="H1386" i="1"/>
  <c r="G1386" i="1"/>
  <c r="AE1385" i="1"/>
  <c r="AH1385" i="1" s="1"/>
  <c r="I1385" i="1"/>
  <c r="H1385" i="1"/>
  <c r="G1385" i="1"/>
  <c r="AE1384" i="1"/>
  <c r="AH1384" i="1" s="1"/>
  <c r="I1384" i="1"/>
  <c r="H1384" i="1"/>
  <c r="G1384" i="1"/>
  <c r="AE1383" i="1"/>
  <c r="AH1383" i="1" s="1"/>
  <c r="I1383" i="1"/>
  <c r="H1383" i="1"/>
  <c r="G1383" i="1"/>
  <c r="AH1382" i="1"/>
  <c r="AE1382" i="1"/>
  <c r="I1382" i="1"/>
  <c r="H1382" i="1"/>
  <c r="G1382" i="1"/>
  <c r="AE1381" i="1"/>
  <c r="AH1381" i="1" s="1"/>
  <c r="I1381" i="1"/>
  <c r="H1381" i="1"/>
  <c r="G1381" i="1"/>
  <c r="AE1380" i="1"/>
  <c r="AH1380" i="1" s="1"/>
  <c r="I1380" i="1"/>
  <c r="H1380" i="1"/>
  <c r="G1380" i="1"/>
  <c r="AE1379" i="1"/>
  <c r="AH1379" i="1" s="1"/>
  <c r="I1379" i="1"/>
  <c r="H1379" i="1"/>
  <c r="G1379" i="1"/>
  <c r="AH1378" i="1"/>
  <c r="AE1378" i="1"/>
  <c r="I1378" i="1"/>
  <c r="H1378" i="1"/>
  <c r="G1378" i="1"/>
  <c r="AE1377" i="1"/>
  <c r="AH1377" i="1" s="1"/>
  <c r="I1377" i="1"/>
  <c r="H1377" i="1"/>
  <c r="G1377" i="1"/>
  <c r="AE1376" i="1"/>
  <c r="AH1376" i="1" s="1"/>
  <c r="I1376" i="1"/>
  <c r="H1376" i="1"/>
  <c r="G1376" i="1"/>
  <c r="AE1375" i="1"/>
  <c r="AH1375" i="1" s="1"/>
  <c r="I1375" i="1"/>
  <c r="H1375" i="1"/>
  <c r="G1375" i="1"/>
  <c r="AH1374" i="1"/>
  <c r="AE1374" i="1"/>
  <c r="I1374" i="1"/>
  <c r="H1374" i="1"/>
  <c r="G1374" i="1"/>
  <c r="AE1373" i="1"/>
  <c r="AH1373" i="1" s="1"/>
  <c r="I1373" i="1"/>
  <c r="H1373" i="1"/>
  <c r="G1373" i="1"/>
  <c r="AH1372" i="1"/>
  <c r="AE1372" i="1"/>
  <c r="I1372" i="1"/>
  <c r="H1372" i="1"/>
  <c r="G1372" i="1"/>
  <c r="AE1371" i="1"/>
  <c r="AH1371" i="1" s="1"/>
  <c r="I1371" i="1"/>
  <c r="H1371" i="1"/>
  <c r="G1371" i="1"/>
  <c r="AE1370" i="1"/>
  <c r="AH1370" i="1" s="1"/>
  <c r="I1370" i="1"/>
  <c r="H1370" i="1"/>
  <c r="G1370" i="1"/>
  <c r="AE1369" i="1"/>
  <c r="AH1369" i="1" s="1"/>
  <c r="I1369" i="1"/>
  <c r="H1369" i="1"/>
  <c r="G1369" i="1"/>
  <c r="AE1368" i="1"/>
  <c r="AH1368" i="1" s="1"/>
  <c r="I1368" i="1"/>
  <c r="H1368" i="1"/>
  <c r="G1368" i="1"/>
  <c r="AE1367" i="1"/>
  <c r="AH1367" i="1" s="1"/>
  <c r="I1367" i="1"/>
  <c r="H1367" i="1"/>
  <c r="G1367" i="1"/>
  <c r="AH1366" i="1"/>
  <c r="AE1366" i="1"/>
  <c r="I1366" i="1"/>
  <c r="H1366" i="1"/>
  <c r="G1366" i="1"/>
  <c r="AE1365" i="1"/>
  <c r="AH1365" i="1" s="1"/>
  <c r="I1365" i="1"/>
  <c r="H1365" i="1"/>
  <c r="G1365" i="1"/>
  <c r="AE1364" i="1"/>
  <c r="AH1364" i="1" s="1"/>
  <c r="I1364" i="1"/>
  <c r="H1364" i="1"/>
  <c r="G1364" i="1"/>
  <c r="AE1363" i="1"/>
  <c r="AH1363" i="1" s="1"/>
  <c r="I1363" i="1"/>
  <c r="H1363" i="1"/>
  <c r="G1363" i="1"/>
  <c r="AH1362" i="1"/>
  <c r="AE1362" i="1"/>
  <c r="I1362" i="1"/>
  <c r="H1362" i="1"/>
  <c r="G1362" i="1"/>
  <c r="AE1361" i="1"/>
  <c r="AH1361" i="1" s="1"/>
  <c r="I1361" i="1"/>
  <c r="H1361" i="1"/>
  <c r="G1361" i="1"/>
  <c r="AE1360" i="1"/>
  <c r="AH1360" i="1" s="1"/>
  <c r="I1360" i="1"/>
  <c r="H1360" i="1"/>
  <c r="G1360" i="1"/>
  <c r="AE1359" i="1"/>
  <c r="AH1359" i="1" s="1"/>
  <c r="I1359" i="1"/>
  <c r="H1359" i="1"/>
  <c r="G1359" i="1"/>
  <c r="AH1358" i="1"/>
  <c r="AE1358" i="1"/>
  <c r="I1358" i="1"/>
  <c r="H1358" i="1"/>
  <c r="G1358" i="1"/>
  <c r="AE1357" i="1"/>
  <c r="I1357" i="1"/>
  <c r="H1357" i="1"/>
  <c r="G1357" i="1"/>
  <c r="AE1356" i="1"/>
  <c r="I1356" i="1"/>
  <c r="H1356" i="1"/>
  <c r="G1356" i="1"/>
  <c r="AE1355" i="1"/>
  <c r="AH1355" i="1" s="1"/>
  <c r="I1355" i="1"/>
  <c r="H1355" i="1"/>
  <c r="G1355" i="1"/>
  <c r="AE1354" i="1"/>
  <c r="AH1354" i="1" s="1"/>
  <c r="I1354" i="1"/>
  <c r="H1354" i="1"/>
  <c r="G1354" i="1"/>
  <c r="AE1353" i="1"/>
  <c r="AH1353" i="1" s="1"/>
  <c r="I1353" i="1"/>
  <c r="H1353" i="1"/>
  <c r="G1353" i="1"/>
  <c r="AE1352" i="1"/>
  <c r="AH1352" i="1" s="1"/>
  <c r="I1352" i="1"/>
  <c r="H1352" i="1"/>
  <c r="G1352" i="1"/>
  <c r="AE1351" i="1"/>
  <c r="AH1351" i="1" s="1"/>
  <c r="I1351" i="1"/>
  <c r="H1351" i="1"/>
  <c r="G1351" i="1"/>
  <c r="AE1350" i="1"/>
  <c r="I1350" i="1"/>
  <c r="H1350" i="1"/>
  <c r="G1350" i="1"/>
  <c r="AH1349" i="1"/>
  <c r="AE1349" i="1"/>
  <c r="I1349" i="1"/>
  <c r="H1349" i="1"/>
  <c r="G1349" i="1"/>
  <c r="AE1348" i="1"/>
  <c r="AH1348" i="1" s="1"/>
  <c r="I1348" i="1"/>
  <c r="H1348" i="1"/>
  <c r="G1348" i="1"/>
  <c r="AE1347" i="1"/>
  <c r="AH1347" i="1" s="1"/>
  <c r="I1347" i="1"/>
  <c r="H1347" i="1"/>
  <c r="G1347" i="1"/>
  <c r="AH1346" i="1"/>
  <c r="AE1346" i="1"/>
  <c r="I1346" i="1"/>
  <c r="H1346" i="1"/>
  <c r="G1346" i="1"/>
  <c r="AH1345" i="1"/>
  <c r="AE1345" i="1"/>
  <c r="I1345" i="1"/>
  <c r="H1345" i="1"/>
  <c r="G1345" i="1"/>
  <c r="AE1344" i="1"/>
  <c r="AH1344" i="1" s="1"/>
  <c r="I1344" i="1"/>
  <c r="H1344" i="1"/>
  <c r="G1344" i="1"/>
  <c r="AE1343" i="1"/>
  <c r="AH1343" i="1" s="1"/>
  <c r="I1343" i="1"/>
  <c r="H1343" i="1"/>
  <c r="G1343" i="1"/>
  <c r="AE1342" i="1"/>
  <c r="F1342" i="1"/>
  <c r="I1342" i="1" s="1"/>
  <c r="D1342" i="1"/>
  <c r="AE1341" i="1"/>
  <c r="AH1341" i="1" s="1"/>
  <c r="I1341" i="1"/>
  <c r="H1341" i="1"/>
  <c r="G1341" i="1"/>
  <c r="AE1340" i="1"/>
  <c r="AH1340" i="1" s="1"/>
  <c r="I1340" i="1"/>
  <c r="H1340" i="1"/>
  <c r="G1340" i="1"/>
  <c r="AE1339" i="1"/>
  <c r="AH1339" i="1" s="1"/>
  <c r="I1339" i="1"/>
  <c r="H1339" i="1"/>
  <c r="G1339" i="1"/>
  <c r="AH1338" i="1"/>
  <c r="AE1338" i="1"/>
  <c r="I1338" i="1"/>
  <c r="H1338" i="1"/>
  <c r="G1338" i="1"/>
  <c r="AE1337" i="1"/>
  <c r="AH1337" i="1" s="1"/>
  <c r="I1337" i="1"/>
  <c r="H1337" i="1"/>
  <c r="G1337" i="1"/>
  <c r="AE1336" i="1"/>
  <c r="AH1336" i="1" s="1"/>
  <c r="I1336" i="1"/>
  <c r="H1336" i="1"/>
  <c r="G1336" i="1"/>
  <c r="AE1335" i="1"/>
  <c r="AH1335" i="1" s="1"/>
  <c r="I1335" i="1"/>
  <c r="H1335" i="1"/>
  <c r="G1335" i="1"/>
  <c r="I1326" i="1"/>
  <c r="G1326" i="1"/>
  <c r="I1325" i="1"/>
  <c r="G1325" i="1"/>
  <c r="I1324" i="1"/>
  <c r="G1324" i="1"/>
  <c r="G1323" i="1"/>
  <c r="G1322" i="1"/>
  <c r="G1321" i="1"/>
  <c r="G1320" i="1"/>
  <c r="AE1319" i="1"/>
  <c r="AE1318" i="1"/>
  <c r="AE1317" i="1"/>
  <c r="I1316" i="1"/>
  <c r="G1316" i="1"/>
  <c r="I1315" i="1"/>
  <c r="G1315" i="1"/>
  <c r="AE1311" i="1"/>
  <c r="AH1311" i="1" s="1"/>
  <c r="I1311" i="1"/>
  <c r="G1311" i="1"/>
  <c r="AE1310" i="1"/>
  <c r="AH1310" i="1" s="1"/>
  <c r="I1310" i="1"/>
  <c r="G1310" i="1"/>
  <c r="AE1309" i="1"/>
  <c r="AH1309" i="1" s="1"/>
  <c r="I1309" i="1"/>
  <c r="G1309" i="1"/>
  <c r="AE1308" i="1"/>
  <c r="AH1308" i="1" s="1"/>
  <c r="I1308" i="1"/>
  <c r="G1308" i="1"/>
  <c r="AE1279" i="1"/>
  <c r="I1279" i="1"/>
  <c r="G1279" i="1"/>
  <c r="AE1278" i="1"/>
  <c r="I1278" i="1"/>
  <c r="H1278" i="1"/>
  <c r="G1278" i="1"/>
  <c r="AE1277" i="1"/>
  <c r="I1277" i="1"/>
  <c r="H1277" i="1"/>
  <c r="G1277" i="1"/>
  <c r="AE1276" i="1"/>
  <c r="I1276" i="1"/>
  <c r="H1276" i="1"/>
  <c r="G1276" i="1"/>
  <c r="AE1275" i="1"/>
  <c r="I1275" i="1"/>
  <c r="H1275" i="1"/>
  <c r="G1275" i="1"/>
  <c r="AE1274" i="1"/>
  <c r="I1274" i="1"/>
  <c r="H1274" i="1"/>
  <c r="G1274" i="1"/>
  <c r="AE1273" i="1"/>
  <c r="I1273" i="1"/>
  <c r="H1273" i="1"/>
  <c r="G1273" i="1"/>
  <c r="AE1272" i="1"/>
  <c r="I1272" i="1"/>
  <c r="H1272" i="1"/>
  <c r="G1272" i="1"/>
  <c r="AE1271" i="1"/>
  <c r="I1271" i="1"/>
  <c r="H1271" i="1"/>
  <c r="G1271" i="1"/>
  <c r="AE1270" i="1"/>
  <c r="I1270" i="1"/>
  <c r="H1270" i="1"/>
  <c r="G1270" i="1"/>
  <c r="AE1269" i="1"/>
  <c r="I1269" i="1"/>
  <c r="H1269" i="1"/>
  <c r="G1269" i="1"/>
  <c r="AE1268" i="1"/>
  <c r="I1268" i="1"/>
  <c r="H1268" i="1"/>
  <c r="G1268" i="1"/>
  <c r="AE1267" i="1"/>
  <c r="I1267" i="1"/>
  <c r="H1267" i="1"/>
  <c r="G1267" i="1"/>
  <c r="AE1266" i="1"/>
  <c r="I1266" i="1"/>
  <c r="H1266" i="1"/>
  <c r="G1266" i="1"/>
  <c r="AE1265" i="1"/>
  <c r="I1265" i="1"/>
  <c r="H1265" i="1"/>
  <c r="G1265" i="1"/>
  <c r="AE1264" i="1"/>
  <c r="I1264" i="1"/>
  <c r="H1264" i="1"/>
  <c r="G1264" i="1"/>
  <c r="AE1263" i="1"/>
  <c r="I1263" i="1"/>
  <c r="H1263" i="1"/>
  <c r="G1263" i="1"/>
  <c r="AE1262" i="1"/>
  <c r="G1262" i="1"/>
  <c r="AE1261" i="1"/>
  <c r="G1261" i="1"/>
  <c r="AE1260" i="1"/>
  <c r="I1260" i="1"/>
  <c r="H1260" i="1"/>
  <c r="G1260" i="1"/>
  <c r="AE1259" i="1"/>
  <c r="I1259" i="1"/>
  <c r="H1259" i="1"/>
  <c r="G1259" i="1"/>
  <c r="AE1258" i="1"/>
  <c r="I1258" i="1"/>
  <c r="H1258" i="1"/>
  <c r="G1258" i="1"/>
  <c r="AH1257" i="1"/>
  <c r="AE1257" i="1"/>
  <c r="I1257" i="1"/>
  <c r="H1257" i="1"/>
  <c r="G1257" i="1"/>
  <c r="AE1256" i="1"/>
  <c r="AH1256" i="1" s="1"/>
  <c r="I1256" i="1"/>
  <c r="H1256" i="1"/>
  <c r="G1256" i="1"/>
  <c r="AH1255" i="1"/>
  <c r="AE1255" i="1"/>
  <c r="I1255" i="1"/>
  <c r="H1255" i="1"/>
  <c r="G1255" i="1"/>
  <c r="AE1254" i="1"/>
  <c r="AH1254" i="1" s="1"/>
  <c r="I1254" i="1"/>
  <c r="H1254" i="1"/>
  <c r="G1254" i="1"/>
  <c r="AE1253" i="1"/>
  <c r="I1253" i="1"/>
  <c r="H1253" i="1"/>
  <c r="G1253" i="1"/>
  <c r="AE1252" i="1"/>
  <c r="AH1252" i="1" s="1"/>
  <c r="I1252" i="1"/>
  <c r="H1252" i="1"/>
  <c r="G1252" i="1"/>
  <c r="AE1251" i="1"/>
  <c r="I1251" i="1"/>
  <c r="H1251" i="1"/>
  <c r="G1251" i="1"/>
  <c r="AE1250" i="1"/>
  <c r="I1250" i="1"/>
  <c r="H1250" i="1"/>
  <c r="G1250" i="1"/>
  <c r="AE1249" i="1"/>
  <c r="I1249" i="1"/>
  <c r="H1249" i="1"/>
  <c r="G1249" i="1"/>
  <c r="AE1248" i="1"/>
  <c r="I1248" i="1"/>
  <c r="H1248" i="1"/>
  <c r="G1248" i="1"/>
  <c r="AE1247" i="1"/>
  <c r="I1247" i="1"/>
  <c r="H1247" i="1"/>
  <c r="G1247" i="1"/>
  <c r="I1246" i="1"/>
  <c r="H1246" i="1"/>
  <c r="G1246" i="1"/>
  <c r="I1245" i="1"/>
  <c r="H1245" i="1"/>
  <c r="G1245" i="1"/>
  <c r="I1244" i="1"/>
  <c r="H1244" i="1"/>
  <c r="G1244" i="1"/>
  <c r="AE1243" i="1"/>
  <c r="I1243" i="1"/>
  <c r="H1243" i="1"/>
  <c r="G1243" i="1"/>
  <c r="AE1242" i="1"/>
  <c r="I1242" i="1"/>
  <c r="H1242" i="1"/>
  <c r="G1242" i="1"/>
  <c r="AE1241" i="1"/>
  <c r="I1241" i="1"/>
  <c r="H1241" i="1"/>
  <c r="G1241" i="1"/>
  <c r="AE1240" i="1"/>
  <c r="I1240" i="1"/>
  <c r="H1240" i="1"/>
  <c r="G1240" i="1"/>
  <c r="AE1239" i="1"/>
  <c r="I1239" i="1"/>
  <c r="H1239" i="1"/>
  <c r="G1239" i="1"/>
  <c r="AE1238" i="1"/>
  <c r="I1238" i="1"/>
  <c r="H1238" i="1"/>
  <c r="G1238" i="1"/>
  <c r="AE1237" i="1"/>
  <c r="I1237" i="1"/>
  <c r="H1237" i="1"/>
  <c r="G1237" i="1"/>
  <c r="AE1236" i="1"/>
  <c r="I1236" i="1"/>
  <c r="H1236" i="1"/>
  <c r="G1236" i="1"/>
  <c r="AE1235" i="1"/>
  <c r="I1235" i="1"/>
  <c r="H1235" i="1"/>
  <c r="G1235" i="1"/>
  <c r="AE1234" i="1"/>
  <c r="I1234" i="1"/>
  <c r="H1234" i="1"/>
  <c r="G1234" i="1"/>
  <c r="AE1233" i="1"/>
  <c r="I1233" i="1"/>
  <c r="H1233" i="1"/>
  <c r="G1233" i="1"/>
  <c r="AE1232" i="1"/>
  <c r="I1232" i="1"/>
  <c r="H1232" i="1"/>
  <c r="G1232" i="1"/>
  <c r="AE1231" i="1"/>
  <c r="I1231" i="1"/>
  <c r="H1231" i="1"/>
  <c r="G1231" i="1"/>
  <c r="AE1230" i="1"/>
  <c r="I1230" i="1"/>
  <c r="H1230" i="1"/>
  <c r="G1230" i="1"/>
  <c r="AE1229" i="1"/>
  <c r="I1229" i="1"/>
  <c r="H1229" i="1"/>
  <c r="G1229" i="1"/>
  <c r="AE1228" i="1"/>
  <c r="I1228" i="1"/>
  <c r="H1228" i="1"/>
  <c r="G1228" i="1"/>
  <c r="AE1227" i="1"/>
  <c r="I1227" i="1"/>
  <c r="H1227" i="1"/>
  <c r="G1227" i="1"/>
  <c r="AE1226" i="1"/>
  <c r="AH1226" i="1" s="1"/>
  <c r="I1226" i="1"/>
  <c r="H1226" i="1"/>
  <c r="G1226" i="1"/>
  <c r="AE1225" i="1"/>
  <c r="AH1225" i="1" s="1"/>
  <c r="I1225" i="1"/>
  <c r="H1225" i="1"/>
  <c r="G1225" i="1"/>
  <c r="AE1224" i="1"/>
  <c r="AH1224" i="1" s="1"/>
  <c r="I1224" i="1"/>
  <c r="H1224" i="1"/>
  <c r="G1224" i="1"/>
  <c r="AE1223" i="1"/>
  <c r="AH1223" i="1" s="1"/>
  <c r="I1223" i="1"/>
  <c r="H1223" i="1"/>
  <c r="G1223" i="1"/>
  <c r="I1222" i="1"/>
  <c r="G1222" i="1"/>
  <c r="I1221" i="1"/>
  <c r="G1221" i="1"/>
  <c r="I1220" i="1"/>
  <c r="G1220" i="1"/>
  <c r="I1219" i="1"/>
  <c r="G1219" i="1"/>
  <c r="I1218" i="1"/>
  <c r="G1218" i="1"/>
  <c r="I1217" i="1"/>
  <c r="G1217" i="1"/>
  <c r="I1216" i="1"/>
  <c r="G1216" i="1"/>
  <c r="I1215" i="1"/>
  <c r="G1215" i="1"/>
  <c r="I1214" i="1"/>
  <c r="G1214" i="1"/>
  <c r="I1213" i="1"/>
  <c r="G1213" i="1"/>
  <c r="I1212" i="1"/>
  <c r="G1212" i="1"/>
  <c r="I1211" i="1"/>
  <c r="G1211" i="1"/>
  <c r="I1210" i="1"/>
  <c r="G1210" i="1"/>
  <c r="I1209" i="1"/>
  <c r="G1209" i="1"/>
  <c r="I1208" i="1"/>
  <c r="G1208" i="1"/>
  <c r="I1207" i="1"/>
  <c r="G1207" i="1"/>
  <c r="I1206" i="1"/>
  <c r="G1206" i="1"/>
  <c r="I1205" i="1"/>
  <c r="G1205" i="1"/>
  <c r="I1204" i="1"/>
  <c r="G1204" i="1"/>
  <c r="I1203" i="1"/>
  <c r="G1203" i="1"/>
  <c r="I1202" i="1"/>
  <c r="G1202" i="1"/>
  <c r="I1201" i="1"/>
  <c r="G1201" i="1"/>
  <c r="I1200" i="1"/>
  <c r="G1200" i="1"/>
  <c r="I1199" i="1"/>
  <c r="G1199" i="1"/>
  <c r="I1198" i="1"/>
  <c r="G1198" i="1"/>
  <c r="I1197" i="1"/>
  <c r="G1197" i="1"/>
  <c r="I1196" i="1"/>
  <c r="G1196" i="1"/>
  <c r="I1195" i="1"/>
  <c r="G1195" i="1"/>
  <c r="I1194" i="1"/>
  <c r="G1194" i="1"/>
  <c r="I1193" i="1"/>
  <c r="G1193" i="1"/>
  <c r="I1192" i="1"/>
  <c r="G1192" i="1"/>
  <c r="I1191" i="1"/>
  <c r="G1191" i="1"/>
  <c r="I1190" i="1"/>
  <c r="G1190" i="1"/>
  <c r="I1189" i="1"/>
  <c r="G1189" i="1"/>
  <c r="I1188" i="1"/>
  <c r="G1188" i="1"/>
  <c r="I1187" i="1"/>
  <c r="G1187" i="1"/>
  <c r="I1186" i="1"/>
  <c r="G1186" i="1"/>
  <c r="I1185" i="1"/>
  <c r="G1185" i="1"/>
  <c r="I1184" i="1"/>
  <c r="G1184" i="1"/>
  <c r="I1183" i="1"/>
  <c r="G1183" i="1"/>
  <c r="I1182" i="1"/>
  <c r="G1182" i="1"/>
  <c r="I1181" i="1"/>
  <c r="G1181" i="1"/>
  <c r="I1180" i="1"/>
  <c r="I1179" i="1"/>
  <c r="I1178" i="1"/>
  <c r="I1177" i="1"/>
  <c r="I1174" i="1"/>
  <c r="I1173" i="1"/>
  <c r="I1172" i="1"/>
  <c r="I1171" i="1"/>
  <c r="I1170" i="1"/>
  <c r="I1169" i="1"/>
  <c r="I1168" i="1"/>
  <c r="I1167" i="1"/>
  <c r="I1166" i="1"/>
  <c r="AE1165" i="1"/>
  <c r="I1165" i="1"/>
  <c r="AE1164" i="1"/>
  <c r="I1164" i="1"/>
  <c r="AE1163" i="1"/>
  <c r="I1163" i="1"/>
  <c r="AE1162" i="1"/>
  <c r="I1162" i="1"/>
  <c r="AE1161" i="1"/>
  <c r="I1161" i="1"/>
  <c r="AE1160" i="1"/>
  <c r="I1160" i="1"/>
  <c r="AE1159" i="1"/>
  <c r="I1159" i="1"/>
  <c r="AE1158" i="1"/>
  <c r="I1158" i="1"/>
  <c r="AE1157" i="1"/>
  <c r="I1157" i="1"/>
  <c r="AE1156" i="1"/>
  <c r="I1156" i="1"/>
  <c r="AE1155" i="1"/>
  <c r="I1155" i="1"/>
  <c r="AE1154" i="1"/>
  <c r="I1154" i="1"/>
  <c r="AE1153" i="1"/>
  <c r="I1153" i="1"/>
  <c r="AE1152" i="1"/>
  <c r="I1152" i="1"/>
  <c r="AE1151" i="1"/>
  <c r="I1151" i="1"/>
  <c r="AE1150" i="1"/>
  <c r="I1150" i="1"/>
  <c r="AE1149" i="1"/>
  <c r="I1149" i="1"/>
  <c r="AE1148" i="1"/>
  <c r="I1148" i="1"/>
  <c r="AE1147" i="1"/>
  <c r="I1147" i="1"/>
  <c r="AE1146" i="1"/>
  <c r="I1146" i="1"/>
  <c r="AE1145" i="1"/>
  <c r="I1145" i="1"/>
  <c r="AE1144" i="1"/>
  <c r="I1144" i="1"/>
  <c r="AE1143" i="1"/>
  <c r="I1143" i="1"/>
  <c r="AE1142" i="1"/>
  <c r="I1142" i="1"/>
  <c r="AE1141" i="1"/>
  <c r="I1141" i="1"/>
  <c r="AE1140" i="1"/>
  <c r="I1140" i="1"/>
  <c r="AE1139" i="1"/>
  <c r="I1139" i="1"/>
  <c r="AE1138" i="1"/>
  <c r="I1138" i="1"/>
  <c r="AE1137" i="1"/>
  <c r="I1137" i="1"/>
  <c r="AE1136" i="1"/>
  <c r="I1136" i="1"/>
  <c r="AE1135" i="1"/>
  <c r="I1135" i="1"/>
  <c r="AE1134" i="1"/>
  <c r="I1134" i="1"/>
  <c r="AE1133" i="1"/>
  <c r="I1133" i="1"/>
  <c r="AE1132" i="1"/>
  <c r="I1132" i="1"/>
  <c r="AE1131" i="1"/>
  <c r="I1131" i="1"/>
  <c r="AE1130" i="1"/>
  <c r="I1130" i="1"/>
  <c r="AE1129" i="1"/>
  <c r="I1129" i="1"/>
  <c r="AE1128" i="1"/>
  <c r="I1128" i="1"/>
  <c r="AE1127" i="1"/>
  <c r="I1127" i="1"/>
  <c r="AE1126" i="1"/>
  <c r="I1126" i="1"/>
  <c r="AE1125" i="1"/>
  <c r="I1125" i="1"/>
  <c r="AE1124" i="1"/>
  <c r="I1124" i="1"/>
  <c r="AE1123" i="1"/>
  <c r="I1123" i="1"/>
  <c r="AE1122" i="1"/>
  <c r="I1122" i="1"/>
  <c r="AE1121" i="1"/>
  <c r="I1121" i="1"/>
  <c r="AE1120" i="1"/>
  <c r="I1120" i="1"/>
  <c r="AE1119" i="1"/>
  <c r="I1119" i="1"/>
  <c r="AE1118" i="1"/>
  <c r="I1118" i="1"/>
  <c r="AE1117" i="1"/>
  <c r="I1117" i="1"/>
  <c r="AE1116" i="1"/>
  <c r="I1116" i="1"/>
  <c r="AE1115" i="1"/>
  <c r="I1115" i="1"/>
  <c r="AE1114" i="1"/>
  <c r="I1114" i="1"/>
  <c r="AE1113" i="1"/>
  <c r="I1113" i="1"/>
  <c r="AE1112" i="1"/>
  <c r="I1112" i="1"/>
  <c r="AE1111" i="1"/>
  <c r="I1111" i="1"/>
  <c r="AE1110" i="1"/>
  <c r="I1110" i="1"/>
  <c r="AE1109" i="1"/>
  <c r="I1109" i="1"/>
  <c r="AE1108" i="1"/>
  <c r="I1108" i="1"/>
  <c r="AE1107" i="1"/>
  <c r="I1107" i="1"/>
  <c r="AE1106" i="1"/>
  <c r="I1106" i="1"/>
  <c r="AE1105" i="1"/>
  <c r="I1105" i="1"/>
  <c r="AE1104" i="1"/>
  <c r="I1104" i="1"/>
  <c r="AE1103" i="1"/>
  <c r="I1103" i="1"/>
  <c r="AE1102" i="1"/>
  <c r="I1102" i="1"/>
  <c r="AE1101" i="1"/>
  <c r="I1101" i="1"/>
  <c r="AE1100" i="1"/>
  <c r="I1100" i="1"/>
  <c r="AE1099" i="1"/>
  <c r="I1099" i="1"/>
  <c r="AE1098" i="1"/>
  <c r="I1098" i="1"/>
  <c r="AE1097" i="1"/>
  <c r="I1097" i="1"/>
  <c r="AE1096" i="1"/>
  <c r="I1096" i="1"/>
  <c r="AE1095" i="1"/>
  <c r="I1095" i="1"/>
  <c r="AE1094" i="1"/>
  <c r="I1094" i="1"/>
  <c r="AE1093" i="1"/>
  <c r="I1093" i="1"/>
  <c r="AE1092" i="1"/>
  <c r="I1092" i="1"/>
  <c r="AE1091" i="1"/>
  <c r="I1091" i="1"/>
  <c r="AE1090" i="1"/>
  <c r="I1090" i="1"/>
  <c r="AE1089" i="1"/>
  <c r="I1089" i="1"/>
  <c r="AE1088" i="1"/>
  <c r="I1088" i="1"/>
  <c r="AE1087" i="1"/>
  <c r="I1087" i="1"/>
  <c r="AE1086" i="1"/>
  <c r="I1086" i="1"/>
  <c r="AE1085" i="1"/>
  <c r="I1085" i="1"/>
  <c r="AE1084" i="1"/>
  <c r="I1084" i="1"/>
  <c r="AE1083" i="1"/>
  <c r="I1083" i="1"/>
  <c r="AE1082" i="1"/>
  <c r="I1082" i="1"/>
  <c r="AE1081" i="1"/>
  <c r="I1081" i="1"/>
  <c r="AE1080" i="1"/>
  <c r="I1080" i="1"/>
  <c r="AE1079" i="1"/>
  <c r="I1079" i="1"/>
  <c r="AE1078" i="1"/>
  <c r="I1078" i="1"/>
  <c r="AE1077" i="1"/>
  <c r="I1077" i="1"/>
  <c r="AE1076" i="1"/>
  <c r="I1076" i="1"/>
  <c r="AE1075" i="1"/>
  <c r="I1075" i="1"/>
  <c r="AE1074" i="1"/>
  <c r="I1074" i="1"/>
  <c r="AE1073" i="1"/>
  <c r="I1073" i="1"/>
  <c r="AE1072" i="1"/>
  <c r="I1072" i="1"/>
  <c r="AE1071" i="1"/>
  <c r="I1071" i="1"/>
  <c r="AE1070" i="1"/>
  <c r="I1070" i="1"/>
  <c r="AE1069" i="1"/>
  <c r="I1069" i="1"/>
  <c r="AE1068" i="1"/>
  <c r="I1068" i="1"/>
  <c r="AE1067" i="1"/>
  <c r="I1067" i="1"/>
  <c r="AE1066" i="1"/>
  <c r="I1066" i="1"/>
  <c r="AE1065" i="1"/>
  <c r="I1065" i="1"/>
  <c r="AE1064" i="1"/>
  <c r="I1064" i="1"/>
  <c r="AE1063" i="1"/>
  <c r="I1063" i="1"/>
  <c r="AE1062" i="1"/>
  <c r="I1062" i="1"/>
  <c r="AE1061" i="1"/>
  <c r="I1061" i="1"/>
  <c r="AE1060" i="1"/>
  <c r="I1060" i="1"/>
  <c r="AE1059" i="1"/>
  <c r="I1059" i="1"/>
  <c r="AE1058" i="1"/>
  <c r="I1058" i="1"/>
  <c r="AE1057" i="1"/>
  <c r="I1057" i="1"/>
  <c r="AE1056" i="1"/>
  <c r="I1056" i="1"/>
  <c r="AE1055" i="1"/>
  <c r="I1055" i="1"/>
  <c r="AE1054" i="1"/>
  <c r="I1054" i="1"/>
  <c r="AE1053" i="1"/>
  <c r="I1053" i="1"/>
  <c r="AE1052" i="1"/>
  <c r="I1052" i="1"/>
  <c r="AE1051" i="1"/>
  <c r="I1051" i="1"/>
  <c r="AE1050" i="1"/>
  <c r="I1050" i="1"/>
  <c r="AE1049" i="1"/>
  <c r="I1049" i="1"/>
  <c r="AE1048" i="1"/>
  <c r="I1048" i="1"/>
  <c r="AE1047" i="1"/>
  <c r="I1047" i="1"/>
  <c r="AE1046" i="1"/>
  <c r="I1046" i="1"/>
  <c r="AE1045" i="1"/>
  <c r="I1045" i="1"/>
  <c r="AE1044" i="1"/>
  <c r="I1044" i="1"/>
  <c r="AE1043" i="1"/>
  <c r="I1043" i="1"/>
  <c r="AE1042" i="1"/>
  <c r="I1042" i="1"/>
  <c r="AE1041" i="1"/>
  <c r="I1041" i="1"/>
  <c r="AE1040" i="1"/>
  <c r="I1040" i="1"/>
  <c r="AE1039" i="1"/>
  <c r="I1039" i="1"/>
  <c r="AE1038" i="1"/>
  <c r="I1038" i="1"/>
  <c r="AE1037" i="1"/>
  <c r="I1037" i="1"/>
  <c r="AE1036" i="1"/>
  <c r="I1036" i="1"/>
  <c r="AE1035" i="1"/>
  <c r="I1035" i="1"/>
  <c r="AE1034" i="1"/>
  <c r="I1034" i="1"/>
  <c r="AE1033" i="1"/>
  <c r="I1033" i="1"/>
  <c r="AE1032" i="1"/>
  <c r="I1032" i="1"/>
  <c r="AE1031" i="1"/>
  <c r="I1031" i="1"/>
  <c r="AE1030" i="1"/>
  <c r="I1030" i="1"/>
  <c r="AE1029" i="1"/>
  <c r="I1029" i="1"/>
  <c r="AE1028" i="1"/>
  <c r="I1028" i="1"/>
  <c r="AE1027" i="1"/>
  <c r="I1027" i="1"/>
  <c r="AE1026" i="1"/>
  <c r="I1026" i="1"/>
  <c r="AE1025" i="1"/>
  <c r="I1025" i="1"/>
  <c r="AE1024" i="1"/>
  <c r="I1024" i="1"/>
  <c r="AE1023" i="1"/>
  <c r="I1023" i="1"/>
  <c r="AE1022" i="1"/>
  <c r="I1022" i="1"/>
  <c r="AE1021" i="1"/>
  <c r="I1021" i="1"/>
  <c r="AE1020" i="1"/>
  <c r="I1020" i="1"/>
  <c r="AE1019" i="1"/>
  <c r="I1019" i="1"/>
  <c r="AE1018" i="1"/>
  <c r="I1018" i="1"/>
  <c r="AE1017" i="1"/>
  <c r="I1017" i="1"/>
  <c r="AE1016" i="1"/>
  <c r="I1016" i="1"/>
  <c r="AE1015" i="1"/>
  <c r="I1015" i="1"/>
  <c r="AE1014" i="1"/>
  <c r="I1014" i="1"/>
  <c r="AE1013" i="1"/>
  <c r="I1013" i="1"/>
  <c r="AE1012" i="1"/>
  <c r="I1012" i="1"/>
  <c r="AE1011" i="1"/>
  <c r="I1011" i="1"/>
  <c r="AE1010" i="1"/>
  <c r="I1010" i="1"/>
  <c r="AE1009" i="1"/>
  <c r="I1009" i="1"/>
  <c r="AE1008" i="1"/>
  <c r="I1008" i="1"/>
  <c r="AE1007" i="1"/>
  <c r="I1007" i="1"/>
  <c r="AE1006" i="1"/>
  <c r="I1006" i="1"/>
  <c r="AE1005" i="1"/>
  <c r="I1005" i="1"/>
  <c r="AE1004" i="1"/>
  <c r="I1004" i="1"/>
  <c r="AE1003" i="1"/>
  <c r="I1003" i="1"/>
  <c r="AE1002" i="1"/>
  <c r="I1002" i="1"/>
  <c r="AE1001" i="1"/>
  <c r="I1001" i="1"/>
  <c r="AE1000" i="1"/>
  <c r="I1000" i="1"/>
  <c r="AE999" i="1"/>
  <c r="I999" i="1"/>
  <c r="AE998" i="1"/>
  <c r="I998" i="1"/>
  <c r="AE997" i="1"/>
  <c r="I997" i="1"/>
  <c r="AE996" i="1"/>
  <c r="I996" i="1"/>
  <c r="AE995" i="1"/>
  <c r="I995" i="1"/>
  <c r="AE994" i="1"/>
  <c r="I994" i="1"/>
  <c r="AE993" i="1"/>
  <c r="I993" i="1"/>
  <c r="AE992" i="1"/>
  <c r="I992" i="1"/>
  <c r="AE991" i="1"/>
  <c r="I991" i="1"/>
  <c r="AE990" i="1"/>
  <c r="I990" i="1"/>
  <c r="AE989" i="1"/>
  <c r="I989" i="1"/>
  <c r="AE988" i="1"/>
  <c r="I988" i="1"/>
  <c r="AE987" i="1"/>
  <c r="I987" i="1"/>
  <c r="AE986" i="1"/>
  <c r="I986" i="1"/>
  <c r="AE985" i="1"/>
  <c r="I985" i="1"/>
  <c r="AE984" i="1"/>
  <c r="I984" i="1"/>
  <c r="AE983" i="1"/>
  <c r="I983" i="1"/>
  <c r="AE982" i="1"/>
  <c r="I982" i="1"/>
  <c r="AE981" i="1"/>
  <c r="I981" i="1"/>
  <c r="AE980" i="1"/>
  <c r="I980" i="1"/>
  <c r="AE979" i="1"/>
  <c r="I979" i="1"/>
  <c r="AE978" i="1"/>
  <c r="I978" i="1"/>
  <c r="AE977" i="1"/>
  <c r="I977" i="1"/>
  <c r="AE976" i="1"/>
  <c r="I976" i="1"/>
  <c r="AE975" i="1"/>
  <c r="I975" i="1"/>
  <c r="AE974" i="1"/>
  <c r="I974" i="1"/>
  <c r="AE973" i="1"/>
  <c r="I973" i="1"/>
  <c r="AE972" i="1"/>
  <c r="I972" i="1"/>
  <c r="AE971" i="1"/>
  <c r="I971" i="1"/>
  <c r="AE970" i="1"/>
  <c r="I970" i="1"/>
  <c r="AE969" i="1"/>
  <c r="I969" i="1"/>
  <c r="AE968" i="1"/>
  <c r="I968" i="1"/>
  <c r="AE967" i="1"/>
  <c r="I967" i="1"/>
  <c r="AE966" i="1"/>
  <c r="I966" i="1"/>
  <c r="AE965" i="1"/>
  <c r="I965" i="1"/>
  <c r="AE964" i="1"/>
  <c r="I964" i="1"/>
  <c r="AE963" i="1"/>
  <c r="I963" i="1"/>
  <c r="AE962" i="1"/>
  <c r="I962" i="1"/>
  <c r="AE961" i="1"/>
  <c r="I961" i="1"/>
  <c r="AE960" i="1"/>
  <c r="I960" i="1"/>
  <c r="AE959" i="1"/>
  <c r="I959" i="1"/>
  <c r="AE958" i="1"/>
  <c r="I958" i="1"/>
  <c r="AE957" i="1"/>
  <c r="I957" i="1"/>
  <c r="AE956" i="1"/>
  <c r="I956" i="1"/>
  <c r="AE955" i="1"/>
  <c r="I955" i="1"/>
  <c r="AE954" i="1"/>
  <c r="I954" i="1"/>
  <c r="AE953" i="1"/>
  <c r="I953" i="1"/>
  <c r="AE952" i="1"/>
  <c r="I952" i="1"/>
  <c r="AE951" i="1"/>
  <c r="I951" i="1"/>
  <c r="AE950" i="1"/>
  <c r="I950" i="1"/>
  <c r="AE949" i="1"/>
  <c r="I949" i="1"/>
  <c r="AE948" i="1"/>
  <c r="I948" i="1"/>
  <c r="AE947" i="1"/>
  <c r="I947" i="1"/>
  <c r="AE946" i="1"/>
  <c r="I946" i="1"/>
  <c r="AE945" i="1"/>
  <c r="I945" i="1"/>
  <c r="AE944" i="1"/>
  <c r="I944" i="1"/>
  <c r="G944" i="1"/>
  <c r="AE940" i="1"/>
  <c r="I940" i="1"/>
  <c r="G940" i="1"/>
  <c r="AE939" i="1"/>
  <c r="I939" i="1"/>
  <c r="G939" i="1"/>
  <c r="AE938" i="1"/>
  <c r="I938" i="1"/>
  <c r="G938" i="1"/>
  <c r="AE937" i="1"/>
  <c r="I937" i="1"/>
  <c r="G937" i="1"/>
  <c r="AE936" i="1"/>
  <c r="I936" i="1"/>
  <c r="G936" i="1"/>
  <c r="AE935" i="1"/>
  <c r="I935" i="1"/>
  <c r="G935" i="1"/>
  <c r="AE934" i="1"/>
  <c r="I934" i="1"/>
  <c r="G934" i="1"/>
  <c r="AE933" i="1"/>
  <c r="I933" i="1"/>
  <c r="G933" i="1"/>
  <c r="AE932" i="1"/>
  <c r="I932" i="1"/>
  <c r="G932" i="1"/>
  <c r="AE931" i="1"/>
  <c r="I931" i="1"/>
  <c r="G931" i="1"/>
  <c r="AE930" i="1"/>
  <c r="I930" i="1"/>
  <c r="G930" i="1"/>
  <c r="AE929" i="1"/>
  <c r="I929" i="1"/>
  <c r="G929" i="1"/>
  <c r="AE928" i="1"/>
  <c r="I928" i="1"/>
  <c r="G928" i="1"/>
  <c r="AE927" i="1"/>
  <c r="I927" i="1"/>
  <c r="G927" i="1"/>
  <c r="AE926" i="1"/>
  <c r="I926" i="1"/>
  <c r="G926" i="1"/>
  <c r="AE925" i="1"/>
  <c r="I925" i="1"/>
  <c r="G925" i="1"/>
  <c r="AE924" i="1"/>
  <c r="I924" i="1"/>
  <c r="G924" i="1"/>
  <c r="AE923" i="1"/>
  <c r="I923" i="1"/>
  <c r="G923" i="1"/>
  <c r="AE922" i="1"/>
  <c r="I922" i="1"/>
  <c r="G922" i="1"/>
  <c r="AE921" i="1"/>
  <c r="I921" i="1"/>
  <c r="G921" i="1"/>
  <c r="AE920" i="1"/>
  <c r="I920" i="1"/>
  <c r="G920" i="1"/>
  <c r="AE919" i="1"/>
  <c r="I919" i="1"/>
  <c r="G919" i="1"/>
  <c r="AE918" i="1"/>
  <c r="I918" i="1"/>
  <c r="G918" i="1"/>
  <c r="AE917" i="1"/>
  <c r="I917" i="1"/>
  <c r="G917" i="1"/>
  <c r="AH916" i="1"/>
  <c r="AE916" i="1"/>
  <c r="I916" i="1"/>
  <c r="G916" i="1"/>
  <c r="AE915" i="1"/>
  <c r="AH915" i="1" s="1"/>
  <c r="I915" i="1"/>
  <c r="G915" i="1"/>
  <c r="AH914" i="1"/>
  <c r="AE914" i="1"/>
  <c r="I914" i="1"/>
  <c r="G914" i="1"/>
  <c r="AH913" i="1"/>
  <c r="AE913" i="1"/>
  <c r="I913" i="1"/>
  <c r="G913" i="1"/>
  <c r="AE912" i="1"/>
  <c r="I912" i="1"/>
  <c r="G912" i="1"/>
  <c r="AE911" i="1"/>
  <c r="I911" i="1"/>
  <c r="G911" i="1"/>
  <c r="AE910" i="1"/>
  <c r="I910" i="1"/>
  <c r="G910" i="1"/>
  <c r="AE909" i="1"/>
  <c r="I909" i="1"/>
  <c r="G909" i="1"/>
  <c r="AE908" i="1"/>
  <c r="I908" i="1"/>
  <c r="G908" i="1"/>
  <c r="AE907" i="1"/>
  <c r="I907" i="1"/>
  <c r="G907" i="1"/>
  <c r="AE906" i="1"/>
  <c r="I906" i="1"/>
  <c r="G906" i="1"/>
  <c r="AE905" i="1"/>
  <c r="I905" i="1"/>
  <c r="G905" i="1"/>
  <c r="AE904" i="1"/>
  <c r="I904" i="1"/>
  <c r="G904" i="1"/>
  <c r="AE903" i="1"/>
  <c r="I903" i="1"/>
  <c r="G903" i="1"/>
  <c r="AE902" i="1"/>
  <c r="I902" i="1"/>
  <c r="G902" i="1"/>
  <c r="AE901" i="1"/>
  <c r="I901" i="1"/>
  <c r="G901" i="1"/>
  <c r="AE900" i="1"/>
  <c r="I900" i="1"/>
  <c r="G900" i="1"/>
  <c r="AE899" i="1"/>
  <c r="I899" i="1"/>
  <c r="G899" i="1"/>
  <c r="AE898" i="1"/>
  <c r="I898" i="1"/>
  <c r="G898" i="1"/>
  <c r="AE897" i="1"/>
  <c r="I897" i="1"/>
  <c r="G897" i="1"/>
  <c r="AE896" i="1"/>
  <c r="I896" i="1"/>
  <c r="G896" i="1"/>
  <c r="AE895" i="1"/>
  <c r="I895" i="1"/>
  <c r="G895" i="1"/>
  <c r="AE894" i="1"/>
  <c r="I894" i="1"/>
  <c r="G894" i="1"/>
  <c r="AE893" i="1"/>
  <c r="I893" i="1"/>
  <c r="G893" i="1"/>
  <c r="AE892" i="1"/>
  <c r="I892" i="1"/>
  <c r="G892" i="1"/>
  <c r="AE891" i="1"/>
  <c r="I891" i="1"/>
  <c r="G891" i="1"/>
  <c r="AE890" i="1"/>
  <c r="I890" i="1"/>
  <c r="G890" i="1"/>
  <c r="AE889" i="1"/>
  <c r="I889" i="1"/>
  <c r="G889" i="1"/>
  <c r="AE888" i="1"/>
  <c r="I888" i="1"/>
  <c r="G888" i="1"/>
  <c r="AE887" i="1"/>
  <c r="I887" i="1"/>
  <c r="G887" i="1"/>
  <c r="AE886" i="1"/>
  <c r="I886" i="1"/>
  <c r="G886" i="1"/>
  <c r="AE885" i="1"/>
  <c r="I885" i="1"/>
  <c r="G885" i="1"/>
  <c r="AE884" i="1"/>
  <c r="I884" i="1"/>
  <c r="G884" i="1"/>
  <c r="AE883" i="1"/>
  <c r="I883" i="1"/>
  <c r="G883" i="1"/>
  <c r="AE882" i="1"/>
  <c r="I882" i="1"/>
  <c r="G882" i="1"/>
  <c r="AE881" i="1"/>
  <c r="I881" i="1"/>
  <c r="G881" i="1"/>
  <c r="AE880" i="1"/>
  <c r="I880" i="1"/>
  <c r="G880" i="1"/>
  <c r="AE879" i="1"/>
  <c r="I879" i="1"/>
  <c r="G879" i="1"/>
  <c r="AE878" i="1"/>
  <c r="I878" i="1"/>
  <c r="G878" i="1"/>
  <c r="AE877" i="1"/>
  <c r="I877" i="1"/>
  <c r="G877" i="1"/>
  <c r="AE876" i="1"/>
  <c r="I876" i="1"/>
  <c r="G876" i="1"/>
  <c r="AE875" i="1"/>
  <c r="I875" i="1"/>
  <c r="G875" i="1"/>
  <c r="AE874" i="1"/>
  <c r="AH874" i="1" s="1"/>
  <c r="I874" i="1"/>
  <c r="G874" i="1"/>
  <c r="AE873" i="1"/>
  <c r="AH873" i="1" s="1"/>
  <c r="I873" i="1"/>
  <c r="G873" i="1"/>
  <c r="AE872" i="1"/>
  <c r="AH872" i="1" s="1"/>
  <c r="I872" i="1"/>
  <c r="G872" i="1"/>
  <c r="AH871" i="1"/>
  <c r="AE871" i="1"/>
  <c r="I871" i="1"/>
  <c r="G871" i="1"/>
  <c r="AE870" i="1"/>
  <c r="AH870" i="1" s="1"/>
  <c r="I870" i="1"/>
  <c r="G870" i="1"/>
  <c r="AE869" i="1"/>
  <c r="AH869" i="1" s="1"/>
  <c r="I869" i="1"/>
  <c r="G869" i="1"/>
  <c r="AE868" i="1"/>
  <c r="AH868" i="1" s="1"/>
  <c r="I868" i="1"/>
  <c r="G868" i="1"/>
  <c r="AE867" i="1"/>
  <c r="AH867" i="1" s="1"/>
  <c r="I867" i="1"/>
  <c r="G867" i="1"/>
  <c r="AE866" i="1"/>
  <c r="AH866" i="1" s="1"/>
  <c r="I866" i="1"/>
  <c r="G866" i="1"/>
  <c r="AE865" i="1"/>
  <c r="AH865" i="1" s="1"/>
  <c r="I865" i="1"/>
  <c r="G865" i="1"/>
  <c r="AE864" i="1"/>
  <c r="I864" i="1"/>
  <c r="G864" i="1"/>
  <c r="AE863" i="1"/>
  <c r="I863" i="1"/>
  <c r="G863" i="1"/>
  <c r="AE862" i="1"/>
  <c r="I862" i="1"/>
  <c r="G862" i="1"/>
  <c r="AE861" i="1"/>
  <c r="I861" i="1"/>
  <c r="G861" i="1"/>
  <c r="AE860" i="1"/>
  <c r="I860" i="1"/>
  <c r="G860" i="1"/>
  <c r="AE859" i="1"/>
  <c r="I859" i="1"/>
  <c r="G859" i="1"/>
  <c r="AE858" i="1"/>
  <c r="I858" i="1"/>
  <c r="G858" i="1"/>
  <c r="AE857" i="1"/>
  <c r="I857" i="1"/>
  <c r="G857" i="1"/>
  <c r="AE856" i="1"/>
  <c r="I856" i="1"/>
  <c r="G856" i="1"/>
  <c r="AE855" i="1"/>
  <c r="I855" i="1"/>
  <c r="G855" i="1"/>
  <c r="AE854" i="1"/>
  <c r="I854" i="1"/>
  <c r="G854" i="1"/>
  <c r="AE853" i="1"/>
  <c r="AH853" i="1" s="1"/>
  <c r="I853" i="1"/>
  <c r="G853" i="1"/>
  <c r="AE852" i="1"/>
  <c r="AH852" i="1" s="1"/>
  <c r="I852" i="1"/>
  <c r="G852" i="1"/>
  <c r="AE851" i="1"/>
  <c r="AH851" i="1" s="1"/>
  <c r="I851" i="1"/>
  <c r="G851" i="1"/>
  <c r="AE850" i="1"/>
  <c r="AH850" i="1" s="1"/>
  <c r="I850" i="1"/>
  <c r="G850" i="1"/>
  <c r="AE849" i="1"/>
  <c r="AH849" i="1" s="1"/>
  <c r="I849" i="1"/>
  <c r="G849" i="1"/>
  <c r="AE848" i="1"/>
  <c r="AH848" i="1" s="1"/>
  <c r="I848" i="1"/>
  <c r="G848" i="1"/>
  <c r="AE847" i="1"/>
  <c r="AH847" i="1" s="1"/>
  <c r="G847" i="1"/>
  <c r="AE846" i="1"/>
  <c r="AH846" i="1" s="1"/>
  <c r="I846" i="1"/>
  <c r="G846" i="1"/>
  <c r="AE845" i="1"/>
  <c r="AH845" i="1" s="1"/>
  <c r="I845" i="1"/>
  <c r="G845" i="1"/>
  <c r="AE844" i="1"/>
  <c r="AH844" i="1" s="1"/>
  <c r="I844" i="1"/>
  <c r="G844" i="1"/>
  <c r="AE843" i="1"/>
  <c r="I843" i="1"/>
  <c r="G843" i="1"/>
  <c r="AE842" i="1"/>
  <c r="I842" i="1"/>
  <c r="G842" i="1"/>
  <c r="AE841" i="1"/>
  <c r="I841" i="1"/>
  <c r="G841" i="1"/>
  <c r="AE840" i="1"/>
  <c r="I840" i="1"/>
  <c r="G840" i="1"/>
  <c r="AE839" i="1"/>
  <c r="I839" i="1"/>
  <c r="G839" i="1"/>
  <c r="AE838" i="1"/>
  <c r="I838" i="1"/>
  <c r="G838" i="1"/>
  <c r="AE837" i="1"/>
  <c r="I837" i="1"/>
  <c r="G837" i="1"/>
  <c r="AE836" i="1"/>
  <c r="I836" i="1"/>
  <c r="G836" i="1"/>
  <c r="AE835" i="1"/>
  <c r="I835" i="1"/>
  <c r="G835" i="1"/>
  <c r="AE834" i="1"/>
  <c r="I834" i="1"/>
  <c r="G834" i="1"/>
  <c r="AE833" i="1"/>
  <c r="I833" i="1"/>
  <c r="G833" i="1"/>
  <c r="AE832" i="1"/>
  <c r="I832" i="1"/>
  <c r="G832" i="1"/>
  <c r="AE831" i="1"/>
  <c r="I831" i="1"/>
  <c r="G831" i="1"/>
  <c r="AE830" i="1"/>
  <c r="I830" i="1"/>
  <c r="G830" i="1"/>
  <c r="AE829" i="1"/>
  <c r="I829" i="1"/>
  <c r="G829" i="1"/>
  <c r="AE828" i="1"/>
  <c r="I828" i="1"/>
  <c r="G828" i="1"/>
  <c r="AE827" i="1"/>
  <c r="I827" i="1"/>
  <c r="G827" i="1"/>
  <c r="AE826" i="1"/>
  <c r="I826" i="1"/>
  <c r="G826" i="1"/>
  <c r="AE825" i="1"/>
  <c r="I825" i="1"/>
  <c r="G825" i="1"/>
  <c r="AE824" i="1"/>
  <c r="I824" i="1"/>
  <c r="G824" i="1"/>
  <c r="AE823" i="1"/>
  <c r="I823" i="1"/>
  <c r="G823" i="1"/>
  <c r="AE822" i="1"/>
  <c r="I822" i="1"/>
  <c r="G822" i="1"/>
  <c r="AE821" i="1"/>
  <c r="I821" i="1"/>
  <c r="G821" i="1"/>
  <c r="AE820" i="1"/>
  <c r="I820" i="1"/>
  <c r="G820" i="1"/>
  <c r="AE819" i="1"/>
  <c r="I819" i="1"/>
  <c r="G819" i="1"/>
  <c r="AE818" i="1"/>
  <c r="I818" i="1"/>
  <c r="G818" i="1"/>
  <c r="AE817" i="1"/>
  <c r="I817" i="1"/>
  <c r="G817" i="1"/>
  <c r="AE816" i="1"/>
  <c r="I816" i="1"/>
  <c r="G816" i="1"/>
  <c r="AE815" i="1"/>
  <c r="I815" i="1"/>
  <c r="G815" i="1"/>
  <c r="AE814" i="1"/>
  <c r="I814" i="1"/>
  <c r="G814" i="1"/>
  <c r="AE813" i="1"/>
  <c r="I813" i="1"/>
  <c r="G813" i="1"/>
  <c r="AE812" i="1"/>
  <c r="I812" i="1"/>
  <c r="G812" i="1"/>
  <c r="AE811" i="1"/>
  <c r="I811" i="1"/>
  <c r="G811" i="1"/>
  <c r="AE810" i="1"/>
  <c r="I810" i="1"/>
  <c r="G810" i="1"/>
  <c r="AE809" i="1"/>
  <c r="I809" i="1"/>
  <c r="G809" i="1"/>
  <c r="AE808" i="1"/>
  <c r="I808" i="1"/>
  <c r="G808" i="1"/>
  <c r="AE807" i="1"/>
  <c r="I807" i="1"/>
  <c r="G807" i="1"/>
  <c r="AE806" i="1"/>
  <c r="I806" i="1"/>
  <c r="G806" i="1"/>
  <c r="AE805" i="1"/>
  <c r="I805" i="1"/>
  <c r="G805" i="1"/>
  <c r="AE804" i="1"/>
  <c r="I804" i="1"/>
  <c r="G804" i="1"/>
  <c r="AE803" i="1"/>
  <c r="I803" i="1"/>
  <c r="G803" i="1"/>
  <c r="AE802" i="1"/>
  <c r="I802" i="1"/>
  <c r="G802" i="1"/>
  <c r="AE801" i="1"/>
  <c r="I801" i="1"/>
  <c r="G801" i="1"/>
  <c r="AE800" i="1"/>
  <c r="I800" i="1"/>
  <c r="G800" i="1"/>
  <c r="AE799" i="1"/>
  <c r="I799" i="1"/>
  <c r="G799" i="1"/>
  <c r="AE798" i="1"/>
  <c r="I798" i="1"/>
  <c r="G798" i="1"/>
  <c r="AE797" i="1"/>
  <c r="I797" i="1"/>
  <c r="G797" i="1"/>
  <c r="AE796" i="1"/>
  <c r="I796" i="1"/>
  <c r="G796" i="1"/>
  <c r="AE795" i="1"/>
  <c r="I795" i="1"/>
  <c r="G795" i="1"/>
  <c r="AE794" i="1"/>
  <c r="I794" i="1"/>
  <c r="G794" i="1"/>
  <c r="AE793" i="1"/>
  <c r="I793" i="1"/>
  <c r="G793" i="1"/>
  <c r="AE792" i="1"/>
  <c r="I792" i="1"/>
  <c r="G792" i="1"/>
  <c r="AE791" i="1"/>
  <c r="I791" i="1"/>
  <c r="G791" i="1"/>
  <c r="AE790" i="1"/>
  <c r="I790" i="1"/>
  <c r="G790" i="1"/>
  <c r="AE789" i="1"/>
  <c r="I789" i="1"/>
  <c r="G789" i="1"/>
  <c r="AE788" i="1"/>
  <c r="I788" i="1"/>
  <c r="G788" i="1"/>
  <c r="AE787" i="1"/>
  <c r="I787" i="1"/>
  <c r="G787" i="1"/>
  <c r="AE786" i="1"/>
  <c r="I786" i="1"/>
  <c r="G786" i="1"/>
  <c r="AE785" i="1"/>
  <c r="I785" i="1"/>
  <c r="G785" i="1"/>
  <c r="AE784" i="1"/>
  <c r="I784" i="1"/>
  <c r="G784" i="1"/>
  <c r="AE783" i="1"/>
  <c r="I783" i="1"/>
  <c r="G783" i="1"/>
  <c r="AE782" i="1"/>
  <c r="I782" i="1"/>
  <c r="G782" i="1"/>
  <c r="AE781" i="1"/>
  <c r="I781" i="1"/>
  <c r="G781" i="1"/>
  <c r="AE780" i="1"/>
  <c r="I780" i="1"/>
  <c r="G780" i="1"/>
  <c r="AE779" i="1"/>
  <c r="I779" i="1"/>
  <c r="G779" i="1"/>
  <c r="AE778" i="1"/>
  <c r="I778" i="1"/>
  <c r="G778" i="1"/>
  <c r="AE777" i="1"/>
  <c r="I777" i="1"/>
  <c r="G777" i="1"/>
  <c r="AE776" i="1"/>
  <c r="I776" i="1"/>
  <c r="G776" i="1"/>
  <c r="AE775" i="1"/>
  <c r="I775" i="1"/>
  <c r="G775" i="1"/>
  <c r="AE774" i="1"/>
  <c r="I774" i="1"/>
  <c r="G774" i="1"/>
  <c r="AE773" i="1"/>
  <c r="I773" i="1"/>
  <c r="G773" i="1"/>
  <c r="AE772" i="1"/>
  <c r="I772" i="1"/>
  <c r="G772" i="1"/>
  <c r="AE771" i="1"/>
  <c r="I771" i="1"/>
  <c r="G771" i="1"/>
  <c r="AE770" i="1"/>
  <c r="I770" i="1"/>
  <c r="G770" i="1"/>
  <c r="AE769" i="1"/>
  <c r="I769" i="1"/>
  <c r="G769" i="1"/>
  <c r="AE768" i="1"/>
  <c r="I768" i="1"/>
  <c r="G768" i="1"/>
  <c r="AE767" i="1"/>
  <c r="I767" i="1"/>
  <c r="G767" i="1"/>
  <c r="AE766" i="1"/>
  <c r="I766" i="1"/>
  <c r="G766" i="1"/>
  <c r="AE765" i="1"/>
  <c r="I765" i="1"/>
  <c r="G765" i="1"/>
  <c r="AE764" i="1"/>
  <c r="I764" i="1"/>
  <c r="G764" i="1"/>
  <c r="AE763" i="1"/>
  <c r="I763" i="1"/>
  <c r="G763" i="1"/>
  <c r="AE762" i="1"/>
  <c r="I762" i="1"/>
  <c r="G762" i="1"/>
  <c r="AE761" i="1"/>
  <c r="I761" i="1"/>
  <c r="G761" i="1"/>
  <c r="AE760" i="1"/>
  <c r="I760" i="1"/>
  <c r="G760" i="1"/>
  <c r="AE759" i="1"/>
  <c r="I759" i="1"/>
  <c r="G759" i="1"/>
  <c r="AE758" i="1"/>
  <c r="I758" i="1"/>
  <c r="G758" i="1"/>
  <c r="AE757" i="1"/>
  <c r="I757" i="1"/>
  <c r="G757" i="1"/>
  <c r="AE756" i="1"/>
  <c r="I756" i="1"/>
  <c r="G756" i="1"/>
  <c r="AE755" i="1"/>
  <c r="I755" i="1"/>
  <c r="G755" i="1"/>
  <c r="AE754" i="1"/>
  <c r="I754" i="1"/>
  <c r="G754" i="1"/>
  <c r="AE753" i="1"/>
  <c r="I753" i="1"/>
  <c r="G753" i="1"/>
  <c r="AE752" i="1"/>
  <c r="I752" i="1"/>
  <c r="G752" i="1"/>
  <c r="AE751" i="1"/>
  <c r="I751" i="1"/>
  <c r="G751" i="1"/>
  <c r="AE750" i="1"/>
  <c r="I750" i="1"/>
  <c r="G750" i="1"/>
  <c r="I749" i="1"/>
  <c r="AT748" i="1"/>
  <c r="AE748" i="1"/>
  <c r="K748" i="1"/>
  <c r="I748" i="1"/>
  <c r="F748" i="1"/>
  <c r="D748" i="1"/>
  <c r="AE747" i="1"/>
  <c r="I747" i="1"/>
  <c r="G747" i="1"/>
  <c r="AE746" i="1"/>
  <c r="I746" i="1"/>
  <c r="G746" i="1"/>
  <c r="AE745" i="1"/>
  <c r="I745" i="1"/>
  <c r="G745" i="1"/>
  <c r="AE744" i="1"/>
  <c r="I744" i="1"/>
  <c r="G744" i="1"/>
  <c r="AE743" i="1"/>
  <c r="I743" i="1"/>
  <c r="G743" i="1"/>
  <c r="AE742" i="1"/>
  <c r="I742" i="1"/>
  <c r="G742" i="1"/>
  <c r="I741" i="1"/>
  <c r="G741" i="1"/>
  <c r="I740" i="1"/>
  <c r="G740" i="1"/>
  <c r="I739" i="1"/>
  <c r="AT738" i="1"/>
  <c r="K738" i="1" s="1"/>
  <c r="I738" i="1"/>
  <c r="F738" i="1"/>
  <c r="AT737" i="1"/>
  <c r="K737" i="1" s="1"/>
  <c r="F737" i="1"/>
  <c r="I737" i="1" s="1"/>
  <c r="I736" i="1"/>
  <c r="I735" i="1"/>
  <c r="I734" i="1"/>
  <c r="AE733" i="1"/>
  <c r="I733" i="1"/>
  <c r="AE732" i="1"/>
  <c r="AH732" i="1" s="1"/>
  <c r="K732" i="1"/>
  <c r="F732" i="1"/>
  <c r="I732" i="1" s="1"/>
  <c r="AT731" i="1"/>
  <c r="K731" i="1" s="1"/>
  <c r="AE731" i="1"/>
  <c r="AH731" i="1" s="1"/>
  <c r="F731" i="1"/>
  <c r="I731" i="1" s="1"/>
  <c r="AT730" i="1"/>
  <c r="AE730" i="1"/>
  <c r="AH730" i="1" s="1"/>
  <c r="K730" i="1"/>
  <c r="F730" i="1"/>
  <c r="I730" i="1" s="1"/>
  <c r="AT729" i="1"/>
  <c r="AE729" i="1"/>
  <c r="AH729" i="1" s="1"/>
  <c r="K729" i="1"/>
  <c r="I729" i="1"/>
  <c r="F729" i="1"/>
  <c r="AE728" i="1"/>
  <c r="AH728" i="1" s="1"/>
  <c r="I728" i="1"/>
  <c r="AE727" i="1"/>
  <c r="AH727" i="1" s="1"/>
  <c r="I727" i="1"/>
  <c r="AH726" i="1"/>
  <c r="AE726" i="1"/>
  <c r="I726" i="1"/>
  <c r="AE725" i="1"/>
  <c r="AH725" i="1" s="1"/>
  <c r="I725" i="1"/>
  <c r="AE724" i="1"/>
  <c r="AH724" i="1" s="1"/>
  <c r="I724" i="1"/>
  <c r="AE723" i="1"/>
  <c r="AH723" i="1" s="1"/>
  <c r="I723" i="1"/>
  <c r="AE722" i="1"/>
  <c r="AH722" i="1" s="1"/>
  <c r="I722" i="1"/>
  <c r="AH721" i="1"/>
  <c r="I721" i="1"/>
  <c r="AE720" i="1"/>
  <c r="I720" i="1"/>
  <c r="AE719" i="1"/>
  <c r="I719" i="1"/>
  <c r="AE718" i="1"/>
  <c r="I718" i="1"/>
  <c r="AE717" i="1"/>
  <c r="I717" i="1"/>
  <c r="AE716" i="1"/>
  <c r="I716" i="1"/>
  <c r="AE715" i="1"/>
  <c r="I715" i="1"/>
  <c r="AE714" i="1"/>
  <c r="I714" i="1"/>
  <c r="AE713" i="1"/>
  <c r="I713" i="1"/>
  <c r="AE712" i="1"/>
  <c r="I712" i="1"/>
  <c r="AT709" i="1"/>
  <c r="K709" i="1" s="1"/>
  <c r="AE709" i="1"/>
  <c r="F709" i="1"/>
  <c r="I709" i="1" s="1"/>
  <c r="D709" i="1"/>
  <c r="AT708" i="1"/>
  <c r="K708" i="1" s="1"/>
  <c r="AE708" i="1"/>
  <c r="I708" i="1"/>
  <c r="F708" i="1"/>
  <c r="D708" i="1"/>
  <c r="AT707" i="1"/>
  <c r="K707" i="1" s="1"/>
  <c r="AE707" i="1"/>
  <c r="F707" i="1"/>
  <c r="I707" i="1" s="1"/>
  <c r="D707" i="1"/>
  <c r="AT706" i="1"/>
  <c r="AE706" i="1"/>
  <c r="K706" i="1"/>
  <c r="I706" i="1"/>
  <c r="F706" i="1"/>
  <c r="D706" i="1"/>
  <c r="AT705" i="1"/>
  <c r="K705" i="1" s="1"/>
  <c r="AE705" i="1"/>
  <c r="F705" i="1"/>
  <c r="I705" i="1" s="1"/>
  <c r="D705" i="1"/>
  <c r="AT704" i="1"/>
  <c r="K704" i="1" s="1"/>
  <c r="AE704" i="1"/>
  <c r="F704" i="1"/>
  <c r="I704" i="1" s="1"/>
  <c r="D704" i="1"/>
  <c r="AT703" i="1"/>
  <c r="K703" i="1" s="1"/>
  <c r="AE703" i="1"/>
  <c r="F703" i="1"/>
  <c r="I703" i="1" s="1"/>
  <c r="D703" i="1"/>
  <c r="AT702" i="1"/>
  <c r="AE702" i="1"/>
  <c r="K702" i="1"/>
  <c r="F702" i="1"/>
  <c r="I702" i="1" s="1"/>
  <c r="D702" i="1"/>
  <c r="AT701" i="1"/>
  <c r="AE701" i="1"/>
  <c r="K701" i="1"/>
  <c r="F701" i="1"/>
  <c r="I701" i="1" s="1"/>
  <c r="D701" i="1"/>
  <c r="AT700" i="1"/>
  <c r="K700" i="1" s="1"/>
  <c r="AE700" i="1"/>
  <c r="F700" i="1"/>
  <c r="I700" i="1" s="1"/>
  <c r="D700" i="1"/>
  <c r="AT699" i="1"/>
  <c r="K699" i="1" s="1"/>
  <c r="AE699" i="1"/>
  <c r="F699" i="1"/>
  <c r="I699" i="1" s="1"/>
  <c r="D699" i="1"/>
  <c r="AT698" i="1"/>
  <c r="K698" i="1" s="1"/>
  <c r="AE698" i="1"/>
  <c r="F698" i="1"/>
  <c r="I698" i="1" s="1"/>
  <c r="D698" i="1"/>
  <c r="AT697" i="1"/>
  <c r="K697" i="1" s="1"/>
  <c r="AE697" i="1"/>
  <c r="F697" i="1"/>
  <c r="I697" i="1" s="1"/>
  <c r="D697" i="1"/>
  <c r="AT696" i="1"/>
  <c r="K696" i="1" s="1"/>
  <c r="AE696" i="1"/>
  <c r="I696" i="1"/>
  <c r="F696" i="1"/>
  <c r="D696" i="1"/>
  <c r="AT695" i="1"/>
  <c r="K695" i="1" s="1"/>
  <c r="AE695" i="1"/>
  <c r="F695" i="1"/>
  <c r="I695" i="1" s="1"/>
  <c r="D695" i="1"/>
  <c r="AT694" i="1"/>
  <c r="K694" i="1" s="1"/>
  <c r="AE694" i="1"/>
  <c r="F694" i="1"/>
  <c r="I694" i="1" s="1"/>
  <c r="D694" i="1"/>
  <c r="AT693" i="1"/>
  <c r="K693" i="1" s="1"/>
  <c r="AE693" i="1"/>
  <c r="F693" i="1"/>
  <c r="I693" i="1" s="1"/>
  <c r="D693" i="1"/>
  <c r="AT692" i="1"/>
  <c r="K692" i="1" s="1"/>
  <c r="AE692" i="1"/>
  <c r="F692" i="1"/>
  <c r="I692" i="1" s="1"/>
  <c r="D692" i="1"/>
  <c r="AT691" i="1"/>
  <c r="AE691" i="1"/>
  <c r="K691" i="1"/>
  <c r="F691" i="1"/>
  <c r="I691" i="1" s="1"/>
  <c r="D691" i="1"/>
  <c r="AT690" i="1"/>
  <c r="K690" i="1" s="1"/>
  <c r="AE690" i="1"/>
  <c r="F690" i="1"/>
  <c r="I690" i="1" s="1"/>
  <c r="D690" i="1"/>
  <c r="AT689" i="1"/>
  <c r="K689" i="1" s="1"/>
  <c r="AE689" i="1"/>
  <c r="F689" i="1"/>
  <c r="I689" i="1" s="1"/>
  <c r="D689" i="1"/>
  <c r="AT688" i="1"/>
  <c r="K688" i="1" s="1"/>
  <c r="AE688" i="1"/>
  <c r="F688" i="1"/>
  <c r="I688" i="1" s="1"/>
  <c r="D688" i="1"/>
  <c r="AT687" i="1"/>
  <c r="K687" i="1" s="1"/>
  <c r="AE687" i="1"/>
  <c r="F687" i="1"/>
  <c r="I687" i="1" s="1"/>
  <c r="D687" i="1"/>
  <c r="AT686" i="1"/>
  <c r="K686" i="1" s="1"/>
  <c r="AE686" i="1"/>
  <c r="F686" i="1"/>
  <c r="I686" i="1" s="1"/>
  <c r="D686" i="1"/>
  <c r="AT685" i="1"/>
  <c r="K685" i="1" s="1"/>
  <c r="AE685" i="1"/>
  <c r="I685" i="1"/>
  <c r="F685" i="1"/>
  <c r="D685" i="1"/>
  <c r="AT684" i="1"/>
  <c r="K684" i="1" s="1"/>
  <c r="AE684" i="1"/>
  <c r="AH684" i="1" s="1"/>
  <c r="I684" i="1"/>
  <c r="F684" i="1"/>
  <c r="D684" i="1"/>
  <c r="AT683" i="1"/>
  <c r="AE683" i="1"/>
  <c r="AH683" i="1" s="1"/>
  <c r="K683" i="1"/>
  <c r="I683" i="1"/>
  <c r="F683" i="1"/>
  <c r="D683" i="1"/>
  <c r="AT682" i="1"/>
  <c r="K682" i="1" s="1"/>
  <c r="AE682" i="1"/>
  <c r="AH682" i="1" s="1"/>
  <c r="F682" i="1"/>
  <c r="I682" i="1" s="1"/>
  <c r="D682" i="1"/>
  <c r="AT681" i="1"/>
  <c r="K681" i="1" s="1"/>
  <c r="AE681" i="1"/>
  <c r="I681" i="1"/>
  <c r="F681" i="1"/>
  <c r="D681" i="1"/>
  <c r="AT680" i="1"/>
  <c r="K680" i="1" s="1"/>
  <c r="AE680" i="1"/>
  <c r="F680" i="1"/>
  <c r="I680" i="1" s="1"/>
  <c r="D680" i="1"/>
  <c r="AT679" i="1"/>
  <c r="K679" i="1" s="1"/>
  <c r="AE679" i="1"/>
  <c r="F679" i="1"/>
  <c r="I679" i="1" s="1"/>
  <c r="D679" i="1"/>
  <c r="AT678" i="1"/>
  <c r="K678" i="1" s="1"/>
  <c r="AE678" i="1"/>
  <c r="I678" i="1"/>
  <c r="F678" i="1"/>
  <c r="D678" i="1"/>
  <c r="AT677" i="1"/>
  <c r="AE677" i="1"/>
  <c r="K677" i="1"/>
  <c r="F677" i="1"/>
  <c r="I677" i="1" s="1"/>
  <c r="D677" i="1"/>
  <c r="AT676" i="1"/>
  <c r="K676" i="1" s="1"/>
  <c r="AE676" i="1"/>
  <c r="F676" i="1"/>
  <c r="I676" i="1" s="1"/>
  <c r="D676" i="1"/>
  <c r="AT675" i="1"/>
  <c r="K675" i="1" s="1"/>
  <c r="AE675" i="1"/>
  <c r="F675" i="1"/>
  <c r="I675" i="1" s="1"/>
  <c r="D675" i="1"/>
  <c r="AT674" i="1"/>
  <c r="K674" i="1" s="1"/>
  <c r="AE674" i="1"/>
  <c r="F674" i="1"/>
  <c r="I674" i="1" s="1"/>
  <c r="D674" i="1"/>
  <c r="AT673" i="1"/>
  <c r="AE673" i="1"/>
  <c r="K673" i="1"/>
  <c r="I673" i="1"/>
  <c r="F673" i="1"/>
  <c r="D673" i="1"/>
  <c r="AT672" i="1"/>
  <c r="AE672" i="1"/>
  <c r="K672" i="1"/>
  <c r="F672" i="1"/>
  <c r="I672" i="1" s="1"/>
  <c r="D672" i="1"/>
  <c r="AT671" i="1"/>
  <c r="K671" i="1" s="1"/>
  <c r="AE671" i="1"/>
  <c r="F671" i="1"/>
  <c r="I671" i="1" s="1"/>
  <c r="D671" i="1"/>
  <c r="AT670" i="1"/>
  <c r="K670" i="1" s="1"/>
  <c r="AE670" i="1"/>
  <c r="F670" i="1"/>
  <c r="I670" i="1" s="1"/>
  <c r="D670" i="1"/>
  <c r="AT669" i="1"/>
  <c r="AE669" i="1"/>
  <c r="K669" i="1"/>
  <c r="I669" i="1"/>
  <c r="F669" i="1"/>
  <c r="D669" i="1"/>
  <c r="AT668" i="1"/>
  <c r="K668" i="1" s="1"/>
  <c r="AE668" i="1"/>
  <c r="F668" i="1"/>
  <c r="I668" i="1" s="1"/>
  <c r="D668" i="1"/>
  <c r="AT667" i="1"/>
  <c r="K667" i="1" s="1"/>
  <c r="AE667" i="1"/>
  <c r="F667" i="1"/>
  <c r="I667" i="1" s="1"/>
  <c r="D667" i="1"/>
  <c r="AT666" i="1"/>
  <c r="K666" i="1" s="1"/>
  <c r="AE666" i="1"/>
  <c r="F666" i="1"/>
  <c r="I666" i="1" s="1"/>
  <c r="D666" i="1"/>
  <c r="AT665" i="1"/>
  <c r="K665" i="1" s="1"/>
  <c r="AE665" i="1"/>
  <c r="F665" i="1"/>
  <c r="I665" i="1" s="1"/>
  <c r="D665" i="1"/>
  <c r="AT664" i="1"/>
  <c r="K664" i="1" s="1"/>
  <c r="AE664" i="1"/>
  <c r="F664" i="1"/>
  <c r="I664" i="1" s="1"/>
  <c r="D664" i="1"/>
  <c r="AT663" i="1"/>
  <c r="AE663" i="1"/>
  <c r="K663" i="1"/>
  <c r="I663" i="1"/>
  <c r="F663" i="1"/>
  <c r="D663" i="1"/>
  <c r="AT662" i="1"/>
  <c r="K662" i="1" s="1"/>
  <c r="AE662" i="1"/>
  <c r="F662" i="1"/>
  <c r="I662" i="1" s="1"/>
  <c r="D662" i="1"/>
  <c r="AT661" i="1"/>
  <c r="AE661" i="1"/>
  <c r="K661" i="1"/>
  <c r="F661" i="1"/>
  <c r="I661" i="1" s="1"/>
  <c r="D661" i="1"/>
  <c r="AT660" i="1"/>
  <c r="K660" i="1" s="1"/>
  <c r="AE660" i="1"/>
  <c r="F660" i="1"/>
  <c r="I660" i="1" s="1"/>
  <c r="D660" i="1"/>
  <c r="AT659" i="1"/>
  <c r="AE659" i="1"/>
  <c r="K659" i="1"/>
  <c r="F659" i="1"/>
  <c r="I659" i="1" s="1"/>
  <c r="D659" i="1"/>
  <c r="AT658" i="1"/>
  <c r="K658" i="1" s="1"/>
  <c r="AE658" i="1"/>
  <c r="F658" i="1"/>
  <c r="I658" i="1" s="1"/>
  <c r="D658" i="1"/>
  <c r="AT657" i="1"/>
  <c r="K657" i="1" s="1"/>
  <c r="AE657" i="1"/>
  <c r="I657" i="1"/>
  <c r="F657" i="1"/>
  <c r="D657" i="1"/>
  <c r="AT656" i="1"/>
  <c r="K656" i="1" s="1"/>
  <c r="AE656" i="1"/>
  <c r="F656" i="1"/>
  <c r="I656" i="1" s="1"/>
  <c r="D656" i="1"/>
  <c r="AT655" i="1"/>
  <c r="AE655" i="1"/>
  <c r="K655" i="1"/>
  <c r="I655" i="1"/>
  <c r="F655" i="1"/>
  <c r="D655" i="1"/>
  <c r="AT654" i="1"/>
  <c r="K654" i="1" s="1"/>
  <c r="AE654" i="1"/>
  <c r="F654" i="1"/>
  <c r="I654" i="1" s="1"/>
  <c r="D654" i="1"/>
  <c r="AT653" i="1"/>
  <c r="AE653" i="1"/>
  <c r="K653" i="1"/>
  <c r="F653" i="1"/>
  <c r="I653" i="1" s="1"/>
  <c r="D653" i="1"/>
  <c r="AT652" i="1"/>
  <c r="K652" i="1" s="1"/>
  <c r="AE652" i="1"/>
  <c r="F652" i="1"/>
  <c r="I652" i="1" s="1"/>
  <c r="D652" i="1"/>
  <c r="AT651" i="1"/>
  <c r="AE651" i="1"/>
  <c r="K651" i="1"/>
  <c r="F651" i="1"/>
  <c r="I651" i="1" s="1"/>
  <c r="D651" i="1"/>
  <c r="AT650" i="1"/>
  <c r="K650" i="1" s="1"/>
  <c r="AE650" i="1"/>
  <c r="F650" i="1"/>
  <c r="I650" i="1" s="1"/>
  <c r="D650" i="1"/>
  <c r="AT649" i="1"/>
  <c r="AE649" i="1"/>
  <c r="K649" i="1"/>
  <c r="F649" i="1"/>
  <c r="I649" i="1" s="1"/>
  <c r="D649" i="1"/>
  <c r="AT648" i="1"/>
  <c r="K648" i="1" s="1"/>
  <c r="AE648" i="1"/>
  <c r="F648" i="1"/>
  <c r="I648" i="1" s="1"/>
  <c r="D648" i="1"/>
  <c r="AT647" i="1"/>
  <c r="K647" i="1" s="1"/>
  <c r="AE647" i="1"/>
  <c r="I647" i="1"/>
  <c r="F647" i="1"/>
  <c r="D647" i="1"/>
  <c r="AT646" i="1"/>
  <c r="K646" i="1" s="1"/>
  <c r="AE646" i="1"/>
  <c r="F646" i="1"/>
  <c r="I646" i="1" s="1"/>
  <c r="D646" i="1"/>
  <c r="AT645" i="1"/>
  <c r="AE645" i="1"/>
  <c r="K645" i="1"/>
  <c r="F645" i="1"/>
  <c r="I645" i="1" s="1"/>
  <c r="D645" i="1"/>
  <c r="AT644" i="1"/>
  <c r="K644" i="1" s="1"/>
  <c r="AE644" i="1"/>
  <c r="F644" i="1"/>
  <c r="I644" i="1" s="1"/>
  <c r="D644" i="1"/>
  <c r="AT643" i="1"/>
  <c r="K643" i="1" s="1"/>
  <c r="AE643" i="1"/>
  <c r="F643" i="1"/>
  <c r="I643" i="1" s="1"/>
  <c r="D643" i="1"/>
  <c r="AT642" i="1"/>
  <c r="K642" i="1" s="1"/>
  <c r="AE642" i="1"/>
  <c r="F642" i="1"/>
  <c r="I642" i="1" s="1"/>
  <c r="D642" i="1"/>
  <c r="AT641" i="1"/>
  <c r="K641" i="1" s="1"/>
  <c r="AE641" i="1"/>
  <c r="F641" i="1"/>
  <c r="I641" i="1" s="1"/>
  <c r="D641" i="1"/>
  <c r="AT640" i="1"/>
  <c r="K640" i="1" s="1"/>
  <c r="AE640" i="1"/>
  <c r="F640" i="1"/>
  <c r="I640" i="1" s="1"/>
  <c r="D640" i="1"/>
  <c r="AT639" i="1"/>
  <c r="K639" i="1" s="1"/>
  <c r="AE639" i="1"/>
  <c r="F639" i="1"/>
  <c r="I639" i="1" s="1"/>
  <c r="D639" i="1"/>
  <c r="AT638" i="1"/>
  <c r="K638" i="1" s="1"/>
  <c r="AE638" i="1"/>
  <c r="F638" i="1"/>
  <c r="I638" i="1" s="1"/>
  <c r="D638" i="1"/>
  <c r="AT637" i="1"/>
  <c r="AE637" i="1"/>
  <c r="K637" i="1"/>
  <c r="F637" i="1"/>
  <c r="I637" i="1" s="1"/>
  <c r="D637" i="1"/>
  <c r="AT636" i="1"/>
  <c r="K636" i="1" s="1"/>
  <c r="AE636" i="1"/>
  <c r="F636" i="1"/>
  <c r="I636" i="1" s="1"/>
  <c r="D636" i="1"/>
  <c r="AT635" i="1"/>
  <c r="K635" i="1" s="1"/>
  <c r="AE635" i="1"/>
  <c r="F635" i="1"/>
  <c r="I635" i="1" s="1"/>
  <c r="D635" i="1"/>
  <c r="AT634" i="1"/>
  <c r="K634" i="1" s="1"/>
  <c r="AE634" i="1"/>
  <c r="F634" i="1"/>
  <c r="I634" i="1" s="1"/>
  <c r="D634" i="1"/>
  <c r="AT633" i="1"/>
  <c r="AE633" i="1"/>
  <c r="K633" i="1"/>
  <c r="F633" i="1"/>
  <c r="I633" i="1" s="1"/>
  <c r="D633" i="1"/>
  <c r="AT632" i="1"/>
  <c r="K632" i="1" s="1"/>
  <c r="AE632" i="1"/>
  <c r="F632" i="1"/>
  <c r="I632" i="1" s="1"/>
  <c r="D632" i="1"/>
  <c r="AT631" i="1"/>
  <c r="K631" i="1" s="1"/>
  <c r="AE631" i="1"/>
  <c r="F631" i="1"/>
  <c r="I631" i="1" s="1"/>
  <c r="D631" i="1"/>
  <c r="AT630" i="1"/>
  <c r="K630" i="1" s="1"/>
  <c r="AE630" i="1"/>
  <c r="F630" i="1"/>
  <c r="I630" i="1" s="1"/>
  <c r="D630" i="1"/>
  <c r="AT629" i="1"/>
  <c r="AE629" i="1"/>
  <c r="K629" i="1"/>
  <c r="F629" i="1"/>
  <c r="I629" i="1" s="1"/>
  <c r="D629" i="1"/>
  <c r="AT628" i="1"/>
  <c r="AE628" i="1"/>
  <c r="F628" i="1"/>
  <c r="I628" i="1" s="1"/>
  <c r="D628" i="1"/>
  <c r="AT627" i="1"/>
  <c r="AE627" i="1"/>
  <c r="F627" i="1"/>
  <c r="I627" i="1" s="1"/>
  <c r="D627" i="1"/>
  <c r="AT626" i="1"/>
  <c r="K626" i="1" s="1"/>
  <c r="AE626" i="1"/>
  <c r="F626" i="1"/>
  <c r="I626" i="1" s="1"/>
  <c r="D626" i="1"/>
  <c r="AT625" i="1"/>
  <c r="AE625" i="1"/>
  <c r="K625" i="1"/>
  <c r="F625" i="1"/>
  <c r="I625" i="1" s="1"/>
  <c r="D625" i="1"/>
  <c r="AT624" i="1"/>
  <c r="K624" i="1" s="1"/>
  <c r="AE624" i="1"/>
  <c r="F624" i="1"/>
  <c r="I624" i="1" s="1"/>
  <c r="D624" i="1"/>
  <c r="AT623" i="1"/>
  <c r="K623" i="1" s="1"/>
  <c r="AE623" i="1"/>
  <c r="F623" i="1"/>
  <c r="I623" i="1" s="1"/>
  <c r="D623" i="1"/>
  <c r="AT622" i="1"/>
  <c r="K622" i="1" s="1"/>
  <c r="AE622" i="1"/>
  <c r="F622" i="1"/>
  <c r="I622" i="1" s="1"/>
  <c r="D622" i="1"/>
  <c r="AT621" i="1"/>
  <c r="K621" i="1" s="1"/>
  <c r="AE621" i="1"/>
  <c r="F621" i="1"/>
  <c r="I621" i="1" s="1"/>
  <c r="D621" i="1"/>
  <c r="AT620" i="1"/>
  <c r="K620" i="1" s="1"/>
  <c r="AE620" i="1"/>
  <c r="F620" i="1"/>
  <c r="I620" i="1" s="1"/>
  <c r="D620" i="1"/>
  <c r="AT619" i="1"/>
  <c r="K619" i="1" s="1"/>
  <c r="AE619" i="1"/>
  <c r="F619" i="1"/>
  <c r="I619" i="1" s="1"/>
  <c r="D619" i="1"/>
  <c r="AT618" i="1"/>
  <c r="K618" i="1" s="1"/>
  <c r="AE618" i="1"/>
  <c r="F618" i="1"/>
  <c r="I618" i="1" s="1"/>
  <c r="D618" i="1"/>
  <c r="AT617" i="1"/>
  <c r="K617" i="1" s="1"/>
  <c r="AE617" i="1"/>
  <c r="F617" i="1"/>
  <c r="I617" i="1" s="1"/>
  <c r="D617" i="1"/>
  <c r="AT616" i="1"/>
  <c r="K616" i="1" s="1"/>
  <c r="AE616" i="1"/>
  <c r="F616" i="1"/>
  <c r="I616" i="1" s="1"/>
  <c r="D616" i="1"/>
  <c r="AT615" i="1"/>
  <c r="K615" i="1" s="1"/>
  <c r="AE615" i="1"/>
  <c r="F615" i="1"/>
  <c r="I615" i="1" s="1"/>
  <c r="D615" i="1"/>
  <c r="AT614" i="1"/>
  <c r="K614" i="1" s="1"/>
  <c r="AE614" i="1"/>
  <c r="F614" i="1"/>
  <c r="I614" i="1" s="1"/>
  <c r="D614" i="1"/>
  <c r="AT613" i="1"/>
  <c r="K613" i="1" s="1"/>
  <c r="AE613" i="1"/>
  <c r="F613" i="1"/>
  <c r="I613" i="1" s="1"/>
  <c r="D613" i="1"/>
  <c r="AT612" i="1"/>
  <c r="AE612" i="1"/>
  <c r="K612" i="1"/>
  <c r="F612" i="1"/>
  <c r="A612" i="1"/>
  <c r="AV612" i="1" s="1"/>
  <c r="AT611" i="1"/>
  <c r="K611" i="1" s="1"/>
  <c r="AE611" i="1"/>
  <c r="I611" i="1"/>
  <c r="F611" i="1"/>
  <c r="AM611" i="1" s="1"/>
  <c r="A611" i="1"/>
  <c r="AV611" i="1" s="1"/>
  <c r="F610" i="1"/>
  <c r="F609" i="1"/>
  <c r="F608" i="1"/>
  <c r="F607" i="1"/>
  <c r="F606" i="1"/>
  <c r="AT605" i="1"/>
  <c r="K605" i="1" s="1"/>
  <c r="AE605" i="1"/>
  <c r="F605" i="1"/>
  <c r="AT604" i="1"/>
  <c r="K604" i="1" s="1"/>
  <c r="AE604" i="1"/>
  <c r="F604" i="1"/>
  <c r="AT603" i="1"/>
  <c r="AE603" i="1"/>
  <c r="K603" i="1"/>
  <c r="F603" i="1"/>
  <c r="AT602" i="1"/>
  <c r="K602" i="1" s="1"/>
  <c r="AE602" i="1"/>
  <c r="F602" i="1"/>
  <c r="AT601" i="1"/>
  <c r="K601" i="1" s="1"/>
  <c r="AE601" i="1"/>
  <c r="F601" i="1"/>
  <c r="AT600" i="1"/>
  <c r="K600" i="1" s="1"/>
  <c r="AE600" i="1"/>
  <c r="F600" i="1"/>
  <c r="AT599" i="1"/>
  <c r="AE599" i="1"/>
  <c r="K599" i="1"/>
  <c r="F599" i="1"/>
  <c r="AT598" i="1"/>
  <c r="AE598" i="1"/>
  <c r="K598" i="1"/>
  <c r="F598" i="1"/>
  <c r="AT597" i="1"/>
  <c r="K597" i="1" s="1"/>
  <c r="AE597" i="1"/>
  <c r="F597" i="1"/>
  <c r="AT596" i="1"/>
  <c r="K596" i="1" s="1"/>
  <c r="AE596" i="1"/>
  <c r="F596" i="1"/>
  <c r="AT595" i="1"/>
  <c r="K595" i="1" s="1"/>
  <c r="AE595" i="1"/>
  <c r="F595" i="1"/>
  <c r="AT594" i="1"/>
  <c r="K594" i="1" s="1"/>
  <c r="AE594" i="1"/>
  <c r="F594" i="1"/>
  <c r="AT593" i="1"/>
  <c r="AE593" i="1"/>
  <c r="K593" i="1"/>
  <c r="F593" i="1"/>
  <c r="AT592" i="1"/>
  <c r="K592" i="1"/>
  <c r="F592" i="1"/>
  <c r="AT591" i="1"/>
  <c r="K591" i="1" s="1"/>
  <c r="F591" i="1"/>
  <c r="AT590" i="1"/>
  <c r="K590" i="1" s="1"/>
  <c r="F590" i="1"/>
  <c r="AT589" i="1"/>
  <c r="K589" i="1" s="1"/>
  <c r="F589" i="1"/>
  <c r="AT588" i="1"/>
  <c r="K588" i="1"/>
  <c r="F588" i="1"/>
  <c r="AT587" i="1"/>
  <c r="K587" i="1" s="1"/>
  <c r="F587" i="1"/>
  <c r="AT586" i="1"/>
  <c r="K586" i="1" s="1"/>
  <c r="F586" i="1"/>
  <c r="AT585" i="1"/>
  <c r="K585" i="1" s="1"/>
  <c r="F585" i="1"/>
  <c r="AT584" i="1"/>
  <c r="K584" i="1" s="1"/>
  <c r="F584" i="1"/>
  <c r="AT583" i="1"/>
  <c r="K583" i="1" s="1"/>
  <c r="F583" i="1"/>
  <c r="AT582" i="1"/>
  <c r="K582" i="1" s="1"/>
  <c r="F582" i="1"/>
  <c r="AT581" i="1"/>
  <c r="K581" i="1" s="1"/>
  <c r="F581" i="1"/>
  <c r="AT580" i="1"/>
  <c r="K580" i="1"/>
  <c r="F580" i="1"/>
  <c r="F579" i="1"/>
  <c r="AT578" i="1"/>
  <c r="AE578" i="1"/>
  <c r="K578" i="1"/>
  <c r="F578" i="1"/>
  <c r="I578" i="1" s="1"/>
  <c r="I577" i="1"/>
  <c r="F577" i="1"/>
  <c r="H577" i="1" s="1"/>
  <c r="F576" i="1"/>
  <c r="F575" i="1"/>
  <c r="F574" i="1"/>
  <c r="F573" i="1"/>
  <c r="F572" i="1"/>
  <c r="F571" i="1"/>
  <c r="F570" i="1"/>
  <c r="F569" i="1"/>
  <c r="AT568" i="1"/>
  <c r="F568" i="1"/>
  <c r="AT567" i="1"/>
  <c r="F567" i="1"/>
  <c r="AT566" i="1"/>
  <c r="F566" i="1"/>
  <c r="AT565" i="1"/>
  <c r="F565" i="1"/>
  <c r="AT564" i="1"/>
  <c r="F564" i="1"/>
  <c r="AT563" i="1"/>
  <c r="F563" i="1"/>
  <c r="AT562" i="1"/>
  <c r="F562" i="1"/>
  <c r="AT561" i="1"/>
  <c r="F561" i="1"/>
  <c r="AT560" i="1"/>
  <c r="F560" i="1"/>
  <c r="AT559" i="1"/>
  <c r="F559" i="1"/>
  <c r="AT558" i="1"/>
  <c r="F558" i="1"/>
  <c r="AT557" i="1"/>
  <c r="F557" i="1"/>
  <c r="AT556" i="1"/>
  <c r="F556" i="1"/>
  <c r="AT555" i="1"/>
  <c r="F555" i="1"/>
  <c r="AT554" i="1"/>
  <c r="F554" i="1"/>
  <c r="AT553" i="1"/>
  <c r="F553" i="1"/>
  <c r="AT552" i="1"/>
  <c r="F552" i="1"/>
  <c r="AT551" i="1"/>
  <c r="F551" i="1"/>
  <c r="AT550" i="1"/>
  <c r="F550" i="1"/>
  <c r="AT549" i="1"/>
  <c r="F549" i="1"/>
  <c r="AT548" i="1"/>
  <c r="F548" i="1"/>
  <c r="AT547" i="1"/>
  <c r="F547" i="1"/>
  <c r="AT546" i="1"/>
  <c r="F546" i="1"/>
  <c r="D546" i="1"/>
  <c r="AT545" i="1"/>
  <c r="F545" i="1"/>
  <c r="D545" i="1"/>
  <c r="AT544" i="1"/>
  <c r="F544" i="1"/>
  <c r="D544" i="1"/>
  <c r="AT543" i="1"/>
  <c r="F543" i="1"/>
  <c r="D543" i="1"/>
  <c r="AT542" i="1"/>
  <c r="F542" i="1"/>
  <c r="D542" i="1"/>
  <c r="AT541" i="1"/>
  <c r="F541" i="1"/>
  <c r="D541" i="1"/>
  <c r="AT540" i="1"/>
  <c r="F540" i="1"/>
  <c r="D540" i="1"/>
  <c r="AT539" i="1"/>
  <c r="F539" i="1"/>
  <c r="D539" i="1"/>
  <c r="AT538" i="1"/>
  <c r="F538" i="1"/>
  <c r="D538" i="1"/>
  <c r="AT537" i="1"/>
  <c r="F537" i="1"/>
  <c r="D537" i="1"/>
  <c r="AT536" i="1"/>
  <c r="F536" i="1"/>
  <c r="D536" i="1"/>
  <c r="AT535" i="1"/>
  <c r="F535" i="1"/>
  <c r="D535" i="1"/>
  <c r="AT534" i="1"/>
  <c r="F534" i="1"/>
  <c r="D534" i="1"/>
  <c r="AT533" i="1"/>
  <c r="F533" i="1"/>
  <c r="D533" i="1"/>
  <c r="AT532" i="1"/>
  <c r="F532" i="1"/>
  <c r="D532" i="1"/>
  <c r="AT531" i="1"/>
  <c r="F531" i="1"/>
  <c r="D531" i="1"/>
  <c r="AT530" i="1"/>
  <c r="K530" i="1" s="1"/>
  <c r="AE530" i="1"/>
  <c r="F530" i="1"/>
  <c r="D530" i="1"/>
  <c r="AT529" i="1"/>
  <c r="K529" i="1" s="1"/>
  <c r="AE529" i="1"/>
  <c r="F529" i="1"/>
  <c r="D529" i="1"/>
  <c r="AT528" i="1"/>
  <c r="AE528" i="1"/>
  <c r="K528" i="1"/>
  <c r="F528" i="1"/>
  <c r="D528" i="1"/>
  <c r="AT527" i="1"/>
  <c r="K527" i="1" s="1"/>
  <c r="AE527" i="1"/>
  <c r="F527" i="1"/>
  <c r="D527" i="1"/>
  <c r="AT526" i="1"/>
  <c r="K526" i="1" s="1"/>
  <c r="AE526" i="1"/>
  <c r="F526" i="1"/>
  <c r="D526" i="1"/>
  <c r="AT525" i="1"/>
  <c r="AE525" i="1"/>
  <c r="K525" i="1"/>
  <c r="F525" i="1"/>
  <c r="D525" i="1"/>
  <c r="AT524" i="1"/>
  <c r="AE524" i="1"/>
  <c r="K524" i="1"/>
  <c r="F524" i="1"/>
  <c r="D524" i="1"/>
  <c r="AT523" i="1"/>
  <c r="K523" i="1" s="1"/>
  <c r="AE523" i="1"/>
  <c r="F523" i="1"/>
  <c r="D523" i="1"/>
  <c r="AT522" i="1"/>
  <c r="K522" i="1" s="1"/>
  <c r="AE522" i="1"/>
  <c r="F522" i="1"/>
  <c r="D522" i="1"/>
  <c r="AT521" i="1"/>
  <c r="K521" i="1" s="1"/>
  <c r="AE521" i="1"/>
  <c r="F521" i="1"/>
  <c r="D521" i="1"/>
  <c r="AT520" i="1"/>
  <c r="AE520" i="1"/>
  <c r="K520" i="1"/>
  <c r="F520" i="1"/>
  <c r="D520" i="1"/>
  <c r="AT519" i="1"/>
  <c r="K519" i="1" s="1"/>
  <c r="AE519" i="1"/>
  <c r="F519" i="1"/>
  <c r="D519" i="1"/>
  <c r="AT518" i="1"/>
  <c r="K518" i="1" s="1"/>
  <c r="AE518" i="1"/>
  <c r="F518" i="1"/>
  <c r="D518" i="1"/>
  <c r="AT517" i="1"/>
  <c r="AE517" i="1"/>
  <c r="K517" i="1"/>
  <c r="F517" i="1"/>
  <c r="D517" i="1"/>
  <c r="AT516" i="1"/>
  <c r="K516" i="1" s="1"/>
  <c r="AE516" i="1"/>
  <c r="F516" i="1"/>
  <c r="D516" i="1"/>
  <c r="AT515" i="1"/>
  <c r="K515" i="1" s="1"/>
  <c r="AE515" i="1"/>
  <c r="F515" i="1"/>
  <c r="D515" i="1"/>
  <c r="AT514" i="1"/>
  <c r="K514" i="1" s="1"/>
  <c r="AE514" i="1"/>
  <c r="F514" i="1"/>
  <c r="D514" i="1"/>
  <c r="AT513" i="1"/>
  <c r="K513" i="1" s="1"/>
  <c r="AE513" i="1"/>
  <c r="F513" i="1"/>
  <c r="D513" i="1"/>
  <c r="AT512" i="1"/>
  <c r="K512" i="1" s="1"/>
  <c r="AE512" i="1"/>
  <c r="F512" i="1"/>
  <c r="D512" i="1"/>
  <c r="AT511" i="1"/>
  <c r="K511" i="1" s="1"/>
  <c r="AE511" i="1"/>
  <c r="F511" i="1"/>
  <c r="D511" i="1"/>
  <c r="AT510" i="1"/>
  <c r="K510" i="1" s="1"/>
  <c r="AE510" i="1"/>
  <c r="F510" i="1"/>
  <c r="D510" i="1"/>
  <c r="AT509" i="1"/>
  <c r="AE509" i="1"/>
  <c r="K509" i="1"/>
  <c r="F509" i="1"/>
  <c r="D509" i="1"/>
  <c r="AT508" i="1"/>
  <c r="AE508" i="1"/>
  <c r="K508" i="1"/>
  <c r="F508" i="1"/>
  <c r="D508" i="1"/>
  <c r="AT507" i="1"/>
  <c r="K507" i="1" s="1"/>
  <c r="AE507" i="1"/>
  <c r="F507" i="1"/>
  <c r="D507" i="1"/>
  <c r="AT506" i="1"/>
  <c r="K506" i="1" s="1"/>
  <c r="AE506" i="1"/>
  <c r="F506" i="1"/>
  <c r="D506" i="1"/>
  <c r="AT505" i="1"/>
  <c r="K505" i="1" s="1"/>
  <c r="AE505" i="1"/>
  <c r="F505" i="1"/>
  <c r="D505" i="1"/>
  <c r="AT504" i="1"/>
  <c r="AE504" i="1"/>
  <c r="K504" i="1"/>
  <c r="F504" i="1"/>
  <c r="D504" i="1"/>
  <c r="AT503" i="1"/>
  <c r="K503" i="1" s="1"/>
  <c r="AE503" i="1"/>
  <c r="F503" i="1"/>
  <c r="D503" i="1"/>
  <c r="AT502" i="1"/>
  <c r="K502" i="1" s="1"/>
  <c r="AE502" i="1"/>
  <c r="F502" i="1"/>
  <c r="D502" i="1"/>
  <c r="AT501" i="1"/>
  <c r="AE501" i="1"/>
  <c r="K501" i="1"/>
  <c r="F501" i="1"/>
  <c r="D501" i="1"/>
  <c r="AT500" i="1"/>
  <c r="AE500" i="1"/>
  <c r="K500" i="1"/>
  <c r="F500" i="1"/>
  <c r="D500" i="1"/>
  <c r="AT499" i="1"/>
  <c r="K499" i="1" s="1"/>
  <c r="AE499" i="1"/>
  <c r="F499" i="1"/>
  <c r="D499" i="1"/>
  <c r="AT498" i="1"/>
  <c r="K498" i="1" s="1"/>
  <c r="AE498" i="1"/>
  <c r="F498" i="1"/>
  <c r="D498" i="1"/>
  <c r="AT497" i="1"/>
  <c r="K497" i="1" s="1"/>
  <c r="AE497" i="1"/>
  <c r="F497" i="1"/>
  <c r="D497" i="1"/>
  <c r="AT496" i="1"/>
  <c r="K496" i="1" s="1"/>
  <c r="AE496" i="1"/>
  <c r="F496" i="1"/>
  <c r="D496" i="1"/>
  <c r="AT495" i="1"/>
  <c r="K495" i="1" s="1"/>
  <c r="AE495" i="1"/>
  <c r="F495" i="1"/>
  <c r="D495" i="1"/>
  <c r="AT494" i="1"/>
  <c r="K494" i="1" s="1"/>
  <c r="AE494" i="1"/>
  <c r="F494" i="1"/>
  <c r="D494" i="1"/>
  <c r="AT493" i="1"/>
  <c r="AE493" i="1"/>
  <c r="K493" i="1"/>
  <c r="F493" i="1"/>
  <c r="D493" i="1"/>
  <c r="AT492" i="1"/>
  <c r="AE492" i="1"/>
  <c r="K492" i="1"/>
  <c r="F492" i="1"/>
  <c r="D492" i="1"/>
  <c r="AT491" i="1"/>
  <c r="K491" i="1" s="1"/>
  <c r="AE491" i="1"/>
  <c r="F491" i="1"/>
  <c r="D491" i="1"/>
  <c r="AT490" i="1"/>
  <c r="K490" i="1" s="1"/>
  <c r="AE490" i="1"/>
  <c r="F490" i="1"/>
  <c r="D490" i="1"/>
  <c r="AT489" i="1"/>
  <c r="K489" i="1" s="1"/>
  <c r="AE489" i="1"/>
  <c r="F489" i="1"/>
  <c r="D489" i="1"/>
  <c r="AT488" i="1"/>
  <c r="AE488" i="1"/>
  <c r="K488" i="1"/>
  <c r="F488" i="1"/>
  <c r="D488" i="1"/>
  <c r="AT487" i="1"/>
  <c r="K487" i="1" s="1"/>
  <c r="AE487" i="1"/>
  <c r="F487" i="1"/>
  <c r="D487" i="1"/>
  <c r="AT486" i="1"/>
  <c r="K486" i="1" s="1"/>
  <c r="AE486" i="1"/>
  <c r="F486" i="1"/>
  <c r="D486" i="1"/>
  <c r="AT485" i="1"/>
  <c r="AE485" i="1"/>
  <c r="K485" i="1"/>
  <c r="F485" i="1"/>
  <c r="D485" i="1"/>
  <c r="AT484" i="1"/>
  <c r="K484" i="1" s="1"/>
  <c r="AE484" i="1"/>
  <c r="F484" i="1"/>
  <c r="D484" i="1"/>
  <c r="AT483" i="1"/>
  <c r="K483" i="1" s="1"/>
  <c r="AE483" i="1"/>
  <c r="F483" i="1"/>
  <c r="D483" i="1"/>
  <c r="AT482" i="1"/>
  <c r="K482" i="1" s="1"/>
  <c r="AE482" i="1"/>
  <c r="F482" i="1"/>
  <c r="D482" i="1"/>
  <c r="AT481" i="1"/>
  <c r="K481" i="1" s="1"/>
  <c r="AE481" i="1"/>
  <c r="F481" i="1"/>
  <c r="D481" i="1"/>
  <c r="AT480" i="1"/>
  <c r="K480" i="1" s="1"/>
  <c r="AE480" i="1"/>
  <c r="F480" i="1"/>
  <c r="D480" i="1"/>
  <c r="AT479" i="1"/>
  <c r="K479" i="1" s="1"/>
  <c r="AE479" i="1"/>
  <c r="F479" i="1"/>
  <c r="D479" i="1"/>
  <c r="AT478" i="1"/>
  <c r="K478" i="1" s="1"/>
  <c r="AE478" i="1"/>
  <c r="F478" i="1"/>
  <c r="D478" i="1"/>
  <c r="AT477" i="1"/>
  <c r="F477" i="1"/>
  <c r="D477" i="1"/>
  <c r="AT476" i="1"/>
  <c r="F476" i="1"/>
  <c r="D476" i="1"/>
  <c r="AT475" i="1"/>
  <c r="F475" i="1"/>
  <c r="D475" i="1"/>
  <c r="AT474" i="1"/>
  <c r="F474" i="1"/>
  <c r="D474" i="1"/>
  <c r="AT473" i="1"/>
  <c r="F473" i="1"/>
  <c r="D473" i="1"/>
  <c r="AT472" i="1"/>
  <c r="F472" i="1"/>
  <c r="D472" i="1"/>
  <c r="AT471" i="1"/>
  <c r="F471" i="1"/>
  <c r="D471" i="1"/>
  <c r="AT470" i="1"/>
  <c r="F470" i="1"/>
  <c r="D470" i="1"/>
  <c r="AT469" i="1"/>
  <c r="F469" i="1"/>
  <c r="D469" i="1"/>
  <c r="AT468" i="1"/>
  <c r="F468" i="1"/>
  <c r="D468" i="1"/>
  <c r="AT467" i="1"/>
  <c r="F467" i="1"/>
  <c r="D467" i="1"/>
  <c r="AT466" i="1"/>
  <c r="F466" i="1"/>
  <c r="D466" i="1"/>
  <c r="AT465" i="1"/>
  <c r="F465" i="1"/>
  <c r="D465" i="1"/>
  <c r="AT464" i="1"/>
  <c r="F464" i="1"/>
  <c r="D464" i="1"/>
  <c r="AT463" i="1"/>
  <c r="F463" i="1"/>
  <c r="D463" i="1"/>
  <c r="AT462" i="1"/>
  <c r="F462" i="1"/>
  <c r="D462" i="1"/>
  <c r="AT461" i="1"/>
  <c r="F461" i="1"/>
  <c r="D461" i="1"/>
  <c r="AT460" i="1"/>
  <c r="F460" i="1"/>
  <c r="D460" i="1"/>
  <c r="AT459" i="1"/>
  <c r="F459" i="1"/>
  <c r="D459" i="1"/>
  <c r="AT458" i="1"/>
  <c r="F458" i="1"/>
  <c r="D458" i="1"/>
  <c r="AT457" i="1"/>
  <c r="F457" i="1"/>
  <c r="D457" i="1"/>
  <c r="AT456" i="1"/>
  <c r="F456" i="1"/>
  <c r="D456" i="1"/>
  <c r="AT455" i="1"/>
  <c r="F455" i="1"/>
  <c r="D455" i="1"/>
  <c r="AT454" i="1"/>
  <c r="F454" i="1"/>
  <c r="D454" i="1"/>
  <c r="AT453" i="1"/>
  <c r="F453" i="1"/>
  <c r="D453" i="1"/>
  <c r="AT452" i="1"/>
  <c r="F452" i="1"/>
  <c r="D452" i="1"/>
  <c r="AT451" i="1"/>
  <c r="F451" i="1"/>
  <c r="D451" i="1"/>
  <c r="AT450" i="1"/>
  <c r="F450" i="1"/>
  <c r="D450" i="1"/>
  <c r="AT449" i="1"/>
  <c r="F449" i="1"/>
  <c r="D449" i="1"/>
  <c r="AT448" i="1"/>
  <c r="F448" i="1"/>
  <c r="D448" i="1"/>
  <c r="AT447" i="1"/>
  <c r="F447" i="1"/>
  <c r="D447" i="1"/>
  <c r="AT446" i="1"/>
  <c r="F446" i="1"/>
  <c r="D446" i="1"/>
  <c r="AT445" i="1"/>
  <c r="F445" i="1"/>
  <c r="D445" i="1"/>
  <c r="AT444" i="1"/>
  <c r="F444" i="1"/>
  <c r="D444" i="1"/>
  <c r="AT443" i="1"/>
  <c r="F443" i="1"/>
  <c r="D443" i="1"/>
  <c r="AT442" i="1"/>
  <c r="F442" i="1"/>
  <c r="D442" i="1"/>
  <c r="AT441" i="1"/>
  <c r="K441" i="1" s="1"/>
  <c r="F441" i="1"/>
  <c r="AT440" i="1"/>
  <c r="K440" i="1" s="1"/>
  <c r="F440" i="1"/>
  <c r="AT439" i="1"/>
  <c r="K439" i="1" s="1"/>
  <c r="F439" i="1"/>
  <c r="AT438" i="1"/>
  <c r="K438" i="1" s="1"/>
  <c r="F438" i="1"/>
  <c r="AT437" i="1"/>
  <c r="K437" i="1" s="1"/>
  <c r="F437" i="1"/>
  <c r="AT436" i="1"/>
  <c r="K436" i="1" s="1"/>
  <c r="F436" i="1"/>
  <c r="AT435" i="1"/>
  <c r="K435" i="1" s="1"/>
  <c r="F435" i="1"/>
  <c r="AT434" i="1"/>
  <c r="K434" i="1"/>
  <c r="F434" i="1"/>
  <c r="AT433" i="1"/>
  <c r="K433" i="1"/>
  <c r="F433" i="1"/>
  <c r="AT432" i="1"/>
  <c r="K432" i="1" s="1"/>
  <c r="F432" i="1"/>
  <c r="AT431" i="1"/>
  <c r="K431" i="1" s="1"/>
  <c r="F431" i="1"/>
  <c r="AT430" i="1"/>
  <c r="K430" i="1" s="1"/>
  <c r="F430" i="1"/>
  <c r="AT429" i="1"/>
  <c r="K429" i="1" s="1"/>
  <c r="F429" i="1"/>
  <c r="AT428" i="1"/>
  <c r="K428" i="1"/>
  <c r="F428" i="1"/>
  <c r="AT427" i="1"/>
  <c r="K427" i="1"/>
  <c r="F427" i="1"/>
  <c r="AT426" i="1"/>
  <c r="K426" i="1" s="1"/>
  <c r="F426" i="1"/>
  <c r="AT425" i="1"/>
  <c r="K425" i="1"/>
  <c r="F425" i="1"/>
  <c r="AT424" i="1"/>
  <c r="K424" i="1" s="1"/>
  <c r="F424" i="1"/>
  <c r="AT423" i="1"/>
  <c r="K423" i="1"/>
  <c r="F423" i="1"/>
  <c r="AT422" i="1"/>
  <c r="K422" i="1"/>
  <c r="F422" i="1"/>
  <c r="AT421" i="1"/>
  <c r="K421" i="1" s="1"/>
  <c r="F421" i="1"/>
  <c r="AT420" i="1"/>
  <c r="K420" i="1" s="1"/>
  <c r="F420" i="1"/>
  <c r="AT419" i="1"/>
  <c r="K419" i="1"/>
  <c r="F419" i="1"/>
  <c r="AT418" i="1"/>
  <c r="K418" i="1"/>
  <c r="F418" i="1"/>
  <c r="AT417" i="1"/>
  <c r="K417" i="1"/>
  <c r="F417" i="1"/>
  <c r="AT416" i="1"/>
  <c r="K416" i="1" s="1"/>
  <c r="F416" i="1"/>
  <c r="AT415" i="1"/>
  <c r="K415" i="1" s="1"/>
  <c r="F415" i="1"/>
  <c r="AT414" i="1"/>
  <c r="K414" i="1"/>
  <c r="F414" i="1"/>
  <c r="AT413" i="1"/>
  <c r="K413" i="1" s="1"/>
  <c r="F413" i="1"/>
  <c r="AT412" i="1"/>
  <c r="K412" i="1" s="1"/>
  <c r="F412" i="1"/>
  <c r="AT411" i="1"/>
  <c r="K411" i="1" s="1"/>
  <c r="F411" i="1"/>
  <c r="AT410" i="1"/>
  <c r="K410" i="1"/>
  <c r="F410" i="1"/>
  <c r="AT409" i="1"/>
  <c r="K409" i="1" s="1"/>
  <c r="F409" i="1"/>
  <c r="AT408" i="1"/>
  <c r="K408" i="1"/>
  <c r="F408" i="1"/>
  <c r="D408" i="1"/>
  <c r="AT407" i="1"/>
  <c r="K407" i="1" s="1"/>
  <c r="F407" i="1"/>
  <c r="D407" i="1"/>
  <c r="AT406" i="1"/>
  <c r="K406" i="1" s="1"/>
  <c r="F406" i="1"/>
  <c r="D406" i="1"/>
  <c r="AT405" i="1"/>
  <c r="K405" i="1" s="1"/>
  <c r="F405" i="1"/>
  <c r="D405" i="1"/>
  <c r="AT404" i="1"/>
  <c r="K404" i="1" s="1"/>
  <c r="F404" i="1"/>
  <c r="D404" i="1"/>
  <c r="AT403" i="1"/>
  <c r="K403" i="1" s="1"/>
  <c r="F403" i="1"/>
  <c r="D403" i="1"/>
  <c r="AT402" i="1"/>
  <c r="K402" i="1" s="1"/>
  <c r="F402" i="1"/>
  <c r="D402" i="1"/>
  <c r="AT401" i="1"/>
  <c r="K401" i="1" s="1"/>
  <c r="F401" i="1"/>
  <c r="D401" i="1"/>
  <c r="AT400" i="1"/>
  <c r="K400" i="1" s="1"/>
  <c r="F400" i="1"/>
  <c r="D400" i="1"/>
  <c r="AT399" i="1"/>
  <c r="K399" i="1" s="1"/>
  <c r="F399" i="1"/>
  <c r="D399" i="1"/>
  <c r="AT398" i="1"/>
  <c r="K398" i="1"/>
  <c r="F398" i="1"/>
  <c r="D398" i="1"/>
  <c r="AT397" i="1"/>
  <c r="K397" i="1" s="1"/>
  <c r="F397" i="1"/>
  <c r="D397" i="1"/>
  <c r="AT396" i="1"/>
  <c r="K396" i="1" s="1"/>
  <c r="F396" i="1"/>
  <c r="D396" i="1"/>
  <c r="AT395" i="1"/>
  <c r="K395" i="1" s="1"/>
  <c r="F395" i="1"/>
  <c r="D395" i="1"/>
  <c r="AT394" i="1"/>
  <c r="K394" i="1" s="1"/>
  <c r="F394" i="1"/>
  <c r="D394" i="1"/>
  <c r="AT393" i="1"/>
  <c r="K393" i="1" s="1"/>
  <c r="F393" i="1"/>
  <c r="D393" i="1"/>
  <c r="AT392" i="1"/>
  <c r="K392" i="1" s="1"/>
  <c r="F392" i="1"/>
  <c r="D392" i="1"/>
  <c r="AT391" i="1"/>
  <c r="K391" i="1" s="1"/>
  <c r="F391" i="1"/>
  <c r="D391" i="1"/>
  <c r="AT390" i="1"/>
  <c r="K390" i="1" s="1"/>
  <c r="F390" i="1"/>
  <c r="D390" i="1"/>
  <c r="AT389" i="1"/>
  <c r="K389" i="1" s="1"/>
  <c r="F389" i="1"/>
  <c r="D389" i="1"/>
  <c r="AT388" i="1"/>
  <c r="K388" i="1" s="1"/>
  <c r="F388" i="1"/>
  <c r="D388" i="1"/>
  <c r="AT387" i="1"/>
  <c r="K387" i="1" s="1"/>
  <c r="F387" i="1"/>
  <c r="D387" i="1"/>
  <c r="AT386" i="1"/>
  <c r="K386" i="1" s="1"/>
  <c r="F386" i="1"/>
  <c r="D386" i="1"/>
  <c r="AT385" i="1"/>
  <c r="K385" i="1" s="1"/>
  <c r="F385" i="1"/>
  <c r="D385" i="1"/>
  <c r="AT384" i="1"/>
  <c r="K384" i="1" s="1"/>
  <c r="F384" i="1"/>
  <c r="D384" i="1"/>
  <c r="AT383" i="1"/>
  <c r="K383" i="1"/>
  <c r="F383" i="1"/>
  <c r="D383" i="1"/>
  <c r="C383" i="1"/>
  <c r="AT382" i="1"/>
  <c r="K382" i="1"/>
  <c r="F382" i="1"/>
  <c r="D382" i="1"/>
  <c r="C382" i="1"/>
  <c r="AT381" i="1"/>
  <c r="K381" i="1" s="1"/>
  <c r="F381" i="1"/>
  <c r="D381" i="1"/>
  <c r="F380" i="1"/>
  <c r="AT379" i="1"/>
  <c r="K379" i="1" s="1"/>
  <c r="AE379" i="1"/>
  <c r="I379" i="1"/>
  <c r="F379" i="1"/>
  <c r="AM379" i="1" s="1"/>
  <c r="AT378" i="1"/>
  <c r="K378" i="1" s="1"/>
  <c r="AM378" i="1"/>
  <c r="AE378" i="1"/>
  <c r="F378" i="1"/>
  <c r="I378" i="1" s="1"/>
  <c r="AT377" i="1"/>
  <c r="K377" i="1" s="1"/>
  <c r="AE377" i="1"/>
  <c r="F377" i="1"/>
  <c r="AT376" i="1"/>
  <c r="AM376" i="1"/>
  <c r="AE376" i="1"/>
  <c r="K376" i="1"/>
  <c r="H376" i="1"/>
  <c r="F376" i="1"/>
  <c r="I376" i="1" s="1"/>
  <c r="A376" i="1"/>
  <c r="A377" i="1" s="1"/>
  <c r="AT375" i="1"/>
  <c r="K375" i="1" s="1"/>
  <c r="AE375" i="1"/>
  <c r="I375" i="1"/>
  <c r="F375" i="1"/>
  <c r="AT374" i="1"/>
  <c r="K374" i="1" s="1"/>
  <c r="AE374" i="1"/>
  <c r="F374" i="1"/>
  <c r="AM374" i="1" s="1"/>
  <c r="AT373" i="1"/>
  <c r="K373" i="1" s="1"/>
  <c r="AE373" i="1"/>
  <c r="F373" i="1"/>
  <c r="AM373" i="1" s="1"/>
  <c r="AT372" i="1"/>
  <c r="AE372" i="1"/>
  <c r="K372" i="1"/>
  <c r="F372" i="1"/>
  <c r="AM372" i="1" s="1"/>
  <c r="AV371" i="1"/>
  <c r="AT371" i="1"/>
  <c r="K371" i="1" s="1"/>
  <c r="AE371" i="1"/>
  <c r="F371" i="1"/>
  <c r="AM371" i="1" s="1"/>
  <c r="AV370" i="1"/>
  <c r="AT370" i="1"/>
  <c r="K370" i="1" s="1"/>
  <c r="AE370" i="1"/>
  <c r="F370" i="1"/>
  <c r="AM370" i="1" s="1"/>
  <c r="A370" i="1"/>
  <c r="A371" i="1" s="1"/>
  <c r="A372" i="1" s="1"/>
  <c r="AT369" i="1"/>
  <c r="K369" i="1" s="1"/>
  <c r="AE369" i="1"/>
  <c r="F369" i="1"/>
  <c r="AM369" i="1" s="1"/>
  <c r="AT368" i="1"/>
  <c r="K368" i="1" s="1"/>
  <c r="AM368" i="1"/>
  <c r="AE368" i="1"/>
  <c r="F368" i="1"/>
  <c r="AT367" i="1"/>
  <c r="K367" i="1" s="1"/>
  <c r="AE367" i="1"/>
  <c r="F367" i="1"/>
  <c r="AT366" i="1"/>
  <c r="K366" i="1" s="1"/>
  <c r="AE366" i="1"/>
  <c r="F366" i="1"/>
  <c r="AM366" i="1" s="1"/>
  <c r="AT365" i="1"/>
  <c r="K365" i="1" s="1"/>
  <c r="AE365" i="1"/>
  <c r="F365" i="1"/>
  <c r="AT364" i="1"/>
  <c r="AM364" i="1"/>
  <c r="AE364" i="1"/>
  <c r="K364" i="1"/>
  <c r="F364" i="1"/>
  <c r="I364" i="1" s="1"/>
  <c r="AT363" i="1"/>
  <c r="AE363" i="1"/>
  <c r="K363" i="1"/>
  <c r="F363" i="1"/>
  <c r="AM363" i="1" s="1"/>
  <c r="AT362" i="1"/>
  <c r="K362" i="1" s="1"/>
  <c r="AE362" i="1"/>
  <c r="F362" i="1"/>
  <c r="A362" i="1"/>
  <c r="A363" i="1" s="1"/>
  <c r="AT361" i="1"/>
  <c r="K361" i="1" s="1"/>
  <c r="AE361" i="1"/>
  <c r="F361" i="1"/>
  <c r="AM361" i="1" s="1"/>
  <c r="AT360" i="1"/>
  <c r="K360" i="1" s="1"/>
  <c r="AM360" i="1"/>
  <c r="AE360" i="1"/>
  <c r="H360" i="1"/>
  <c r="F360" i="1"/>
  <c r="I360" i="1" s="1"/>
  <c r="A360" i="1"/>
  <c r="A361" i="1" s="1"/>
  <c r="AV361" i="1" s="1"/>
  <c r="AT359" i="1"/>
  <c r="K359" i="1" s="1"/>
  <c r="AE359" i="1"/>
  <c r="F359" i="1"/>
  <c r="I359" i="1" s="1"/>
  <c r="AT358" i="1"/>
  <c r="K358" i="1" s="1"/>
  <c r="AM358" i="1"/>
  <c r="AE358" i="1"/>
  <c r="F358" i="1"/>
  <c r="I358" i="1" s="1"/>
  <c r="AT357" i="1"/>
  <c r="K357" i="1" s="1"/>
  <c r="AE357" i="1"/>
  <c r="F357" i="1"/>
  <c r="I357" i="1" s="1"/>
  <c r="AT356" i="1"/>
  <c r="K356" i="1" s="1"/>
  <c r="AM356" i="1"/>
  <c r="AE356" i="1"/>
  <c r="I356" i="1"/>
  <c r="H356" i="1"/>
  <c r="F356" i="1"/>
  <c r="A356" i="1"/>
  <c r="A357" i="1" s="1"/>
  <c r="AT355" i="1"/>
  <c r="K355" i="1" s="1"/>
  <c r="AE355" i="1"/>
  <c r="F355" i="1"/>
  <c r="H355" i="1" s="1"/>
  <c r="AT354" i="1"/>
  <c r="AM354" i="1"/>
  <c r="AE354" i="1"/>
  <c r="K354" i="1"/>
  <c r="I354" i="1"/>
  <c r="F354" i="1"/>
  <c r="H354" i="1" s="1"/>
  <c r="AT353" i="1"/>
  <c r="AE353" i="1"/>
  <c r="K353" i="1"/>
  <c r="F353" i="1"/>
  <c r="A353" i="1"/>
  <c r="AT352" i="1"/>
  <c r="K352" i="1" s="1"/>
  <c r="AM352" i="1"/>
  <c r="AE352" i="1"/>
  <c r="I352" i="1"/>
  <c r="F352" i="1"/>
  <c r="H352" i="1" s="1"/>
  <c r="AT351" i="1"/>
  <c r="K351" i="1" s="1"/>
  <c r="AE351" i="1"/>
  <c r="I351" i="1"/>
  <c r="F351" i="1"/>
  <c r="AM351" i="1" s="1"/>
  <c r="AT350" i="1"/>
  <c r="AM350" i="1"/>
  <c r="AE350" i="1"/>
  <c r="K350" i="1"/>
  <c r="F350" i="1"/>
  <c r="I350" i="1" s="1"/>
  <c r="AT349" i="1"/>
  <c r="K349" i="1" s="1"/>
  <c r="AE349" i="1"/>
  <c r="I349" i="1"/>
  <c r="F349" i="1"/>
  <c r="A349" i="1"/>
  <c r="AT348" i="1"/>
  <c r="AM348" i="1"/>
  <c r="AE348" i="1"/>
  <c r="K348" i="1"/>
  <c r="I348" i="1"/>
  <c r="F348" i="1"/>
  <c r="H348" i="1" s="1"/>
  <c r="AT347" i="1"/>
  <c r="K347" i="1" s="1"/>
  <c r="AE347" i="1"/>
  <c r="I347" i="1"/>
  <c r="F347" i="1"/>
  <c r="AT346" i="1"/>
  <c r="K346" i="1" s="1"/>
  <c r="AE346" i="1"/>
  <c r="H346" i="1"/>
  <c r="F346" i="1"/>
  <c r="I346" i="1" s="1"/>
  <c r="AT345" i="1"/>
  <c r="K345" i="1" s="1"/>
  <c r="AE345" i="1"/>
  <c r="F345" i="1"/>
  <c r="AM345" i="1" s="1"/>
  <c r="AT344" i="1"/>
  <c r="K344" i="1" s="1"/>
  <c r="AM344" i="1"/>
  <c r="AE344" i="1"/>
  <c r="H344" i="1"/>
  <c r="F344" i="1"/>
  <c r="I344" i="1" s="1"/>
  <c r="A344" i="1"/>
  <c r="AV343" i="1"/>
  <c r="AT343" i="1"/>
  <c r="K343" i="1" s="1"/>
  <c r="AE343" i="1"/>
  <c r="F343" i="1"/>
  <c r="AM343" i="1" s="1"/>
  <c r="A343" i="1"/>
  <c r="AT342" i="1"/>
  <c r="F342" i="1"/>
  <c r="AV341" i="1"/>
  <c r="AT341" i="1"/>
  <c r="K341" i="1" s="1"/>
  <c r="AM341" i="1"/>
  <c r="AE341" i="1"/>
  <c r="F341" i="1"/>
  <c r="I341" i="1" s="1"/>
  <c r="A341" i="1"/>
  <c r="AT340" i="1"/>
  <c r="K340" i="1" s="1"/>
  <c r="AE340" i="1"/>
  <c r="I340" i="1"/>
  <c r="F340" i="1"/>
  <c r="AM340" i="1" s="1"/>
  <c r="AT339" i="1"/>
  <c r="K339" i="1" s="1"/>
  <c r="AE339" i="1"/>
  <c r="F339" i="1"/>
  <c r="H339" i="1" s="1"/>
  <c r="A339" i="1"/>
  <c r="A340" i="1" s="1"/>
  <c r="AV340" i="1" s="1"/>
  <c r="AT338" i="1"/>
  <c r="K338" i="1" s="1"/>
  <c r="AE338" i="1"/>
  <c r="F338" i="1"/>
  <c r="AM338" i="1" s="1"/>
  <c r="A338" i="1"/>
  <c r="AV338" i="1" s="1"/>
  <c r="AT337" i="1"/>
  <c r="K337" i="1" s="1"/>
  <c r="AM337" i="1"/>
  <c r="AE337" i="1"/>
  <c r="H337" i="1"/>
  <c r="F337" i="1"/>
  <c r="I337" i="1" s="1"/>
  <c r="AT336" i="1"/>
  <c r="K336" i="1" s="1"/>
  <c r="AE336" i="1"/>
  <c r="I336" i="1"/>
  <c r="F336" i="1"/>
  <c r="A336" i="1"/>
  <c r="AV336" i="1" s="1"/>
  <c r="AT335" i="1"/>
  <c r="AE335" i="1"/>
  <c r="K335" i="1"/>
  <c r="F335" i="1"/>
  <c r="AT334" i="1"/>
  <c r="K334" i="1" s="1"/>
  <c r="AE334" i="1"/>
  <c r="F334" i="1"/>
  <c r="I334" i="1" s="1"/>
  <c r="A334" i="1"/>
  <c r="A335" i="1" s="1"/>
  <c r="AV335" i="1" s="1"/>
  <c r="AT333" i="1"/>
  <c r="K333" i="1" s="1"/>
  <c r="AM333" i="1"/>
  <c r="AE333" i="1"/>
  <c r="F333" i="1"/>
  <c r="I333" i="1" s="1"/>
  <c r="A333" i="1"/>
  <c r="AV333" i="1" s="1"/>
  <c r="AV332" i="1"/>
  <c r="AT332" i="1"/>
  <c r="K332" i="1" s="1"/>
  <c r="AE332" i="1"/>
  <c r="F332" i="1"/>
  <c r="H332" i="1" s="1"/>
  <c r="AT331" i="1"/>
  <c r="K331" i="1" s="1"/>
  <c r="AM331" i="1"/>
  <c r="AE331" i="1"/>
  <c r="I331" i="1"/>
  <c r="H331" i="1"/>
  <c r="F331" i="1"/>
  <c r="A331" i="1"/>
  <c r="A332" i="1" s="1"/>
  <c r="AV330" i="1"/>
  <c r="AT330" i="1"/>
  <c r="AE330" i="1"/>
  <c r="K330" i="1"/>
  <c r="I330" i="1"/>
  <c r="F330" i="1"/>
  <c r="H330" i="1" s="1"/>
  <c r="A330" i="1"/>
  <c r="AT329" i="1"/>
  <c r="AE329" i="1"/>
  <c r="K329" i="1"/>
  <c r="I329" i="1"/>
  <c r="H329" i="1"/>
  <c r="F329" i="1"/>
  <c r="AM329" i="1" s="1"/>
  <c r="AT328" i="1"/>
  <c r="K328" i="1" s="1"/>
  <c r="AM328" i="1"/>
  <c r="AE328" i="1"/>
  <c r="I328" i="1"/>
  <c r="H328" i="1"/>
  <c r="F328" i="1"/>
  <c r="AT327" i="1"/>
  <c r="K327" i="1" s="1"/>
  <c r="AE327" i="1"/>
  <c r="F327" i="1"/>
  <c r="I327" i="1" s="1"/>
  <c r="A327" i="1"/>
  <c r="A328" i="1" s="1"/>
  <c r="AT326" i="1"/>
  <c r="AE326" i="1"/>
  <c r="K326" i="1"/>
  <c r="F326" i="1"/>
  <c r="AM326" i="1" s="1"/>
  <c r="AT325" i="1"/>
  <c r="AE325" i="1"/>
  <c r="K325" i="1"/>
  <c r="F325" i="1"/>
  <c r="AM325" i="1" s="1"/>
  <c r="AT324" i="1"/>
  <c r="K324" i="1" s="1"/>
  <c r="AE324" i="1"/>
  <c r="F324" i="1"/>
  <c r="AM324" i="1" s="1"/>
  <c r="A324" i="1"/>
  <c r="A325" i="1" s="1"/>
  <c r="AT323" i="1"/>
  <c r="K323" i="1" s="1"/>
  <c r="AM323" i="1"/>
  <c r="AE323" i="1"/>
  <c r="F323" i="1"/>
  <c r="I323" i="1" s="1"/>
  <c r="AT322" i="1"/>
  <c r="K322" i="1" s="1"/>
  <c r="AE322" i="1"/>
  <c r="F322" i="1"/>
  <c r="AM322" i="1" s="1"/>
  <c r="AT321" i="1"/>
  <c r="K321" i="1" s="1"/>
  <c r="AM321" i="1"/>
  <c r="AE321" i="1"/>
  <c r="F321" i="1"/>
  <c r="I321" i="1" s="1"/>
  <c r="AT320" i="1"/>
  <c r="K320" i="1" s="1"/>
  <c r="AE320" i="1"/>
  <c r="I320" i="1"/>
  <c r="F320" i="1"/>
  <c r="AM320" i="1" s="1"/>
  <c r="A320" i="1"/>
  <c r="AT319" i="1"/>
  <c r="K319" i="1" s="1"/>
  <c r="AE319" i="1"/>
  <c r="F319" i="1"/>
  <c r="H319" i="1" s="1"/>
  <c r="AT318" i="1"/>
  <c r="K318" i="1" s="1"/>
  <c r="AE318" i="1"/>
  <c r="F318" i="1"/>
  <c r="AM318" i="1" s="1"/>
  <c r="AT317" i="1"/>
  <c r="AE317" i="1"/>
  <c r="K317" i="1"/>
  <c r="I317" i="1"/>
  <c r="F317" i="1"/>
  <c r="AM317" i="1" s="1"/>
  <c r="AT316" i="1"/>
  <c r="K316" i="1" s="1"/>
  <c r="AE316" i="1"/>
  <c r="F316" i="1"/>
  <c r="AT315" i="1"/>
  <c r="K315" i="1" s="1"/>
  <c r="AE315" i="1"/>
  <c r="F315" i="1"/>
  <c r="AM315" i="1" s="1"/>
  <c r="AT314" i="1"/>
  <c r="K314" i="1" s="1"/>
  <c r="AE314" i="1"/>
  <c r="F314" i="1"/>
  <c r="I314" i="1" s="1"/>
  <c r="AT313" i="1"/>
  <c r="K313" i="1" s="1"/>
  <c r="AE313" i="1"/>
  <c r="F313" i="1"/>
  <c r="I313" i="1" s="1"/>
  <c r="AT312" i="1"/>
  <c r="K312" i="1" s="1"/>
  <c r="AE312" i="1"/>
  <c r="F312" i="1"/>
  <c r="H312" i="1" s="1"/>
  <c r="AT311" i="1"/>
  <c r="K311" i="1" s="1"/>
  <c r="AM311" i="1"/>
  <c r="AE311" i="1"/>
  <c r="F311" i="1"/>
  <c r="I311" i="1" s="1"/>
  <c r="A311" i="1"/>
  <c r="A312" i="1" s="1"/>
  <c r="AT310" i="1"/>
  <c r="K310" i="1" s="1"/>
  <c r="AE310" i="1"/>
  <c r="F310" i="1"/>
  <c r="H310" i="1" s="1"/>
  <c r="A310" i="1"/>
  <c r="AV310" i="1" s="1"/>
  <c r="AT309" i="1"/>
  <c r="K309" i="1" s="1"/>
  <c r="AM309" i="1"/>
  <c r="AE309" i="1"/>
  <c r="I309" i="1"/>
  <c r="H309" i="1"/>
  <c r="F309" i="1"/>
  <c r="AT308" i="1"/>
  <c r="K308" i="1" s="1"/>
  <c r="AM308" i="1"/>
  <c r="AE308" i="1"/>
  <c r="I308" i="1"/>
  <c r="H308" i="1"/>
  <c r="F308" i="1"/>
  <c r="AT307" i="1"/>
  <c r="AE307" i="1"/>
  <c r="K307" i="1"/>
  <c r="F307" i="1"/>
  <c r="I307" i="1" s="1"/>
  <c r="AT306" i="1"/>
  <c r="K306" i="1" s="1"/>
  <c r="AE306" i="1"/>
  <c r="F306" i="1"/>
  <c r="AM306" i="1" s="1"/>
  <c r="AT305" i="1"/>
  <c r="AE305" i="1"/>
  <c r="K305" i="1"/>
  <c r="F305" i="1"/>
  <c r="AT304" i="1"/>
  <c r="K304" i="1" s="1"/>
  <c r="AE304" i="1"/>
  <c r="I304" i="1"/>
  <c r="F304" i="1"/>
  <c r="AM304" i="1" s="1"/>
  <c r="AT303" i="1"/>
  <c r="K303" i="1" s="1"/>
  <c r="AM303" i="1"/>
  <c r="AE303" i="1"/>
  <c r="I303" i="1"/>
  <c r="H303" i="1"/>
  <c r="F303" i="1"/>
  <c r="AT302" i="1"/>
  <c r="K302" i="1" s="1"/>
  <c r="AE302" i="1"/>
  <c r="F302" i="1"/>
  <c r="H302" i="1" s="1"/>
  <c r="AT301" i="1"/>
  <c r="K301" i="1" s="1"/>
  <c r="AM301" i="1"/>
  <c r="AE301" i="1"/>
  <c r="H301" i="1"/>
  <c r="F301" i="1"/>
  <c r="I301" i="1" s="1"/>
  <c r="AT300" i="1"/>
  <c r="K300" i="1" s="1"/>
  <c r="AE300" i="1"/>
  <c r="F300" i="1"/>
  <c r="AT299" i="1"/>
  <c r="AM299" i="1"/>
  <c r="AE299" i="1"/>
  <c r="K299" i="1"/>
  <c r="F299" i="1"/>
  <c r="I299" i="1" s="1"/>
  <c r="AT298" i="1"/>
  <c r="K298" i="1" s="1"/>
  <c r="AE298" i="1"/>
  <c r="I298" i="1"/>
  <c r="F298" i="1"/>
  <c r="AM298" i="1" s="1"/>
  <c r="AT297" i="1"/>
  <c r="AE297" i="1"/>
  <c r="K297" i="1"/>
  <c r="F297" i="1"/>
  <c r="AM297" i="1" s="1"/>
  <c r="A297" i="1"/>
  <c r="AT296" i="1"/>
  <c r="K296" i="1" s="1"/>
  <c r="AE296" i="1"/>
  <c r="F296" i="1"/>
  <c r="I296" i="1" s="1"/>
  <c r="AT295" i="1"/>
  <c r="AE295" i="1"/>
  <c r="K295" i="1"/>
  <c r="F295" i="1"/>
  <c r="I295" i="1" s="1"/>
  <c r="AT294" i="1"/>
  <c r="K294" i="1" s="1"/>
  <c r="AM294" i="1"/>
  <c r="AE294" i="1"/>
  <c r="F294" i="1"/>
  <c r="H294" i="1" s="1"/>
  <c r="AT293" i="1"/>
  <c r="AE293" i="1"/>
  <c r="K293" i="1"/>
  <c r="F293" i="1"/>
  <c r="A293" i="1"/>
  <c r="A294" i="1" s="1"/>
  <c r="A295" i="1" s="1"/>
  <c r="AT292" i="1"/>
  <c r="K292" i="1" s="1"/>
  <c r="AE292" i="1"/>
  <c r="F292" i="1"/>
  <c r="H292" i="1" s="1"/>
  <c r="AT291" i="1"/>
  <c r="AM291" i="1"/>
  <c r="AE291" i="1"/>
  <c r="K291" i="1"/>
  <c r="F291" i="1"/>
  <c r="I291" i="1" s="1"/>
  <c r="AT290" i="1"/>
  <c r="AE290" i="1"/>
  <c r="K290" i="1"/>
  <c r="F290" i="1"/>
  <c r="AM290" i="1" s="1"/>
  <c r="AT289" i="1"/>
  <c r="K289" i="1" s="1"/>
  <c r="AE289" i="1"/>
  <c r="F289" i="1"/>
  <c r="AM289" i="1" s="1"/>
  <c r="AT288" i="1"/>
  <c r="K288" i="1" s="1"/>
  <c r="AE288" i="1"/>
  <c r="F288" i="1"/>
  <c r="AM288" i="1" s="1"/>
  <c r="AT287" i="1"/>
  <c r="K287" i="1" s="1"/>
  <c r="AM287" i="1"/>
  <c r="AE287" i="1"/>
  <c r="F287" i="1"/>
  <c r="I287" i="1" s="1"/>
  <c r="AT286" i="1"/>
  <c r="K286" i="1" s="1"/>
  <c r="AE286" i="1"/>
  <c r="I286" i="1"/>
  <c r="H286" i="1"/>
  <c r="F286" i="1"/>
  <c r="AM286" i="1" s="1"/>
  <c r="AT285" i="1"/>
  <c r="AM285" i="1"/>
  <c r="AE285" i="1"/>
  <c r="K285" i="1"/>
  <c r="H285" i="1"/>
  <c r="F285" i="1"/>
  <c r="I285" i="1" s="1"/>
  <c r="AT284" i="1"/>
  <c r="K284" i="1" s="1"/>
  <c r="AE284" i="1"/>
  <c r="F284" i="1"/>
  <c r="AM284" i="1" s="1"/>
  <c r="A284" i="1"/>
  <c r="AT283" i="1"/>
  <c r="K283" i="1" s="1"/>
  <c r="AM283" i="1"/>
  <c r="AE283" i="1"/>
  <c r="H283" i="1"/>
  <c r="F283" i="1"/>
  <c r="I283" i="1" s="1"/>
  <c r="AT282" i="1"/>
  <c r="K282" i="1" s="1"/>
  <c r="AE282" i="1"/>
  <c r="F282" i="1"/>
  <c r="H282" i="1" s="1"/>
  <c r="AT281" i="1"/>
  <c r="AE281" i="1"/>
  <c r="K281" i="1"/>
  <c r="F281" i="1"/>
  <c r="H281" i="1" s="1"/>
  <c r="AT280" i="1"/>
  <c r="K280" i="1" s="1"/>
  <c r="AE280" i="1"/>
  <c r="F280" i="1"/>
  <c r="I280" i="1" s="1"/>
  <c r="AT279" i="1"/>
  <c r="K279" i="1" s="1"/>
  <c r="AE279" i="1"/>
  <c r="F279" i="1"/>
  <c r="I279" i="1" s="1"/>
  <c r="AT278" i="1"/>
  <c r="K278" i="1" s="1"/>
  <c r="AE278" i="1"/>
  <c r="F278" i="1"/>
  <c r="AM278" i="1" s="1"/>
  <c r="AT277" i="1"/>
  <c r="K277" i="1" s="1"/>
  <c r="AE277" i="1"/>
  <c r="I277" i="1"/>
  <c r="F277" i="1"/>
  <c r="AM277" i="1" s="1"/>
  <c r="AT276" i="1"/>
  <c r="AE276" i="1"/>
  <c r="K276" i="1"/>
  <c r="F276" i="1"/>
  <c r="I276" i="1" s="1"/>
  <c r="AT275" i="1"/>
  <c r="K275" i="1" s="1"/>
  <c r="AM275" i="1"/>
  <c r="AE275" i="1"/>
  <c r="F275" i="1"/>
  <c r="H275" i="1" s="1"/>
  <c r="A275" i="1"/>
  <c r="A276" i="1" s="1"/>
  <c r="AT274" i="1"/>
  <c r="K274" i="1" s="1"/>
  <c r="AM274" i="1"/>
  <c r="AE274" i="1"/>
  <c r="I274" i="1"/>
  <c r="F274" i="1"/>
  <c r="H274" i="1" s="1"/>
  <c r="AT273" i="1"/>
  <c r="K273" i="1" s="1"/>
  <c r="AE273" i="1"/>
  <c r="F273" i="1"/>
  <c r="I273" i="1" s="1"/>
  <c r="AT272" i="1"/>
  <c r="K272" i="1" s="1"/>
  <c r="AE272" i="1"/>
  <c r="F272" i="1"/>
  <c r="H272" i="1" s="1"/>
  <c r="AT271" i="1"/>
  <c r="AE271" i="1"/>
  <c r="K271" i="1"/>
  <c r="F271" i="1"/>
  <c r="I271" i="1" s="1"/>
  <c r="AT270" i="1"/>
  <c r="K270" i="1" s="1"/>
  <c r="AE270" i="1"/>
  <c r="F270" i="1"/>
  <c r="H270" i="1" s="1"/>
  <c r="AT269" i="1"/>
  <c r="AE269" i="1"/>
  <c r="K269" i="1"/>
  <c r="F269" i="1"/>
  <c r="AM269" i="1" s="1"/>
  <c r="AT268" i="1"/>
  <c r="K268" i="1" s="1"/>
  <c r="AM268" i="1"/>
  <c r="AE268" i="1"/>
  <c r="I268" i="1"/>
  <c r="F268" i="1"/>
  <c r="H268" i="1" s="1"/>
  <c r="AT267" i="1"/>
  <c r="AE267" i="1"/>
  <c r="K267" i="1"/>
  <c r="F267" i="1"/>
  <c r="I267" i="1" s="1"/>
  <c r="AT266" i="1"/>
  <c r="K266" i="1" s="1"/>
  <c r="AE266" i="1"/>
  <c r="F266" i="1"/>
  <c r="AM266" i="1" s="1"/>
  <c r="A266" i="1"/>
  <c r="AV266" i="1" s="1"/>
  <c r="AT265" i="1"/>
  <c r="K265" i="1" s="1"/>
  <c r="AE265" i="1"/>
  <c r="F265" i="1"/>
  <c r="H265" i="1" s="1"/>
  <c r="AT264" i="1"/>
  <c r="K264" i="1" s="1"/>
  <c r="AE264" i="1"/>
  <c r="I264" i="1"/>
  <c r="H264" i="1"/>
  <c r="F264" i="1"/>
  <c r="AM264" i="1" s="1"/>
  <c r="AT263" i="1"/>
  <c r="K263" i="1" s="1"/>
  <c r="AE263" i="1"/>
  <c r="F263" i="1"/>
  <c r="I263" i="1" s="1"/>
  <c r="A263" i="1"/>
  <c r="A264" i="1" s="1"/>
  <c r="AT262" i="1"/>
  <c r="F262" i="1"/>
  <c r="AT261" i="1"/>
  <c r="K261" i="1" s="1"/>
  <c r="F261" i="1"/>
  <c r="H261" i="1" s="1"/>
  <c r="A261" i="1"/>
  <c r="AV261" i="1" s="1"/>
  <c r="AT260" i="1"/>
  <c r="K260" i="1" s="1"/>
  <c r="F260" i="1"/>
  <c r="AM260" i="1" s="1"/>
  <c r="A260" i="1"/>
  <c r="AV260" i="1" s="1"/>
  <c r="AT259" i="1"/>
  <c r="K259" i="1" s="1"/>
  <c r="AM259" i="1"/>
  <c r="I259" i="1"/>
  <c r="F259" i="1"/>
  <c r="H259" i="1" s="1"/>
  <c r="AT258" i="1"/>
  <c r="K258" i="1" s="1"/>
  <c r="F258" i="1"/>
  <c r="I258" i="1" s="1"/>
  <c r="A258" i="1"/>
  <c r="AV258" i="1" s="1"/>
  <c r="AT257" i="1"/>
  <c r="K257" i="1" s="1"/>
  <c r="F257" i="1"/>
  <c r="AM257" i="1" s="1"/>
  <c r="A257" i="1"/>
  <c r="AV257" i="1" s="1"/>
  <c r="AT256" i="1"/>
  <c r="K256" i="1" s="1"/>
  <c r="F256" i="1"/>
  <c r="AV255" i="1"/>
  <c r="AT255" i="1"/>
  <c r="K255" i="1" s="1"/>
  <c r="I255" i="1"/>
  <c r="F255" i="1"/>
  <c r="H255" i="1" s="1"/>
  <c r="A255" i="1"/>
  <c r="A256" i="1" s="1"/>
  <c r="AV256" i="1" s="1"/>
  <c r="AT254" i="1"/>
  <c r="K254" i="1" s="1"/>
  <c r="F254" i="1"/>
  <c r="AM254" i="1" s="1"/>
  <c r="AT253" i="1"/>
  <c r="K253" i="1" s="1"/>
  <c r="I253" i="1"/>
  <c r="H253" i="1"/>
  <c r="F253" i="1"/>
  <c r="AM253" i="1" s="1"/>
  <c r="A253" i="1"/>
  <c r="AV253" i="1" s="1"/>
  <c r="AT252" i="1"/>
  <c r="K252" i="1" s="1"/>
  <c r="F252" i="1"/>
  <c r="AT251" i="1"/>
  <c r="K251" i="1"/>
  <c r="H251" i="1"/>
  <c r="F251" i="1"/>
  <c r="AT250" i="1"/>
  <c r="K250" i="1" s="1"/>
  <c r="AM250" i="1"/>
  <c r="F250" i="1"/>
  <c r="I250" i="1" s="1"/>
  <c r="AT249" i="1"/>
  <c r="AM249" i="1"/>
  <c r="K249" i="1"/>
  <c r="I249" i="1"/>
  <c r="H249" i="1"/>
  <c r="F249" i="1"/>
  <c r="A249" i="1"/>
  <c r="AV249" i="1" s="1"/>
  <c r="AT248" i="1"/>
  <c r="K248" i="1" s="1"/>
  <c r="F248" i="1"/>
  <c r="AV247" i="1"/>
  <c r="AT247" i="1"/>
  <c r="K247" i="1" s="1"/>
  <c r="F247" i="1"/>
  <c r="H247" i="1" s="1"/>
  <c r="A247" i="1"/>
  <c r="A248" i="1" s="1"/>
  <c r="AV248" i="1" s="1"/>
  <c r="AT246" i="1"/>
  <c r="K246" i="1" s="1"/>
  <c r="F246" i="1"/>
  <c r="AT245" i="1"/>
  <c r="K245" i="1" s="1"/>
  <c r="F245" i="1"/>
  <c r="AM245" i="1" s="1"/>
  <c r="A245" i="1"/>
  <c r="A246" i="1" s="1"/>
  <c r="AV246" i="1" s="1"/>
  <c r="AT244" i="1"/>
  <c r="K244" i="1" s="1"/>
  <c r="AM244" i="1"/>
  <c r="F244" i="1"/>
  <c r="I244" i="1" s="1"/>
  <c r="A244" i="1"/>
  <c r="AV244" i="1" s="1"/>
  <c r="AT243" i="1"/>
  <c r="K243" i="1" s="1"/>
  <c r="F243" i="1"/>
  <c r="AM243" i="1" s="1"/>
  <c r="AT242" i="1"/>
  <c r="AM242" i="1"/>
  <c r="K242" i="1"/>
  <c r="I242" i="1"/>
  <c r="H242" i="1"/>
  <c r="F242" i="1"/>
  <c r="AT241" i="1"/>
  <c r="K241" i="1"/>
  <c r="F241" i="1"/>
  <c r="H241" i="1" s="1"/>
  <c r="A241" i="1"/>
  <c r="A242" i="1" s="1"/>
  <c r="AV242" i="1" s="1"/>
  <c r="AT240" i="1"/>
  <c r="K240" i="1" s="1"/>
  <c r="F240" i="1"/>
  <c r="AM240" i="1" s="1"/>
  <c r="AT239" i="1"/>
  <c r="K239" i="1" s="1"/>
  <c r="AM239" i="1"/>
  <c r="H239" i="1"/>
  <c r="F239" i="1"/>
  <c r="I239" i="1" s="1"/>
  <c r="AT238" i="1"/>
  <c r="K238" i="1" s="1"/>
  <c r="AM238" i="1"/>
  <c r="F238" i="1"/>
  <c r="I238" i="1" s="1"/>
  <c r="A238" i="1"/>
  <c r="AV238" i="1" s="1"/>
  <c r="AT237" i="1"/>
  <c r="K237" i="1" s="1"/>
  <c r="AM237" i="1"/>
  <c r="F237" i="1"/>
  <c r="I237" i="1" s="1"/>
  <c r="AT236" i="1"/>
  <c r="K236" i="1" s="1"/>
  <c r="F236" i="1"/>
  <c r="H236" i="1" s="1"/>
  <c r="AT235" i="1"/>
  <c r="K235" i="1" s="1"/>
  <c r="I235" i="1"/>
  <c r="H235" i="1"/>
  <c r="F235" i="1"/>
  <c r="AM235" i="1" s="1"/>
  <c r="AT234" i="1"/>
  <c r="K234" i="1"/>
  <c r="I234" i="1"/>
  <c r="H234" i="1"/>
  <c r="F234" i="1"/>
  <c r="AM234" i="1" s="1"/>
  <c r="AT233" i="1"/>
  <c r="K233" i="1" s="1"/>
  <c r="I233" i="1"/>
  <c r="H233" i="1"/>
  <c r="F233" i="1"/>
  <c r="AM233" i="1" s="1"/>
  <c r="AT232" i="1"/>
  <c r="K232" i="1" s="1"/>
  <c r="AM232" i="1"/>
  <c r="I232" i="1"/>
  <c r="H232" i="1"/>
  <c r="F232" i="1"/>
  <c r="AT231" i="1"/>
  <c r="K231" i="1" s="1"/>
  <c r="F231" i="1"/>
  <c r="H231" i="1" s="1"/>
  <c r="AT230" i="1"/>
  <c r="K230" i="1"/>
  <c r="F230" i="1"/>
  <c r="H230" i="1" s="1"/>
  <c r="AT229" i="1"/>
  <c r="K229" i="1" s="1"/>
  <c r="F229" i="1"/>
  <c r="AT228" i="1"/>
  <c r="K228" i="1"/>
  <c r="F228" i="1"/>
  <c r="H228" i="1" s="1"/>
  <c r="A228" i="1"/>
  <c r="AV228" i="1" s="1"/>
  <c r="AT227" i="1"/>
  <c r="K227" i="1" s="1"/>
  <c r="AM227" i="1"/>
  <c r="I227" i="1"/>
  <c r="F227" i="1"/>
  <c r="H227" i="1" s="1"/>
  <c r="AT226" i="1"/>
  <c r="K226" i="1" s="1"/>
  <c r="F226" i="1"/>
  <c r="H226" i="1" s="1"/>
  <c r="AT225" i="1"/>
  <c r="K225" i="1" s="1"/>
  <c r="F225" i="1"/>
  <c r="I225" i="1" s="1"/>
  <c r="AT224" i="1"/>
  <c r="K224" i="1"/>
  <c r="H224" i="1"/>
  <c r="F224" i="1"/>
  <c r="AT223" i="1"/>
  <c r="K223" i="1"/>
  <c r="F223" i="1"/>
  <c r="AM223" i="1" s="1"/>
  <c r="AT222" i="1"/>
  <c r="K222" i="1"/>
  <c r="F222" i="1"/>
  <c r="H222" i="1" s="1"/>
  <c r="AT221" i="1"/>
  <c r="K221" i="1" s="1"/>
  <c r="F221" i="1"/>
  <c r="H221" i="1" s="1"/>
  <c r="AT220" i="1"/>
  <c r="K220" i="1" s="1"/>
  <c r="F220" i="1"/>
  <c r="H220" i="1" s="1"/>
  <c r="AT219" i="1"/>
  <c r="K219" i="1" s="1"/>
  <c r="F219" i="1"/>
  <c r="AM219" i="1" s="1"/>
  <c r="AT218" i="1"/>
  <c r="K218" i="1" s="1"/>
  <c r="F218" i="1"/>
  <c r="AM218" i="1" s="1"/>
  <c r="AT217" i="1"/>
  <c r="K217" i="1" s="1"/>
  <c r="F217" i="1"/>
  <c r="AM217" i="1" s="1"/>
  <c r="AT216" i="1"/>
  <c r="K216" i="1" s="1"/>
  <c r="F216" i="1"/>
  <c r="H216" i="1" s="1"/>
  <c r="AT215" i="1"/>
  <c r="K215" i="1"/>
  <c r="F215" i="1"/>
  <c r="AM215" i="1" s="1"/>
  <c r="AT214" i="1"/>
  <c r="K214" i="1" s="1"/>
  <c r="AM214" i="1"/>
  <c r="F214" i="1"/>
  <c r="I214" i="1" s="1"/>
  <c r="A214" i="1"/>
  <c r="AT213" i="1"/>
  <c r="K213" i="1" s="1"/>
  <c r="F213" i="1"/>
  <c r="AM213" i="1" s="1"/>
  <c r="AT212" i="1"/>
  <c r="K212" i="1" s="1"/>
  <c r="AM212" i="1"/>
  <c r="F212" i="1"/>
  <c r="H212" i="1" s="1"/>
  <c r="AT211" i="1"/>
  <c r="K211" i="1" s="1"/>
  <c r="F211" i="1"/>
  <c r="AT210" i="1"/>
  <c r="K210" i="1" s="1"/>
  <c r="F210" i="1"/>
  <c r="AM210" i="1" s="1"/>
  <c r="AT209" i="1"/>
  <c r="AM209" i="1"/>
  <c r="K209" i="1"/>
  <c r="I209" i="1"/>
  <c r="F209" i="1"/>
  <c r="H209" i="1" s="1"/>
  <c r="AT208" i="1"/>
  <c r="K208" i="1" s="1"/>
  <c r="H208" i="1"/>
  <c r="F208" i="1"/>
  <c r="AT207" i="1"/>
  <c r="K207" i="1" s="1"/>
  <c r="F207" i="1"/>
  <c r="AM207" i="1" s="1"/>
  <c r="A207" i="1"/>
  <c r="AV207" i="1" s="1"/>
  <c r="AV206" i="1"/>
  <c r="AT206" i="1"/>
  <c r="K206" i="1" s="1"/>
  <c r="F206" i="1"/>
  <c r="H206" i="1" s="1"/>
  <c r="A206" i="1"/>
  <c r="AT205" i="1"/>
  <c r="K205" i="1"/>
  <c r="F205" i="1"/>
  <c r="AM205" i="1" s="1"/>
  <c r="AT204" i="1"/>
  <c r="K204" i="1" s="1"/>
  <c r="AM204" i="1"/>
  <c r="F204" i="1"/>
  <c r="I204" i="1" s="1"/>
  <c r="AT203" i="1"/>
  <c r="K203" i="1"/>
  <c r="F203" i="1"/>
  <c r="H203" i="1" s="1"/>
  <c r="AT202" i="1"/>
  <c r="AM202" i="1"/>
  <c r="K202" i="1"/>
  <c r="I202" i="1"/>
  <c r="H202" i="1"/>
  <c r="F202" i="1"/>
  <c r="AT201" i="1"/>
  <c r="K201" i="1" s="1"/>
  <c r="F201" i="1"/>
  <c r="H201" i="1" s="1"/>
  <c r="AT200" i="1"/>
  <c r="K200" i="1" s="1"/>
  <c r="F200" i="1"/>
  <c r="AM200" i="1" s="1"/>
  <c r="AT199" i="1"/>
  <c r="K199" i="1" s="1"/>
  <c r="AM199" i="1"/>
  <c r="I199" i="1"/>
  <c r="H199" i="1"/>
  <c r="F199" i="1"/>
  <c r="AT198" i="1"/>
  <c r="K198" i="1" s="1"/>
  <c r="F198" i="1"/>
  <c r="AT197" i="1"/>
  <c r="K197" i="1"/>
  <c r="F197" i="1"/>
  <c r="AM197" i="1" s="1"/>
  <c r="AT196" i="1"/>
  <c r="K196" i="1" s="1"/>
  <c r="F196" i="1"/>
  <c r="H196" i="1" s="1"/>
  <c r="A196" i="1"/>
  <c r="A197" i="1" s="1"/>
  <c r="AT195" i="1"/>
  <c r="K195" i="1" s="1"/>
  <c r="F195" i="1"/>
  <c r="AM195" i="1" s="1"/>
  <c r="AT194" i="1"/>
  <c r="K194" i="1" s="1"/>
  <c r="AM194" i="1"/>
  <c r="F194" i="1"/>
  <c r="I194" i="1" s="1"/>
  <c r="AT193" i="1"/>
  <c r="AM193" i="1"/>
  <c r="K193" i="1"/>
  <c r="I193" i="1"/>
  <c r="F193" i="1"/>
  <c r="H193" i="1" s="1"/>
  <c r="AT192" i="1"/>
  <c r="K192" i="1" s="1"/>
  <c r="H192" i="1"/>
  <c r="F192" i="1"/>
  <c r="AM192" i="1" s="1"/>
  <c r="AT191" i="1"/>
  <c r="K191" i="1" s="1"/>
  <c r="I191" i="1"/>
  <c r="F191" i="1"/>
  <c r="AM191" i="1" s="1"/>
  <c r="AT190" i="1"/>
  <c r="K190" i="1" s="1"/>
  <c r="F190" i="1"/>
  <c r="AM190" i="1" s="1"/>
  <c r="AT189" i="1"/>
  <c r="K189" i="1" s="1"/>
  <c r="AM189" i="1"/>
  <c r="I189" i="1"/>
  <c r="F189" i="1"/>
  <c r="H189" i="1" s="1"/>
  <c r="AT188" i="1"/>
  <c r="K188" i="1" s="1"/>
  <c r="F188" i="1"/>
  <c r="AM188" i="1" s="1"/>
  <c r="AT187" i="1"/>
  <c r="K187" i="1" s="1"/>
  <c r="F187" i="1"/>
  <c r="AM187" i="1" s="1"/>
  <c r="A187" i="1"/>
  <c r="A188" i="1" s="1"/>
  <c r="AT186" i="1"/>
  <c r="K186" i="1" s="1"/>
  <c r="F186" i="1"/>
  <c r="AM186" i="1" s="1"/>
  <c r="AT185" i="1"/>
  <c r="K185" i="1" s="1"/>
  <c r="H185" i="1"/>
  <c r="F185" i="1"/>
  <c r="AM185" i="1" s="1"/>
  <c r="AT184" i="1"/>
  <c r="K184" i="1" s="1"/>
  <c r="F184" i="1"/>
  <c r="H184" i="1" s="1"/>
  <c r="AT183" i="1"/>
  <c r="K183" i="1" s="1"/>
  <c r="AM183" i="1"/>
  <c r="F183" i="1"/>
  <c r="I183" i="1" s="1"/>
  <c r="AT182" i="1"/>
  <c r="K182" i="1" s="1"/>
  <c r="F182" i="1"/>
  <c r="AT181" i="1"/>
  <c r="K181" i="1"/>
  <c r="F181" i="1"/>
  <c r="AM181" i="1" s="1"/>
  <c r="AT180" i="1"/>
  <c r="AM180" i="1"/>
  <c r="K180" i="1"/>
  <c r="F180" i="1"/>
  <c r="I180" i="1" s="1"/>
  <c r="AT179" i="1"/>
  <c r="AM179" i="1"/>
  <c r="K179" i="1"/>
  <c r="F179" i="1"/>
  <c r="I179" i="1" s="1"/>
  <c r="AT178" i="1"/>
  <c r="K178" i="1"/>
  <c r="F178" i="1"/>
  <c r="AM178" i="1" s="1"/>
  <c r="A178" i="1"/>
  <c r="AV178" i="1" s="1"/>
  <c r="AT177" i="1"/>
  <c r="K177" i="1" s="1"/>
  <c r="F177" i="1"/>
  <c r="H177" i="1" s="1"/>
  <c r="AT176" i="1"/>
  <c r="K176" i="1" s="1"/>
  <c r="I176" i="1"/>
  <c r="F176" i="1"/>
  <c r="AM176" i="1" s="1"/>
  <c r="A176" i="1"/>
  <c r="A177" i="1" s="1"/>
  <c r="AV177" i="1" s="1"/>
  <c r="AT175" i="1"/>
  <c r="F175" i="1"/>
  <c r="AT174" i="1"/>
  <c r="AE174" i="1"/>
  <c r="K174" i="1"/>
  <c r="I174" i="1"/>
  <c r="H174" i="1"/>
  <c r="F174" i="1"/>
  <c r="AT173" i="1"/>
  <c r="K173" i="1" s="1"/>
  <c r="AE173" i="1"/>
  <c r="I173" i="1"/>
  <c r="H173" i="1"/>
  <c r="F173" i="1"/>
  <c r="AT172" i="1"/>
  <c r="AE172" i="1"/>
  <c r="K172" i="1"/>
  <c r="I172" i="1"/>
  <c r="H172" i="1"/>
  <c r="F172" i="1"/>
  <c r="AT171" i="1"/>
  <c r="K171" i="1" s="1"/>
  <c r="AE171" i="1"/>
  <c r="I171" i="1"/>
  <c r="H171" i="1"/>
  <c r="F171" i="1"/>
  <c r="AT170" i="1"/>
  <c r="K170" i="1" s="1"/>
  <c r="AE170" i="1"/>
  <c r="I170" i="1"/>
  <c r="H170" i="1"/>
  <c r="F170" i="1"/>
  <c r="AT169" i="1"/>
  <c r="K169" i="1" s="1"/>
  <c r="AE169" i="1"/>
  <c r="I169" i="1"/>
  <c r="H169" i="1"/>
  <c r="F169" i="1"/>
  <c r="AT168" i="1"/>
  <c r="AE168" i="1"/>
  <c r="K168" i="1"/>
  <c r="I168" i="1"/>
  <c r="H168" i="1"/>
  <c r="F168" i="1"/>
  <c r="AT167" i="1"/>
  <c r="K167" i="1" s="1"/>
  <c r="AE167" i="1"/>
  <c r="I167" i="1"/>
  <c r="H167" i="1"/>
  <c r="F167" i="1"/>
  <c r="AT166" i="1"/>
  <c r="K166" i="1" s="1"/>
  <c r="AE166" i="1"/>
  <c r="I166" i="1"/>
  <c r="H166" i="1"/>
  <c r="F166" i="1"/>
  <c r="AT165" i="1"/>
  <c r="K165" i="1" s="1"/>
  <c r="AE165" i="1"/>
  <c r="I165" i="1"/>
  <c r="H165" i="1"/>
  <c r="F165" i="1"/>
  <c r="AT164" i="1"/>
  <c r="K164" i="1" s="1"/>
  <c r="AE164" i="1"/>
  <c r="I164" i="1"/>
  <c r="H164" i="1"/>
  <c r="F164" i="1"/>
  <c r="AM164" i="1" s="1"/>
  <c r="AT163" i="1"/>
  <c r="K163" i="1" s="1"/>
  <c r="AE163" i="1"/>
  <c r="I163" i="1"/>
  <c r="H163" i="1"/>
  <c r="F163" i="1"/>
  <c r="AT162" i="1"/>
  <c r="AE162" i="1"/>
  <c r="K162" i="1"/>
  <c r="I162" i="1"/>
  <c r="H162" i="1"/>
  <c r="F162" i="1"/>
  <c r="AT161" i="1"/>
  <c r="K161" i="1" s="1"/>
  <c r="AE161" i="1"/>
  <c r="I161" i="1"/>
  <c r="H161" i="1"/>
  <c r="F161" i="1"/>
  <c r="AT160" i="1"/>
  <c r="K160" i="1" s="1"/>
  <c r="AE160" i="1"/>
  <c r="I160" i="1"/>
  <c r="H160" i="1"/>
  <c r="F160" i="1"/>
  <c r="AT159" i="1"/>
  <c r="K159" i="1" s="1"/>
  <c r="AE159" i="1"/>
  <c r="I159" i="1"/>
  <c r="H159" i="1"/>
  <c r="F159" i="1"/>
  <c r="AT158" i="1"/>
  <c r="AE158" i="1"/>
  <c r="K158" i="1"/>
  <c r="I158" i="1"/>
  <c r="H158" i="1"/>
  <c r="F158" i="1"/>
  <c r="AT157" i="1"/>
  <c r="K157" i="1" s="1"/>
  <c r="AE157" i="1"/>
  <c r="I157" i="1"/>
  <c r="H157" i="1"/>
  <c r="F157" i="1"/>
  <c r="AT156" i="1"/>
  <c r="K156" i="1" s="1"/>
  <c r="AE156" i="1"/>
  <c r="I156" i="1"/>
  <c r="H156" i="1"/>
  <c r="F156" i="1"/>
  <c r="AT155" i="1"/>
  <c r="K155" i="1" s="1"/>
  <c r="AE155" i="1"/>
  <c r="I155" i="1"/>
  <c r="H155" i="1"/>
  <c r="F155" i="1"/>
  <c r="AT154" i="1"/>
  <c r="K154" i="1" s="1"/>
  <c r="AM154" i="1"/>
  <c r="AE154" i="1"/>
  <c r="I154" i="1"/>
  <c r="H154" i="1"/>
  <c r="F154" i="1"/>
  <c r="AT153" i="1"/>
  <c r="F153" i="1"/>
  <c r="AT152" i="1"/>
  <c r="K152" i="1" s="1"/>
  <c r="I152" i="1"/>
  <c r="H152" i="1"/>
  <c r="F152" i="1"/>
  <c r="AT151" i="1"/>
  <c r="K151" i="1" s="1"/>
  <c r="I151" i="1"/>
  <c r="H151" i="1"/>
  <c r="F151" i="1"/>
  <c r="AT150" i="1"/>
  <c r="K150" i="1" s="1"/>
  <c r="I150" i="1"/>
  <c r="H150" i="1"/>
  <c r="F150" i="1"/>
  <c r="AT149" i="1"/>
  <c r="AM149" i="1"/>
  <c r="K149" i="1"/>
  <c r="I149" i="1"/>
  <c r="H149" i="1"/>
  <c r="F149" i="1"/>
  <c r="AT148" i="1"/>
  <c r="K148" i="1" s="1"/>
  <c r="I148" i="1"/>
  <c r="H148" i="1"/>
  <c r="F148" i="1"/>
  <c r="AT147" i="1"/>
  <c r="K147" i="1" s="1"/>
  <c r="I147" i="1"/>
  <c r="H147" i="1"/>
  <c r="F147" i="1"/>
  <c r="AT146" i="1"/>
  <c r="K146" i="1" s="1"/>
  <c r="I146" i="1"/>
  <c r="H146" i="1"/>
  <c r="F146" i="1"/>
  <c r="AT145" i="1"/>
  <c r="K145" i="1"/>
  <c r="I145" i="1"/>
  <c r="H145" i="1"/>
  <c r="F145" i="1"/>
  <c r="AT144" i="1"/>
  <c r="K144" i="1" s="1"/>
  <c r="I144" i="1"/>
  <c r="H144" i="1"/>
  <c r="F144" i="1"/>
  <c r="AT143" i="1"/>
  <c r="K143" i="1"/>
  <c r="I143" i="1"/>
  <c r="H143" i="1"/>
  <c r="F143" i="1"/>
  <c r="AT142" i="1"/>
  <c r="K142" i="1"/>
  <c r="I142" i="1"/>
  <c r="H142" i="1"/>
  <c r="F142" i="1"/>
  <c r="AT141" i="1"/>
  <c r="K141" i="1" s="1"/>
  <c r="I141" i="1"/>
  <c r="H141" i="1"/>
  <c r="F141" i="1"/>
  <c r="AT140" i="1"/>
  <c r="K140" i="1" s="1"/>
  <c r="I140" i="1"/>
  <c r="H140" i="1"/>
  <c r="F140" i="1"/>
  <c r="AT139" i="1"/>
  <c r="K139" i="1" s="1"/>
  <c r="I139" i="1"/>
  <c r="H139" i="1"/>
  <c r="F139" i="1"/>
  <c r="AT138" i="1"/>
  <c r="K138" i="1"/>
  <c r="I138" i="1"/>
  <c r="H138" i="1"/>
  <c r="F138" i="1"/>
  <c r="AT137" i="1"/>
  <c r="K137" i="1" s="1"/>
  <c r="I137" i="1"/>
  <c r="H137" i="1"/>
  <c r="F137" i="1"/>
  <c r="AT136" i="1"/>
  <c r="K136" i="1" s="1"/>
  <c r="I136" i="1"/>
  <c r="H136" i="1"/>
  <c r="F136" i="1"/>
  <c r="AT135" i="1"/>
  <c r="K135" i="1" s="1"/>
  <c r="I135" i="1"/>
  <c r="H135" i="1"/>
  <c r="F135" i="1"/>
  <c r="AT134" i="1"/>
  <c r="K134" i="1"/>
  <c r="I134" i="1"/>
  <c r="H134" i="1"/>
  <c r="F134" i="1"/>
  <c r="AT133" i="1"/>
  <c r="I133" i="1"/>
  <c r="H133" i="1"/>
  <c r="F133" i="1"/>
  <c r="AT132" i="1"/>
  <c r="K132" i="1" s="1"/>
  <c r="I132" i="1"/>
  <c r="H132" i="1"/>
  <c r="F132" i="1"/>
  <c r="AT131" i="1"/>
  <c r="K131" i="1"/>
  <c r="I131" i="1"/>
  <c r="H131" i="1"/>
  <c r="F131" i="1"/>
  <c r="AT130" i="1"/>
  <c r="K130" i="1" s="1"/>
  <c r="I130" i="1"/>
  <c r="H130" i="1"/>
  <c r="F130" i="1"/>
  <c r="AT129" i="1"/>
  <c r="K129" i="1"/>
  <c r="I129" i="1"/>
  <c r="H129" i="1"/>
  <c r="F129" i="1"/>
  <c r="AT128" i="1"/>
  <c r="K128" i="1" s="1"/>
  <c r="I128" i="1"/>
  <c r="H128" i="1"/>
  <c r="F128" i="1"/>
  <c r="AT127" i="1"/>
  <c r="K127" i="1"/>
  <c r="I127" i="1"/>
  <c r="H127" i="1"/>
  <c r="F127" i="1"/>
  <c r="AT126" i="1"/>
  <c r="K126" i="1"/>
  <c r="I126" i="1"/>
  <c r="H126" i="1"/>
  <c r="F126" i="1"/>
  <c r="AT125" i="1"/>
  <c r="K125" i="1"/>
  <c r="I125" i="1"/>
  <c r="H125" i="1"/>
  <c r="F125" i="1"/>
  <c r="AM125" i="1" s="1"/>
  <c r="AT124" i="1"/>
  <c r="K124" i="1" s="1"/>
  <c r="I124" i="1"/>
  <c r="H124" i="1"/>
  <c r="F124" i="1"/>
  <c r="AT123" i="1"/>
  <c r="K123" i="1" s="1"/>
  <c r="I123" i="1"/>
  <c r="H123" i="1"/>
  <c r="F123" i="1"/>
  <c r="AT122" i="1"/>
  <c r="K122" i="1"/>
  <c r="I122" i="1"/>
  <c r="H122" i="1"/>
  <c r="F122" i="1"/>
  <c r="AT121" i="1"/>
  <c r="K121" i="1"/>
  <c r="I121" i="1"/>
  <c r="H121" i="1"/>
  <c r="F121" i="1"/>
  <c r="AT120" i="1"/>
  <c r="K120" i="1" s="1"/>
  <c r="I120" i="1"/>
  <c r="H120" i="1"/>
  <c r="F120" i="1"/>
  <c r="AM120" i="1" s="1"/>
  <c r="AT119" i="1"/>
  <c r="K119" i="1" s="1"/>
  <c r="AM119" i="1"/>
  <c r="I119" i="1"/>
  <c r="H119" i="1"/>
  <c r="F119" i="1"/>
  <c r="AT118" i="1"/>
  <c r="K118" i="1" s="1"/>
  <c r="I118" i="1"/>
  <c r="H118" i="1"/>
  <c r="F118" i="1"/>
  <c r="AT117" i="1"/>
  <c r="K117" i="1" s="1"/>
  <c r="I117" i="1"/>
  <c r="H117" i="1"/>
  <c r="F117" i="1"/>
  <c r="AT116" i="1"/>
  <c r="K116" i="1"/>
  <c r="I116" i="1"/>
  <c r="H116" i="1"/>
  <c r="F116" i="1"/>
  <c r="AM116" i="1" s="1"/>
  <c r="AT115" i="1"/>
  <c r="K115" i="1"/>
  <c r="I115" i="1"/>
  <c r="H115" i="1"/>
  <c r="F115" i="1"/>
  <c r="AM115" i="1" s="1"/>
  <c r="AT114" i="1"/>
  <c r="F114" i="1"/>
  <c r="AT113" i="1"/>
  <c r="F113" i="1"/>
  <c r="AT112" i="1"/>
  <c r="F112" i="1"/>
  <c r="AT111" i="1"/>
  <c r="F111" i="1"/>
  <c r="C111" i="1"/>
  <c r="C112" i="1" s="1"/>
  <c r="AT110" i="1"/>
  <c r="F110" i="1"/>
  <c r="C110" i="1"/>
  <c r="AT109" i="1"/>
  <c r="F109" i="1"/>
  <c r="C109" i="1"/>
  <c r="AT108" i="1"/>
  <c r="F108" i="1"/>
  <c r="C108" i="1"/>
  <c r="AT107" i="1"/>
  <c r="F107" i="1"/>
  <c r="C107" i="1"/>
  <c r="AT106" i="1"/>
  <c r="F106" i="1"/>
  <c r="C106" i="1"/>
  <c r="AT105" i="1"/>
  <c r="F105" i="1"/>
  <c r="AT104" i="1"/>
  <c r="F104" i="1"/>
  <c r="C104" i="1"/>
  <c r="C105" i="1" s="1"/>
  <c r="AT103" i="1"/>
  <c r="F103" i="1"/>
  <c r="C103" i="1"/>
  <c r="AT102" i="1"/>
  <c r="F102" i="1"/>
  <c r="C102" i="1"/>
  <c r="AT101" i="1"/>
  <c r="F101" i="1"/>
  <c r="C101" i="1"/>
  <c r="AT100" i="1"/>
  <c r="F100" i="1"/>
  <c r="C100" i="1"/>
  <c r="AT99" i="1"/>
  <c r="F99" i="1"/>
  <c r="C99" i="1"/>
  <c r="AT98" i="1"/>
  <c r="F98" i="1"/>
  <c r="C98" i="1"/>
  <c r="AT97" i="1"/>
  <c r="F97" i="1"/>
  <c r="C97" i="1"/>
  <c r="AT96" i="1"/>
  <c r="F96" i="1"/>
  <c r="C96" i="1"/>
  <c r="AT95" i="1"/>
  <c r="F95" i="1"/>
  <c r="C95" i="1"/>
  <c r="AT94" i="1"/>
  <c r="F94" i="1"/>
  <c r="C94" i="1"/>
  <c r="AT93" i="1"/>
  <c r="F93" i="1"/>
  <c r="AT92" i="1"/>
  <c r="F92" i="1"/>
  <c r="C92" i="1"/>
  <c r="C93" i="1" s="1"/>
  <c r="AT91" i="1"/>
  <c r="F91" i="1"/>
  <c r="AT90" i="1"/>
  <c r="F90" i="1"/>
  <c r="AT89" i="1"/>
  <c r="F89" i="1"/>
  <c r="C89" i="1"/>
  <c r="C90" i="1" s="1"/>
  <c r="C91" i="1" s="1"/>
  <c r="AT88" i="1"/>
  <c r="F88" i="1"/>
  <c r="C88" i="1"/>
  <c r="AT87" i="1"/>
  <c r="F87" i="1"/>
  <c r="C87" i="1"/>
  <c r="AT86" i="1"/>
  <c r="F86" i="1"/>
  <c r="C86" i="1"/>
  <c r="AT85" i="1"/>
  <c r="F85" i="1"/>
  <c r="C85" i="1"/>
  <c r="AT84" i="1"/>
  <c r="F84" i="1"/>
  <c r="C84" i="1"/>
  <c r="AT83" i="1"/>
  <c r="F83" i="1"/>
  <c r="C83" i="1"/>
  <c r="AT82" i="1"/>
  <c r="F82" i="1"/>
  <c r="C82" i="1"/>
  <c r="AT81" i="1"/>
  <c r="F81" i="1"/>
  <c r="C81" i="1"/>
  <c r="AT80" i="1"/>
  <c r="F80" i="1"/>
  <c r="C80" i="1"/>
  <c r="AT79" i="1"/>
  <c r="F79" i="1"/>
  <c r="C79" i="1"/>
  <c r="AT78" i="1"/>
  <c r="F78" i="1"/>
  <c r="C78" i="1"/>
  <c r="AT77" i="1"/>
  <c r="F77" i="1"/>
  <c r="C77" i="1"/>
  <c r="AT76" i="1"/>
  <c r="F76" i="1"/>
  <c r="C76" i="1"/>
  <c r="AT75" i="1"/>
  <c r="F75" i="1"/>
  <c r="C75" i="1"/>
  <c r="AT74" i="1"/>
  <c r="F74" i="1"/>
  <c r="C74" i="1"/>
  <c r="AT73" i="1"/>
  <c r="F73" i="1"/>
  <c r="C73" i="1"/>
  <c r="AT72" i="1"/>
  <c r="F72" i="1"/>
  <c r="C72" i="1"/>
  <c r="AT71" i="1"/>
  <c r="F71" i="1"/>
  <c r="C71" i="1"/>
  <c r="AT70" i="1"/>
  <c r="F70" i="1"/>
  <c r="C70" i="1"/>
  <c r="AT69" i="1"/>
  <c r="F69" i="1"/>
  <c r="C69" i="1"/>
  <c r="AT68" i="1"/>
  <c r="F68" i="1"/>
  <c r="C68" i="1"/>
  <c r="AT67" i="1"/>
  <c r="F67" i="1"/>
  <c r="C67" i="1"/>
  <c r="AT66" i="1"/>
  <c r="F66" i="1"/>
  <c r="C66" i="1"/>
  <c r="AT65" i="1"/>
  <c r="F65" i="1"/>
  <c r="C65" i="1"/>
  <c r="AT64" i="1"/>
  <c r="F64" i="1"/>
  <c r="AT63" i="1"/>
  <c r="F63" i="1"/>
  <c r="AT62" i="1"/>
  <c r="F62" i="1"/>
  <c r="AT61" i="1"/>
  <c r="F61" i="1"/>
  <c r="C61" i="1"/>
  <c r="C62" i="1" s="1"/>
  <c r="C63" i="1" s="1"/>
  <c r="C64" i="1" s="1"/>
  <c r="AT60" i="1"/>
  <c r="F60" i="1"/>
  <c r="I60" i="1" s="1"/>
  <c r="AT59" i="1"/>
  <c r="F59" i="1"/>
  <c r="I59" i="1" s="1"/>
  <c r="C59" i="1"/>
  <c r="C60" i="1" s="1"/>
  <c r="AT58" i="1"/>
  <c r="I58" i="1"/>
  <c r="F58" i="1"/>
  <c r="C58" i="1"/>
  <c r="AT57" i="1"/>
  <c r="F57" i="1"/>
  <c r="I57" i="1" s="1"/>
  <c r="C57" i="1"/>
  <c r="AT56" i="1"/>
  <c r="I56" i="1"/>
  <c r="F56" i="1"/>
  <c r="C56" i="1"/>
  <c r="AT55" i="1"/>
  <c r="F55" i="1"/>
  <c r="I55" i="1" s="1"/>
  <c r="C55" i="1"/>
  <c r="AT54" i="1"/>
  <c r="F54" i="1"/>
  <c r="I54" i="1" s="1"/>
  <c r="AT53" i="1"/>
  <c r="F53" i="1"/>
  <c r="I53" i="1" s="1"/>
  <c r="C53" i="1"/>
  <c r="C54" i="1" s="1"/>
  <c r="AT52" i="1"/>
  <c r="F52" i="1"/>
  <c r="I52" i="1" s="1"/>
  <c r="AT51" i="1"/>
  <c r="F51" i="1"/>
  <c r="I51" i="1" s="1"/>
  <c r="C51" i="1"/>
  <c r="C52" i="1" s="1"/>
  <c r="AT50" i="1"/>
  <c r="F50" i="1"/>
  <c r="I50" i="1" s="1"/>
  <c r="C50" i="1"/>
  <c r="AT49" i="1"/>
  <c r="I49" i="1"/>
  <c r="F49" i="1"/>
  <c r="C49" i="1"/>
  <c r="AT48" i="1"/>
  <c r="I48" i="1"/>
  <c r="F48" i="1"/>
  <c r="AT47" i="1"/>
  <c r="F47" i="1"/>
  <c r="I47" i="1" s="1"/>
  <c r="C47" i="1"/>
  <c r="C48" i="1" s="1"/>
  <c r="AT46" i="1"/>
  <c r="F46" i="1"/>
  <c r="I46" i="1" s="1"/>
  <c r="C46" i="1"/>
  <c r="AT45" i="1"/>
  <c r="F45" i="1"/>
  <c r="I45" i="1" s="1"/>
  <c r="AT44" i="1"/>
  <c r="F44" i="1"/>
  <c r="I44" i="1" s="1"/>
  <c r="AT43" i="1"/>
  <c r="F43" i="1"/>
  <c r="I43" i="1" s="1"/>
  <c r="C43" i="1"/>
  <c r="C44" i="1" s="1"/>
  <c r="C45" i="1" s="1"/>
  <c r="AT42" i="1"/>
  <c r="F42" i="1"/>
  <c r="I42" i="1" s="1"/>
  <c r="AT41" i="1"/>
  <c r="I41" i="1"/>
  <c r="F41" i="1"/>
  <c r="AT40" i="1"/>
  <c r="F40" i="1"/>
  <c r="I40" i="1" s="1"/>
  <c r="C40" i="1"/>
  <c r="C41" i="1" s="1"/>
  <c r="C42" i="1" s="1"/>
  <c r="AT39" i="1"/>
  <c r="F39" i="1"/>
  <c r="I39" i="1" s="1"/>
  <c r="AT38" i="1"/>
  <c r="F38" i="1"/>
  <c r="I38" i="1" s="1"/>
  <c r="AT37" i="1"/>
  <c r="F37" i="1"/>
  <c r="I37" i="1" s="1"/>
  <c r="AT36" i="1"/>
  <c r="F36" i="1"/>
  <c r="I36" i="1" s="1"/>
  <c r="AT35" i="1"/>
  <c r="I35" i="1"/>
  <c r="F35" i="1"/>
  <c r="AT34" i="1"/>
  <c r="F34" i="1"/>
  <c r="I34" i="1" s="1"/>
  <c r="C34" i="1"/>
  <c r="C35" i="1" s="1"/>
  <c r="C36" i="1" s="1"/>
  <c r="C37" i="1" s="1"/>
  <c r="C38" i="1" s="1"/>
  <c r="C39" i="1" s="1"/>
  <c r="AT33" i="1"/>
  <c r="I33" i="1"/>
  <c r="F33" i="1"/>
  <c r="AT32" i="1"/>
  <c r="F32" i="1"/>
  <c r="I32" i="1" s="1"/>
  <c r="C32" i="1"/>
  <c r="C33" i="1" s="1"/>
  <c r="AT31" i="1"/>
  <c r="F31" i="1"/>
  <c r="I31" i="1" s="1"/>
  <c r="AT30" i="1"/>
  <c r="F30" i="1"/>
  <c r="I30" i="1" s="1"/>
  <c r="C30" i="1"/>
  <c r="C31" i="1" s="1"/>
  <c r="AT29" i="1"/>
  <c r="F29" i="1"/>
  <c r="I29" i="1" s="1"/>
  <c r="AT28" i="1"/>
  <c r="F28" i="1"/>
  <c r="I28" i="1" s="1"/>
  <c r="AT27" i="1"/>
  <c r="F27" i="1"/>
  <c r="I27" i="1" s="1"/>
  <c r="C27" i="1"/>
  <c r="C28" i="1" s="1"/>
  <c r="C29" i="1" s="1"/>
  <c r="AT26" i="1"/>
  <c r="F26" i="1"/>
  <c r="I26" i="1" s="1"/>
  <c r="AT25" i="1"/>
  <c r="I25" i="1"/>
  <c r="F25" i="1"/>
  <c r="C25" i="1"/>
  <c r="C26" i="1" s="1"/>
  <c r="AT24" i="1"/>
  <c r="F24" i="1"/>
  <c r="I24" i="1" s="1"/>
  <c r="C24" i="1"/>
  <c r="AT23" i="1"/>
  <c r="F23" i="1"/>
  <c r="I23" i="1" s="1"/>
  <c r="C23" i="1"/>
  <c r="AT22" i="1"/>
  <c r="F22" i="1"/>
  <c r="I22" i="1" s="1"/>
  <c r="AT21" i="1"/>
  <c r="F21" i="1"/>
  <c r="I21" i="1" s="1"/>
  <c r="AT20" i="1"/>
  <c r="I20" i="1"/>
  <c r="F20" i="1"/>
  <c r="C20" i="1"/>
  <c r="C21" i="1" s="1"/>
  <c r="C22" i="1" s="1"/>
  <c r="AT19" i="1"/>
  <c r="F19" i="1"/>
  <c r="I19" i="1" s="1"/>
  <c r="C19" i="1"/>
  <c r="AT18" i="1"/>
  <c r="F18" i="1"/>
  <c r="I18" i="1" s="1"/>
  <c r="AT17" i="1"/>
  <c r="F17" i="1"/>
  <c r="I17" i="1" s="1"/>
  <c r="C17" i="1"/>
  <c r="C18" i="1" s="1"/>
  <c r="AT16" i="1"/>
  <c r="F16" i="1"/>
  <c r="AT15" i="1"/>
  <c r="F15" i="1"/>
  <c r="I15" i="1" s="1"/>
  <c r="C15" i="1"/>
  <c r="C16" i="1" s="1"/>
  <c r="AT14" i="1"/>
  <c r="F14" i="1"/>
  <c r="AT13" i="1"/>
  <c r="F13" i="1"/>
  <c r="AT12" i="1"/>
  <c r="F12" i="1"/>
  <c r="AT11" i="1"/>
  <c r="F11" i="1"/>
  <c r="AT10" i="1"/>
  <c r="F10" i="1"/>
  <c r="AT9" i="1"/>
  <c r="F9" i="1"/>
  <c r="AT8" i="1"/>
  <c r="F8" i="1"/>
  <c r="AT7" i="1"/>
  <c r="F7" i="1"/>
  <c r="AT6" i="1"/>
  <c r="F6" i="1"/>
  <c r="AT5" i="1"/>
  <c r="F5" i="1"/>
  <c r="AT4" i="1"/>
  <c r="F4" i="1"/>
  <c r="I297" i="1" l="1"/>
  <c r="H188" i="1"/>
  <c r="AV214" i="1"/>
  <c r="A215" i="1"/>
  <c r="AV215" i="1" s="1"/>
  <c r="I222" i="1"/>
  <c r="AM319" i="1"/>
  <c r="I325" i="1"/>
  <c r="A345" i="1"/>
  <c r="AV345" i="1" s="1"/>
  <c r="AV344" i="1"/>
  <c r="AV349" i="1"/>
  <c r="A350" i="1"/>
  <c r="A351" i="1" s="1"/>
  <c r="AV376" i="1"/>
  <c r="AM208" i="1"/>
  <c r="I208" i="1"/>
  <c r="I265" i="1"/>
  <c r="H578" i="1"/>
  <c r="H213" i="1"/>
  <c r="I228" i="1"/>
  <c r="AM247" i="1"/>
  <c r="H248" i="1"/>
  <c r="AM248" i="1"/>
  <c r="I248" i="1"/>
  <c r="I293" i="1"/>
  <c r="AM293" i="1"/>
  <c r="I182" i="1"/>
  <c r="AM182" i="1"/>
  <c r="H197" i="1"/>
  <c r="AM224" i="1"/>
  <c r="I224" i="1"/>
  <c r="H243" i="1"/>
  <c r="H260" i="1"/>
  <c r="I197" i="1"/>
  <c r="AM203" i="1"/>
  <c r="I243" i="1"/>
  <c r="I260" i="1"/>
  <c r="I305" i="1"/>
  <c r="H305" i="1"/>
  <c r="I612" i="1"/>
  <c r="AM612" i="1"/>
  <c r="I213" i="1"/>
  <c r="H207" i="1"/>
  <c r="I319" i="1"/>
  <c r="AM228" i="1"/>
  <c r="H325" i="1"/>
  <c r="A285" i="1"/>
  <c r="AV285" i="1" s="1"/>
  <c r="AV284" i="1"/>
  <c r="A298" i="1"/>
  <c r="AV297" i="1"/>
  <c r="I207" i="1"/>
  <c r="I188" i="1"/>
  <c r="I335" i="1"/>
  <c r="H335" i="1"/>
  <c r="AV353" i="1"/>
  <c r="A354" i="1"/>
  <c r="H269" i="1"/>
  <c r="AM252" i="1"/>
  <c r="I252" i="1"/>
  <c r="I269" i="1"/>
  <c r="I247" i="1"/>
  <c r="AM265" i="1"/>
  <c r="AV357" i="1"/>
  <c r="A358" i="1"/>
  <c r="AV358" i="1" s="1"/>
  <c r="H217" i="1"/>
  <c r="H278" i="1"/>
  <c r="H284" i="1"/>
  <c r="AM305" i="1"/>
  <c r="A229" i="1"/>
  <c r="A230" i="1" s="1"/>
  <c r="A231" i="1" s="1"/>
  <c r="AM222" i="1"/>
  <c r="I203" i="1"/>
  <c r="I198" i="1"/>
  <c r="AM198" i="1"/>
  <c r="H198" i="1"/>
  <c r="I217" i="1"/>
  <c r="AM255" i="1"/>
  <c r="I278" i="1"/>
  <c r="I284" i="1"/>
  <c r="AM310" i="1"/>
  <c r="AM292" i="1"/>
  <c r="A243" i="1"/>
  <c r="AV243" i="1" s="1"/>
  <c r="AM339" i="1"/>
  <c r="AV363" i="1"/>
  <c r="A364" i="1"/>
  <c r="A365" i="1" s="1"/>
  <c r="A366" i="1" s="1"/>
  <c r="AV187" i="1"/>
  <c r="H252" i="1"/>
  <c r="AM229" i="1"/>
  <c r="I229" i="1"/>
  <c r="H229" i="1"/>
  <c r="A321" i="1"/>
  <c r="A322" i="1" s="1"/>
  <c r="AV320" i="1"/>
  <c r="I339" i="1"/>
  <c r="AM578" i="1"/>
  <c r="I192" i="1"/>
  <c r="AM362" i="1"/>
  <c r="H362" i="1"/>
  <c r="I362" i="1"/>
  <c r="H612" i="1"/>
  <c r="A313" i="1"/>
  <c r="AV312" i="1"/>
  <c r="H297" i="1"/>
  <c r="I212" i="1"/>
  <c r="I332" i="1"/>
  <c r="AM577" i="1"/>
  <c r="H289" i="1"/>
  <c r="I302" i="1"/>
  <c r="H311" i="1"/>
  <c r="H266" i="1"/>
  <c r="I270" i="1"/>
  <c r="I275" i="1"/>
  <c r="I177" i="1"/>
  <c r="H214" i="1"/>
  <c r="H219" i="1"/>
  <c r="H240" i="1"/>
  <c r="H257" i="1"/>
  <c r="I289" i="1"/>
  <c r="H194" i="1"/>
  <c r="H204" i="1"/>
  <c r="I219" i="1"/>
  <c r="I240" i="1"/>
  <c r="H244" i="1"/>
  <c r="I257" i="1"/>
  <c r="I266" i="1"/>
  <c r="H333" i="1"/>
  <c r="H341" i="1"/>
  <c r="H358" i="1"/>
  <c r="AM177" i="1"/>
  <c r="H183" i="1"/>
  <c r="AM270" i="1"/>
  <c r="H298" i="1"/>
  <c r="H317" i="1"/>
  <c r="H321" i="1"/>
  <c r="I326" i="1"/>
  <c r="H350" i="1"/>
  <c r="I230" i="1"/>
  <c r="I363" i="1"/>
  <c r="I281" i="1"/>
  <c r="H195" i="1"/>
  <c r="H267" i="1"/>
  <c r="A179" i="1"/>
  <c r="A180" i="1" s="1"/>
  <c r="AV180" i="1" s="1"/>
  <c r="I190" i="1"/>
  <c r="H215" i="1"/>
  <c r="I245" i="1"/>
  <c r="A250" i="1"/>
  <c r="I254" i="1"/>
  <c r="AM271" i="1"/>
  <c r="AM281" i="1"/>
  <c r="H299" i="1"/>
  <c r="H318" i="1"/>
  <c r="H327" i="1"/>
  <c r="I338" i="1"/>
  <c r="H351" i="1"/>
  <c r="I220" i="1"/>
  <c r="AM346" i="1"/>
  <c r="I184" i="1"/>
  <c r="H190" i="1"/>
  <c r="I195" i="1"/>
  <c r="AM220" i="1"/>
  <c r="AM230" i="1"/>
  <c r="H245" i="1"/>
  <c r="H254" i="1"/>
  <c r="AM258" i="1"/>
  <c r="H295" i="1"/>
  <c r="AM330" i="1"/>
  <c r="H338" i="1"/>
  <c r="AM184" i="1"/>
  <c r="I215" i="1"/>
  <c r="AV241" i="1"/>
  <c r="A259" i="1"/>
  <c r="AV259" i="1" s="1"/>
  <c r="I318" i="1"/>
  <c r="H225" i="1"/>
  <c r="A267" i="1"/>
  <c r="AV267" i="1" s="1"/>
  <c r="AM225" i="1"/>
  <c r="H258" i="1"/>
  <c r="H271" i="1"/>
  <c r="H179" i="1"/>
  <c r="H237" i="1"/>
  <c r="H250" i="1"/>
  <c r="AV263" i="1"/>
  <c r="H291" i="1"/>
  <c r="AM295" i="1"/>
  <c r="H313" i="1"/>
  <c r="H323" i="1"/>
  <c r="AV334" i="1"/>
  <c r="H191" i="1"/>
  <c r="I272" i="1"/>
  <c r="H277" i="1"/>
  <c r="AM327" i="1"/>
  <c r="I343" i="1"/>
  <c r="H364" i="1"/>
  <c r="A373" i="1"/>
  <c r="AV372" i="1"/>
  <c r="AV264" i="1"/>
  <c r="A265" i="1"/>
  <c r="AV265" i="1" s="1"/>
  <c r="A326" i="1"/>
  <c r="AV326" i="1" s="1"/>
  <c r="AV325" i="1"/>
  <c r="AV276" i="1"/>
  <c r="A277" i="1"/>
  <c r="AV188" i="1"/>
  <c r="A189" i="1"/>
  <c r="AV322" i="1"/>
  <c r="A323" i="1"/>
  <c r="AV323" i="1" s="1"/>
  <c r="A198" i="1"/>
  <c r="AV197" i="1"/>
  <c r="A314" i="1"/>
  <c r="AV313" i="1"/>
  <c r="AV366" i="1"/>
  <c r="A367" i="1"/>
  <c r="A296" i="1"/>
  <c r="AV296" i="1" s="1"/>
  <c r="AV295" i="1"/>
  <c r="H178" i="1"/>
  <c r="I196" i="1"/>
  <c r="AM196" i="1"/>
  <c r="H223" i="1"/>
  <c r="AM279" i="1"/>
  <c r="I282" i="1"/>
  <c r="H290" i="1"/>
  <c r="H306" i="1"/>
  <c r="AM314" i="1"/>
  <c r="H314" i="1"/>
  <c r="AV327" i="1"/>
  <c r="AM336" i="1"/>
  <c r="H336" i="1"/>
  <c r="A346" i="1"/>
  <c r="H361" i="1"/>
  <c r="I178" i="1"/>
  <c r="I223" i="1"/>
  <c r="I261" i="1"/>
  <c r="AM261" i="1"/>
  <c r="I290" i="1"/>
  <c r="I306" i="1"/>
  <c r="I361" i="1"/>
  <c r="AM349" i="1"/>
  <c r="H349" i="1"/>
  <c r="I355" i="1"/>
  <c r="H379" i="1"/>
  <c r="H181" i="1"/>
  <c r="I186" i="1"/>
  <c r="AV196" i="1"/>
  <c r="H210" i="1"/>
  <c r="I218" i="1"/>
  <c r="I256" i="1"/>
  <c r="AM256" i="1"/>
  <c r="AM267" i="1"/>
  <c r="H288" i="1"/>
  <c r="A337" i="1"/>
  <c r="AV337" i="1" s="1"/>
  <c r="AM355" i="1"/>
  <c r="H186" i="1"/>
  <c r="H218" i="1"/>
  <c r="AM280" i="1"/>
  <c r="H280" i="1"/>
  <c r="H176" i="1"/>
  <c r="I181" i="1"/>
  <c r="I210" i="1"/>
  <c r="I221" i="1"/>
  <c r="AM221" i="1"/>
  <c r="H256" i="1"/>
  <c r="AM272" i="1"/>
  <c r="I288" i="1"/>
  <c r="H293" i="1"/>
  <c r="H304" i="1"/>
  <c r="AV311" i="1"/>
  <c r="AV339" i="1"/>
  <c r="H205" i="1"/>
  <c r="A208" i="1"/>
  <c r="A216" i="1"/>
  <c r="I251" i="1"/>
  <c r="AM251" i="1"/>
  <c r="A254" i="1"/>
  <c r="AV254" i="1" s="1"/>
  <c r="A268" i="1"/>
  <c r="AM296" i="1"/>
  <c r="H296" i="1"/>
  <c r="H307" i="1"/>
  <c r="I312" i="1"/>
  <c r="H315" i="1"/>
  <c r="AM334" i="1"/>
  <c r="H334" i="1"/>
  <c r="A359" i="1"/>
  <c r="AV359" i="1" s="1"/>
  <c r="I226" i="1"/>
  <c r="AM226" i="1"/>
  <c r="AV351" i="1"/>
  <c r="A352" i="1"/>
  <c r="AV352" i="1" s="1"/>
  <c r="I205" i="1"/>
  <c r="I216" i="1"/>
  <c r="AM216" i="1"/>
  <c r="AV245" i="1"/>
  <c r="I315" i="1"/>
  <c r="H326" i="1"/>
  <c r="H347" i="1"/>
  <c r="AM347" i="1"/>
  <c r="AM353" i="1"/>
  <c r="I353" i="1"/>
  <c r="H353" i="1"/>
  <c r="AM359" i="1"/>
  <c r="H359" i="1"/>
  <c r="AV176" i="1"/>
  <c r="AM312" i="1"/>
  <c r="AV365" i="1"/>
  <c r="H187" i="1"/>
  <c r="H200" i="1"/>
  <c r="I246" i="1"/>
  <c r="AM246" i="1"/>
  <c r="H263" i="1"/>
  <c r="H273" i="1"/>
  <c r="AV293" i="1"/>
  <c r="AM307" i="1"/>
  <c r="A378" i="1"/>
  <c r="AV377" i="1"/>
  <c r="H182" i="1"/>
  <c r="I187" i="1"/>
  <c r="I200" i="1"/>
  <c r="I211" i="1"/>
  <c r="AM211" i="1"/>
  <c r="H238" i="1"/>
  <c r="H246" i="1"/>
  <c r="AV275" i="1"/>
  <c r="I310" i="1"/>
  <c r="AM377" i="1"/>
  <c r="H377" i="1"/>
  <c r="H211" i="1"/>
  <c r="I294" i="1"/>
  <c r="AM302" i="1"/>
  <c r="H324" i="1"/>
  <c r="AV331" i="1"/>
  <c r="AV362" i="1"/>
  <c r="I377" i="1"/>
  <c r="I231" i="1"/>
  <c r="AM231" i="1"/>
  <c r="AV179" i="1"/>
  <c r="I241" i="1"/>
  <c r="AM241" i="1"/>
  <c r="AM263" i="1"/>
  <c r="AM273" i="1"/>
  <c r="AM276" i="1"/>
  <c r="H276" i="1"/>
  <c r="I324" i="1"/>
  <c r="AV328" i="1"/>
  <c r="A329" i="1"/>
  <c r="AV329" i="1" s="1"/>
  <c r="AV356" i="1"/>
  <c r="I206" i="1"/>
  <c r="AM206" i="1"/>
  <c r="AM357" i="1"/>
  <c r="H357" i="1"/>
  <c r="AM300" i="1"/>
  <c r="H300" i="1"/>
  <c r="AM316" i="1"/>
  <c r="H316" i="1"/>
  <c r="H180" i="1"/>
  <c r="I185" i="1"/>
  <c r="I236" i="1"/>
  <c r="AM236" i="1"/>
  <c r="A239" i="1"/>
  <c r="H279" i="1"/>
  <c r="H287" i="1"/>
  <c r="AV294" i="1"/>
  <c r="I300" i="1"/>
  <c r="I316" i="1"/>
  <c r="AV321" i="1"/>
  <c r="AV324" i="1"/>
  <c r="AM332" i="1"/>
  <c r="H345" i="1"/>
  <c r="I345" i="1"/>
  <c r="H378" i="1"/>
  <c r="AM282" i="1"/>
  <c r="I201" i="1"/>
  <c r="AM201" i="1"/>
  <c r="I292" i="1"/>
  <c r="AM313" i="1"/>
  <c r="AM375" i="1"/>
  <c r="H375" i="1"/>
  <c r="H322" i="1"/>
  <c r="I322" i="1"/>
  <c r="AM335" i="1"/>
  <c r="AV360" i="1"/>
  <c r="H320" i="1"/>
  <c r="H340" i="1"/>
  <c r="H343" i="1"/>
  <c r="H363" i="1"/>
  <c r="H611" i="1"/>
  <c r="AV298" i="1" l="1"/>
  <c r="A299" i="1"/>
  <c r="AV250" i="1"/>
  <c r="A251" i="1"/>
  <c r="AV229" i="1"/>
  <c r="A181" i="1"/>
  <c r="AV350" i="1"/>
  <c r="A355" i="1"/>
  <c r="AV355" i="1" s="1"/>
  <c r="AV354" i="1"/>
  <c r="AV230" i="1"/>
  <c r="A286" i="1"/>
  <c r="AV286" i="1" s="1"/>
  <c r="AV364" i="1"/>
  <c r="A347" i="1"/>
  <c r="AV346" i="1"/>
  <c r="A315" i="1"/>
  <c r="AV314" i="1"/>
  <c r="A182" i="1"/>
  <c r="AV181" i="1"/>
  <c r="AV198" i="1"/>
  <c r="A199" i="1"/>
  <c r="A190" i="1"/>
  <c r="AV189" i="1"/>
  <c r="A278" i="1"/>
  <c r="AV277" i="1"/>
  <c r="AV231" i="1"/>
  <c r="A232" i="1"/>
  <c r="A240" i="1"/>
  <c r="AV240" i="1" s="1"/>
  <c r="AV239" i="1"/>
  <c r="AV268" i="1"/>
  <c r="A269" i="1"/>
  <c r="A379" i="1"/>
  <c r="AV379" i="1" s="1"/>
  <c r="AV378" i="1"/>
  <c r="A217" i="1"/>
  <c r="AV216" i="1"/>
  <c r="AV367" i="1"/>
  <c r="A368" i="1"/>
  <c r="AV208" i="1"/>
  <c r="A209" i="1"/>
  <c r="AV373" i="1"/>
  <c r="A374" i="1"/>
  <c r="A287" i="1" l="1"/>
  <c r="A252" i="1"/>
  <c r="AV252" i="1" s="1"/>
  <c r="AV251" i="1"/>
  <c r="A300" i="1"/>
  <c r="AV299" i="1"/>
  <c r="A375" i="1"/>
  <c r="AV375" i="1" s="1"/>
  <c r="AV374" i="1"/>
  <c r="A200" i="1"/>
  <c r="AV199" i="1"/>
  <c r="A233" i="1"/>
  <c r="AV232" i="1"/>
  <c r="AV190" i="1"/>
  <c r="A191" i="1"/>
  <c r="A218" i="1"/>
  <c r="AV217" i="1"/>
  <c r="A270" i="1"/>
  <c r="AV269" i="1"/>
  <c r="A288" i="1"/>
  <c r="AV287" i="1"/>
  <c r="AV278" i="1"/>
  <c r="A279" i="1"/>
  <c r="A210" i="1"/>
  <c r="AV209" i="1"/>
  <c r="A369" i="1"/>
  <c r="AV369" i="1" s="1"/>
  <c r="AV368" i="1"/>
  <c r="A183" i="1"/>
  <c r="AV182" i="1"/>
  <c r="A316" i="1"/>
  <c r="AV315" i="1"/>
  <c r="A348" i="1"/>
  <c r="AV348" i="1" s="1"/>
  <c r="AV347" i="1"/>
  <c r="AV300" i="1" l="1"/>
  <c r="A301" i="1"/>
  <c r="A271" i="1"/>
  <c r="AV270" i="1"/>
  <c r="AV288" i="1"/>
  <c r="A289" i="1"/>
  <c r="A211" i="1"/>
  <c r="AV210" i="1"/>
  <c r="AV191" i="1"/>
  <c r="A192" i="1"/>
  <c r="A280" i="1"/>
  <c r="AV279" i="1"/>
  <c r="AV218" i="1"/>
  <c r="A219" i="1"/>
  <c r="AV316" i="1"/>
  <c r="A317" i="1"/>
  <c r="AV233" i="1"/>
  <c r="A234" i="1"/>
  <c r="A184" i="1"/>
  <c r="AV183" i="1"/>
  <c r="A201" i="1"/>
  <c r="AV200" i="1"/>
  <c r="A302" i="1" l="1"/>
  <c r="AV301" i="1"/>
  <c r="A185" i="1"/>
  <c r="AV184" i="1"/>
  <c r="AV234" i="1"/>
  <c r="A235" i="1"/>
  <c r="A318" i="1"/>
  <c r="AV317" i="1"/>
  <c r="A220" i="1"/>
  <c r="AV219" i="1"/>
  <c r="A281" i="1"/>
  <c r="AV280" i="1"/>
  <c r="A193" i="1"/>
  <c r="AV192" i="1"/>
  <c r="AV211" i="1"/>
  <c r="A212" i="1"/>
  <c r="A290" i="1"/>
  <c r="AV289" i="1"/>
  <c r="A202" i="1"/>
  <c r="AV201" i="1"/>
  <c r="AV271" i="1"/>
  <c r="A272" i="1"/>
  <c r="AV302" i="1" l="1"/>
  <c r="A303" i="1"/>
  <c r="AV290" i="1"/>
  <c r="A291" i="1"/>
  <c r="A203" i="1"/>
  <c r="AV202" i="1"/>
  <c r="A282" i="1"/>
  <c r="AV281" i="1"/>
  <c r="AV212" i="1"/>
  <c r="A213" i="1"/>
  <c r="AV213" i="1" s="1"/>
  <c r="AV193" i="1"/>
  <c r="A194" i="1"/>
  <c r="AV220" i="1"/>
  <c r="A221" i="1"/>
  <c r="AV318" i="1"/>
  <c r="A319" i="1"/>
  <c r="AV319" i="1" s="1"/>
  <c r="A236" i="1"/>
  <c r="AV235" i="1"/>
  <c r="A186" i="1"/>
  <c r="AV186" i="1" s="1"/>
  <c r="AV185" i="1"/>
  <c r="A273" i="1"/>
  <c r="AV272" i="1"/>
  <c r="AV303" i="1" l="1"/>
  <c r="A304" i="1"/>
  <c r="AV282" i="1"/>
  <c r="A283" i="1"/>
  <c r="AV283" i="1" s="1"/>
  <c r="A237" i="1"/>
  <c r="AV237" i="1" s="1"/>
  <c r="AV236" i="1"/>
  <c r="A274" i="1"/>
  <c r="AV274" i="1" s="1"/>
  <c r="AV273" i="1"/>
  <c r="A222" i="1"/>
  <c r="AV221" i="1"/>
  <c r="A195" i="1"/>
  <c r="AV195" i="1" s="1"/>
  <c r="AV194" i="1"/>
  <c r="AV203" i="1"/>
  <c r="A204" i="1"/>
  <c r="A292" i="1"/>
  <c r="AV292" i="1" s="1"/>
  <c r="AV291" i="1"/>
  <c r="A305" i="1" l="1"/>
  <c r="AV304" i="1"/>
  <c r="A205" i="1"/>
  <c r="AV205" i="1" s="1"/>
  <c r="AV204" i="1"/>
  <c r="A223" i="1"/>
  <c r="AV222" i="1"/>
  <c r="A306" i="1" l="1"/>
  <c r="AV305" i="1"/>
  <c r="AV223" i="1"/>
  <c r="A224" i="1"/>
  <c r="AV306" i="1" l="1"/>
  <c r="A307" i="1"/>
  <c r="A225" i="1"/>
  <c r="AV224" i="1"/>
  <c r="A308" i="1" l="1"/>
  <c r="AV307" i="1"/>
  <c r="A226" i="1"/>
  <c r="AV225" i="1"/>
  <c r="A309" i="1" l="1"/>
  <c r="AV309" i="1" s="1"/>
  <c r="AV308" i="1"/>
  <c r="AV226" i="1"/>
  <c r="A227" i="1"/>
  <c r="AV22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jensencheng(程玉鸿)</author>
    <author>naturetan(谭天然)</author>
    <author>cosmosliu(刘宇)</author>
    <author>nanshantao(陶南山)</author>
    <author>yanhaoyhli(李炎昊)</author>
  </authors>
  <commentList>
    <comment ref="C2" authorId="0" shapeId="0" xr:uid="{00000000-0006-0000-0000-000001000000}">
      <text>
        <r>
          <rPr>
            <sz val="11"/>
            <color rgb="FF000000"/>
            <rFont val="等线"/>
            <family val="3"/>
            <charset val="134"/>
            <scheme val="minor"/>
          </rPr>
          <t>重要：必须从1开始，严格按顺序</t>
        </r>
      </text>
    </comment>
    <comment ref="L2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naturetan(谭天然):</t>
        </r>
        <r>
          <rPr>
            <sz val="9"/>
            <rFont val="宋体"/>
            <family val="3"/>
            <charset val="134"/>
          </rPr>
          <t xml:space="preserve">
对应野外模型配置</t>
        </r>
      </text>
    </comment>
    <comment ref="M2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naturetan(谭天然):</t>
        </r>
        <r>
          <rPr>
            <sz val="9"/>
            <rFont val="宋体"/>
            <family val="3"/>
            <charset val="134"/>
          </rPr>
          <t xml:space="preserve">
动画名称|播放次数|播放间隔</t>
        </r>
      </text>
    </comment>
    <comment ref="N2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naturetan(谭天然):</t>
        </r>
        <r>
          <rPr>
            <sz val="9"/>
            <rFont val="宋体"/>
            <family val="3"/>
            <charset val="134"/>
          </rPr>
          <t xml:space="preserve">
动画名称|播放次数|播放间隔</t>
        </r>
      </text>
    </comment>
    <comment ref="O2" authorId="1" shapeId="0" xr:uid="{00000000-0006-0000-0000-000005000000}">
      <text>
        <r>
          <rPr>
            <b/>
            <sz val="9"/>
            <rFont val="宋体"/>
            <family val="3"/>
            <charset val="134"/>
          </rPr>
          <t>naturetan(谭天然):</t>
        </r>
        <r>
          <rPr>
            <sz val="9"/>
            <rFont val="宋体"/>
            <family val="3"/>
            <charset val="134"/>
          </rPr>
          <t xml:space="preserve">
X|Y|Z|AngleY</t>
        </r>
      </text>
    </comment>
    <comment ref="P2" authorId="1" shapeId="0" xr:uid="{00000000-0006-0000-0000-000006000000}">
      <text>
        <r>
          <rPr>
            <b/>
            <sz val="9"/>
            <rFont val="宋体"/>
            <family val="3"/>
            <charset val="134"/>
          </rPr>
          <t>naturetan(谭天然):</t>
        </r>
        <r>
          <rPr>
            <sz val="9"/>
            <rFont val="宋体"/>
            <family val="3"/>
            <charset val="134"/>
          </rPr>
          <t xml:space="preserve">
X|Y|Z|AngleY</t>
        </r>
      </text>
    </comment>
    <comment ref="Q2" authorId="1" shapeId="0" xr:uid="{00000000-0006-0000-0000-000007000000}">
      <text>
        <r>
          <rPr>
            <b/>
            <sz val="9"/>
            <rFont val="宋体"/>
            <family val="3"/>
            <charset val="134"/>
          </rPr>
          <t>naturetan(谭天然):</t>
        </r>
        <r>
          <rPr>
            <sz val="9"/>
            <rFont val="宋体"/>
            <family val="3"/>
            <charset val="134"/>
          </rPr>
          <t xml:space="preserve">
X|Y|Z|AngleY</t>
        </r>
      </text>
    </comment>
    <comment ref="R2" authorId="1" shapeId="0" xr:uid="{00000000-0006-0000-0000-000008000000}">
      <text>
        <r>
          <rPr>
            <b/>
            <sz val="9"/>
            <rFont val="宋体"/>
            <family val="3"/>
            <charset val="134"/>
          </rPr>
          <t>naturetan(谭天然):</t>
        </r>
        <r>
          <rPr>
            <sz val="9"/>
            <rFont val="宋体"/>
            <family val="3"/>
            <charset val="134"/>
          </rPr>
          <t xml:space="preserve">
X|Y|Z|distance|moveTime|BackLastPos|Fade|FadeCostTime</t>
        </r>
      </text>
    </comment>
    <comment ref="S2" authorId="1" shapeId="0" xr:uid="{00000000-0006-0000-0000-000009000000}">
      <text>
        <r>
          <rPr>
            <b/>
            <sz val="9"/>
            <rFont val="宋体"/>
            <family val="3"/>
            <charset val="134"/>
          </rPr>
          <t>naturetan(谭天然):</t>
        </r>
        <r>
          <rPr>
            <sz val="9"/>
            <rFont val="宋体"/>
            <family val="3"/>
            <charset val="134"/>
          </rPr>
          <t xml:space="preserve">
X|Y|Z|distance|moveTime|BackLastPos|Fade|FadeCostTime</t>
        </r>
      </text>
    </comment>
    <comment ref="U2" authorId="2" shapeId="0" xr:uid="{00000000-0006-0000-0000-00000A000000}">
      <text>
        <r>
          <rPr>
            <sz val="11"/>
            <color rgb="FF000000"/>
            <rFont val="等线"/>
            <family val="3"/>
            <charset val="134"/>
            <scheme val="minor"/>
          </rPr>
          <t>cosmosliu(刘宇):
1. 普通3D全屏，需要配置模型，口型等
2. 小方块，非全屏
3. 浮动气泡；
4. 浮动气泡（带头像）</t>
        </r>
      </text>
    </comment>
    <comment ref="V2" authorId="2" shapeId="0" xr:uid="{00000000-0006-0000-0000-00000B000000}">
      <text>
        <r>
          <rPr>
            <sz val="11"/>
            <color rgb="FF000000"/>
            <rFont val="等线"/>
            <family val="3"/>
            <charset val="134"/>
            <scheme val="minor"/>
          </rPr>
          <t>cosmosliu(刘宇):
样式为1（全屏时）生效：
1：左边
2：右边  
0：中间</t>
        </r>
      </text>
    </comment>
    <comment ref="AG2" authorId="3" shapeId="0" xr:uid="{00000000-0006-0000-0000-00000C000000}">
      <text>
        <r>
          <rPr>
            <b/>
            <sz val="9"/>
            <rFont val="宋体"/>
            <family val="3"/>
            <charset val="134"/>
          </rPr>
          <t>nanshantao(陶南山):</t>
        </r>
        <r>
          <rPr>
            <sz val="9"/>
            <rFont val="宋体"/>
            <family val="3"/>
            <charset val="134"/>
          </rPr>
          <t xml:space="preserve">
多语言枚举|时长;多语言枚举2|时长2</t>
        </r>
      </text>
    </comment>
    <comment ref="AO2" authorId="4" shapeId="0" xr:uid="{00000000-0006-0000-0000-00000D000000}">
      <text>
        <r>
          <rPr>
            <sz val="11"/>
            <color rgb="FF000000"/>
            <rFont val="等线"/>
            <family val="3"/>
            <charset val="134"/>
            <scheme val="minor"/>
          </rPr>
          <t>yanhaoyhli(李炎昊):
对话框样式为2（浮框）或3（气泡）时需要填写，填对应的蓝图object ID</t>
        </r>
      </text>
    </comment>
    <comment ref="AP2" authorId="4" shapeId="0" xr:uid="{00000000-0006-0000-0000-00000E000000}">
      <text>
        <r>
          <rPr>
            <sz val="11"/>
            <color rgb="FF000000"/>
            <rFont val="等线"/>
            <family val="3"/>
            <charset val="134"/>
            <scheme val="minor"/>
          </rPr>
          <t>yanhaoyhli(李炎昊):
只对对话框样式=2的有效
填0表示对话框为蓝色
填1表示对话框为红色
不填默认为0蓝色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0" authorId="0" shapeId="0" xr:uid="{00000000-0006-0000-0200-000001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作者: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yanhaoyhli(李炎昊)</author>
  </authors>
  <commentList>
    <comment ref="K1" authorId="0" shapeId="0" xr:uid="{00000000-0006-0000-0500-000001000000}">
      <text>
        <r>
          <rPr>
            <sz val="11"/>
            <color rgb="FF000000"/>
            <rFont val="等线"/>
            <family val="3"/>
            <charset val="134"/>
            <scheme val="minor"/>
          </rPr>
          <t>yanhaoyhli(李炎昊):
对话框样式为2（浮框）或3（气泡）时需要填写，填对应的蓝图object ID</t>
        </r>
      </text>
    </comment>
  </commentList>
</comments>
</file>

<file path=xl/sharedStrings.xml><?xml version="1.0" encoding="utf-8"?>
<sst xmlns="http://schemas.openxmlformats.org/spreadsheetml/2006/main" count="16543" uniqueCount="7691">
  <si>
    <t>convert(ResTask.proto, table_DialogueConf, DialogueConf.pbin)</t>
  </si>
  <si>
    <t>对话id</t>
  </si>
  <si>
    <t>策划备注</t>
  </si>
  <si>
    <t>对话序列</t>
  </si>
  <si>
    <t>版本</t>
  </si>
  <si>
    <t>角色名称</t>
  </si>
  <si>
    <t>角色名称（key）</t>
  </si>
  <si>
    <t>图集路径</t>
  </si>
  <si>
    <t>图片</t>
  </si>
  <si>
    <t>文本内容</t>
  </si>
  <si>
    <t>文本内容(源文本)</t>
  </si>
  <si>
    <t>【海外对话表演】模型路径配置</t>
  </si>
  <si>
    <t>【海外对话表演】模型动画名称</t>
  </si>
  <si>
    <t>【海外对话表演】模型结束动画名称</t>
  </si>
  <si>
    <t>海外对话表演】模型位置</t>
  </si>
  <si>
    <t>海外对话表演】结束模型位置</t>
  </si>
  <si>
    <t>海外对话表演】模型运动时间</t>
  </si>
  <si>
    <t>【海外对话表演】镜头位置参数</t>
  </si>
  <si>
    <t>【海外对话表演】结束镜头位置参数</t>
  </si>
  <si>
    <t>不要翻译</t>
  </si>
  <si>
    <t>对话框样式</t>
  </si>
  <si>
    <t>对话框左右</t>
  </si>
  <si>
    <t>触发结点</t>
  </si>
  <si>
    <t>关卡</t>
  </si>
  <si>
    <t>是否使用3D播放</t>
  </si>
  <si>
    <t>语音和背景音</t>
  </si>
  <si>
    <t>跳过对话终止语音（配了否依然会被其他语音卡掉）</t>
  </si>
  <si>
    <t>语音和背景结束音</t>
  </si>
  <si>
    <t>口型配置</t>
  </si>
  <si>
    <t>语音时长工具生成</t>
  </si>
  <si>
    <t>自动关闭时间</t>
  </si>
  <si>
    <t>多语言偏移生成</t>
  </si>
  <si>
    <t>多语言偏移</t>
  </si>
  <si>
    <t>允许跳过的最短时间</t>
  </si>
  <si>
    <t>【海外】对话每页字显示完后停留时长</t>
  </si>
  <si>
    <t>S3跳过时间(不配置无法跳过)</t>
  </si>
  <si>
    <t>跳过后提示文本</t>
  </si>
  <si>
    <t>播放速度(每秒多少字）</t>
  </si>
  <si>
    <t>角色模型</t>
  </si>
  <si>
    <t>表演动作</t>
  </si>
  <si>
    <t>蓝图objID</t>
  </si>
  <si>
    <t>对话弹窗颜色</t>
  </si>
  <si>
    <t>气泡偏移</t>
  </si>
  <si>
    <t>隐藏背景模糊</t>
  </si>
  <si>
    <t>【海外对话表演】模型对话时音乐</t>
  </si>
  <si>
    <t>标签后文本</t>
  </si>
  <si>
    <t>初始对话文本</t>
  </si>
  <si>
    <t>对话ID关联</t>
  </si>
  <si>
    <t>标签文本1</t>
  </si>
  <si>
    <t>标签文本2</t>
  </si>
  <si>
    <t>标签文本3</t>
  </si>
  <si>
    <t>标签文本4</t>
  </si>
  <si>
    <t>副本部队ID</t>
  </si>
  <si>
    <t>副本部队ID中的SoldiderID</t>
  </si>
  <si>
    <t>绑定副本部队ID中的Soldider尺寸要大于的值</t>
  </si>
  <si>
    <t>迷雾战场中气泡对象,-1代表玩家部队，其他代表蓝图objID</t>
  </si>
  <si>
    <t>迷雾战场气泡偏移</t>
  </si>
  <si>
    <t>【海外】背景对话样式(0蓝色,1红色)</t>
  </si>
  <si>
    <t>timeline名</t>
  </si>
  <si>
    <t>跳到的timeline时间（秒数）</t>
  </si>
  <si>
    <t>对应语音是否需要转换多语言事件</t>
  </si>
  <si>
    <t>dialogueID</t>
  </si>
  <si>
    <t>contextSequence</t>
  </si>
  <si>
    <t>name</t>
  </si>
  <si>
    <t>altasPath</t>
  </si>
  <si>
    <t>picture</t>
  </si>
  <si>
    <t>textList</t>
  </si>
  <si>
    <t>modelPathID</t>
  </si>
  <si>
    <t>modelAnimNameAndCount[|]</t>
  </si>
  <si>
    <t>modelEndAnimName</t>
  </si>
  <si>
    <t>modelPos[|]</t>
  </si>
  <si>
    <t>modelEndPos[|]</t>
  </si>
  <si>
    <t>modelRunTime</t>
  </si>
  <si>
    <t>cameraParam[|]</t>
  </si>
  <si>
    <t>cameraEndParam[|]</t>
  </si>
  <si>
    <t>DNT</t>
  </si>
  <si>
    <t>dialogueType</t>
  </si>
  <si>
    <t>dialoguePos</t>
  </si>
  <si>
    <t>groupId</t>
  </si>
  <si>
    <t>raidId</t>
  </si>
  <si>
    <t>isIn3D</t>
  </si>
  <si>
    <t>voiceList[|]</t>
  </si>
  <si>
    <t>stopVoiceWhenSkip</t>
  </si>
  <si>
    <t>endVoiceList[|]</t>
  </si>
  <si>
    <t>lipSyncData</t>
  </si>
  <si>
    <t>endTimeGenerate</t>
  </si>
  <si>
    <t>endTime</t>
  </si>
  <si>
    <t>endTimeOffsetGenerate</t>
  </si>
  <si>
    <t>endTimeOffset</t>
  </si>
  <si>
    <t>skipDelay</t>
  </si>
  <si>
    <t>cutPageShowTime</t>
  </si>
  <si>
    <t>skipTime</t>
  </si>
  <si>
    <t>skipTipsContent</t>
  </si>
  <si>
    <t>textSpeed</t>
  </si>
  <si>
    <t>npcId</t>
  </si>
  <si>
    <t>animationName</t>
  </si>
  <si>
    <t>BPobjID</t>
  </si>
  <si>
    <t>dialogueColor</t>
  </si>
  <si>
    <t>bubbleOffset[;]</t>
  </si>
  <si>
    <t>hideBlur</t>
  </si>
  <si>
    <t>overseaSetSwtich</t>
  </si>
  <si>
    <t>bubbleBindObjId</t>
  </si>
  <si>
    <t>bubbleBindSoldierId</t>
  </si>
  <si>
    <t>bubbleBindSoldierScale</t>
  </si>
  <si>
    <t>fogwarBubbleBindObj</t>
  </si>
  <si>
    <t>fogwarBubbleBindOffset[|]</t>
  </si>
  <si>
    <t>bgStyle</t>
  </si>
  <si>
    <t>timeline.id</t>
  </si>
  <si>
    <t>timeline.time</t>
  </si>
  <si>
    <t>isVoiceNeedMultiLang</t>
  </si>
  <si>
    <t>DEMO</t>
  </si>
  <si>
    <t>TID_DialogueConf_1001_name_CN_Main</t>
  </si>
  <si>
    <t>icon_guidechara.smash</t>
  </si>
  <si>
    <t>frame_s_xsdh_002</t>
  </si>
  <si>
    <t>TID_DialogueConf_1_textList_CN_Main</t>
  </si>
  <si>
    <t>tr_TR|0;zh_TW|0</t>
  </si>
  <si>
    <t>assets/bundleresources/characters/a/hero/p_ah_joa.prefab</t>
  </si>
  <si>
    <t>DJ</t>
  </si>
  <si>
    <t>领主，关押村民们的营地就在前方。</t>
  </si>
  <si>
    <t>TID_DialogueConf_2_name_23996658795_CN_Main</t>
  </si>
  <si>
    <t>TID_DialogueConf_2_textList_CN_Main</t>
  </si>
  <si>
    <t>talk_normal</t>
  </si>
  <si>
    <t>必须拯救他们。这是我跟姐姐的约定？</t>
  </si>
  <si>
    <t>TID_DialogueConf_2_textList_705307478613_CN_Main</t>
  </si>
  <si>
    <t>出发！消灭守军。</t>
  </si>
  <si>
    <t>TID_DialogueConf_3_name_CN_Main</t>
  </si>
  <si>
    <t>TID_DialogueConf_3_textList_CN_Main</t>
  </si>
  <si>
    <t>tv_idle</t>
  </si>
  <si>
    <t>天啊！敌人的将军来了，就在前方。</t>
  </si>
  <si>
    <t>TID_DialogueConf_4_name_CN_Main</t>
  </si>
  <si>
    <t>TID_DialogueConf_4_textList_CN_Main</t>
  </si>
  <si>
    <t>我是花木兰。前来营救！</t>
  </si>
  <si>
    <t>icon_campaign_npc.smash</t>
  </si>
  <si>
    <t>npc_campaign_half011</t>
  </si>
  <si>
    <t>TID_DialogueConf_5_textList_CN_Main</t>
  </si>
  <si>
    <t>这是小对话测试1</t>
  </si>
  <si>
    <t>TID_DialogueConf_5_textList_960981524853_CN_Main</t>
  </si>
  <si>
    <t>这是小对话测试2</t>
  </si>
  <si>
    <t>TID_DialogueConf_1001_textList_CN_Main</t>
  </si>
  <si>
    <t>我是一个小气泡文本</t>
  </si>
  <si>
    <t>TID_DialogueConf_1002_textList_CN_Main</t>
  </si>
  <si>
    <t>我是一个小气泡文本，但是我特别的长，用来测试气泡文本的自动缩放功能。哈哈哈哈哈哈哈哈。</t>
  </si>
  <si>
    <t>TID_DialogueConf_1002_textList_507990760778_CN_Main</t>
  </si>
  <si>
    <t>这是小气泡文本的第二段，过了五秒钟我会出现。这是小气泡文本的第二段，过了五秒钟我会出现。这是小气泡文本的第二段，过了五秒钟我会出现。</t>
  </si>
  <si>
    <t>TID_DialogueConf_10001_name_CN_Main</t>
  </si>
  <si>
    <t>npc_campaign_half006</t>
  </si>
  <si>
    <t>TID_DialogueConf_10001_textList_CN_Main</t>
  </si>
  <si>
    <t>说好了在这里汇合，怎么到现在都不见人影？</t>
  </si>
  <si>
    <t>TID_DialogueConf_10002_name_CN_Main</t>
  </si>
  <si>
    <t>TID_DialogueConf_10002_textList_CN_Main</t>
  </si>
  <si>
    <t>喂！女人！快把值钱的东西全部交出来！</t>
  </si>
  <si>
    <t>TID_DialogueConf_10002_textList_286297514590_CN_Main</t>
  </si>
  <si>
    <t>外敌当前，你们这些人不想着为祖国效力，竟然还打劫自己人！</t>
  </si>
  <si>
    <t>TID_DialogueConf_10003_name_CN_Main</t>
  </si>
  <si>
    <t>TID_DialogueConf_10003_textList_CN_Main</t>
  </si>
  <si>
    <t>我就说要迟到了……</t>
  </si>
  <si>
    <t>TID_DialogueConf_10003_name_332050718590_CN_Main</t>
  </si>
  <si>
    <t>TID_DialogueConf_10003_textList_236019767422_CN_Main</t>
  </si>
  <si>
    <t>别废话了！快救人！</t>
  </si>
  <si>
    <t>TID_DialogueConf_10004_textList_CN_Main</t>
  </si>
  <si>
    <t>将部队拖拽向敌人，可以发起攻击。</t>
  </si>
  <si>
    <t>TID_DialogueConf_10005_textList_CN_Main</t>
  </si>
  <si>
    <t>你好，琼恩，我是伯特兰。</t>
  </si>
  <si>
    <t>TID_DialogueConf_10005_textList_571453909965_CN_Main</t>
  </si>
  <si>
    <t>让·德·梅斯，很荣幸为您效劳，女士。</t>
  </si>
  <si>
    <t>TID_DialogueConf_10005_textList_26062455831_CN_Main</t>
  </si>
  <si>
    <t>我和梅斯会一同护送你到前往齐侬，皇太子正在那里等着你。</t>
  </si>
  <si>
    <t>TID_DialogueConf_10006_name_CN_Main</t>
  </si>
  <si>
    <t>TID_DialogueConf_10006_textList_CN_Main</t>
  </si>
  <si>
    <t>肥鸭子送上门啦！</t>
  </si>
  <si>
    <t>TID_DialogueConf_10007_name_CN_Main</t>
  </si>
  <si>
    <t>TID_DialogueConf_10007_textList_CN_Main</t>
  </si>
  <si>
    <t>你们法兰西人就是不知道什么时候该认输！</t>
  </si>
  <si>
    <t>TID_DialogueConf_10008_textList_CN_Main</t>
  </si>
  <si>
    <t>解救友军能够增强部队的战斗力。</t>
  </si>
  <si>
    <t>TID_DialogueConf_10008_textList_10977554256_CN_Main</t>
  </si>
  <si>
    <t>同时也会将琼恩置于危险境地，两难呐，两难……</t>
  </si>
  <si>
    <t>TID_DialogueConf_10009_textList_CN_Main</t>
  </si>
  <si>
    <t>齐侬的朋友，我们一起并肩作战！</t>
  </si>
  <si>
    <t>TID_DialogueConf_10009_name_902916305739_CN_Main</t>
  </si>
  <si>
    <t>TID_DialogueConf_10009_textList_148802160042_CN_Main</t>
  </si>
  <si>
    <t>是友军！友军来了！</t>
  </si>
  <si>
    <t>TID_DialogueConf_10009_textList_582054669983_CN_Main</t>
  </si>
  <si>
    <t>该死的！他们过来了！进攻！</t>
  </si>
  <si>
    <t>TID_DialogueConf_10010_textList_CN_Main</t>
  </si>
  <si>
    <t>小心，我们的敌人英格兰已经大肆出动。</t>
  </si>
  <si>
    <t>TID_DialogueConf_10010_textList_1052535821738_CN_Main</t>
  </si>
  <si>
    <t>他们的勃艮第盟友人数多得犹如老鼠。</t>
  </si>
  <si>
    <t>TID_DialogueConf_10011_textList_CN_Main</t>
  </si>
  <si>
    <t>为了法兰西！</t>
  </si>
  <si>
    <t>TID_DialogueConf_10011_textList_55595615503_CN_Main</t>
  </si>
  <si>
    <t>我们必须要专注自己的任务。</t>
  </si>
  <si>
    <t>TID_DialogueConf_10012_textList_CN_Main</t>
  </si>
  <si>
    <t>只要我们齐心协力，就一定可以将这些侵略者赶回海里。</t>
  </si>
  <si>
    <t>TID_DialogueConf_10012_textList_15783825864_CN_Main</t>
  </si>
  <si>
    <t>你是琼恩……我相信你说的话，我们会追随你。</t>
  </si>
  <si>
    <t>TID_DialogueConf_10012_textList_724579565898_CN_Main</t>
  </si>
  <si>
    <t>下面有动静！</t>
  </si>
  <si>
    <t>TID_DialogueConf_10012_textList_821136482463_CN_Main</t>
  </si>
  <si>
    <t>是我们的人，他们还在跟勃艮第人作战！</t>
  </si>
  <si>
    <t>TID_DialogueConf_10012_textList_1035100805714_CN_Main</t>
  </si>
  <si>
    <t>这里不太对劲……</t>
  </si>
  <si>
    <t>TID_DialogueConf_10012_textList_839298592958_CN_Main</t>
  </si>
  <si>
    <t>就快到齐侬了，你先走，我们就来。</t>
  </si>
  <si>
    <t>TID_DialogueConf_10014_textList_CN_Main</t>
  </si>
  <si>
    <t>（喘气）真是冥顽不灵！</t>
  </si>
  <si>
    <t>TID_DialogueConf_10014_textList_651011808522_CN_Main</t>
  </si>
  <si>
    <t>齐侬的朋友，让我们并肩作战。</t>
  </si>
  <si>
    <t>TID_DialogueConf_10014_name_166696220448_CN_Main</t>
  </si>
  <si>
    <t>TID_DialogueConf_10014_textList_200003339702_CN_Main</t>
  </si>
  <si>
    <t>是你们！蠢货！快回去保护那个少女！</t>
  </si>
  <si>
    <t>TID_DialogueConf_10015_textList_CN_Main</t>
  </si>
  <si>
    <t>她一定要活着！快往上追！</t>
  </si>
  <si>
    <t>TID_DialogueConf_10016_textList_CN_Main</t>
  </si>
  <si>
    <t>法兰西！万岁！</t>
  </si>
  <si>
    <t>TID_DialogueConf_10016_textList_360334247444_CN_Main</t>
  </si>
  <si>
    <t>我们不能让你有丝毫意外。</t>
  </si>
  <si>
    <t>TID_DialogueConf_10017_name_898194757228_CN_Main</t>
  </si>
  <si>
    <t>TID_DialogueConf_10017_textList_CN_Main</t>
  </si>
  <si>
    <t>没想到，传闻中的法兰西救主竟是一个如此不起眼的小丫头。</t>
  </si>
  <si>
    <t>TID_DialogueConf_10017_textList_1010325964614_CN_Main</t>
  </si>
  <si>
    <t>哼，真是可笑！</t>
  </si>
  <si>
    <t>TID_DialogueConf_10018_textList_CN_Main</t>
  </si>
  <si>
    <t>骑士们，举起长剑！</t>
  </si>
  <si>
    <t>TID_DialogueConf_10018_textList_1003775802467_CN_Main</t>
  </si>
  <si>
    <t>点击右侧发光的“主动技能”按钮，施放XXX。</t>
  </si>
  <si>
    <t>TID_DialogueConf_10019_textList_CN_Main</t>
  </si>
  <si>
    <t>该死！太靠近皇太子的齐侬了！撤退！</t>
  </si>
  <si>
    <t>TID_DialogueConf_10019_textList_447917161427_CN_Main</t>
  </si>
  <si>
    <t>我会在奥尔良等着你的，小丫头！</t>
  </si>
  <si>
    <t>TID_DialogueConf_10020_textList_CN_Main</t>
  </si>
  <si>
    <t>齐侬！我们做到了！</t>
  </si>
  <si>
    <t>TID_DialogueConf_10021_textList_CN_Main</t>
  </si>
  <si>
    <t>小伤而已，无需担心。</t>
  </si>
  <si>
    <t>TID_DialogueConf_10022_textList_CN_Main</t>
  </si>
  <si>
    <t>再坚持一会儿。</t>
  </si>
  <si>
    <t>TID_DialogueConf_10023_textList_CN_Main</t>
  </si>
  <si>
    <t>快帮帮我！</t>
  </si>
  <si>
    <t>TID_DialogueConf_10024_textList_CN_Main</t>
  </si>
  <si>
    <t>抢劫无助旅客的强盗啊，我们的祖国怎么了？</t>
  </si>
  <si>
    <t>TID_DialogueConf_10024_textList_290367274068_CN_Main</t>
  </si>
  <si>
    <t>攻击强盗可以吸引他们火力。如果琼恩倒下了，大家都得完蛋。</t>
  </si>
  <si>
    <t>frame_s_xsdh_001</t>
  </si>
  <si>
    <t>TID_DialogueConf_11001_textList_CN_Main</t>
  </si>
  <si>
    <t>Play_voice_campaign_demo00_02_Jeanne</t>
  </si>
  <si>
    <t>说好了在这里会合，怎么到现在都不见人影？</t>
  </si>
  <si>
    <t>frame_s_xsdh_005</t>
  </si>
  <si>
    <t>Play_voice_campaign_demo00_03_Bandit</t>
  </si>
  <si>
    <t>TID_DialogueConf_11001_textList_882144978695_CN_Main</t>
  </si>
  <si>
    <t>Play_voice_campaign_demo00_04_Jeanne</t>
  </si>
  <si>
    <t>国难当头，你们还在打劫同胞！真是法兰西的耻辱！</t>
  </si>
  <si>
    <t>frame_s_xsdh_006</t>
  </si>
  <si>
    <t>TID_DialogueConf_11001_textList_54802890190_CN_Main</t>
  </si>
  <si>
    <t>Play_voice_campaign_demo00_05_Bertrand</t>
  </si>
  <si>
    <t>说得好，琼恩！</t>
  </si>
  <si>
    <t>TID_DialogueConf_11002_textList_CN_Main</t>
  </si>
  <si>
    <t>Play_voice_campaign_demo00_06_tips_Bertrand</t>
  </si>
  <si>
    <t>将部队拖拽向敌人，立即发起攻击。</t>
  </si>
  <si>
    <t>TID_DialogueConf_11003_textList_CN_Main</t>
  </si>
  <si>
    <t>Play_voice_campaign_demo00_07_bubble_Jeanne</t>
  </si>
  <si>
    <t>伯特兰！你迟到了。</t>
  </si>
  <si>
    <t>TID_DialogueConf_11004_textList_CN_Main</t>
  </si>
  <si>
    <t>Play_voice_campaign_demo00_08_bubble_Bertrand</t>
  </si>
  <si>
    <t>请见谅，女士，路上遇到了一队英国佬，耽误了一点时间。</t>
  </si>
  <si>
    <t>TID_DialogueConf_11005_textList_CN_Main</t>
  </si>
  <si>
    <t>Play_voice_campaign_demo00_09_Bertrand</t>
  </si>
  <si>
    <t>皇太子正在齐侬等着，我和德·梅斯会护送你……等等……德·梅斯人呢？</t>
  </si>
  <si>
    <t xml:space="preserve">TID_DialogueConf_11005_name_286024863093_CN_Main </t>
  </si>
  <si>
    <t>TID_DialogueConf_11005_textList_118216904678_CN_Main</t>
  </si>
  <si>
    <t>Play_voice_campaign_demo00_10_Jeanne</t>
  </si>
  <si>
    <t>他在前面探查，就等你过去会合了。</t>
  </si>
  <si>
    <t>TID_DialogueConf_11006_textList_CN_Main</t>
  </si>
  <si>
    <t>Play_voice_campaign_demo00_11_bubble_BanditAmbush</t>
  </si>
  <si>
    <t>肥鸭子送上门了！</t>
  </si>
  <si>
    <t>TID_DialogueConf_11007_textList_CN_Main</t>
  </si>
  <si>
    <t>Play_voice_campaign_demo00_12_Bertrand</t>
  </si>
  <si>
    <t>攻击敌人可以吸引他们的火力。琼恩是我们最后的希望，决不能让她受到伤害！</t>
  </si>
  <si>
    <t>TID_DialogueConf_11008_textList_CN_Main</t>
  </si>
  <si>
    <t>Play_voice_campaign_demo00_13_Bertrand</t>
  </si>
  <si>
    <t>骑士克制弓兵！我们有绝对的优势！冲散他们！</t>
  </si>
  <si>
    <t>TID_DialogueConf_11009_textList_CN_Main</t>
  </si>
  <si>
    <t>Play_voice_campaign_demo00_14_Bertrand</t>
  </si>
  <si>
    <t>阿金库尔的教训一次就够了。</t>
  </si>
  <si>
    <t>Play_voice_campaign_demo00_15_Burgundia</t>
  </si>
  <si>
    <t>frame_s_xsdh_003</t>
  </si>
  <si>
    <t>TID_DialogueConf_11010_textList_1068190486432_CN_Main</t>
  </si>
  <si>
    <t>Play_voice_campaign_demo00_16_Mais</t>
  </si>
  <si>
    <t>是啊，不如你先表演一下？</t>
  </si>
  <si>
    <t>TID_DialogueConf_11011_textList_CN_Main</t>
  </si>
  <si>
    <t>Play_voice_campaign_demo00_17_Bertrand</t>
  </si>
  <si>
    <t>敌人的弓兵完全克制住了德梅斯的剑士小队，必须要救他们。</t>
  </si>
  <si>
    <t>TID_DialogueConf_11012_textList_CN_Main</t>
  </si>
  <si>
    <t>Play_voice_campaign_demo00_18_bubble_Bertrand</t>
  </si>
  <si>
    <t>怎么，德·梅斯，几个弓兵就把你吓住了？</t>
  </si>
  <si>
    <t>TID_DialogueConf_11013_textList_CN_Main</t>
  </si>
  <si>
    <t>Play_voice_campaign_demo00_19_bubble_Mais</t>
  </si>
  <si>
    <t>啊，伯特兰！能见到你手下的骑士，真是太高兴了。</t>
  </si>
  <si>
    <t>TID_DialogueConf_11014_textList_CN_Main</t>
  </si>
  <si>
    <t>Play_voice_campaign_demo00_20_Mais</t>
  </si>
  <si>
    <t>让·德·梅斯，很荣幸再次为您效劳，我的女士。</t>
  </si>
  <si>
    <t>TID_DialogueConf_11015_textList_CN_Main</t>
  </si>
  <si>
    <t>Play_voice_campaign_demo00_21_tips_Bertrand</t>
  </si>
  <si>
    <t>点选英雄头像并拖拽，可以将部队移动至目标地点。</t>
  </si>
  <si>
    <t>TID_DialogueConf_11016_textList_CN_Main</t>
  </si>
  <si>
    <t>Play_voice_campaign_demo00_22_Jeanne</t>
  </si>
  <si>
    <t>小心！是陷阱！</t>
  </si>
  <si>
    <t>TID_DialogueConf_11016_textList_602014087443_CN_Main</t>
  </si>
  <si>
    <t>Play_voice_campaign_demo00_23_Bertrand</t>
  </si>
  <si>
    <t>镇定！准备战斗！保护好琼恩！</t>
  </si>
  <si>
    <t>TID_DialogueConf_11017_name_CN_Main</t>
  </si>
  <si>
    <t>TID_DialogueConf_11017_textList_CN_Main</t>
  </si>
  <si>
    <t>Play_voice_campaign_demo00_24_bubble_EnglandAmbush</t>
  </si>
  <si>
    <t>干掉那个女孩，法兰西就完了！</t>
  </si>
  <si>
    <t>TID_DialogueConf_11018_textList_CN_Main</t>
  </si>
  <si>
    <t>Play_voice_campaign_demo00_25_bubble_Bertrand</t>
  </si>
  <si>
    <t>列好阵型，别让他们靠近琼恩！</t>
  </si>
  <si>
    <t>TID_DialogueConf_11019_textList_CN_Main</t>
  </si>
  <si>
    <t>Play_voice_campaign_demo00_26_bubble_Bertrand</t>
  </si>
  <si>
    <t>守好阵线！英国佬不会轻易死心的！</t>
  </si>
  <si>
    <t>TID_DialogueConf_11020_textList_CN_Main</t>
  </si>
  <si>
    <t>Play_voice_campaign_demo00_27_bubble_Mais</t>
  </si>
  <si>
    <t>该死！怎么还有！</t>
  </si>
  <si>
    <t>TID_DialogueConf_11021_textList_CN_Main</t>
  </si>
  <si>
    <t>Play_voice_campaign_demo00_28_Mais</t>
  </si>
  <si>
    <t>真是比牛身上的虱子还多！</t>
  </si>
  <si>
    <t>TID_DialogueConf_11022_textList_CN_Main</t>
  </si>
  <si>
    <t>Play_voice_campaign_demo00_29_tips_Bertrand</t>
  </si>
  <si>
    <t>移动部队拾取血瓶，恢复部队兵力。</t>
  </si>
  <si>
    <t>TID_DialogueConf_11023_textList_CN_Main</t>
  </si>
  <si>
    <t>Play_voice_campaign_demo00_30_Bertrand</t>
  </si>
  <si>
    <t>这条路线已经被英国佬渗透了，也许我们该换条路走……</t>
  </si>
  <si>
    <t>TID_DialogueConf_11023_textList_390907132824_CN_Main</t>
  </si>
  <si>
    <t>Play_voice_campaign_demo00_31_Jeanne</t>
  </si>
  <si>
    <t>不！让他们来吧！法兰西前进的道路永远不会被这些异国小丑所阻挡！</t>
  </si>
  <si>
    <t>TID_DialogueConf_11023_textList_165624598523_CN_Main</t>
  </si>
  <si>
    <t>Play_voice_campaign_demo00_32_Mais</t>
  </si>
  <si>
    <t>听听，伯特兰，这才是英雄该说的话。</t>
  </si>
  <si>
    <t>TID_DialogueConf_11024_textList_CN_Main</t>
  </si>
  <si>
    <t>Play_voice_campaign_demo00_33_Jeanne</t>
  </si>
  <si>
    <t>啊！不，我不能倒下……我不能……</t>
  </si>
  <si>
    <t>TID_DialogueConf_11024_textList_269153666539_CN_Main</t>
  </si>
  <si>
    <t>Play_voice_campaign_demo00_34_Bertrand</t>
  </si>
  <si>
    <t>女士，坚持住！法兰西还等着你呢！</t>
  </si>
  <si>
    <t>TID_DialogueConf_11025_textList_CN_Main</t>
  </si>
  <si>
    <t>Play_voice_campaign_demo00_35_Mais</t>
  </si>
  <si>
    <t>法兰西有没有在等我不知道，眼前的英国佬倒真是在“等我们”！</t>
  </si>
  <si>
    <t>TID_DialogueConf_11026_name_CN_Main</t>
  </si>
  <si>
    <t>TID_DialogueConf_11026_textList_CN_Main</t>
  </si>
  <si>
    <t>Play_voice_campaign_demo00_36_bubble_Elite</t>
  </si>
  <si>
    <t>瞄准那个女孩！她才是主要目标！</t>
  </si>
  <si>
    <t>TID_DialogueConf_11027_textList_CN_Main</t>
  </si>
  <si>
    <t>Play_voice_campaign_demo00_37_bubble_Bertrand</t>
  </si>
  <si>
    <t>那个弓兵正在瞄准琼恩，不能让他得逞！</t>
  </si>
  <si>
    <t>TID_DialogueConf_11028_textList_CN_Main</t>
  </si>
  <si>
    <t>Play_voice_campaign_demo00_38_tips_Bertrand</t>
  </si>
  <si>
    <t>点击施放眩晕技能，优先针对高威胁目标。</t>
  </si>
  <si>
    <t>TID_DialogueConf_11029_textList_CN_Main</t>
  </si>
  <si>
    <t>Play_voice_campaign_demo00_39_Mais</t>
  </si>
  <si>
    <t>英国佬的“欢迎仪式”越来越“热情”了！</t>
  </si>
  <si>
    <t>TID_DialogueConf_11030_textList_CN_Main</t>
  </si>
  <si>
    <t>Play_voice_campaign_demo00_40_bubble_Mais</t>
  </si>
  <si>
    <t>伯特兰，如果我死了，记得把我靴子里的私房钱拿走！可不能留给这群英国佬！</t>
  </si>
  <si>
    <t>TID_DialogueConf_11031_textList_CN_Main</t>
  </si>
  <si>
    <t>Play_voice_campaign_demo00_41_bubble_Bertrand</t>
  </si>
  <si>
    <t>哦，德·梅斯，你闭嘴吧！</t>
  </si>
  <si>
    <t>TID_DialogueConf_11032_textList_CN_Main</t>
  </si>
  <si>
    <t>Play_voice_campaign_demo00_42_Bertrand</t>
  </si>
  <si>
    <t>坚持住，琼恩，就快到了。</t>
  </si>
  <si>
    <t>TID_DialogueConf_11032_textList_837687070005_CN_Main</t>
  </si>
  <si>
    <t>Play_voice_campaign_demo00_43_Jeanne</t>
  </si>
  <si>
    <t>我……没事，继续前进吧。</t>
  </si>
  <si>
    <t>TID_DialogueConf_11033_textList_CN_Main</t>
  </si>
  <si>
    <t>Play_voice_campaign_demo00_44_bubble_Bertrand</t>
  </si>
  <si>
    <t>我们不会被轻易打败。</t>
  </si>
  <si>
    <t xml:space="preserve"> </t>
  </si>
  <si>
    <t>TID_DialogueConf_11034_textList_CN_Main</t>
  </si>
  <si>
    <t>Play_voice_campaign_demo00_45_Count</t>
  </si>
  <si>
    <t>不错，小丫头，你确实让我印象深刻……</t>
  </si>
  <si>
    <t>TID_DialogueConf_11034_textList_39841240217_CN_Main</t>
  </si>
  <si>
    <t>Play_voice_campaign_demo00_46_Count</t>
  </si>
  <si>
    <t>可惜，到此为止了！</t>
  </si>
  <si>
    <t>TID_DialogueConf_11035_textList_CN_Main</t>
  </si>
  <si>
    <t>Play_voice_campaign_demo00_47_bubble_Bertrand</t>
  </si>
  <si>
    <t>为了法兰西的荣耀！</t>
  </si>
  <si>
    <t>TID_DialogueConf_11036_textList_CN_Main</t>
  </si>
  <si>
    <t>Play_voice_campaign_demo00_48_bubble_Mais</t>
  </si>
  <si>
    <t>把这些入侵者丢进海里喂鱼！</t>
  </si>
  <si>
    <t>TID_DialogueConf_11037_textList_CN_Main</t>
  </si>
  <si>
    <t>Play_voice_campaign_demo00_49_bubble_Count</t>
  </si>
  <si>
    <t>放弃吧，这徒劳的挣扎。</t>
  </si>
  <si>
    <t>TID_DialogueConf_11038_textList_CN_Main</t>
  </si>
  <si>
    <t>Play_voice_campaign_demo00_50_bubble_Count</t>
  </si>
  <si>
    <t>要么跪下！要么死！</t>
  </si>
  <si>
    <t>TID_DialogueConf_11039_textList_CN_Main</t>
  </si>
  <si>
    <t>Play_voice_campaign_demo00_51_bubble_Count</t>
  </si>
  <si>
    <t>我会在你颤抖的身影里，仔细品味胜利的滋味！</t>
  </si>
  <si>
    <t>TID_DialogueConf_11040_textList_CN_Main</t>
  </si>
  <si>
    <t>Play_voice_campaign_demo00_52_Count</t>
  </si>
  <si>
    <t>我们奥尔良再见吧！小丫头！</t>
  </si>
  <si>
    <t>TID_DialogueConf_11040_textList_1027299844430_CN_Main</t>
  </si>
  <si>
    <t>Play_voice_campaign_demo00_53_Mais</t>
  </si>
  <si>
    <t>终于到了！齐侬的美酒在等我们！</t>
  </si>
  <si>
    <t>TID_DialogueConf_11041_name_CN_Main</t>
  </si>
  <si>
    <t>TID_DialogueConf_11041_textList_CN_Main</t>
  </si>
  <si>
    <t>Play_voice_campaign_demo00_01_voiceover</t>
  </si>
  <si>
    <t>自阿金库尔战役惨败以来，英军几乎占领了法兰西的整个北部。
在民族存亡的巨大危机面前，一位普通的少女站了出来……</t>
  </si>
  <si>
    <t>TID_DialogueConf_11042_name_CN_Main</t>
  </si>
  <si>
    <t>TID_DialogueConf_11042_textList_CN_Main</t>
  </si>
  <si>
    <t>Play_voice_campaign_demo00_54_voiceover</t>
  </si>
  <si>
    <t>琼恩站在皇太子面前，周边的窃窃私语并没有让她感到惶恐，人们怀疑的目光也没有让她退缩。
因为她知道，自己就站在正确的道路之上。</t>
  </si>
  <si>
    <t>序章</t>
  </si>
  <si>
    <t>新手序章</t>
  </si>
  <si>
    <t>国内S1</t>
  </si>
  <si>
    <t>TID_DialogueConf_41001_name_CN_Main</t>
  </si>
  <si>
    <t>TID_DialogueConf_41001_textList_CN_Main</t>
  </si>
  <si>
    <t>Play_voice_campaign_beginner00_04_Caesar</t>
  </si>
  <si>
    <t>chapter_0_1</t>
  </si>
  <si>
    <t>领主大人，城门已被蛮族攻破！再不快点，陛下恐怕要不行了。</t>
  </si>
  <si>
    <t>城门已被蛮族攻破</t>
  </si>
  <si>
    <t>TID_DialogueConf_41002_textList_CN_Main</t>
  </si>
  <si>
    <t>Play_voice_campaign_beginner00_06_Caesar</t>
  </si>
  <si>
    <t>chapter_0_2</t>
  </si>
  <si>
    <t>这些野蛮人竟然也懂得封锁道路，看来是有两下子，我们得绕着走。</t>
  </si>
  <si>
    <t>野蛮人</t>
  </si>
  <si>
    <t>封锁道路</t>
  </si>
  <si>
    <t>TID_DialogueConf_41003_name_CN_Main</t>
  </si>
  <si>
    <t>TID_DialogueConf_41003_textList_CN_Main</t>
  </si>
  <si>
    <t>Play_voice_campaign_beginner00_09_bubble_Allies</t>
  </si>
  <si>
    <t>0;-100</t>
  </si>
  <si>
    <t>放下武器，是友军！太好了，皇城有救了！</t>
  </si>
  <si>
    <t>TID_DialogueConf_41004_textList_CN_Main</t>
  </si>
  <si>
    <t>Play_voice_campaign_beginner00_11_bubble_Caesar</t>
  </si>
  <si>
    <t>战士们，跟上部队！陛下还在皇城等着我们！</t>
  </si>
  <si>
    <t>TID_DialogueConf_41005_textList_CN_Main</t>
  </si>
  <si>
    <t>Play_voice_campaign_beginner00_12_Caesar</t>
  </si>
  <si>
    <t>chapter_0_3</t>
  </si>
  <si>
    <t>除了硬刚，没有其他可走的路了，就让我们这些士兵“热热身”，拔掉这个关隘！</t>
  </si>
  <si>
    <t>硬刚</t>
  </si>
  <si>
    <t>拔掉这个关隘</t>
  </si>
  <si>
    <t>TID_DialogueConf_41005_textList_834036336037_CN_Main</t>
  </si>
  <si>
    <t>Play_voice_campaign_beginner00_13_Allies</t>
  </si>
  <si>
    <t>chapter_0_4</t>
  </si>
  <si>
    <t>禀告大人，关隘内部存放了大量火药，只要一点火花，就能把他们炸上天！</t>
  </si>
  <si>
    <t>关隘内部</t>
  </si>
  <si>
    <t>大量火药</t>
  </si>
  <si>
    <t>TID_DialogueConf_41006_textList_CN_Main</t>
  </si>
  <si>
    <t>Play_voice_campaign_beginner00_17_bubble_Caesar</t>
  </si>
  <si>
    <t>投石车，发射！让火药炸一会！</t>
  </si>
  <si>
    <t>TID_DialogueConf_41007_textList_CN_Main</t>
  </si>
  <si>
    <t>Play_voice_campaign_beginner00_18_bubble_Caesar</t>
  </si>
  <si>
    <t>0;-60</t>
  </si>
  <si>
    <t>利剑出鞘，随我冲锋！重铸荣光，我辈义不容辞！</t>
  </si>
  <si>
    <t>TID_DialogueConf_41008_textList_CN_Main</t>
  </si>
  <si>
    <t>Play_voice_campaign_beginner00_19_bubble_Allies</t>
  </si>
  <si>
    <t>大人，敌人被打残了！快使用[主将技能]收割他们！</t>
  </si>
  <si>
    <t>TID_DialogueConf_41009_textList_CN_Main</t>
  </si>
  <si>
    <t>Play_voice_campaign_beginner00_20_1_tips_Soldier</t>
  </si>
  <si>
    <t>撑住！援军快要来了！</t>
  </si>
  <si>
    <t>哨塔</t>
  </si>
  <si>
    <t>TID_DialogueConf_41010_textList_CN_Main</t>
  </si>
  <si>
    <t>Play_voice_campaign_beginner00_21_Allies</t>
  </si>
  <si>
    <t>chapter_0_5</t>
  </si>
  <si>
    <t>大人，保存实力，别正面刚，利用兵种克制就可以轻松压制敌人。</t>
  </si>
  <si>
    <t>兵种克制</t>
  </si>
  <si>
    <t>压制敌人</t>
  </si>
  <si>
    <t>TID_DialogueConf_41011_textList_CN_Main</t>
  </si>
  <si>
    <t>占领这座哨塔，可以让我们的视野更加开阔。（目前没配置）</t>
  </si>
  <si>
    <t>TID_DialogueConf_2055001_name_CN_Main</t>
  </si>
  <si>
    <t>TID_DialogueConf_41012_textList_CN_Main</t>
  </si>
  <si>
    <t>Play_voice_campaign_beginner00_26_bubble_Andrea</t>
  </si>
  <si>
    <t>-40;-70</t>
  </si>
  <si>
    <t>老狗都有几颗牙，再看看你们，就这么点儿能耐吗？</t>
  </si>
  <si>
    <t>TID_DialogueConf_41013_name_CN_Main</t>
  </si>
  <si>
    <t>TID_DialogueConf_41013_textList_CN_Main</t>
  </si>
  <si>
    <t>Play_voice_campaign_beginner00_27_bubble_Barbarian</t>
  </si>
  <si>
    <t>-30;-75</t>
  </si>
  <si>
    <t>牙尖嘴利，一会儿看我怎么收拾你！</t>
  </si>
  <si>
    <t>TID_DialogueConf_41014_textList_CN_Main</t>
  </si>
  <si>
    <t>Play_voice_campaign_beginner00_31_bubble_Caesar</t>
  </si>
  <si>
    <t>别怕，公主殿下！有我尤里乌斯在，他们……</t>
  </si>
  <si>
    <t>TID_DialogueConf_41015_textList_CN_Main</t>
  </si>
  <si>
    <t>Play_voice_campaign_beginner00_32_bubble_Andrea</t>
  </si>
  <si>
    <t>-110;-100</t>
  </si>
  <si>
    <t>知道了，别客套了！有时间站着，不如过来搭把手！</t>
  </si>
  <si>
    <t>TID_DialogueConf_41016_name_CN_Main</t>
  </si>
  <si>
    <t>TID_DialogueConf_41016_textList_CN_Main</t>
  </si>
  <si>
    <t>Play_voice_campaign_beginner00_33_bubble_Barbarianking</t>
  </si>
  <si>
    <t>老东西，别做无谓的挣扎了，乖乖下马束手就擒吧！</t>
  </si>
  <si>
    <t>TID_DialogueConf_41017_name_CN_Main</t>
  </si>
  <si>
    <t>TID_DialogueConf_41017_textList_CN_Main</t>
  </si>
  <si>
    <t>Play_voice_campaign_beginner00_34_bubble_King</t>
  </si>
  <si>
    <t>-90;-60</t>
  </si>
  <si>
    <t>化外蛮夷，今天就让我来教教你，什么是基本礼仪！</t>
  </si>
  <si>
    <t>TID_DialogueConf_41018_textList_CN_Main</t>
  </si>
  <si>
    <t>陛下！</t>
  </si>
  <si>
    <t>TID_DialogueConf_41019_textList_CN_Main</t>
  </si>
  <si>
    <t>Play_voice_campaign_beginner00_38_bubble_King</t>
  </si>
  <si>
    <t>-90;-95</t>
  </si>
  <si>
    <t>想不到，最后竟然只有你来陪我打这一场仗！</t>
  </si>
  <si>
    <t>TID_DialogueConf_41020_textList_CN_Main</t>
  </si>
  <si>
    <t>Play_voice_campaign_beginner00_39_bubble_Barbarianking</t>
  </si>
  <si>
    <t>-90;-15</t>
  </si>
  <si>
    <t>可笑，逃跑的见过无数，赶来送人头的倒是第一回见！</t>
  </si>
  <si>
    <t>TID_DialogueConf_41021_textList_CN_Main</t>
  </si>
  <si>
    <t>Play_voice_campaign_beginner00_43_bubble_Barbarianking</t>
  </si>
  <si>
    <t>哼，这老东西就算给你们又如何！</t>
  </si>
  <si>
    <t>TID_DialogueConf_41022_textList_CN_Main</t>
  </si>
  <si>
    <t>Play_voice_campaign_beginner00_44_bubble_Andrea</t>
  </si>
  <si>
    <t>糟糕糟糕！蛮族又冲过来了！快掩护陛下撤退！</t>
  </si>
  <si>
    <t>TID_DialogueConf_41023_textList_CN_Main</t>
  </si>
  <si>
    <t>assets/bundleresources/characters/a/hero/p_ah_cstt_facial.prefab</t>
  </si>
  <si>
    <t>chapter_2_13</t>
  </si>
  <si>
    <t>也许，这就是命运的安排吧……帝国的未来就交给你了！</t>
  </si>
  <si>
    <t>命运的安排</t>
  </si>
  <si>
    <t>帝国</t>
  </si>
  <si>
    <t>交给你了</t>
  </si>
  <si>
    <t>TID_DialogueConf_41023_textList_140333048854_CN_Main</t>
  </si>
  <si>
    <t>chapter_2_14</t>
  </si>
  <si>
    <t>你们一定要活下去，只要你们活着，帝国就一定不会灭亡！</t>
  </si>
  <si>
    <t>活下去</t>
  </si>
  <si>
    <t>不会灭亡</t>
  </si>
  <si>
    <t>TID_DialogueConf_41024_name_CN_Main</t>
  </si>
  <si>
    <t>TID_DialogueConf_41024_textList_CN_Main</t>
  </si>
  <si>
    <t>Play_voice_campaign_beginner00_05_bubble_Barbarian</t>
  </si>
  <si>
    <t>眼睛都给我瞪大点儿！哪怕一只苍蝇都不能放过！</t>
  </si>
  <si>
    <t>TID_DialogueConf_41025_textList_CN_Main</t>
  </si>
  <si>
    <t>Play_voice_campaign_beginner00_42_bubble_Caesar</t>
  </si>
  <si>
    <t>让我来，利剑胜长枪，再多枪兵都是我剑下炮灰！</t>
  </si>
  <si>
    <t>TID_DialogueConf_41026_textList_CN_Main</t>
  </si>
  <si>
    <t>Play_voice_campaign_beginner00_41_tips_Andrea</t>
  </si>
  <si>
    <t>蛮王又准备施放技能了，快打断他！</t>
  </si>
  <si>
    <t>TID_DialogueConf_41027_textList_CN_Main</t>
  </si>
  <si>
    <t>Play_voice_campaign_beginner00_08_bubble_Caesar</t>
  </si>
  <si>
    <t>你的命令，就是我的使命，列队出发！</t>
  </si>
  <si>
    <t>TID_DialogueConf_41028_textList_CN_Main</t>
  </si>
  <si>
    <t>Play_voice_campaign_beginner00_15_bubble_Caesar</t>
  </si>
  <si>
    <t>士兵们，低调点，别让敌人发现了。</t>
  </si>
  <si>
    <t>TID_DialogueConf_41029_textList_CN_Main</t>
  </si>
  <si>
    <t>列队出征，击溃敌人！</t>
  </si>
  <si>
    <t>TID_DialogueConf_41030_textList_CN_Main</t>
  </si>
  <si>
    <t>Play_voice_campaign_beginner00_30_bubble_Caesar</t>
  </si>
  <si>
    <t>剑士克制枪兵！我们有兵种优势！随我冲散他们！</t>
  </si>
  <si>
    <t>TID_DialogueConf_41031_textList_CN_Main</t>
  </si>
  <si>
    <t>Play_voice_campaign_beginner00_37_bubble_Caesar</t>
  </si>
  <si>
    <t>听我号令，全军出击，碾碎他们！</t>
  </si>
  <si>
    <t>TID_DialogueConf_41032_textList_CN_Main</t>
  </si>
  <si>
    <t>Play_voice_campaign_beginner00_45_bubble_King</t>
  </si>
  <si>
    <t>帝国将士们…我以皇帝之名下令…撤离战场！</t>
  </si>
  <si>
    <t>TID_DialogueConf_41033_textList_CN_Main</t>
  </si>
  <si>
    <t>Play_voice_campaign_beginner00_35_02_Andrea</t>
  </si>
  <si>
    <t>chapter_0_6</t>
  </si>
  <si>
    <t>领主大人，擒贼先擒王，快集合队伍全力进攻敌人头目！</t>
  </si>
  <si>
    <t>集合队伍</t>
  </si>
  <si>
    <t>TID_DialogueConf_41034_textList_CN_Main</t>
  </si>
  <si>
    <t>Play_voice_campaign_beginner00_46_02_bubble_Caesar</t>
  </si>
  <si>
    <t>守住阵线！只要我们在，帝国一定可以翻盘！</t>
  </si>
  <si>
    <t>TID_DialogueConf_41036_textList_CN_Main</t>
  </si>
  <si>
    <t>Play_voice_campaign_beginner00_43_02_bubble_Barbarianking</t>
  </si>
  <si>
    <t>蛮族大军即将横扫整个帝国，你们无路可逃！</t>
  </si>
  <si>
    <t>海外S1</t>
  </si>
  <si>
    <t>TID_DialogueConf_41101_name_CN_Main</t>
  </si>
  <si>
    <t>TID_DialogueConf_41101_textList_CN_Main</t>
  </si>
  <si>
    <t>Play_voice_story1_newbiebattle_04_gauis_en</t>
  </si>
  <si>
    <t>大人，城门已被蛮族攻破！我们要加快些，皇帝陛下的情况已经很危急了！</t>
  </si>
  <si>
    <t>Play_voice_story1_newbiebattle_05_iaf_en</t>
  </si>
  <si>
    <t>TID_DialogueConf_41103_textList_CN_Main</t>
  </si>
  <si>
    <t>Play_voice_story1_newbiebattle_07_gauis_en</t>
  </si>
  <si>
    <t>剑士克制枪兵！利用我们的兵种优势，冲散他们！</t>
  </si>
  <si>
    <t>TID_DialogueConf_41104_textList_CN_Main</t>
  </si>
  <si>
    <t>Play_voice_story1_newbiebattle_08_is_en</t>
  </si>
  <si>
    <t>敌人处于残血状态！快使用[主将技能]收割他们！</t>
  </si>
  <si>
    <t>TID_DialogueConf_41105_textList_CN_Main</t>
  </si>
  <si>
    <t>Play_voice_story1_newbiebattle_10_andrea_en</t>
  </si>
  <si>
    <t>还以为你们有多厉害呢，原来就这点能耐吗？</t>
  </si>
  <si>
    <t>Play_voice_story1_newbiebattle_11_bv_en</t>
  </si>
  <si>
    <t>TID_DialogueConf_41107_textList_CN_Main</t>
  </si>
  <si>
    <t>Play_voice_story1_newbiebattle_14_gauis_en</t>
  </si>
  <si>
    <t>别怕，公主殿下！有我凯撒在，他们……</t>
  </si>
  <si>
    <t>TID_DialogueConf_41108_textList_CN_Main</t>
  </si>
  <si>
    <t>Play_voice_story1_newbiebattle_15_andrea_en</t>
  </si>
  <si>
    <t>别废话了，快过来帮帮我！</t>
  </si>
  <si>
    <t>TID_DialogueConf_41109_textList_CN_Main</t>
  </si>
  <si>
    <t>Play_voice_story1_newbiebattle_16_bc_en</t>
  </si>
  <si>
    <t>老家伙，别做无谓的挣扎了，快投降吧！</t>
  </si>
  <si>
    <t>Play_voice_story1_newbiebattle_17_cstt_en</t>
  </si>
  <si>
    <t>Play_voice_story1_newbiebattle_18_andrea_en</t>
  </si>
  <si>
    <t>Play_voice_story1_newbiebattle_21_gauis_en</t>
  </si>
  <si>
    <t>Play_voice_story1_newbiebattle_22_cstt_en</t>
  </si>
  <si>
    <t>TID_DialogueConf_41114_textList_CN_Main</t>
  </si>
  <si>
    <t>Play_voice_story1_newbiebattle_23_bc_en</t>
  </si>
  <si>
    <t>可笑，见过逃跑的，还没见过赶着送死的！</t>
  </si>
  <si>
    <t>Play_voice_story1_newbiebattle_25_andrea_en</t>
  </si>
  <si>
    <t>TID_DialogueConf_41116_textList_CN_Main</t>
  </si>
  <si>
    <t>Play_voice_story1_newbiebattle_26_gauis_en</t>
  </si>
  <si>
    <t>让我来，再多枪兵也都是我剑下炮灰！</t>
  </si>
  <si>
    <t>TID_DialogueConf_41117_textList_CN_Main</t>
  </si>
  <si>
    <t>Play_voice_story1_newbiebattle_27_bc_en</t>
  </si>
  <si>
    <t>哼，这老家伙就算让你带走又如何！</t>
  </si>
  <si>
    <t>TID_DialogueConf_41118_textList_CN_Main</t>
  </si>
  <si>
    <t>Play_voice_story1_newbiebattle_28_bc_en</t>
  </si>
  <si>
    <t>帝国即将被我军征服，你们无处可逃！</t>
  </si>
  <si>
    <t>Play_voice_story1_newbiebattle_29_andrea_en</t>
  </si>
  <si>
    <t>Play_voice_story1_newbiebattle_30_cstt_en</t>
  </si>
  <si>
    <t>TID_DialogueConf_41121_textList_CN_Main</t>
  </si>
  <si>
    <t>Play_voice_story1_newbiebattle_31_gauis_en</t>
  </si>
  <si>
    <t>守住阵线！只要我们在，帝国就有胜利的希望！</t>
  </si>
  <si>
    <t>第0章</t>
  </si>
  <si>
    <t>选洲剧情</t>
  </si>
  <si>
    <t>TID_DialogueConf_50001_textList_CN_Main</t>
  </si>
  <si>
    <t>Play_voice_campaign_beginner00_49_voiceoverKing</t>
  </si>
  <si>
    <t>chapter_0_7</t>
  </si>
  <si>
    <t>这次勤王，你是第一功臣，也是我们的希望，帝国的未来就交给你了！</t>
  </si>
  <si>
    <t>我们的希望</t>
  </si>
  <si>
    <t>帝国的未来</t>
  </si>
  <si>
    <t>TID_DialogueConf_50001_textList_1051906345268_CN_Main</t>
  </si>
  <si>
    <t>Play_voice_campaign_beginner00_50_voiceoverKing</t>
  </si>
  <si>
    <t>chapter_0_8</t>
  </si>
  <si>
    <t>这将是我给你的最后封赏，你可以选择一个洲，在那里我会给你准备一座城池，让你重整旗鼓，进而由外向内，消灭蛮族。</t>
  </si>
  <si>
    <t>选择一个洲</t>
  </si>
  <si>
    <t>准备一座城池</t>
  </si>
  <si>
    <t>重整旗鼓</t>
  </si>
  <si>
    <t>第1章</t>
  </si>
  <si>
    <t>章起剧情</t>
  </si>
  <si>
    <t>TID_DialogueConf_50101_textList_CN_Main</t>
  </si>
  <si>
    <t>Play_voice_guide01_01_Andrea</t>
  </si>
  <si>
    <t>chapter_1_1</t>
  </si>
  <si>
    <t>嗯？这是陛下封赏的城池？小了点，但在大人手上一定可以做大做强，毕竟大人最懂内政。</t>
  </si>
  <si>
    <t>做大做强</t>
  </si>
  <si>
    <t>大人最懂内政</t>
  </si>
  <si>
    <t>TID_DialogueConf_50101_textList_410484278510_CN_Main</t>
  </si>
  <si>
    <t>Play_voice_guide01_02_Caesar</t>
  </si>
  <si>
    <t>chapter_1_2</t>
  </si>
  <si>
    <t>能跟大人并肩作战实在荣幸！在下也要返回领地重振旗鼓了，离开之前，请允许我为您推荐一位名将！</t>
  </si>
  <si>
    <t>重振旗鼓</t>
  </si>
  <si>
    <t>为您推荐一位名将</t>
  </si>
  <si>
    <t>在点将台招募获得1个英雄</t>
  </si>
  <si>
    <t>TID_DialogueConf_50102_textList_CN_Main</t>
  </si>
  <si>
    <t>Play_voice_guide01_03_Caesar</t>
  </si>
  <si>
    <t>chapter_1_3</t>
  </si>
  <si>
    <t>通过【点将台】可以招募许多强力的英雄，这些英雄会为您军队的战斗力带来巨大的提升，大人，来点个将试试吧！</t>
  </si>
  <si>
    <t>招募许多强力的英雄</t>
  </si>
  <si>
    <t>TID_DialogueConf_50103_textList_CN_Main</t>
  </si>
  <si>
    <t>Play_voice_guide01_05_HuaMulan</t>
  </si>
  <si>
    <t>chapter_1_4</t>
  </si>
  <si>
    <t>谁说女子不如男！「巾帼孝烈」魏兰愿为阁下亲效犬马之劳，扫除蛮族！</t>
  </si>
  <si>
    <t>「巾帼孝烈」魏兰</t>
  </si>
  <si>
    <t>编组1支上阵1个英雄的部队</t>
  </si>
  <si>
    <t>TID_DialogueConf_50104_textList_CN_Main</t>
  </si>
  <si>
    <t>Play_voice_guide01_07_Andrea</t>
  </si>
  <si>
    <t>chapter_1_5</t>
  </si>
  <si>
    <t>大人，探子来报，似乎在城外资源点发现了蛮族的踪迹，真是阴魂不散啊！</t>
  </si>
  <si>
    <t>城外资源点</t>
  </si>
  <si>
    <t>蛮族的踪迹</t>
  </si>
  <si>
    <t>TID_DialogueConf_50105_textList_CN_Main</t>
  </si>
  <si>
    <t>Play_voice_guide01_09_HuaMulan</t>
  </si>
  <si>
    <t>chapter_1_6</t>
  </si>
  <si>
    <t>带兵打仗是将领的天职，领主大人，只要给我一点人马，我魏兰保你城池坚不可摧。</t>
  </si>
  <si>
    <t>给我一点人马</t>
  </si>
  <si>
    <t>保你城池坚不可摧</t>
  </si>
  <si>
    <t>城外搜索任意类型资源点1次</t>
  </si>
  <si>
    <t>TID_DialogueConf_50106_textList_CN_Main</t>
  </si>
  <si>
    <t>Play_voice_guide01_13_HuaMulan</t>
  </si>
  <si>
    <t>chapter_1_7</t>
  </si>
  <si>
    <t>我有个办法可以快速定位那些蛮子，大人，来跟我操作，通过搜索资源点就能搞定。</t>
  </si>
  <si>
    <t>快速定位那些蛮子</t>
  </si>
  <si>
    <t>搜索资源点</t>
  </si>
  <si>
    <t>攻占1个1级或更高级的资源点</t>
  </si>
  <si>
    <t>TID_DialogueConf_50107_textList_CN_Main</t>
  </si>
  <si>
    <t>Play_voice_guide01_15_HuaMulan</t>
  </si>
  <si>
    <t>chapter_1_8</t>
  </si>
  <si>
    <t>只有击败盘踞在这的蛮族才能拿回资源点，大人，别犹豫，他们就是一盘散沙，不足为惧！</t>
  </si>
  <si>
    <t>击败</t>
  </si>
  <si>
    <t>蛮族</t>
  </si>
  <si>
    <t>拿回资源点</t>
  </si>
  <si>
    <t>TID_DialogueConf_50108_textList_CN_Main</t>
  </si>
  <si>
    <t>Play_voice_guide01_18_HuaMulan</t>
  </si>
  <si>
    <t>chapter_1_9</t>
  </si>
  <si>
    <t>这可真是一场教科书般的胜利，那我就放心了，领主大人，接下来就看你的表演了。</t>
  </si>
  <si>
    <t>教科书般的胜利</t>
  </si>
  <si>
    <t>第2章</t>
  </si>
  <si>
    <t>TID_DialogueConf_50201_textList_CN_Main</t>
  </si>
  <si>
    <t>Play_voice_guide02_01_HuaMulan</t>
  </si>
  <si>
    <t>我们真正的敌人远比这些散装蛮子要强大的多，要想取胜并非一朝一夕，大人得先稳住。</t>
  </si>
  <si>
    <t>真正的敌人</t>
  </si>
  <si>
    <t>大人得先稳住</t>
  </si>
  <si>
    <t>TID_DialogueConf_50201_textList_479360412265_CN_Main</t>
  </si>
  <si>
    <t>Play_voice_guide02_02_Andrea</t>
  </si>
  <si>
    <t>chapter_2_2</t>
  </si>
  <si>
    <t>大人，不如先从内城的建设开始着手吧，毕竟腰包鼓了，才能撑起更大的队伍。</t>
  </si>
  <si>
    <t>内城的建设</t>
  </si>
  <si>
    <t>建造磨坊至1个</t>
  </si>
  <si>
    <t>TID_DialogueConf_50202_textList_CN_Main</t>
  </si>
  <si>
    <t>Play_voice_guide02_03_Andrea</t>
  </si>
  <si>
    <t>chapter_2_3</t>
  </si>
  <si>
    <t>领主大人，有了磨坊，我们才能在城内生产粮食，还请先建造一些磨坊。</t>
  </si>
  <si>
    <t>城内生产粮食</t>
  </si>
  <si>
    <t>建造一些磨坊</t>
  </si>
  <si>
    <t>建造农田至2个</t>
  </si>
  <si>
    <t>TID_DialogueConf_50203_textList_CN_Main</t>
  </si>
  <si>
    <t>Play_voice_guide02_06_Andrea</t>
  </si>
  <si>
    <t>chapter_2_6</t>
  </si>
  <si>
    <t>请在磨坊附近开垦几块农田，这样我们的村民就不用天天吃浆果了。</t>
  </si>
  <si>
    <t>开垦几块农田</t>
  </si>
  <si>
    <t>升级城镇中心至2级</t>
  </si>
  <si>
    <t>TID_DialogueConf_50204_textList_CN_Main</t>
  </si>
  <si>
    <t>Play_voice_guide02_07_Andrea</t>
  </si>
  <si>
    <t>chapter_2_5</t>
  </si>
  <si>
    <t>是时候升级我们的城镇中心了，这样一来便可以建造更多不同用途的建筑了。</t>
  </si>
  <si>
    <t>升级</t>
  </si>
  <si>
    <t>城镇中心</t>
  </si>
  <si>
    <t>建造居民房舍至1个</t>
  </si>
  <si>
    <t>TID_DialogueConf_50205_textList_CN_Main</t>
  </si>
  <si>
    <t>Play_voice_guide02_10_Andrea</t>
  </si>
  <si>
    <t>大人，必须建造多一些居民房舍，才能让城镇容下更多的村民。</t>
  </si>
  <si>
    <t>建造</t>
  </si>
  <si>
    <t>居民房舍</t>
  </si>
  <si>
    <t>训练村民10名</t>
  </si>
  <si>
    <t>TID_DialogueConf_50206_textList_CN_Main</t>
  </si>
  <si>
    <t>Play_voice_guide02_11_Andrea</t>
  </si>
  <si>
    <t>城内资源生产人手有些不足，请大人在城镇中心训练一批村民吧。</t>
  </si>
  <si>
    <t>训练一批村民</t>
  </si>
  <si>
    <t>调配村民生产方案为[食物优先]</t>
  </si>
  <si>
    <t>TID_DialogueConf_50207_textList_CN_Main</t>
  </si>
  <si>
    <t>Play_voice_guide02_15_Andrea</t>
  </si>
  <si>
    <t>chapter_2_8</t>
  </si>
  <si>
    <t>作为领地的主人，您可以根据需要自由调配村民的生产方案，厉害吧。</t>
  </si>
  <si>
    <t>自由调配村民</t>
  </si>
  <si>
    <t>攻占2个1级或更高级的食物资源点</t>
  </si>
  <si>
    <t>TID_DialogueConf_50208_textList_CN_Main</t>
  </si>
  <si>
    <t>Play_voice_guide02_20_HuaMulan</t>
  </si>
  <si>
    <t>随着领地建设的深入，各种资源的需求会越来越大，大人不妨提前占领一些高级的资源点。</t>
  </si>
  <si>
    <t>占领</t>
  </si>
  <si>
    <t>高级的资源点</t>
  </si>
  <si>
    <t>第3章</t>
  </si>
  <si>
    <t>TID_DialogueConf_50301_textList_CN_Main</t>
  </si>
  <si>
    <t>Play_voice_guide03_01_HuaMulan</t>
  </si>
  <si>
    <t>在大人的勤奋治理下，领地发展已经逐渐走上了正轨，果然，没有人比大人更懂内政了。</t>
  </si>
  <si>
    <t>领地发展</t>
  </si>
  <si>
    <t>大人更懂内政</t>
  </si>
  <si>
    <t>TID_DialogueConf_50301_textList_212524274087_CN_Main</t>
  </si>
  <si>
    <t>Play_voice_guide03_02_Andrea</t>
  </si>
  <si>
    <t>打铁要趁热，想要进一步强大，军事发展也不能落下呀。</t>
  </si>
  <si>
    <t>进一步强大</t>
  </si>
  <si>
    <t>军事发展</t>
  </si>
  <si>
    <t>章起剧情招募引导</t>
  </si>
  <si>
    <t>TID_DialogueConf_50302_textList_CN_Main</t>
  </si>
  <si>
    <t>Play_voice_guide03_02_01_Andrea</t>
  </si>
  <si>
    <t>想要招募出心仪的英雄，肯定需要一点点运气的啦，多抽几次，总是会有惊喜的。</t>
  </si>
  <si>
    <t>心仪的英雄</t>
  </si>
  <si>
    <t>多抽几次</t>
  </si>
  <si>
    <t>升级城镇中心至3级</t>
  </si>
  <si>
    <t>TID_DialogueConf_50303_textList_CN_Main</t>
  </si>
  <si>
    <t>Play_voice_guide03_03_Andrea</t>
  </si>
  <si>
    <t>chapter_3_4</t>
  </si>
  <si>
    <t>持续升级城镇中心，才能保证领地的持续发展。</t>
  </si>
  <si>
    <t>升级城镇中心</t>
  </si>
  <si>
    <t>持续发展</t>
  </si>
  <si>
    <t>TID_DialogueConf_50304_textList_CN_Main</t>
  </si>
  <si>
    <t>Play_voice_guide03_04_Andrea</t>
  </si>
  <si>
    <t>建筑可以免费升级时，一定要立即秒掉，肯定没有比这个更划算的了。</t>
  </si>
  <si>
    <t>免费升级</t>
  </si>
  <si>
    <t>立即秒掉</t>
  </si>
  <si>
    <t>升级居民房舍至3级</t>
  </si>
  <si>
    <t>TID_DialogueConf_50305_textList_CN_Main</t>
  </si>
  <si>
    <t>Play_voice_guide03_05_Andrea</t>
  </si>
  <si>
    <t>chapter_3_6</t>
  </si>
  <si>
    <t>还请您升级这些居民房舍，让一间房能容纳更多村民，毕竟打工人越多越好。</t>
  </si>
  <si>
    <t>升级这些居民房舍</t>
  </si>
  <si>
    <t>容纳更多村民</t>
  </si>
  <si>
    <t>升级剑士营至3级</t>
  </si>
  <si>
    <t>TID_DialogueConf_50306_textList_CN_Main</t>
  </si>
  <si>
    <t>Play_voice_guide03_06_HuaMulan</t>
  </si>
  <si>
    <t>我们得先把兵营修整一下，之后就可以大规模爆兵了。</t>
  </si>
  <si>
    <t>兵营修整</t>
  </si>
  <si>
    <t>大规模爆兵</t>
  </si>
  <si>
    <t>训练1级剑士400名</t>
  </si>
  <si>
    <t>TID_DialogueConf_50307_textList_CN_Main</t>
  </si>
  <si>
    <t>Play_voice_guide03_07_HuaMulan</t>
  </si>
  <si>
    <t>扩大地盘，提升实力，都离不开一个最基本的条件，那就是要有足够多的士兵！</t>
  </si>
  <si>
    <t>扩大地盘</t>
  </si>
  <si>
    <t>提升实力</t>
  </si>
  <si>
    <t>足够多的士兵</t>
  </si>
  <si>
    <t>TID_DialogueConf_50308_textList_CN_Main</t>
  </si>
  <si>
    <t>Play_voice_guide03_08_HuaMulan</t>
  </si>
  <si>
    <t>士兵按时完成训练固然不错，在面对紧急情况，该加速训练还是得加速。</t>
  </si>
  <si>
    <t>加速训练</t>
  </si>
  <si>
    <t>攻占1个2级或更高级的资源点</t>
  </si>
  <si>
    <t>TID_DialogueConf_50309_textList_CN_Main</t>
  </si>
  <si>
    <t>Play_voice_guide03_09_HuaMulan</t>
  </si>
  <si>
    <t>养兵千日用在一时，是时候让那些侵占良田的蛮族付出更大的代价了！</t>
  </si>
  <si>
    <t>侵占良田的蛮族</t>
  </si>
  <si>
    <t>第4章</t>
  </si>
  <si>
    <t>TID_DialogueConf_500001_name_CN_Main</t>
  </si>
  <si>
    <t>TID_DialogueConf_50401_textList_CN_Main</t>
  </si>
  <si>
    <t>Play_voice_guide04_01_GuanYu</t>
  </si>
  <si>
    <t>chapter_4_1</t>
  </si>
  <si>
    <t>在下周游至此，听闻领主大人皇城一役，孤军救主，以一己之力抗衡百万蛮军，如此胆识颇有老夫当年之勇。</t>
  </si>
  <si>
    <t>皇城一役</t>
  </si>
  <si>
    <t>孤军救主</t>
  </si>
  <si>
    <t>TID_DialogueConf_50401_textList_170583767840_CN_Main</t>
  </si>
  <si>
    <t>Play_voice_guide04_02_GuanYu</t>
  </si>
  <si>
    <t>chapter_4_2</t>
  </si>
  <si>
    <t>便由在下来协助领主大人熟悉一下英雄培养的相关事宜。</t>
  </si>
  <si>
    <t>英雄培养</t>
  </si>
  <si>
    <t>任意1支部队总士兵数达到2000名</t>
  </si>
  <si>
    <t>TID_DialogueConf_50402_textList_CN_Main</t>
  </si>
  <si>
    <t>Play_voice_guide04_06_HuaMulan</t>
  </si>
  <si>
    <t>大人，您现在兵力不足，请训练更多士兵方能补足部队。</t>
  </si>
  <si>
    <t>训练更多士兵</t>
  </si>
  <si>
    <t>TID_DialogueConf_50403_textList_CN_Main</t>
  </si>
  <si>
    <t>Play_voice_guide04_03_HuaMulan</t>
  </si>
  <si>
    <t>chapter_5_7</t>
  </si>
  <si>
    <t>如果有训练好的士兵，首先得将他们补充至部队之中。</t>
  </si>
  <si>
    <t>补充至部队之中</t>
  </si>
  <si>
    <t>TID_DialogueConf_50404_textList_CN_Main</t>
  </si>
  <si>
    <t>Play_voice_guide04_05_HuaMulan</t>
  </si>
  <si>
    <t>将帅乃三军之胆，提升英雄等级！这样可增加部队士兵上限，战斗力当然也会更强。</t>
  </si>
  <si>
    <t>提升英雄等级</t>
  </si>
  <si>
    <t>增加部队士兵上限</t>
  </si>
  <si>
    <t>在点将台[启程之光]招募5次获取英雄技能</t>
  </si>
  <si>
    <t>TID_DialogueConf_50405_textList_CN_Main</t>
  </si>
  <si>
    <t>Play_voice_guide04_07_GuanYu</t>
  </si>
  <si>
    <t>chapter_4_6</t>
  </si>
  <si>
    <t>英雄之所以为英雄，是因为他们有着常人所不具备的能力，但能力并非天生，而是需要后天的努力学习。</t>
  </si>
  <si>
    <t>英雄</t>
  </si>
  <si>
    <t>常人所不具备的能力</t>
  </si>
  <si>
    <t>分解任意英雄或技能获得100技能点</t>
  </si>
  <si>
    <t>TID_DialogueConf_50406_textList_CN_Main</t>
  </si>
  <si>
    <t>Play_voice_guide04_12_GuanYu</t>
  </si>
  <si>
    <t>chapter_4_7</t>
  </si>
  <si>
    <t>英雄固有技能都是他们的看家本领，请您务必注意首先升级，当然升级还需要一些技能点。</t>
  </si>
  <si>
    <t>固有技能</t>
  </si>
  <si>
    <t>首先升级</t>
  </si>
  <si>
    <t>需要一些技能点</t>
  </si>
  <si>
    <t>攻占1个3级或更高级的木材资源点</t>
  </si>
  <si>
    <t>TID_DialogueConf_50407_textList_CN_Main</t>
  </si>
  <si>
    <t>Play_voice_guide04_17_GuanYu</t>
  </si>
  <si>
    <t>chapter_4_8</t>
  </si>
  <si>
    <t>依在下看，敌人不过是一群乌合之众，我们既有精兵也有良将，取胜便如探囊取物，大人请下令吧。</t>
  </si>
  <si>
    <t>既有精兵也有良将</t>
  </si>
  <si>
    <t>第5章</t>
  </si>
  <si>
    <t>TID_DialogueConf_50501_textList_CN_Main</t>
  </si>
  <si>
    <t>Play_voice_guide05_01_HuaMulan</t>
  </si>
  <si>
    <t>虽然目前局势一片大好，但是大人必须要保持清醒，不能被眼前的胜利冲昏了头脑。</t>
  </si>
  <si>
    <t>保持清醒</t>
  </si>
  <si>
    <t>TID_DialogueConf_50501_textList_512981168791_CN_Main</t>
  </si>
  <si>
    <t>Play_voice_guide05_02_GuanYu</t>
  </si>
  <si>
    <t>未来发展的道路方向得要有进一步的规划，切不可急功冒进。格局，关键是得要有格局。</t>
  </si>
  <si>
    <t>未来发展</t>
  </si>
  <si>
    <t>进一步的规划</t>
  </si>
  <si>
    <t>城外清剿1级蛮族1次</t>
  </si>
  <si>
    <t>TID_DialogueConf_50502_textList_CN_Main</t>
  </si>
  <si>
    <t>Play_voice_guide09_01_Andrea</t>
  </si>
  <si>
    <t>人多力量大，加入一个强大的联盟，就等于有了个够硬的靠山，大人抓紧机会吧！</t>
  </si>
  <si>
    <t>强大的联盟</t>
  </si>
  <si>
    <t>够硬的靠山</t>
  </si>
  <si>
    <t>TID_DialogueConf_50503_textList_CN_Main</t>
  </si>
  <si>
    <t>Play_voice_guide05_03_HuaMulan</t>
  </si>
  <si>
    <t>周边的蛮族部队又在蠢蠢欲动，我们养精蓄锐也有一阵子了，正好可以拿他们练练兵。</t>
  </si>
  <si>
    <t>蛮族部队</t>
  </si>
  <si>
    <t>蠢蠢欲动</t>
  </si>
  <si>
    <t>拿他们练练兵</t>
  </si>
  <si>
    <t>清剿蛮族获得任意一种发展方略点数1000点</t>
  </si>
  <si>
    <t>TID_DialogueConf_50504_textList_CN_Main</t>
  </si>
  <si>
    <t>Play_voice_guide05_04_GuanYu</t>
  </si>
  <si>
    <t>chapter_5_4</t>
  </si>
  <si>
    <t>攻打蛮族部队可以获得发展方略点数，积累一定点数可以制定新的发展方略。</t>
  </si>
  <si>
    <t>攻打蛮族部队</t>
  </si>
  <si>
    <t>获得发展方略点数</t>
  </si>
  <si>
    <t>在发展方略进行1次方略选择</t>
  </si>
  <si>
    <t>TID_DialogueConf_50505_textList_CN_Main</t>
  </si>
  <si>
    <t>Play_voice_guide05_05_GuanYu</t>
  </si>
  <si>
    <t>展现格局的时候到了，大人，请制定您的发展方略。</t>
  </si>
  <si>
    <t>制定您的发展方略</t>
  </si>
  <si>
    <t>攻占3个3级或更高级的资源点</t>
  </si>
  <si>
    <t>TID_DialogueConf_50506_textList_CN_Main</t>
  </si>
  <si>
    <t>Play_voice_guide05_12_HuaMulan</t>
  </si>
  <si>
    <t>大人英明，发展方略提升了我军战斗力，内城建设需要消耗大量的木材，这时候就需要攻占一些木材资源点。</t>
  </si>
  <si>
    <t>发展方略提升了我军战斗力</t>
  </si>
  <si>
    <t>建造1个治疗房舍</t>
  </si>
  <si>
    <t>TID_DialogueConf_50507_textList_CN_Main</t>
  </si>
  <si>
    <t>Play_voice_guide05_13_HuaMulan</t>
  </si>
  <si>
    <t>我们还得考虑一下修缮治疗房舍了，否则您的士兵只会越打越少。</t>
  </si>
  <si>
    <t>修缮治疗房舍</t>
  </si>
  <si>
    <t>城内治疗伤兵1次</t>
  </si>
  <si>
    <t>TID_DialogueConf_50508_textList_CN_Main</t>
  </si>
  <si>
    <t>Play_voice_guide05_09_GuanYu</t>
  </si>
  <si>
    <t>眼下周围局势逐渐稳定！在下也该告辞了！只要大人勤于内政，待突破瓶颈之时，必能登上人生巅峰！</t>
  </si>
  <si>
    <t>待突破瓶颈之时</t>
  </si>
  <si>
    <t>TID_DialogueConf_50508_textList_451173351052_CN_Main</t>
  </si>
  <si>
    <t>Play_voice_guide05_10_GuanYu</t>
  </si>
  <si>
    <t>离开之前，在下将为大人引荐两位英雄，大人可以选择一个，并将其纳入麾下！</t>
  </si>
  <si>
    <t>引荐两位英雄</t>
  </si>
  <si>
    <t>TID_DialogueConf_50509_textList_CN_Main</t>
  </si>
  <si>
    <t>Play_voice_guide05_17_HuaMulan</t>
  </si>
  <si>
    <t>一部分伤兵已被提前治愈，大人，您现在可收取士兵。</t>
  </si>
  <si>
    <t>提前治愈</t>
  </si>
  <si>
    <t>收取士兵</t>
  </si>
  <si>
    <t>升级城镇中心至4级</t>
  </si>
  <si>
    <t>TID_DialogueConf_50510_textList_CN_Main</t>
  </si>
  <si>
    <t>Play_voice_guide05_19_Andrea</t>
  </si>
  <si>
    <t>任何时候都不能忘记：城镇中心是领地发展的先决条件，请大人尽快着手升级。</t>
  </si>
  <si>
    <t>先决条件</t>
  </si>
  <si>
    <t>TID_DialogueConf_50511_textList_CN_Main</t>
  </si>
  <si>
    <t>Play_voice_guide05_20_Andrea</t>
  </si>
  <si>
    <t>chapter_5_12</t>
  </si>
  <si>
    <t>建造领地只争朝夕，不要让过长升级时间成为您升级绊脚石，请您继续使用【立即升级】。</t>
  </si>
  <si>
    <t>过长升级时间</t>
  </si>
  <si>
    <t>【立即升级】</t>
  </si>
  <si>
    <t>建造2个伐木场</t>
  </si>
  <si>
    <t>TID_DialogueConf_50512_textList_CN_Main</t>
  </si>
  <si>
    <t>Play_voice_guide05_21_Andrea</t>
  </si>
  <si>
    <t>领地建设仍需要大量木材，不如多修建几个伐木场，多多益善。</t>
  </si>
  <si>
    <t>需要大量木材</t>
  </si>
  <si>
    <t>修建几个伐木场</t>
  </si>
  <si>
    <t>第6章</t>
  </si>
  <si>
    <t>TID_DialogueConf_50601_textList_CN_Main</t>
  </si>
  <si>
    <t>Play_voice_guide06_01_HuaMulan</t>
  </si>
  <si>
    <t>武圣大人所说的【突破瓶颈之时】到底指的是什么？</t>
  </si>
  <si>
    <t>【突破瓶颈之时】</t>
  </si>
  <si>
    <t>TID_DialogueConf_50601_textList_801330325430_CN_Main</t>
  </si>
  <si>
    <t>Play_voice_guide06_02_Andrea</t>
  </si>
  <si>
    <t>chapter_6_2</t>
  </si>
  <si>
    <t>我曾听说每个强大文明通过时代升级便能掌握一大堆核心科技，大人或许可以尝试尝试。</t>
  </si>
  <si>
    <t>时代升级</t>
  </si>
  <si>
    <t>核心科技</t>
  </si>
  <si>
    <t>升级建筑提升城内繁荣度至6000点</t>
  </si>
  <si>
    <t>TID_DialogueConf_50602_textList_CN_Main</t>
  </si>
  <si>
    <t>Play_voice_guide06_03_Andrea</t>
  </si>
  <si>
    <t>繁荣度是突破实力瓶颈的关键所在，大人，我们先来定个小目标吧。</t>
  </si>
  <si>
    <t>繁荣度</t>
  </si>
  <si>
    <t>突破实力瓶颈</t>
  </si>
  <si>
    <t>升级城镇中心至5级</t>
  </si>
  <si>
    <t>TID_DialogueConf_50603_textList_CN_Main</t>
  </si>
  <si>
    <t>Play_voice_guide06_08_Andrea</t>
  </si>
  <si>
    <t>时代升级仅一步之遥，还请大人加速升级城镇中心，迎接激动人心的时刻！</t>
  </si>
  <si>
    <t>加速升级城镇中心</t>
  </si>
  <si>
    <t>TID_DialogueConf_50604_textList_CN_Main</t>
  </si>
  <si>
    <t>Play_voice_guide06_10_Andrea</t>
  </si>
  <si>
    <t>繁荣度已足够，请您升级城镇中心，为升级时代做好准备。</t>
  </si>
  <si>
    <t>升级时代</t>
  </si>
  <si>
    <t>升级至中古时代</t>
  </si>
  <si>
    <t>TID_DialogueConf_50605_textList_CN_Main</t>
  </si>
  <si>
    <t>Play_voice_guide06_11_Andrea</t>
  </si>
  <si>
    <t>领主大人，城镇中心升级完成，万事俱备，请您迎接中古时代的到来吧！</t>
  </si>
  <si>
    <t>城镇中心升级完成</t>
  </si>
  <si>
    <t>迎接中古时代</t>
  </si>
  <si>
    <t>TID_DialogueConf_50606_textList_CN_Main</t>
  </si>
  <si>
    <t>Play_voice_guide06_14_Andrea</t>
  </si>
  <si>
    <t>城市风格活动已开启，时代升级后，您可在活动中心更换各种不同的城市风格。</t>
  </si>
  <si>
    <t>活动中心</t>
  </si>
  <si>
    <t>城市风格</t>
  </si>
  <si>
    <t>编组1支上阵2个英雄的部队</t>
  </si>
  <si>
    <t>TID_DialogueConf_50607_textList_CN_Main</t>
  </si>
  <si>
    <t>Play_voice_guide06_17_HuaMulan</t>
  </si>
  <si>
    <t>领主大人，欢迎来到中古时代！时代升级解锁了部队中第2个英雄的位置，不知道大人这次派谁上阵呢？</t>
  </si>
  <si>
    <t>中古时代</t>
  </si>
  <si>
    <t>第2个英雄的位置</t>
  </si>
  <si>
    <t>升级任意1个兵营至5级</t>
  </si>
  <si>
    <t>&lt;color=#FFCC71&gt;时代升级&lt;/color&gt;后我们掌握了开发&lt;color=#FFCC71&gt;高级兵种&lt;/color&gt;的能力，先升级兵营就能&lt;color=#FFCC71&gt;训练2级士兵&lt;/color&gt;了！\n&lt;color=#2AB81E&gt;兵营升级后，兵营里所有士兵将自动晋升等级。&lt;/color&gt;</t>
  </si>
  <si>
    <t>Play_voice_guide06_19_HuaMulan</t>
  </si>
  <si>
    <t>时代升级后我们掌握了开发高级兵种的能力，先升级兵营就能训练2级士兵了！\n&lt;color=#2AB81E&gt;兵营升级后，兵营里所有士兵将自动晋升等级。&lt;/color&gt;</t>
  </si>
  <si>
    <t>高级兵种</t>
  </si>
  <si>
    <t>训练2级士兵</t>
  </si>
  <si>
    <t>攻占2个3级或更高级的石头资源点</t>
  </si>
  <si>
    <t>TID_DialogueConf_50609_textList_CN_Main</t>
  </si>
  <si>
    <t>Play_voice_guide06_20_HuaMulan</t>
  </si>
  <si>
    <t>双英雄和高级兵种具有可怕战斗力，开疆扩土之时必然会更加得心应手。</t>
  </si>
  <si>
    <t>双英雄和高级兵种</t>
  </si>
  <si>
    <t>开疆扩土</t>
  </si>
  <si>
    <t>第7章</t>
  </si>
  <si>
    <t>城内治疗伤兵1000名</t>
  </si>
  <si>
    <t>TID_DialogueConf_50701_textList_CN_Main</t>
  </si>
  <si>
    <t>Play_voice_guide07_01_HuaMulan</t>
  </si>
  <si>
    <t>大规模的战斗会产生伤兵，必须要有足够的治疗房舍来保住有生力量，还请大人升级一些治疗房舍。</t>
  </si>
  <si>
    <t>战斗会产生伤兵</t>
  </si>
  <si>
    <t>升级一些治疗房舍</t>
  </si>
  <si>
    <t>侦察任意1个4级或更高级的资源点</t>
  </si>
  <si>
    <t>TID_DialogueConf_50702_textList_CN_Main</t>
  </si>
  <si>
    <t>Play_voice_guide07_08_HuaMulan</t>
  </si>
  <si>
    <t>利用兵种克制攻打资源点，可以大幅减少我军损耗，知己知彼，百战百胜。</t>
  </si>
  <si>
    <t>利用兵种克制</t>
  </si>
  <si>
    <t>减少我军损耗</t>
  </si>
  <si>
    <t>利用兵种克制攻占1个4级或更高级的资源点</t>
  </si>
  <si>
    <t>TID_DialogueConf_50703_textList_CN_Main</t>
  </si>
  <si>
    <t>Play_voice_guide07_09_HuaMulan</t>
  </si>
  <si>
    <t>您可从邮件中的侦察报告获知敌军详情，使用相应兵种克制敌军，事半功倍。</t>
  </si>
  <si>
    <t>侦察报告</t>
  </si>
  <si>
    <t>克制敌军</t>
  </si>
  <si>
    <t>第8章</t>
  </si>
  <si>
    <t>建造1个石矿场</t>
  </si>
  <si>
    <t>TID_DialogueConf_50801_textList_CN_Main</t>
  </si>
  <si>
    <t>Play_voice_guide08_01_Andrea</t>
  </si>
  <si>
    <t>中古时代的建设需要消耗大量石头，多造一些石矿场，准没错。</t>
  </si>
  <si>
    <t>消耗大量石头</t>
  </si>
  <si>
    <t>多造一些石矿场</t>
  </si>
  <si>
    <t>城外资源点进行1次资源采集</t>
  </si>
  <si>
    <t>TID_DialogueConf_50802_textList_CN_Main</t>
  </si>
  <si>
    <t>Play_voice_guide05_22_Andrea</t>
  </si>
  <si>
    <t>大人，请让我们的村民去采集一些木材吧，充当大自然的搬运工也是不错的选择。</t>
  </si>
  <si>
    <t>采集一些木材</t>
  </si>
  <si>
    <t>英雄战役活动通过项楚第1关</t>
  </si>
  <si>
    <t>TID_DialogueConf_50803_textList_CN_Main</t>
  </si>
  <si>
    <t>Play_voice_guide08_09_Andrea</t>
  </si>
  <si>
    <t>帝国历史上有无数光辉灿烂的英雄传说，您可以通过【战役】来体验不同英雄的精彩人生。</t>
  </si>
  <si>
    <t>英雄传说</t>
  </si>
  <si>
    <t>【战役】</t>
  </si>
  <si>
    <t>第9章</t>
  </si>
  <si>
    <t>建造1个大使馆</t>
  </si>
  <si>
    <t>TID_DialogueConf_50901_textList_CN_Main</t>
  </si>
  <si>
    <t>Play_voice_guide09_02_Andrea</t>
  </si>
  <si>
    <t>拥有大使馆不仅可以让盟友帮忙加速建造，还能接受援军保护您的城市，大使馆等级越高，好处就越多。</t>
  </si>
  <si>
    <t>盟友帮忙加速建造</t>
  </si>
  <si>
    <t>援军保护您的城市</t>
  </si>
  <si>
    <t>建造1个码头</t>
  </si>
  <si>
    <t>TID_DialogueConf_50902_textList_CN_Main</t>
  </si>
  <si>
    <t>Play_voice_guide09_03_Andrea</t>
  </si>
  <si>
    <t>帝国的捕鱼还有印象吗？快修建一个码头，把渔网撒出去，就能收获大量食物。</t>
  </si>
  <si>
    <t>捕鱼</t>
  </si>
  <si>
    <t>收获大量食物</t>
  </si>
  <si>
    <t>放弃任意1个最低级的资源点</t>
  </si>
  <si>
    <t>TID_DialogueConf_50903_textList_CN_Main</t>
  </si>
  <si>
    <t>Play_voice_guide09_01_HuaMulan</t>
  </si>
  <si>
    <t>当您所拥有的资源点数量接近上限时，可以战略性放弃一些低等级的资源点。</t>
  </si>
  <si>
    <t>资源点数量接近上限时</t>
  </si>
  <si>
    <t>放弃一些低等级的资源点</t>
  </si>
  <si>
    <t>第10章</t>
  </si>
  <si>
    <t>建造学院至1个</t>
  </si>
  <si>
    <t>TID_DialogueConf_51001_textList_CN_Main</t>
  </si>
  <si>
    <t>Play_voice_guide10_01_Andrea</t>
  </si>
  <si>
    <t>领主大人，学院中的各种科技可以让我们的实力更上一层楼，毕竟知识就是力量。</t>
  </si>
  <si>
    <t>各种科技</t>
  </si>
  <si>
    <t>实力更上一层楼</t>
  </si>
  <si>
    <t>城外清剿稀有蛮族1次</t>
  </si>
  <si>
    <t>TID_DialogueConf_51002_textList_CN_Main</t>
  </si>
  <si>
    <t>Play_voice_guide10_07_HuaMulan</t>
  </si>
  <si>
    <t>那些更强大的蛮族往往掠夺了帝国的知识，只要讨伐了他们便可以获得知识卷轴，从而研发更多科技。</t>
  </si>
  <si>
    <t>获得知识卷轴</t>
  </si>
  <si>
    <t>研发更多科技</t>
  </si>
  <si>
    <t>第11章</t>
  </si>
  <si>
    <t>建造1个活动建筑[酒馆]</t>
  </si>
  <si>
    <t>TID_DialogueConf_51101_textList_CN_Main</t>
  </si>
  <si>
    <t>Play_voice_guide11_01_Andrea</t>
  </si>
  <si>
    <t>大人，听说了吗？全新内政官活动开启了，您可以建造酒馆，在酒馆中可以将合意的人才招募为内政官，还可以派遣内政官进行探险！活动限时开启，我们一起去看看吧！</t>
  </si>
  <si>
    <t>内政官活动</t>
  </si>
  <si>
    <t>建造酒馆</t>
  </si>
  <si>
    <t>城内委任1名内政官</t>
  </si>
  <si>
    <t>TID_DialogueConf_51102_textList_CN_Main</t>
  </si>
  <si>
    <t>Play_voice_guide11_04_Andrea</t>
  </si>
  <si>
    <t>内政官与英雄最大的区别在于：他们不能领兵打仗，但精于内政管理，请您务必善加利用。</t>
  </si>
  <si>
    <t>内政官</t>
  </si>
  <si>
    <t>精于内政管理</t>
  </si>
  <si>
    <t>编辑1个内政官探险队</t>
  </si>
  <si>
    <t>TID_DialogueConf_51103_textList_CN_Main</t>
  </si>
  <si>
    <t>Play_voice_guide11_09_Andrea</t>
  </si>
  <si>
    <t>除了内政管理外，内政官还可以外出探险，完成各种探险事件，获得内城发展所需的资源。</t>
  </si>
  <si>
    <t>外出探险</t>
  </si>
  <si>
    <t>内城发展所需的资源</t>
  </si>
  <si>
    <t>建造1个市集</t>
  </si>
  <si>
    <t>TID_DialogueConf_51104_textList_CN_Main</t>
  </si>
  <si>
    <t>Play_voice_guide11_20_Andrea</t>
  </si>
  <si>
    <t>如果您某种资源还有富余，可以考虑在市集兑换成其他类型的资源。</t>
  </si>
  <si>
    <t>资源还有富余</t>
  </si>
  <si>
    <t>市集兑换</t>
  </si>
  <si>
    <t>第12章</t>
  </si>
  <si>
    <t>在城镇中心消耗帝国币进行1次征税</t>
  </si>
  <si>
    <t>TID_DialogueConf_51201_textList_CN_Main</t>
  </si>
  <si>
    <t>Play_voice_guide12_01_Andrea</t>
  </si>
  <si>
    <t>培养英雄技能需要大量铜钱，每天的征税，大人不要错过哦！</t>
  </si>
  <si>
    <t>铜钱</t>
  </si>
  <si>
    <t>征税</t>
  </si>
  <si>
    <t>委任英雄驻守城防1次</t>
  </si>
  <si>
    <t>TID_DialogueConf_51202_textList_CN_Main</t>
  </si>
  <si>
    <t>Play_voice_guide12_02_HuaMulan</t>
  </si>
  <si>
    <t>chapter_5_8</t>
  </si>
  <si>
    <t>领主大人，派驻城墙的英雄若是最强战力，就算您不出兵都能威慑敌人。</t>
  </si>
  <si>
    <t>派驻城墙的英雄</t>
  </si>
  <si>
    <t>第13章</t>
  </si>
  <si>
    <t>点将台累计招募获得3个英雄</t>
  </si>
  <si>
    <t>TID_DialogueConf_51301_textList_CN_Main</t>
  </si>
  <si>
    <t>Play_voice_guide13_01_HuaMulan</t>
  </si>
  <si>
    <t>时代升级解锁了部队中第3个上阵英雄的位置，能征善战的英雄肯定是越多越好！</t>
  </si>
  <si>
    <t>时代升级解锁</t>
  </si>
  <si>
    <t>第3个上阵英雄的位置</t>
  </si>
  <si>
    <t>攻占2个5级或更高级的黄金资源点</t>
  </si>
  <si>
    <t>TID_DialogueConf_51302_textList_CN_Main</t>
  </si>
  <si>
    <t>Play_voice_guide14_04_HuaMulan</t>
  </si>
  <si>
    <t>进入了启蒙时代，我们高等级的建筑升级需要消耗黄金，野外那些金矿也是我们必争之所。</t>
  </si>
  <si>
    <t>启蒙时代</t>
  </si>
  <si>
    <t>消耗黄金</t>
  </si>
  <si>
    <t>第15章</t>
  </si>
  <si>
    <t>建造1个金矿场</t>
  </si>
  <si>
    <t>TID_DialogueConf_51501_textList_CN_Main</t>
  </si>
  <si>
    <t>Play_voice_guide15_01_Andrea</t>
  </si>
  <si>
    <t>黄金是非常宝贵的战略资源，快造些金矿场，领地的发展才能先人一步。</t>
  </si>
  <si>
    <t>黄金</t>
  </si>
  <si>
    <t>快造些金矿场</t>
  </si>
  <si>
    <t>第16章</t>
  </si>
  <si>
    <t>升级城堡设施【后勤营】至3级</t>
  </si>
  <si>
    <t>TID_DialogueConf_51601_textList_CN_Main</t>
  </si>
  <si>
    <t>Play_voice_guide13_02_Andrea</t>
  </si>
  <si>
    <t>还记得帝国的城堡吗，大人，在这里不仅可以训练特色兵种，还可以升级各种军事设施，提升部队战斗力！</t>
  </si>
  <si>
    <t>城堡</t>
  </si>
  <si>
    <t>训练特色兵种</t>
  </si>
  <si>
    <t>升级各种军事设施</t>
  </si>
  <si>
    <t>升级城墙至7级</t>
  </si>
  <si>
    <t>TID_DialogueConf_51602_textList_CN_Main</t>
  </si>
  <si>
    <t>Play_voice_guide16_01_Andrea</t>
  </si>
  <si>
    <t>城墙稳固，打仗不慌，大人，城墙需要尽快升级一下！</t>
  </si>
  <si>
    <t>城墙</t>
  </si>
  <si>
    <t>升级一下</t>
  </si>
  <si>
    <t>第17章</t>
  </si>
  <si>
    <t>建造1个战争大厅</t>
  </si>
  <si>
    <t>TID_DialogueConf_51701_textList_CN_Main</t>
  </si>
  <si>
    <t>Play_voice_guide17_01_Andrea</t>
  </si>
  <si>
    <t>有了战争大厅，就能和盟友们一起组队攻城略地了，想想就很带感！</t>
  </si>
  <si>
    <t>战争大厅</t>
  </si>
  <si>
    <t>组队攻城略地</t>
  </si>
  <si>
    <t>第24章</t>
  </si>
  <si>
    <t>繁荣度任务</t>
  </si>
  <si>
    <t>TID_DialogueConf_52401_textList_CN_Main</t>
  </si>
  <si>
    <t>坐骑挂饰打造功能已开启，请领主前往查看。</t>
  </si>
  <si>
    <t>坐骑挂饰打造</t>
  </si>
  <si>
    <t>TID_DialogueConf_55001_textList_CN_Main</t>
  </si>
  <si>
    <t>Play_voice_story1_chapter0_01_cstt_en</t>
  </si>
  <si>
    <t>这次危机，你是第一功臣，帝国的未来就交给你了！</t>
  </si>
  <si>
    <t>第一功臣</t>
  </si>
  <si>
    <t>TID_DialogueConf_55001_textList_334415207077_CN_Main</t>
  </si>
  <si>
    <t>Play_voice_story1_chapter0_02_cstt_en</t>
  </si>
  <si>
    <t>这将是我给你的最后封赏，希望你能让帝国重现辉煌。</t>
  </si>
  <si>
    <t>让帝国重现辉煌</t>
  </si>
  <si>
    <t>TID_DialogueConf_55001_textList_471036495197_CN_Main</t>
  </si>
  <si>
    <t>Play_voice_story1_chapter0_03_cstt_en</t>
  </si>
  <si>
    <t>你可以选择一个洲，在那里我会给你准备一座城池，让你可以重整军队，从外向内夺回各个城市，消灭蛮族。</t>
  </si>
  <si>
    <t>重整军队</t>
  </si>
  <si>
    <t>夺回各个城市</t>
  </si>
  <si>
    <t>TID_DialogueConf_55101_textList_CN_Main</t>
  </si>
  <si>
    <t>Play_voice_story1_chapter1_01_andrea_en</t>
  </si>
  <si>
    <t>这就是陛下封赏的城池？小了点，但大人一定能让它发展壮大的。</t>
  </si>
  <si>
    <t>发展壮大</t>
  </si>
  <si>
    <t>TID_DialogueConf_55101_textList_497445174757_CN_Main</t>
  </si>
  <si>
    <t>Play_voice_story1_chapter1_02_gauis_en</t>
  </si>
  <si>
    <t>TID_DialogueConf_55102_textList_CN_Main</t>
  </si>
  <si>
    <t>Play_voice_story1_chapter1_03_gauis_en</t>
  </si>
  <si>
    <t>【点将台】</t>
  </si>
  <si>
    <t>TID_DialogueConf_2055001_name_595233328535_CN_Main</t>
  </si>
  <si>
    <t>TID_DialogueConf_55103_textList_CN_Main</t>
  </si>
  <si>
    <t>Play_voice_story1_chapter1_04_hml_en</t>
  </si>
  <si>
    <t>谁说女子不如男！花木兰愿为阁下亲效犬马之劳，扫除蛮族！</t>
  </si>
  <si>
    <t>花木兰</t>
  </si>
  <si>
    <t>TID_DialogueConf_55104_textList_CN_Main</t>
  </si>
  <si>
    <t>Play_voice_story1_chapter1_05_andrea_en</t>
  </si>
  <si>
    <t>大人，探子在城外资源点发现了蛮族的踪迹，他们的势力竟然也渗透到了这里！</t>
  </si>
  <si>
    <t>TID_DialogueConf_2055001_textList_298990238301_CN_Main</t>
  </si>
  <si>
    <t>Play_voice_story1_chapter1_07_hml_en</t>
  </si>
  <si>
    <t>带兵打仗是将领的天职，领主大人，只要给我一点人马，我花木兰保你城池坚不可摧。</t>
  </si>
  <si>
    <t>TID_DialogueConf_55106_textList_CN_Main</t>
  </si>
  <si>
    <t>Play_voice_story1_chapter1_09_hml_en</t>
  </si>
  <si>
    <t>有个办法可以快速找到那些蛮子，大人，请跟我来搜索资源点。</t>
  </si>
  <si>
    <t>TID_DialogueConf_55107_textList_CN_Main</t>
  </si>
  <si>
    <t>Play_voice_story1_chapter1_11_hml_en</t>
  </si>
  <si>
    <t>击败这里的蛮族才能拿回资源点，大人，别犹豫，他们根本不足为惧！</t>
  </si>
  <si>
    <t>TID_DialogueConf_55108_textList_CN_Main</t>
  </si>
  <si>
    <t>Play_voice_story1_chapter1_15_hml_en</t>
  </si>
  <si>
    <t>这真是一场伟大的胜利，那我就放心了，大人，接下来到您出场了。</t>
  </si>
  <si>
    <t>伟大的胜利</t>
  </si>
  <si>
    <t>TID_DialogueConf_55201_textList_CN_Main</t>
  </si>
  <si>
    <t>Play_voice_story1_chapter2_01_hml_en</t>
  </si>
  <si>
    <t>我们真正的敌人远比这些游荡的蛮族要强大得多，要想取胜需得从长计议。</t>
  </si>
  <si>
    <t>TID_DialogueConf_55201_textList_902084743134_CN_Main</t>
  </si>
  <si>
    <t>Play_voice_story1_chapter2_02_andrea_en</t>
  </si>
  <si>
    <t>大人，不如先从城市建设着手吧，毕竟有了粮食和资源，才能支撑更强大的军队。</t>
  </si>
  <si>
    <t>城市建设</t>
  </si>
  <si>
    <t>粮食和资源</t>
  </si>
  <si>
    <t>TID_DialogueConf_55202_textList_CN_Main</t>
  </si>
  <si>
    <t>Play_voice_story1_chapter2_03_andrea_en</t>
  </si>
  <si>
    <t>大人，请先建造一些磨坊以便让居民生产粮食。</t>
  </si>
  <si>
    <t>磨坊</t>
  </si>
  <si>
    <t>生产粮食</t>
  </si>
  <si>
    <t>TID_DialogueConf_55203_textList_CN_Main</t>
  </si>
  <si>
    <t>Play_voice_story1_chapter2_04_andrea_en</t>
  </si>
  <si>
    <t>请在磨坊附近开垦几块农田，这样我们的居民就不用天天吃浆果了。</t>
  </si>
  <si>
    <t>TID_DialogueConf_55204_textList_CN_Main</t>
  </si>
  <si>
    <t>Play_voice_story1_chapter2_05_andrea_en</t>
  </si>
  <si>
    <t>请多多升级我们的城镇中心，这样可以解锁更多不同用途的建筑。</t>
  </si>
  <si>
    <t>TID_DialogueConf_55205_textList_CN_Main</t>
  </si>
  <si>
    <t>Play_voice_story1_chapter2_07_andrea_en</t>
  </si>
  <si>
    <t>大人，请您多建造一些居民房舍，这样您的城镇才能容下更多的村民。</t>
  </si>
  <si>
    <t>Play_voice_story1_chapter2_08_andrea_en</t>
  </si>
  <si>
    <t>调配村民生产方案为[木材优先]</t>
  </si>
  <si>
    <t>TID_DialogueConf_55207_textList_CN_Main</t>
  </si>
  <si>
    <t>Play_voice_story1_chapter2_11_andrea_en</t>
  </si>
  <si>
    <t>作为领主，您可以自由调配村民的生产方案，以优先生产您需要的资源。</t>
  </si>
  <si>
    <t>攻占2个1级或更高级的资源点</t>
  </si>
  <si>
    <t>TID_DialogueConf_55208_textList_CN_Main</t>
  </si>
  <si>
    <t>Play_voice_story1_chapter2_16_hml_en</t>
  </si>
  <si>
    <t>随着领地建设的深入，各种资源的需求会越来越大，大人不妨占领更多资源点。</t>
  </si>
  <si>
    <t>占领更多资源点</t>
  </si>
  <si>
    <t>TID_DialogueConf_55301_textList_CN_Main</t>
  </si>
  <si>
    <t>Play_voice_story1_chapter3_01_hml_en</t>
  </si>
  <si>
    <t>在大人的勤奋治理下，领地发展逐渐走上正轨，大人果然既懂军事，又懂内政。</t>
  </si>
  <si>
    <t>TID_DialogueConf_55301_textList_839834781097_CN_Main</t>
  </si>
  <si>
    <t>Play_voice_story1_chapter3_02_andrea_en</t>
  </si>
  <si>
    <t>打铁要趁热，想要进一步强大，军事发展也不能落下。</t>
  </si>
  <si>
    <t>TID_DialogueConf_55302_textList_CN_Main</t>
  </si>
  <si>
    <t>Play_voice_story1_chapter3_04_andrea_en</t>
  </si>
  <si>
    <t>持续升级城镇中心，才能保证领地的发展。</t>
  </si>
  <si>
    <t>TID_DialogueConf_55303_textList_CN_Main</t>
  </si>
  <si>
    <t>Play_voice_story1_chapter3_05_andrea_en</t>
  </si>
  <si>
    <t>建筑可以免费升级时，请直接点击【免费完成】，让领地更快发展。</t>
  </si>
  <si>
    <t>【免费完成】</t>
  </si>
  <si>
    <t>更快发展</t>
  </si>
  <si>
    <t>TID_DialogueConf_55304_textList_CN_Main</t>
  </si>
  <si>
    <t>Play_voice_story1_chapter3_07_andrea_en</t>
  </si>
  <si>
    <t>请您升级居民房舍，升级后能容纳更多的村民，提升村民人口上限。</t>
  </si>
  <si>
    <t>升级居民房舍</t>
  </si>
  <si>
    <t>提升村民人口上限</t>
  </si>
  <si>
    <t>TID_DialogueConf_55305_textList_CN_Main</t>
  </si>
  <si>
    <t>Play_voice_story1_chapter3_08_hml_en</t>
  </si>
  <si>
    <t>我们还得先修整一下兵营，就可以快速发展我们的军队了。</t>
  </si>
  <si>
    <t>修整一下兵营</t>
  </si>
  <si>
    <t>TID_DialogueConf_55306_textList_CN_Main</t>
  </si>
  <si>
    <t>Play_voice_story1_chapter3_09_hml_en</t>
  </si>
  <si>
    <t>TID_DialogueConf_55307_textList_CN_Main</t>
  </si>
  <si>
    <t>Play_voice_story1_chapter3_10_hml_en</t>
  </si>
  <si>
    <t>在面对紧急情况时，加速训练可以给您提供更快捷的兵源。</t>
  </si>
  <si>
    <t>Play_voice_story1_chapter3_11_hml_en</t>
  </si>
  <si>
    <t>Play_voice_story1_chapter4_01_gy_en</t>
  </si>
  <si>
    <t>TID_DialogueConf_55401_textList_1057247905559_CN_Main</t>
  </si>
  <si>
    <t>Play_voice_story1_chapter4_02_gy_en</t>
  </si>
  <si>
    <t>接下来我将帮助大人了解，如何进行英雄培养。</t>
  </si>
  <si>
    <t>[精锐招募]消耗铜币累计招募50次</t>
  </si>
  <si>
    <t>TID_DialogueConf_55402_textList_CN_Main</t>
  </si>
  <si>
    <t>Play_voice_story1_chapter4_03_gy_en</t>
  </si>
  <si>
    <t>英雄固有技能都是他们的看家本领，请您务必注意优先升级，升级需要消耗技能点。</t>
  </si>
  <si>
    <t>优先升级</t>
  </si>
  <si>
    <t>TID_DialogueConf_55403_textList_CN_Main</t>
  </si>
  <si>
    <t>Play_voice_story1_chapter4_07_gy_en</t>
  </si>
  <si>
    <t>依在下看，敌人不过是一群乌合之众，我们有精兵良将，取胜如探囊取物，大人请下令吧。</t>
  </si>
  <si>
    <t>精兵良将</t>
  </si>
  <si>
    <t>Play_voice_story1_chapter5_01_hml_en</t>
  </si>
  <si>
    <t>TID_DialogueConf_55501_textList_235693080208_CN_Main</t>
  </si>
  <si>
    <t>Play_voice_story1_chapter5_02_gy_en</t>
  </si>
  <si>
    <t>领地和部队的进一步发展，切不可冒进，需要制定周详的谋略。</t>
  </si>
  <si>
    <t>进一步发展</t>
  </si>
  <si>
    <t>制定周详的谋略</t>
  </si>
  <si>
    <t>TID_DialogueConf_55502_textList_CN_Main</t>
  </si>
  <si>
    <t>Play_voice_story1_chapter5_03_hml_en</t>
  </si>
  <si>
    <t>蛮族部队又在蠢蠢欲动</t>
  </si>
  <si>
    <t>TID_DialogueConf_55503_textList_CN_Main</t>
  </si>
  <si>
    <t>Play_voice_story1_chapter5_04_gy_en</t>
  </si>
  <si>
    <t>发展方略点数</t>
  </si>
  <si>
    <t>TID_DialogueConf_55504_textList_CN_Main</t>
  </si>
  <si>
    <t>Play_voice_story1_chapter5_05_gy_en</t>
  </si>
  <si>
    <t>展现谋略的时候到了，大人，请选择您的发展方略。</t>
  </si>
  <si>
    <t>发展方略</t>
  </si>
  <si>
    <t>Play_voice_story1_chapter5_11_gy_en</t>
  </si>
  <si>
    <t>TID_DialogueConf_55506_textList_CN_Main</t>
  </si>
  <si>
    <t>Play_voice_story1_chapter5_12_gy_en</t>
  </si>
  <si>
    <t>我们得考虑一下修缮治疗房舍了，士兵们需要休憩和治疗。</t>
  </si>
  <si>
    <t>Play_voice_story1_chapter5_19_gy_en</t>
  </si>
  <si>
    <t>Play_voice_story1_chapter5_20_gy_en</t>
  </si>
  <si>
    <t>加入任意一个联盟</t>
  </si>
  <si>
    <t>TID_DialogueConf_55508_textList_CN_Main</t>
  </si>
  <si>
    <t>Play_voice_story1_chapter5_21_andrea_en</t>
  </si>
  <si>
    <t>加入一个强大的联盟，就等于有了强大的靠山，大人抓紧机会吧！</t>
  </si>
  <si>
    <t>强大的靠山</t>
  </si>
  <si>
    <t>Play_voice_story1_chapter5_22_andrea_en</t>
  </si>
  <si>
    <t>TID_DialogueConf_55510_textList_CN_Main</t>
  </si>
  <si>
    <t>Play_voice_story1_chapter5_23_andrea_en</t>
  </si>
  <si>
    <t>建造领地只争朝夕，不要让过长升级时间成为您升级的绊脚石，请您继续使用【立即升级】。</t>
  </si>
  <si>
    <t>TID_DialogueConf_55511_textList_CN_Main</t>
  </si>
  <si>
    <t>Play_voice_story1_chapter5_24_andrea_en</t>
  </si>
  <si>
    <t>领地建设需要大量木材，不如多修建几个伐木场，多多益善呢。</t>
  </si>
  <si>
    <t>TID_DialogueConf_55601_textList_CN_Main</t>
  </si>
  <si>
    <t>Play_voice_story1_chapter6_01_hml_en</t>
  </si>
  <si>
    <t>关羽大人所说的【突破瓶颈之时】到底是指什么？</t>
  </si>
  <si>
    <t>TID_DialogueConf_55601_textList_707520770333_CN_Main</t>
  </si>
  <si>
    <t>Play_voice_story1_chapter6_02_andrea_en</t>
  </si>
  <si>
    <t>我曾听说，通过【时代升级】可以掌握更先进的技术、解锁更高级的兵种，大人可以尝试一下。</t>
  </si>
  <si>
    <t>【时代升级】</t>
  </si>
  <si>
    <t>TID_DialogueConf_55602_textList_CN_Main</t>
  </si>
  <si>
    <t>Play_voice_story1_chapter6_03_andrea_en</t>
  </si>
  <si>
    <t>繁荣度是突破实力瓶颈的关键，大人，让我们提升繁荣度吧。</t>
  </si>
  <si>
    <t>提升繁荣度</t>
  </si>
  <si>
    <t>Play_voice_story1_chapter6_08_andrea_en</t>
  </si>
  <si>
    <t>Play_voice_story1_chapter6_10_andrea_en</t>
  </si>
  <si>
    <t>TID_DialogueConf_55605_textList_CN_Main</t>
  </si>
  <si>
    <t>Play_voice_story1_chapter6_11_andrea_en</t>
  </si>
  <si>
    <t>点将台[启程之光]累计招募25次</t>
  </si>
  <si>
    <t>TID_DialogueConf_55606_textList_CN_Main</t>
  </si>
  <si>
    <t>Play_voice_story1_chapter6_14_andrea_en</t>
  </si>
  <si>
    <t>想要招募出心仪的英雄，需要一点点运气，多抽几次，会有惊喜的。</t>
  </si>
  <si>
    <t>TID_DialogueConf_55607_textList_CN_Main</t>
  </si>
  <si>
    <t>Play_voice_story1_chapter6_15_hml_en</t>
  </si>
  <si>
    <t>欢迎来到中古时代！时代升级解锁了部队中第2个英雄的位置，您可以选择自己青睐的英雄上阵。</t>
  </si>
  <si>
    <t>TID_DialogueConf_55608_textList_CN_Main</t>
  </si>
  <si>
    <t>Play_voice_story1_chapter6_16_hml_en</t>
  </si>
  <si>
    <t>时代升级后，我们掌握了训练更高级兵种的能力，先升级兵营就能训练2级士兵。</t>
  </si>
  <si>
    <t>训练更高级兵种</t>
  </si>
  <si>
    <t>TID_DialogueConf_55609_textList_CN_Main</t>
  </si>
  <si>
    <t>Play_voice_story1_chapter6_17_hml_en</t>
  </si>
  <si>
    <t>双英雄和高级兵种将大大提升我们的实力，您可以轻松开拓更多领土。</t>
  </si>
  <si>
    <t>TID_DialogueConf_55701_textList_CN_Main</t>
  </si>
  <si>
    <t>Play_voice_story1_chapter7_01_hml_en</t>
  </si>
  <si>
    <t>大规模战斗会有很多士兵受伤，我们必须要有足够的治疗房舍，请大人升级一些治疗房舍。</t>
  </si>
  <si>
    <t>战斗会有很多士兵受伤</t>
  </si>
  <si>
    <t>治疗房舍</t>
  </si>
  <si>
    <t>任意英雄替换任意1个新技能</t>
  </si>
  <si>
    <t>TID_DialogueConf_55702_textList_CN_Main</t>
  </si>
  <si>
    <t>Play_voice_story1_chapter7_02_hml_en</t>
  </si>
  <si>
    <t>英雄有着常人所不具备的技能，英雄达到一定等级可以通过学习更换新技能。</t>
  </si>
  <si>
    <t>通过学习更换新技能</t>
  </si>
  <si>
    <t>Play_voice_story1_chapter7_11_hml_en</t>
  </si>
  <si>
    <t>TID_DialogueConf_55704_textList_CN_Main</t>
  </si>
  <si>
    <t>Play_voice_story1_chapter7_12_hml_en</t>
  </si>
  <si>
    <t>您可从邮件中的侦察报告获知敌情，使用相应兵种克制，更加容易胜利。</t>
  </si>
  <si>
    <t>TID_DialogueConf_55801_textList_CN_Main</t>
  </si>
  <si>
    <t>Play_voice_story1_chapter8_01_andrea_en</t>
  </si>
  <si>
    <t>中古时代的建设需要消耗大量石头资源，多造一些石矿场是准没错的。</t>
  </si>
  <si>
    <t>城外资源点进行1次木材采集</t>
  </si>
  <si>
    <t>TID_DialogueConf_55802_textList_CN_Main</t>
  </si>
  <si>
    <t>Play_voice_story1_chapter8_02_andrea_en</t>
  </si>
  <si>
    <t>大人，请让村民去采集木材吧，充足的木材能够支持领地繁荣发展。</t>
  </si>
  <si>
    <t>采集木材</t>
  </si>
  <si>
    <t>帝国军演通关第1层</t>
  </si>
  <si>
    <t>TID_DialogueConf_55803_textList_CN_Main</t>
  </si>
  <si>
    <t>Play_voice_story1_chapter8_06_hml_en</t>
  </si>
  <si>
    <t>帝国历史上有着光辉灿烂的英雄传说，通过【英雄远征】您可以在此体验不同英雄的精彩人生。</t>
  </si>
  <si>
    <t>【英雄远征】</t>
  </si>
  <si>
    <t>TID_DialogueConf_55901_textList_CN_Main</t>
  </si>
  <si>
    <t>Play_voice_story1_chapter9_01_andrea_en</t>
  </si>
  <si>
    <t>快修建一个码头，把渔网撒出去，就能收获大量食物。</t>
  </si>
  <si>
    <t>码头</t>
  </si>
  <si>
    <t>TID_DialogueConf_55902_textList_CN_Main</t>
  </si>
  <si>
    <t>Play_voice_story1_chapter9_03_hml_en</t>
  </si>
  <si>
    <t>当您所拥有的资源点数量接近上限时，可以放弃低等级的资源点。</t>
  </si>
  <si>
    <t>资源点数量接近上限</t>
  </si>
  <si>
    <t>放弃低等级的资源点</t>
  </si>
  <si>
    <t>TID_DialogueConf_55903_textList_CN_Main</t>
  </si>
  <si>
    <t>Play_voice_story1_chapter9_06_hml_en</t>
  </si>
  <si>
    <t>拥有大使馆可以让盟友帮忙加速建造，还能接受援军保护，大使馆等级越高越好。</t>
  </si>
  <si>
    <t>接受援军保护</t>
  </si>
  <si>
    <t>Play_voice_story1_chapter10_03_andrea_en</t>
  </si>
  <si>
    <t>建造1个酒馆</t>
  </si>
  <si>
    <t>TID_DialogueConf_56101_textList_CN_Main</t>
  </si>
  <si>
    <t>Play_voice_story1_chapter11_01_andrea_en</t>
  </si>
  <si>
    <t>您可以在酒馆中招募各种人才，任命他们为内政官后，除了可以帮助您管理领地，还能外出探险。</t>
  </si>
  <si>
    <t>管理领地</t>
  </si>
  <si>
    <t>Play_voice_story1_chapter11_04_andrea_en</t>
  </si>
  <si>
    <t>TID_DialogueConf_56103_textList_CN_Main</t>
  </si>
  <si>
    <t>Play_voice_story1_chapter11_09_andrea_en</t>
  </si>
  <si>
    <t>探险事件</t>
  </si>
  <si>
    <t>TID_DialogueConf_56201_textList_CN_Main</t>
  </si>
  <si>
    <t>Play_voice_story1_chapter12_01_andrea_en</t>
  </si>
  <si>
    <t>英雄技能升级需要使用大量铜钱，请不要错过每天的征税！</t>
  </si>
  <si>
    <t>大量铜钱</t>
  </si>
  <si>
    <t>城墙驻守委任上阵2名英雄</t>
  </si>
  <si>
    <t>TID_DialogueConf_56202_textList_CN_Main</t>
  </si>
  <si>
    <t>Play_voice_story1_chapter12_02_hml_en</t>
  </si>
  <si>
    <t>大人，派驻强力英雄守卫城墙，能有效地震慑敌人。</t>
  </si>
  <si>
    <t>英雄守卫城墙</t>
  </si>
  <si>
    <t>编组1支上阵3个英雄的部队</t>
  </si>
  <si>
    <t>TID_DialogueConf_56301_textList_CN_Main</t>
  </si>
  <si>
    <t>Play_voice_story1_chapter13_01_hml_en</t>
  </si>
  <si>
    <t>时代升级后，可在编队中上阵第3名英雄，显著提升战斗力。</t>
  </si>
  <si>
    <t>上阵第3名英雄</t>
  </si>
  <si>
    <t>TID_DialogueConf_56302_textList_CN_Main</t>
  </si>
  <si>
    <t>Play_voice_story1_chapter14_04_hml_en</t>
  </si>
  <si>
    <t>进入启蒙时代后，高等级的建筑升级需要消耗黄金，因此我们需要在城外占领更多金矿。</t>
  </si>
  <si>
    <t>占领更多金矿</t>
  </si>
  <si>
    <t>TID_DialogueConf_56501_textList_CN_Main</t>
  </si>
  <si>
    <t>Play_voice_story1_chapter15_02_andrea_en</t>
  </si>
  <si>
    <t>黄金是非常宝贵的战略资源，在城内建造金矿场，才能更快发展领地。</t>
  </si>
  <si>
    <t>建造金矿场</t>
  </si>
  <si>
    <t>TID_DialogueConf_56601_textList_CN_Main</t>
  </si>
  <si>
    <t>Play_voice_story1_chapter16_01_hml_en</t>
  </si>
  <si>
    <t>在城堡可以训练特色兵种，升级各种军事设施，提升战斗力！</t>
  </si>
  <si>
    <t>TID_DialogueConf_56602_textList_CN_Main</t>
  </si>
  <si>
    <t>Play_voice_story1_chapter16_02_hml_en</t>
  </si>
  <si>
    <t>城墙可以帮助我们更好地守护城池，领主大人，快去提升一下城墙等级。</t>
  </si>
  <si>
    <t>守护城池</t>
  </si>
  <si>
    <t>提升一下城墙等级</t>
  </si>
  <si>
    <t>TID_DialogueConf_56701_textList_CN_Main</t>
  </si>
  <si>
    <t>Play_voice_story1_chapter17_01_hml_en</t>
  </si>
  <si>
    <t>有了战争大厅，就能和盟友们一起组队攻城了，这将为我们带来巨大战略优势。</t>
  </si>
  <si>
    <t>组队攻城</t>
  </si>
  <si>
    <t>选洲前剧情</t>
  </si>
  <si>
    <t>国内S2</t>
  </si>
  <si>
    <t>TID_DialogueConf_60001_textList_CN_Main</t>
  </si>
  <si>
    <t>Play_voice_campaign_beginner00_04_Andrea_S2</t>
  </si>
  <si>
    <t>s2_chapter_0_1</t>
  </si>
  <si>
    <t>君临……陷落了，但幸好，你还在。
只要这面旗帜依旧屹立，希望就会存续。</t>
  </si>
  <si>
    <t>君临……陷落了</t>
  </si>
  <si>
    <t>TID_DialogueConf_60001_textList_571920976247_CN_Main</t>
  </si>
  <si>
    <t>Play_voice_campaign_beginner00_05_Huamulan_S2</t>
  </si>
  <si>
    <t>s2_chapter_0_2</t>
  </si>
  <si>
    <t>不过眼下都得重新开始咯，我跟着大家就好了。
都别苦着个脸嘛！咱们接下来去哪儿？</t>
  </si>
  <si>
    <t>重新开始</t>
  </si>
  <si>
    <t>TID_DialogueConf_60001_textList_594528838364_CN_Main</t>
  </si>
  <si>
    <t>Play_voice_campaign_beginner00_06_Andrea_S2</t>
  </si>
  <si>
    <t>s2_chapter_0_3</t>
  </si>
  <si>
    <t>重回故土，还是另觅他地？
……不管最终选择如何，尊敬的领主，我将始终与您同行。</t>
  </si>
  <si>
    <t>另觅他地</t>
  </si>
  <si>
    <t>始终与您同行</t>
  </si>
  <si>
    <t>TID_DialogueConf_60001_textList_982985090452_CN_Main</t>
  </si>
  <si>
    <t>Play_voice_campaign_beginner00_07_Huamulan_S2</t>
  </si>
  <si>
    <t>s2_chapter_0_4</t>
  </si>
  <si>
    <t>我、我也一样！</t>
  </si>
  <si>
    <t>选洲后剧情</t>
  </si>
  <si>
    <t>TID_DialogueConf_60002_textList_CN_Main</t>
  </si>
  <si>
    <t>Play_voice_campaign_beginner00_08_Andrea_S2</t>
  </si>
  <si>
    <t>s2_chapter_0_5</t>
  </si>
  <si>
    <t>呼……那决定好了的话，就一起出发吧！
接下来的路，还有很长呢。</t>
  </si>
  <si>
    <t>一起出发</t>
  </si>
  <si>
    <t>序章剧情</t>
  </si>
  <si>
    <t>TID_DialogueConf_60003_textList_CN_Main</t>
  </si>
  <si>
    <t>Play_voice_guide01_01_Andrea_S2</t>
  </si>
  <si>
    <t>s2_chapter_1_1</t>
  </si>
  <si>
    <t>没想到，帝国现在这种情况，他们竟然还会认同我这个公主……
我以印信签发了政令，这块土地，以后就是我们的领土了。</t>
  </si>
  <si>
    <t>签发了政令</t>
  </si>
  <si>
    <t>我们的领土</t>
  </si>
  <si>
    <t>TID_DialogueConf_60101_textList_CN_Main</t>
  </si>
  <si>
    <t>Play_voice_guide01_02_Huamulan_S2</t>
  </si>
  <si>
    <t>s2_chapter_1_2</t>
  </si>
  <si>
    <t>我回来啦！
刚在周边溜达了一圈，简要写了一份侦察战报，大家一起看看？</t>
  </si>
  <si>
    <t>侦察战报</t>
  </si>
  <si>
    <t>TID_DialogueConf_60101_textList_462827576046_CN_Main</t>
  </si>
  <si>
    <t>Play_voice_guide01_03_Andrea_S2</t>
  </si>
  <si>
    <t>s2_chapter_1_3</t>
  </si>
  <si>
    <t>我看看……这份情报，唔……？
资源分布倒是没什么问题，不过怎么会有这么多的乱兵和蛮族？</t>
  </si>
  <si>
    <t>资源分布</t>
  </si>
  <si>
    <t>乱兵和蛮族</t>
  </si>
  <si>
    <t>TID_DialogueConf_60101_textList_651635741045_CN_Main</t>
  </si>
  <si>
    <t>Play_voice_guide01_04_Huamulan_S2</t>
  </si>
  <si>
    <t>s2_chapter_1_4</t>
  </si>
  <si>
    <t>咦？也对哦，这里的总督我之前听说过，还挺精明强势的。
按理说……他的治理下不该这么乱啊。</t>
  </si>
  <si>
    <t>不该这么乱</t>
  </si>
  <si>
    <t>TID_DialogueConf_60101_textList_481341447237_CN_Main</t>
  </si>
  <si>
    <t>Play_voice_guide01_05_Andrea_S2</t>
  </si>
  <si>
    <t>s2_chapter_1_5</t>
  </si>
  <si>
    <t>看来这里发生了一些我们不知道的事情。
先潜心发展吧，小心为上。</t>
  </si>
  <si>
    <t>发生了一些</t>
  </si>
  <si>
    <t>事情</t>
  </si>
  <si>
    <t>TID_DialogueConf_60201_textList_CN_Main</t>
  </si>
  <si>
    <t>Play_voice_guide02_01_Huamulan_S2</t>
  </si>
  <si>
    <t>不好了大人，我们的辎重队伍被袭击了！
士兵、马夫、还有随行的家眷……全部阵亡，一个都没能逃出来。</t>
  </si>
  <si>
    <t>辎重队伍被袭击</t>
  </si>
  <si>
    <t>全部阵亡</t>
  </si>
  <si>
    <t>TID_DialogueConf_60201_textList_23756267412_CN_Main</t>
  </si>
  <si>
    <t>Play_voice_guide02_02_Andrea_S2</t>
  </si>
  <si>
    <t>这行事风格，一定是蛮族……只有那帮没有人性的东西，才会连手无寸铁的平民都不放过！</t>
  </si>
  <si>
    <t>一定是蛮族</t>
  </si>
  <si>
    <t>平民都不放过</t>
  </si>
  <si>
    <t>TID_DialogueConf_60201_textList_323636333013_CN_Main</t>
  </si>
  <si>
    <t>Play_voice_guide02_03_Andrea_S2</t>
  </si>
  <si>
    <t>请下令清剿吧大人！我以帝国公主之名立誓，一定会为那些可怜的人报仇，血债，必须以血来偿！</t>
  </si>
  <si>
    <t>下令清剿</t>
  </si>
  <si>
    <t>报仇</t>
  </si>
  <si>
    <t>TID_DialogueConf_60301_textList_CN_Main</t>
  </si>
  <si>
    <t>Play_voice_guide03_01_Andrea_S2</t>
  </si>
  <si>
    <t>……咳咳……对不起，我、我让大家失望了……那些蛮族，很不一样……虽然军备简陋，但他们的意志却十分顽强……</t>
  </si>
  <si>
    <t>那些蛮族</t>
  </si>
  <si>
    <t>很不一样</t>
  </si>
  <si>
    <t>TID_DialogueConf_60301_textList_218107703257_CN_Main</t>
  </si>
  <si>
    <t>Play_voice_guide03_02_Huamulan_S2</t>
  </si>
  <si>
    <t>安德莉娅你在说什么胡话啊，这根本不是你的错！
那些蛮族甚至比帝国的精兵还强，这一点都不正常！</t>
  </si>
  <si>
    <t>一点都不正常</t>
  </si>
  <si>
    <t>TID_DialogueConf_60301_textList_185340135806_CN_Main</t>
  </si>
  <si>
    <t>Play_voice_guide03_03_Andrea_S2</t>
  </si>
  <si>
    <t>对不起……他们人很多，而且非常……疯狂……大家都……
都是我……对不起……</t>
  </si>
  <si>
    <t>他们人很多</t>
  </si>
  <si>
    <t>TID_DialogueConf_60301_textList_303977504037_CN_Main</t>
  </si>
  <si>
    <t>Play_voice_guide03_04_Huamulan_S2</t>
  </si>
  <si>
    <t>喂！不要丧气啊！现在还没到最严重的时候！
蛮族随时有可能会攻过来，战备先交给我，你好好休息一阵吧！</t>
  </si>
  <si>
    <t>蛮族随时有可能会攻过来</t>
  </si>
  <si>
    <t>TID_DialogueConf_60401_textList_CN_Main</t>
  </si>
  <si>
    <t>Play_voice_guide04_01_Huamulan_S2</t>
  </si>
  <si>
    <t>报告大人！侦察到大量蛮族军团正在接近领地！</t>
  </si>
  <si>
    <t>大量蛮族军团</t>
  </si>
  <si>
    <t>TID_DialogueConf_60401_textList_209841731320_CN_Main</t>
  </si>
  <si>
    <t>Play_voice_guide04_02_Andrea_S2</t>
  </si>
  <si>
    <t>s2_chapter_6_4</t>
  </si>
  <si>
    <t>安德莉娅请战！</t>
  </si>
  <si>
    <t>TID_DialogueConf_60401_textList_1072964968331_CN_Main</t>
  </si>
  <si>
    <t>Play_voice_guide04_03_Huamulan_S2</t>
  </si>
  <si>
    <t>战什么战？！你的伤——</t>
  </si>
  <si>
    <t>TID_DialogueConf_60401_textList_432064660228_CN_Main</t>
  </si>
  <si>
    <t>Play_voice_guide04_04_Andrea_S2</t>
  </si>
  <si>
    <t>没有其他办法了！若我的命运注定在此终结，也请让她在战场上消亡吧……大人，安德莉娅请战！</t>
  </si>
  <si>
    <t>安德莉娅请战</t>
  </si>
  <si>
    <t>TID_DialogueConf_60401_textList_1031159423808_CN_Main</t>
  </si>
  <si>
    <t>Play_voice_guide04_05_Huamulan_S2</t>
  </si>
  <si>
    <t>……能被劝回来那就不是你了吧。
那就走吧，我跟你一起！</t>
  </si>
  <si>
    <t>我跟你一起</t>
  </si>
  <si>
    <t>李白来访</t>
  </si>
  <si>
    <t>？？？</t>
  </si>
  <si>
    <t>TID_DialogueConf_60402_textList_CN_Main</t>
  </si>
  <si>
    <t>Play_voice_guide04_06_LiBai_S2</t>
  </si>
  <si>
    <t>s2_chapter_4_6</t>
  </si>
  <si>
    <t>五岳寻仙不辞远，一生好入名山游……</t>
  </si>
  <si>
    <t>TID_DialogueConf_60402_textList_763575504246_CN_Main</t>
  </si>
  <si>
    <t>Play_voice_guide04_07_Huamulan_S2</t>
  </si>
  <si>
    <t>喂喂喂……能不能说些正常人能听懂的话啊……</t>
  </si>
  <si>
    <t>TID_DialogueConf_60402_textList_695215296361_CN_Main</t>
  </si>
  <si>
    <t>Play_voice_guide04_08_LiBai_S2</t>
  </si>
  <si>
    <t>s2_chapter_4_8</t>
  </si>
  <si>
    <t>我偶经此地，正在小酌，忽被告知将有战事。
早闻公主有伤在身，我想，诸位应该需要一些帮助。</t>
  </si>
  <si>
    <t>将有战事</t>
  </si>
  <si>
    <t>诸位应该需要一些帮助</t>
  </si>
  <si>
    <t>TID_DialogueConf_60402_textList_139192335544_CN_Main</t>
  </si>
  <si>
    <t>Play_voice_guide04_09_Andrea_S2</t>
  </si>
  <si>
    <t>s2_chapter_4_9</t>
  </si>
  <si>
    <t>您，您是谁？</t>
  </si>
  <si>
    <t>TID_DialogueConf_60402_name_558395943407_CN_Main</t>
  </si>
  <si>
    <t>TID_DialogueConf_60402_textList_215435661141_CN_Main</t>
  </si>
  <si>
    <t>Play_voice_guide04_10_LiBai_S2</t>
  </si>
  <si>
    <t>s2_chapter_4_10</t>
  </si>
  <si>
    <t>东洲李国，李白。</t>
  </si>
  <si>
    <t>李白</t>
  </si>
  <si>
    <t>TID_DialogueConf_60501_textList_CN_Main</t>
  </si>
  <si>
    <t>Play_voice_guide05_01_Andrea_S2</t>
  </si>
  <si>
    <t>早就听说过青莲先生诗剑双绝，今日多谢先生相助。
请恕我冒昧，我可以知道先生来此地是为了何事吗？</t>
  </si>
  <si>
    <t>青莲先生</t>
  </si>
  <si>
    <t>TID_DialogueConf_60501_textList_184775371417_CN_Main</t>
  </si>
  <si>
    <t>Play_voice_guide05_02_LiBai_S2</t>
  </si>
  <si>
    <t>s2_chapter_5_2</t>
  </si>
  <si>
    <t>我游历天下，只为遍览各地奇迹之壮丽。
此地既有奇迹亦有美饮，我若不来，哈，那才是咄咄怪事。</t>
  </si>
  <si>
    <t>各地奇迹</t>
  </si>
  <si>
    <t>TID_DialogueConf_60501_textList_658373046988_CN_Main</t>
  </si>
  <si>
    <t>Play_voice_guide05_03_Huamulan_S2</t>
  </si>
  <si>
    <t>奇迹？！我就知道！
莲花先生，那些蛮族是不是因为它才那么强？！</t>
  </si>
  <si>
    <t>奇迹</t>
  </si>
  <si>
    <t>TID_DialogueConf_60501_textList_1075717612217_CN_Main</t>
  </si>
  <si>
    <t>Play_voice_guide05_04_LiBai_S2</t>
  </si>
  <si>
    <t>s2_chapter_5_4</t>
  </si>
  <si>
    <t>然也，奇迹是穷极人力、极尽巧思，应时而起的壮丽建筑。
它形构华美，而且承天之运，能鼓舞士气提振军威。</t>
  </si>
  <si>
    <t>鼓舞士气提振军威</t>
  </si>
  <si>
    <t>TID_DialogueConf_60501_textList_1073372463755_CN_Main</t>
  </si>
  <si>
    <t>Play_voice_guide05_05_LiBai_S2</t>
  </si>
  <si>
    <t>s2_chapter_5_5</t>
  </si>
  <si>
    <t>不过目前占据彼处的蛮胡已除，奇迹之地也重归和平，也是我该告别的时候了。</t>
  </si>
  <si>
    <t>蛮胡已除</t>
  </si>
  <si>
    <t>奇迹之地也重归和平</t>
  </si>
  <si>
    <t>告别</t>
  </si>
  <si>
    <t>TID_DialogueConf_60501_textList_807084423762_CN_Main</t>
  </si>
  <si>
    <t>Play_voice_guide05_06_Andrea_S2</t>
  </si>
  <si>
    <t>再次多谢先生，不过，青莲先生可以多留几日吗？
用东洲的话说——让我们可以一尽地主之谊。</t>
  </si>
  <si>
    <t>多留几日</t>
  </si>
  <si>
    <t>TID_DialogueConf_60601_textList_CN_Main</t>
  </si>
  <si>
    <t>Play_voice_guide06_01_Andrea_S2</t>
  </si>
  <si>
    <t>青莲先生还是离开了……也是，像他这种乘风而舞的鹏鸟，注定如同极天之云，根本不会长久留在同一个地方。</t>
  </si>
  <si>
    <t>青莲先生还是离开了……</t>
  </si>
  <si>
    <t>TID_DialogueConf_60601_textList_939880398251_CN_Main</t>
  </si>
  <si>
    <t>Play_voice_guide06_02_Huamulan_S2</t>
  </si>
  <si>
    <t>s2_chapter_6_2</t>
  </si>
  <si>
    <t>别想啦，等我们领地建设好了，什么李白呀李黑呀……会有越来越多的人自己过来的！有句话怎么说的来着……桃子不说话，下面有小溪？</t>
  </si>
  <si>
    <t>领地建设</t>
  </si>
  <si>
    <t>TID_DialogueConf_60601_textList_601978283905_CN_Main</t>
  </si>
  <si>
    <t>Play_voice_guide06_03_Andrea_S2</t>
  </si>
  <si>
    <t>s2_chapter_6_3</t>
  </si>
  <si>
    <t>是“桃李不言，下自成蹊”啦……不过魏兰说的对，目前领地发展已经步入正轨，以后肯定会有更多的贤才加入我们。</t>
  </si>
  <si>
    <t>贤才加入</t>
  </si>
  <si>
    <t>TID_DialogueConf_60601_textList_825600163726_CN_Main</t>
  </si>
  <si>
    <t>Play_voice_guide06_04_Andrea_S2</t>
  </si>
  <si>
    <t>大家，请一起努力吧！</t>
  </si>
  <si>
    <t>TID_DialogueConf_210001_name_499962613841_CN_Main</t>
  </si>
  <si>
    <t>icon_soldierm_china</t>
  </si>
  <si>
    <t>icon_soldier_china_103</t>
  </si>
  <si>
    <t>TID_DialogueConf_210001_textList_CN_Main</t>
  </si>
  <si>
    <t>Play_voice_campaign_level01_02_bubble_YinTong</t>
  </si>
  <si>
    <t>项兄，以我郡守的兵力，你叔侄二人的人望和盖世武功，这天下可谓是唾手可得！</t>
  </si>
  <si>
    <t>TID_DialogueConf_210001_name_234552473703_CN_Main</t>
  </si>
  <si>
    <t>npc_campaign_half002</t>
  </si>
  <si>
    <t>TID_DialogueConf_210001_textList_51575630724_CN_Main</t>
  </si>
  <si>
    <t>Play_voice_campaign_level01_03_bubble_XiangLiang</t>
  </si>
  <si>
    <t>大人说的没错，但这天下只能是一个人的！楚儿！动手！</t>
  </si>
  <si>
    <t>TID_DialogueConf_210001_textList_20492016517_CN_Main</t>
  </si>
  <si>
    <t>Play_voice_campaign_level01_04_bubble_YinTong</t>
  </si>
  <si>
    <t>你们！你们想干什么！来人！快来人！</t>
  </si>
  <si>
    <t>TID_DialogueConf_210002_name_CN_Main</t>
  </si>
  <si>
    <t>npc_campaign_half004</t>
  </si>
  <si>
    <t>TID_DialogueConf_210002_textList_CN_Main</t>
  </si>
  <si>
    <t>Play_voice_campaign_level01_06_bubble_Enemy</t>
  </si>
  <si>
    <t>项毅你好大胆！抓住他们！</t>
  </si>
  <si>
    <t>TID_DialogueConf_210005_name_CN_Main</t>
  </si>
  <si>
    <t>npc_campaign_half005</t>
  </si>
  <si>
    <t>TID_DialogueConf_210005_textList_CN_Main</t>
  </si>
  <si>
    <t>Play_voice_campaign_level01_07_bubble_XiangYu</t>
  </si>
  <si>
    <t>臭鱼烂虾，你们一起上吧！</t>
  </si>
  <si>
    <t>TID_DialogueConf_210006_textList_CN_Main</t>
  </si>
  <si>
    <t>Play_voice_campaign_level01_08_bubble_XiangYu</t>
  </si>
  <si>
    <t>叔父，事已至此，接下来该怎么办？</t>
  </si>
  <si>
    <t>TID_DialogueConf_210006_textList_824716304906_CN_Main</t>
  </si>
  <si>
    <t>Play_voice_campaign_level01_09_bubble_XiangLiang</t>
  </si>
  <si>
    <t>先拿下此城，再作商议。</t>
  </si>
  <si>
    <t>TID_DialogueConf_210006_textList_472221291908_CN_Main</t>
  </si>
  <si>
    <t>Play_voice_campaign_level01_10_bubble_XiangLiang</t>
  </si>
  <si>
    <t>我们分头行动！</t>
  </si>
  <si>
    <t>TID_DialogueConf_210009_textList_CN_Main</t>
  </si>
  <si>
    <t>Play_voice_campaign_level01_11_bubble_XiangChu</t>
  </si>
  <si>
    <t>全军听令！攻下最近的大营，振我军威！</t>
  </si>
  <si>
    <t>TID_DialogueConf_210013_name_CN_Main</t>
  </si>
  <si>
    <t>TID_DialogueConf_210013_textList_CN_Main</t>
  </si>
  <si>
    <t>Play_voice_campaign_level01_12_bubble_Rebel</t>
  </si>
  <si>
    <t>项楚！项楚来帮我们了！</t>
  </si>
  <si>
    <t>TID_DialogueConf_210015_textList_CN_Main</t>
  </si>
  <si>
    <t>Play_voice_campaign_level01_13_bubble_XiangYu</t>
  </si>
  <si>
    <t>兄弟们！跟我一起来！</t>
  </si>
  <si>
    <t>TID_DialogueConf_210017_name_CN_Main</t>
  </si>
  <si>
    <t>TID_DialogueConf_210017_textList_CN_Main</t>
  </si>
  <si>
    <t>Play_voice_campaign_level01_14_bubble_EnemyScout</t>
  </si>
  <si>
    <t>报！城南大营已被攻占，形势危急！</t>
  </si>
  <si>
    <t>TID_DialogueConf_210017_name_20320866507_CN_Main</t>
  </si>
  <si>
    <t>npc_campaign_half014</t>
  </si>
  <si>
    <t>TID_DialogueConf_210017_textList_334792427960_CN_Main</t>
  </si>
  <si>
    <t>Play_voice_campaign_level01_15_bubble_Enemy</t>
  </si>
  <si>
    <t>即刻调动大军！</t>
  </si>
  <si>
    <t>TID_DialogueConf_210018_name_CN_Main</t>
  </si>
  <si>
    <t>TID_DialogueConf_210018_textList_CN_Main</t>
  </si>
  <si>
    <t>Play_voice_campaign_level01_15_Rebel</t>
  </si>
  <si>
    <t>我们人数有限，若是能够将这牢内的友军救出，必然能够抵挡住他们的进攻！</t>
  </si>
  <si>
    <t>TID_DialogueConf_210022_name_822873610193_CN_Main</t>
  </si>
  <si>
    <t>TID_DialogueConf_210022_textList_CN_Main</t>
  </si>
  <si>
    <t>Play_voice_campaign_level01_18_bubble_Enemy</t>
  </si>
  <si>
    <t>擅闯监牢重地，活得不耐烦了！</t>
  </si>
  <si>
    <t>TID_DialogueConf_210022_textList_694306972272_CN_Main</t>
  </si>
  <si>
    <t>Play_voice_campaign_level01_19_bubble_Rebel</t>
  </si>
  <si>
    <t>废话少说，立刻释放牢内众人！</t>
  </si>
  <si>
    <t>TID_DialogueConf_210022_textList_74112133513_CN_Main</t>
  </si>
  <si>
    <t>Play_voice_campaign_level01_20_bubble_Enemy</t>
  </si>
  <si>
    <t>做梦！</t>
  </si>
  <si>
    <t>TID_DialogueConf_210022_textList_760989499183_CN_Main</t>
  </si>
  <si>
    <t>Play_voice_campaign_level01_21_bubble_Rebel</t>
  </si>
  <si>
    <t>那就对不住了！</t>
  </si>
  <si>
    <t>TID_DialogueConf_210024_name_CN_Main</t>
  </si>
  <si>
    <t>TID_DialogueConf_210024_textList_CN_Main</t>
  </si>
  <si>
    <t>Play_voice_campaign_level01_24_bubble_QinLang</t>
  </si>
  <si>
    <t>项楚！你一错再错，如今已罪不容诛！</t>
  </si>
  <si>
    <t>TID_DialogueConf_210024_textList_608751173099_CN_Main</t>
  </si>
  <si>
    <t>Play_voice_campaign_level01_25_bubble_XiangYu</t>
  </si>
  <si>
    <t>哼！那便如何？</t>
  </si>
  <si>
    <t>TID_DialogueConf_210025_textList_CN_Main</t>
  </si>
  <si>
    <t>Play_voice_campaign_level01_26_bubble_QinLang</t>
  </si>
  <si>
    <t>你……你们……啊！</t>
  </si>
  <si>
    <t>TID_DialogueConf_210025_textList_899930889148_CN_Main</t>
  </si>
  <si>
    <t>Play_voice_campaign_level01_27_bubble_XiangYu</t>
  </si>
  <si>
    <t>把我们的旗帜插上城楼！</t>
  </si>
  <si>
    <t>TID_DialogueConf_210025_textList_878703469444_CN_Main</t>
  </si>
  <si>
    <t>Play_voice_campaign_level01_28_bubble_Rebel</t>
  </si>
  <si>
    <t>我们胜利了！</t>
  </si>
  <si>
    <t>TID_DialogueConf_210026_textList_CN_Main</t>
  </si>
  <si>
    <t>Play_voice_campaign_level01_22_bubble_QinScout</t>
  </si>
  <si>
    <t>城西大牢被攻占！我们……我们根本挡不住哇！</t>
  </si>
  <si>
    <t>TID_DialogueConf_210026_textList_494819418510_CN_Main</t>
  </si>
  <si>
    <t>Play_voice_campaign_level01_23_bubble_XiangYu</t>
  </si>
  <si>
    <t>拿下守将！这里就是我们的了！</t>
  </si>
  <si>
    <t>TID_DialogueConf_210027_textList_CN_Main</t>
  </si>
  <si>
    <t>Play_voice_campaign_level01_05_bubble_YinTong</t>
  </si>
  <si>
    <t>（惨叫）啊！！！！</t>
  </si>
  <si>
    <t>TID_DialogueConf_210028_textList_CN_Main</t>
  </si>
  <si>
    <t>Play_voice_campaign_level01_16_bubble_XiangYu</t>
  </si>
  <si>
    <t>城北军营是我们的了！</t>
  </si>
  <si>
    <t>TID_DialogueConf_210028_textList_301607467231_CN_Main</t>
  </si>
  <si>
    <t>Play_voice_campaign_level01_17_bubble_XiangYu</t>
  </si>
  <si>
    <t>继续前进！拿下城门！</t>
  </si>
  <si>
    <t>项楚2关-刘沛</t>
  </si>
  <si>
    <t>TID_DialogueConf_220001_name_CN_Main</t>
  </si>
  <si>
    <t>icon_soldier_china_202</t>
  </si>
  <si>
    <t>TID_DialogueConf_220001_textList_CN_Main</t>
  </si>
  <si>
    <t>Play_voice_campaign_level02_02_bubble_LiuPei</t>
  </si>
  <si>
    <t>将军，这地方可是块硬骨头，只怕不好啃啊。</t>
  </si>
  <si>
    <t>项楚2关-项楚</t>
  </si>
  <si>
    <t>TID_DialogueConf_220001_textList_358701263368_CN_Main</t>
  </si>
  <si>
    <t>Play_voice_campaign_level02_03_bubble_XiangYu</t>
  </si>
  <si>
    <t>哼，是不是硬骨头，打过才知道。准备攻营！</t>
  </si>
  <si>
    <t>项楚2关-敌军</t>
  </si>
  <si>
    <t>TID_DialogueConf_220002_name_CN_Main</t>
  </si>
  <si>
    <t>TID_DialogueConf_220002_textList_CN_Main</t>
  </si>
  <si>
    <t>Play_voice_campaign_level02_04_bubble_Enemy</t>
  </si>
  <si>
    <t>拦住他们，别让他们靠近！</t>
  </si>
  <si>
    <t>TID_DialogueConf_220003_textList_CN_Main</t>
  </si>
  <si>
    <t>Play_voice_campaign_level02_05_bubble_XiangYu</t>
  </si>
  <si>
    <t>就这几个人还想拦住我们？</t>
  </si>
  <si>
    <t>TID_DialogueConf_220003_textList_537208865301_CN_Main</t>
  </si>
  <si>
    <t>Play_voice_campaign_level02_06_bubble_XiangYu</t>
  </si>
  <si>
    <t>进攻！击垮他们！</t>
  </si>
  <si>
    <t>TID_DialogueConf_220004_textList_CN_Main</t>
  </si>
  <si>
    <t>Play_voice_campaign_level02_07_bubble_XiangYu</t>
  </si>
  <si>
    <t>地方不错，我要了！</t>
  </si>
  <si>
    <t>TID_DialogueConf_220004_textList_216110414877_CN_Main</t>
  </si>
  <si>
    <t>Play_voice_campaign_level02_08_bubble_XiangYu</t>
  </si>
  <si>
    <t>先烧兵营，再占大营！此战必胜！</t>
  </si>
  <si>
    <t>TID_DialogueConf_220005_textList_CN_Main</t>
  </si>
  <si>
    <t>Play_voice_campaign_level02_09_bubble_LiuPei</t>
  </si>
  <si>
    <t>将军，敌人在营地外筑起了箭塔准备死守，这可不太妙。</t>
  </si>
  <si>
    <t>TID_DialogueConf_220005_textList_284979199703_CN_Main</t>
  </si>
  <si>
    <t>Play_voice_campaign_level02_10_bubble_XiangYu</t>
  </si>
  <si>
    <t>死守？愚不可及！重整部队！继续前进！</t>
  </si>
  <si>
    <t>TID_DialogueConf_220006_textList_CN_Main</t>
  </si>
  <si>
    <t>Play_voice_campaign_level02_11_bubble_LiuPei</t>
  </si>
  <si>
    <t>一个小小的补给站竟然有投石车？那可是攻城利器啊。</t>
  </si>
  <si>
    <t>TID_DialogueConf_220007_textList_CN_Main</t>
  </si>
  <si>
    <t>Play_voice_campaign_level02_15_bubble_XiangYu</t>
  </si>
  <si>
    <t>有了这些投石车，别说箭塔，什么塔都没用！</t>
  </si>
  <si>
    <t>TID_DialogueConf_220008_textList_CN_Main</t>
  </si>
  <si>
    <t>Play_voice_campaign_level02_16_bubble_XiangYu</t>
  </si>
  <si>
    <t>砸！给我狠狠的砸！</t>
  </si>
  <si>
    <t>TID_DialogueConf_220009_textList_CN_Main</t>
  </si>
  <si>
    <t>Play_voice_campaign_level02_19_bubble_XiangYu</t>
  </si>
  <si>
    <t>老规矩！先烧兵营，再占大营！</t>
  </si>
  <si>
    <t>项楚3关-项楚</t>
  </si>
  <si>
    <t>TID_DialogueConf_220010_textList_CN_Main</t>
  </si>
  <si>
    <t>Play_voice_campaign_level02_12_bubble_XiangYu</t>
  </si>
  <si>
    <t>哈，人还真不少！老实点把东西交出来吧！</t>
  </si>
  <si>
    <t>TID_DialogueConf_220011_textList_CN_Main</t>
  </si>
  <si>
    <t>Play_voice_campaign_level02_20_bubble_LiuPei</t>
  </si>
  <si>
    <t>这是个陷阱！小心了！</t>
  </si>
  <si>
    <t>TID_DialogueConf_220012_textList_CN_Main</t>
  </si>
  <si>
    <t>Play_voice_campaign_level02_22_bubble_XiangYu</t>
  </si>
  <si>
    <t>跟我一起冲！只要攻破城门！我们就赢了！</t>
  </si>
  <si>
    <t>TID_DialogueConf_220013_textList_CN_Main</t>
  </si>
  <si>
    <t>play_voice_campaign_level02_22_bubble_XiangYu</t>
  </si>
  <si>
    <t>再来多少都是没用的！</t>
  </si>
  <si>
    <t>TID_DialogueConf_220013_textList_557191133394_CN_Main</t>
  </si>
  <si>
    <t>弟兄们！让我们一起粉碎这腐朽的帝国！</t>
  </si>
  <si>
    <t>TID_DialogueConf_220014_textList_CN_Main</t>
  </si>
  <si>
    <t>Play_voice_campaign_level02_27_bubble_XiangYu</t>
  </si>
  <si>
    <t>城门已破！我军大获全胜！</t>
  </si>
  <si>
    <t>项楚2关-秦军守将</t>
  </si>
  <si>
    <t>TID_DialogueConf_220015_name_CN_Main</t>
  </si>
  <si>
    <t>TID_DialogueConf_220015_textList_CN_Main</t>
  </si>
  <si>
    <t>Play_voice_campaign_level02_23_bubble_QinWei</t>
  </si>
  <si>
    <t>项楚，只要你投降，本帅不但可以饶你一命，还能保你平步青云，荣华富贵！</t>
  </si>
  <si>
    <t>TID_DialogueConf_220015_textList_219293393979_CN_Main</t>
  </si>
  <si>
    <t>Play_voice_campaign_level02_24_bubble_XiangYu</t>
  </si>
  <si>
    <t>这位大人，您是还没睡醒吧？给我打！</t>
  </si>
  <si>
    <t>TID_DialogueConf_220017_textList_CN_Main</t>
  </si>
  <si>
    <t>Play_voice_campaign_level02_25_bubble_QinWei</t>
  </si>
  <si>
    <t>不识抬举的东西！现在后悔也来不及了！</t>
  </si>
  <si>
    <t>TID_DialogueConf_220018_textList_CN_Main</t>
  </si>
  <si>
    <t>Play_voice_campaign_level02_26_bubble_QinWei</t>
  </si>
  <si>
    <t>将军饶我一……啊！</t>
  </si>
  <si>
    <t>TID_DialogueConf_220019_textList_CN_Main</t>
  </si>
  <si>
    <t>再来多少人都是没用的！我们赢定了！</t>
  </si>
  <si>
    <t>TID_DialogueConf_220020_textList_CN_Main</t>
  </si>
  <si>
    <t>Play_voice_campaign_level02_17_bubble_Enemy</t>
  </si>
  <si>
    <t>快毁掉那些投石车！</t>
  </si>
  <si>
    <t>TID_DialogueConf_220021_textList_CN_Main</t>
  </si>
  <si>
    <t>Play_voice_campaign_level02_18_bubble_XiangYu</t>
  </si>
  <si>
    <t>可恶！</t>
  </si>
  <si>
    <t>TID_DialogueConf_220022_textList_CN_Main</t>
  </si>
  <si>
    <t>Play_voice_campaign_level02_13_bubble_Enemy</t>
  </si>
  <si>
    <t>快，快包围他们！</t>
  </si>
  <si>
    <t>TID_DialogueConf_220023_textList_CN_Main</t>
  </si>
  <si>
    <t>Play_voice_campaign_level02_14_bubble_XiangYu</t>
  </si>
  <si>
    <t>哼！就这？雕虫小技！</t>
  </si>
  <si>
    <t>TID_DialogueConf_220024_textList_CN_Main</t>
  </si>
  <si>
    <t>Play_voice_campaign_level02_28_bubble_Enemy</t>
  </si>
  <si>
    <t>兄弟们上啊！</t>
  </si>
  <si>
    <t>TID_DialogueConf_220025_textList_CN_Main</t>
  </si>
  <si>
    <t>Play_voice_campaign_level02_21_bubble_XiangYu</t>
  </si>
  <si>
    <t>敌人也就这点水平，不必惊慌。</t>
  </si>
  <si>
    <t>TID_DialogueConf_220026_textList_CN_Main</t>
  </si>
  <si>
    <t>Play_voice_campaign_level02_29_bubble_XiangYu</t>
  </si>
  <si>
    <t>把营地大门给我拆了！</t>
  </si>
  <si>
    <t>项楚2关-增援兵</t>
  </si>
  <si>
    <t>TID_DialogueConf_220027_name_CN_Main</t>
  </si>
  <si>
    <t>TID_DialogueConf_220027_textList_CN_Main</t>
  </si>
  <si>
    <t>Play_voice_campaign_level02_30_bubble_Reinforcement</t>
  </si>
  <si>
    <t>将军，我们来帮你！</t>
  </si>
  <si>
    <t>TID_DialogueConf_230001_name_CN_Main</t>
  </si>
  <si>
    <t>TID_DialogueConf_230001_textList_CN_Main</t>
  </si>
  <si>
    <t>Play_voice_campaign_level03_01_bubble_YinBu</t>
  </si>
  <si>
    <t>我军连日赶路，早已人困马乏，此时开战必然凶多吉少。</t>
  </si>
  <si>
    <t>TID_DialogueConf_230002_textList_CN_Main</t>
  </si>
  <si>
    <t>Play_voice_campaign_level03_02_bubble_YinBu</t>
  </si>
  <si>
    <t>不如先向敌军“借”点粮草，
祭一祭大家的五脏庙，再与他们一决胜负！</t>
  </si>
  <si>
    <t>TID_DialogueConf_230003_textList_CN_Main</t>
  </si>
  <si>
    <t>Play_voice_campaign_level03_03_bubble_XiangYu</t>
  </si>
  <si>
    <t>当阳君，若是我们向秦军“借粮”，他们借是不借？</t>
  </si>
  <si>
    <t>TID_DialogueConf_230004_textList_CN_Main</t>
  </si>
  <si>
    <t>Play_voice_campaign_level03_04_bubble_YinBu</t>
  </si>
  <si>
    <t>“借粮”？嘿嘿……那可就由不得他们了。</t>
  </si>
  <si>
    <t>TID_DialogueConf_230005_textList_CN_Main</t>
  </si>
  <si>
    <t>Play_voice_campaign_level03_05_bubble_XiangYu</t>
  </si>
  <si>
    <t>好，那我们兵分两路，速战速决</t>
  </si>
  <si>
    <t>TID_DialogueConf_230006_textList_CN_Main</t>
  </si>
  <si>
    <t>Play_voice_campaign_level03_06_bubble_YinBu</t>
  </si>
  <si>
    <t>事不宜迟，将军请下令吧！</t>
  </si>
  <si>
    <t>TID_DialogueConf_230007_textList_CN_Main</t>
  </si>
  <si>
    <t>Play_voice_campaign_level03_07_bubble_YinBu</t>
  </si>
  <si>
    <t>本将军奉命前来向各位“借”点粮草，还请各位不要不识抬举。</t>
  </si>
  <si>
    <t>TID_DialogueConf_230007_name_772287549395_CN_Main</t>
  </si>
  <si>
    <t>npc_campaign_half003</t>
  </si>
  <si>
    <t>TID_DialogueConf_230007_textList_603880802309_CN_Main</t>
  </si>
  <si>
    <t>Play_voice_campaign_level03_08_bubble_SuJiao</t>
  </si>
  <si>
    <t>借粮？做你的春秋大梦！</t>
  </si>
  <si>
    <t>TID_DialogueConf_230007_textList_1066687314398_CN_Main</t>
  </si>
  <si>
    <t>Play_voice_campaign_level03_09_bubble_YinBu</t>
  </si>
  <si>
    <t>那就是没得谈了！</t>
  </si>
  <si>
    <t>TID_DialogueConf_230007_textList_1097974414160_CN_Main</t>
  </si>
  <si>
    <t>Play_voice_campaign_level03_11_bubble_YinBu</t>
  </si>
  <si>
    <t>差点忘了说，攻占那些田留着，其他的该拿拿，该烧烧。</t>
  </si>
  <si>
    <t>TID_DialogueConf_230009_textList_CN_Main</t>
  </si>
  <si>
    <t>Play_voice_campaign_level03_12_bubble_XiangYu</t>
  </si>
  <si>
    <t>不要跟他们客气！能拿的全部拿走，拿不走的全部烧掉！</t>
  </si>
  <si>
    <t>TID_DialogueConf_230009_textList_76269841260_CN_Main</t>
  </si>
  <si>
    <t>Play_voice_campaign_level03_13_bubble_Enemy</t>
  </si>
  <si>
    <t>贼子！不想活了吗？你可知道这是谁的军粮！</t>
  </si>
  <si>
    <t>TID_DialogueConf_230009_textList_857674437602_CN_Main</t>
  </si>
  <si>
    <t>Play_voice_campaign_level03_14_bubble_XiangYu</t>
  </si>
  <si>
    <t>就算是天王老子的军粮，我也要定了！</t>
  </si>
  <si>
    <t>TID_DialogueConf_230010_name_CN_Main</t>
  </si>
  <si>
    <t>TID_DialogueConf_230010_textList_CN_Main</t>
  </si>
  <si>
    <t>Play_voice_campaign_level03_15_bubble_ZhangHan</t>
  </si>
  <si>
    <t>就你这支杂牌队伍，还妄图与我军对抗？</t>
  </si>
  <si>
    <t>TID_DialogueConf_230010_textList_368229574077_CN_Main</t>
  </si>
  <si>
    <t>Play_voice_campaign_level03_16_bubble_XiangYu</t>
  </si>
  <si>
    <t>刀走刚猛，剑走偏锋，我这支队伍既能是剑，也能是刀。
遇上我算你倒霉了。</t>
  </si>
  <si>
    <t>TID_DialogueConf_230013_textList_CN_Main</t>
  </si>
  <si>
    <t>Play_voice_campaign_level03_17_bubble_ZhangHan</t>
  </si>
  <si>
    <t>唔！你！撤退！快退！</t>
  </si>
  <si>
    <t>TID_DialogueConf_230013_textList_176180889544_CN_Main</t>
  </si>
  <si>
    <t>Play_voice_campaign_level03_18_bubble_XiangYu</t>
  </si>
  <si>
    <t>跑的倒是挺快！</t>
  </si>
  <si>
    <t>TID_DialogueConf_230015_textList_CN_Main</t>
  </si>
  <si>
    <t>Play_voice_campaign_level03_19_bubble_YinBu</t>
  </si>
  <si>
    <t>章汉这厮的确不简单，我军损失惨重，急需休整。</t>
  </si>
  <si>
    <t>TID_DialogueConf_230015_textList_875375218103_CN_Main</t>
  </si>
  <si>
    <t>Play_voice_campaign_level03_20_bubble_XiangYu</t>
  </si>
  <si>
    <t>粮草尚有富余，我们需要更多的士兵！</t>
  </si>
  <si>
    <t>TID_DialogueConf_230016_textList_CN_Main</t>
  </si>
  <si>
    <t>Play_voice_campaign_level03_21_bubble_XiangYu</t>
  </si>
  <si>
    <t>接下来还有一场硬仗要打！</t>
  </si>
  <si>
    <t>TID_DialogueConf_230017_name_CN_Main</t>
  </si>
  <si>
    <t>TID_DialogueConf_230017_textList_CN_Main</t>
  </si>
  <si>
    <t>Play_voice_campaign_level03_22_bubble_Ally</t>
  </si>
  <si>
    <t>是项将军的援军，我们有救了！</t>
  </si>
  <si>
    <t>TID_DialogueConf_230018_textList_CN_Main</t>
  </si>
  <si>
    <t>Play_voice_campaign_level03_23_bubble_Enemy</t>
  </si>
  <si>
    <t>快，快搬救兵！这群人疯了！</t>
  </si>
  <si>
    <t>TID_DialogueConf_230018_textList_972650260457_CN_Main</t>
  </si>
  <si>
    <t>Play_voice_campaign_level03_24_bubble_XiangYu</t>
  </si>
  <si>
    <t>秦军在派遣增援，兄弟们不要懈怠！</t>
  </si>
  <si>
    <t>TID_DialogueConf_230019_name_CN_Main</t>
  </si>
  <si>
    <t>TID_DialogueConf_230019_textList_CN_Main</t>
  </si>
  <si>
    <t>Play_voice_campaign_level03_25_bubble_Wangli</t>
  </si>
  <si>
    <t>螳臂挡车，你人没了。</t>
  </si>
  <si>
    <t>TID_DialogueConf_230019_textList_17146332243_CN_Main</t>
  </si>
  <si>
    <t>Play_voice_campaign_level03_27_bubble_XiangYu</t>
  </si>
  <si>
    <t>就怕你没那个能耐！</t>
  </si>
  <si>
    <t>TID_DialogueConf_230020_textList_CN_Main</t>
  </si>
  <si>
    <t>Play_voice_campaign_level03_28_bubble_Wangli</t>
  </si>
  <si>
    <t>啊，可恶！</t>
  </si>
  <si>
    <t>TID_DialogueConf_230020_textList_696695989583_CN_Main</t>
  </si>
  <si>
    <t>Play_voice_campaign_level03_29_bubble_XiangYu</t>
  </si>
  <si>
    <t>哈哈哈哈哈，痛快痛快，再来！</t>
  </si>
  <si>
    <t>TID_DialogueConf_230021_name_CN_Main</t>
  </si>
  <si>
    <t>TID_DialogueConf_230021_textList_CN_Main</t>
  </si>
  <si>
    <t>Play_voice_campaign_level03_30_bubble_Wangli</t>
  </si>
  <si>
    <t>贼子！本将军在此，还不速速投降！</t>
  </si>
  <si>
    <t>TID_DialogueConf_230021_textList_427812183466_CN_Main</t>
  </si>
  <si>
    <t>Play_voice_campaign_level03_31_bubble_XiangYu</t>
  </si>
  <si>
    <t>投降？也不怕风大闪了舌头！</t>
  </si>
  <si>
    <t>TID_DialogueConf_230022_textList_CN_Main</t>
  </si>
  <si>
    <t>Play_voice_campaign_level03_32_bubble_Wangli</t>
  </si>
  <si>
    <t>居然…败在你手下…</t>
  </si>
  <si>
    <t>TID_DialogueConf_230022_textList_1053223392331_CN_Main</t>
  </si>
  <si>
    <t>Play_voice_campaign_level03_33_bubble_XiangYu</t>
  </si>
  <si>
    <t>就这点能耐吗！太令人失望了！</t>
  </si>
  <si>
    <t>TID_DialogueConf_230023_textList_CN_Main</t>
  </si>
  <si>
    <t>Play_voice_campaign_level03_34_bubble_YinBu</t>
  </si>
  <si>
    <t>恭喜将军，眼下城围已解，敌军败局已定！</t>
  </si>
  <si>
    <t>TID_DialogueConf_230023_textList_640939381692_CN_Main</t>
  </si>
  <si>
    <t>Play_voice_campaign_level03_35_bubble_XiangYu</t>
  </si>
  <si>
    <t>哈哈哈哈，从今以后，就是我的天下了！</t>
  </si>
  <si>
    <t>TID_DialogueConf_230024_textList_CN_Main</t>
  </si>
  <si>
    <t>Play_voice_campaign_level03_36_bubble_XiangYu</t>
  </si>
  <si>
    <t>很好，两个补给营地都拿下了，是时候与章汉决一胜负了！</t>
  </si>
  <si>
    <t>TID_DialogueConf_230025_textList_CN_Main</t>
  </si>
  <si>
    <t>Play_voice_campaign_level03_10_bubble_SuJiao</t>
  </si>
  <si>
    <t>TID_DialogueConf_240001_name_CN_Main</t>
  </si>
  <si>
    <t>npc_campaign_half018</t>
  </si>
  <si>
    <t>TID_DialogueConf_240001_textList_CN_Main</t>
  </si>
  <si>
    <t>Play_Voice_campaign_XY_level04_01_chihou</t>
  </si>
  <si>
    <t>刘沛这奸贼，竟然趁大王平乱之际搞偷袭，抢我良田，占我都城！简直无耻至极！</t>
  </si>
  <si>
    <t>TID_DialogueConf_240002_textList_CN_Main</t>
  </si>
  <si>
    <t>Play_Voice_campaign_XY_level04_02_xiangyu</t>
  </si>
  <si>
    <t>宵小之辈罢了！先把我们的粮草良田抢回来，让大家填饱肚子，随后一举击溃他们！</t>
  </si>
  <si>
    <t>TID_DialogueConf_240003_textList_CN_Main</t>
  </si>
  <si>
    <t>Play_Voice_campaign_XY_level04_03_chihou</t>
  </si>
  <si>
    <t>刘沛此人有吞并天下之志，大王不可不防。</t>
  </si>
  <si>
    <t>TID_DialogueConf_240003_textList_95362994060_CN_Main</t>
  </si>
  <si>
    <t>Play_Voice_campaign_XY_level04_04_xiangyu</t>
  </si>
  <si>
    <t>哼！既然这次他自己送上门，那就让他在这里彻底长眠吧！</t>
  </si>
  <si>
    <t>TID_DialogueConf_240004_name_CN_Main</t>
  </si>
  <si>
    <t>TID_DialogueConf_240004_textList_CN_Main</t>
  </si>
  <si>
    <t>Play_Voice_campaign_XY_level04_05_enemy</t>
  </si>
  <si>
    <t>外面有动静！你们几个给我去看看！</t>
  </si>
  <si>
    <t>TID_DialogueConf_240004_textList_963729218342_CN_Main</t>
  </si>
  <si>
    <t>Play_Voice_campaign_XY_level04_06_chihou</t>
  </si>
  <si>
    <t>我们被发现了！敌人要过来了！</t>
  </si>
  <si>
    <t>TID_DialogueConf_240004_textList_884100250883_CN_Main</t>
  </si>
  <si>
    <t>Play_Voice_campaign_XY_level04_07_xiangyu</t>
  </si>
  <si>
    <t>来得好！那就一起收拾了，顺便把营地也夺回来！</t>
  </si>
  <si>
    <t>TID_DialogueConf_240005_textList_CN_Main</t>
  </si>
  <si>
    <t>Play_Voice_campaign_XY_level04_08_chihou</t>
  </si>
  <si>
    <t>大王，我们发现了被关押的友军！</t>
  </si>
  <si>
    <t>TID_DialogueConf_240005_textList_684701075897_CN_Main</t>
  </si>
  <si>
    <t>Play_Voice_campaign_XY_level04_09_xiangyu</t>
  </si>
  <si>
    <t>全部入队！</t>
  </si>
  <si>
    <t>npc_campaign_half019</t>
  </si>
  <si>
    <t>TID_DialogueConf_240006_textList_CN_Main</t>
  </si>
  <si>
    <t>Play_Voice_campaign_XY_level04_10_chihou</t>
  </si>
  <si>
    <t>大王，都城内的敌人开始行动了！</t>
  </si>
  <si>
    <t>TID_DialogueConf_240006_textList_297181996612_CN_Main</t>
  </si>
  <si>
    <t>Play_Voice_campaign_XY_level04_11_chihou</t>
  </si>
  <si>
    <t>我们得赶在他们前面把剩余的良田全部夺回来，断了他们的补给！</t>
  </si>
  <si>
    <t>TID_DialogueConf_240007_textList_CN_Main</t>
  </si>
  <si>
    <t>Play_Voice_campaign_XY_level04_12_chihou</t>
  </si>
  <si>
    <t>这里竟然还藏了一支敌方生力军，大王若是担心，可将这里顺手端掉。</t>
  </si>
  <si>
    <t>TID_DialogueConf_240008_textList_CN_Main</t>
  </si>
  <si>
    <t>Play_Voice_campaign_XY_level04_14_xiangyu</t>
  </si>
  <si>
    <t>那我们兵分三路，拿下良田后，记得在城门口集合！</t>
  </si>
  <si>
    <t>TID_DialogueConf_240008_textList_726821187773_CN_Main</t>
  </si>
  <si>
    <t>Play_Voice_campaign_XY_level04_15_chihou</t>
  </si>
  <si>
    <t>是！</t>
  </si>
  <si>
    <t>TID_DialogueConf_240009_textList_CN_Main</t>
  </si>
  <si>
    <t>Play_Voice_campaign_XY_level04_16_xiangyu</t>
  </si>
  <si>
    <t>全军集合！准备攻城！</t>
  </si>
  <si>
    <t>TID_DialogueConf_240010_textList_CN_Main</t>
  </si>
  <si>
    <t>Play_Voice_campaign_XY_level04_17_chihou</t>
  </si>
  <si>
    <t>大王，刘沛那厮溜了！</t>
  </si>
  <si>
    <t>TID_DialogueConf_240010_textList_519031262781_CN_Main</t>
  </si>
  <si>
    <t>Play_Voice_campaign_XY_level04_18_xiangyu</t>
  </si>
  <si>
    <t>真是油浸泥鳅—滑不留手！由他去吧！</t>
  </si>
  <si>
    <t>TID_DialogueConf_240011_textList_CN_Main</t>
  </si>
  <si>
    <t>Play_Voice_campaign_XY_level04_13_chihou</t>
  </si>
  <si>
    <t>小心驶得万年船，大王英明！</t>
  </si>
  <si>
    <t>TID_DialogueConf_240012_textList_CN_Main</t>
  </si>
  <si>
    <t>Play_Voice_campaign_XY_level04_19_chihou</t>
  </si>
  <si>
    <t>大王！来不及了！敌方主力正在赶来的路上，我们必须撤退！</t>
  </si>
  <si>
    <t>TID_DialogueConf_250001_textList_CN_Main</t>
  </si>
  <si>
    <t>Play_voice_campaign_level05_01_bubble_XiangYu</t>
  </si>
  <si>
    <t>来人！汇报情况！</t>
  </si>
  <si>
    <t>TID_DialogueConf_250002_textList_CN_Main</t>
  </si>
  <si>
    <t>Play_voice_campaign_level05_02_bubble_patrol</t>
  </si>
  <si>
    <t>大王，这里便是敌军的粮仓，所有的粮草都会从这里运向敌军大营。</t>
  </si>
  <si>
    <t>TID_DialogueConf_250003_textList_CN_Main</t>
  </si>
  <si>
    <t>Play_voice_campaign_level05_03_bubble_patrol</t>
  </si>
  <si>
    <t>粮仓与敌军大营皆有重兵把守，不可强攻。</t>
  </si>
  <si>
    <t>TID_DialogueConf_250003_textList_439920407837_CN_Main</t>
  </si>
  <si>
    <t>Play_voice_campaign_level05_04_bubble_patrol</t>
  </si>
  <si>
    <t>只要大王断了他们的运输线，夺了他们的粮草，自可不战而胜！</t>
  </si>
  <si>
    <t>TID_DialogueConf_250004_textList_CN_Main</t>
  </si>
  <si>
    <t>Play_voice_campaign_level05_05_bubble_XiangYu</t>
  </si>
  <si>
    <t>那还等什么？我们上！</t>
  </si>
  <si>
    <t>TID_DialogueConf_250005_textList_CN_Main</t>
  </si>
  <si>
    <t>Play_voice_campaign_level05_06_bubble_patrol</t>
  </si>
  <si>
    <t>大王，粮车已在中间路线出现！请即刻前往阻截。</t>
  </si>
  <si>
    <t>TID_DialogueConf_250005_name_738490450945_CN_Main</t>
  </si>
  <si>
    <t>TID_DialogueConf_250005_textList_724642329514_CN_Main</t>
  </si>
  <si>
    <t>Play_voice_campaign_level05_07_bubble_troop</t>
  </si>
  <si>
    <t>将军正在等着这批粮草，可不能出什么岔子。</t>
  </si>
  <si>
    <t>TID_DialogueConf_250006_textList_CN_Main</t>
  </si>
  <si>
    <t>Play_voice_campaign_level05_08_bubble_XiangYu</t>
  </si>
  <si>
    <t>敌军运粮部队就在前方，都跟我来！</t>
  </si>
  <si>
    <t>TID_DialogueConf_250007_textList_CN_Main</t>
  </si>
  <si>
    <t>Play_voice_campaign_level05_09_bubble_troop</t>
  </si>
  <si>
    <t>大胆！刘将军的粮也敢抢？</t>
  </si>
  <si>
    <t>TID_DialogueConf_250007_textList_886694157191_CN_Main</t>
  </si>
  <si>
    <t>Play_voice_campaign_level05_10_bubble_XiangYu</t>
  </si>
  <si>
    <t>嘿嘿，抢的就是你们！</t>
  </si>
  <si>
    <t>TID_DialogueConf_250008_textList_CN_Main</t>
  </si>
  <si>
    <t>Play_voice_campaign_level05_11_bubble_troop</t>
  </si>
  <si>
    <t>快！快跑！</t>
  </si>
  <si>
    <t>TID_DialogueConf_250008_textList_233621395980_CN_Main</t>
  </si>
  <si>
    <t>Play_voice_campaign_level05_12_bubble_XiangYu</t>
  </si>
  <si>
    <t>拿来吧你！</t>
  </si>
  <si>
    <t>TID_DialogueConf_250009_textList_CN_Main</t>
  </si>
  <si>
    <t>Play_voice_campaign_level05_13_bubble_patrol</t>
  </si>
  <si>
    <t>大王，我们的驰援部队正在与敌军交战！他们需要帮助！</t>
  </si>
  <si>
    <t>TID_DialogueConf_250010_name_CN_Main</t>
  </si>
  <si>
    <t>TID_DialogueConf_250010_textList_CN_Main</t>
  </si>
  <si>
    <t>Play_voice_campaign_level05_14_bubble_allies</t>
  </si>
  <si>
    <t>属下来迟，请大王吩咐！</t>
  </si>
  <si>
    <t>TID_DialogueConf_250010_textList_1044156296494_CN_Main</t>
  </si>
  <si>
    <t>Play_voice_campaign_level05_15_bubble_XiangYu</t>
  </si>
  <si>
    <t>入队！</t>
  </si>
  <si>
    <t>TID_DialogueConf_250010_textList_544248260565_CN_Main</t>
  </si>
  <si>
    <t>Play_voice_campaign_level05_16_bubble_patrol</t>
  </si>
  <si>
    <t>大王有了第二支队伍，阻截粮车必然会事半功倍！</t>
  </si>
  <si>
    <t>TID_DialogueConf_250011_textList_CN_Main</t>
  </si>
  <si>
    <t>Play_voice_campaign_level05_17_bubble_patrol</t>
  </si>
  <si>
    <t>大王，粮车在上方和下方路线同时出现！请兵分两路前往阻截。</t>
  </si>
  <si>
    <t>TID_DialogueConf_250011_textList_668565034724_CN_Main</t>
  </si>
  <si>
    <t>Play_voice_campaign_level05_18_bubble_troop</t>
  </si>
  <si>
    <t>都给我精神点！要是出了一丁点问题，扒了你们的皮！</t>
  </si>
  <si>
    <t>TID_DialogueConf_250012_textList_CN_Main</t>
  </si>
  <si>
    <t>Play_voice_campaign_level05_19_bubble_troop</t>
  </si>
  <si>
    <t>给我上！拦住他们！</t>
  </si>
  <si>
    <t>TID_DialogueConf_250012_textList_61555402642_CN_Main</t>
  </si>
  <si>
    <t>Play_voice_campaign_level05_20_bubble_XiangYu</t>
  </si>
  <si>
    <t>各位！辛苦辛苦，粮草我们就收下了！</t>
  </si>
  <si>
    <t>TID_DialogueConf_250013_textList_CN_Main</t>
  </si>
  <si>
    <t>Play_voice_campaign_level05_21_bubble_patrol</t>
  </si>
  <si>
    <t>大王，新的驰援队伍已经到达战场，他们需要帮助！</t>
  </si>
  <si>
    <t>TID_DialogueConf_250014_textList_CN_Main</t>
  </si>
  <si>
    <t>Play_voice_campaign_level05_22_bubble_allies</t>
  </si>
  <si>
    <t>请大王吩咐！</t>
  </si>
  <si>
    <t>TID_DialogueConf_250014_textList_175034913455_CN_Main</t>
  </si>
  <si>
    <t>Play_voice_campaign_level05_23_bubble_XiangYu</t>
  </si>
  <si>
    <t>都入队！</t>
  </si>
  <si>
    <t>TID_DialogueConf_250021_textList_CN_Main</t>
  </si>
  <si>
    <t>Play_voice_campaign_level05_24_bubble_patrol</t>
  </si>
  <si>
    <t>敌军多次运粮失败，这次必然会丧心病狂全线出击，不得不防。</t>
  </si>
  <si>
    <t>TID_DialogueConf_250021_textList_955303001470_CN_Main</t>
  </si>
  <si>
    <t>Play_voice_campaign_level05_25_bubble_patrol</t>
  </si>
  <si>
    <t>大王有了第三，四支队伍，完全可以在敌军的运粮路线上守株待兔。</t>
  </si>
  <si>
    <t>TID_DialogueConf_250015_textList_CN_Main</t>
  </si>
  <si>
    <t>Play_voice_campaign_level05_26_bubble_patrol</t>
  </si>
  <si>
    <t>果不其然，大王，粮车在三条路线同时出现！请即刻前往阻截。</t>
  </si>
  <si>
    <t>TID_DialogueConf_250015_textList_367467883689_CN_Main</t>
  </si>
  <si>
    <t>Play_voice_campaign_level05_27_bubble_troop</t>
  </si>
  <si>
    <t>再不把粮运过去，将军就要饿肚子了！</t>
  </si>
  <si>
    <t>TID_DialogueConf_250016_textList_CN_Main</t>
  </si>
  <si>
    <t>Play_voice_campaign_level05_28_bubble_XiangYu</t>
  </si>
  <si>
    <t>咦！又有补给，兄弟们真是太客气了！</t>
  </si>
  <si>
    <t>TID_DialogueConf_250016_textList_964092783513_CN_Main</t>
  </si>
  <si>
    <t>Play_voice_campaign_level05_29_bubble_troop</t>
  </si>
  <si>
    <t>怎……怎么又是你们！！阴魂不散！</t>
  </si>
  <si>
    <t>TID_DialogueConf_250018_textList_CN_Main</t>
  </si>
  <si>
    <t>Play_voice_campaign_level05_30_bubble_XiangYu</t>
  </si>
  <si>
    <t>还有没有啊？来多少我要多少！</t>
  </si>
  <si>
    <t>TID_DialogueConf_250018_textList_203385667092_CN_Main</t>
  </si>
  <si>
    <t>Play_voice_campaign_level05_31_bubble_allies</t>
  </si>
  <si>
    <t>我们赢了！</t>
  </si>
  <si>
    <t>TID_DialogueConf_250019_textList_CN_Main</t>
  </si>
  <si>
    <t>Play_voice_campaign_level05_32_bubble_troop</t>
  </si>
  <si>
    <t>有惊无险，还是把粮给送过来了。</t>
  </si>
  <si>
    <t>TID_DialogueConf_250019_textList_682294374498_CN_Main</t>
  </si>
  <si>
    <t>Play_voice_campaign_level05_33_bubble_patrol</t>
  </si>
  <si>
    <t>不妙，一支运粮队伍已经顺利到达敌军大营！大王万万不可掉以轻心。</t>
  </si>
  <si>
    <t>TID_DialogueConf_250020_textList_CN_Main</t>
  </si>
  <si>
    <t>Play_voice_campaign_level05_34_bubble_patrol</t>
  </si>
  <si>
    <t>糟糕！敌军已经有了足够的粮草！我们必须撤退！</t>
  </si>
  <si>
    <t>TID_DialogueConf_260001_name_536053893450_CN_Main</t>
  </si>
  <si>
    <t>npc_campaign_half020</t>
  </si>
  <si>
    <t>TID_DialogueConf_260001_textList_CN_Main</t>
  </si>
  <si>
    <t>Play_voice_campaign_level06_02_bubble_HanXin</t>
  </si>
  <si>
    <t>项楚，睁大眼睛看看周围吧！</t>
  </si>
  <si>
    <t>TID_DialogueConf_260001_textList_646391585912_CN_Main</t>
  </si>
  <si>
    <t>Play_voice_campaign_level06_03_bubble_HanXin</t>
  </si>
  <si>
    <t>如此天罗地网，你逃不掉的！</t>
  </si>
  <si>
    <t>TID_DialogueConf_260002_textList_CN_Main</t>
  </si>
  <si>
    <t>Play_voice_campaign_level06_04_bubble_XiangYu</t>
  </si>
  <si>
    <t>逃？你以为自己在跟谁说话！</t>
  </si>
  <si>
    <t>TID_DialogueConf_260002_textList_837493694599_CN_Main</t>
  </si>
  <si>
    <t>Play_voice_campaign_level06_05_bubble_XiangYu</t>
  </si>
  <si>
    <t>大军分三路前进！两支侧翼部队掩护，剩下的人随我直取中军！</t>
  </si>
  <si>
    <t>TID_DialogueConf_260003_textList_CN_Main</t>
  </si>
  <si>
    <t>Play_voice_campaign_level06_06_bubble_HanXin</t>
  </si>
  <si>
    <t>精彩精彩，唯有你才配的上我这十面埋伏之阵！我在大营，恭候！</t>
  </si>
  <si>
    <t>TID_DialogueConf_260004_textList_CN_Main</t>
  </si>
  <si>
    <t>Play_voice_campaign_level06_07_bubble_XiangYu</t>
  </si>
  <si>
    <t>想跑？给我追！</t>
  </si>
  <si>
    <t>TID_DialogueConf_260005_textList_CN_Main</t>
  </si>
  <si>
    <t>Play_voice_campaign_level06_08_bubble_XiangYu</t>
  </si>
  <si>
    <t>给我滚出来！</t>
  </si>
  <si>
    <t>TID_DialogueConf_260005_textList_711920151298_CN_Main</t>
  </si>
  <si>
    <t>Play_voice_campaign_level06_09_bubble_XiangYu</t>
  </si>
  <si>
    <t>怎么？吓得不敢见人了吗？哈哈哈哈哈！</t>
  </si>
  <si>
    <t>TID_DialogueConf_260006_textList_CN_Main</t>
  </si>
  <si>
    <t>Play_voice_campaign_level06_10_bubble_XiangYu</t>
  </si>
  <si>
    <t>才这么点人！你是在小看我吗？</t>
  </si>
  <si>
    <t>TID_DialogueConf_260007_textList_CN_Main</t>
  </si>
  <si>
    <t>Play_voice_campaign_level06_11_bubble_HanXin</t>
  </si>
  <si>
    <t>无需理会其挑衅，按计划行事，左右合围！</t>
  </si>
  <si>
    <t>TID_DialogueConf_260007_textList_371896663971_CN_Main</t>
  </si>
  <si>
    <t>Play_voice_campaign_level06_12_bubble_XiangYu</t>
  </si>
  <si>
    <t>来得好！总算有点样子了！</t>
  </si>
  <si>
    <t>TID_DialogueConf_260008_textList_CN_Main</t>
  </si>
  <si>
    <t>Play_voice_campaign_level06_13_bubble_XiangYu</t>
  </si>
  <si>
    <t>无趣至极，回营！</t>
  </si>
  <si>
    <t>TID_DialogueConf_260009_textList_CN_Main</t>
  </si>
  <si>
    <t>Play_voice_campaign_level06_14_bubble_HanXin</t>
  </si>
  <si>
    <t>霸王项楚！你的时代结束了！</t>
  </si>
  <si>
    <t>TID_DialogueConf_260009_textList_397610958263_CN_Main</t>
  </si>
  <si>
    <t>Play_voice_campaign_level06_15_bubble_XiangYu</t>
  </si>
  <si>
    <t>就凭你？还有这几个臭鱼烂虾？</t>
  </si>
  <si>
    <t>TID_DialogueConf_260010_textList_CN_Main</t>
  </si>
  <si>
    <t>Play_voice_campaign_level06_16_bubble_HanXin</t>
  </si>
  <si>
    <t>啊！</t>
  </si>
  <si>
    <t>TID_DialogueConf_260010_textList_141026542426_CN_Main</t>
  </si>
  <si>
    <t>Play_voice_campaign_level06_17_bubble_XiangYu</t>
  </si>
  <si>
    <t>我的时代永远不会结束！</t>
  </si>
  <si>
    <t>爬塔</t>
  </si>
  <si>
    <t>爬塔用</t>
  </si>
  <si>
    <t>国内</t>
  </si>
  <si>
    <t>TID_DialogueConf_300001_name_CN_Main</t>
  </si>
  <si>
    <t>TID_DialogueConf_300001_textList_CN_Main</t>
  </si>
  <si>
    <t>10016-解救友军</t>
  </si>
  <si>
    <t>TID_DialogueConf_300002_textList_CN_Main</t>
  </si>
  <si>
    <t>10017-保护投石车</t>
  </si>
  <si>
    <t>TID_DialogueConf_300003_textList_CN_Main</t>
  </si>
  <si>
    <t>10018-潜行关</t>
  </si>
  <si>
    <t>TID_DialogueConf_300004_textList_CN_Main</t>
  </si>
  <si>
    <t>10022-守护友军</t>
  </si>
  <si>
    <t>TID_DialogueConf_300005_textList_CN_Main</t>
  </si>
  <si>
    <t>TID_DialogueConf_300006_textList_CN_Main</t>
  </si>
  <si>
    <t>TID_DialogueConf_300007_textList_CN_Main</t>
  </si>
  <si>
    <t>TID_DialogueConf_300008_textList_CN_Main</t>
  </si>
  <si>
    <t>TID_DialogueConf_300009_textList_CN_Main</t>
  </si>
  <si>
    <t>10014-分割战场</t>
  </si>
  <si>
    <t>TID_DialogueConf_300010_textList_CN_Main</t>
  </si>
  <si>
    <t>10020-三面围攻</t>
  </si>
  <si>
    <t>TID_DialogueConf_300011_textList_CN_Main</t>
  </si>
  <si>
    <t>10015-被包围</t>
  </si>
  <si>
    <t>TID_DialogueConf_300012_textList_CN_Main</t>
  </si>
  <si>
    <t>TID_DialogueConf_300013_textList_CN_Main</t>
  </si>
  <si>
    <t>TID_DialogueConf_300014_textList_CN_Main</t>
  </si>
  <si>
    <t>TID_DialogueConf_300015_textList_CN_Main</t>
  </si>
  <si>
    <t>TID_DialogueConf_300016_textList_CN_Main</t>
  </si>
  <si>
    <t>TID_DialogueConf_300017_textList_CN_Main</t>
  </si>
  <si>
    <t>TID_DialogueConf_300018_textList_CN_Main</t>
  </si>
  <si>
    <t>TID_DialogueConf_300019_textList_CN_Main</t>
  </si>
  <si>
    <t>TID_DialogueConf_300020_textList_CN_Main</t>
  </si>
  <si>
    <t>TID_DialogueConf_300021_textList_CN_Main</t>
  </si>
  <si>
    <t>TID_DialogueConf_300022_textList_CN_Main</t>
  </si>
  <si>
    <t>次日英雄打田</t>
  </si>
  <si>
    <t>npc_campaign_half016</t>
  </si>
  <si>
    <t>TID_DialogueConf_500001_textList_CN_Main</t>
  </si>
  <si>
    <t>Play_voice_battle_helper_gy_01_gy_en</t>
  </si>
  <si>
    <t>呔，武圣来也！</t>
  </si>
  <si>
    <t>TID_DialogueConf_500002_textList_CN_Main</t>
  </si>
  <si>
    <t>Play_voice_battle_helper_gy_02_gy_en</t>
  </si>
  <si>
    <t>插标卖首之徒，安敢如此嚣张！</t>
  </si>
  <si>
    <t>TID_DialogueConf_500003_textList_CN_Main</t>
  </si>
  <si>
    <t>Play_voice_battle_helper_gy_03_gy_en</t>
  </si>
  <si>
    <t>大人，我来帮你！</t>
  </si>
  <si>
    <t>TID_DialogueConf_500004_textList_CN_Main</t>
  </si>
  <si>
    <t>Play_voice_battle_helper_gy_04_gy_en</t>
  </si>
  <si>
    <t>武圣面前耍大刀，狂得很呐！</t>
  </si>
  <si>
    <t>npc_campaign_half015</t>
  </si>
  <si>
    <t>TID_DialogueConf_500011_textList_CN_Main</t>
  </si>
  <si>
    <t>Play_voice_battle_helper_gy_05_gy_en</t>
  </si>
  <si>
    <t>区区小贼，不足为虑。</t>
  </si>
  <si>
    <t>TID_DialogueConf_500012_textList_CN_Main</t>
  </si>
  <si>
    <t>Play_voice_battle_helper_gy_06_gy_en</t>
  </si>
  <si>
    <t>龙刀所向，尽皆披靡。</t>
  </si>
  <si>
    <t>TID_DialogueConf_500013_textList_CN_Main</t>
  </si>
  <si>
    <t>Play_voice_battle_helper_gy_07_gy_en</t>
  </si>
  <si>
    <t>还有谁要来试试我手中的龙刀？</t>
  </si>
  <si>
    <t>TID_DialogueConf_500014_textList_CN_Main</t>
  </si>
  <si>
    <t>Play_voice_battle_helper_gy_08_gy_en</t>
  </si>
  <si>
    <t>此乃正义之以众击寡。</t>
  </si>
  <si>
    <t>打田失败关怀</t>
  </si>
  <si>
    <t>TID_DialogueConf_510001_textList_CN_Main</t>
  </si>
  <si>
    <t>Play_voice_guide_battlefailed_Andrea</t>
  </si>
  <si>
    <t>帝国先贤曾说过：“对于不屈不挠的人来说，永远没有失败。”来吧，领主大人！不要灰心，您可是帝国崩于前而面不改色的人，让我们调整策略，再试一次吧！</t>
  </si>
  <si>
    <t>海外</t>
  </si>
  <si>
    <t>TID_DialogueConf_510002_textList_CN_Main</t>
  </si>
  <si>
    <t>Play_voice_resource_battle_failed_andrea_en</t>
  </si>
  <si>
    <t>来吧，领主大人！不要灰心，您可是帝国崩于前而面不改色的人，让我们调整策略，再试一次吧！</t>
  </si>
  <si>
    <t>调整策略</t>
  </si>
  <si>
    <t>NPC补集结</t>
  </si>
  <si>
    <t>TID_DialogueConf_600001_name_CN_Main</t>
  </si>
  <si>
    <t>npc_campaign_half017</t>
  </si>
  <si>
    <t>TID_DialogueConf_600001_textList_CN_Main</t>
  </si>
  <si>
    <t>Play_Voice_NPC_Jijie</t>
  </si>
  <si>
    <t>援军已经在路上了，兄弟们坚持守住！</t>
  </si>
  <si>
    <t>安德莉娅的指引兵种与风格标签</t>
  </si>
  <si>
    <t>TID_DialogueConf_710001_textList_CN_Main</t>
  </si>
  <si>
    <t>Play_Voice_guideS2_1_Andrea</t>
  </si>
  <si>
    <t>不行哦大人，英雄的战斗风格和兵种特性没有完全统一，就这样出征对阵强敌的话……是没有办法发挥出最大实力的。</t>
  </si>
  <si>
    <t>战斗风格</t>
  </si>
  <si>
    <t>兵种特性</t>
  </si>
  <si>
    <t>安德莉娅的指引 占领5级田练度指引</t>
  </si>
  <si>
    <t>TID_DialogueConf_710002_textList_CN_Main</t>
  </si>
  <si>
    <t>Play_Voice_guideS2_2_Andrea</t>
  </si>
  <si>
    <t>大人，对英雄而言，除了自身的等级，技能等级、天赋和基础属性同样也会极大影响他们的实力。进行有难度的挑战前，请您一定要做好万全的准备，让英雄达到目前最好的状态。</t>
  </si>
  <si>
    <t>要想部队实力变强，就需要将队伍里的所有英雄的技能，天赋和基础属性都进行一定程度的提高。特别是在对阵强敌前，需要好好检查自己队伍里英雄成长状况哦，请让他们以当前最强的状态出击！</t>
  </si>
  <si>
    <t>自身的等级</t>
  </si>
  <si>
    <t>技能等级</t>
  </si>
  <si>
    <t>天赋和基础属性</t>
  </si>
  <si>
    <t>安德莉娅的指引 英雄高等级带低等级练级指引</t>
  </si>
  <si>
    <t>TID_DialogueConf_710003_textList_CN_Main</t>
  </si>
  <si>
    <t>Play_Voice_guideS2_3_Andrea</t>
  </si>
  <si>
    <t>又一位新英雄加入，恭喜大人……您怎么了？唔，是在为新英雄的等级过低而烦恼吗？不如让高等级英雄带领新英雄攻打高级蛮族试试，这样可以让新英雄成长得更快呢。</t>
  </si>
  <si>
    <t>等级过低</t>
  </si>
  <si>
    <t>高等级英雄带领新英雄</t>
  </si>
  <si>
    <t>安德莉娅的指引 前期翻木材指引</t>
  </si>
  <si>
    <t>TID_DialogueConf_710004_textList_CN_Main</t>
  </si>
  <si>
    <t>Play_Voice_guideS2_4_Andrea</t>
  </si>
  <si>
    <t>大人，资源是领地快速发展不可或缺的一环，在我们当前的阶段，木材更是不可或缺。但木材只有木材资源点才能产出……去占领更多木材资源点吧，这样我们的发展才会更快。</t>
  </si>
  <si>
    <t>木材</t>
  </si>
  <si>
    <t>只有</t>
  </si>
  <si>
    <t>产出</t>
  </si>
  <si>
    <t>安德莉娅的指引 中期翻石头</t>
  </si>
  <si>
    <t>TID_DialogueConf_710005_textList_CN_Main</t>
  </si>
  <si>
    <t>Play_Voice_guideS2_5_Andrea</t>
  </si>
  <si>
    <t>正如之前所说，大人，我们必须时刻关注我们的资源产出，但是在这一阶段，石头会更加重要哦。关注并占领更多的石头资源点吧，把发展效率提升起来。</t>
  </si>
  <si>
    <t>石头</t>
  </si>
  <si>
    <t>石头资源点</t>
  </si>
  <si>
    <t>发展效率</t>
  </si>
  <si>
    <t>安德莉娅的指引 士兵等级</t>
  </si>
  <si>
    <t>TID_DialogueConf_710006_textList_CN_Main</t>
  </si>
  <si>
    <t>Play_voice_guide_01_Andrea_S2_0603</t>
  </si>
  <si>
    <t>士兵的训练不仅包括数量，还包括等级，这关乎士兵的战斗力和整体素质。高级兵种组成的军队会更加强大，大人千万别忘了及时升级兵营。</t>
  </si>
  <si>
    <t>等级</t>
  </si>
  <si>
    <t>战斗力</t>
  </si>
  <si>
    <t>安德莉娅的指引 造兵</t>
  </si>
  <si>
    <t>TID_DialogueConf_710007_textList_CN_Main</t>
  </si>
  <si>
    <t>Play_voice_guide_02_Andrea_S2_0603</t>
  </si>
  <si>
    <t>兴兵打仗不是一个人两个人的事，是千千万万人的事，人越多，自身的实力也就越强。大人出征时切记仔细核验，兵员满编后行军胜算才会更高。</t>
  </si>
  <si>
    <t>兵员满编</t>
  </si>
  <si>
    <t>安德莉娅的指引 两种兵发展</t>
  </si>
  <si>
    <t>TID_DialogueConf_710008_textList_CN_Main</t>
  </si>
  <si>
    <t>Play_voice_guide_03_Andrea_S2_0603</t>
  </si>
  <si>
    <t>兵法有说过，兵贵精而不贵多。如今我看大人的食物也较为紧缺，为了避免被拖垮，我们还是优先集中发展两支队伍，这样才是上策。</t>
  </si>
  <si>
    <t>食物也较为紧缺</t>
  </si>
  <si>
    <t>集中发展两支</t>
  </si>
  <si>
    <t>安德莉娅的指引 翻肉地</t>
  </si>
  <si>
    <t>TID_DialogueConf_710009_textList_CN_Main</t>
  </si>
  <si>
    <t>Play_voice_guide_04_Andrea_S2_0603</t>
  </si>
  <si>
    <t>目前帝国的局势愈发动荡，大人手下也可以招募更多的兵员……但这一切都需要依靠充足的粮食，还请大人多关注并占领一些食物资源点，努力壮大我们的队伍，这样才能在乱世中博得一席之地。</t>
  </si>
  <si>
    <t>充足的粮食</t>
  </si>
  <si>
    <t>食物资源点</t>
  </si>
  <si>
    <t>安德莉娅的指引 迁城</t>
  </si>
  <si>
    <t>TID_DialogueConf_710010_textList_CN_Main</t>
  </si>
  <si>
    <t>Play_voice_guide_05_Andrea_S2_0603</t>
  </si>
  <si>
    <t>大人找不到新的合适资源点了吗？我听说东洲有句古话叫作登高而望远，拉高视野可以在地图上找到更多的选择。资源点的等级和城市的等级成正比，大人不妨迁城至高级城附近再试试搜索。</t>
  </si>
  <si>
    <t>拉高视野</t>
  </si>
  <si>
    <t>资源点的等级和城市的等级成正比</t>
  </si>
  <si>
    <t>安德莉娅的指引 单队打野</t>
  </si>
  <si>
    <t>TID_DialogueConf_710011_textList_CN_Main</t>
  </si>
  <si>
    <t>Play_voice_guide_06_Andrea_S2_0603</t>
  </si>
  <si>
    <t>我记得兵法里说，靡费巨资强启收益不多的战斗，即使胜利了也算作失败。多队同时进攻一支蛮族就是如此，这样会导致经验被分薄，每份体力获得的收益会大大减少，不如只用一队去打等级较低的蛮族哦。</t>
  </si>
  <si>
    <t>经验被分薄</t>
  </si>
  <si>
    <t>等级较低</t>
  </si>
  <si>
    <t>安德莉娅的指引 技能点</t>
  </si>
  <si>
    <t>TID_DialogueConf_710012_textList_CN_Main</t>
  </si>
  <si>
    <t>Play_voice_guide_07_Andrea_S2_0603</t>
  </si>
  <si>
    <t>我刚刚清点了一下库存，看到有许多闲置的技能点，您是留着另有用处，还是说……单纯是忘了？高等级的英雄技能可以带来极大的战力提升，大人千万记得要及时升级。</t>
  </si>
  <si>
    <t>闲置的</t>
  </si>
  <si>
    <t>高等级</t>
  </si>
  <si>
    <t>及时升级</t>
  </si>
  <si>
    <t>安德莉娅的指引 铜币</t>
  </si>
  <si>
    <t>TID_DialogueConf_710013_textList_CN_Main</t>
  </si>
  <si>
    <t>Play_voice_guide_08_Andrea_S2_0603</t>
  </si>
  <si>
    <t>领地钱库里的铜币已经堆积成山了……大人，虽然储蓄是个好习惯，但铜币只有被使用才会有价值哦。若是用它来进行精锐招募，可以获得更多的技能点，想必大人的实力也能得到极大提升吧？</t>
  </si>
  <si>
    <t>堆积成山</t>
  </si>
  <si>
    <t>精锐招募</t>
  </si>
  <si>
    <t>技能点</t>
  </si>
  <si>
    <t>Play_voice_andrea_tips_01_andrea_en</t>
  </si>
  <si>
    <t>TID_DialogueConf_710102_textList_CN_Main</t>
  </si>
  <si>
    <t>Play_voice_andrea_tips_02_andrea_en</t>
  </si>
  <si>
    <t>大人，对英雄而言，除了自身等级，技能等级、天赋和基础属性同样也会极大影响他们的实力。进行有难度的挑战前，请您一定让英雄达到目前最好的状态。</t>
  </si>
  <si>
    <t>自身等级</t>
  </si>
  <si>
    <t>TID_DialogueConf_710103_textList_CN_Main</t>
  </si>
  <si>
    <t>Play_voice_andrea_tips_03_andrea_en</t>
  </si>
  <si>
    <t>又一位新英雄加入，恭喜大人……不如让高等级英雄带领新英雄攻打高级蛮族试试，这样可以让新英雄成长得更快呢。</t>
  </si>
  <si>
    <t>TID_DialogueConf_710104_textList_CN_Main</t>
  </si>
  <si>
    <t>Play_voice_andrea_tips_04_andrea_en</t>
  </si>
  <si>
    <t>大人，在我们当前的阶段，木材更是不可或缺……去占领更多木材资源点吧，这样我们的发展才会更快。</t>
  </si>
  <si>
    <t>占领更多木材资源点</t>
  </si>
  <si>
    <t>TID_DialogueConf_710105_textList_CN_Main</t>
  </si>
  <si>
    <t>Play_voice_andrea_tips_05_andrea_en</t>
  </si>
  <si>
    <t>大人，在这一阶段，石头会更加重要哦，关注并占领更多石头资源点吧，把发展效率提升起来。</t>
  </si>
  <si>
    <t>占领更多石头资源点</t>
  </si>
  <si>
    <t>TID_DialogueConf_710106_textList_CN_Main</t>
  </si>
  <si>
    <t>Play_voice_andrea_tips_06_andrea_en</t>
  </si>
  <si>
    <t>士兵的训练不仅包括数量，还包括等级，高级兵种组成的军队会更加强大，大人千万别忘了及时升级兵营。</t>
  </si>
  <si>
    <t>及时升级兵营</t>
  </si>
  <si>
    <t>TID_DialogueConf_710107_textList_CN_Main</t>
  </si>
  <si>
    <t>Play_voice_andrea_tips_07_andrea_en</t>
  </si>
  <si>
    <t>人越多，自身的实力也就越强，大人出征时切记仔细核验，满编后出征胜算才会更高。</t>
  </si>
  <si>
    <t>满编后出征</t>
  </si>
  <si>
    <t>TID_DialogueConf_710108_textList_CN_Main</t>
  </si>
  <si>
    <t>Play_voice_andrea_tips_08_andrea_en</t>
  </si>
  <si>
    <t>如今我看大人的食物也较为紧缺，我们还是优先集中发展两支部队，这样才是上策。</t>
  </si>
  <si>
    <t>集中发展两支部队</t>
  </si>
  <si>
    <t>TID_DialogueConf_710109_textList_CN_Main</t>
  </si>
  <si>
    <t>Play_voice_andrea_tips_09_andrea_en</t>
  </si>
  <si>
    <t>训练士兵需要依靠充足的粮食，还请大人多关注并占领一些食物资源点，努力壮大我们的队伍。</t>
  </si>
  <si>
    <t>TID_DialogueConf_710110_textList_CN_Main</t>
  </si>
  <si>
    <t>Play_voice_andrea_tips_10_andrea_en</t>
  </si>
  <si>
    <t>大人找不到新的合适资源点了吗？高级城市拥有高级资源点，大人不妨迁城至高级城附近再试试搜索。</t>
  </si>
  <si>
    <t>高级城市拥有高级资源点</t>
  </si>
  <si>
    <t>迁城至高级城</t>
  </si>
  <si>
    <t>TID_DialogueConf_710111_textList_CN_Main</t>
  </si>
  <si>
    <t>Play_voice_andrea_tips_11_andrea_en</t>
  </si>
  <si>
    <t>多队同时进攻蛮族，这样会导致经验被分薄，每份体力获得的收益会大大减少，不如只用一队去打等级较低的蛮族哦。</t>
  </si>
  <si>
    <t>多队同时进攻蛮族</t>
  </si>
  <si>
    <t>TID_DialogueConf_710112_textList_CN_Main</t>
  </si>
  <si>
    <t>Play_voice_andrea_tips_12_andrea_en</t>
  </si>
  <si>
    <t>我刚刚清点了一下库存，看到有许多闲置技能点，高等级的英雄技能可以带来极大的战力提升，大人千万记得要及时升级。</t>
  </si>
  <si>
    <t>闲置技能点</t>
  </si>
  <si>
    <t>英雄技能</t>
  </si>
  <si>
    <t>TID_DialogueConf_710113_textList_CN_Main</t>
  </si>
  <si>
    <t>Play_voice_andrea_tips_13_andrea_en</t>
  </si>
  <si>
    <t>铜币只有被使用才会有价值哦，若是用它来进行精锐招募，可以获得更多技能点，想必大人的实力也能得到极大提升吧？</t>
  </si>
  <si>
    <t>获得更多技能点</t>
  </si>
  <si>
    <t>挑衅蛮族气泡</t>
  </si>
  <si>
    <t>TID_DialogueConf_800001_name_CN_Main</t>
  </si>
  <si>
    <t>npc_campaign_half023</t>
  </si>
  <si>
    <t>TID_DialogueConf_800001_textList_CN_Main</t>
  </si>
  <si>
    <t>帝国人？你是指那些胆小如鼠之辈吗？</t>
  </si>
  <si>
    <t>npc_campaign_half024</t>
  </si>
  <si>
    <t>TID_DialogueConf_800002_textList_CN_Main</t>
  </si>
  <si>
    <t>哟，这舞刀弄枪的小样子还挺像模像样的哈哈哈。</t>
  </si>
  <si>
    <t>npc_campaign_half022</t>
  </si>
  <si>
    <t>TID_DialogueConf_800003_textList_CN_Main</t>
  </si>
  <si>
    <t>什么领主还有英雄？不过都是些吹出来的懦夫。</t>
  </si>
  <si>
    <t>npc_campaign_half025</t>
  </si>
  <si>
    <t>TID_DialogueConf_800004_textList_CN_Main</t>
  </si>
  <si>
    <t>帝国的小老鼠，就这点实力可远远不够格！</t>
  </si>
  <si>
    <t>TID_DialogueConf_800005_textList_CN_Main</t>
  </si>
  <si>
    <t>有意思，什么阿猫阿狗都敢来找我的麻烦了？</t>
  </si>
  <si>
    <t>TID_DialogueConf_2055001_textList_CN_Main</t>
  </si>
  <si>
    <t>stand_chat|2|1</t>
  </si>
  <si>
    <t>0|0|0|45</t>
  </si>
  <si>
    <t>0|0|0|12|1|BackLastPos</t>
  </si>
  <si>
    <t>大人，探子在校场附近发现了蛮族的踪迹，他们的势力竟然也渗透到了这里！</t>
  </si>
  <si>
    <t>校场附近</t>
  </si>
  <si>
    <t>3|0|3|90</t>
  </si>
  <si>
    <t>3|0|3|12|1||Fade|2</t>
  </si>
  <si>
    <t>新手Part1</t>
  </si>
  <si>
    <t>海外cbt3</t>
  </si>
  <si>
    <t>TID_DialogueConf_1060001_name_CN_Main</t>
  </si>
  <si>
    <t>icon_newbie.smash</t>
  </si>
  <si>
    <t>TID_DialogueConf_1060001_textList_CN_Main</t>
  </si>
  <si>
    <t>Play_VO_Tutorial_CH00_01_Deputy_EN</t>
  </si>
  <si>
    <t>这次交涉只带着凯恩和肖恩吗？公主殿下，作为我们的领袖，您不应将自己置于险境。</t>
  </si>
  <si>
    <t>TID_DialogueConf_1060001_name_337966742914_CN_Main</t>
  </si>
  <si>
    <t>TID_DialogueConf_1060001_textList_1009465413397_CN_Main</t>
  </si>
  <si>
    <t>Play_VO_Tutorial_CH00_02_Andrea_EN</t>
  </si>
  <si>
    <t>没有绝对安全的地方，还有现在你是副官，不是我的亲卫，更应该以我们此行的任务为重。再说，这已经是我们一半的人手了。</t>
  </si>
  <si>
    <t>此行的任务</t>
  </si>
  <si>
    <t>TID_DialogueConf_1060001_textList_1090856519622_CN_Main</t>
  </si>
  <si>
    <t>Play_VO_Tutorial_CH00_03_Deputy_EN</t>
  </si>
  <si>
    <t>遵命，殿下。</t>
  </si>
  <si>
    <t>TID_DialogueConf_1060003_textList_CN_Main</t>
  </si>
  <si>
    <t>Play_VO_Tutorial_CH01_01_Andrea_EN</t>
  </si>
  <si>
    <t>情报说这里很安全？怎么地上还有死尸？</t>
  </si>
  <si>
    <t>死尸</t>
  </si>
  <si>
    <t>TID_DialogueConf_1060003_textList_478689942327_CN_Main</t>
  </si>
  <si>
    <t>Play_VO_Tutorial_CH01_02_Deputy_EN</t>
  </si>
  <si>
    <t>殿下，要不要现在召集士兵？虽然我们只剩几个人，但至少——</t>
  </si>
  <si>
    <t>召集士兵</t>
  </si>
  <si>
    <t>TID_DialogueConf_1060003_textList_423570232401_CN_Main</t>
  </si>
  <si>
    <t>Play_VO_Tutorial_CH01_03_Andrea_EN</t>
  </si>
  <si>
    <t>先等等，看看情况再说。</t>
  </si>
  <si>
    <t>TID_DialogueConf_1060004_textList_CN_Main</t>
  </si>
  <si>
    <t>Play_VO_Tutorial_CH01_04_Deputy_EN</t>
  </si>
  <si>
    <t>警戒！有野兽！</t>
  </si>
  <si>
    <t>TID_DialogueConf_1060005_textList_CN_Main</t>
  </si>
  <si>
    <t>Play_VO_Turtorial_p0_00_Deputy_EN</t>
  </si>
  <si>
    <t>殿下，小心！</t>
  </si>
  <si>
    <t>TID_DialogueConf_1060006_textList_CN_Main</t>
  </si>
  <si>
    <t>Play_VO_Tutorial_CH01_06_Deputy_EN</t>
  </si>
  <si>
    <t>公主殿下，凯恩他已经……他还只是个孩子。</t>
  </si>
  <si>
    <t>TID_DialogueConf_1060006_textList_835642213095_CN_Main</t>
  </si>
  <si>
    <t>Play_VO_Tutorial_CH01_07_Andrea_EN</t>
  </si>
  <si>
    <t>在战争中幸存，却死在了这里......就只剩我们三个人了，大家小心行事</t>
  </si>
  <si>
    <t>TID_DialogueConf_1060006_textList_288682741337_CN_Main</t>
  </si>
  <si>
    <t>Play_VO_Tutorial_CH01_08_Deputy_EN</t>
  </si>
  <si>
    <t>那些尸体，好像是当地的官员。</t>
  </si>
  <si>
    <t>尸体</t>
  </si>
  <si>
    <t>官员</t>
  </si>
  <si>
    <t>TID_DialogueConf_1060006_textList_857908520868_CN_Main</t>
  </si>
  <si>
    <t>Play_VO_Tutorial_CH01_09_Andrea_EN</t>
  </si>
  <si>
    <t>这些当地的朋友看来已经没法跟我们谈判了，先走吧。</t>
  </si>
  <si>
    <t>TID_DialogueConf_1060007_textList_CN_Main</t>
  </si>
  <si>
    <t>Play_VO_Tutorial_CH02_01_Deputy_EN</t>
  </si>
  <si>
    <t>根据斥候的报告，这里再往前走就是民居，但怎么到现在一个人都没看到。</t>
  </si>
  <si>
    <t>民居</t>
  </si>
  <si>
    <t>TID_DialogueConf_1060007_textList_572766985210_CN_Main</t>
  </si>
  <si>
    <t>Play_VO_Tutorial_CH02_02_Andrea_EN</t>
  </si>
  <si>
    <t>四周有行军的痕迹，小心点，在狼群到来之前，这里恐怕已经有了其他不速之客。</t>
  </si>
  <si>
    <t>其他不速之客</t>
  </si>
  <si>
    <t>TID_DialogueConf_1060008_textList_CN_Main_1</t>
  </si>
  <si>
    <t>虽然有点破，但这栋居民房舍暂时也还能落脚。</t>
  </si>
  <si>
    <t>Play_VO_Tutorial_CH02_03_Andrea_EN</t>
  </si>
  <si>
    <t>居民房舍竟然被弄成这个样子......</t>
  </si>
  <si>
    <t>TID_DialogueConf_1060008_textList_CN_Main_2</t>
  </si>
  <si>
    <t>殿下，只要用周边散落的木材修复一下，它很快就能焕然一新。</t>
  </si>
  <si>
    <t>Play_VO_Tutorial_CH02_04_Deputy_EN</t>
  </si>
  <si>
    <t>殿下，我想我们可以先用周边散落的木材修复一下它。</t>
  </si>
  <si>
    <t>周边散落的木材</t>
  </si>
  <si>
    <t>TID_DialogueConf_1060009_textList_CN_Main</t>
  </si>
  <si>
    <t>Play_VO_Tutorial_CH02_05_Andrea_EN</t>
  </si>
  <si>
    <t>（我当上公主的时候可没想过会有亲自捡垃圾的一天）</t>
  </si>
  <si>
    <t>TID_DialogueConf_1060010_textList_CN_Main</t>
  </si>
  <si>
    <t>Play_VO_Tutorial_CH02_06_Deputy_EN</t>
  </si>
  <si>
    <t>木材够了，通知我们的村民，现在开始修复房舍！</t>
  </si>
  <si>
    <t>修复房舍</t>
  </si>
  <si>
    <t>TID_DialogueConf_1060011_textList_CN_Main</t>
  </si>
  <si>
    <t>Play_VO_Tutorial_CH02_07_Deputy_EN</t>
  </si>
  <si>
    <t>居民房舍已经建好，殿下，我们可以训练更多的村民了。</t>
  </si>
  <si>
    <t>训练更多的村民</t>
  </si>
  <si>
    <t>TID_DialogueConf_1060011_textList_814453363392_CN_Main</t>
  </si>
  <si>
    <t>Play_VO_Tutorial_CH02_08_Deputy_EN</t>
  </si>
  <si>
    <t>还有，村民们刚刚发现了一些……我认为您有必要亲自看看。</t>
  </si>
  <si>
    <t>TID_DialogueConf_1060012_textList_CN_Main</t>
  </si>
  <si>
    <t>Play_VO_Tutorial_CH03_01_Andrea_EN</t>
  </si>
  <si>
    <t>死者的服饰是当地的居民，从现场来看，他们似乎在被人追杀。</t>
  </si>
  <si>
    <t>TID_DialogueConf_1060012_textList_673241112091_CN_Main</t>
  </si>
  <si>
    <t>Play_VO_Tutorial_CH03_02_Deputy_EN</t>
  </si>
  <si>
    <t>殿下，前面的两条岔路都有战斗痕迹！</t>
  </si>
  <si>
    <t>两条岔路</t>
  </si>
  <si>
    <t>TID_DialogueConf_1060607_name_CN_Main</t>
  </si>
  <si>
    <t>TID_DialogueConf_1060013_textList_CN_Main</t>
  </si>
  <si>
    <t>Play_VO_Tutorial_CH03_03_Urdin_EN</t>
  </si>
  <si>
    <t>没想到这种地方还能碰上这么可爱的小羊羔，正巧我还没玩够。</t>
  </si>
  <si>
    <t>TID_DialogueConf_1060013_textList_377797599366_CN_Main</t>
  </si>
  <si>
    <t>Play_VO_Tutorial_CH03_04_Urdin_EN</t>
  </si>
  <si>
    <t>你的手感……嘿嘿，一定比那些村妇好多了。</t>
  </si>
  <si>
    <t>TID_DialogueConf_1060014_textList_CN_Main</t>
  </si>
  <si>
    <t>Play_VO_Tutorial_CH03_05_Andrea_EN</t>
  </si>
  <si>
    <t>野蛮人，我会砍下你的脑袋献给逝者，并把你那张嘴彻底堵上！</t>
  </si>
  <si>
    <t>TID_DialogueConf_1060014_textList_1048197218045_CN_Main</t>
  </si>
  <si>
    <t>Play_VO_Tutorial_CH03_06_Deputy_EN</t>
  </si>
  <si>
    <t>集合！保护公主！</t>
  </si>
  <si>
    <t>TID_DialogueConf_1060015_textList_CN_Main</t>
  </si>
  <si>
    <t>Play_VO_Tutorial_CH03_08_Urdin_EN</t>
  </si>
  <si>
    <t>你要是杀了我，我老大血手阿提卡就会带领我们上百名的勇士，把你们都践踏成灰！</t>
  </si>
  <si>
    <t>血手阿提卡</t>
  </si>
  <si>
    <t>TID_DialogueConf_1060015_textList_38021682362_CN_Main</t>
  </si>
  <si>
    <t>Play_VO_Tutorial_CH03_09_Urdin_EN</t>
  </si>
  <si>
    <t>他就驻扎在上方的城镇中心，快点放了我，你们想死吗？！</t>
  </si>
  <si>
    <t>上方的城镇中心</t>
  </si>
  <si>
    <t>TID_DialogueConf_1060609_textList_CN_Main</t>
  </si>
  <si>
    <t>Play_VO_Tutorial_CH03_10_Andrea_EN</t>
  </si>
  <si>
    <t>记得吗？我之前说过，会把你的头颅献给那些死去的人民。</t>
  </si>
  <si>
    <t>TID_DialogueConf_1060609_textList_417677113663_CN_Main</t>
  </si>
  <si>
    <t>Play_VO_Tutorial_CH03_11_Urdin_EN</t>
  </si>
  <si>
    <t>不……不……你不会——</t>
  </si>
  <si>
    <t>TID_DialogueConf_1060018_textList_CN_Main</t>
  </si>
  <si>
    <t>Play_VO_Tutorial_CH03_12_Andrea_EN</t>
  </si>
  <si>
    <t>遵守诺言，是贵族的美德</t>
  </si>
  <si>
    <t>TID_DialogueConf_1060610_textList_CN_Main</t>
  </si>
  <si>
    <t>Play_VO_Tutorial_CH03_13_Andrea_EN</t>
  </si>
  <si>
    <t>我不会让自己沦为和你一样的野兽，滚吧，在我还没有改变主意之前。</t>
  </si>
  <si>
    <t>TID_DialogueConf_1060020_textList_CN_Main</t>
  </si>
  <si>
    <t>Play_VO_Tutorial_CH03_14_Deputy_EN</t>
  </si>
  <si>
    <t>殿下是仁慈的，但，我也有我应尽的职责。</t>
  </si>
  <si>
    <t>TID_DialogueConf_1060021_textList_CN_Main</t>
  </si>
  <si>
    <t>Play_VO_Tutorial_CH03_15_Andrea_EN</t>
  </si>
  <si>
    <t>副官？</t>
  </si>
  <si>
    <t>TID_DialogueConf_1060610_textList_584683633688_CN_Main</t>
  </si>
  <si>
    <t>Play_VO_Tutorial_CH03_16_Deputy_EN</t>
  </si>
  <si>
    <t>誓死捍卫公主的名誉，这就是我的使命。</t>
  </si>
  <si>
    <t>TID_DialogueConf_1060023_textList_CN_Main</t>
  </si>
  <si>
    <t>Play_VO_Tutorial_CH04_01_Andrea_EN</t>
  </si>
  <si>
    <t>我们的人太少了，接下来还有场硬仗，我们还得做充足准备</t>
  </si>
  <si>
    <t>TID_DialogueConf_1060023_textList_103832035154_CN_Main</t>
  </si>
  <si>
    <t>Play_VO_Tutorial_CH04_02_Deputy_EN</t>
  </si>
  <si>
    <t>殿下，您看前方有个废弃建筑，我们可以把它改造成剑士营来训练士兵</t>
  </si>
  <si>
    <t>废弃建筑</t>
  </si>
  <si>
    <t>改造成剑士营</t>
  </si>
  <si>
    <t>TID_DialogueConf_1060024_textList_CN_Main</t>
  </si>
  <si>
    <t>Play_VO_Tutorial_CH05_01_Deputy_EN</t>
  </si>
  <si>
    <t>报告殿下，剑士营改造完毕，但我们食物不够训练士兵了。</t>
  </si>
  <si>
    <t>剑士营</t>
  </si>
  <si>
    <t>食物不够训练士兵</t>
  </si>
  <si>
    <t>TID_DialogueConf_1060024_textList_743489374561_CN_Main</t>
  </si>
  <si>
    <t>Play_VO_Tutorial_CH05_02_Andrea_EN</t>
  </si>
  <si>
    <t>所以？站在原地是指望敌人把粮食送到你嘴里吗？向周围的动物借一些肉吧，它们会理解的。</t>
  </si>
  <si>
    <t>TID_DialogueConf_1060024_textList_233913561687_CN_Main</t>
  </si>
  <si>
    <t>Play_VO_Tutorial_CH05_03_Deputy_EN</t>
  </si>
  <si>
    <t>您只需点击动物或者动物尸体，即可派遣农民前往狩猎，获取食物。</t>
  </si>
  <si>
    <t>点击动物或者动物尸体</t>
  </si>
  <si>
    <t>TID_DialogueConf_1060025_textList_CN_Main</t>
  </si>
  <si>
    <t>Play_VO_Tutorial_CH05_04_Deputy_EN</t>
  </si>
  <si>
    <t>殿下，现在食物足够了，您可以点击右下角的头像立即训练剑士。</t>
  </si>
  <si>
    <t>点击右下角的头像</t>
  </si>
  <si>
    <t>TID_DialogueConf_1060026_textList_CN_Main</t>
  </si>
  <si>
    <t>Play_VO_Tutorial_CH05_05_Deputy_EN</t>
  </si>
  <si>
    <t>殿下，村民们已经找到了修复玺戒的方法。</t>
  </si>
  <si>
    <t>修复玺戒</t>
  </si>
  <si>
    <t>TID_DialogueConf_1060026_textList_179743367226_CN_Main</t>
  </si>
  <si>
    <t>Play_VO_Tutorial_CH05_06_Andrea_EN</t>
  </si>
  <si>
    <t>消息不错，有了它赋予的法理，我就可以在战斗中释放我的主将技了。</t>
  </si>
  <si>
    <t>主将技</t>
  </si>
  <si>
    <t>TID_DialogueConf_1060027_textList_CN_Main</t>
  </si>
  <si>
    <t>Play_VO_Tutorial_CH05_07_Deputy_EN</t>
  </si>
  <si>
    <t>我们的军队已经集结完毕，请您下令吧，殿下！</t>
  </si>
  <si>
    <t>集结完毕</t>
  </si>
  <si>
    <t>TID_DialogueConf_1060027_textList_890852174555_CN_Main</t>
  </si>
  <si>
    <t>Play_VO_Tutorial_CH05_08_Andrea_EN</t>
  </si>
  <si>
    <t>以帝国公主之名！出发吧！击败城里的蛮族，把他们彻底赶出去！</t>
  </si>
  <si>
    <t>新手Part1-成功拆除箭塔</t>
  </si>
  <si>
    <t>TID_DialogueConf_1060601_textList_CN_Main</t>
  </si>
  <si>
    <t>做得好！我们已经拔掉了敌人的獠牙！副官，做好准备，正面应战！</t>
  </si>
  <si>
    <t>TID_DialogueConf_1060601_textList_1022022314161_CN_Main</t>
  </si>
  <si>
    <t>遵命，公主殿下！</t>
  </si>
  <si>
    <t>新手Part1-阿提卡叫嚣</t>
  </si>
  <si>
    <t>TID_DialogueConf_1060620_name_CN_Main</t>
  </si>
  <si>
    <t>TID_DialogueConf_1060602_textList_CN_Main</t>
  </si>
  <si>
    <t>Play_VO_Tutorial_CH06_10_Atika_EN</t>
  </si>
  <si>
    <t>亡国的鬼魂竟然也敢走到阳光之下，但作为公主，你应该有许多帝国的财宝，只要你能交出来，我不介意放你一条活路。</t>
  </si>
  <si>
    <t>TID_DialogueConf_1060602_textList_857929299162_CN_Main</t>
  </si>
  <si>
    <t>Play_VO_Tutorial_CH06_11_Atika_EN</t>
  </si>
  <si>
    <t>阿提卡，对一个将死之人来说，财宝可都是身外之物？</t>
  </si>
  <si>
    <t>TID_DialogueConf_1060602_textList_759194434354_CN_Main</t>
  </si>
  <si>
    <t>帝国公主，钢铁蔷薇安德莉亚，我听说过你的名号！你的头颅，将成为我最名贵的收藏！</t>
  </si>
  <si>
    <t>钢铁蔷薇安德莉亚</t>
  </si>
  <si>
    <t>新手Part1-阿提卡放技能吹比</t>
  </si>
  <si>
    <t>TID_DialogueConf_1060603_textList_CN_Main</t>
  </si>
  <si>
    <t>我的勇士可不是你们懦弱的帝国军队，他们会战斗到最后一人！</t>
  </si>
  <si>
    <t>TID_DialogueConf_1060604_textList_CN_Main</t>
  </si>
  <si>
    <t>Play_VO_Tutorial_CH06_14_Atika_EN</t>
  </si>
  <si>
    <t>不愧是镇守君临的钢铁蔷薇，安德莉亚，我承认你作为我对手的资格！</t>
  </si>
  <si>
    <t>钢铁蔷薇</t>
  </si>
  <si>
    <t>TID_DialogueConf_1060605_textList_CN_Main</t>
  </si>
  <si>
    <t>Play_VO_Tutorial_CH06_15_Atika_EN</t>
  </si>
  <si>
    <t>痛快，这种疼痛，正是我所追求的！</t>
  </si>
  <si>
    <t>新手Part1-阿提卡扑街</t>
  </si>
  <si>
    <t>TID_DialogueConf_1060606_textList_CN_Main</t>
  </si>
  <si>
    <t>Play_VO_Tutorial_CH06_16_Atika_EN</t>
  </si>
  <si>
    <t>我认可你是一名优秀的将军，安德莉亚，但你阻挡不了世界的浪潮，未来注定属于我们草原人！</t>
  </si>
  <si>
    <t>TID_DialogueConf_1060606_textList_968588793368_CN_Main</t>
  </si>
  <si>
    <t>Play_VO_Tutorial_CH06_17_Andrea_EN</t>
  </si>
  <si>
    <t>未来将由活着的人开创，而你，抱歉，你已经失去了这个资格。</t>
  </si>
  <si>
    <t>TID_DialogueConf_1060606_textList_606807445789_CN_Main</t>
  </si>
  <si>
    <t>胜利了！殿下！您胜利了！</t>
  </si>
  <si>
    <t>TID_DialogueConf_1060606_textList_787700499688_CN_Main</t>
  </si>
  <si>
    <t>不，副官，这份胜利不止属于我，它也属于你，属于这里每一个人。</t>
  </si>
  <si>
    <t>TID_DialogueConf_1060607_textList_CN_Main</t>
  </si>
  <si>
    <t>你要是杀了我，冷酷的血手阿提卡就会带领我们上百名的勇士，把你们都践踏成灰！</t>
  </si>
  <si>
    <t>TID_DialogueConf_1060607_textList_310092932498_CN_Main</t>
  </si>
  <si>
    <t>所以趁早放了我，这是你们唯一的选择，阿提卡大人就驻扎在上风的营地，你们跑不掉的！</t>
  </si>
  <si>
    <t>阿提卡大人</t>
  </si>
  <si>
    <t>TID_DialogueConf_1060608_textList_CN_Main</t>
  </si>
  <si>
    <t>是否击杀蛮族</t>
  </si>
  <si>
    <t>TID_DialogueConf_1060609_textList_1063052924561_CN_Main</t>
  </si>
  <si>
    <t>遵守诺言，是贵族的美德……副官！</t>
  </si>
  <si>
    <t>TID_DialogueConf_1060610_textList_973126850728_CN_Main</t>
  </si>
  <si>
    <t>可是你的副官……</t>
  </si>
  <si>
    <t>TID_DialogueConf_1060610_textList_583858277546_CN_Main</t>
  </si>
  <si>
    <t>你获得了殿下的仁慈，殿下达成了她的承诺，但，我也有我应尽的职责。</t>
  </si>
  <si>
    <t>新手Part1-成功修复玺戒</t>
  </si>
  <si>
    <t>TID_DialogueConf_1060611_name_CN_Main</t>
  </si>
  <si>
    <t>TID_DialogueConf_1060617_textList_841432734597_CN_Main</t>
  </si>
  <si>
    <t>Play_VO_Tutorial_CH06_03_Countryman_EN</t>
  </si>
  <si>
    <t>不负所托，您的玺戒，我已经修好了。</t>
  </si>
  <si>
    <t>玺戒</t>
  </si>
  <si>
    <t>TID_DialogueConf_1060617_textList_278202494042_CN_Main</t>
  </si>
  <si>
    <t>Play_VO_Tutorial_CH06_04_Countryman_EN</t>
  </si>
  <si>
    <t>感谢你所做的一切，这只玺戒，它会见证这场注定的胜利。</t>
  </si>
  <si>
    <t>新手Part1-解锁主将技结束</t>
  </si>
  <si>
    <t>TID_DialogueConf_1060613_textList_CN_Main</t>
  </si>
  <si>
    <t>Play_VO_Tutorial_CH06_07_Andrea_EN</t>
  </si>
  <si>
    <t>继续战斗吧！直到和平降临或者我们死去！我们要告诉大陆上的所有人，帝国的希望仍未断绝！</t>
  </si>
  <si>
    <t>TID_DialogueConf_1060613_textList_1090946303019_CN_Main</t>
  </si>
  <si>
    <t>Play_VO_Tutorial_CH06_08_Andrea_EN</t>
  </si>
  <si>
    <t>我忠诚的士兵，我的战友，我的兄弟们！为了帝国，也为了我们所有人的家园！</t>
  </si>
  <si>
    <t>TID_DialogueConf_1060613_name_282914983875_CN_Main</t>
  </si>
  <si>
    <t>TID_DialogueConf_1060613_textList_407628185459_CN_Main</t>
  </si>
  <si>
    <t>Play_VO_Tutorial_CH06_09_Soldier_EN</t>
  </si>
  <si>
    <t>哦！！！</t>
  </si>
  <si>
    <t>新手Part1-捡宝箱</t>
  </si>
  <si>
    <t>TID_DialogueConf_1060614_textList_CN_Main</t>
  </si>
  <si>
    <t>大量的财富，这是相当不错的战果，副官，还记得我们的愿景么？</t>
  </si>
  <si>
    <t>TID_DialogueConf_1060614_textList_626982586668_CN_Main</t>
  </si>
  <si>
    <t>我记得殿下您说过，重返君临，扫除蛮族，登临帝位，拯救帝国！</t>
  </si>
  <si>
    <t>重返君临</t>
  </si>
  <si>
    <t>TID_DialogueConf_1060614_textList_145771419646_CN_Main</t>
  </si>
  <si>
    <t>那你要准备好，副官，我们的使命，会从这里开始。</t>
  </si>
  <si>
    <t>新手Part1-被箭塔攻击</t>
  </si>
  <si>
    <t>TID_DialogueConf_1060615_textList_CN_Main</t>
  </si>
  <si>
    <t>Play_VO_Tutorial_CH06_01_Deputy_EN</t>
  </si>
  <si>
    <t>士兵们！箭塔在攻击我们！把蛮族引出攻击范围！</t>
  </si>
  <si>
    <t>箭塔</t>
  </si>
  <si>
    <t>攻击范围</t>
  </si>
  <si>
    <t>新手Part1-开始拆箭塔</t>
  </si>
  <si>
    <t>TID_DialogueConf_1060616_textList_CN_Main</t>
  </si>
  <si>
    <t>Play_VO_Tutorial_CH06_02_Deputy_EN</t>
  </si>
  <si>
    <t>士兵们，拿出你们的火把，拆了这些箭塔！</t>
  </si>
  <si>
    <t>火把</t>
  </si>
  <si>
    <t>新手Part1-被告知玺戒修复完成</t>
  </si>
  <si>
    <t>TID_DialogueConf_1060617_textList_CN_Main</t>
  </si>
  <si>
    <t>殿下！</t>
  </si>
  <si>
    <t>Play_VO_Tutorial_CH06_06_Andrea_EN</t>
  </si>
  <si>
    <t>新手Part1-主将技解锁时教学</t>
  </si>
  <si>
    <t>TID_DialogueConf_1060618_textList_CN_Main</t>
  </si>
  <si>
    <t>Play_VO_Tutorial_CH06_05_Andrea_EN</t>
  </si>
  <si>
    <t>只要我在战斗中拥有足够的怒气值，就可以释放主将技打断敌人的大招！</t>
  </si>
  <si>
    <t>释放主将技打断敌人的大招</t>
  </si>
  <si>
    <t>TID_DialogueConf_1060619_textList_CN_Main</t>
  </si>
  <si>
    <t>Play_VO_Tutorial_CH05_09_Andrea_EN</t>
  </si>
  <si>
    <t>离这远一点，副官。以我们现在的实力，去挑战阿提卡完全是自寻死路。</t>
  </si>
  <si>
    <t>TID_DialogueConf_1060620_textList_CN_Main</t>
  </si>
  <si>
    <t>帝国公主，钢铁蔷薇安德莉亚，我听说过你的名号！亡国的鬼魂竟然也敢走到阳光之下？</t>
  </si>
  <si>
    <t>TID_DialogueConf_1060620_textList_11089751484_CN_Main</t>
  </si>
  <si>
    <t>但作为公主，你应该有许多帝国的财宝，只要你能交出来，我不介意放你一条活路。</t>
  </si>
  <si>
    <t>TID_DialogueConf_1060620_textList_265932557975_CN_Main</t>
  </si>
  <si>
    <t>Play_VO_Tutorial_CH06_12_Andrea_EN</t>
  </si>
  <si>
    <t>死到临头却还在妄求财富，阿提卡，你的贪婪让我印象深刻。</t>
  </si>
  <si>
    <t>新手Part1-boss第一次技能</t>
  </si>
  <si>
    <t>TID_DialogueConf_1060621_textList_CN_Main</t>
  </si>
  <si>
    <t>Play_VO_Tutorial_CH06_13_Andrea_EN</t>
  </si>
  <si>
    <t>我的主将技可以打断阿提卡的大招，同时，副官，你得注意躲避地面上的火焰。</t>
  </si>
  <si>
    <t>打断</t>
  </si>
  <si>
    <t>TID_DialogueConf_1060622_textList_CN_Main</t>
  </si>
  <si>
    <t>不愧是镇守君临的钢铁蔷薇，我承认你作为我对手的资格！</t>
  </si>
  <si>
    <t>君临</t>
  </si>
  <si>
    <t>新手Part1-boss死亡</t>
  </si>
  <si>
    <t>TID_DialogueConf_1060626_textList_CN_Main</t>
  </si>
  <si>
    <t>安德莉亚，但你阻挡不了世界的浪潮，未来注定属于我们草原人！</t>
  </si>
  <si>
    <t>TID_DialogueConf_1060628_textList_CN_Main</t>
  </si>
  <si>
    <t>Play_VO_Tutorial_CH06_18_Deputy_EN</t>
  </si>
  <si>
    <t>这一切，终于结束了……</t>
  </si>
  <si>
    <t>TID_DialogueConf_1060628_textList_983302943709_CN_Main</t>
  </si>
  <si>
    <t>Play_VO_Tutorial_CH06_19_Andrea_EN</t>
  </si>
  <si>
    <t>不，副官，这只是一个开始。蛮族依旧在这片土地上肆虐，现在还远没到停下来的时候。</t>
  </si>
  <si>
    <t>新手Part1-拾取战利品</t>
  </si>
  <si>
    <t>TID_DialogueConf_1060629_textList_CN_Main</t>
  </si>
  <si>
    <t>Play_VO_Tutorial_CH07_01_Andrea_EN</t>
  </si>
  <si>
    <t>我会用这些战利品来重建城镇中心，建立起我们的新的家园。</t>
  </si>
  <si>
    <t>Play_VO_Tutorial_CH07_02_Deputy_EN</t>
  </si>
  <si>
    <t>重新城镇中心</t>
  </si>
  <si>
    <t>TID_DialogueConf_1060005_name_CN_Main</t>
  </si>
  <si>
    <t>Play_VO_Tutorial_SideMission_0_Sean_EN</t>
  </si>
  <si>
    <t>TID_DialogueConf_1060634_textList_CN_Main</t>
  </si>
  <si>
    <t>Play_VO_Tutorial_CH03_07_Deputy_EN</t>
  </si>
  <si>
    <t>殿下，您可以拖拽右侧头像攻击乌尔丁</t>
  </si>
  <si>
    <t>拖拽右侧头像</t>
  </si>
  <si>
    <t>新手Part1- 农民出现1</t>
  </si>
  <si>
    <t>在井里发现农民</t>
  </si>
  <si>
    <t>海外OBT</t>
  </si>
  <si>
    <t>副官</t>
  </si>
  <si>
    <t>TID_DialogueConf_1060640_2_textList_CN_Main</t>
  </si>
  <si>
    <t>殿下小心，井里有人！</t>
  </si>
  <si>
    <t>Play_VO_Turtorial_p0_02_Deputy_EN</t>
  </si>
  <si>
    <t>安德莉亚</t>
  </si>
  <si>
    <t>TID_DialogueConf_1060640_3_textList_CN_Main</t>
  </si>
  <si>
    <t>不要慌张，先看到底是谁。</t>
  </si>
  <si>
    <t>Play_VO_Turtorial_p0_03_Andrea_EN</t>
  </si>
  <si>
    <t>新手Part1- 农民出现2</t>
  </si>
  <si>
    <t>农民加入玩家阵营</t>
  </si>
  <si>
    <t>TID_DialogueConf_1060641_1_textList_CN_Main</t>
  </si>
  <si>
    <t>你是这里的村民？我是公主安德莉亚，这里到底发生了什么事？</t>
  </si>
  <si>
    <t>Play_VO_Turtorial_p0_04_Andrea_EN</t>
  </si>
  <si>
    <t>村民</t>
  </si>
  <si>
    <t>TID_DialogueConf_1060641_2_textList_CN_Main</t>
  </si>
  <si>
    <t>都死了……殿下，都死了……呜呜呜，那群野蛮人从村口进来，见人就杀，我的爱人，我的孩子……她们………为什么要让我遭受这一切……为什么！</t>
  </si>
  <si>
    <t>Play_VO_Turtorial_p0_05_Farmer_EN</t>
  </si>
  <si>
    <t>TID_DialogueConf_1060641_3_textList_CN_Main</t>
  </si>
  <si>
    <t>……我会为你们报仇的，这是我的承诺。</t>
  </si>
  <si>
    <t>Play_VO_Turtorial_p0_06_Andrea_EN</t>
  </si>
  <si>
    <t>TID_DialogueConf_1060641_4_textList_CN_Main</t>
  </si>
  <si>
    <t>殿下……让我加入您的队伍吧，我要亲眼看着那些蛮族血债血偿！</t>
  </si>
  <si>
    <t>Play_VO_Turtorial_p0_07_Farmer_EN</t>
  </si>
  <si>
    <t>新手Part1-农民连续采集</t>
  </si>
  <si>
    <t>农民连续采集树木</t>
  </si>
  <si>
    <t>TID_DialogueConf_1060642_textList_CN_Main</t>
  </si>
  <si>
    <t>如果要在这里落脚，我们可以让村民储备更多的木材。</t>
  </si>
  <si>
    <t>Play_VO_Turtorial_p0_09_Deputy_EN</t>
  </si>
  <si>
    <t>新手Part1-乌尔丁出场</t>
  </si>
  <si>
    <t>乌尔丁出场</t>
  </si>
  <si>
    <t>乌尔丁</t>
  </si>
  <si>
    <t>TID_DialogueConf_1060643_1_textList_CN_Main</t>
  </si>
  <si>
    <t>哇哦哇哦哇哦，真不错，又是一批活蹦乱跳的帝国贵族。</t>
  </si>
  <si>
    <t>TID_DialogueConf_1060643_2_textList_CN_Main</t>
  </si>
  <si>
    <t>嘿嘿，希望你们能给我带来点新乐子。</t>
  </si>
  <si>
    <t>新手Part1-安德莉亚誓师</t>
  </si>
  <si>
    <t>安德莉亚誓师</t>
  </si>
  <si>
    <t>TID_DialogueConf_1060644_textList_CN_Main</t>
  </si>
  <si>
    <t>士兵们！</t>
  </si>
  <si>
    <t>Play_VO_Turtorial_p0_10_Andrea_EN</t>
  </si>
  <si>
    <t>TID_DialogueConf_1060645_textList_CN_Main</t>
  </si>
  <si>
    <t>我曾想带领你们远离战争，但国破家亡的血仇尚未洗刷，这个世界也不允许我们逃避！</t>
  </si>
  <si>
    <t>Play_VO_Turtorial_p0_11_Andrea_EN</t>
  </si>
  <si>
    <t>TID_DialogueConf_1060647_textList_CN_Main</t>
  </si>
  <si>
    <t>TID_DialogueConf_1060646_textList_CN_Main</t>
  </si>
  <si>
    <t>Play_VO_Turtorial_p0_12_Andrea_EN</t>
  </si>
  <si>
    <t>TID_DialogueConf_1060648_textList_CN_Main</t>
  </si>
  <si>
    <t>侦察小队出列！</t>
  </si>
  <si>
    <t>Play_VO_Turtorial_p0_14_Andrea_EN</t>
  </si>
  <si>
    <t>TID_DialogueConf_1060649_textList_CN_Main</t>
  </si>
  <si>
    <t>我命你们先行出发侦察敌情，探明蛮族城防状况！</t>
  </si>
  <si>
    <t>Play_VO_Turtorial_p0_15_Andrea_EN</t>
  </si>
  <si>
    <t>TID_DialogueConf_1060650_textList_CN_Main</t>
  </si>
  <si>
    <t>遵命！殿下！</t>
  </si>
  <si>
    <t>Play_VO_Turtorial_p0_16_Soldier_EN</t>
  </si>
  <si>
    <t>TID_DialogueConf_1060651_textList_CN_Main</t>
  </si>
  <si>
    <t>其余人，列队！出发！</t>
  </si>
  <si>
    <t>Play_VO_Turtorial_p0_17_Andrea_EN</t>
  </si>
  <si>
    <t>阿提卡叫嚣</t>
  </si>
  <si>
    <t>TID_DialogueConf_1060655_textList_CN_Main</t>
  </si>
  <si>
    <t>Play_VO_Turtorial_p0_19_Atika_EN</t>
  </si>
  <si>
    <t>哼！安德莉亚，你的头颅，将成为我最名贵的收藏！</t>
  </si>
  <si>
    <t>新手Part1-箭塔战斗结束</t>
  </si>
  <si>
    <t>副官归队</t>
  </si>
  <si>
    <t>TID_DialogueConf_1060656_textList_CN_Main</t>
  </si>
  <si>
    <t>现在就只剩下敌方首领了，侦察小队归队，一同进攻！</t>
  </si>
  <si>
    <t>Play_VO_Turtorial_p0_18_Andrea_EN</t>
  </si>
  <si>
    <t>新手Part1-进场对话</t>
  </si>
  <si>
    <t>进场对话</t>
  </si>
  <si>
    <t>护卫太少了，公主殿下，作为我们的领袖，您不应将自己置于险境。</t>
  </si>
  <si>
    <t>现在你是副官，不是我的亲卫，更应该以我们此行的任务为重。再说，这已经是我们一半的人手了。</t>
  </si>
  <si>
    <t>新手Part1-过桥</t>
  </si>
  <si>
    <t>过桥</t>
  </si>
  <si>
    <t>TID_DialogueConf_1060002_1_textList_CN_Main</t>
  </si>
  <si>
    <t>Play_VO_Tutorial_CH00_04_Deputy_EN</t>
  </si>
  <si>
    <t>小镇就在前方，昨天我们的斥候和这里有过接洽，这里地处偏远，还暂未卷入战火。</t>
  </si>
  <si>
    <t>有过接洽</t>
  </si>
  <si>
    <t>TID_DialogueConf_1060002_1_textList_2_CN_Main</t>
  </si>
  <si>
    <t>Play_VO_Tutorial_CH00_05_Andrea_EN</t>
  </si>
  <si>
    <t>先按计划，和当地人沟通我们要在此驻营的事情。</t>
  </si>
  <si>
    <t>要在此驻营</t>
  </si>
  <si>
    <t>新手Part1-狼战斗结束</t>
  </si>
  <si>
    <t>狼战斗结束</t>
  </si>
  <si>
    <t>TID_DialogueConf_1060658_textList_CN_Main</t>
  </si>
  <si>
    <t>唉......就只剩我们三个人了，大家小心行事。</t>
  </si>
  <si>
    <t>新手Part1-进入村庄</t>
  </si>
  <si>
    <t>TID_DialogueConf_1060659_1_textList_CN_Main</t>
  </si>
  <si>
    <t>这个村子怎么一个活人都没有，难道是狼群……？</t>
  </si>
  <si>
    <t>TID_DialogueConf_1060659_2_textList_CN_Main</t>
  </si>
  <si>
    <t>新手Part1-探查尸体</t>
  </si>
  <si>
    <t>TID_DialogueConf_1060660_1_textList_CN_Main</t>
  </si>
  <si>
    <t>是当地的居民，他们似乎……在被人追杀？</t>
  </si>
  <si>
    <t>TID_DialogueConf_1060660_2_textList_CN_Main</t>
  </si>
  <si>
    <t>弯刀的伤口，是野蛮人干的……！那些混蛋，这些都是无辜的平民！</t>
  </si>
  <si>
    <t>新手Part1-乌尔丁timeline补充对话</t>
  </si>
  <si>
    <t>TID_DialogueConf_1060661_1_textList_CN_Main</t>
  </si>
  <si>
    <t>血手阿提卡……如果要在这里落脚，他是我们必须面对的敌人。</t>
  </si>
  <si>
    <t>TID_DialogueConf_1060661_2_textList_CN_Main</t>
  </si>
  <si>
    <t>这会是场硬仗，但我们的兵力，现在还是太少了。</t>
  </si>
  <si>
    <t>新手Part1-乌尔丁timeline播放结束</t>
  </si>
  <si>
    <t>TID_DialogueConf_1060662_1_textList_CN_Main</t>
  </si>
  <si>
    <t>殿下，我们可以建造剑士营来训练更多士兵，之前我们储备了许多木材……</t>
  </si>
  <si>
    <t>TID_DialogueConf_1060662_2_textList_CN_Main</t>
  </si>
  <si>
    <t>如果用前方那栋废弃建筑作为基础，我们很快就能完成搭建。</t>
  </si>
  <si>
    <t>新手Part1-狼timeline结束</t>
  </si>
  <si>
    <t>新手Part1-训练农民</t>
  </si>
  <si>
    <t>TID_DialogueConf_1060664_textList_CN_Main</t>
  </si>
  <si>
    <t>Play_VO_Turtorial_p0_08_Deputy_EN</t>
  </si>
  <si>
    <t>修建一座伐木场</t>
  </si>
  <si>
    <t>TID_DialogueConf_6670111_1_textList_CN_Main</t>
  </si>
  <si>
    <t>创造我们自己的城镇……我有些迫不及待了，真是项令人激动的大工程。</t>
  </si>
  <si>
    <t>TID_DialogueConf_6670111_2_textList_CN_Main</t>
  </si>
  <si>
    <t>光靠之前的木材产出可远远不够，副官，先修建一座伐木场吧。</t>
  </si>
  <si>
    <t>训练3名村民</t>
  </si>
  <si>
    <t>TID_DialogueConf_6670131_1_textList_CN_Main</t>
  </si>
  <si>
    <t>从阿提卡那里得到的情报，蛮族首领蒙杜克随时可能进犯，领地急需一座足够牢固的城墙。</t>
  </si>
  <si>
    <t>TID_DialogueConf_6670131_2_textList_CN_Main</t>
  </si>
  <si>
    <t>明白了殿下，我会立刻训练村民，把城墙的建设提上日程！</t>
  </si>
  <si>
    <t>蛮族进攻的场面，同时播放对话</t>
  </si>
  <si>
    <t>TID_DialogueConf_6671111_1_textList_CN_Main</t>
  </si>
  <si>
    <t>真不错，有了城墙，这里现在也总算有个城市的样子了。</t>
  </si>
  <si>
    <t>TID_DialogueConf_6671111_2_textList_CN_Main</t>
  </si>
  <si>
    <t>殿下，野蛮人首领蒙杜克率领大军入侵了！</t>
  </si>
  <si>
    <t>TID_DialogueConf_6671111_3_textList_CN_Main</t>
  </si>
  <si>
    <t>现在？！敌人的目标是哪儿？</t>
  </si>
  <si>
    <t>TID_DialogueConf_6671111_4_textList_CN_Main</t>
  </si>
  <si>
    <t>这里的主城，我们领地北方的铁礁城！</t>
  </si>
  <si>
    <t>timeline结束</t>
  </si>
  <si>
    <t>士兵</t>
  </si>
  <si>
    <t>TID_DialogueConf_667111_1_timeline_CN_Main</t>
  </si>
  <si>
    <t>蛮族攻上来了！小心！小心啊！</t>
  </si>
  <si>
    <t>Play_VO_Turtorial_p05_01_Soldier_EN</t>
  </si>
  <si>
    <t>TID_DialogueConf_667111_2_timeline_CN_Main</t>
  </si>
  <si>
    <t>不、不要杀我！啊——</t>
  </si>
  <si>
    <t>Play_VO_Turtorial_p05_02_Soldier_EN</t>
  </si>
  <si>
    <t>蒙杜克</t>
  </si>
  <si>
    <t>TID_DialogueConf_667111_3_timeline_CN_Main</t>
  </si>
  <si>
    <t>所有身高超过车轮的男人，全部杀光！一个不留！</t>
  </si>
  <si>
    <t>Play_VO_Turtorial_p05_03_Monduk_EN</t>
  </si>
  <si>
    <t>TID_DialogueConf_667111_4_timeline_CN_Main</t>
  </si>
  <si>
    <t>图尔坎，清扫一下城市周边，我不想看到那些恶心的帝国虫子。</t>
  </si>
  <si>
    <t>Play_VO_Turtorial_p05_04_Monduk_EN</t>
  </si>
  <si>
    <t>图尔坎</t>
  </si>
  <si>
    <t>TID_DialogueConf_667111_5_timeline_CN_Main</t>
  </si>
  <si>
    <t>好的！首领！</t>
  </si>
  <si>
    <t>Play_VO_Turtorial_p05_05_Tulcan_EN</t>
  </si>
  <si>
    <t>领兵前去救援村庄，播放对话</t>
  </si>
  <si>
    <t>TID_DialogueConf_6671121_1_textList_CN_Main</t>
  </si>
  <si>
    <t>全军听令！随我出击！</t>
  </si>
  <si>
    <t>Play_VO_Turtorial_p05_06_Andrea_EN</t>
  </si>
  <si>
    <t>TID_DialogueConf_6671121_2_textList_CN_Main</t>
  </si>
  <si>
    <t>殿下，他们太快而且兵力太多，我们即使过去恐怕也……</t>
  </si>
  <si>
    <t>Play_VO_Turtorial_p05_07_Deputy_EN</t>
  </si>
  <si>
    <t>TID_DialogueConf_6671121_3_textList_CN_Main</t>
  </si>
  <si>
    <t>救不了铁礁城，那就救援城郊那些被殃及的村庄！杀不死野兽，也得咬下他们一口肉来！</t>
  </si>
  <si>
    <t>Play_VO_Turtorial_p05_08_Andrea_EN</t>
  </si>
  <si>
    <t>进入战斗</t>
  </si>
  <si>
    <t>TID_DialogueConf_6671121_4_textList_CN_Main</t>
  </si>
  <si>
    <t>公主，你看前面！</t>
  </si>
  <si>
    <t>Play_VO_Turtorial_p05_09_Deputy_EN</t>
  </si>
  <si>
    <t>贞德</t>
  </si>
  <si>
    <t>TID_DialogueConf_6671121_5_textList_CN_Main</t>
  </si>
  <si>
    <t>各位！你们就这样看着野蛮人抢走你的财产，杀死你的爱人，最后砍掉你的头颅吗！</t>
  </si>
  <si>
    <t>Play_VO_Turtorial_p05_10_Jeanne_EN</t>
  </si>
  <si>
    <t>TID_DialogueConf_6671121_6_textList_CN_Main</t>
  </si>
  <si>
    <t>睁开眼睛，跟紧我的旗帜！拿起武器，把野蛮人赶出你们的家园！</t>
  </si>
  <si>
    <t>Play_VO_Turtorial_p05_11_Jeanne_EN</t>
  </si>
  <si>
    <t>TID_DialogueConf_6671121_7_textList_CN_Main</t>
  </si>
  <si>
    <t>去！杀了那个碍事的女人！</t>
  </si>
  <si>
    <t>Play_VO_Turtorial_p05_12_Tulcan_EN</t>
  </si>
  <si>
    <t>交战对话</t>
  </si>
  <si>
    <t>TID_DialogueConf_6671121_9_textList_CN_Main</t>
  </si>
  <si>
    <t>是您！安德莉亚殿下！</t>
  </si>
  <si>
    <t>Play_VO_Turtorial_p05_14_Jeanne_EN</t>
  </si>
  <si>
    <t>TID_DialogueConf_6671121_10_textList_CN_Main</t>
  </si>
  <si>
    <t>你是为我而来？</t>
  </si>
  <si>
    <t>Play_VO_Turtorial_p05_15_Andrea_EN</t>
  </si>
  <si>
    <t>TID_DialogueConf_6671121_11_textList_CN_Main</t>
  </si>
  <si>
    <t>跟随您拯救这个国家，是我毕生的愿景……我本以为它会随着我的命运在此终结。</t>
  </si>
  <si>
    <t>Play_VO_Turtorial_p05_16_Jeanne_EN</t>
  </si>
  <si>
    <t>TID_DialogueConf_6671121_12_textList_CN_Main</t>
  </si>
  <si>
    <t>那也得先问我是否允许，消灭这些野蛮人！</t>
  </si>
  <si>
    <t>Play_VO_Turtorial_p05_17_Andrea_EN</t>
  </si>
  <si>
    <t>蛮族逃走</t>
  </si>
  <si>
    <t>TID_DialogueConf_6671121_13_textList_CN_Main</t>
  </si>
  <si>
    <t>这支军队是哪儿钻出来的？！杀掉那些村民！拖住他们！</t>
  </si>
  <si>
    <t>Play_VO_Turtorial_p05_18_Tulcan_EN</t>
  </si>
  <si>
    <t>战斗结束</t>
  </si>
  <si>
    <t>TID_DialogueConf_6671121_14_textList_CN_Main</t>
  </si>
  <si>
    <t>混蛋，你们等着！</t>
  </si>
  <si>
    <t>Play_VO_Turtorial_p05_19_Tulcan_EN</t>
  </si>
  <si>
    <t>TID_DialogueConf_6671121_15_textList_CN_Main</t>
  </si>
  <si>
    <t>殿下，那个蛮族要逃走了！</t>
  </si>
  <si>
    <t>Play_VO_Turtorial_p05_20_Deputy_EN</t>
  </si>
  <si>
    <t>TID_DialogueConf_6671121_16_textList_CN_Main</t>
  </si>
  <si>
    <t>先别管他！救人要紧！</t>
  </si>
  <si>
    <t>Play_VO_Turtorial_p05_21_Andrea_EN</t>
  </si>
  <si>
    <t>返回内城</t>
  </si>
  <si>
    <t>TID_DialogueConf_6671121_17_textList_CN_Main</t>
  </si>
  <si>
    <t>你说你是第一次踏上战场……等等，你受伤了！</t>
  </si>
  <si>
    <t>Play_VO_Turtorial_p05_22_Andrea_EN</t>
  </si>
  <si>
    <t>TID_DialogueConf_6671121_18_textList_CN_Main</t>
  </si>
  <si>
    <t>是的，万幸，我……我对此还算擅长。一点小伤，休息一阵就好。</t>
  </si>
  <si>
    <t>Play_VO_Turtorial_p05_23_Jeanne_EN</t>
  </si>
  <si>
    <t>TID_DialogueConf_6671121_19_textList_CN_Main</t>
  </si>
  <si>
    <t>这已经不止是“擅长”的程度了……先跟我回领地好好休养吧，你叫什么名字？</t>
  </si>
  <si>
    <t>Play_VO_Turtorial_p05_24_Andrea_EN</t>
  </si>
  <si>
    <t>TID_DialogueConf_6671121_20_textList_CN_Main</t>
  </si>
  <si>
    <t>我叫贞德，殿下。</t>
  </si>
  <si>
    <t>Play_VO_Turtorial_p05_25_Jeanne_EN</t>
  </si>
  <si>
    <t>修复瞭望塔</t>
  </si>
  <si>
    <t>TID_DialogueConf_6672111_1_textList_CN_Main</t>
  </si>
  <si>
    <t>可惜守城的帝国军队被打散了，如果他们能加入我们……唉。</t>
  </si>
  <si>
    <t>Play_VO_Turtorial_p05_26_Jeanne_EN</t>
  </si>
  <si>
    <t>TID_DialogueConf_6672111_2_textList_CN_Main</t>
  </si>
  <si>
    <t>尽快建立瞭望塔，蛮族不会善罢甘休，我们需要第一时间掌控周边的情报。</t>
  </si>
  <si>
    <t>出城</t>
  </si>
  <si>
    <t>温德</t>
  </si>
  <si>
    <t>TID_DialogueConf_6672121_1_textList_CN_Main</t>
  </si>
  <si>
    <t>公主殿下，我叫温德，来自之前被您和贞德将军拯救的村落，我想加入您的军队！</t>
  </si>
  <si>
    <t>TID_DialogueConf_6672121_2_textList_CN_Main</t>
  </si>
  <si>
    <t>一位主动来参军的村民？你擅长什么？</t>
  </si>
  <si>
    <t>TID_DialogueConf_6672121_3_textList_CN_Main</t>
  </si>
  <si>
    <t>我擅长骑马，而且对周边的地形很熟悉，还有……只要能对付蛮族，我愿意付出一切，包括我的生命！</t>
  </si>
  <si>
    <t>TID_DialogueConf_6672121_4_textList_CN_Main</t>
  </si>
  <si>
    <t>你的生命远比你认为的要更宝贵，年轻人。</t>
  </si>
  <si>
    <t>TID_DialogueConf_6672121_5_textList_CN_Main</t>
  </si>
  <si>
    <t>我的瞭望塔正好缺一位侦察兵，跟上，我们一起出城看看。</t>
  </si>
  <si>
    <t>打野引导</t>
  </si>
  <si>
    <t>TID_DialogueConf_6672121_6_textList_CN_Main</t>
  </si>
  <si>
    <t>如果让蒙杜克完全占据铁礁城，以蛮族的行事作风，殿下，这里恐怕真的要变成地狱了……</t>
  </si>
  <si>
    <t>TID_DialogueConf_6672121_7_textList_CN_Main</t>
  </si>
  <si>
    <t>我们暂时无法应对蒙杜克的主力……但我们可以给那些游荡的蛮族送点小礼物。</t>
  </si>
  <si>
    <t>TID_DialogueConf_6672121_8_textList_CN_Main</t>
  </si>
  <si>
    <t>这正是我想做的，殿下！</t>
  </si>
  <si>
    <t>第二次打野</t>
  </si>
  <si>
    <t>TID_DialogueConf_6672121_9_textList_CN_Main</t>
  </si>
  <si>
    <t>殿下，我找到了新的敌踪！</t>
  </si>
  <si>
    <t>TID_DialogueConf_6672121_10_textList_CN_Main</t>
  </si>
  <si>
    <t>多清理一些游荡的野蛮人，蒙杜克也会头疼一阵。你也要注意安全，温德。</t>
  </si>
  <si>
    <t>TID_DialogueConf_6672121_11_textList_CN_Main</t>
  </si>
  <si>
    <t>请您放心！没有人能跑过我的好马儿！</t>
  </si>
  <si>
    <t>城镇升级</t>
  </si>
  <si>
    <t>TID_DialogueConf_6672131_1_textList_CN_Main</t>
  </si>
  <si>
    <t>希望蒙杜克能喜欢我们的问候，可惜我们还是太过势单力孤了。</t>
  </si>
  <si>
    <t>TID_DialogueConf_6672131_2_textList_CN_Main</t>
  </si>
  <si>
    <t>我会尽力的，殿下。</t>
  </si>
  <si>
    <t>TID_DialogueConf_6672131_3_textList_CN_Main</t>
  </si>
  <si>
    <t>殿下，请您立刻回城一趟，我们的城镇已经可以升级了！</t>
  </si>
  <si>
    <t>建造医院</t>
  </si>
  <si>
    <t>TID_DialogueConf_6672141_1_textList_CN_Main</t>
  </si>
  <si>
    <t>副官说你最近帮了他不少忙，贞德，辛苦你了。</t>
  </si>
  <si>
    <t>TID_DialogueConf_6672141_2_textList_CN_Main</t>
  </si>
  <si>
    <t>是我得感谢您，虽然伤势还没好，但如此和平安定的生活，我已经很久没体会过了。</t>
  </si>
  <si>
    <t>TID_DialogueConf_6672141_3_textList_CN_Main</t>
  </si>
  <si>
    <t>这正是我们所向往的未来，等建了治疗房舍，你养好伤，我们一起来拯救这片土地！</t>
  </si>
  <si>
    <t>治疗引导</t>
  </si>
  <si>
    <t>TID_DialogueConf_6672151_1_textList_CN_Main</t>
  </si>
  <si>
    <t>让士兵们都休养一下，这段时间他们可累得不轻。</t>
  </si>
  <si>
    <t>修建点将台</t>
  </si>
  <si>
    <t>TID_DialogueConf_6672161_1_textList_CN_Main</t>
  </si>
  <si>
    <t>殿下，我们还需要修建一座点将台，没有足够的将领，再庞大的军队也很难发挥出实力。</t>
  </si>
  <si>
    <t>TID_DialogueConf_6672161_2_textList_CN_Main</t>
  </si>
  <si>
    <t>我准许了，顺便让温德探听一下可以招募的将领……话说回来，最近温德人呢？</t>
  </si>
  <si>
    <t>招募英雄</t>
  </si>
  <si>
    <t>TID_DialogueConf_6672171_1_textList_CN_Main</t>
  </si>
  <si>
    <t>殿下，蒙杜克他们修补了城墙，已经在铁礁城扎营！殿下，我们什么时候……</t>
  </si>
  <si>
    <t>TID_DialogueConf_6672171_2_textList_CN_Main</t>
  </si>
  <si>
    <t>现在强攻铁礁城并不是一个好选择，他们劫掠的物资还存放在白浪港，早晚得运回去，那会是我们最好的机会。</t>
  </si>
  <si>
    <t>TID_DialogueConf_6672171_3_textList_CN_Main</t>
  </si>
  <si>
    <t>温德也是，探查情报也要注意安全，竟然跑到了铁礁城，那可是蛮族的大本营，你的行动太激进了。</t>
  </si>
  <si>
    <t>TID_DialogueConf_6672171_4_textList_CN_Main</t>
  </si>
  <si>
    <t>对不起，我……我只想报仇……</t>
  </si>
  <si>
    <t>TID_DialogueConf_6672171_5_textList_CN_Main</t>
  </si>
  <si>
    <t>副官说得对，报仇不是送命，温德，我们和蒙杜克还有许多账要算。</t>
  </si>
  <si>
    <t>城墙驻防</t>
  </si>
  <si>
    <t>TID_DialogueConf_6672181_1_textList_CN_Main</t>
  </si>
  <si>
    <t>贞德，欢迎你的加入！</t>
  </si>
  <si>
    <t>TID_DialogueConf_6672181_2_textList_CN_Main</t>
  </si>
  <si>
    <t>感谢您的信任，有什么需要我做的吗？</t>
  </si>
  <si>
    <t>TID_DialogueConf_6672181_3_textList_CN_Main</t>
  </si>
  <si>
    <t>目前第二支军队还没有组建，而且你的伤刚好，先休息会儿吧，其他事情可以暂时交给别人。</t>
  </si>
  <si>
    <t>修建磨坊、农田</t>
  </si>
  <si>
    <t>TID_DialogueConf_6672191_2_textList_CN_Main</t>
  </si>
  <si>
    <t>殿下，随着蒙杜克开始劫掠周边村庄，来投奔的村民越来越多，领地的粮食就快要养不起这么多人了。</t>
  </si>
  <si>
    <t>TID_DialogueConf_6672191_3_textList_CN_Main</t>
  </si>
  <si>
    <t>人口增加总归是一件好事，组织村民，尽快把磨坊和农田的建设提上日程。</t>
  </si>
  <si>
    <t>TID_DialogueConf_6672181_4_textList_CN_Main</t>
  </si>
  <si>
    <t>跟遭受苦难的人们相比，我的伤根本不算什么，殿下。</t>
  </si>
  <si>
    <t>训练第二队</t>
  </si>
  <si>
    <t>TID_DialogueConf_6672221_1_textList_CN_Main</t>
  </si>
  <si>
    <t>安德莉亚公主，野蛮人准备把白浪港的劫掠物资运到铁礁城，时间就在几天之后！</t>
  </si>
  <si>
    <t>TID_DialogueConf_6672221_2_textList_CN_Main</t>
  </si>
  <si>
    <t>哼，正如我所料，副官，抓紧训练第二支军队，全面备战！以血还血的时候就要到了！</t>
  </si>
  <si>
    <t>TID_DialogueConf_6672221_3_textList_CN_Main</t>
  </si>
  <si>
    <t>遵命，殿下！</t>
  </si>
  <si>
    <t>迷雾战场，途中对话</t>
  </si>
  <si>
    <t>TID_DialogueConf_6673111_1_textList_CN_Main</t>
  </si>
  <si>
    <t>正如我所允诺的，贞德，这支军队交由你来统领，到时候，你跟我一起去伏击蛮族的运输队。</t>
  </si>
  <si>
    <t>TID_DialogueConf_6673111_2_textList_CN_Main</t>
  </si>
  <si>
    <t>我会竭尽全力，安德莉亚殿下。</t>
  </si>
  <si>
    <t>TID_DialogueConf_6673111_3_textList_CN_Main</t>
  </si>
  <si>
    <t>殿下！我找到了！图尔坎，他奉蒙杜克之命盘踞在一处荒废的村庄，如果您准备动手，我想与您共同出战！</t>
  </si>
  <si>
    <t>TID_DialogueConf_6673111_4_textList_CN_Main</t>
  </si>
  <si>
    <t>那群毁了你家乡的野蛮人？在正式行动之前练练手倒也不错……贞德，交给你了！</t>
  </si>
  <si>
    <t>TID_DialogueConf_6673111_5_textList_CN_Main</t>
  </si>
  <si>
    <t>殿下，那我……！</t>
  </si>
  <si>
    <t>TID_DialogueConf_6673111_6_textList_CN_Main</t>
  </si>
  <si>
    <t>基于军规，我本不该同意你的诉求，但我能理解你的仇恨，和贞德一起去吧，温德，这是你应得的。</t>
  </si>
  <si>
    <t>迷雾战场气泡对话，环境剧情（随便写的，后续根据实际游玩修改）</t>
  </si>
  <si>
    <t>TID_DialogueConf_6673111_7_textList_CN_Main</t>
  </si>
  <si>
    <t>放轻松些，温德，我们会抓到他的。</t>
  </si>
  <si>
    <t>TID_DialogueConf_6673111_8_textList_CN_Main</t>
  </si>
  <si>
    <t>……我从小是被我爷爷养大的，他对我很好，但，我却一直嫌他啰嗦。</t>
  </si>
  <si>
    <t>TID_DialogueConf_6673111_9_textList_CN_Main</t>
  </si>
  <si>
    <t>村子出事那天，我和他大吵了一架，骑马跑了出去，他本可以离开，却因为要去找我，遇上了来劫掠的野蛮人。</t>
  </si>
  <si>
    <t>TID_DialogueConf_6673111_10_textList_CN_Main</t>
  </si>
  <si>
    <t>而“离我远点”，是我之前对他说的最后一句话……这大概是一句诅咒，我一直在想，如果我没有这么说……</t>
  </si>
  <si>
    <t>TID_DialogueConf_6673111_11_textList_CN_Main</t>
  </si>
  <si>
    <t>不要责怪自己，这不是你的错。</t>
  </si>
  <si>
    <t>TID_DialogueConf_6673111_12_textList_CN_Main</t>
  </si>
  <si>
    <t>大概吧……我也明白……我只是忍不住在想，直到死，他都没能看到我成为一个受人尊敬的人……</t>
  </si>
  <si>
    <t>结束对话</t>
  </si>
  <si>
    <t>珍妮</t>
  </si>
  <si>
    <t>TID_DialogueConf_6673111_13_textList_CN_Main</t>
  </si>
  <si>
    <t>姐姐，珍妮还不能离开……爸爸……爸爸说会来找珍妮的……</t>
  </si>
  <si>
    <t>保罗</t>
  </si>
  <si>
    <t>TID_DialogueConf_6673111_14_textList_CN_Main</t>
  </si>
  <si>
    <t>谢谢您能来救我，公主殿下……请一定……一定要消灭那些野蛮人……</t>
  </si>
  <si>
    <t>TID_DialogueConf_6673111_15_textList_CN_Main</t>
  </si>
  <si>
    <t>珍妮，我的女儿……爸爸……来陪你了……</t>
  </si>
  <si>
    <t>TID_DialogueConf_6673111_16_textList_CN_Main</t>
  </si>
  <si>
    <t>我还记得她的蓝眼睛……像水晶一样漂亮……</t>
  </si>
  <si>
    <t>TID_DialogueConf_6673111_17_textList_CN_Main</t>
  </si>
  <si>
    <t>别白费功夫了，我已经没救啦，嘿，能多活这么久，我已经赚了……</t>
  </si>
  <si>
    <t>TID_DialogueConf_6673111_18_textList_CN_Main</t>
  </si>
  <si>
    <t>答应我……把那些该死的蛮族全部杀光。</t>
  </si>
  <si>
    <t>回城</t>
  </si>
  <si>
    <t>TID_DialogueConf_6673111_19_textList_CN_Main</t>
  </si>
  <si>
    <t>图尔坎根本不在这里，他奉命去白浪港护送物资，我们来晚了……贞德将军？</t>
  </si>
  <si>
    <t>TID_DialogueConf_6673111_20_textList_CN_Main</t>
  </si>
  <si>
    <t>野蛮人……为什么要对村民们做这种事情？他们明明毫无威胁，他们只想好好地活着！</t>
  </si>
  <si>
    <t>TID_DialogueConf_6673111_21_textList_CN_Main</t>
  </si>
  <si>
    <t>这些民众到底做错了什么，要受到这样的折磨？我又做了什么，我、我连保护他们都无法做到！</t>
  </si>
  <si>
    <t>TID_DialogueConf_6673111_22_textList_CN_Main</t>
  </si>
  <si>
    <t>我们都没有做错，错的是那群野蛮人！是他们制造了一切的悲剧，是他们带来了所有的苦难！</t>
  </si>
  <si>
    <t>TID_DialogueConf_6673111_23_textList_CN_Main</t>
  </si>
  <si>
    <t>我会纠正这一切……我绝对，不会让这一切再次发生！</t>
  </si>
  <si>
    <t>出发途中对话</t>
  </si>
  <si>
    <t>TID_DialogueConf_6673111_24_textList_CN_Main</t>
  </si>
  <si>
    <t>根据线报，敌人的辎重车即将出发，备好宴席，去款待我们的客人！</t>
  </si>
  <si>
    <t>Play_VO_Turtorial_p05_27_Andrea_EN</t>
  </si>
  <si>
    <t>tl播放</t>
  </si>
  <si>
    <t>TID_DialogueConf_6673111_25_textList_CN_Main</t>
  </si>
  <si>
    <t>蛮族的辎重车想要到铁礁城，必须经过巨龙之喉，那条峡谷是天然的伏击点。</t>
  </si>
  <si>
    <t>Play_VO_Turtorial_p05_28_Jeanne_EN</t>
  </si>
  <si>
    <t>TID_DialogueConf_6673111_26_textList_CN_Main</t>
  </si>
  <si>
    <t>帮他们永远记住那里。</t>
  </si>
  <si>
    <t>Play_VO_Turtorial_p05_29_Andrea_EN</t>
  </si>
  <si>
    <t>战斗台词</t>
  </si>
  <si>
    <t>TID_DialogueConf_6673111_1_timeline_CN_Main</t>
  </si>
  <si>
    <t>殿下，敌人已经进入埋伏圈！</t>
  </si>
  <si>
    <t>Play_VO_Turtorial_p05_30_Deputy_EN</t>
  </si>
  <si>
    <t>TID_DialogueConf_6673111_2_timeline_CN_Main</t>
  </si>
  <si>
    <t>上次出去游猎，碰到个帝国人，腿抖个不停，拿把锄头就要跟我决斗。</t>
  </si>
  <si>
    <t>Play_VO_Turtorial_p05_31_Tulcan_EN</t>
  </si>
  <si>
    <t>TID_DialogueConf_6673111_3_timeline_CN_Main</t>
  </si>
  <si>
    <t>原来他的妻儿都在屋子里，怪不得他敢站出来。</t>
  </si>
  <si>
    <t>Play_VO_Turtorial_p05_32_Tulcan_EN</t>
  </si>
  <si>
    <t>蛮族士兵</t>
  </si>
  <si>
    <t>newbie_oversea_enemy</t>
  </si>
  <si>
    <t>TID_DialogueConf_6673111_4_timeline_CN_Main</t>
  </si>
  <si>
    <t>然后呢？</t>
  </si>
  <si>
    <t>Play_VO_Turtorial_p05_33_Barbarian_EN</t>
  </si>
  <si>
    <t>TID_DialogueConf_6673111_5_timeline_CN_Main</t>
  </si>
  <si>
    <t>然后我让手下按住他，当着他的面，挨个儿杀了他的妻子和三个孩子哈哈哈哈！你们是没见到他的表情，真是太有趣啦！</t>
  </si>
  <si>
    <t>Play_VO_Turtorial_p05_34_Tulcan_EN</t>
  </si>
  <si>
    <t>TID_DialogueConf_6673111_6_timeline_CN_Main</t>
  </si>
  <si>
    <t>这群混账！各位，欢迎仪式准备好了吗？！</t>
  </si>
  <si>
    <t>Play_VO_Turtorial_p05_35_Andrea_EN</t>
  </si>
  <si>
    <t>TID_DialogueConf_6673111_7_timeline_CN_Main</t>
  </si>
  <si>
    <t>随时待命。</t>
  </si>
  <si>
    <t>Play_VO_Turtorial_p05_36_Jeanne_EN</t>
  </si>
  <si>
    <t>TID_DialogueConf_6673111_10_timeline_CN_Main</t>
  </si>
  <si>
    <t>点火！</t>
  </si>
  <si>
    <t>TID_DialogueConf_6673111_8_timeline_CN_Main</t>
  </si>
  <si>
    <t>就是现在……</t>
  </si>
  <si>
    <t>Play_VO_Turtorial_p05_37_Andrea_EN</t>
  </si>
  <si>
    <t>TID_DialogueConf_6673111_9_timeline_CN_Main</t>
  </si>
  <si>
    <t>敌袭！敌袭！</t>
  </si>
  <si>
    <t>Play_VO_Turtorial_p05_38_Tulcan_EN</t>
  </si>
  <si>
    <t>TID_DialogueConf_6674111_1_textList_CN_Main</t>
  </si>
  <si>
    <t>他妈的，怎么哪儿都有帝国人？有埋伏！准备迎敌！</t>
  </si>
  <si>
    <t>Play_VO_Turtorial_p05_39_Tulcan_EN</t>
  </si>
  <si>
    <t>TID_DialogueConf_6674111_2_textList_CN_Main</t>
  </si>
  <si>
    <t>这点儿人？还不够我们塞牙缝的！兄弟们，给我上！</t>
  </si>
  <si>
    <t>Play_VO_Turtorial_p05_40_Tulcan_EN</t>
  </si>
  <si>
    <t>TID_DialogueConf_6674111_3_textList_CN_Main</t>
  </si>
  <si>
    <t>注意敌人动向！他们要开始反攻了！</t>
  </si>
  <si>
    <t>Play_VO_Turtorial_p05_41_Andrea_EN</t>
  </si>
  <si>
    <t>TID_DialogueConf_6674111_4_textList_CN_Main</t>
  </si>
  <si>
    <t>交给我，殿下！士兵们！跟随我的旗帜！</t>
  </si>
  <si>
    <t>Play_VO_Turtorial_p05_42_Jeanne_EN</t>
  </si>
  <si>
    <t>TID_DialogueConf_6674111_5_textList_CN_Main</t>
  </si>
  <si>
    <t>殿下，大收获，有了这批资源，领地的建设可以迈进一大步！我们还在这批货里发现了一张投石车的设计图！</t>
  </si>
  <si>
    <t>Play_VO_Turtorial_p05_43_Deputy_EN</t>
  </si>
  <si>
    <t>TID_DialogueConf_6674111_6_textList_CN_Main</t>
  </si>
  <si>
    <t>我倒想看看，永不可破的铁礁城在投石车面前又能撑住几发！</t>
  </si>
  <si>
    <t>Play_VO_Turtorial_p05_44_Andrea_EN</t>
  </si>
  <si>
    <t>打地开始对话</t>
  </si>
  <si>
    <t>研究员</t>
  </si>
  <si>
    <t>TID_DialogueConf_6675111_1_textList_CN_Main</t>
  </si>
  <si>
    <t>不行……公主殿下，以我们现在的工艺水平，根本无法造出投石车的核心部件。</t>
  </si>
  <si>
    <t>TID_DialogueConf_6675111_2_textList_CN_Main</t>
  </si>
  <si>
    <t>在铁礁城……会不会有现成的？</t>
  </si>
  <si>
    <t>TID_DialogueConf_6675111_3_textList_CN_Main</t>
  </si>
  <si>
    <t>铁礁城倒是有这样的制作工艺，但就算有了核心部件，也至少要三级城才能满足剩余部分的制作条件。</t>
  </si>
  <si>
    <t>TID_DialogueConf_6675111_4_textList_CN_Main</t>
  </si>
  <si>
    <t>我们建投石车不就是为了打铁礁城么，如果没有投石车，我们根本无法破开城墙的防御，一旦敌人站稳脚跟……</t>
  </si>
  <si>
    <t>Play_VO_Turtorial_p05_45_Deputy_EN</t>
  </si>
  <si>
    <t>TID_DialogueConf_6675111_5_textList_CN_Main</t>
  </si>
  <si>
    <t>先继续向外扩张吧，蒙杜克，铁礁城……我再想想。</t>
  </si>
  <si>
    <t>Play_VO_Turtorial_p05_46_Andrea_EN</t>
  </si>
  <si>
    <t>蒙杜克处死收下</t>
  </si>
  <si>
    <t>TID_DialogueConf_6675111_1_timeline_CN_Main</t>
  </si>
  <si>
    <t>首、首领……</t>
  </si>
  <si>
    <t>Play_VO_Turtorial_p05_47_Tulcan_EN</t>
  </si>
  <si>
    <t>TID_DialogueConf_6675111_2_timeline_CN_Main</t>
  </si>
  <si>
    <t>物资呢？</t>
  </si>
  <si>
    <t>Play_VO_Turtorial_p05_48_Monduk_EN</t>
  </si>
  <si>
    <t>TID_DialogueConf_6675111_3_timeline_CN_Main</t>
  </si>
  <si>
    <t>……又是安德莉亚那个小娘们儿……他们竟敢埋伏我，我……</t>
  </si>
  <si>
    <t>Play_VO_Turtorial_p05_49_Tulcan_EN</t>
  </si>
  <si>
    <t>TID_DialogueConf_6675111_4_timeline_CN_Main</t>
  </si>
  <si>
    <t>所以，你失败了，我的东西也没了。</t>
  </si>
  <si>
    <t>Play_VO_Turtorial_p05_50_Monduk_EN</t>
  </si>
  <si>
    <t>TID_DialogueConf_6675111_5_timeline_CN_Main</t>
  </si>
  <si>
    <t>……是、是。</t>
  </si>
  <si>
    <t>Play_VO_Turtorial_p05_51_Tulcan_EN</t>
  </si>
  <si>
    <t>TID_DialogueConf_6675111_6_timeline_CN_Main</t>
  </si>
  <si>
    <t>那你还回来做什么？指望我和那些愚蠢的帝国人一样，给你一些软弱的仁慈？</t>
  </si>
  <si>
    <t>Play_VO_Turtorial_p05_52_Monduk_EN</t>
  </si>
  <si>
    <t>TID_DialogueConf_6675111_7_timeline_CN_Main</t>
  </si>
  <si>
    <t>不是，首、首领……我、我……</t>
  </si>
  <si>
    <t>Play_VO_Turtorial_p05_53_Tulcan_EN</t>
  </si>
  <si>
    <t>TID_DialogueConf_6675111_8_timeline_CN_Main</t>
  </si>
  <si>
    <t>拖下去，剁碎了喂狗。</t>
  </si>
  <si>
    <t>Play_VO_Turtorial_p05_54_Monduk_EN</t>
  </si>
  <si>
    <t>TID_DialogueConf_6675111_9_timeline_CN_Main</t>
  </si>
  <si>
    <t>不！你不能！我是铁牙狼骑的人……我……啊！！</t>
  </si>
  <si>
    <t>Play_VO_Turtorial_p05_55_Tulcan_EN</t>
  </si>
  <si>
    <t>TID_DialogueConf_6675111_10_timeline_CN_Main</t>
  </si>
  <si>
    <t>先让军团去拜访一下我们的小公主，等我腾出手来，再和她好好叙叙旧！</t>
  </si>
  <si>
    <t>Play_VO_Turtorial_p05_56_Monduk_EN</t>
  </si>
  <si>
    <t>打地教学</t>
  </si>
  <si>
    <t>TID_DialogueConf_6675112_1_textList_CN_Main</t>
  </si>
  <si>
    <t>好样的，温德！要不是你，我们的扩张不会这么轻松。</t>
  </si>
  <si>
    <t>TID_DialogueConf_6675112_2_textList_CN_Main</t>
  </si>
  <si>
    <t>长官，我见过贞德将军在巨龙之喉的战斗，和那样的英雄比起来，我还差得很远……</t>
  </si>
  <si>
    <t>TID_DialogueConf_6675112_3_textList_CN_Main</t>
  </si>
  <si>
    <t>英雄也不过是在关键时候挺身而出的凡人，谁说你不可以，我第一个不答应。</t>
  </si>
  <si>
    <t>TID_DialogueConf_6675112_4_textList_CN_Main</t>
  </si>
  <si>
    <t>可是我……我总感觉自己做的事情不够多……长官，殿下让我通知您，尽快组织村民升级军营。</t>
  </si>
  <si>
    <t>TID_DialogueConf_6675112_5_textList_CN_Main</t>
  </si>
  <si>
    <t>又来新活儿了？唔，这个副官可真不好当！还是做殿下的亲卫轻松一点……</t>
  </si>
  <si>
    <t>剑士营升级</t>
  </si>
  <si>
    <t>TID_DialogueConf_6675114_1_textList_CN_Main</t>
  </si>
  <si>
    <t>和之前的破房子比起来，这才能叫作兵营……最近怎么没看到温德？</t>
  </si>
  <si>
    <t>TID_DialogueConf_6675114_2_textList_CN_Main</t>
  </si>
  <si>
    <t>大概又去收集情报了吧，殿下，现在领地外游荡的蛮族越来越多，蒙杜克正在逐渐压缩我们的空间。</t>
  </si>
  <si>
    <t>TID_DialogueConf_6675114_3_textList_CN_Main</t>
  </si>
  <si>
    <t>虽然巨龙之喉的作战很成功，但那只是暂时的，敌人拒守铁礁城，早晚能恢复过来。</t>
  </si>
  <si>
    <t>TID_DialogueConf_6675114_4_textList_CN_Main</t>
  </si>
  <si>
    <t>……抓紧训练一批士兵，如果没办法攻破铁礁城，我们恐怕得放弃这一切另谋出路，总好过在这里慢性死亡。</t>
  </si>
  <si>
    <t>TID_DialogueConf_6675114_5_textList_CN_Main</t>
  </si>
  <si>
    <t>殿下……</t>
  </si>
  <si>
    <t>士兵训练</t>
  </si>
  <si>
    <t>TID_DialogueConf_6675114_6_textList_CN_Main</t>
  </si>
  <si>
    <t>殿下，领地外有一支蛮族军队正在接近！敌军数量有点多！他们正在追击……是温德！</t>
  </si>
  <si>
    <t>TID_DialogueConf_6675114_7_textList_CN_Main</t>
  </si>
  <si>
    <t>我这就带兵前去救援！</t>
  </si>
  <si>
    <t>城外战斗</t>
  </si>
  <si>
    <t>TID_DialogueConf_6675116_1_textList_CN_Main</t>
  </si>
  <si>
    <t>我没事，他们追不上我，殿下，这、这个……给您……</t>
  </si>
  <si>
    <t>TID_DialogueConf_6675116_2_textList_CN_Main</t>
  </si>
  <si>
    <t>这是投石车的核心构件？！温德你……</t>
  </si>
  <si>
    <t>Play_VO_Turtorial_p05_57_Andrea_EN</t>
  </si>
  <si>
    <t>TID_DialogueConf_6675116_3_textList_CN_Main</t>
  </si>
  <si>
    <t>……我偷偷摸进了铁礁城……那些蛮族人根本没发现我，我很轻松地——（闷哼）</t>
  </si>
  <si>
    <t>TID_DialogueConf_6675116_4_textList_CN_Main</t>
  </si>
  <si>
    <t>温德！你受伤了！</t>
  </si>
  <si>
    <t>Play_VO_Turtorial_p05_58_Deputy_EN</t>
  </si>
  <si>
    <t>TID_DialogueConf_6675116_5_textList_CN_Main</t>
  </si>
  <si>
    <t>没、我没事……不用为我担心，殿下，我……是不是帮到领地了……</t>
  </si>
  <si>
    <t>TID_DialogueConf_6675116_6_textList_CN_Main</t>
  </si>
  <si>
    <t>……你是英雄，温德。</t>
  </si>
  <si>
    <t>Play_VO_Turtorial_p05_59_Andrea_EN</t>
  </si>
  <si>
    <t>TID_DialogueConf_6675116_7_textList_CN_Main</t>
  </si>
  <si>
    <t>啊……（笑）……真想……让爷爷也看到啊……</t>
  </si>
  <si>
    <t>TID_DialogueConf_6675116_8_textList_CN_Main</t>
  </si>
  <si>
    <t>如果命运注定让我葬身此地，我也要死在进攻的战场上。</t>
  </si>
  <si>
    <t>Play_VO_Turtorial_p05_60_Andrea_EN</t>
  </si>
  <si>
    <t>TID_DialogueConf_6675116_9_textList_CN_Main</t>
  </si>
  <si>
    <t>副官！升级城镇，修建投石车，准备攻打铁礁城！</t>
  </si>
  <si>
    <t>升级城镇</t>
  </si>
  <si>
    <t>TID_DialogueConf_6676111_1_textList_CN_Main</t>
  </si>
  <si>
    <t>全军出发，消灭野蛮人！夺回我们的土地！</t>
  </si>
  <si>
    <t>TID_DialogueConf_6676111_2_textList_CN_Main</t>
  </si>
  <si>
    <t>不再等等吗？殿下，温德离世前跟我说过——</t>
  </si>
  <si>
    <t>TID_DialogueConf_6676111_3_textList_CN_Main</t>
  </si>
  <si>
    <t>如果他们下定决心，他们就一定会及时赶到，否则再等待也没有用……出发吧！</t>
  </si>
  <si>
    <t>清理护卫队</t>
  </si>
  <si>
    <t>TID_DialogueConf_6676111_4_textList_CN_Main</t>
  </si>
  <si>
    <t>注意敌人的动向！贞德，小心行事！</t>
  </si>
  <si>
    <t>TID_DialogueConf_6676111_5_textList_CN_Main</t>
  </si>
  <si>
    <t>大量敌军出现在城门口</t>
  </si>
  <si>
    <t>TID_DialogueConf_6676111_6_textList_CN_Main</t>
  </si>
  <si>
    <t>殿下，前方有大量敌军出现！</t>
  </si>
  <si>
    <t>TID_DialogueConf_6676111_7_textList_CN_Main</t>
  </si>
  <si>
    <t>没关系，他们挡不住我们！</t>
  </si>
  <si>
    <t>贞德高光timeline</t>
  </si>
  <si>
    <t>TID_DialogueConf_zhendegaoguang_1_timeline_CN_Main</t>
  </si>
  <si>
    <t>握紧你们的武器！敌人快要不行了！</t>
  </si>
  <si>
    <t>Play_VO_Turtorial_p05_61_Andrea_EN</t>
  </si>
  <si>
    <t>TID_DialogueConf_zhendegaoguang_2_timeline_CN_Main</t>
  </si>
  <si>
    <t>该死，后方也有他们的人，这是一个陷阱……他们想整个吃掉我们！</t>
  </si>
  <si>
    <t>Play_VO_Turtorial_p05_62_Deputy_EN</t>
  </si>
  <si>
    <t>TID_DialogueConf_zhendegaoguang_5_timeline_CN_Main</t>
  </si>
  <si>
    <t>殿下！这次不行还有下次，您千万不要以身犯险！</t>
  </si>
  <si>
    <t>Play_VO_Turtorial_p05_65_Deputy_EN</t>
  </si>
  <si>
    <t>TID_DialogueConf_zhendegaoguang_6_timeline_CN_Main</t>
  </si>
  <si>
    <t>但也有可能根本就没有下一次……让我去吧，公主，我去拦截后方的追兵！</t>
  </si>
  <si>
    <t>Play_VO_Turtorial_p05_66_Jeanne_EN</t>
  </si>
  <si>
    <t>TID_DialogueConf_zhendegaoguang_7_timeline_CN_Main</t>
  </si>
  <si>
    <t>贞德！</t>
  </si>
  <si>
    <t>Play_VO_Turtorial_p05_67_Andrea_EN</t>
  </si>
  <si>
    <t>TID_DialogueConf_zhendegaoguang_8_timeline_CN_Main</t>
  </si>
  <si>
    <t>我说过我不会再让那些惨剧发生，现在，请您允许我践行自己的诺言！</t>
  </si>
  <si>
    <t>Play_VO_Turtorial_p05_68_Jeanne_EN</t>
  </si>
  <si>
    <t>TID_DialogueConf_zhendegaoguang_9_timeline_CN_Main</t>
  </si>
  <si>
    <t>士兵们！跟随我的旗帜！劈开这片战场！</t>
  </si>
  <si>
    <t>Play_VO_Turtorial_p05_69_Jeanne_EN</t>
  </si>
  <si>
    <t>TID_DialogueConf_zhendegaoguang_10_timeline_CN_Main</t>
  </si>
  <si>
    <t>这场战斗最盛大的终章，将由我们来掀开！</t>
  </si>
  <si>
    <t>Play_VO_Turtorial_p05_70_Jeanne_EN</t>
  </si>
  <si>
    <t>TID_DialogueConf_zhendegaoguang_11_timeline_CN_Main</t>
  </si>
  <si>
    <t>全力迎敌！消灭他们！</t>
  </si>
  <si>
    <t>Play_VO_Turtorial_p05_71_Andrea_EN</t>
  </si>
  <si>
    <t>TID_DialogueConf_zhendegaoguang_12_timeline_CN_Main</t>
  </si>
  <si>
    <t>敌军已被消灭，全军，向城门进发！</t>
  </si>
  <si>
    <t>Play_VO_Turtorial_p05_72_Andrea_EN</t>
  </si>
  <si>
    <t>投石车timeline</t>
  </si>
  <si>
    <t>TID_DialogueConf_toushiche_1_timeline_CN_Main</t>
  </si>
  <si>
    <t>投石车已经准备好了，殿下！</t>
  </si>
  <si>
    <t>Play_VO_Turtorial_p05_73_Deputy_EN</t>
  </si>
  <si>
    <t>TID_DialogueConf_toushiche_2_timeline_CN_Main</t>
  </si>
  <si>
    <t>敲响这帮恶客的门，和他们好好打个招呼！</t>
  </si>
  <si>
    <t>Play_VO_Turtorial_p05_74_Andrea_EN</t>
  </si>
  <si>
    <t>TID_DialogueConf_toushiche_3_timeline_CN_Main</t>
  </si>
  <si>
    <t>两架美丽的小家伙，靠你们了！</t>
  </si>
  <si>
    <t>Play_VO_Turtorial_p05_75_Deputy_EN</t>
  </si>
  <si>
    <t>TID_DialogueConf_toushiche_4_timeline_CN_Main</t>
  </si>
  <si>
    <t>士兵！进城！</t>
  </si>
  <si>
    <t>Play_VO_Turtorial_p05_76_Andrea_EN</t>
  </si>
  <si>
    <t>进入城市，恢复操控，贞德回来</t>
  </si>
  <si>
    <t>TID_DialogueConf_toushiche_5_timeline_CN_Main</t>
  </si>
  <si>
    <t>殿下，贞德将军回来了！</t>
  </si>
  <si>
    <t>Play_VO_Turtorial_p05_77_Deputy_EN</t>
  </si>
  <si>
    <t>TID_DialogueConf_toushiche_6_timeline_CN_Main</t>
  </si>
  <si>
    <t>回来得正是时候，贞德！一起来见证胜利吧！</t>
  </si>
  <si>
    <t>Play_VO_Turtorial_p05_78_Andrea_EN</t>
  </si>
  <si>
    <t>TID_DialogueConf_toushiche_7_timeline_CN_Main</t>
  </si>
  <si>
    <t>荣幸之至，殿下。</t>
  </si>
  <si>
    <t>Play_VO_Turtorial_p05_79_Jeanne_EN</t>
  </si>
  <si>
    <t>TID_DialogueConf_toushiche_8_timeline_CN_Main</t>
  </si>
  <si>
    <t>殿下，内城的守军更多了！</t>
  </si>
  <si>
    <t>Play_VO_Turtorial_p05_80_Deputy_EN</t>
  </si>
  <si>
    <t>TID_DialogueConf_toushiche_9_timeline_CN_Main</t>
  </si>
  <si>
    <t>不要慌，我们的朋友已经来了。</t>
  </si>
  <si>
    <t>Play_VO_Turtorial_p05_81_Andrea_EN</t>
  </si>
  <si>
    <t>TID_DialogueConf_toushiche_10_timeline_CN_Main</t>
  </si>
  <si>
    <t>为了公主！为了帝国！</t>
  </si>
  <si>
    <t>Play_VO_Turtorial_p05_82_Soldier_EN</t>
  </si>
  <si>
    <t>TID_DialogueConf_toushiche_11_timeline_CN_Main</t>
  </si>
  <si>
    <t>消灭这些该死的野蛮人！</t>
  </si>
  <si>
    <t>Play_VO_Turtorial_p05_83_Soldier_EN</t>
  </si>
  <si>
    <t>TID_DialogueConf_toushiche_12_timeline_CN_Main</t>
  </si>
  <si>
    <t>是之前那些溃逃的帝国军队……他们竟然……回来了？！</t>
  </si>
  <si>
    <t>Play_VO_Turtorial_p05_84_Deputy_EN</t>
  </si>
  <si>
    <t>TID_DialogueConf_toushiche_13_timeline_CN_Main</t>
  </si>
  <si>
    <t>这些都是温德的功劳，他帮我联络收拢了他们……只要还有一线希望存在，没人愿意做失败者。</t>
  </si>
  <si>
    <t>Play_VO_Turtorial_p05_85_Andrea_EN</t>
  </si>
  <si>
    <t>TID_DialogueConf_toushiche_14_timeline_CN_Main</t>
  </si>
  <si>
    <t>来吧，专注我们的目标，是时候和蒙杜克清算旧账了！</t>
  </si>
  <si>
    <t>Play_VO_Turtorial_p05_86_Andrea_EN</t>
  </si>
  <si>
    <t>进入城市，见到boss</t>
  </si>
  <si>
    <t>TID_DialogueConf_6676131_1_textList_CN_Main</t>
  </si>
  <si>
    <t>虽然我已经很重视你了……但你还是给了我惊喜，早在一开始我就应该杀了你的，安德莉亚。</t>
  </si>
  <si>
    <t>Play_VO_Turtorial_p05_87_Monduk_EN</t>
  </si>
  <si>
    <t>TID_DialogueConf_6676131_2_textList_CN_Main</t>
  </si>
  <si>
    <t>很遗憾，你已经没有机会了，蒙杜克！在下地狱之前，为你所做的一切好好忏悔吧！</t>
  </si>
  <si>
    <t>Play_VO_Turtorial_p05_88_Andrea_EN</t>
  </si>
  <si>
    <t>TID_DialogueConf_6676131_3_textList_CN_Main</t>
  </si>
  <si>
    <t>愿望可不是由空话来达成的，公主安德莉亚，只有力量，强大的力量才是这片土地上的第一准则。</t>
  </si>
  <si>
    <t>Play_VO_Turtorial_p05_89_Monduk_EN</t>
  </si>
  <si>
    <t>TID_DialogueConf_6676131_4_textList_CN_Main</t>
  </si>
  <si>
    <t>历史不会记住失败者！举起你的剑！杀了我，或者和那些虫子一同去死吧！</t>
  </si>
  <si>
    <t>Play_VO_Turtorial_p05_90_Monduk_EN</t>
  </si>
  <si>
    <t>boss战斗</t>
  </si>
  <si>
    <t>TID_DialogueConf_6676131_5_textList_CN_Main</t>
  </si>
  <si>
    <t>哈哈哈哈，原来……这就是死亡……这会是……一场被载入史册的战斗。</t>
  </si>
  <si>
    <t>Play_VO_Turtorial_p05_91_Monduk_EN</t>
  </si>
  <si>
    <t>TID_DialogueConf_6676131_6_textList_CN_Main</t>
  </si>
  <si>
    <t>不，你会跟旧时代一同被埋葬在尘土里……正如你所说的那样，历史从来不会记载失败者的名字。</t>
  </si>
  <si>
    <t>Play_VO_Turtorial_p05_92_Andrea_EN</t>
  </si>
  <si>
    <t>TID_DialogueConf_6676141_1_textList_CN_Main</t>
  </si>
  <si>
    <t>敌将蒙杜克已然落败！全军听令，集中攻破，目标：铁礁城！</t>
  </si>
  <si>
    <t>TID_DialogueConf_6676141_2_textList_CN_Main</t>
  </si>
  <si>
    <t>殿下，幸不辱命，铁礁城已经拿下！</t>
  </si>
  <si>
    <t>TID_DialogueConf_6676141_3_textList_CN_Main</t>
  </si>
  <si>
    <t>清点战利品，抚恤伤亡将士，回城，庆功！</t>
  </si>
  <si>
    <t>TID_DialogueConf_6676141_4_textList_CN_Main</t>
  </si>
  <si>
    <t>殿下，蒙杜克留下的物资已经清点完毕，下一步，请殿下指示。</t>
  </si>
  <si>
    <t>TID_DialogueConf_6676141_5_textList_CN_Main</t>
  </si>
  <si>
    <t>尽快升级主堡，属于我们的新时代要来临了！</t>
  </si>
  <si>
    <t>TID_DialogueConf_6676141_6_textList_CN_Main</t>
  </si>
  <si>
    <t>我们已经在城区站稳脚跟，蛮族的势力也被拔除……副官，你还记得我们最初的目标么？</t>
  </si>
  <si>
    <t>TID_DialogueConf_6676141_7_textList_CN_Main</t>
  </si>
  <si>
    <t>控制边疆，联合领主……重返君临，拯救帝国！</t>
  </si>
  <si>
    <t>TID_DialogueConf_6676141_8_textList_CN_Main</t>
  </si>
  <si>
    <t>没错！那么现在，是时候出发了！</t>
  </si>
  <si>
    <t>劫镖开始-看路上小怪</t>
  </si>
  <si>
    <t>newbie_oversea_axe</t>
  </si>
  <si>
    <t>TID_DialogueConf_1060785_textList_CN_Main</t>
  </si>
  <si>
    <t>殿下小心，路上有蛮族巡逻。</t>
  </si>
  <si>
    <t>劫镖开始-看路上箭塔</t>
  </si>
  <si>
    <t>TID_DialogueConf_1060786_textList_CN_Main</t>
  </si>
  <si>
    <t>峡谷入口处也有箭塔，需要小心它的攻击范围。</t>
  </si>
  <si>
    <t>劫镖开始-看终点</t>
  </si>
  <si>
    <t>TID_DialogueConf_1060787_textList_CN_Main</t>
  </si>
  <si>
    <t>我们埋伏的地点就在峡谷里。</t>
  </si>
  <si>
    <t>劫镖触发</t>
  </si>
  <si>
    <t>TID_DialogueConf_1060788_textList_CN_Main</t>
  </si>
  <si>
    <t>是时候出发了！</t>
  </si>
  <si>
    <t>TID_Dialogue_S0_101</t>
  </si>
  <si>
    <t>各地的领主已经接受我们的号召，殿下，他们都同意了结盟！</t>
  </si>
  <si>
    <t>action3|1|0</t>
  </si>
  <si>
    <t>3.47|0|-4.02|-42.66</t>
  </si>
  <si>
    <t>13.5|14.7|-11|6||1|1|0.5</t>
  </si>
  <si>
    <t>Leon</t>
  </si>
  <si>
    <t>TID_Dialogue_S0_102</t>
  </si>
  <si>
    <t>…父亲过去常跟我说王者要仁慈与宽恕，直到他在战场上为了救我而被蛮族所杀，头颅更是被克鲁维斯高悬在君临的雕像上。</t>
  </si>
  <si>
    <t>action6|1|0</t>
  </si>
  <si>
    <t>1.15|0|-1.4|145.34</t>
  </si>
  <si>
    <t>TID_Dialogue_S0_103</t>
  </si>
  <si>
    <t>他是合格的王，但我不是，仁慈与宽恕，我只会给朋友，而敌人只配面对我的怒火！</t>
  </si>
  <si>
    <t>stand_chat1|1|0</t>
  </si>
  <si>
    <t>TID_Dialogue_S0_104</t>
  </si>
  <si>
    <t>我将洗刷父亲的耻辱，夺回君临，让这个国家重新冠以神圣之名，让那些卑劣的野蛮人付出血的代价！</t>
  </si>
  <si>
    <t>TID_Dialogue_S0_105</t>
  </si>
  <si>
    <t>公主殿下，我恳请你担当盟主一职，没有人比您更有资格。</t>
  </si>
  <si>
    <t>TID_Dialogue_S0_106</t>
  </si>
  <si>
    <t>不，相反，我希望你能成为盟主，去处理这些繁杂的事务…我有更重要的任务，我需要联合更多的人，去推动这场大势的浪潮。</t>
  </si>
  <si>
    <t>TID_Dialogue_S0_201</t>
  </si>
  <si>
    <t>好消息是，从第一场战斗来看，蛮族的统治力并不算强。</t>
  </si>
  <si>
    <t>-6.29|-8.84|-144.28|103.652</t>
  </si>
  <si>
    <t>14|14|-159|1||1|1|0.5</t>
  </si>
  <si>
    <t>Leo</t>
  </si>
  <si>
    <t>TID_DialogueConf_1060715_name_CN_Main</t>
  </si>
  <si>
    <t>TID_Dialogue_S0_202</t>
  </si>
  <si>
    <t>但他们的残暴却令所有人畏惧，撕裂者带领铁牙狼骑盘踞在大区首府，为灰狼克鲁维斯镇守通往君临的关隘。</t>
  </si>
  <si>
    <t>-3.98|-8.84|-146.33|-33.993</t>
  </si>
  <si>
    <t>TID_Dialogue_S0_203</t>
  </si>
  <si>
    <t>等我们打出自己的旗号，第一时间就会面临他们的围剿。</t>
  </si>
  <si>
    <t>TID_Dialogue_S0_204</t>
  </si>
  <si>
    <t>我需要联合更多的兵马，组成更强的联军…副官，这场战斗需要的不是一个公主。</t>
  </si>
  <si>
    <t>TID_Dialogue_S0_205</t>
  </si>
  <si>
    <t>公主，难道您决定…</t>
  </si>
  <si>
    <t>-3.52|-8.84|-143.54|245.034</t>
  </si>
  <si>
    <t>TID_Dialogue_S0_206</t>
  </si>
  <si>
    <t>我要取回代表帝国王权的破晓之冠，在特区的护国领完成加冕。
我要成为……能带领帝国走向重生的新王！</t>
  </si>
  <si>
    <t>stand_chat3|1|0</t>
  </si>
  <si>
    <t>TID_Dialogue_S0_301</t>
  </si>
  <si>
    <t>破晓之冠会由帝国每任的督政亲王保管，只有他和皇帝知道冠冕藏在何处，但父王阵亡得太过突然，根本没有机会告诉我这个秘密…</t>
  </si>
  <si>
    <t>98.17|-0.5|0.79|103.652</t>
  </si>
  <si>
    <t>109|10.5|-5.55|6||1|1|0.5</t>
  </si>
  <si>
    <t>TID_Dialogue_S0_302</t>
  </si>
  <si>
    <t>而如今的督政亲王，这片行省的总督，我的堂兄克洛维也在战争中下落不明…我们得先前往行省首府，才能找到更多线索。</t>
  </si>
  <si>
    <t>TID_Dialogue_S0_303</t>
  </si>
  <si>
    <t>遵从您的意志，安德莉亚殿下。</t>
  </si>
  <si>
    <t>101.83|-1|-1.49|-33.993</t>
  </si>
  <si>
    <t>TID_Dialogue_S0_304</t>
  </si>
  <si>
    <t>急报，我们探到了铁牙狼骑的踪迹，他们正准备袭击我们的后方！</t>
  </si>
  <si>
    <t>101.77|-1|1.75|-147.634</t>
  </si>
  <si>
    <t>TID_Dialogue_S0_305</t>
  </si>
  <si>
    <t>人数不多…只是袭扰之计，哼，别管他们，先全力攻城！</t>
  </si>
  <si>
    <t>98.17|-1|0.79|103.652</t>
  </si>
  <si>
    <t>TID_Dialogue_S0_401</t>
  </si>
  <si>
    <t>城池已被攻下！现在集中兵力，去对付那些烦人的苍蝇！</t>
  </si>
  <si>
    <t>118.2|-9.2|66.9|175.436</t>
  </si>
  <si>
    <t>145|24|43|0.5||1|1|0.5</t>
  </si>
  <si>
    <t>Atilla</t>
  </si>
  <si>
    <t>TID_Dialogue_S0_402</t>
  </si>
  <si>
    <t>报…报告！那支狼骑被一支来路不明的军队消灭了，他们想要见您！</t>
  </si>
  <si>
    <t>121.03|-9.2|64.15|309.907</t>
  </si>
  <si>
    <t>TID_Dialogue_S0_403</t>
  </si>
  <si>
    <t>来路不明的军队？</t>
  </si>
  <si>
    <t>陌生的来客</t>
  </si>
  <si>
    <t>TID_Dialogue_Character_4</t>
  </si>
  <si>
    <t>TID_Dialogue_S0_404</t>
  </si>
  <si>
    <t>安德莉亚？虽然来这没多久，但你的名字我已经听过很多次了，你和这个国家似乎需要一些小小的帮助。</t>
  </si>
  <si>
    <t>action1|1|0</t>
  </si>
  <si>
    <t>121.04|-9.2|50|354.014</t>
  </si>
  <si>
    <t>145|24|30|6|0.5||1|0.5</t>
  </si>
  <si>
    <t>TID_Dialogue_S0_405</t>
  </si>
  <si>
    <t>你站在我们这边？</t>
  </si>
  <si>
    <t>145|24|35|6|0.5||1|0.5</t>
  </si>
  <si>
    <t>TID_Dialogue_S0_406</t>
  </si>
  <si>
    <t>对付野蛮人也算是我的专长之一，如果你能为我提供一支听指挥的军队，我会送你一份大惊喜，我保证。</t>
  </si>
  <si>
    <t>TID_Dialogue_S0_407</t>
  </si>
  <si>
    <t>殿下，我们不知道他的来历，这个陌生人他——</t>
  </si>
  <si>
    <t>121.03|-9.2|64.15|180</t>
  </si>
  <si>
    <t>TID_Dialogue_S0_408</t>
  </si>
  <si>
    <t>我的直觉告诉我你可以相信，我答应你…陌生的旅人，告诉我你的名字。</t>
  </si>
  <si>
    <t>凯撒</t>
  </si>
  <si>
    <t>TID_Dialogue_Character_5</t>
  </si>
  <si>
    <t>TID_Dialogue_S0_409</t>
  </si>
  <si>
    <t>时间会证明这是个正确的选择，我叫凯撒，盖乌斯·尤里乌斯·凯撒。</t>
  </si>
  <si>
    <t>action2|1|0</t>
  </si>
  <si>
    <t>1100005</t>
  </si>
  <si>
    <t>TID_Dialogue_S0_501</t>
  </si>
  <si>
    <t>克洛维，我的堂兄，他是一位友善而又温和的兄长，也是我幼时最好的玩伴，如果没有野蛮人，他会成为一位很好的总督。</t>
  </si>
  <si>
    <t>98.17|0|0.79|103.652</t>
  </si>
  <si>
    <t>Arthur</t>
  </si>
  <si>
    <t>TID_Dialogue_S0_502</t>
  </si>
  <si>
    <t>命运的未知总是残酷，但这也正是它的迷人之处。</t>
  </si>
  <si>
    <t>TID_Dialogue_S0_503</t>
  </si>
  <si>
    <t>凯撒，如果没有你和贞德…我不知该如何感谢你。</t>
  </si>
  <si>
    <t>TID_Dialogue_S0_504</t>
  </si>
  <si>
    <t>这些战争不过是小小的调剂，对我来说反而是一种放松。要答谢我也简单，和我讲讲帝国和蛮族的故事吧。</t>
  </si>
  <si>
    <t>TID_Dialogue_S0_505</t>
  </si>
  <si>
    <t>仁慈的国王为一个野蛮人部族提供了安身之地，但这帮忘恩负义的狼崽子，却将獠牙朝向了自己的恩人！</t>
  </si>
  <si>
    <t>TID_Dialogue_S0_506</t>
  </si>
  <si>
    <t>如果不是我的父王，和守卫王城的帝国之剑墨西牺牲了自己，恐怕连我也…</t>
  </si>
  <si>
    <t>TID_Dialogue_S0_507</t>
  </si>
  <si>
    <t>背叛啊，这杯可恨的苦酒真是让人难以忘怀…放心吧安德莉亚，我会为你取回应得的东西。</t>
  </si>
  <si>
    <t>1100006</t>
  </si>
  <si>
    <t>外城</t>
  </si>
  <si>
    <t>TID_Dialogue_S0_601</t>
  </si>
  <si>
    <t>这座城市…我记得这里，帝国的明珠，是宁静秀美的花园之都。</t>
  </si>
  <si>
    <t>-531.92|0|-1207.25|-22.225</t>
  </si>
  <si>
    <t>-517|18|-1221|32||1|1|0.5</t>
  </si>
  <si>
    <t>Andrea</t>
  </si>
  <si>
    <t>TID_Dialogue_S0_602</t>
  </si>
  <si>
    <t>我小时候经常和父亲来这里度假，父亲的近卫，后来的帝国之剑墨西，就在这儿为我和克洛维教授剑术和兵法。</t>
  </si>
  <si>
    <t>TID_Dialogue_S0_603</t>
  </si>
  <si>
    <t>花园之都已经是过去式了，殿下…灰狼克鲁维斯攻占君临之后，铁牙狼骑占领了这里，他们烧毁了一切，屠杀了这里的所有市民。</t>
  </si>
  <si>
    <t>-534.02|0|-1207.52|14.403</t>
  </si>
  <si>
    <t>TID_Dialogue_S0_604</t>
  </si>
  <si>
    <t>鲜血曾流遍了这里的每条街道，现在，这里被称为红城…殿下？</t>
  </si>
  <si>
    <t>TID_Dialogue_S0_605</t>
  </si>
  <si>
    <t>我没事…到处都是这种惨剧，这就是蛮族给这片土地带来的。我们虽然可以复仇，但那些逝去的人，却永远无法复生了。</t>
  </si>
  <si>
    <t>1100007</t>
  </si>
  <si>
    <t>TID_Dialogue_S0_701</t>
  </si>
  <si>
    <t>什么？你说我的堂兄克洛维还在人世？！</t>
  </si>
  <si>
    <t>109.65|-9.2|66.74|98.638</t>
  </si>
  <si>
    <t>137|24|47|2||1|1|0.5</t>
  </si>
  <si>
    <t>TID_Dialogue_S0_702</t>
  </si>
  <si>
    <t>是的殿下，根据我们得到的情报，克洛维亲王有很长一段时间都被囚禁在这里，不久前被转移到大区次府。</t>
  </si>
  <si>
    <t>113.88|-9.2|68.84|247.644</t>
  </si>
  <si>
    <t>TID_Dialogue_S0_703</t>
  </si>
  <si>
    <t>更糟糕的是，克鲁维斯准备让他成为傀儡皇帝，野蛮人想通过他来控制帝国。</t>
  </si>
  <si>
    <t>113.42|-9.2|64.07|310.436</t>
  </si>
  <si>
    <t>TID_Dialogue_S0_704</t>
  </si>
  <si>
    <t>如果一切成真，我们在名义上会陷入全面的被动……必须在这之前救出克洛维！</t>
  </si>
  <si>
    <t>TID_Dialogue_S0_705</t>
  </si>
  <si>
    <t>更多盟军的领主正在赶来的路上，将汇合地点定在次府，不能让蛮族的阴谋得逞！</t>
  </si>
  <si>
    <t>TID_Dialogue_S0_706</t>
  </si>
  <si>
    <t>1100008</t>
  </si>
  <si>
    <t>TID_Dialogue_Character_6</t>
  </si>
  <si>
    <t>TID_Dialogue_S0_801</t>
  </si>
  <si>
    <t>哈哈哈哈帝国都没了还什么狗屁公主？小女孩儿！快滚回去玩过家家吧！</t>
  </si>
  <si>
    <t>action5|1|0</t>
  </si>
  <si>
    <t>-713.67|0|-1077.19|180</t>
  </si>
  <si>
    <t>-698|15|-1095|32||1|1|0.5</t>
  </si>
  <si>
    <t>TID_Dialogue_S0_802</t>
  </si>
  <si>
    <t>公主殿下，请让我出战捍卫您的名誉，我将用剑封上他们肮脏的嘴！</t>
  </si>
  <si>
    <t>-711.42|0|-1083.97|-23</t>
  </si>
  <si>
    <t>TID_Dialogue_S0_803</t>
  </si>
  <si>
    <t>这座关隘是前往次府的唯一通路，这场战争在所难免，呵，对方的傲慢未尝不是一件好事。</t>
  </si>
  <si>
    <t>-709.21|0|-1082.45|-45.59</t>
  </si>
  <si>
    <t>TID_Dialogue_S0_804</t>
  </si>
  <si>
    <t>既然他们想要战争，那就给他们战争！</t>
  </si>
  <si>
    <t>-710.56|0|-1082.83|-31.33</t>
  </si>
  <si>
    <t>1100009</t>
  </si>
  <si>
    <t>TID_Dialogue_S0_901</t>
  </si>
  <si>
    <t>成功会师，时间不等人，等全军修整完毕，立刻攻打次府！</t>
  </si>
  <si>
    <t>-730.52|0|-1028.25|153.468</t>
  </si>
  <si>
    <t>-715|15|-1046|32||1|1|0.5</t>
  </si>
  <si>
    <t>TID_Dialogue_S0_902</t>
  </si>
  <si>
    <t>我刚刚看过地图，大概有个想法…请稍等，安德莉亚，在攻城之前，我要为你准备一件礼物。</t>
  </si>
  <si>
    <t>-729.13|0|-1030.63|-31.538</t>
  </si>
  <si>
    <t>TID_Dialogue_S0_1001</t>
  </si>
  <si>
    <t>殿下，军情急报，次府的蛮族准备将克洛维转移走，已被凯撒将军率军截下！还有…</t>
  </si>
  <si>
    <t>137|24|47|1||1|1|0.5</t>
  </si>
  <si>
    <t>TID_Dialogue_S0_1002</t>
  </si>
  <si>
    <t>凯撒，不愧是凯撒！果然是份大礼，还有什么？副官，你怎么吞吞吐吐的？</t>
  </si>
  <si>
    <t>TID_Dialogue_S0_1003</t>
  </si>
  <si>
    <t>…占领次府的蛮族自知大势已去，派人前来，想要…向我们投降。</t>
  </si>
  <si>
    <t>TID_Dialogue_S0_1004</t>
  </si>
  <si>
    <t>呵，想打就打，想投就投，哪儿有这么好的事情？！</t>
  </si>
  <si>
    <t>TID_Dialogue_S0_1005</t>
  </si>
  <si>
    <t>公主殿下，为了更大的利益，也许……我们可以接受……</t>
  </si>
  <si>
    <t>TID_Dialogue_S0_1006</t>
  </si>
  <si>
    <t>副官，蛮族入侵时，就在这个行省，无数帝国人在投降之后依然被野蛮人残忍虐杀！</t>
  </si>
  <si>
    <t>TID_Dialogue_S0_1007</t>
  </si>
  <si>
    <t>这不是我一个人的仇恨，是成千上万人的仇恨！我们脚下的每一寸土地都曾浸润着他们的鲜血，我们呼吸的每一缕空气都曾充斥着他们的哭号！</t>
  </si>
  <si>
    <t>stand_chat4|1|0</t>
  </si>
  <si>
    <t>TID_Dialogue_S0_1008</t>
  </si>
  <si>
    <t>只有在正面战场上消灭这些该死的野蛮人，他们的灵魂才能得以安息！我不管什么更大的利益，死亡，就是我对野蛮人最好的回答！</t>
  </si>
  <si>
    <t>stand_chat5|1|0</t>
  </si>
  <si>
    <t>1100011</t>
  </si>
  <si>
    <t>TID_Dialogue_S0_1101</t>
  </si>
  <si>
    <t>克洛维，我亲爱的堂兄，你…</t>
  </si>
  <si>
    <t>Boudica</t>
  </si>
  <si>
    <t>克洛维</t>
  </si>
  <si>
    <t>TID_Dialogue_Character_7</t>
  </si>
  <si>
    <t>TID_Dialogue_S0_1102</t>
  </si>
  <si>
    <t>啊，是安德莉亚…你为什么要救我，为什么？嗯？为什么？哈…哈哈…</t>
  </si>
  <si>
    <t>TID_Dialogue_S0_1103</t>
  </si>
  <si>
    <t>你到底…</t>
  </si>
  <si>
    <t>TID_Dialogue_S0_1104</t>
  </si>
  <si>
    <t>你到底为什么要救我！该死的，你还嫌我受到的折磨不够多吗？！</t>
  </si>
  <si>
    <t>TID_Dialogue_S0_1105</t>
  </si>
  <si>
    <t>安德莉亚，你根本什么都不懂！我们…光凭我们…怎么可能对付得了那些可怕的蛮族…不可能的…绝对不可能的…</t>
  </si>
  <si>
    <t>1100012</t>
  </si>
  <si>
    <t>TID_Dialogue_S0_1201</t>
  </si>
  <si>
    <t>克洛维，稍微冷静些了？</t>
  </si>
  <si>
    <t>TID_Dialogue_S0_1202</t>
  </si>
  <si>
    <t>对不起，安德莉亚…我…你知道吗，我的朋友，我的家人…都死了，就死在我的面前…</t>
  </si>
  <si>
    <t>TID_Dialogue_S0_1203</t>
  </si>
  <si>
    <t>那些野蛮人，用最残忍的手段，将他们…我听着他们绝望地呼喊，直到嗓子嘶哑，看着他们渐渐失去声息，我、我却什么都做不到。</t>
  </si>
  <si>
    <t>TID_Dialogue_S0_1204</t>
  </si>
  <si>
    <t>这不是你的错，克洛维……不是所有人都有能力反抗暴力的伤害。</t>
  </si>
  <si>
    <t>TID_Dialogue_S0_1205</t>
  </si>
  <si>
    <t>我也曾试过反抗，但以我那微不足道的力量，反抗除了让我更痛苦，还有什么用？！而且我的妻女还在蛮族手上…我根本…</t>
  </si>
  <si>
    <t>TID_Dialogue_S0_1206</t>
  </si>
  <si>
    <t>只有服从他们的命令，他们才不会伤害我的家人…求求你安德莉亚，我的妹妹…请让我回去，我知道这是错的，但…我已别无选择…</t>
  </si>
  <si>
    <t>TID_Dialogue_S0_1207</t>
  </si>
  <si>
    <t>是有选择的！我们现在就去攻打囚禁你家人的领堡，把她们救出来！</t>
  </si>
  <si>
    <t>1100013</t>
  </si>
  <si>
    <t>TID_Dialogue_S0_1301</t>
  </si>
  <si>
    <t>你说…什么…我的家人…已经…</t>
  </si>
  <si>
    <t>TID_Dialogue_S0_1302</t>
  </si>
  <si>
    <t>我很抱歉，克洛维亲王…早在野蛮人第一次攻占这座城池的时候，撕裂者就下令，杀死了城中所有的男性…</t>
  </si>
  <si>
    <t>TID_Dialogue_S0_1303</t>
  </si>
  <si>
    <t>而女性都被掳掠送往了君临，你的家人不愿受辱，坚决反抗，被蛮族当场杀害…抱歉，我们来晚了。</t>
  </si>
  <si>
    <t>TID_Dialogue_S0_1304</t>
  </si>
  <si>
    <t>我的家人，死在了野蛮人的手上，我却还愚蠢地为他们效力…哈、哈哈哈…我到底、我到底算什么啊？！我…啊…我的珍妮丝…</t>
  </si>
  <si>
    <t>TID_Dialogue_S0_1305</t>
  </si>
  <si>
    <t>克洛维…</t>
  </si>
  <si>
    <t>TID_Dialogue_S0_1306</t>
  </si>
  <si>
    <t>我答应你们…你们不是要对付蛮族吗？！我加入！我要让他们血债血偿！</t>
  </si>
  <si>
    <t>1100014</t>
  </si>
  <si>
    <t>TID_Dialogue_S0_1401</t>
  </si>
  <si>
    <t>冠冕就在首府，我会帮你们取回。但我听君临幸存的近卫说，国王曾在近卫的见证下托付墨西老师将冠冕之事传达给你，难道他…？</t>
  </si>
  <si>
    <t>185.24|-9.72|41.24|147.894</t>
  </si>
  <si>
    <t>212|24|17|1||1|1|0.5</t>
  </si>
  <si>
    <t>TID_Dialogue_S0_1402</t>
  </si>
  <si>
    <t>我的父亲在君临阵亡了，我们的老师，帝国之剑墨西也壮烈牺牲…我是在死里逃生之后，经历许多波折才组建了这支联军。</t>
  </si>
  <si>
    <t>187.82|-9.99|37.1|-29.006</t>
  </si>
  <si>
    <t>TID_Dialogue_S0_1403</t>
  </si>
  <si>
    <t>…抱歉。</t>
  </si>
  <si>
    <t>TID_Dialogue_S0_1404</t>
  </si>
  <si>
    <t>我的仇恨不比你少，堂兄，它如火般时刻烧灼我的内心，只有敌人的鲜血才能稍微让它冷却…这是我不肯停下的唯一原因。</t>
  </si>
  <si>
    <t>1100015</t>
  </si>
  <si>
    <t>TID_Dialogue_S0_1501</t>
  </si>
  <si>
    <t>盟军的推进得很顺利，我们离首府已经不远了…安德莉亚，你已经不是那个小时候我一起玩耍的小女孩儿了。</t>
  </si>
  <si>
    <t>168.52|-0.47|0.03|90.667</t>
  </si>
  <si>
    <t>190|25|-16|6||1|1|0.5</t>
  </si>
  <si>
    <t>TID_Dialogue_S0_1502</t>
  </si>
  <si>
    <t>是啊，我自己也很意外。记得我们当时都跟墨西老师学习战争和剑术，为了躲避艰苦的训练，我们时常逃到秘密基地去玩耍…</t>
  </si>
  <si>
    <t>168.5|-0.47|1.53|90.667</t>
  </si>
  <si>
    <t>TID_Dialogue_S0_1503</t>
  </si>
  <si>
    <t>秘密基地？啊，你是说首府后山上的那片树林，是的我记起来了，那里有株长着树洞的大树，我们总喜欢在那里玩寻宝和战争游戏。</t>
  </si>
  <si>
    <t>TID_Dialogue_S0_1504</t>
  </si>
  <si>
    <t>那些事都好像发生在昨天…但如果真是这样，那这一天还真是糟糕…战争游戏成为现实，果然就没那么有趣了。</t>
  </si>
  <si>
    <t>TID_Dialogue_S0_1505</t>
  </si>
  <si>
    <t>因为和游戏不一样，我们现在只能赢。等战争结束，我们一起回去看看吧，就算不能回到过去，至少…这是难得的不会让我感到痛苦的回忆了。</t>
  </si>
  <si>
    <t>1100016</t>
  </si>
  <si>
    <t>TID_Dialogue_S0_1601</t>
  </si>
  <si>
    <t>看来你们相处得不错，不管怎么说，这都是一件好事。</t>
  </si>
  <si>
    <t>-43.32|5|5.76|260.008</t>
  </si>
  <si>
    <t>-36.73|16.07|0.5|10||1|1|0.5</t>
  </si>
  <si>
    <t>TID_Dialogue_S0_1602</t>
  </si>
  <si>
    <t>只要取回金冠，我们就可以召集更多的势力加入我们的队伍，安德莉亚，我会倾我所有来帮助你。</t>
  </si>
  <si>
    <t>-46.14|5|4.17|78.666</t>
  </si>
  <si>
    <t>TID_Dialogue_S0_1603</t>
  </si>
  <si>
    <t>帝国的第一顶金冠，安德烈大帝的破晓之冠…希望能如它的名字一样，帮我们刺破这片沉沦的夜色吧。</t>
  </si>
  <si>
    <t>-45.99|5|6.87|110.645</t>
  </si>
  <si>
    <t>TID_Dialogue_S0_1604</t>
  </si>
  <si>
    <t>殿下，我已经将您的号令传达给其他区域的盟军，他们将在首府前跟我们会师。但他们有些担心首府的高墙…希望我们能多准备一些攻城器械。</t>
  </si>
  <si>
    <t>-34.99|5|20.95|214.131</t>
  </si>
  <si>
    <t>-27.25|22|0.5|10|0.5||1|0.5</t>
  </si>
  <si>
    <t>TID_Dialogue_S0_1605</t>
  </si>
  <si>
    <t>等等安德莉亚，我想起来，首府里有一条只有帝国高层才知晓的密道，可以从城外直达城内的总督府。</t>
  </si>
  <si>
    <t>TID_Dialogue_S0_1606</t>
  </si>
  <si>
    <t>虽然密道狭窄，不能让大军通过，但…我可以带一小队人马直接突袭首府中心，帮你从内部打开首府的大门！</t>
  </si>
  <si>
    <t>1100017</t>
  </si>
  <si>
    <t>TID_Dialogue_S0_1701</t>
  </si>
  <si>
    <t>克洛维还没有消息回来吗？</t>
  </si>
  <si>
    <t>80.29|7.61|-58.5|112.956</t>
  </si>
  <si>
    <t>90.5|19.4|-65.4|13||1|1|0.5</t>
  </si>
  <si>
    <t>TID_Dialogue_S0_1702</t>
  </si>
  <si>
    <t>我想我们能做的只有相信他。</t>
  </si>
  <si>
    <t>81.06|7.61|-57.27|134.333</t>
  </si>
  <si>
    <t>TID_Dialogue_S0_1703</t>
  </si>
  <si>
    <t>我知道 ，只是，我总有种不好的预感…</t>
  </si>
  <si>
    <t>TID_Dialogue_S0_1704</t>
  </si>
  <si>
    <t>那就做好面对坏结果的准备，安德莉亚，在这种黑暗时代，作为王…是不能展现温柔和犹豫的。</t>
  </si>
  <si>
    <t>TID_Dialogue_S0_1705</t>
  </si>
  <si>
    <t>…我明白了，凯撒，这就是为王的代价吗。</t>
  </si>
  <si>
    <t>TID_Dialogue_S0_1706</t>
  </si>
  <si>
    <t>和真正的代价比起来…这些根本无足轻重啊。</t>
  </si>
  <si>
    <t>1100018</t>
  </si>
  <si>
    <t>TID_Dialogue_S0_1801</t>
  </si>
  <si>
    <t>殿下，之前跟克洛维亲王前往首府的士兵回来了…但…</t>
  </si>
  <si>
    <t>action31|0</t>
  </si>
  <si>
    <t>TID_Dialogue_S0_1802</t>
  </si>
  <si>
    <t>到底发生了什么事？！</t>
  </si>
  <si>
    <t>TID_Dialogue_S0_1803</t>
  </si>
  <si>
    <t>据他们刚出密道就遭到了蛮族的袭击，敌人似乎早就在埋伏他们。他在混乱中才得以逃脱，但克洛维亲王率领一部分残兵逃往了后山，目前生死不知！</t>
  </si>
  <si>
    <t>TID_Dialogue_S0_1804</t>
  </si>
  <si>
    <t>怎么会…那条密道既然那么隐秘，蛮族又怎么会知道他们的行踪？</t>
  </si>
  <si>
    <t>TID_Dialogue_S0_1805</t>
  </si>
  <si>
    <t>那位士兵目前身受重伤昏迷不醒，殿下…眼下这种情况，盟军问我们是否要继续渡河会师？</t>
  </si>
  <si>
    <t>TID_Dialogue_S0_1806</t>
  </si>
  <si>
    <t>冷静，安德莉亚。</t>
  </si>
  <si>
    <t>2.5|0|-0.16|146.911</t>
  </si>
  <si>
    <t>TID_Dialogue_S0_1807</t>
  </si>
  <si>
    <t>呼…继续推进，下令，即刻攻城！</t>
  </si>
  <si>
    <t>1100019</t>
  </si>
  <si>
    <t>TID_Dialogue_S0_1901</t>
  </si>
  <si>
    <t>现在整个行省的领主军队都已经汇聚在您的旗帜之下，而且，刚刚首府的蛮族首领撕裂者送来了一封信。</t>
  </si>
  <si>
    <t>TID_Dialogue_S0_1902</t>
  </si>
  <si>
    <t>我看看！……克洛维被擒，他们让我立刻退兵，不然…他们就会在城头公开处决他。</t>
  </si>
  <si>
    <t>TID_Dialogue_S0_1903</t>
  </si>
  <si>
    <t>安德莉亚，想想克洛维所背负的，也想想你这一路的旅程，想想你们真正想要的究竟是什么。</t>
  </si>
  <si>
    <t>TID_Dialogue_S0_1904</t>
  </si>
  <si>
    <t>必须…要作出这种残酷的选择吗？</t>
  </si>
  <si>
    <t>TID_Dialogue_S0_1905</t>
  </si>
  <si>
    <t>这不是选择，因为你根本没有第二选项，这点克洛维比你清楚…他希望你能更加坚定。你担负着的不是个人的命运，而是帝国的兴衰！</t>
  </si>
  <si>
    <t>TID_Dialogue_S0_1906</t>
  </si>
  <si>
    <t>告诉野蛮人…我们绝不妥协！就这样吧…</t>
  </si>
  <si>
    <t>1.15|0|-1.4|55.34</t>
  </si>
  <si>
    <t>撕裂者</t>
  </si>
  <si>
    <t>TID_Dialogue_Character_8</t>
  </si>
  <si>
    <t>TID_Dialogue_S0_2001</t>
  </si>
  <si>
    <t>帝国的杂种可真是无情，来看看！这就是被你们那冷血的公主抛弃的亲王！
来吧，克洛维，我的老朋友！让那个小姑娘退兵！我就放你一条生路！</t>
  </si>
  <si>
    <t>TID_Dialogue_S0_2002</t>
  </si>
  <si>
    <t>是…是吗…撕裂者啊…你的承诺吗…</t>
  </si>
  <si>
    <t>TID_Dialogue_S0_2003</t>
  </si>
  <si>
    <t>克洛维…你们这些混蛋！</t>
  </si>
  <si>
    <t>TID_Dialogue_S0_2004</t>
  </si>
  <si>
    <t>抱歉，我搞砸了，安德莉亚…但还好我、我不至于那么没用，我…找到了你要的东西…就放在…在我们约定的地方…</t>
  </si>
  <si>
    <t>TID_Dialogue_S0_2005</t>
  </si>
  <si>
    <t>我让你让这群该死的帝国人退兵！该死，你他妈到底在胡说些什么！</t>
  </si>
  <si>
    <t>TID_Dialogue_S0_2006</t>
  </si>
  <si>
    <t>我在说什么？嘿…嘿嘿，我当然是在这里诅咒你们，天杀的野蛮人！炼狱的业火会把你们罪恶的灵魂都烤成渣滓！</t>
  </si>
  <si>
    <t>TID_Dialogue_S0_2007</t>
  </si>
  <si>
    <t>我！安德烈帝国的辅政亲王！克洛维！我会在这里等着！我要看着帝国的大军攻破城门！把你们丑陋的尸体都挂在城头上！</t>
  </si>
  <si>
    <t>TID_Dialogue_S0_2008</t>
  </si>
  <si>
    <t>珍妮丝…我来见你们了…为了帝国！</t>
  </si>
  <si>
    <t>TID_Dialogue_S0_2009</t>
  </si>
  <si>
    <t>该死，这蠢货！</t>
  </si>
  <si>
    <t>TID_Dialogue_S0_2010</t>
  </si>
  <si>
    <t>不可饶恕！攻破首府！为克洛维亲王报仇！</t>
  </si>
  <si>
    <t>1100021</t>
  </si>
  <si>
    <t>TID_Dialogue_S0_2101</t>
  </si>
  <si>
    <t>请恕罪，殿下…撕裂者逃走了，我们没能抓住他…</t>
  </si>
  <si>
    <t>654.36|0|-456.37|240</t>
  </si>
  <si>
    <t>669|15|-473|32||1|1|0.5</t>
  </si>
  <si>
    <t>TID_Dialogue_S0_2102</t>
  </si>
  <si>
    <t>他躲回了执政关？哼，再见的日子不会太久的…下一次，我不会给他任何机会。</t>
  </si>
  <si>
    <t>653.31|0|-456.98|90</t>
  </si>
  <si>
    <t>TID_Dialogue_S0_2103</t>
  </si>
  <si>
    <t>还有，根据您的指示，我们在首府后山树林的树洞里找到了这个。</t>
  </si>
  <si>
    <t>TID_Dialogue_S0_2104</t>
  </si>
  <si>
    <t>破晓之冠……克洛维…多谢你…</t>
  </si>
  <si>
    <t>TID_Dialogue_S0_2105</t>
  </si>
  <si>
    <t>按照既定战略，接下来，我会护送您越过执政关，前往王属行省的护国领，并在那里如期完成加冕。</t>
  </si>
  <si>
    <t>TID_Dialogue_S0_2106</t>
  </si>
  <si>
    <t>嗯，距离执政关还有几座城？</t>
  </si>
  <si>
    <t>TID_Dialogue_S0_2107</t>
  </si>
  <si>
    <t>几座城都不会有区别，安德莉亚，我们只需要前往它们，看到它们，然后将它们彻底征服。</t>
  </si>
  <si>
    <t>654.61|0|-457.79|-60</t>
  </si>
  <si>
    <t>1100022</t>
  </si>
  <si>
    <t>TID_Dialogue_S0_2201</t>
  </si>
  <si>
    <t>撕裂者呢？这位狼骑的首领，多少次号称要给我点颜色看看，怎么我现在作为客人上门，他这个主人反倒闭门不出了？</t>
  </si>
  <si>
    <t>387.15|0|-432.11|-81.542</t>
  </si>
  <si>
    <t>400|18|-449|32||1|1|0.5</t>
  </si>
  <si>
    <t>TID_Dialogue_S0_2202</t>
  </si>
  <si>
    <t>大概只有躲在这座号称不可跨越的执政关，才能给他带来些许安宁吧，原谅他吧，安德莉亚，不论人还是动物，胆怯总是天性，所以勇气才显得更为难得。</t>
  </si>
  <si>
    <t>387.02|0|-430|-92.764</t>
  </si>
  <si>
    <t>TID_Dialogue_S0_2203</t>
  </si>
  <si>
    <t>过去，我曾无数次在这座雄关顶部向下俯瞰 ，仿佛只要坐镇于此，所有的敌人都是蝼蚁。但世界上又怎么会存在恒久不变的胜利…</t>
  </si>
  <si>
    <t>TID_Dialogue_S0_2204</t>
  </si>
  <si>
    <t>走到了这里，任何事情都不能阻挡我，给这位老朋友上一课吧…我会在这里，和他把所有的恩怨做一个彻底的了结！</t>
  </si>
  <si>
    <t>1100023</t>
  </si>
  <si>
    <t>TID_Dialogue_S0_2301</t>
  </si>
  <si>
    <t>攻破了这座号称“不可跨越”的执政关，你似乎并没有显得多兴奋？</t>
  </si>
  <si>
    <t>365.6|0|-433.48|18</t>
  </si>
  <si>
    <t>380|15|-448|32||1|1|0.5</t>
  </si>
  <si>
    <t>TID_Dialogue_S0_2302</t>
  </si>
  <si>
    <t>号称不可跨越就终会被跨越，号称不可战胜就终会被战胜…更何况，算上蛮族那次，这已经不是第一次不可跨越的它被人跨越了。</t>
  </si>
  <si>
    <t>365.93|0|-431.78|186.6</t>
  </si>
  <si>
    <t>TID_Dialogue_S0_2303</t>
  </si>
  <si>
    <t>不过，至少现在我总算可以对克洛维，以及行省中牺牲的所有人有个暂时的交代，虽然这个交代相比起他们的苦痛，显得有些微不足道，而且…来得太迟。</t>
  </si>
  <si>
    <t>TID_Dialogue_S0_2304</t>
  </si>
  <si>
    <t>我会把撕裂者的尸体献祭在克洛维的坟墓前，以告慰所有英勇不屈的灵魂。</t>
  </si>
  <si>
    <t>TID_Dialogue_S0_2305</t>
  </si>
  <si>
    <t>铭记过去能让我们更珍视现在，这是一件好事，我们什么时候动身前往护国领？</t>
  </si>
  <si>
    <t>TID_Dialogue_S0_2306</t>
  </si>
  <si>
    <t>现在。</t>
  </si>
  <si>
    <t>TID_Dialogue_S0_2401</t>
  </si>
  <si>
    <t>这座城，有些奇怪。</t>
  </si>
  <si>
    <t>316.72|0|-428.38|-98.307</t>
  </si>
  <si>
    <t>330|15|-445|32||1|1|0.5</t>
  </si>
  <si>
    <t>TID_Dialogue_S0_2402</t>
  </si>
  <si>
    <t>毕竟已经进入了王属行省，留在这里的肯定都是野蛮人的精锐。</t>
  </si>
  <si>
    <t>316.696|0|-429.526|-82.531</t>
  </si>
  <si>
    <t>1100024</t>
  </si>
  <si>
    <t>TID_Dialogue_S0_2403</t>
  </si>
  <si>
    <t>不是…我是说，这些野蛮人守城的战术，和帝国传授的战术理论…很像。</t>
  </si>
  <si>
    <t>TID_Dialogue_S0_2404</t>
  </si>
  <si>
    <t>如果这是他们自己领悟的，我只能说，只要给这些野蛮人充足的时间修整，他们会成为大陆上最不可忽视的一股力量。</t>
  </si>
  <si>
    <t>TID_Dialogue_S0_2405</t>
  </si>
  <si>
    <t>不过现在，我来了。先让我给他们的妄想浇一盆冷水吧，哈，希望他们能喜欢。</t>
  </si>
  <si>
    <t>1100025</t>
  </si>
  <si>
    <t>墨西</t>
  </si>
  <si>
    <t>TID_Dialogue_Character_9</t>
  </si>
  <si>
    <t>TID_Dialogue_S0_2501</t>
  </si>
  <si>
    <t>安德莉亚，公主殿下…我亲爱的学生，好久不见。</t>
  </si>
  <si>
    <t>9.93|-4.01|-92.66|-1.567</t>
  </si>
  <si>
    <t>36|30|-106|6||1|1|0.5</t>
  </si>
  <si>
    <t>TID_Dialogue_S0_2502</t>
  </si>
  <si>
    <t>老师！您、您还活着？！</t>
  </si>
  <si>
    <t>9.22|-0.64|-81.7|-189.62</t>
  </si>
  <si>
    <t>TID_Dialogue_S0_2503</t>
  </si>
  <si>
    <t>哦？这位忽然找上门来的先生，就是传说中的帝国之剑？我听说过有关你的无数故事，但所有结局都是你牺牲在之前的君临之战里。</t>
  </si>
  <si>
    <t>12.54|-0.64|-81.45|-171.63</t>
  </si>
  <si>
    <t>TID_Dialogue_S0_2504</t>
  </si>
  <si>
    <t>侥幸逃得一条性命…安德莉亚，这位是你的新朋友吗？</t>
  </si>
  <si>
    <t>TID_Dialogue_S0_2505</t>
  </si>
  <si>
    <t>老师，这位是凯撒，有他和你帮我，我们一定可以光复帝国！走！我带您去认识一下其他人！</t>
  </si>
  <si>
    <t>1100026</t>
  </si>
  <si>
    <t>TID_Dialogue_S0_2601</t>
  </si>
  <si>
    <t>目前我们首要的战略目标，还是快速抵达护国领帮公主殿下完成加冕。</t>
  </si>
  <si>
    <t>-54.44|6.03|7.76|-135.546</t>
  </si>
  <si>
    <t>-31|38|-15|13||1|1|0.5</t>
  </si>
  <si>
    <t>TID_Dialogue_S0_2602</t>
  </si>
  <si>
    <t>前进的路线有两条，一条从小路出发，避开蛮族势力，直达护国领，一条则是先攻打护国领的卫城，然后以此为据点，徐徐图之。</t>
  </si>
  <si>
    <t>TID_Dialogue_S0_2603</t>
  </si>
  <si>
    <t>我建议以奇兵直接强渡河口，突袭护国领，在蛮族反应过来之前达成战略目标。</t>
  </si>
  <si>
    <t>-53.99|6.03|6.09|-91.692</t>
  </si>
  <si>
    <t>TID_Dialogue_S0_2604</t>
  </si>
  <si>
    <t>我也同意凯撒将军的看法，迅速而隐秘，是战争的不二法门。</t>
  </si>
  <si>
    <t>TID_Dialogue_S0_2605</t>
  </si>
  <si>
    <t>唔…老师觉得呢？</t>
  </si>
  <si>
    <t>-56.16|6.03|5.89|-265.706</t>
  </si>
  <si>
    <t>TID_Dialogue_S0_2606</t>
  </si>
  <si>
    <t>我认为行动还是稳妥为上，先攻打卫城，那里作为战略要冲，进可攻退可守。</t>
  </si>
  <si>
    <t>-54.55|6.03|4.52|-54.624</t>
  </si>
  <si>
    <t>TID_Dialogue_S0_2607</t>
  </si>
  <si>
    <t>就怕到时候敌人不让你攻也不让你守啊…你来决定吧，安德莉亚。</t>
  </si>
  <si>
    <t>TID_Dialogue_S0_2608</t>
  </si>
  <si>
    <t>…这一次，我想听从老师的建议。凯撒，还有贞德…抱歉了。</t>
  </si>
  <si>
    <t>TID_Dialogue_S0_2701</t>
  </si>
  <si>
    <t>这里的居民似乎生活得还不错，但他们似乎对我们不是很欢迎。</t>
  </si>
  <si>
    <t>326.968|0|-293.327|-260</t>
  </si>
  <si>
    <t>342|15|-309|32||1|1|0.5</t>
  </si>
  <si>
    <t>1100027</t>
  </si>
  <si>
    <t>TID_Dialogue_S0_2702</t>
  </si>
  <si>
    <t>大概是因为我们打扰了他们平静吧…对这些人民来说，他们只在乎自己的生活，并不在乎统治这里的是帝国还是蛮族。</t>
  </si>
  <si>
    <t>328.392|0|-293.905|-90</t>
  </si>
  <si>
    <t>TID_Dialogue_S0_2703</t>
  </si>
  <si>
    <t>可，老师，我们明明是正义的一方…</t>
  </si>
  <si>
    <t>TID_Dialogue_S0_2704</t>
  </si>
  <si>
    <t>正义？安德莉亚，你还记得我教过你的东西吗？</t>
  </si>
  <si>
    <t>TID_Dialogue_S0_2705</t>
  </si>
  <si>
    <t>记得，老师，绝对坚定的意志，永不犹疑的信念，始终为了正义而挥剑！</t>
  </si>
  <si>
    <t>TID_Dialogue_S0_2706</t>
  </si>
  <si>
    <t>但你真的明白所谓的正义究竟是什么吗？我时常在想…我们和蛮族的区别，也许只是我们来的比蛮族更早而已。</t>
  </si>
  <si>
    <t>TID_Dialogue_S0_2801</t>
  </si>
  <si>
    <t>都已经打到卫城了，怎么你的状态还不如我刚见你的时候。</t>
  </si>
  <si>
    <t>1100028</t>
  </si>
  <si>
    <t>TID_Dialogue_S0_2802</t>
  </si>
  <si>
    <t>我…之前老师和我简单聊了聊…我坚持的正义，真的是错误的吗？</t>
  </si>
  <si>
    <t>TID_Dialogue_S0_2803</t>
  </si>
  <si>
    <t>所谓的信条、口号，不过都是虚伪的假象，要定论一个人，始终得看他做了什么，以及他是否诚实地面对自己的内心。</t>
  </si>
  <si>
    <t>TID_Dialogue_S0_2804</t>
  </si>
  <si>
    <t>我们和普通民众最大的区别，是我们可以站得更高，看得更多更远。你觉得，如果蛮族真的正式掌控了帝国，这里的人们真的能保有所谓的平静吗？</t>
  </si>
  <si>
    <t>TID_Dialogue_S0_2805</t>
  </si>
  <si>
    <t>那些饱受折磨的人们，那些惨遭屠戮的人们，那些绝望而死的人们，他们都不会同意这个想法…</t>
  </si>
  <si>
    <t>TID_Dialogue_S0_2806</t>
  </si>
  <si>
    <t>看来你已经明白了，那已经说明了蛮族的本质，如果有人想要故意无视，呵…</t>
  </si>
  <si>
    <t>TID_Dialogue_S0_2807</t>
  </si>
  <si>
    <t>嗯，我绝不会辜负我对克洛维和所有牺牲者的承诺。</t>
  </si>
  <si>
    <t>1100029</t>
  </si>
  <si>
    <t>TID_Dialogue_S0_2901</t>
  </si>
  <si>
    <t>卫城，下一步就是护国领，父亲，如果你在看着我的话，请护佑我，护佑我取得最终的胜利。副官，我的老师呢？</t>
  </si>
  <si>
    <t>-435.04|0|-509.33|0</t>
  </si>
  <si>
    <t>-421|15|-523|32||1|1|0.5</t>
  </si>
  <si>
    <t>TID_Dialogue_S0_2902</t>
  </si>
  <si>
    <t>不知道，殿下，自从攻破城池之后，就没有人见过墨西先生了。</t>
  </si>
  <si>
    <t>-433.88|0|-509.11|-34.222</t>
  </si>
  <si>
    <t>TID_Dialogue_S0_2903</t>
  </si>
  <si>
    <t>他到底…刚打完卫城，先让士兵们都休息一下，等养精蓄锐之后再强渡河关，一口气打下护国领！</t>
  </si>
  <si>
    <t>TID_Dialogue_S0_2904</t>
  </si>
  <si>
    <t>殿下，紧急消息，侦察兵发现蛮族正加紧往护国领运送火药，凯撒将军已经去探查蛮族的具体动向了！</t>
  </si>
  <si>
    <t>-435.02|0|-515.45|0</t>
  </si>
  <si>
    <t>-420|15|-528|32|0.5||1|0.5</t>
  </si>
  <si>
    <t>1100030</t>
  </si>
  <si>
    <t>TID_Dialogue_S0_3001</t>
  </si>
  <si>
    <t>已经没有修整的时间了，蛮族的目标非常明确，就是准备彻底毁掉护国领…我们必须得赶在他们之前渡河，掐死护国领和外界的通道。</t>
  </si>
  <si>
    <t>-433.08|0|-464.08|180.357</t>
  </si>
  <si>
    <t>-419|15|-480|32||1|1|0.5</t>
  </si>
  <si>
    <t>TID_Dialogue_S0_3002</t>
  </si>
  <si>
    <t>他们之前对护国领明明没有那么看重，怎么忽然就…</t>
  </si>
  <si>
    <t>-433.73|0|-465.97|370.77</t>
  </si>
  <si>
    <t>TID_Dialogue_S0_3003</t>
  </si>
  <si>
    <t>希望不是我想的那样，士兵们的情况怎么样？</t>
  </si>
  <si>
    <t>TID_Dialogue_S0_3004</t>
  </si>
  <si>
    <t>虽然有点疲累，但大家的斗志依旧很高昂，因为我们都相信公主殿下，相信您所带领的前方是正确的道路。</t>
  </si>
  <si>
    <t>TID_Dialogue_S0_3005</t>
  </si>
  <si>
    <t>只要你足够坚定，安德莉亚，那我们将战无不胜。</t>
  </si>
  <si>
    <t>-432|0|-465.97|334.238</t>
  </si>
  <si>
    <t>TID_Dialogue_S0_3006</t>
  </si>
  <si>
    <t>…多谢，幸好还有你们。那就，让我们大干一场吧！</t>
  </si>
  <si>
    <t>1100031</t>
  </si>
  <si>
    <t>TID_Dialogue_S0_3101</t>
  </si>
  <si>
    <t>所以，果然是你吗…老师？你为什么要背叛我？背叛这个国家？！</t>
  </si>
  <si>
    <t>-674.9|0|-138|0</t>
  </si>
  <si>
    <t>-660|15|-148|32||1|1|0.5</t>
  </si>
  <si>
    <t>TID_Dialogue_S0_3102</t>
  </si>
  <si>
    <t>我别无选择，安德莉亚，只有这样，我才能保护王属行省和君临大部分人民的安全，这是我和蛮族达成的交易。</t>
  </si>
  <si>
    <t>-674.9|0|-129.65|180</t>
  </si>
  <si>
    <t>TID_Dialogue_S0_3103</t>
  </si>
  <si>
    <t>我的父亲，以及克洛维的死…和你有没有关系。</t>
  </si>
  <si>
    <t>TID_Dialogue_S0_3104</t>
  </si>
  <si>
    <t>老国王是一位值得尊敬的领袖，我们并肩作战到他生命的最后一刻，至于克洛维…抱歉，为了达成崇高的目标，总得牺牲一些人。</t>
  </si>
  <si>
    <t>TID_Dialogue_S0_3105</t>
  </si>
  <si>
    <t>草原人答应我，只要我能守住帝国的门户，协助他们彻底消灭帝国的王室，那他们将放所有的平民一条生路…然后这片土地将重新归于和平。</t>
  </si>
  <si>
    <t>TID_Dialogue_S0_3106</t>
  </si>
  <si>
    <t>这种愚蠢的托词就是你的理由吗？！野蛮人就那么值得你相信吗？！</t>
  </si>
  <si>
    <t>TID_Dialogue_S0_3107</t>
  </si>
  <si>
    <t>至少，我信念纯洁，至少，我问心无愧…多说无益，动手吧，安德莉亚！</t>
  </si>
  <si>
    <t>1100032</t>
  </si>
  <si>
    <t>TID_Dialogue_S0_3201</t>
  </si>
  <si>
    <t>殿下，帝国之剑他…并不在城内，应该已经通过撤退通道先行离开了…</t>
  </si>
  <si>
    <t>-667.358|0|-96|0</t>
  </si>
  <si>
    <t>-653|15|-110|32||1|1|0.5</t>
  </si>
  <si>
    <t>TID_Dialogue_S0_3202</t>
  </si>
  <si>
    <t>双刃的帝国之剑？哼，先别管他了，现在有比那更重要的事情。</t>
  </si>
  <si>
    <t>-667.427|0|-94|180</t>
  </si>
  <si>
    <t>TID_Dialogue_S0_3203</t>
  </si>
  <si>
    <t>从倾听潮汐城的涛声，到沐浴护国领的山风，我们曾攀越最险峻的山脉，也曾历足最崎岖的低谷，但现在，我们终于来到了这片神圣之地。</t>
  </si>
  <si>
    <t>TID_Dialogue_S0_3204</t>
  </si>
  <si>
    <t>三百年前，大帝安德烈一世在此地击败了他一生的敌人黑骑士罗塞尔，在护国领的圣山之巅，带上了用敌人黑剑所打造的破晓之冠，建立了这片伟大的帝国。</t>
  </si>
  <si>
    <t>TID_Dialogue_S0_3205</t>
  </si>
  <si>
    <t>而如今，我们为了光复帝国的荣耀，从恶徒手中重新夺回了这座圣城…帝国的四大行省，为此战斗而牺牲的千千万万人，都在等待着这一天。</t>
  </si>
  <si>
    <t>TID_Dialogue_S0_3206</t>
  </si>
  <si>
    <t>今日，我安德莉亚！帝国的光复者！先王血脉的传承者！最后的帝国公主！将在此登上封王圣山，在四地八方的见证下，重新带上破晓之冠！并点燃圣火！</t>
  </si>
  <si>
    <t>TID_Dialogue_S0_3207</t>
  </si>
  <si>
    <t>帝国的所有人都在等着这一天，安德莉亚…女皇陛下。</t>
  </si>
  <si>
    <t>TID_Dialogue_S0_3208</t>
  </si>
  <si>
    <t>天命站在我们这边，陛下。</t>
  </si>
  <si>
    <t>-667.358|0|-96|-40</t>
  </si>
  <si>
    <t>TID_Dialogue_S0_3209</t>
  </si>
  <si>
    <t>至少今天是，至少这一刻是。</t>
  </si>
  <si>
    <t>1100033</t>
  </si>
  <si>
    <t>TID_Dialogue_S0_3301</t>
  </si>
  <si>
    <t>军队已经集合完毕，所有人都在恭听您的第一道命令，陛下。</t>
  </si>
  <si>
    <t>-673.14|0|-64.63|0</t>
  </si>
  <si>
    <t>-658|15|-80|32||1|1|0.5</t>
  </si>
  <si>
    <t>TID_Dialogue_S0_3302</t>
  </si>
  <si>
    <t>向王权之门进发，消灭叛徒墨西！攻入帝都，收复君临，将野蛮人克鲁维斯彻底赶出帝国！</t>
  </si>
  <si>
    <t>-673.14|0|-62.15|180</t>
  </si>
  <si>
    <t>1100034</t>
  </si>
  <si>
    <t>TID_Dialogue_S0_3401</t>
  </si>
  <si>
    <t>老师，这是我最后一次以这个词来称呼你，你为什么执意要与我们为敌！</t>
  </si>
  <si>
    <t>-11.15|0|-62.87|-44.287</t>
  </si>
  <si>
    <t>1|15|-76|32||1|1|0.5</t>
  </si>
  <si>
    <t>TID_Dialogue_S0_3402</t>
  </si>
  <si>
    <t>自从决定的那一刻起…我就已经做好了这个准备，看来你已经获得了你想要的东西，安德莉亚，这真的是正确的吗？哪怕这是以千万人们的性命为代价？</t>
  </si>
  <si>
    <t>-13.35|0|-60.63|130.552</t>
  </si>
  <si>
    <t>TID_Dialogue_S0_3403</t>
  </si>
  <si>
    <t>墨西，你只能看到眼前虚假的宁静，却听不到远方的哀嚎与痛哭，你的坚持有多可笑你还不明白吗？真正自私的人是你！我才是在拯救这个国家！</t>
  </si>
  <si>
    <t>TID_Dialogue_S0_3404</t>
  </si>
  <si>
    <t>依靠慢性毒药解渴是愚蠢的行为，和野兽妥协只会失去更多！我不信你不懂，只是你不愿意承认自己错了，反而沉溺在自我营造的幻象中。</t>
  </si>
  <si>
    <t>TID_Dialogue_S0_3405</t>
  </si>
  <si>
    <t>我错的只有一件事，就是一直把你当成一个勇敢的英雄…但实际上，你只是一个不敢看清真相的懦夫！</t>
  </si>
  <si>
    <t>TID_Dialogue_S0_3406</t>
  </si>
  <si>
    <t>够了！让我看看这些年，你从我这到底都学了些什么吧！安德莉亚！</t>
  </si>
  <si>
    <t>1100035</t>
  </si>
  <si>
    <t>TID_Dialogue_S0_3501</t>
  </si>
  <si>
    <t>绝对坚定的意志，永不犹疑的信念，始终为了正义而挥剑…但我的剑…果然已经不再锋利了。</t>
  </si>
  <si>
    <t>action4|1|0</t>
  </si>
  <si>
    <t>TID_Dialogue_S0_3502</t>
  </si>
  <si>
    <t>…</t>
  </si>
  <si>
    <t>stand_idle|1|0</t>
  </si>
  <si>
    <t>TID_Dialogue_S0_3503</t>
  </si>
  <si>
    <t>你说的没错，安德莉亚…是我…不敢去看清真相，宁愿龟缩在…假象所打造的牢笼中…</t>
  </si>
  <si>
    <t>TID_Dialogue_S0_3504</t>
  </si>
  <si>
    <t>我的佩剑…圣剑索拉尔…你比我更有资格拥有它…用它…去践行你的正义…去拯救这个国家…</t>
  </si>
  <si>
    <t>TID_Dialogue_S0_3505</t>
  </si>
  <si>
    <t>安德莉亚，你长大了…我真的…很开心…
啊…是安德烈陛下，你一直在等我吗…还有克洛维，可怜的孩子…</t>
  </si>
  <si>
    <t>TID_Dialogue_S0_3506</t>
  </si>
  <si>
    <t>对不起…我…对不起…安德莉亚…</t>
  </si>
  <si>
    <t>TID_Dialogue_S0_3507</t>
  </si>
  <si>
    <t>你是我教过的…最好的学生。</t>
  </si>
  <si>
    <t>1100036</t>
  </si>
  <si>
    <t>克鲁维斯</t>
  </si>
  <si>
    <t>TID_Dialogue_Character_10</t>
  </si>
  <si>
    <t>TID_Dialogue_S0_3601</t>
  </si>
  <si>
    <t>安德莉亚，你的父亲安德烈三世是一位英勇的战士……哦对，还有墨西，我注意到了你拿着他的佩剑。刀剑的歌唱，鲜血的温度，我至今仍怀念那场战斗，</t>
  </si>
  <si>
    <t>-112.85|0|60.44|180</t>
  </si>
  <si>
    <t>-99|15|44|32||1|1|0.5</t>
  </si>
  <si>
    <t>TID_Dialogue_S0_3602</t>
  </si>
  <si>
    <t>战士的伟大不需要你来假惺惺地宣告，克鲁维斯，是你卑劣地欺骗了他们，是你为帝国带来了不可挽回的灾难！野蛮人的灰狼，来吧！让我们把一切做个了结！</t>
  </si>
  <si>
    <t>-112.85|0|57.69|0</t>
  </si>
  <si>
    <t>TID_Dialogue_S0_3603</t>
  </si>
  <si>
    <t>哈，野蛮人？曾经我不懂为什么你们这些所谓的文明人，天生就能占据更为富庶的土地，为什么我们从出生就得背负着野蛮人的蔑称，只能在恶劣的环境中挣扎求生。</t>
  </si>
  <si>
    <t>TID_Dialogue_S0_3604</t>
  </si>
  <si>
    <t>后来，我的义父，伟大的草原之王阿提拉告诉我，因为你们强于我们，所以拥有了支配我们的资格。但现在我强于你们，所以你们的帝国只配在我的脚下匍匐！</t>
  </si>
  <si>
    <t>TID_Dialogue_S0_3605</t>
  </si>
  <si>
    <t>我的后面有所有帝国的子民，绝对的力量在我们这里！</t>
  </si>
  <si>
    <t>TID_Dialogue_S0_3606</t>
  </si>
  <si>
    <t>那么现在，向我展示。</t>
  </si>
  <si>
    <t>1100037</t>
  </si>
  <si>
    <t>TID_Dialogue_S0_3701</t>
  </si>
  <si>
    <t>你输了，克鲁维斯，准备接受帝国的审判吧！</t>
  </si>
  <si>
    <t>-113|0|90.2|0</t>
  </si>
  <si>
    <t>-98|15|76|32||1|1|0.5</t>
  </si>
  <si>
    <t>TID_Dialogue_S0_3702</t>
  </si>
  <si>
    <t>幼稚的小姑娘，你还不明白，你从来没有看过外面的天空，在那里，命运的星星已经改变了它的位置！你或者我，一个人的死亡根本无足轻重！</t>
  </si>
  <si>
    <t>-113|0|93.22|180</t>
  </si>
  <si>
    <t>TID_Dialogue_S0_3703</t>
  </si>
  <si>
    <t>至少你的死亡能给暂时为这一切画上一个句号。</t>
  </si>
  <si>
    <t>TID_Dialogue_S0_3704</t>
  </si>
  <si>
    <t>你也知道是暂时，属于你们的时代已经结束了，阿提拉的军队已经在这片掀起混乱的风暴，它将摧毁一切旧秩序，在大陆上重新建立起新的规则！</t>
  </si>
  <si>
    <t>TID_Dialogue_S0_3705</t>
  </si>
  <si>
    <t>那我将打破风暴，就像此刻我击败你一样。</t>
  </si>
  <si>
    <t>TID_Dialogue_S0_3706</t>
  </si>
  <si>
    <t>是吗？哼，我拭目以待。</t>
  </si>
  <si>
    <t>迷雾战场lv1</t>
  </si>
  <si>
    <t>icon_newbie</t>
  </si>
  <si>
    <t>TID_FOGBATTLE_LEVEL_1_DLG_1</t>
  </si>
  <si>
    <t>这里的视野太差，在没有探清地形前最好小心行事，温德，跟紧我。</t>
  </si>
  <si>
    <t>TID_FOGBATTLE_LEVEL_1_DLG_2</t>
  </si>
  <si>
    <t>是被野蛮人劫掠的宝物……这群混账，不知道有多少人死在了他们手里。</t>
  </si>
  <si>
    <t>TID_FOGBATTLE_LEVEL_1_DLG_3</t>
  </si>
  <si>
    <t>……我们必须尽量夺回这些宝物，不管是为了帝国还是这里的人民，那些都不该属于野蛮人！</t>
  </si>
  <si>
    <t>TID_FOGBATTLE_LEVEL_1_DLG_4</t>
  </si>
  <si>
    <t>看起来野蛮人还没来得及带走这些箱子，让我们来帮帮他们。</t>
  </si>
  <si>
    <t>TID_FOGBATTLE_LEVEL_1_DLG_5</t>
  </si>
  <si>
    <t>还没有看到图尔坎的踪迹，不过从蛮族的实力来看，我们已经接近首领驻扎的地点了。</t>
  </si>
  <si>
    <t>TID_FOGBATTLE_LEVEL_1_DLG_6</t>
  </si>
  <si>
    <t>看来可以从这里直接离开，走吧，这里已经没有更多东西了。</t>
  </si>
  <si>
    <t>TID_FOGBATTLE_LEVEL_1_DLG_7</t>
  </si>
  <si>
    <t>看来可以从这里直接离开，但现在还不是时候，我们要取回所有宝藏，给蛮族更多的教训！</t>
  </si>
  <si>
    <t>TID_FOGBATTLE_LEVEL_1_DLG_8</t>
  </si>
  <si>
    <t>是之前帝国修建的战术塔，我们可以用它给敌人一个大惊喜！</t>
  </si>
  <si>
    <t>TID_FOGBATTLE_LEVEL_1_DLG_9</t>
  </si>
  <si>
    <t>小心！是敌袭！</t>
  </si>
  <si>
    <t>迷雾战场lv3</t>
  </si>
  <si>
    <t>鬼谷子</t>
  </si>
  <si>
    <t>TID_FOGBATTLE_TOWER_NAME_9</t>
  </si>
  <si>
    <t>newbie_oversea_guiguzi</t>
  </si>
  <si>
    <t>TID_FOGBATTLE_TOWER_DESC_9</t>
  </si>
  <si>
    <t>尊敬的长官！这有一份关于遗迹宝藏的情报，我已经把通往它的路线标记在您的地图上！</t>
  </si>
  <si>
    <t>TID_FOGBATTLE_LEVEL_3_DLG_3</t>
  </si>
  <si>
    <t>竟然这么快就找到了宝藏！太棒了！不愧是长官！</t>
  </si>
  <si>
    <t>TID_FOGBATTLE_LEVEL_2_DLG_1</t>
  </si>
  <si>
    <t>强大的怪物在镇守宝箱，从背后绕开视野偷袭会是一个好办法！</t>
  </si>
  <si>
    <t>TID_FOGBATTLE_LEVEL_2_DLG_2</t>
  </si>
  <si>
    <t>发现了一个撤离点！但我军现在斗志昂扬，可以再搜寻一些宝物之后再行撤离！</t>
  </si>
  <si>
    <t>TID_FOGBATTLE_LEVEL_2_DLG_3</t>
  </si>
  <si>
    <t>这片土地在哀鸣……跟随我的旗帜，士兵们，握紧长剑，不要怜悯！</t>
  </si>
  <si>
    <t>TID_FOGBATTLE_LEVEL_2_DLG_4</t>
  </si>
  <si>
    <t>你的死亡将让这里重回宁静，你该为此感到荣幸，野蛮人。</t>
  </si>
  <si>
    <t>海外obt新手</t>
  </si>
  <si>
    <t>TID_DialogNewbieFogWarGuide_1</t>
  </si>
  <si>
    <t>大人，我们在这里找到了蛮族营寨驻扎的地点。</t>
  </si>
  <si>
    <t>TID_DialogNewbieFogWarGuide_2</t>
  </si>
  <si>
    <t>准备出发，讨伐蛮族！</t>
  </si>
  <si>
    <t>TID_DialogLimitTimeTaskGuide_1</t>
  </si>
  <si>
    <t>大人，侦察兵发现一批蛮族大军正朝我们行军！</t>
  </si>
  <si>
    <t>TID_DialogLimitTimeTaskGuide_2</t>
  </si>
  <si>
    <t>吩咐大家以最快的速度完成以下事项应对蛮族来袭！</t>
  </si>
  <si>
    <t>海外副玩法新手</t>
  </si>
  <si>
    <t>TID_BS_Narrative_1</t>
  </si>
  <si>
    <t>我可不是阿提卡那样的废物，草原勇士，掀翻这座城池！</t>
  </si>
  <si>
    <t>TID_BS_Narrative_2</t>
  </si>
  <si>
    <t>戒备！蛮族来袭！</t>
  </si>
  <si>
    <t>TID_BS_Narrative_3</t>
  </si>
  <si>
    <t>敌军太多了，正面作战我们没有丝毫胜算。</t>
  </si>
  <si>
    <t>TID_BS_Narrative_4</t>
  </si>
  <si>
    <t>只有潜入敌后消灭敌军首领才是唯一的办法，让我去吧！</t>
  </si>
  <si>
    <t>TID_BS_Narrative_5</t>
  </si>
  <si>
    <t>小心行事，我已经备好了战法，这些敌人不是对手。</t>
  </si>
  <si>
    <t>TID_BS_Narrative_6</t>
  </si>
  <si>
    <t>糟糕，野蛮人被惊动了！</t>
  </si>
  <si>
    <t>TID_BS_Narrative_7</t>
  </si>
  <si>
    <t>消灭图尔坎，彻底了结这一切！</t>
  </si>
  <si>
    <t>TID_BS_Narrative_8</t>
  </si>
  <si>
    <t>剩下的敌人已经撤退了！得赶快发展，蛮族不会给我们太多时间。</t>
  </si>
  <si>
    <t>TID_BS_Narrative_11</t>
  </si>
  <si>
    <t>侦察到蛮族首领蒙杜克的动向，他们正往这里行军！</t>
  </si>
  <si>
    <t>TID_BS_Narrative_12</t>
  </si>
  <si>
    <t>不过是再来一次潜入罢了，交给我吧。</t>
  </si>
  <si>
    <t>TID_BS_Narrative_13</t>
  </si>
  <si>
    <t>蒙杜克就在这，击败他，城镇的危机自会解除！</t>
  </si>
  <si>
    <t>TID_BS_Narrative_14</t>
  </si>
  <si>
    <t>怎么会……有人偷袭？！快！我的铠甲和武器呢？！</t>
  </si>
  <si>
    <t>TID_BS_Narrative_15</t>
  </si>
  <si>
    <t>帝国的小公主，我会捏碎你的头颅，让你知道自己做了一个多么愚蠢的决定！</t>
  </si>
  <si>
    <t>TID_BS_Narrative_16</t>
  </si>
  <si>
    <t>我不会败！我……不……</t>
  </si>
  <si>
    <t>TID_Survivor_Dialog_1</t>
  </si>
  <si>
    <t>TID_Survivor_Dialog_2</t>
  </si>
  <si>
    <t>TID_Survivor_Dialog_3</t>
  </si>
  <si>
    <t>这样不行，城镇在蛮族投石车的攻击下支撑不了太久。</t>
  </si>
  <si>
    <t>TID_Survivor_Dialog_4</t>
  </si>
  <si>
    <t>这条密道可以绕到敌军后方，但只能容许一人通过……</t>
  </si>
  <si>
    <t>TID_Survivor_Dialog_5</t>
  </si>
  <si>
    <t>只能这样了，我独自去侦察一下敌情，副官，城镇就交给你了。</t>
  </si>
  <si>
    <t>TID_Survivor_Dialog_6</t>
  </si>
  <si>
    <t>蛮族掉落的补给能提升我们的战力，最好尽量收集它们。</t>
  </si>
  <si>
    <t>TID_Survivor_Dialog_7</t>
  </si>
  <si>
    <t>我变强了，这让我可以使用更多不同的战法。</t>
  </si>
  <si>
    <t>TID_Survivor_Dialog_8</t>
  </si>
  <si>
    <t>只有蛮族的百夫长会有他们的营地情报，得闹出一些动静把他引出来。</t>
  </si>
  <si>
    <t>TID_Survivor_Dialog_9</t>
  </si>
  <si>
    <t>野蛮人已经被惊动了！准备作战！</t>
  </si>
  <si>
    <t>TID_Survivor_Dialog_10</t>
  </si>
  <si>
    <t>是蛮族百夫长！营地的情报就在他的身上！</t>
  </si>
  <si>
    <t>TID_Survivor_Dialog_11</t>
  </si>
  <si>
    <t>地图显示敌人的投石车营地就在这个方位，必须尽快赶到那里！</t>
  </si>
  <si>
    <t>TID_Survivor_Dialog_12</t>
  </si>
  <si>
    <t>该死，快来人！保护投石车！</t>
  </si>
  <si>
    <t>TID_Survivor_Dialog_13</t>
  </si>
  <si>
    <t>来吧，彻底了结这一切！</t>
  </si>
  <si>
    <t>TID_Survivor_Dialog_14</t>
  </si>
  <si>
    <t>危机暂时解除！我们得抓紧时间继续建设，尽快让自己强大起来。</t>
  </si>
  <si>
    <t>TID_Survivor_Dialog_15</t>
  </si>
  <si>
    <t>殿下，侦察到蛮族首领蒙杜克正往我们这里行军！</t>
  </si>
  <si>
    <t>TID_Survivor_Dialog_16</t>
  </si>
  <si>
    <t>一回生二回熟，别急，我去探查一下他们的动向。</t>
  </si>
  <si>
    <t>TID_Survivor_Dialog_17</t>
  </si>
  <si>
    <t>找到了，蒙杜克就在这里！</t>
  </si>
  <si>
    <t>TID_Survivor_Dialog_18</t>
  </si>
  <si>
    <t>TID_Survivor_Dialog_19</t>
  </si>
  <si>
    <t>TID_Survivor_Dialog_20</t>
  </si>
  <si>
    <t>TID_Survivor_Dialog_21</t>
  </si>
  <si>
    <t>殿下，我们以后可以从这里更加便捷地出击。</t>
  </si>
  <si>
    <t>TID_Dialogue_story_sl_ver_99</t>
  </si>
  <si>
    <t>区域蛮族首领蒙杜克已经知晓了投石车被破坏的消息，亲自率领卫队向我们这里进发。</t>
  </si>
  <si>
    <t>TID_Dialogue_story_sl_ver_100</t>
  </si>
  <si>
    <t>为了抢夺圣剑，他号召了所有军队，在我们城镇东南方向集结。</t>
  </si>
  <si>
    <t>TID_Dialogue_story_sl_ver_101</t>
  </si>
  <si>
    <t>现在天色已晚，他们正在扎营，可能明天就会进攻。</t>
  </si>
  <si>
    <t>新版海外新手台词-前10分钟</t>
  </si>
  <si>
    <t>TID_Dialogue_story_sl_ver_13</t>
  </si>
  <si>
    <t>殿下，还请节哀。</t>
  </si>
  <si>
    <t>约瑟芬</t>
  </si>
  <si>
    <t>TID_Dialogue_story_sl_ver_14</t>
  </si>
  <si>
    <t>我……没关系，不能让卡尔爷爷的牺牲白费。</t>
  </si>
  <si>
    <t>TID_Dialogue_story_sl_ver_15</t>
  </si>
  <si>
    <t>呜呜呜……</t>
  </si>
  <si>
    <t>Play_VO_Campaign_GL_017_Villager_EN</t>
  </si>
  <si>
    <t>TID_Dialogue_story_sl_ver_16</t>
  </si>
  <si>
    <t>Play_VO_Campaign_GL_018_Deputy_EN</t>
  </si>
  <si>
    <t>新版海外新手台词-10-30分钟</t>
  </si>
  <si>
    <t>TID_Dialogue_story_sl_ver_78</t>
  </si>
  <si>
    <t>呼……还好没有带人过来。</t>
  </si>
  <si>
    <t>Play_VO_Campaign_GL_082_Josephine_EN</t>
  </si>
  <si>
    <t>TID_Dialogue_story_sl_ver_79</t>
  </si>
  <si>
    <t>在我单人行动时，可以拖拽摇杆来移动。</t>
  </si>
  <si>
    <t>Play_VO_Campaign_GL_083_Josephine_EN</t>
  </si>
  <si>
    <t>TID_Dialogue_story_sl_ver_80</t>
  </si>
  <si>
    <t>拾取地上的战斗经验，可以恢复圣剑的能量，让它变得更强。</t>
  </si>
  <si>
    <t>Play_VO_Campaign_GL_084_Josephine_EN</t>
  </si>
  <si>
    <t>TID_Dialogue_story_sl_ver_81</t>
  </si>
  <si>
    <t>每次圣剑升级，都会随机提供战法供我选择。</t>
  </si>
  <si>
    <t>Play_VO_Campaign_GL_085_Josephine_EN</t>
  </si>
  <si>
    <t>TID_Dialogue_story_sl_ver_82</t>
  </si>
  <si>
    <t>每个圣剑的主人都曾是历史上的传奇，现在他们的力量在圣剑中觉醒了。</t>
  </si>
  <si>
    <t>Play_VO_Campaign_GL_086_Josephine_EN</t>
  </si>
  <si>
    <t>TID_Dialogue_story_sl_ver_83</t>
  </si>
  <si>
    <t>我可以暂时使用这种力量，借用他们的战法和圣物。</t>
  </si>
  <si>
    <t>Play_VO_Campaign_GL_087_Josephine_EN</t>
  </si>
  <si>
    <t>TID_Dialogue_story_sl_ver_84</t>
  </si>
  <si>
    <t>可惜这种力量只能持续一场战斗，并不能在正式的战场上发挥作用……</t>
  </si>
  <si>
    <t>Play_VO_Campaign_GL_088_Josephine_EN</t>
  </si>
  <si>
    <t>TID_Dialogue_story_sl_ver_85</t>
  </si>
  <si>
    <t>糟糕，动静闹大了。</t>
  </si>
  <si>
    <t>Play_VO_Campaign_GL_089_Josephine_EN</t>
  </si>
  <si>
    <t>TID_Dialogue_story_sl_ver_86</t>
  </si>
  <si>
    <t>强大的敌人会掉落宝箱，可以随机提升我的战法等级。</t>
  </si>
  <si>
    <t>Play_VO_Campaign_GL_090_Josephine_EN</t>
  </si>
  <si>
    <t>TID_Dialogue_story_sl_ver_87</t>
  </si>
  <si>
    <t>我看到了投石车营地，就在箭头方位！必须尽快赶到那里！</t>
  </si>
  <si>
    <t>Play_VO_Campaign_GL_091_Josephine_EN</t>
  </si>
  <si>
    <t>TID_Dialogue_story_sl_ver_88</t>
  </si>
  <si>
    <t>Play_VO_Campaign_GL_092_Tulcan_EN</t>
  </si>
  <si>
    <t>TID_Dialogue_story_sl_ver_89</t>
  </si>
  <si>
    <t>我可不是阿提卡那样的废物！</t>
  </si>
  <si>
    <t>Play_VO_Campaign_GL_093_Tulcan_EN</t>
  </si>
  <si>
    <t>TID_Dialogue_story_sl_ver_90</t>
  </si>
  <si>
    <t>碾碎她，将那把剑抢回来！</t>
  </si>
  <si>
    <t>Play_VO_Campaign_GL_094_Tulcan_EN</t>
  </si>
  <si>
    <t>TID_Dialogue_story_sl_ver_91</t>
  </si>
  <si>
    <t>Play_VO_Campaign_GL_095_Josephine_EN</t>
  </si>
  <si>
    <t>TID_Dialogue_story_sl_ver_92</t>
  </si>
  <si>
    <t>队长……队长死了！大家快逃啊！</t>
  </si>
  <si>
    <t>Play_VO_Campaign_GL_096_Barbarian_EN</t>
  </si>
  <si>
    <t>TID_Dialogue_story_sl_ver_97</t>
  </si>
  <si>
    <t>殿下，侦察到有大量蛮族军队正逼近我们的领地！</t>
  </si>
  <si>
    <t>Play_VO_Campaign_GL_101_Deputy_EN</t>
  </si>
  <si>
    <t>TID_Dialogue_story_sl_ver_98</t>
  </si>
  <si>
    <t>让我来看看敌军的情报。</t>
  </si>
  <si>
    <t>Play_VO_Campaign_GL_102_Josephine_EN</t>
  </si>
  <si>
    <t>Play_VO_Campaign_GL_103_Deputy_EN</t>
  </si>
  <si>
    <t>Play_VO_Campaign_GL_104_Deputy_EN</t>
  </si>
  <si>
    <t>Play_VO_Campaign_GL_105_Deputy_EN</t>
  </si>
  <si>
    <t>TID_Dialogue_story_sl_ver_102</t>
  </si>
  <si>
    <t>蛮族的营地不远，这次还是我一个人去侦察动向。</t>
  </si>
  <si>
    <t>Play_VO_Campaign_GL_106_Josephine_EN</t>
  </si>
  <si>
    <t>TID_Dialogue_story_sl_ver_103</t>
  </si>
  <si>
    <t>……如果您称那叫“侦察”的话，愿神保佑那群野蛮人。</t>
  </si>
  <si>
    <t>Play_VO_Campaign_GL_107_Deputy_EN</t>
  </si>
  <si>
    <t>TID_Dialogue_story_sl_ver_104</t>
  </si>
  <si>
    <t>太阳要落山了，得趁早找到蒙杜克的大营。</t>
  </si>
  <si>
    <t>Play_VO_Campaign_GL_108_Josephine_EN</t>
  </si>
  <si>
    <t>TID_Dialogue_story_sl_ver_105</t>
  </si>
  <si>
    <t>……有人偷袭？！快！我的铠甲和武器呢？！</t>
  </si>
  <si>
    <t>Play_VO_Campaign_GL_109_Monduk_EN</t>
  </si>
  <si>
    <t>TID_Dialogue_story_sl_ver_106</t>
  </si>
  <si>
    <t>既然自己送上门来，那我会捏碎你的头颅，让你知道自己做了一个多么愚蠢的决定！</t>
  </si>
  <si>
    <t>Play_VO_Campaign_GL_110_Monduk_EN</t>
  </si>
  <si>
    <t>TID_Dialogue_story_sl_ver_21</t>
  </si>
  <si>
    <t>我们可以先让村民储备一些木材以供建设，我再派人侦察一下周边动向。</t>
  </si>
  <si>
    <t>TID_Dialogue_story_sl_ver_107</t>
  </si>
  <si>
    <t>卑鄙无耻的帝国人……我本不会败！我……不……</t>
  </si>
  <si>
    <t>Play_VO_Campaign_GL_111_Monduk_EN</t>
  </si>
  <si>
    <t>TID_Dialogue_story_sl_ver_38</t>
  </si>
  <si>
    <t>哈哈哈哈没想到吧！天真的小姑娘，又是我！</t>
  </si>
  <si>
    <t>Play_VO_Campaign_GL_041_Urdin_EN</t>
  </si>
  <si>
    <t>TID_Dialogue_story_sl_ver_39</t>
  </si>
  <si>
    <t>感谢你当初愚蠢的仁慈，才让我有机会通知投石车军队！</t>
  </si>
  <si>
    <t>Play_VO_Campaign_GL_042_Urdin_EN</t>
  </si>
  <si>
    <t>TID_Dialogue_story_sl_ver_40</t>
  </si>
  <si>
    <t>仁慈的贵族大人，我相信……</t>
  </si>
  <si>
    <t>Play_VO_Campaign_GL_043_Urdin_EN</t>
  </si>
  <si>
    <t>TID_Dialogue_story_sl_ver_41</t>
  </si>
  <si>
    <t>我曾经给过你机会。</t>
  </si>
  <si>
    <t>Play_VO_Campaign_GL_044_Josephine_EN</t>
  </si>
  <si>
    <t>新版海外新手tips</t>
  </si>
  <si>
    <t>TID_BranchLineTaskConf_001_taskName_GL_Main</t>
  </si>
  <si>
    <t>殿下，建造居民房舍需要大量木材，请派遣村民前往伐木。</t>
  </si>
  <si>
    <t>TID_Newbie_CityHeroDialog_1</t>
  </si>
  <si>
    <t>先让市民都躲到山里去，城镇在这种的攻击下撑不了太久，我们必须尽快找到敌人的投石车营地。</t>
  </si>
  <si>
    <t>TID_Newbie_CityHeroDialog_2</t>
  </si>
  <si>
    <t>殿下，我们的斥候已经撒出去了，具体情报很快就能查探到。</t>
  </si>
  <si>
    <t>主线任务副玩法引导全屏遮罩对话</t>
  </si>
  <si>
    <t>TID_Dialogue_story_10401100_1</t>
  </si>
  <si>
    <t>最新情报，蛮族在不远处设立了营地，准备以那儿为据点对帝国领土进行最后的蚕食。</t>
  </si>
  <si>
    <t>TID_Dialogue_story_10401100_2</t>
  </si>
  <si>
    <t>必须趁他们立足未稳尽快处理他们，这一次，我亲自出马。</t>
  </si>
  <si>
    <t>TID_Newbie_CityHeroDialog_3</t>
  </si>
  <si>
    <t>殿下，这就是我们的城镇，这就是我们的家园……我们做到了。</t>
  </si>
  <si>
    <t>TID_Newbie_CityHeroDialog_4</t>
  </si>
  <si>
    <t>这只是个开始，副官，是时候去探索一下周边了。</t>
  </si>
  <si>
    <t>TID_Newbie_CityHeroDialog_5</t>
  </si>
  <si>
    <t>扫清那些游荡的敌人，告诉他们，帝国真正的主人已经回来了！</t>
  </si>
  <si>
    <t>TID_Newbie_CityHeroDialog_6</t>
  </si>
  <si>
    <t>TID_Newbie_CityHeroDialog_7</t>
  </si>
  <si>
    <t>真是个漂亮的大家伙，有了它的保护，我们可以收留更多的民众。</t>
  </si>
  <si>
    <t>TID_Newbie_CityHeroDialog_8</t>
  </si>
  <si>
    <t>当年君临的城墙足以容纳几十万人休养生息，我不奢求那么多，能有个几千人我就知足了。</t>
  </si>
  <si>
    <t>TID_Newbie_CityHeroDialog_9</t>
  </si>
  <si>
    <t>您早晚有一天会带领我们回去的，我相信您，殿下。</t>
  </si>
  <si>
    <t>TID_Newbie_CityHeroDialog_10</t>
  </si>
  <si>
    <t>领地的人口越来越多，一堆事让我快忙不过来了，关键是，殿下，我们的存粮快要告罄了。</t>
  </si>
  <si>
    <t>TID_Newbie_CityHeroDialog_11</t>
  </si>
  <si>
    <t>只能辛苦你去组织开垦更多的农田，人口是我们最重要的财富，不能掉以轻心。</t>
  </si>
  <si>
    <t>TID_Newbie_CityHeroDialog_12</t>
  </si>
  <si>
    <t>唉，行，我这就去……以前有人说财富是一种负担，我总不信，现在我多少能明白了。</t>
  </si>
  <si>
    <t>TID_Newbie_CityHeroDialog_13</t>
  </si>
  <si>
    <t>最近的几次行动都很顺利，我们算是在这里成功扎下了脚跟。</t>
  </si>
  <si>
    <t>TID_Newbie_CityHeroDialog_14</t>
  </si>
  <si>
    <t>圣剑的能量也在逐渐恢复，殿下，我们下一步要做什么？</t>
  </si>
  <si>
    <t>TID_Newbie_CityHeroDialog_15</t>
  </si>
  <si>
    <t>扩充人口，壮大力量……然后重返帝国！</t>
  </si>
  <si>
    <t>TID_Newbie_CityHeroDialog_16</t>
  </si>
  <si>
    <t>殿下，我们的军队训练得差不多了。</t>
  </si>
  <si>
    <t>TID_Newbie_CityHeroDialog_17</t>
  </si>
  <si>
    <t>未经战争洗礼的队伍就像未经磨砺的刀，是无法承担重任的。</t>
  </si>
  <si>
    <t>TID_Newbie_CityHeroDialog_18</t>
  </si>
  <si>
    <t>请您放心，磨刀石……我早就为他们准备好了。</t>
  </si>
  <si>
    <t>TID_Newbie_CityHeroDialog_19</t>
  </si>
  <si>
    <t>新的时代已经来临，以圣剑historica之名，我们将迈向未来！</t>
  </si>
  <si>
    <t>海外新手新副玩法</t>
  </si>
  <si>
    <t>TID_Dialogue_Character_11</t>
  </si>
  <si>
    <t>newbie_oversea_andrea</t>
  </si>
  <si>
    <t>TID_NewFog_dia_01</t>
  </si>
  <si>
    <t>都跟上，城里撑不了多久，我们得尽快找到投石车营地。</t>
  </si>
  <si>
    <t>Play_newfog_storydia_01</t>
  </si>
  <si>
    <t>0|100</t>
  </si>
  <si>
    <t>TID_NewFog_dia_02</t>
  </si>
  <si>
    <t>这里……许多年前，一支帝国军队曾与蛮族死战至全军覆没。</t>
  </si>
  <si>
    <t>Play_newfog_storydia_02</t>
  </si>
  <si>
    <t>近卫</t>
  </si>
  <si>
    <t>xinshou_story_charname01</t>
  </si>
  <si>
    <t>newbie_oversea_leo</t>
  </si>
  <si>
    <t>TID_NewFog_dia_03</t>
  </si>
  <si>
    <t>殿下小心，前面有动静。</t>
  </si>
  <si>
    <t>TID_NewFog_dia_04</t>
  </si>
  <si>
    <t>两只野狼而已，我们速战速决。</t>
  </si>
  <si>
    <t>TID_NewFog_dia_05</t>
  </si>
  <si>
    <t>这是帝国的史诗文柱，我能听到某种低语在通过圣剑呼唤我。</t>
  </si>
  <si>
    <t>Play_newfog_storydia_03</t>
  </si>
  <si>
    <t>TID_NewFog_dia_06</t>
  </si>
  <si>
    <t>Historica以超凡之力沟通了历史，唤醒了帝国士兵的英灵。</t>
  </si>
  <si>
    <t>Play_newfog_storydia_04</t>
  </si>
  <si>
    <t>TID_NewFog_dia_07</t>
  </si>
  <si>
    <t>我们可以借用他们的力量，变换兵种，强化我们的主将技能。</t>
  </si>
  <si>
    <t>Play_newfog_storydia_05</t>
  </si>
  <si>
    <t>TID_NewFog_dia_08</t>
  </si>
  <si>
    <t>圣剑在发光，它似乎……在给我指引方向？</t>
  </si>
  <si>
    <t>Play_newfog_storydia_06</t>
  </si>
  <si>
    <t>TID_NewFog_dia_09</t>
  </si>
  <si>
    <t>是蛮族！攻击城镇的果然是他们！</t>
  </si>
  <si>
    <t>Play_newfog_storydia_07</t>
  </si>
  <si>
    <t>TID_NewFog_dia_10</t>
  </si>
  <si>
    <t>点击右侧的主将技，选择目标，冲开那道防线，跟野蛮人大声打个招呼吧！</t>
  </si>
  <si>
    <t>Play_newfog_storydia_08</t>
  </si>
  <si>
    <t>TID_NewFog_dia_11</t>
  </si>
  <si>
    <t>圣剑渴望着战斗，我能感觉到它的能量正在复苏！</t>
  </si>
  <si>
    <t>Play_newfog_storydia_09</t>
  </si>
  <si>
    <t>TID_NewFog_dia_12</t>
  </si>
  <si>
    <t>那是过去帝国为将领树立的铭功刻石，上面记载有他们的军事心得。</t>
  </si>
  <si>
    <t>Play_newfog_storydia_10</t>
  </si>
  <si>
    <t>TID_NewFog_dia_13</t>
  </si>
  <si>
    <t>hmmm，我获得了一些战术上的启示。</t>
  </si>
  <si>
    <t>Play_newfog_storydia_11</t>
  </si>
  <si>
    <t>TID_NewFog_dia_14</t>
  </si>
  <si>
    <t>从飞石的轨迹来看，投石车应该不远——</t>
  </si>
  <si>
    <t>Play_newfog_storydia_12</t>
  </si>
  <si>
    <t>TID_NewFog_dia_15</t>
  </si>
  <si>
    <t>是谁？！出来！</t>
  </si>
  <si>
    <t>Play_newfog_storydia_13</t>
  </si>
  <si>
    <t>TID_NewFog_dia_16</t>
  </si>
  <si>
    <t>尊贵的殿下，是我，为了报答您的仁慈，我来为您带路了！</t>
  </si>
  <si>
    <t>Play_newfog_storydia_14</t>
  </si>
  <si>
    <t>0|150</t>
  </si>
  <si>
    <t>TID_NewFog_dia_17</t>
  </si>
  <si>
    <t>哈哈哈哈哈哈哈哈！</t>
  </si>
  <si>
    <t>Play_newfog_storydia_15</t>
  </si>
  <si>
    <t>TID_NewFog_dia_18</t>
  </si>
  <si>
    <t>你怎么还是这么天真，哦~~~真是个可爱的贵族小姑娘。</t>
  </si>
  <si>
    <t>Play_newfog_storydia_16</t>
  </si>
  <si>
    <t>TID_NewFog_dia_19</t>
  </si>
  <si>
    <t>这一次，你无路可逃！</t>
  </si>
  <si>
    <t>Play_newfog_storydia_17</t>
  </si>
  <si>
    <t>TID_NewFog_dia_20</t>
  </si>
  <si>
    <t>Play_newfog_storydia_18</t>
  </si>
  <si>
    <t>TID_NewFog_dia_21</t>
  </si>
  <si>
    <t>请饶……</t>
  </si>
  <si>
    <t>Play_newfog_storydia_19</t>
  </si>
  <si>
    <t>TID_NewFog_dia_22</t>
  </si>
  <si>
    <t>背叛者。</t>
  </si>
  <si>
    <t>Play_newfog_storydia_20</t>
  </si>
  <si>
    <t>TID_NewFog_dia_23</t>
  </si>
  <si>
    <t>投石车营地就在那里！</t>
  </si>
  <si>
    <t>Play_newfog_storydia_21</t>
  </si>
  <si>
    <t>TID_Name_tuerkan_CN_Main</t>
  </si>
  <si>
    <t>TID_NewFog_dia_24</t>
  </si>
  <si>
    <t>我们明明封锁了潮汐城，帝国人是从哪儿冒出来的？！</t>
  </si>
  <si>
    <t>Play_newfog_storydia_22</t>
  </si>
  <si>
    <t>TID_NewFog_dia_25</t>
  </si>
  <si>
    <t>我怎么会在这里……！</t>
  </si>
  <si>
    <t>Play_newfog_storydia_23</t>
  </si>
  <si>
    <t>TID_NewFog_dia_26</t>
  </si>
  <si>
    <t>这条峡谷险峻而又隐秘，蛮族暂时还没发现。</t>
  </si>
  <si>
    <t>Play_newfog_storydia_24</t>
  </si>
  <si>
    <t>TID_NewFog_dia_27</t>
  </si>
  <si>
    <t>为了避免暴露，这次行动我只会带这几名近卫。</t>
  </si>
  <si>
    <t>Play_newfog_storydia_25</t>
  </si>
  <si>
    <t>TID_NewFog_dia_28</t>
  </si>
  <si>
    <t>蛮族的营地不远，这次还是我带近卫队去侦察动向。</t>
  </si>
  <si>
    <t>Play_newfog_storydia_26</t>
  </si>
  <si>
    <t>TID_Excalibur_Story_10</t>
  </si>
  <si>
    <t>在久远的混乱年代，古贤将圣剑Historica进献给大帝安德烈，帮助他平定了乱世，最终建立了帝国</t>
  </si>
  <si>
    <t>TID_Excalibur_Story_30</t>
  </si>
  <si>
    <t>圣剑拥有神奇的力量，它可以切开历史和时间的障壁，召唤那些在文明维度上留下印记的英雄</t>
  </si>
  <si>
    <t>TID_Excalibur_Story_60</t>
  </si>
  <si>
    <t>人们都在寻找圣剑，但圣剑也会寻找它认可的主人，只有天命的王者才有使用它的资格</t>
  </si>
  <si>
    <t>TID_Excalibur_Story_90</t>
  </si>
  <si>
    <t>圣剑是英雄和王者之剑，它渴望战斗的荣耀，也倾听人民的认同，这些都会使它的力量更加强大</t>
  </si>
  <si>
    <t>TID_NewFog_dia_29</t>
  </si>
  <si>
    <t>跟我来。</t>
  </si>
  <si>
    <t>Play_newfog_storydia_27</t>
  </si>
  <si>
    <t>TID_NewFog_dia_30</t>
  </si>
  <si>
    <t>就在前面，殿下。</t>
  </si>
  <si>
    <t>Play_newfog_storydia_28</t>
  </si>
  <si>
    <t>TID_NewFog_dia_31</t>
  </si>
  <si>
    <t>很快，很快……</t>
  </si>
  <si>
    <t>Play_newfog_storydia_29</t>
  </si>
  <si>
    <t>TID_NewFog_dia_32</t>
  </si>
  <si>
    <t>不好了首领！帝国人攻进来了！</t>
  </si>
  <si>
    <t>Play_newfog_storydia_30</t>
  </si>
  <si>
    <t>TID_xinshou_note_skillget</t>
  </si>
  <si>
    <t>圣剑可以沟通古代军旗中的军魂以强化主将技！</t>
  </si>
  <si>
    <t>先知者·奥菲利亚</t>
  </si>
  <si>
    <t>奥菲利亚</t>
  </si>
  <si>
    <t>TID_Dialogue_Character_Sibulla</t>
  </si>
  <si>
    <t>TID_Event_SibullaStore_1</t>
  </si>
  <si>
    <t>尊敬的领主大人，我是您最真诚的先知者，奥菲利亚，神明最忠诚的仆人。</t>
  </si>
  <si>
    <t>TID_Event_SibullaStore_2</t>
  </si>
  <si>
    <t>当您高举圣剑的那一刻，神明就已经向我降下了启示。</t>
  </si>
  <si>
    <t>TID_Event_SibullaStore_3</t>
  </si>
  <si>
    <t>我一直守望着您的身影，并特地于此为您准备了一些罕见且珍贵的礼物。</t>
  </si>
  <si>
    <t>TID_Dialogue_story_10001140_1</t>
  </si>
  <si>
    <t>部落正在逐步进逼，我们不能坐以待毙，必须主动出击。</t>
  </si>
  <si>
    <t>TID_Dialogue_story_10001140_2</t>
  </si>
  <si>
    <t>最新情报，他们在领地不远处设立了营地，准备将那儿作为前线据点。</t>
  </si>
  <si>
    <t>TID_Dialogue_story_10001140_3</t>
  </si>
  <si>
    <t>趁他们立足未稳，我亲自出马去探探他们的虚实。</t>
  </si>
  <si>
    <t>TID_Dialogue_story_10001140_4</t>
  </si>
  <si>
    <t>我带着Historica，一个人就够了。</t>
  </si>
  <si>
    <t>TID_Dialogue_story_10001140_5</t>
  </si>
  <si>
    <t>不好，部落的岗哨被惊动了！</t>
  </si>
  <si>
    <t>TID_Dialogue_story_10001140_6</t>
  </si>
  <si>
    <t>援军到达还需要一会儿，只要能撑到那个时候……！</t>
  </si>
  <si>
    <t>TID_Dialogue_story_10001140_7</t>
  </si>
  <si>
    <t>来吧！野蛮人！</t>
  </si>
  <si>
    <t>TID_Dialogue_story_sl_ver_01</t>
  </si>
  <si>
    <t>护卫太少了，殿下，虽然圣剑很重要，但您不该孤身犯险。</t>
  </si>
  <si>
    <t>Play_VO_Guide_ONG_001_Deputy</t>
  </si>
  <si>
    <t>ja_JP|0.1602488;ko_KR|0.4889998</t>
  </si>
  <si>
    <t>ko_KR|0.4889998</t>
  </si>
  <si>
    <t>TID_Dialogue_story_sl_ver_02</t>
  </si>
  <si>
    <t>蛮族攻占帝都，父王战死……现在，圣剑是我们唯一的希望了。</t>
  </si>
  <si>
    <t>Play_VO_Guide_ONG_002_Josephine</t>
  </si>
  <si>
    <t>ja_JP|1.132813;ko_KR|-0.3430829</t>
  </si>
  <si>
    <t>卡尔</t>
  </si>
  <si>
    <t>TID_Dialogue_story_sl_ver_03</t>
  </si>
  <si>
    <t>我认为圣剑只是个传说，殿下。</t>
  </si>
  <si>
    <t>Play_VO_Guide_ONG_003_Karl</t>
  </si>
  <si>
    <t>ja_JP|-0.643209;ko_KR|0.6116252</t>
  </si>
  <si>
    <t>ja_JP|-0.643209;ko_KR|0.6934171</t>
  </si>
  <si>
    <t>TID_Dialogue_story_sl_ver_05</t>
  </si>
  <si>
    <t>不，它是真的，小时候我和父亲去潮汐城，他告诉了我圣剑力量的秘密，并给我展示了它的真容……幸运的话，它应该还在那里。</t>
  </si>
  <si>
    <t>Play_VO_Guide_ONG_004_Josephine</t>
  </si>
  <si>
    <t>ja_JP|2.825209;ko_KR|1.279396</t>
  </si>
  <si>
    <t>TID_Dialogue_story_sl_ver_04</t>
  </si>
  <si>
    <t>潮汐城就在前方，希望敌人没有赶在我们前面。</t>
  </si>
  <si>
    <t>Play_VO_Guide_ONG_005_Deputy</t>
  </si>
  <si>
    <t>ja_JP|-0.7568541;ko_KR|0.1827087</t>
  </si>
  <si>
    <t>ko_KR|0.1827087</t>
  </si>
  <si>
    <t>TID_Dialogue_story_sl_ver_06</t>
  </si>
  <si>
    <t>小主人，小心！</t>
  </si>
  <si>
    <t>Play_VO_Guide_ONG_006_Karl</t>
  </si>
  <si>
    <t>ja_JP|-0.004624963;ko_KR|-0.09831297</t>
  </si>
  <si>
    <t>TID_Dialogue_story_sl_ver_07</t>
  </si>
  <si>
    <t>地上有死尸，殿下，请退到我身后。</t>
  </si>
  <si>
    <t>Play_VO_Guide_ONG_007_Karl</t>
  </si>
  <si>
    <t>ja_JP|0.7763538;ko_KR|0.7332501</t>
  </si>
  <si>
    <t>Play_VO_Guide_ONG_008_Deputy</t>
  </si>
  <si>
    <t>ko_KR|1.443291</t>
  </si>
  <si>
    <t>TID_Dialogue_story_sl_ver_09</t>
  </si>
  <si>
    <t>保护好殿下，我去看看情况。</t>
  </si>
  <si>
    <t>Play_VO_Guide_ONG_009_Karl</t>
  </si>
  <si>
    <t>ja_JP|0.05143714;ko_KR|1.227</t>
  </si>
  <si>
    <t>TID_Dialogue_story_sl_ver_10</t>
  </si>
  <si>
    <t>我只能陪您走到这儿了，rose……</t>
  </si>
  <si>
    <t>Play_VO_Guide_TL_005_Karl</t>
  </si>
  <si>
    <t>ja_JP|0;ko_KR|0</t>
  </si>
  <si>
    <t>卡尔big</t>
  </si>
  <si>
    <t>TID_Dialogue_story_sl_ver_11</t>
  </si>
  <si>
    <t>请您一定要找到圣剑，从野蛮人的手中拯救这个国家，成为真正的……王……</t>
  </si>
  <si>
    <t>Play_VO_Guide_TL_006_Karl</t>
  </si>
  <si>
    <t>ja_JP|2.259313;ko_KR|0.6783538</t>
  </si>
  <si>
    <t>ja_JP|2;ko_KR|0</t>
  </si>
  <si>
    <t>约瑟芬big</t>
  </si>
  <si>
    <t>TID_Dialogue_story_sl_ver_12</t>
  </si>
  <si>
    <t>卡尔……今后再也没人叫我rose了，我绝不会让你的牺牲白白浪费。</t>
  </si>
  <si>
    <t>Play_VO_Guide_TL_007_Josephine</t>
  </si>
  <si>
    <t>ja_JP|1;ko_KR|0</t>
  </si>
  <si>
    <t>TID_Dialogue_story_sl_ver_18</t>
  </si>
  <si>
    <t>……情况不妙，我们得从长计议。</t>
  </si>
  <si>
    <t>Play_VO_Guide_ONG_010_Josephine</t>
  </si>
  <si>
    <t>ja_JP|-0.794708;ko_KR|0.06447887</t>
  </si>
  <si>
    <t>TID_Dialogue_story_sl_ver_19</t>
  </si>
  <si>
    <t>Play_VO_Guide_ONG_011_Josephine</t>
  </si>
  <si>
    <t>ja_JP|-0.5074379;ko_KR|0.1326041</t>
  </si>
  <si>
    <t>ja_JP|-0.5074379;ko_KR|0.1326041;it_IT|2.5;es_ES|2.5</t>
  </si>
  <si>
    <t>TID_Dialogue_story_sl_ver_20</t>
  </si>
  <si>
    <t>殿下，我们可以训练更多的村民。</t>
  </si>
  <si>
    <t>Play_VO_Guide_ONG_012_Deputy</t>
  </si>
  <si>
    <t>ja_JP|1.202146;ko_KR|0.491188</t>
  </si>
  <si>
    <t>ko_KR|0.491188;es_ES|1.5</t>
  </si>
  <si>
    <t>TID_Dialogue_story_sl_ver_122</t>
  </si>
  <si>
    <t>我去周边侦察一下，蛮族说不定还在附近。</t>
  </si>
  <si>
    <t>Play_VO_Guide_ONG_013_Deputy</t>
  </si>
  <si>
    <t>ja_JP|1.082001;ko_KR|-0.7372909</t>
  </si>
  <si>
    <t>ko_KR|-0.7372909</t>
  </si>
  <si>
    <t>TID_Dialogue_story_sl_ver_22</t>
  </si>
  <si>
    <t>还有，我刚刚发现了一些……我认为您有必要亲自看看。</t>
  </si>
  <si>
    <t>Play_VO_Guide_ONG_014_Deputy</t>
  </si>
  <si>
    <t>ja_JP|-0.843792;ko_KR|-0.9450836</t>
  </si>
  <si>
    <t>ko_KR|-0.9450836;pt_PT|1</t>
  </si>
  <si>
    <t>TID_Dialogue_story_sl_ver_23</t>
  </si>
  <si>
    <t>是当地的居民，蛮族摧毁了这里并杀害了他们……</t>
  </si>
  <si>
    <t>Play_VO_Guide_ONG_015_Josephine</t>
  </si>
  <si>
    <t>ja_JP|0.9310629;ko_KR|0.6398537</t>
  </si>
  <si>
    <t>ja_JP|1.5;ko_KR|0.6398537</t>
  </si>
  <si>
    <t>TID_Dialogue_story_sl_ver_24</t>
  </si>
  <si>
    <t>那些野蛮的混蛋，这些都是无辜的平民！</t>
  </si>
  <si>
    <t>Play_VO_Guide_ONG_016_Josephine</t>
  </si>
  <si>
    <t>ja_JP|-3.272417;ko_KR|-2.131229</t>
  </si>
  <si>
    <t>乌尔丁big</t>
  </si>
  <si>
    <t>TID_Dialogue_story_sl_ver_25</t>
  </si>
  <si>
    <t>哇哦哇哦哇哦，居然能在这种破地方遇到这么一个光鲜的贵族女孩？</t>
  </si>
  <si>
    <t>Play_VO_Guide_TL_008_Urdin</t>
  </si>
  <si>
    <t>ja_JP|0;ko_KR|-0.1513958</t>
  </si>
  <si>
    <t>TID_Dialogue_story_sl_ver_26</t>
  </si>
  <si>
    <t>Play_VO_Guide_TL_009_Urdin</t>
  </si>
  <si>
    <t>ja_JP|2.129104;ko_KR|2.063396</t>
  </si>
  <si>
    <t>ja_JP|3</t>
  </si>
  <si>
    <t>TID_Dialogue_story_sl_ver_27</t>
  </si>
  <si>
    <t>野蛮人，我会砍下你的脑袋献给逝者，并把你的嘴彻底堵上！</t>
  </si>
  <si>
    <t>Play_VO_Guide_TL_010_Josephine</t>
  </si>
  <si>
    <t>村民big</t>
  </si>
  <si>
    <t>TID_Dialogue_story_sl_ver_123</t>
  </si>
  <si>
    <t>殿下……让我加入您的队伍吧！</t>
  </si>
  <si>
    <t>Play_VO_Guide_ONG_018_Villager</t>
  </si>
  <si>
    <t>ja_JP|0.423146;ko_KR|0.8318961</t>
  </si>
  <si>
    <t>TID_Dialogue_story_sl_ver_28</t>
  </si>
  <si>
    <t>殿下，您可以拖拽右侧头像攻击乌尔丁。</t>
  </si>
  <si>
    <t>Play_VO_Guide_ONG_019_Deputy</t>
  </si>
  <si>
    <t>ja_JP|0.2103963;ko_KR|0.4012094</t>
  </si>
  <si>
    <t>ko_KR|0.4012094;it_IT|2</t>
  </si>
  <si>
    <t>TID_Dialogue_story_sl_ver_29</t>
  </si>
  <si>
    <t>哈哈哈哈，你发怒的样子，可比那些只会哭喊的村民有趣多了！</t>
  </si>
  <si>
    <t>Play_VO_Guide_ONG_020_Urdin</t>
  </si>
  <si>
    <t>ja_JP|1.104417;ko_KR|0.4965634</t>
  </si>
  <si>
    <t>ja_JP|1.104417;ko_KR|0.4965634;it_IT|2;de_DE|0.5;pt_PT|1</t>
  </si>
  <si>
    <t>TID_Dialogue_story_sl_ver_30</t>
  </si>
  <si>
    <t>放我走！你要是敢对我动手，血手阿提卡会带领上百名勇士为我报仇！</t>
  </si>
  <si>
    <t>Play_VO_Guide_TL_011_Urdin</t>
  </si>
  <si>
    <t>ja_JP|0;ko_KR|0.09979105</t>
  </si>
  <si>
    <t>ja_JP|0;ko_KR|0.09979105;fr_FR|2;de_DE|0.5</t>
  </si>
  <si>
    <t>TID_Dialogue_story_sl_ver_31</t>
  </si>
  <si>
    <t>他就驻扎在上方的城镇中心，你们想死吗？！</t>
  </si>
  <si>
    <t>Play_VO_Guide_TL_012_Urdin</t>
  </si>
  <si>
    <t>ja_JP|0;ko_KR|0.6237092</t>
  </si>
  <si>
    <t>ja_JP|0;ko_KR|0.6237092;fr_FR|2</t>
  </si>
  <si>
    <t>TID_Dialogue_story_sl_ver_32</t>
  </si>
  <si>
    <t>Play_VO_Guide_TL_013_Josephine</t>
  </si>
  <si>
    <t>TID_Dialogue_story_sl_ver_33</t>
  </si>
  <si>
    <t>Play_VO_Guide_TL_014_Urdin</t>
  </si>
  <si>
    <t>ja_JP|0;ko_KR|-0.5596459</t>
  </si>
  <si>
    <t>TID_Dialogue_story_sl_ver_34</t>
  </si>
  <si>
    <t>遵守诺言，是贵族的美德。</t>
  </si>
  <si>
    <t>Play_VO_Guide_TL_015_Josephine</t>
  </si>
  <si>
    <t>TID_Dialogue_story_sl_ver_35</t>
  </si>
  <si>
    <t>Play_VO_Guide_TL_016_Josephine</t>
  </si>
  <si>
    <t>ja_JP|2.002716E-05;ko_KR|2.002716E-05</t>
  </si>
  <si>
    <t>TID_Dialogue_story_sl_ver_36</t>
  </si>
  <si>
    <t>血手阿提卡……他搜刮了所有宝物，圣剑可能也落到了他的手里。</t>
  </si>
  <si>
    <t>Play_VO_Guide_ONG_021_Josephine</t>
  </si>
  <si>
    <t>ja_JP|2.712;ko_KR|-0.01849985</t>
  </si>
  <si>
    <t>ja_JP|3;ko_KR|-0.01849985;it_IT|2;id_ID|2.3</t>
  </si>
  <si>
    <t>TID_Dialogue_story_sl_ver_37</t>
  </si>
  <si>
    <t>这会是场硬仗，但我们的兵力现在还是太少了。</t>
  </si>
  <si>
    <t>Play_VO_Guide_ONG_022_Josephine</t>
  </si>
  <si>
    <t>ja_JP|1.677959;ko_KR|-0.5679989</t>
  </si>
  <si>
    <t>ja_JP|2;ko_KR|-0.5679989;id_ID|2</t>
  </si>
  <si>
    <t>TID_Dialogue_story_sl_ver_42</t>
  </si>
  <si>
    <t>殿下，我们可以建造剑士营来训练更多士兵。</t>
  </si>
  <si>
    <t>Play_VO_Guide_ONG_023_Deputy</t>
  </si>
  <si>
    <t>ja_JP|0.2627292;ko_KR|0.2918959</t>
  </si>
  <si>
    <t>ko_KR|0.2918959;it_IT|2;id_ID|2</t>
  </si>
  <si>
    <t>TID_Dialogue_story_sl_ver_43</t>
  </si>
  <si>
    <t>用这栋废弃建筑作为基础，我们很快就能完成搭建。</t>
  </si>
  <si>
    <t>Play_VO_Guide_ONG_024_Deputy</t>
  </si>
  <si>
    <t>ja_JP|-0.9866459;ko_KR|-0.05668688</t>
  </si>
  <si>
    <t>ko_KR|-0.05668688</t>
  </si>
  <si>
    <t>TID_Dialogue_story_sl_ver_44</t>
  </si>
  <si>
    <t>我们可以通过狩猎来获得更多食物，以此来训练士兵。</t>
  </si>
  <si>
    <t>Play_VO_Guide_ONG_025_Deputy</t>
  </si>
  <si>
    <t>ja_JP|2.074063;ko_KR|1.156646</t>
  </si>
  <si>
    <t>ko_KR|1.156646</t>
  </si>
  <si>
    <t>TID_Dialogue_story_sl_ver_45</t>
  </si>
  <si>
    <t>Play_VO_Guide_ONG_026_Deputy</t>
  </si>
  <si>
    <t>ja_JP|2.375917;ko_KR|0.4176049</t>
  </si>
  <si>
    <t>ko_KR|0.4176049</t>
  </si>
  <si>
    <t>TID_Dialogue_story_sl_ver_46</t>
  </si>
  <si>
    <t>Play_VO_Guide_ONG_027_Deputy</t>
  </si>
  <si>
    <t>ja_JP|0.3009381;ko_KR|0.1045828</t>
  </si>
  <si>
    <t>ko_KR|0.1045828</t>
  </si>
  <si>
    <t>TID_Dialogue_story_sl_ver_47</t>
  </si>
  <si>
    <t>Play_VO_Guide_ONG_028_Deputy</t>
  </si>
  <si>
    <t>ja_JP|0.301666;ko_KR|0.03656197</t>
  </si>
  <si>
    <t>ko_KR|0.03656197</t>
  </si>
  <si>
    <t>TID_Dialogue_story_sl_ver_48</t>
  </si>
  <si>
    <t>士兵们！我曾想带领你们远离战争，但国破家亡的血仇尚未洗刷，这个世界也不允许我们逃避！</t>
  </si>
  <si>
    <t>Play_VO_Guide_TL_017_Josephine</t>
  </si>
  <si>
    <t>ja_JP|0;ko_KR|0;pt_PT|2</t>
  </si>
  <si>
    <t>TID_Dialogue_story_sl_ver_49</t>
  </si>
  <si>
    <t>Play_VO_Guide_TL_018_Josephine</t>
  </si>
  <si>
    <t>ja_JP|2.098083E-05;ko_KR|2.098083E-05</t>
  </si>
  <si>
    <t>TID_Dialogue_story_sl_ver_50</t>
  </si>
  <si>
    <t>副官，你负责带领侦查小队！</t>
  </si>
  <si>
    <t>Play_VO_Guide_TL_019_Josephine</t>
  </si>
  <si>
    <t>ja_JP|2.098083E-05;ko_KR|2.098083E-05;it_IT|2</t>
  </si>
  <si>
    <t>TID_Dialogue_story_sl_ver_51</t>
  </si>
  <si>
    <t>Play_VO_Guide_TL_020_Josephine</t>
  </si>
  <si>
    <t>副官big</t>
  </si>
  <si>
    <t>TID_Dialogue_story_sl_ver_52</t>
  </si>
  <si>
    <t>Play_VO_Guide_TL_021_Soldier</t>
  </si>
  <si>
    <t>TID_Dialogue_story_sl_ver_53</t>
  </si>
  <si>
    <t>Play_VO_Guide_TL_022_Josephine</t>
  </si>
  <si>
    <t>TID_Dialogue_story_sl_ver_54</t>
  </si>
  <si>
    <t>夺回圣剑，击败蛮族，为所有死去的人报仇！</t>
  </si>
  <si>
    <t>Play_VO_Guide_ONG_029_Josephine</t>
  </si>
  <si>
    <t>ja_JP|-2.523958;ko_KR|-1.060312</t>
  </si>
  <si>
    <t>TID_Dialogue_story_sl_ver_55</t>
  </si>
  <si>
    <t>殿下！我为您挡住箭塔的攻击！请尽快消灭那些野蛮人！</t>
  </si>
  <si>
    <t>Play_VO_Guide_ONG_030_Deputy</t>
  </si>
  <si>
    <t>ja_JP|-0.4216881;ko_KR|-0.3874788</t>
  </si>
  <si>
    <t>ko_KR|-0.3874788</t>
  </si>
  <si>
    <t>TID_Dialogue_story_sl_ver_56</t>
  </si>
  <si>
    <t>Play_VO_Guide_ONG_031_Deputy</t>
  </si>
  <si>
    <t>ja_JP|-1.255896;ko_KR|-0.7208118</t>
  </si>
  <si>
    <t>ko_KR|-0.7208118</t>
  </si>
  <si>
    <t>TID_Dialogue_story_sl_ver_57</t>
  </si>
  <si>
    <t>Play_VO_Guide_ONG_032_Josephine</t>
  </si>
  <si>
    <t>ja_JP|0.9624791;ko_KR|0.6765208</t>
  </si>
  <si>
    <t>血手阿提卡big</t>
  </si>
  <si>
    <t>TID_Dialogue_story_sl_ver_58</t>
  </si>
  <si>
    <t>帝国女王储，钢铁蔷薇约瑟芬，我听说过你的名号！</t>
  </si>
  <si>
    <t>Play_VO_Guide_TL_023_Atika</t>
  </si>
  <si>
    <t>fr_FR|2</t>
  </si>
  <si>
    <t>TID_Dialogue_story_sl_ver_59</t>
  </si>
  <si>
    <t>我们洗劫了大半个帝国才找到这该死的圣剑，结果还不如我手里的弯刀锋利，就为了它，你这样的亡国之鬼竟也敢走到阳光之下？</t>
  </si>
  <si>
    <t>Play_VO_Guide_TL_024_Atika</t>
  </si>
  <si>
    <t>it_IT|2;fr_FR|2;pt_PT|2.5</t>
  </si>
  <si>
    <t>TID_Dialogue_story_sl_ver_60</t>
  </si>
  <si>
    <t>阿提卡！你罪无可恕！</t>
  </si>
  <si>
    <t>Play_VO_Guide_TL_025_Josephine</t>
  </si>
  <si>
    <t>TID_Dialogue_story_sl_ver_61</t>
  </si>
  <si>
    <t>够胆就来取吧！约瑟芬！你的头颅，将成为我最名贵的收藏！</t>
  </si>
  <si>
    <t>Play_VO_Guide_TL_026_Atika</t>
  </si>
  <si>
    <t>it_IT|1;fr_FR|1</t>
  </si>
  <si>
    <t>TID_Dialogue_story_sl_ver_62</t>
  </si>
  <si>
    <t>我的主将技可以打断阿提卡的技能，注意躲避地面上的火焰。</t>
  </si>
  <si>
    <t>Play_VO_Guide_ONG_033_Josephine</t>
  </si>
  <si>
    <t>ja_JP|2.587125;ko_KR|0.9758129</t>
  </si>
  <si>
    <t>ja_JP|2.587125;ko_KR|0.9758129;it_IT|2;es_ES|3</t>
  </si>
  <si>
    <t>TID_Dialogue_story_sl_ver_63</t>
  </si>
  <si>
    <t>不愧是镇守君临的钢铁蔷薇，约瑟芬，我承认你作为我对手的资格！</t>
  </si>
  <si>
    <t>Play_VO_Guide_ONG_034_Atika</t>
  </si>
  <si>
    <t>ja_JP|1.778165;ko_KR|4.189125</t>
  </si>
  <si>
    <t/>
  </si>
  <si>
    <t>TID_Dialogue_story_sl_ver_64</t>
  </si>
  <si>
    <t>Play_VO_Guide_ONG_035_Atika</t>
  </si>
  <si>
    <t>ja_JP|1.304771;ko_KR|-0.477396</t>
  </si>
  <si>
    <t>TID_Dialogue_story_sl_ver_120</t>
  </si>
  <si>
    <t>圣剑根本没有用！把希望寄托在这种破烂上就是你们最大的败因！</t>
  </si>
  <si>
    <t>Play_VO_Guide_ONG_036_Atika</t>
  </si>
  <si>
    <t>ja_JP|0.7199988;ko_KR|-0.2628341</t>
  </si>
  <si>
    <t>TID_Dialogue_story_sl_ver_121</t>
  </si>
  <si>
    <t>那是因为你们愚昧的野蛮人根本没有使用它的资格！</t>
  </si>
  <si>
    <t>Play_VO_Guide_ONG_037_Josephine</t>
  </si>
  <si>
    <t>ja_JP|-1.062896;ko_KR|-1.061292</t>
  </si>
  <si>
    <t>ja_JP|-1.062896;ko_KR|-1.061292;de_DE|0.5</t>
  </si>
  <si>
    <t>TID_Dialogue_story_sl_ver_65</t>
  </si>
  <si>
    <t>约瑟芬，你阻挡不了世界的浪潮，未来注定属于我们草原人！</t>
  </si>
  <si>
    <t>Play_VO_Guide_ONG_038_Atika</t>
  </si>
  <si>
    <t>ja_JP|1.379333;ko_KR|0.6807919</t>
  </si>
  <si>
    <t>ja_JP|2</t>
  </si>
  <si>
    <t>TID_Dialogue_story_sl_ver_66</t>
  </si>
  <si>
    <t>Play_VO_Guide_ONG_039_Josephine</t>
  </si>
  <si>
    <t>ja_JP|0.9361043;ko_KR|-1.247208</t>
  </si>
  <si>
    <t>TID_Dialogue_story_sl_ver_67</t>
  </si>
  <si>
    <t>殿下，圣剑它……时间让它锈蚀不堪，它已经损坏了。</t>
  </si>
  <si>
    <t>Play_VO_Guide_ONG_040_Deputy</t>
  </si>
  <si>
    <t>ja_JP|0.8901868;ko_KR|-0.2287922</t>
  </si>
  <si>
    <t>ja_JP|2;ko_KR|-0.2287922</t>
  </si>
  <si>
    <t>TID_Dialogue_story_sl_ver_68</t>
  </si>
  <si>
    <t>它的能量已经在漫长的岁月中干涸，但我会用战斗和建造赋予它新生！正如我将重现帝国的荣光，这是上天赋予我的神圣使命！</t>
  </si>
  <si>
    <t>Play_VO_Guide_ONG_041_Josephine</t>
  </si>
  <si>
    <t>ja_JP|6.663459;ko_KR|3.001312</t>
  </si>
  <si>
    <t>TID_Dialogue_story_sl_ver_69</t>
  </si>
  <si>
    <t>我约瑟芬！身负古王血脉的帝国王储妃，这片神圣之土的天命继承人！</t>
  </si>
  <si>
    <t>Play_VO_Guide_ONG_042_Josephine</t>
  </si>
  <si>
    <t>ja_JP|2.214041;ko_KR|3.085332</t>
  </si>
  <si>
    <t>TID_Dialogue_story_sl_ver_70</t>
  </si>
  <si>
    <t>以圣剑之名，我会用这些战利品来重建城镇，建立起我们的新的家园！</t>
  </si>
  <si>
    <t>Play_VO_Guide_ONG_043_Josephine</t>
  </si>
  <si>
    <t>ja_JP|-1.36075;ko_KR|-1.052104</t>
  </si>
  <si>
    <t>TID_Dialogue_story_sl_ver_71</t>
  </si>
  <si>
    <t>Play_VO_Guide_ONG_044_Deputy</t>
  </si>
  <si>
    <t>ja_JP|0.08804202;ko_KR|0.481333</t>
  </si>
  <si>
    <t>ko_KR|0.481333</t>
  </si>
  <si>
    <t>TID_Dialogue_story_sl_ver_72</t>
  </si>
  <si>
    <t>全军戒备！敌袭！</t>
  </si>
  <si>
    <t>Play_VO_Guide_ONG_045_Deputy</t>
  </si>
  <si>
    <t>ja_JP|-1.369729;ko_KR|-0.8870831</t>
  </si>
  <si>
    <t>ko_KR|-0.8870831</t>
  </si>
  <si>
    <t>TID_Dialogue_story_sl_ver_73</t>
  </si>
  <si>
    <t>这么多的投石车……城镇在这种攻击下支撑不了太久。</t>
  </si>
  <si>
    <t>Play_VO_Guide_ONG_046_Josephine</t>
  </si>
  <si>
    <t>ja_JP|1.564354;ko_KR|0.4308751</t>
  </si>
  <si>
    <t>TID_Dialogue_story_sl_ver_76</t>
  </si>
  <si>
    <t>副官，城镇就交给你了。</t>
  </si>
  <si>
    <t>Play_VO_Guide_ONG_047_Josephine</t>
  </si>
  <si>
    <t>ja_JP|-0.517875;ko_KR|-0.29075</t>
  </si>
  <si>
    <t>TID_Dialogue_story_sl_ver_77</t>
  </si>
  <si>
    <t>列王的英灵护佑着您，殿下！</t>
  </si>
  <si>
    <t>Play_VO_Guide_ONG_048_Deputy</t>
  </si>
  <si>
    <t>ja_JP|-0.983104;ko_KR|-0.2921669</t>
  </si>
  <si>
    <t>ko_KR|-0.2921669</t>
  </si>
  <si>
    <t>TID_Dialogue_story_sl_ver_93</t>
  </si>
  <si>
    <t>圣剑……它在复苏，我能感受到它蓬勃的心跳。</t>
  </si>
  <si>
    <t>Play_VO_Guide_ONG_049_Josephine</t>
  </si>
  <si>
    <t>ja_JP|0.315208;ko_KR|-1.581208</t>
  </si>
  <si>
    <t>TID_Dialogue_story_sl_ver_94</t>
  </si>
  <si>
    <t>是您作战的英姿唤醒了它，殿下，它渴望荣耀和战斗。</t>
  </si>
  <si>
    <t>Play_VO_Guide_ONG_050_Deputy</t>
  </si>
  <si>
    <t>ja_JP|-1.066167;ko_KR|0.5681462</t>
  </si>
  <si>
    <t>ko_KR|0.5681462</t>
  </si>
  <si>
    <t>TID_Dialogue_story_sl_ver_95</t>
  </si>
  <si>
    <t>如果是这样，那我会给它更多。</t>
  </si>
  <si>
    <t>Play_VO_Guide_ONG_051_Josephine</t>
  </si>
  <si>
    <t>ja_JP|-0.631479;ko_KR|-0.27827</t>
  </si>
  <si>
    <t>TID_Dialogue_story_sl_ver_96</t>
  </si>
  <si>
    <t>Play_VO_Guide_ONG_052_Josephine</t>
  </si>
  <si>
    <t>ja_JP|0.2588129;ko_KR|0.0004787445</t>
  </si>
  <si>
    <t>TID_Dialogue_story_sl_ver_108</t>
  </si>
  <si>
    <t>以敌人的鲜血浇灌，圣剑进一步复苏了，殿下。</t>
  </si>
  <si>
    <t>Play_VO_Guide_ONG_056_Deputy</t>
  </si>
  <si>
    <t>ja_JP|-1.695125;ko_KR|-2.750417</t>
  </si>
  <si>
    <t>ko_KR|-2.750417</t>
  </si>
  <si>
    <t>TID_Dialogue_story_sl_ver_109</t>
  </si>
  <si>
    <t>它神圣的美丽正在归来，我已经能看见它曾经高洁的影子。</t>
  </si>
  <si>
    <t>Play_VO_Guide_ONG_057_Josephine</t>
  </si>
  <si>
    <t>ja_JP|2.897792;ko_KR|0.9652712</t>
  </si>
  <si>
    <t>TID_Dialogue_story_sl_ver_110</t>
  </si>
  <si>
    <t>殿下，以后可以从这里更加便捷地出击。</t>
  </si>
  <si>
    <t>Play_VO_Guide_ONG_058_Deputy</t>
  </si>
  <si>
    <t>ja_JP|-0.1954381;ko_KR|-0.1122301</t>
  </si>
  <si>
    <t>ko_KR|-0.1122301</t>
  </si>
  <si>
    <t>TID_Dialogue_story_sl_ver_111</t>
  </si>
  <si>
    <t>敌人的鲜血和民众的崇敬都可以让圣剑复苏。</t>
  </si>
  <si>
    <t>Play_VO_Guide_ONG_059_Deputy</t>
  </si>
  <si>
    <t>ja_JP|-1.845146;ko_KR|-0.9580011</t>
  </si>
  <si>
    <t>ko_KR|-0.9580011</t>
  </si>
  <si>
    <t>TID_Dialogue_story_sl_ver_112</t>
  </si>
  <si>
    <t>殿下，修复圣剑近在咫尺，努力建设城镇，赢取更多的民心吧！</t>
  </si>
  <si>
    <t>Play_VO_Guide_ONG_060_Deputy</t>
  </si>
  <si>
    <t>ja_JP|0.3990202;ko_KR|0.4053121</t>
  </si>
  <si>
    <t>ko_KR|0.4053121</t>
  </si>
  <si>
    <t>TID_Dialogue_story_sl_ver_113</t>
  </si>
  <si>
    <t>多亏了您的努力，殿下，在民心的加持下，圣剑已重现光辉。</t>
  </si>
  <si>
    <t>Play_VO_Guide_TL_027_Deputy</t>
  </si>
  <si>
    <t>ko_KR|0</t>
  </si>
  <si>
    <t>TID_Dialogue_story_sl_ver_114</t>
  </si>
  <si>
    <t>Historica，永恒的见证者，用至高之山的银精铸就，以雷霆锻打而成的无上圣剑！</t>
  </si>
  <si>
    <t>Play_VO_Guide_TL_028_Deputy</t>
  </si>
  <si>
    <t>TID_Dialogue_story_sl_ver_115</t>
  </si>
  <si>
    <t>它是王权之证，荣耀之刃！它曾因岁月而衰朽，如今亦应天命于您手中重铸。</t>
  </si>
  <si>
    <t>Play_VO_Guide_TL_029_Deputy</t>
  </si>
  <si>
    <t>TID_Dialogue_story_sl_ver_116</t>
  </si>
  <si>
    <t>圣剑Historica将重新回到这片大陆。它在等待着我，我确认这一点。</t>
  </si>
  <si>
    <t>Play_VO_Guide_TL_030_Josephine</t>
  </si>
  <si>
    <t>TID_Dialogue_story_sl_ver_117</t>
  </si>
  <si>
    <t>用它去召集帝国最强大的军队吧，殿下，去成为您命中注定要做的王！</t>
  </si>
  <si>
    <t>Play_VO_Guide_TL_031_Deputy</t>
  </si>
  <si>
    <t>TID_BranchLineTaskConf_008_taskName_GL_Main</t>
  </si>
  <si>
    <t>通过战斗来获得荣耀，或建设领地来获得民心，这些都可以为圣剑带来能量。</t>
  </si>
  <si>
    <t>Play_VO_Guide_ONG_061_Josephine</t>
  </si>
  <si>
    <t>ja_JP|1.8685;ko_KR|-1.08875</t>
  </si>
  <si>
    <t>TID_BranchLineTaskConf_009_taskName_GL_Main</t>
  </si>
  <si>
    <t>领地需要维护，短期内不宜再战，建设的话，不如就从建造居民房舍开始。</t>
  </si>
  <si>
    <t>Play_VO_Guide_ONG_062_Deputy</t>
  </si>
  <si>
    <t>ja_JP|-1.533709;ko_KR|-0.7425423</t>
  </si>
  <si>
    <t>TID_BranchLineTaskConf_010_taskName_GL_Main</t>
  </si>
  <si>
    <t>建造需要大量木材，殿下，请派遣农民前往伐木。</t>
  </si>
  <si>
    <t>Play_VO_Guide_ONG_063_Deputy</t>
  </si>
  <si>
    <t>ja_JP|0.02716732;ko_KR|-0.6404157</t>
  </si>
  <si>
    <t>TID_BranchLineTaskConf_002_taskName_GL_Main</t>
  </si>
  <si>
    <t>木材已经足够，现在可以建造居民房舍了。</t>
  </si>
  <si>
    <t>Play_VO_Guide_ONG_064_Deputy</t>
  </si>
  <si>
    <t>ja_JP|-0.154146;ko_KR|-0.665062</t>
  </si>
  <si>
    <t>TID_BranchLineTaskConf_011_taskName_GL_Main</t>
  </si>
  <si>
    <t>居民房舍的建成让民心上升了，我能感受到圣剑的雀跃，它在逐渐苏醒！</t>
  </si>
  <si>
    <t>Play_VO_Guide_ONG_065_Josephine</t>
  </si>
  <si>
    <t>ja_JP|0.7041874;ko_KR|-1.967229</t>
  </si>
  <si>
    <t>TID_BranchLineTaskConf_012_taskName_GL_Main</t>
  </si>
  <si>
    <t>恭喜殿下，我们现在也可以通过居民房舍招募更多农民了。</t>
  </si>
  <si>
    <t>Play_VO_Guide_ONG_066_Deputy</t>
  </si>
  <si>
    <t>ja_JP|-0.1349378;ko_KR|-0.8477917</t>
  </si>
  <si>
    <t>TID_BranchLineTaskConf_003_taskName_GL_Main</t>
  </si>
  <si>
    <t>我们可以通过居民房舍招募更多村民。</t>
  </si>
  <si>
    <t>Play_VO_Guide_ONG_067_Deputy</t>
  </si>
  <si>
    <t>ja_JP|0.25475;ko_KR|-0.1416869</t>
  </si>
  <si>
    <t>TID_BranchLineTaskConf_004_taskName_GL_Main</t>
  </si>
  <si>
    <t>我们可以建造一座伐木场，以提高伐木效率。</t>
  </si>
  <si>
    <t>Play_VO_Guide_ONG_068_Deputy</t>
  </si>
  <si>
    <t>ja_JP|-0.5722501;ko_KR|-0.08329105</t>
  </si>
  <si>
    <t>TID_BranchLineTaskConf_005_taskName_GL_Main</t>
  </si>
  <si>
    <t>殿下，请升级城镇中心，是时候迈出新的一步了！</t>
  </si>
  <si>
    <t>Play_VO_Guide_ONG_069_Deputy</t>
  </si>
  <si>
    <t>ja_JP|-2.849646;ko_KR|-1.335166</t>
  </si>
  <si>
    <t>海岛探索进入前对话</t>
  </si>
  <si>
    <t>圣剑在给我启示，让它重现光辉的希望就在无边的大海之中。</t>
  </si>
  <si>
    <t>Play_VO_Guide_ONG_070_Josephine</t>
  </si>
  <si>
    <t>ja_JP|0.3883963;ko_KR|0.1785631</t>
  </si>
  <si>
    <t>不管有什么等在那里，我们都必须立刻出发。</t>
  </si>
  <si>
    <t>Play_VO_Guide_ONG_071_Josephine</t>
  </si>
  <si>
    <t>ja_JP|1.70175;ko_KR|-0.201896</t>
  </si>
  <si>
    <t>海岛探索进入后对话</t>
  </si>
  <si>
    <t>无畏的战斗和荣耀的胜利，这就是HISTORICA渴求的东西！</t>
  </si>
  <si>
    <t>Play_VO_Guide_ONG_072_Josephine</t>
  </si>
  <si>
    <t>ja_JP|0.856709;ko_KR|0.168292</t>
  </si>
  <si>
    <t>TID_BranchLineTaskConf_006_taskName_GL_Main</t>
  </si>
  <si>
    <t>领地的居民越来越多，我们可以建造磨坊以提高食物产量。</t>
  </si>
  <si>
    <t>Play_VO_Guide_ONG_073_Deputy</t>
  </si>
  <si>
    <t>ja_JP|0.3511658;ko_KR|0.3551669</t>
  </si>
  <si>
    <t>TID_BranchLineTaskConf_007_taskName_GL_Main</t>
  </si>
  <si>
    <t>让村民专注耕种农田，获取更多的食物吧。</t>
  </si>
  <si>
    <t>Play_VO_Guide_ONG_074_Deputy</t>
  </si>
  <si>
    <t>ja_JP|0.9242289;ko_KR|0.4832289</t>
  </si>
  <si>
    <t>TID_Dialogue_story_gl_322</t>
  </si>
  <si>
    <t>我抓住你了，混蛋！</t>
  </si>
  <si>
    <t>Play_VO_Guide_ONG_075_Deputy</t>
  </si>
  <si>
    <t>新手Part1 - 复活</t>
  </si>
  <si>
    <t>TID_DialogueConf_1060635_textList_CN_Main</t>
  </si>
  <si>
    <t>Play_VO_Tutorial_SideMission_4_Andrea_EN</t>
  </si>
  <si>
    <t>这次战斗，我们得谨慎些……我总有种不好的预感。</t>
  </si>
  <si>
    <t>TID_DialogueConf_1060635_textList_45687468128_CN_Main</t>
  </si>
  <si>
    <t>Play_VO_Tutorial_SideMission_5_Deputy_EN</t>
  </si>
  <si>
    <t>遵从您的命令，殿下。</t>
  </si>
  <si>
    <t>TID_DialogueConf_1060636_textList_CN_Main</t>
  </si>
  <si>
    <t>Play_VO_Tutorial_SideMission_6_Andrea_EN</t>
  </si>
  <si>
    <t>……好像做了一场噩梦，我们现在是不是准备出发和敌人正面决战？</t>
  </si>
  <si>
    <t>TID_DialogueConf_1060636_textList_56374418386_CN_Main</t>
  </si>
  <si>
    <t>Play_VO_Tutorial_SideMission_7_Deputy_EN</t>
  </si>
  <si>
    <t>对不起，殿下，除了有点痛，我什么都记不得了。</t>
  </si>
  <si>
    <t>TID_DialogueConf_1060637_textList_CN_Main</t>
  </si>
  <si>
    <t>Play_VO_Tutorial_SideMission_8_Andrea_EN</t>
  </si>
  <si>
    <t>总感觉这个场景不是第一次发生了。</t>
  </si>
  <si>
    <t>TID_DialogueConf_1060637_textList_668526997777_CN_Main</t>
  </si>
  <si>
    <t>Play_VO_Tutorial_SideMission_9_Deputy_EN</t>
  </si>
  <si>
    <t>书上说这叫dejavu，殿下。......</t>
  </si>
  <si>
    <t>TID_DialogueConf_1060633_name_CN_Main</t>
  </si>
  <si>
    <t>TID_Dialogue_story_sl_ver_118</t>
  </si>
  <si>
    <t>训练剑士需要食物，我们可以跟那些“小羊”借一些。</t>
  </si>
  <si>
    <t>Play_VO_Campaign_GL_047_Deputy_EN</t>
  </si>
  <si>
    <t>新手Part1 -支线蛮族</t>
  </si>
  <si>
    <t>TID_DialogueConf_1060639_textList_CN_Main</t>
  </si>
  <si>
    <t>Play_VO_Tutorial_SideMission_3_Deputy_EN</t>
  </si>
  <si>
    <t>殿下，这里的蛮族很不好对付，我们尽量避开他的视线范围</t>
  </si>
  <si>
    <t>新手Part1 - 肖恩支线</t>
  </si>
  <si>
    <t>TID_DialogueConf_1060638_textList_CN_Main</t>
  </si>
  <si>
    <t>Play_VO_Tutorial_SideMission_1_Deputy_EN</t>
  </si>
  <si>
    <t>可怜的肖恩，他也才刚刚入伍......</t>
  </si>
  <si>
    <t>新手Part2 - 肖恩支线</t>
  </si>
  <si>
    <t>TID_DialogueConf_1060638_textList_1079106829253_CN_Main</t>
  </si>
  <si>
    <t>Play_VO_Tutorial_SideMission_2_Andrea_EN</t>
  </si>
  <si>
    <t>副官，现在只剩我们俩了，要更加小心。</t>
  </si>
  <si>
    <t>TID_Dialogue_story_sl_ver_119</t>
  </si>
  <si>
    <t>殿下，我们已经可以训练更多的士兵了。</t>
  </si>
  <si>
    <t>Play_VO_Campaign_GL_048_Deputy_EN</t>
  </si>
  <si>
    <t>阿克塞尔副官</t>
  </si>
  <si>
    <t>icon_hero_206_big</t>
  </si>
  <si>
    <t>TID_Dialogue_story_gl_01</t>
  </si>
  <si>
    <t>殿下！城外忽然来了一支部落军队！</t>
  </si>
  <si>
    <t>stand_move|1|0</t>
  </si>
  <si>
    <t>action3</t>
  </si>
  <si>
    <t>58.07|0|0.41|-90</t>
  </si>
  <si>
    <t>50.38|0|0.41|-90</t>
  </si>
  <si>
    <t>1</t>
  </si>
  <si>
    <t>56.02|12.16|-7.41|18||1|1|0.5</t>
  </si>
  <si>
    <t>Play_VO_MainStory_ONG_001_DeputyAxel</t>
  </si>
  <si>
    <t>ja_JP|-1.009833;ko_KR|-1.676875</t>
  </si>
  <si>
    <t>icon_hero_036_big</t>
  </si>
  <si>
    <t>TID_Dialogue_story_gl_02</t>
  </si>
  <si>
    <t>不要惊慌，出城看看。</t>
  </si>
  <si>
    <t>stand_walk|1|0</t>
  </si>
  <si>
    <t>45.6|0|0.27|88.97</t>
  </si>
  <si>
    <t>Play_VO_MainStory_ONG_002_Josephine</t>
  </si>
  <si>
    <t>ja_JP|-0.3132291;ko_KR|0.03218699</t>
  </si>
  <si>
    <t>story_kruvis_big</t>
  </si>
  <si>
    <t>TID_Dialogue_story_gl_03</t>
  </si>
  <si>
    <t>当初君临没能见面使我抱憾至今……您的面貌比传闻中更美丽，约瑟芬殿下，</t>
  </si>
  <si>
    <t>action9</t>
  </si>
  <si>
    <t>115.61|-3.58|0.95|-88</t>
  </si>
  <si>
    <t>110.32|-2.48|1.13|-88</t>
  </si>
  <si>
    <t>115.17|13.47|-9.67|20|1|1|1|0.5</t>
  </si>
  <si>
    <t>Play_VO_MainStory_ONG_003_Kruvis</t>
  </si>
  <si>
    <t>ja_JP|-1.201127;ko_KR|1.505499</t>
  </si>
  <si>
    <t>TID_Dialogue_story_gl_04</t>
  </si>
  <si>
    <t>我是此地的首领，部落灰狼氏族的汗，克鲁维斯。</t>
  </si>
  <si>
    <t>115.17|13.47|-9.67|20||1|1|0.5</t>
  </si>
  <si>
    <t>117.86|13.47|-10.34|20|60|1|1|0.5</t>
  </si>
  <si>
    <t>Play_VO_MainStory_ONG_004_Kruvis</t>
  </si>
  <si>
    <t>ja_JP|-2.764812;ko_KR|-1.578167</t>
  </si>
  <si>
    <t>TID_Dialogue_story_gl_05</t>
  </si>
  <si>
    <t>是你……就是你们这些野蛮人，在那个贝利卡尔的带领下攻破了君临，还杀死了我的父亲！</t>
  </si>
  <si>
    <t>101.07|0|0.79|89</t>
  </si>
  <si>
    <t>Play_VO_MainStory_ONG_005_Josephine</t>
  </si>
  <si>
    <t>ja_JP|0.6030416;ko_KR|3.375229</t>
  </si>
  <si>
    <t>TID_Dialogue_story_gl_06</t>
  </si>
  <si>
    <t>哦，放轻松，美丽的殿下，帝国已经灭亡了，如果你忘记那些无用的往事，我想……我们之间的仇恨可以一笔勾销。</t>
  </si>
  <si>
    <t>Play_VO_MainStory_ONG_006_Kruvis</t>
  </si>
  <si>
    <t>ja_JP|-0.8686047;ko_KR|0.7833748</t>
  </si>
  <si>
    <t>TID_Dialogue_story_gl_07</t>
  </si>
  <si>
    <t>忘记？从战争开始……帝国无辜者的鲜血已经浸透了这片土地，你们的罪恶就像无处不在的血腥味，每次呼吸都会提醒我它的存在。</t>
  </si>
  <si>
    <t>Play_VO_MainStory_ONG_007_Josephine</t>
  </si>
  <si>
    <t>ja_JP|0.1670208;ko_KR|0.7529793</t>
  </si>
  <si>
    <t>TID_Dialogue_story_gl_08</t>
  </si>
  <si>
    <t>我的父亲在看着我，卡尔在看着我，帝国的千千万万人在看着我，他们的目光比箭矢更锋锐，刺在我的愧疚感上，让我在每个夜晚都在疼痛中难以入眠。</t>
  </si>
  <si>
    <t>Play_VO_MainStory_ONG_008_Josephine</t>
  </si>
  <si>
    <t>ja_JP|-1.332605;ko_KR|-1.564126</t>
  </si>
  <si>
    <t>TID_Dialogue_story_gl_09</t>
  </si>
  <si>
    <t>忘记？呵，忘记？！野蛮人！我永远不会忘记！只要我还活着，帝国就没有灭亡！</t>
  </si>
  <si>
    <t>Play_VO_MainStory_ONG_009_Josephine</t>
  </si>
  <si>
    <t>ja_JP|-0.3161459;ko_KR|1.172354</t>
  </si>
  <si>
    <t>TID_Dialogue_story_gl_10</t>
  </si>
  <si>
    <t>与其在复国的妄想里溺死，不如……把圣剑交给我，这样多少会轻松许多。
我可以仁慈地允许你在我的治下安度余生。</t>
  </si>
  <si>
    <t>Play_VO_MainStory_ONG_010_Kruvis</t>
  </si>
  <si>
    <t>ja_JP|0.6087713;ko_KR|7.62473</t>
  </si>
  <si>
    <t>TID_Dialogue_story_gl_11</t>
  </si>
  <si>
    <t>区区一个氏族的首领也敢觊觎代表王权的圣剑，贝利卡尔知道你的打算么？</t>
  </si>
  <si>
    <t>Play_VO_MainStory_ONG_011_Josephine</t>
  </si>
  <si>
    <t>ja_JP|-0.914958;ko_KR|-2.120042</t>
  </si>
  <si>
    <t>TID_Dialogue_story_gl_12</t>
  </si>
  <si>
    <t>放心，这里的一切大汗都不会知道，所以，约瑟芬殿下，你……做好决定了么？</t>
  </si>
  <si>
    <t>Play_VO_MainStory_ONG_012_Kruvis</t>
  </si>
  <si>
    <t>ja_JP|1.214188;ko_KR|4.456729</t>
  </si>
  <si>
    <t>TID_Dialogue_story_gl_13</t>
  </si>
  <si>
    <t>除非从我的尸体上跨过去！</t>
  </si>
  <si>
    <t>Play_VO_MainStory_ONG_013_Josephine</t>
  </si>
  <si>
    <t>ja_JP|0.864271;ko_KR|0.626917</t>
  </si>
  <si>
    <t>TID_Dialogue_story_gl_14</t>
  </si>
  <si>
    <t>啧，我其实不想动用武力，但你们每次都让我别无选择。</t>
  </si>
  <si>
    <t>Play_VO_MainStory_ONG_014_Kruvis</t>
  </si>
  <si>
    <t>ja_JP|-2.679167;ko_KR|3.82975</t>
  </si>
  <si>
    <t>TID_Dialogue_story_gl_15</t>
  </si>
  <si>
    <t>今日暂且告别，至于你们，好好享受所剩不多的生命……在下次见面之前。</t>
  </si>
  <si>
    <t>stand_idle</t>
  </si>
  <si>
    <t>117.61|-3.58|0.95|-88</t>
  </si>
  <si>
    <t>Play_VO_MainStory_ONG_015_Kruvis</t>
  </si>
  <si>
    <t>ja_JP|-0.7773542;ko_KR|1.648917</t>
  </si>
  <si>
    <t>TID_Dialogue_story_gl_16</t>
  </si>
  <si>
    <t>抓紧建设，全面备战！战争，要开始了。</t>
  </si>
  <si>
    <t>101.07|0|0.79|270</t>
  </si>
  <si>
    <t>93.86|0|0.86|270</t>
  </si>
  <si>
    <t>109.41|12.12|-7.27||1|1|1|0.5</t>
  </si>
  <si>
    <t>102.03|12.12|-6.61|18|10|1|1|0.5</t>
  </si>
  <si>
    <t>Play_VO_MainStory_ONG_016_Josephine</t>
  </si>
  <si>
    <t>ja_JP|-0.5883751;ko_KR|-0.2990632</t>
  </si>
  <si>
    <t>奥斯汀</t>
  </si>
  <si>
    <t>TID_Dialogue_story_gl_charaname_01</t>
  </si>
  <si>
    <t>story_austin_big</t>
  </si>
  <si>
    <t>TID_Dialogue_story_gl_18</t>
  </si>
  <si>
    <t>尊敬的约瑟芬王储妃殿下，我是帝国的边境伯爵奥斯汀，曾任边陲总督，十分荣幸能在此地与您见面。</t>
  </si>
  <si>
    <t>move|1|0</t>
  </si>
  <si>
    <t>12.37|0|-12|-40</t>
  </si>
  <si>
    <t>9|0|-9|-40</t>
  </si>
  <si>
    <t>14.32|11.1|-14.3|16.5||1|1|0.5</t>
  </si>
  <si>
    <t>Play_VO_MainStory_ONG_018_Austin</t>
  </si>
  <si>
    <t>ja_JP|1.90202;ko_KR|1.823792</t>
  </si>
  <si>
    <t>TID_Dialogue_story_gl_19</t>
  </si>
  <si>
    <t>部落入侵，边陲已经动荡了这么久，竟然还有忠于帝国的贵族？</t>
  </si>
  <si>
    <t>4.5|1|-4|140</t>
  </si>
  <si>
    <t>15.66|11.1|-15.64|16.5|0.5|1|1|0.5</t>
  </si>
  <si>
    <t>15.66|11.1|-15.64|16.5|30|1|1|0.5</t>
  </si>
  <si>
    <t>Play_VO_MainStory_ONG_019_Josephine</t>
  </si>
  <si>
    <t>ja_JP|3.349167;ko_KR|0.9190421</t>
  </si>
  <si>
    <t>TID_Dialogue_story_gl_20</t>
  </si>
  <si>
    <t>殿下，贵族与帝国荣辱与共……忠诚是我等应尽的义务，我这次来，也正是为了确保您的安全。</t>
  </si>
  <si>
    <t>action9|1|0</t>
  </si>
  <si>
    <t>Play_VO_MainStory_ONG_020_Austin</t>
  </si>
  <si>
    <t>ja_JP|3.208292;ko_KR|1.505333</t>
  </si>
  <si>
    <t>TID_Dialogue_story_gl_21</t>
  </si>
  <si>
    <t>作为这里之前的总督，你对克鲁维斯了解多少？</t>
  </si>
  <si>
    <t>Play_VO_MainStory_ONG_021_Josephine</t>
  </si>
  <si>
    <t>ja_JP|-1.829;ko_KR|-0.1704788</t>
  </si>
  <si>
    <t>TID_Dialogue_story_gl_22</t>
  </si>
  <si>
    <t>他的灰狼氏族是部落最强的几个氏族之一。在攻入君临后，他被贝利卡尔汗分封到这里，面对他恐怖的军队，根本没有人能正面抗衡。</t>
  </si>
  <si>
    <t>stand_chat2|1|0</t>
  </si>
  <si>
    <t>Play_VO_MainStory_ONG_022_Austin</t>
  </si>
  <si>
    <t>ja_JP|3.427854;ko_KR|2.858396</t>
  </si>
  <si>
    <t>TID_Dialogue_story_gl_23</t>
  </si>
  <si>
    <t>各自为战肯定只会被克鲁维斯各个击破，但如果……嗯，你还能联系到其他的领主吗？</t>
  </si>
  <si>
    <t>Play_VO_MainStory_ONG_023_Josephine</t>
  </si>
  <si>
    <t>ja_JP|1.301458;ko_KR|-1.920834</t>
  </si>
  <si>
    <t>TID_Dialogue_story_gl_24</t>
  </si>
  <si>
    <t>当然可以，殿下，您有什么命令需要传达？</t>
  </si>
  <si>
    <t>Play_VO_MainStory_ONG_024_Austin</t>
  </si>
  <si>
    <t>ja_JP|1.306625;ko_KR|0.1394789</t>
  </si>
  <si>
    <t>TID_Dialogue_story_gl_25</t>
  </si>
  <si>
    <t>只有所有帝国的领主们联合起来，集结众人之力才能拿对抗部落。
我号召建立起对抗部落的神圣联盟，以帝国王储妃约瑟芬……还有圣剑的名义！</t>
  </si>
  <si>
    <t>Play_VO_MainStory_ONG_025_Josephine</t>
  </si>
  <si>
    <t>ja_JP|3.232833;ko_KR|-2.833522</t>
  </si>
  <si>
    <t>TID_Dialogue_story_gl_26</t>
  </si>
  <si>
    <t>所以您真的……？！</t>
  </si>
  <si>
    <t>Play_VO_MainStory_ONG_026_Austin</t>
  </si>
  <si>
    <t>ja_JP|1.452375;ko_KR|1.696771</t>
  </si>
  <si>
    <t>TID_Dialogue_story_gl_27</t>
  </si>
  <si>
    <t>没错，我找回了Historica。</t>
  </si>
  <si>
    <t>Play_VO_MainStory_ONG_027_Josephine</t>
  </si>
  <si>
    <t>ja_JP|-0.125855;ko_KR|-0.0592711</t>
  </si>
  <si>
    <t>TID_Dialogue_story_gl_28</t>
  </si>
  <si>
    <t>太好了，呼……太好了，我就知道，殿下！
我们一定可以驱逐部落，最终的胜利必将属于我们！</t>
  </si>
  <si>
    <t>17|12|-18|16|0.5|1|1|0.5</t>
  </si>
  <si>
    <t>Play_VO_MainStory_ONG_028_Austin</t>
  </si>
  <si>
    <t>ja_JP|-1.161417;ko_KR|-2.847313</t>
  </si>
  <si>
    <t>TID_Dialogue_story_gl_29</t>
  </si>
  <si>
    <t>我会立刻将您的命令告知给其他领主，愿您的王权长存于世。</t>
  </si>
  <si>
    <t>9|0|-9|50</t>
  </si>
  <si>
    <t>19|0|-7.67|0</t>
  </si>
  <si>
    <t>Play_VO_MainStory_ONG_029_Austin</t>
  </si>
  <si>
    <t>ja_JP|-0.3692288;ko_KR|2.57725</t>
  </si>
  <si>
    <t>TID_Dialogue_story_gl_30</t>
  </si>
  <si>
    <t>有了本地势力的帮忙，那个克鲁维斯暂时是威胁不到我们了！</t>
  </si>
  <si>
    <t>3.54|0|-7|113</t>
  </si>
  <si>
    <t>3.54|0|-7|6</t>
  </si>
  <si>
    <t>11.57|10.73|-11.74|16|0.5|1|1|0.5</t>
  </si>
  <si>
    <t>Play_VO_MainStory_ONG_030_DeputyAxel</t>
  </si>
  <si>
    <t>ja_JP|-0.7228122;ko_KR|-0.8973331</t>
  </si>
  <si>
    <t>TID_Dialogue_story_gl_31</t>
  </si>
  <si>
    <t>部落很强，即使我们联合，也只是勉强抗衡罢了，而且……当年部落入侵，正是各地贵族一触即溃，才让他们一路打进了君临。</t>
  </si>
  <si>
    <t>Play_VO_MainStory_ONG_031_Josephine</t>
  </si>
  <si>
    <t>ja_JP|4.194918;ko_KR|1.971959</t>
  </si>
  <si>
    <t>TID_Dialogue_story_gl_32</t>
  </si>
  <si>
    <t>这……既然您已经知道了贵族无法依靠，为什么还要接纳奥斯汀伯爵？</t>
  </si>
  <si>
    <t>Play_VO_MainStory_ONG_032_DeputyAxel</t>
  </si>
  <si>
    <t>ja_JP|-3.377125;ko_KR|-2.03075</t>
  </si>
  <si>
    <t>TID_Dialogue_story_gl_33</t>
  </si>
  <si>
    <t>我们需要团结一切可团结的力量。
我们太弱小，需要更多的朋友……这就是建立联盟的意义，即便他们可能并不忠诚。</t>
  </si>
  <si>
    <t>Play_VO_MainStory_ONG_033_Josephine</t>
  </si>
  <si>
    <t>ja_JP|4.947083;ko_KR|-0.170104</t>
  </si>
  <si>
    <t>TID_Dialogue_story_gl_35</t>
  </si>
  <si>
    <t>殿下，克鲁维斯一直在袭扰我们的领地，幸好有联盟的协防，并没有造成太大损失。</t>
  </si>
  <si>
    <t>35|0|3|-177</t>
  </si>
  <si>
    <t>35|0|3|-142</t>
  </si>
  <si>
    <t>38.42|10.04|-6.72|15||1|1|0.5</t>
  </si>
  <si>
    <t>Play_VO_MainStory_ONG_035_DeputyAxel</t>
  </si>
  <si>
    <t>ja_JP|0.3898125;ko_KR|-2.129313</t>
  </si>
  <si>
    <t>TID_Dialogue_story_gl_36</t>
  </si>
  <si>
    <t>还有奥斯汀伯爵，他一直自荐想要接手潮汐城的防务，您看……？</t>
  </si>
  <si>
    <t>Play_VO_MainStory_ONG_036_DeputyAxel</t>
  </si>
  <si>
    <t>ja_JP|-1.459353;ko_KR|-3.303375</t>
  </si>
  <si>
    <t>TID_Dialogue_story_gl_37</t>
  </si>
  <si>
    <t>告诉他，我们的兵力足够自保，暂时不需要他的帮助。目前征兵情况如何？</t>
  </si>
  <si>
    <t>29.5|0|0.75|68</t>
  </si>
  <si>
    <t>Play_VO_MainStory_ONG_037_Josephine</t>
  </si>
  <si>
    <t>ja_JP|-0.1617699;ko_KR|-0.9577699</t>
  </si>
  <si>
    <t>TID_Dialogue_story_gl_38</t>
  </si>
  <si>
    <t>有一些小问题，殿下，许多农民都说不愿意再给帝国贵族卖命。</t>
  </si>
  <si>
    <t>Play_VO_MainStory_ONG_038_DeputyAxel</t>
  </si>
  <si>
    <t>ja_JP|2.159687;ko_KR|1.039958</t>
  </si>
  <si>
    <t>TID_Dialogue_story_gl_39</t>
  </si>
  <si>
    <t>特别是在领地北侧的杜尔村，他们甚至关闭了村门不让征兵传令官进去。</t>
  </si>
  <si>
    <t>Play_VO_MainStory_ONG_039_DeputyAxel</t>
  </si>
  <si>
    <t>ja_JP|-3.111709;ko_KR|-2.719832</t>
  </si>
  <si>
    <t>TID_Dialogue_story_gl_40</t>
  </si>
  <si>
    <t>边陲的农民这么仇恨贵族？</t>
  </si>
  <si>
    <t>Play_VO_MainStory_ONG_040_Josephine</t>
  </si>
  <si>
    <t>ja_JP|-0.214334;ko_KR|0.3802078</t>
  </si>
  <si>
    <t>TID_Dialogue_story_gl_41</t>
  </si>
  <si>
    <t>他们说蛮族入侵的时候，贵族只知道弃城而逃，不管平民死活……</t>
  </si>
  <si>
    <t>Play_VO_MainStory_ONG_041_DeputyAxel</t>
  </si>
  <si>
    <t>ja_JP|-1.023105;ko_KR|-0.770813</t>
  </si>
  <si>
    <t>TID_Dialogue_story_gl_42</t>
  </si>
  <si>
    <t>他们能活到现在都仰仗于贵族的仁慈，结果，他们非但不知感恩，还污蔑贵族的名誉，甚至反抗我们的官员？！这帮下等的贱民！</t>
  </si>
  <si>
    <t>38.21|0|0|-80</t>
  </si>
  <si>
    <t>41.77|10.04|-6|15||1|1|0.5</t>
  </si>
  <si>
    <t>42.43|10.04|-6|15|3|1|1|0.5</t>
  </si>
  <si>
    <t>Play_VO_MainStory_ONG_042_Austin</t>
  </si>
  <si>
    <t>ja_JP|-1.998562;ko_KR|-2.473166</t>
  </si>
  <si>
    <t>TID_Dialogue_story_gl_43</t>
  </si>
  <si>
    <t>礼仪，奥斯汀。</t>
  </si>
  <si>
    <t>Play_VO_MainStory_ONG_043_Josephine</t>
  </si>
  <si>
    <t>ja_JP|-0.687771;ko_KR|-0.401104</t>
  </si>
  <si>
    <t>TID_Dialogue_story_gl_44</t>
  </si>
  <si>
    <t>抱歉殿下，但我实在难以容忍这样的侮辱，请允许我派兵前往杜尔村，我会让他们知道忤逆的下场是什么！</t>
  </si>
  <si>
    <t>Play_VO_MainStory_ONG_044_Austin</t>
  </si>
  <si>
    <t>ja_JP|-0.3494997;ko_KR|1.458229</t>
  </si>
  <si>
    <t>TID_Dialogue_story_gl_45</t>
  </si>
  <si>
    <t>奥斯汀，无论什么理由，都不应该把剑刃朝向自己的人民，更何况，错不在他们。</t>
  </si>
  <si>
    <t>Play_VO_MainStory_ONG_045_Josephine</t>
  </si>
  <si>
    <t>ja_JP|-1.450624;ko_KR|-2.129437</t>
  </si>
  <si>
    <t>TID_Dialogue_story_gl_46</t>
  </si>
  <si>
    <t>狮子成为百兽之王可不是因为它的英俊，殿下，你必须让人们畏惧，他们才会服从！</t>
  </si>
  <si>
    <t>Play_VO_MainStory_ONG_046_Austin</t>
  </si>
  <si>
    <t>ja_JP|-2.356146;ko_KR|-2.645563</t>
  </si>
  <si>
    <t>TID_Dialogue_story_gl_47</t>
  </si>
  <si>
    <t>我已经决定了。</t>
  </si>
  <si>
    <t>Play_VO_MainStory_ONG_047_Josephine</t>
  </si>
  <si>
    <t>ja_JP|-0.368188;ko_KR|-0.205584</t>
  </si>
  <si>
    <t>TID_Dialogue_story_gl_48</t>
  </si>
  <si>
    <t>……好吧，既然是您的选择。殿下，奥斯汀只能遵令。</t>
  </si>
  <si>
    <t>Play_VO_MainStory_ONG_048_Austin</t>
  </si>
  <si>
    <t>ja_JP|2.2835;ko_KR|1.184958</t>
  </si>
  <si>
    <t>TID_Dialogue_story_gl_50</t>
  </si>
  <si>
    <t>好在并不是所有村庄都跟杜尔村一样难以交涉。
呼，殿下，征兵工作有点慢，但也终于有些进展了。</t>
  </si>
  <si>
    <t>11.57|10.73|-11.74|16||1|1|0.5</t>
  </si>
  <si>
    <t>Play_VO_MainStory_ONG_050_DeputyAxel</t>
  </si>
  <si>
    <t>ja_JP|1.763021;ko_KR|0.5795832</t>
  </si>
  <si>
    <t>TID_Dialogue_story_gl_51</t>
  </si>
  <si>
    <t>眼下应对部落的袭扰暂时是够了，但如果克鲁维斯不顾一切倾巢而出……最近战场情况如何？</t>
  </si>
  <si>
    <t>Play_VO_MainStory_ONG_051_Josephine</t>
  </si>
  <si>
    <t>ja_JP|2.575397;ko_KR|-0.5483751</t>
  </si>
  <si>
    <t>TID_Dialogue_story_gl_52</t>
  </si>
  <si>
    <t>我正要跟您说这件事，殿下，虽然我们正面没有吃亏……因为部落的袭扰，很多林场和矿场都停了工，殿下，我们的建材快告罄了。</t>
  </si>
  <si>
    <t>Play_VO_MainStory_ONG_052_DeputyAxel</t>
  </si>
  <si>
    <t>ja_JP|1.520208;ko_KR|-3.002251</t>
  </si>
  <si>
    <t>TID_Dialogue_story_gl_53</t>
  </si>
  <si>
    <t>有没有可以交易的外来商队？</t>
  </si>
  <si>
    <t>Play_VO_MainStory_ONG_053_Josephine</t>
  </si>
  <si>
    <t>ja_JP|-0.7445209;ko_KR|-0.948854</t>
  </si>
  <si>
    <t>TID_Dialogue_story_gl_54</t>
  </si>
  <si>
    <t>很少有商人愿意冒着被部落劫掠的风险做这里的生意。倒是有少数几个胆子大的，但价格也不是很美丽。</t>
  </si>
  <si>
    <t>Play_VO_MainStory_ONG_054_DeputyAxel</t>
  </si>
  <si>
    <t>ja_JP|-1.066937;ko_KR|-0.4853954</t>
  </si>
  <si>
    <t>TID_Dialogue_story_gl_55</t>
  </si>
  <si>
    <t>看来我们只能自己组建商队运送建材了……算了，我亲自带队从秘道走一趟，这件事不容有失。</t>
  </si>
  <si>
    <t>Play_VO_MainStory_ONG_055_Josephine</t>
  </si>
  <si>
    <t>ja_JP|2.612021;ko_KR|-0.1223955</t>
  </si>
  <si>
    <t>TID_Dialogue_story_gl_56</t>
  </si>
  <si>
    <t>总算没让我的等待白费，你这支蔷薇终于走出了温室……</t>
  </si>
  <si>
    <t>Play_VO_MainStory_TL_001_Kruvis</t>
  </si>
  <si>
    <t>TID_Dialogue_story_gl_57</t>
  </si>
  <si>
    <t>你怎么会……？！</t>
  </si>
  <si>
    <t>Play_VO_MainStory_TL_002_Josephine</t>
  </si>
  <si>
    <t>TID_Dialogue_story_gl_58</t>
  </si>
  <si>
    <t>哈哈哈哈！你的秘道好像也没有那么隐秘！</t>
  </si>
  <si>
    <t>Play_VO_MainStory_TL_003_Kruvis</t>
  </si>
  <si>
    <t>TID_Dialogue_story_gl_59</t>
  </si>
  <si>
    <t>来吧，约瑟芬！这场战斗，我已经等得太久了！</t>
  </si>
  <si>
    <t>Play_VO_MainStory_TL_004_Kruvis</t>
  </si>
  <si>
    <t>TID_Dialogue_story_gl_60</t>
  </si>
  <si>
    <t>殿下，请抓紧离开！我来断后！</t>
  </si>
  <si>
    <t>Play_VO_MainStory_TL_005_DeputyAxel</t>
  </si>
  <si>
    <t>TID_Dialogue_story_gl_61</t>
  </si>
  <si>
    <t>不行！我说过，我绝对不会再放弃任何一人。</t>
  </si>
  <si>
    <t>Play_VO_MainStory_TL_006_Josephine</t>
  </si>
  <si>
    <t>TID_Dialogue_story_gl_62</t>
  </si>
  <si>
    <t>……这是我自己的选择，就和卡尔统领一样。</t>
  </si>
  <si>
    <t>Play_VO_MainStory_TL_007_DeputyAxel</t>
  </si>
  <si>
    <t>TID_Dialogue_story_gl_63</t>
  </si>
  <si>
    <t>您的生命才是希望，请您立刻离开，为了我们……也为了帝国！</t>
  </si>
  <si>
    <t>Play_VO_MainStory_TL_008_DeputyAxel</t>
  </si>
  <si>
    <t>TID_Dialogue_story_gl_64</t>
  </si>
  <si>
    <t>不……我不能……</t>
  </si>
  <si>
    <t>Play_VO_MainStory_TL_009_Josephine</t>
  </si>
  <si>
    <t>TID_Dialogue_story_gl_65</t>
  </si>
  <si>
    <t>（嘲讽地笑）我来帮你们决定——全都死在这里！</t>
  </si>
  <si>
    <t>Play_VO_MainStory_TL_010_Kruvis</t>
  </si>
  <si>
    <t>TID_Dialogue_story_gl_66</t>
  </si>
  <si>
    <t>克鲁维斯！</t>
  </si>
  <si>
    <t>Play_VO_MainStory_TL_011_Josephine</t>
  </si>
  <si>
    <t>TID_Dialogue_story_gl_67</t>
  </si>
  <si>
    <t>殿下！Historica！Historica在发光！</t>
  </si>
  <si>
    <t>Play_VO_MainStory_TL_012_DeputyAxel</t>
  </si>
  <si>
    <t>icon_hero</t>
  </si>
  <si>
    <t>icon_hero_001_big</t>
  </si>
  <si>
    <t>TID_Dialogue_story_gl_68</t>
  </si>
  <si>
    <t>贞德听从召唤而来，我会誓死保护您的生命。</t>
  </si>
  <si>
    <t>Play_VO_MainStory_ONG_056_Jeanne</t>
  </si>
  <si>
    <t>ja_JP|1.191958;ko_KR|0.9038959</t>
  </si>
  <si>
    <t>TID_Dialogue_story_gl_69</t>
  </si>
  <si>
    <t>所有士兵！随我护送公主，前往领地！</t>
  </si>
  <si>
    <t>Play_VO_MainStory_ONG_057_Jeanne</t>
  </si>
  <si>
    <t>ja_JP|2.297228;ko_KR|0.7139778</t>
  </si>
  <si>
    <t>TID_Dialogue_story_gl_70</t>
  </si>
  <si>
    <t>又是HISTORICA，这把愚蠢的破剑！</t>
  </si>
  <si>
    <t>Play_VO_MainStory_ONG_058_Kruvis</t>
  </si>
  <si>
    <t>ja_JP|-0.6418338;ko_KR|1.687</t>
  </si>
  <si>
    <t>TID_Dialogue_story_gl_71</t>
  </si>
  <si>
    <t>逃吧约瑟芬！你不可能一直逃下去的！</t>
  </si>
  <si>
    <t>Play_VO_MainStory_ONG_059_Kruvis</t>
  </si>
  <si>
    <t>ja_JP|1.144188;ko_KR|1.296521</t>
  </si>
  <si>
    <t>TID_Dialogue_story_gl_73</t>
  </si>
  <si>
    <t>是领地，我们终于回来了……副官阿克塞尔！</t>
  </si>
  <si>
    <t>98.56|0|0.72|-88.8</t>
  </si>
  <si>
    <t>115.13|12.75|-9.89 |19|2|1|1|0.5</t>
  </si>
  <si>
    <t>Play_VO_MainStory_ONG_061_Josephine</t>
  </si>
  <si>
    <t>ja_JP|1.747438;ko_KR|-1.994146</t>
  </si>
  <si>
    <t>TID_Dialogue_story_gl_74</t>
  </si>
  <si>
    <t>我、我在！殿下！</t>
  </si>
  <si>
    <t>continue</t>
  </si>
  <si>
    <t>100.73|0|-2.6|-60.5</t>
  </si>
  <si>
    <t>Play_VO_MainStory_ONG_062_DeputyAxel</t>
  </si>
  <si>
    <t>ja_JP|-0.352396;ko_KR|-0.002478957</t>
  </si>
  <si>
    <t>TID_Dialogue_story_gl_75</t>
  </si>
  <si>
    <t>以帝国摄政王储妃之名，在战场上，我永远会与你们战斗到最后一刻。
这是我光荣的使命，不容违抗，也不容反驳……我不想再逃了。</t>
  </si>
  <si>
    <t>Play_VO_MainStory_ONG_063_Josephine</t>
  </si>
  <si>
    <t>ja_JP|1.232647;ko_KR|-2.900541</t>
  </si>
  <si>
    <t>TID_Dialogue_story_gl_76</t>
  </si>
  <si>
    <t>……但主君的生命就是骑士的一切，殿下。</t>
  </si>
  <si>
    <t>continue|1|0</t>
  </si>
  <si>
    <t>Play_VO_MainStory_ONG_064_DeputyAxel</t>
  </si>
  <si>
    <t>ja_JP|0.1430421;ko_KR|-1.159041</t>
  </si>
  <si>
    <t>TID_Dialogue_story_gl_77</t>
  </si>
  <si>
    <t>如果你有时候不那么固执，你确实是一个完美的副官。
话说回来，这次行动……看来自己通商购买建材也行不通了。</t>
  </si>
  <si>
    <t>Play_VO_MainStory_ONG_065_Josephine</t>
  </si>
  <si>
    <t>ja_JP|4.551229;ko_KR|-1.271125</t>
  </si>
  <si>
    <t>血鞭商人威尔</t>
  </si>
  <si>
    <t>TID_Dialogue_story_gl_charaname_02</t>
  </si>
  <si>
    <t>story_will_big</t>
  </si>
  <si>
    <t>TID_Dialogue_story_gl_78</t>
  </si>
  <si>
    <t>参见约瑟芬王储妃殿下，听说您有一些生意上的苦恼。
作为血鞭的经理人，威尔很高兴为您服务，血鞭可以为您提供一些小小的帮助。</t>
  </si>
  <si>
    <t>109|-2.48|0.77|-70</t>
  </si>
  <si>
    <t>117.79|12.75|-9.22|19|1|1|1|0.5</t>
  </si>
  <si>
    <t>Play_VO_MainStory_ONG_066_Will</t>
  </si>
  <si>
    <t>ja_JP|3.579187;ko_KR|8.284979</t>
  </si>
  <si>
    <t>TID_Dialogue_story_gl_79</t>
  </si>
  <si>
    <t>殿下，血鞭是边陲最大的拍卖行和交易商。</t>
  </si>
  <si>
    <t>100.73|0|-2.6|68</t>
  </si>
  <si>
    <t>Play_VO_MainStory_ONG_067_DeputyAxel</t>
  </si>
  <si>
    <t>ja_JP|-1.183292;ko_KR|-0.325521</t>
  </si>
  <si>
    <t>TID_Dialogue_story_gl_80</t>
  </si>
  <si>
    <t>说说你的帮助是什么？</t>
  </si>
  <si>
    <t>stand_chat|1|0</t>
  </si>
  <si>
    <t>98.56|0|0.72|88.8</t>
  </si>
  <si>
    <t>Play_VO_MainStory_ONG_068_Josephine</t>
  </si>
  <si>
    <t>ja_JP|-0.8844579;ko_KR|-0.9226869</t>
  </si>
  <si>
    <t>TID_Dialogue_story_gl_81</t>
  </si>
  <si>
    <t>听说您的领地急缺建材，而碰巧，我们最不缺的就是这些。
如果您需要，我们随时可以为您送上大批量的货物。</t>
  </si>
  <si>
    <t>Play_VO_MainStory_ONG_069_Will</t>
  </si>
  <si>
    <t>ja_JP|1.718771;ko_KR|2.053333</t>
  </si>
  <si>
    <t>TID_Dialogue_story_gl_82</t>
  </si>
  <si>
    <t>克鲁维斯现在盯死了这里，和我们做生意，部落可不会手软。</t>
  </si>
  <si>
    <t>Play_VO_MainStory_ONG_070_Josephine</t>
  </si>
  <si>
    <t>ja_JP|1.015333;ko_KR|0.7659383</t>
  </si>
  <si>
    <t>TID_Dialogue_story_gl_83</t>
  </si>
  <si>
    <t>贪婪就是好的。
至于您，尊贵的王储妃，我们还特别提供更多的便利与优惠。</t>
  </si>
  <si>
    <t>Play_VO_MainStory_ONG_071_Will</t>
  </si>
  <si>
    <t>ja_JP|0.1565628;ko_KR|3.844147</t>
  </si>
  <si>
    <t>TID_Dialogue_story_gl_84</t>
  </si>
  <si>
    <t>什么代价。</t>
  </si>
  <si>
    <t>Play_VO_MainStory_ONG_072_Josephine</t>
  </si>
  <si>
    <t>ja_JP|0.01879096;ko_KR|-0.53425</t>
  </si>
  <si>
    <t>TID_Dialogue_story_gl_85</t>
  </si>
  <si>
    <t>黄金，闪耀的黄金，美丽的黄金，价格上可能贵一点点……
但不会太多，我相信以您的财力，肯定可以接受。</t>
  </si>
  <si>
    <t>Play_VO_MainStory_ONG_073_Will</t>
  </si>
  <si>
    <t>ja_JP|5.767333;ko_KR|3.021479</t>
  </si>
  <si>
    <t>TID_Dialogue_story_gl_86</t>
  </si>
  <si>
    <t>……我答应你们，什么时候可以交货？</t>
  </si>
  <si>
    <t>Play_VO_MainStory_ONG_074_Josephine</t>
  </si>
  <si>
    <t>ja_JP|-0.243521;ko_KR|-0.06852102</t>
  </si>
  <si>
    <t>TID_Dialogue_story_gl_87</t>
  </si>
  <si>
    <t>明智的选择，殿下，我们的马车每七天会来一次，希望我们能合作愉快。
那我就，先行告退了。</t>
  </si>
  <si>
    <t>Play_VO_MainStory_ONG_075_Will</t>
  </si>
  <si>
    <t>ja_JP|4.419063;ko_KR|3.034375</t>
  </si>
  <si>
    <t>TID_Dialogue_story_gl_88</t>
  </si>
  <si>
    <t>殿下，血鞭的交货确实很及时……但……
我知道您一向厌恶奴隶买卖，因此我必须得让您知道这件事。</t>
  </si>
  <si>
    <t>8.54|0|-8.35|-40</t>
  </si>
  <si>
    <t>Play_VO_MainStory_ONG_076_DeputyAxel</t>
  </si>
  <si>
    <t>ja_JP|-1.162917;ko_KR|-1.422958</t>
  </si>
  <si>
    <t>TID_Dialogue_story_gl_89</t>
  </si>
  <si>
    <t>血鞭虽然表面上是一个正规的拍卖行，私底下却掌控着边陲最大的奴隶黑市。</t>
  </si>
  <si>
    <t>Play_VO_MainStory_ONG_077_DeputyAxel</t>
  </si>
  <si>
    <t>ja_JP|-0.6887908;ko_KR|-1.483187</t>
  </si>
  <si>
    <t>TID_Dialogue_story_gl_90</t>
  </si>
  <si>
    <t>边陲，果然是法外之地，几年前父王已经禁止了奴隶贸易，帝国也推行了法令……他们竟然还敢这么做。</t>
  </si>
  <si>
    <t>Play_VO_MainStory_ONG_078_Josephine</t>
  </si>
  <si>
    <t>ja_JP|1.80925;ko_KR|0.8747711</t>
  </si>
  <si>
    <t>TID_Dialogue_story_gl_91</t>
  </si>
  <si>
    <t>但联盟明令禁止奴隶贸易，有消息肯定会上报给我，血鞭的奴隶是从哪儿来的？</t>
  </si>
  <si>
    <t>Play_VO_MainStory_ONG_079_Josephine</t>
  </si>
  <si>
    <t>ja_JP|2.067228;ko_KR|2.380395</t>
  </si>
  <si>
    <t>TID_Dialogue_story_gl_92</t>
  </si>
  <si>
    <t>应该有专门供货的奴隶商人。大部分奴隶……都是帝国的民众，</t>
  </si>
  <si>
    <t>Play_VO_MainStory_ONG_080_DeputyAxel</t>
  </si>
  <si>
    <t>ja_JP|-1.955876;ko_KR|-1.515459</t>
  </si>
  <si>
    <t>TID_Dialogue_story_gl_93</t>
  </si>
  <si>
    <t>混账！能不能查到他们的底细？</t>
  </si>
  <si>
    <t>Play_VO_MainStory_ONG_081_Josephine</t>
  </si>
  <si>
    <t>ja_JP|-0.332521;ko_KR|0.7215831</t>
  </si>
  <si>
    <t>TID_Dialogue_story_gl_94</t>
  </si>
  <si>
    <t>有一些线索，这件事恐怕与部落有关，而且……还涉及到联盟内的一些贵族。</t>
  </si>
  <si>
    <t>Play_VO_MainStory_ONG_082_DeputyAxel</t>
  </si>
  <si>
    <t>ja_JP|-0.9709797;ko_KR|-1.070646</t>
  </si>
  <si>
    <t>TID_Dialogue_story_gl_95</t>
  </si>
  <si>
    <t>联盟竟然有人敢跟部落做生意？呵，倒是我低估了他们的勇气。</t>
  </si>
  <si>
    <t>Play_VO_MainStory_ONG_083_Josephine</t>
  </si>
  <si>
    <t>ja_JP|-0.2886262;ko_KR|2.436041</t>
  </si>
  <si>
    <t>TID_Dialogue_story_gl_96</t>
  </si>
  <si>
    <t>嫌疑人是一位男爵，名叫特里，前不久才在奥斯汀伯爵的引荐下加入联盟。</t>
  </si>
  <si>
    <t>Play_VO_MainStory_ONG_084_DeputyAxel</t>
  </si>
  <si>
    <t>ja_JP|-1.228042;ko_KR|-0.594646</t>
  </si>
  <si>
    <t>TID_Dialogue_story_gl_97</t>
  </si>
  <si>
    <t>他领下的村庄屡次遭受部落攻击，但他一次都没有上报。
甚至……部落有几次行动直接是从他的领地借道通行的。</t>
  </si>
  <si>
    <t>Play_VO_MainStory_ONG_085_DeputyAxel</t>
  </si>
  <si>
    <t>ja_JP|-2.411417;ko_KR|0.210166</t>
  </si>
  <si>
    <t>TID_Dialogue_story_gl_98</t>
  </si>
  <si>
    <t>奥斯汀的人？</t>
  </si>
  <si>
    <t>Play_VO_MainStory_ONG_086_Josephine</t>
  </si>
  <si>
    <t>ja_JP|-0.955791;ko_KR|0.6516459</t>
  </si>
  <si>
    <t>TID_Dialogue_story_gl_99</t>
  </si>
  <si>
    <t>殿下，我怀疑……奥斯汀伯爵应该是知道这件事的。</t>
  </si>
  <si>
    <t>Play_VO_MainStory_ONG_087_DeputyAxel</t>
  </si>
  <si>
    <t>ja_JP|-1.950854;ko_KR|-0.1542912</t>
  </si>
  <si>
    <t>TID_Dialogue_story_gl_100</t>
  </si>
  <si>
    <t>将特里召来，我要亲自审问，另外，将这件事转告给奥斯汀，我要看看他怎么回答！</t>
  </si>
  <si>
    <t>Play_VO_MainStory_ONG_088_Josephine</t>
  </si>
  <si>
    <t>ja_JP|1.917041;ko_KR|0.7098951</t>
  </si>
  <si>
    <t>TID_Dialogue_story_gl_101</t>
  </si>
  <si>
    <t>尊敬的王储妃殿下，我有罪，请您宽恕！
请您再给我一点时间，男爵特里犯下的罪行，我一定会严加处置！</t>
  </si>
  <si>
    <t>Play_VO_MainStory_ONG_089_Austin</t>
  </si>
  <si>
    <t>ja_JP|0.5811872;ko_KR|-1.809</t>
  </si>
  <si>
    <t>TID_Dialogue_story_gl_102</t>
  </si>
  <si>
    <t>这不是你的错，奥斯汀伯爵，而是特里男爵犯下的罪。
我已经派人前往召见他了，事情很快就会有定论。</t>
  </si>
  <si>
    <t>Play_VO_MainStory_ONG_090_Josephine</t>
  </si>
  <si>
    <t>ja_JP|3.805104;ko_KR|0.7080832</t>
  </si>
  <si>
    <t>TID_Dialogue_story_gl_103</t>
  </si>
  <si>
    <t>感谢您的仁慈与公正，殿下，也是因为我的疏忽，竟然没发现他暗中和部落勾结。</t>
  </si>
  <si>
    <t>Play_VO_MainStory_ONG_091_Austin</t>
  </si>
  <si>
    <t>ja_JP|3.095166;ko_KR|3.434854</t>
  </si>
  <si>
    <t>TID_Dialogue_story_gl_104</t>
  </si>
  <si>
    <t>殿下……殿下！</t>
  </si>
  <si>
    <t>stand_run|1|0</t>
  </si>
  <si>
    <t>11.35|0|-5.73|-100</t>
  </si>
  <si>
    <t>Play_VO_MainStory_ONG_092_DeputyAxel</t>
  </si>
  <si>
    <t>ja_JP|-0.193666;ko_KR|0.03172898</t>
  </si>
  <si>
    <t>TID_Dialogue_story_gl_105</t>
  </si>
  <si>
    <t>怎么了，副官？男爵特里已经带到了？</t>
  </si>
  <si>
    <t>Play_VO_MainStory_ONG_093_Josephine</t>
  </si>
  <si>
    <t>ja_JP|-0.09041691;ko_KR|0.009958029</t>
  </si>
  <si>
    <t>TID_Dialogue_story_gl_106</t>
  </si>
  <si>
    <t>殿下，特里他……在我们的人赶到那儿时，他就已经自杀了！</t>
  </si>
  <si>
    <t>Play_VO_MainStory_ONG_094_DeputyAxel</t>
  </si>
  <si>
    <t>ja_JP|-1.229334;ko_KR|1.954188</t>
  </si>
  <si>
    <t>TID_Dialogue_story_gl_107</t>
  </si>
  <si>
    <t>什么？！</t>
  </si>
  <si>
    <t>Play_VO_MainStory_ONG_095_Josephine</t>
  </si>
  <si>
    <t>ja_JP|-0.134938;ko_KR|0.173</t>
  </si>
  <si>
    <t>TID_Dialogue_story_gl_108</t>
  </si>
  <si>
    <t>特里男爵的领地一向不服管制，他勾结部落，应该是想让野蛮人除掉那些不听话的村庄。</t>
  </si>
  <si>
    <t>Play_VO_MainStory_ONG_096_Austin</t>
  </si>
  <si>
    <t>ja_JP|1.640292;ko_KR|0.6826878</t>
  </si>
  <si>
    <t>TID_Dialogue_story_gl_109</t>
  </si>
  <si>
    <t>他本就懦弱无能，被您发现了之后，更畏惧您的威严，这才做出了如此抉择……</t>
  </si>
  <si>
    <t>Play_VO_MainStory_ONG_097_Austin</t>
  </si>
  <si>
    <t>ja_JP|0.6422501;ko_KR|-0.3583336</t>
  </si>
  <si>
    <t>TID_Dialogue_story_gl_110</t>
  </si>
  <si>
    <t>殿下，这件事，恐怕只能到此为止了。</t>
  </si>
  <si>
    <t>Play_VO_MainStory_ONG_098_Austin</t>
  </si>
  <si>
    <t>ja_JP|-1.334604;ko_KR|-0.2617707</t>
  </si>
  <si>
    <t>TID_Dialogue_story_gl_111</t>
  </si>
  <si>
    <t>纵容野蛮人劫掠自己的民众……好，真是个“好”领主！
他一死了之的时候，有想过那些被部落杀死的无辜民众吗？！</t>
  </si>
  <si>
    <t>Play_VO_MainStory_ONG_099_Josephine</t>
  </si>
  <si>
    <t>ja_JP|-0.3448744;ko_KR|1.961771</t>
  </si>
  <si>
    <t>TID_Dialogue_story_gl_112</t>
  </si>
  <si>
    <t>殿下，虽然特里男爵的做法有些愚蠢，但他毕竟是贵族，那些贱民的生命又怎么能与他同等而论。</t>
  </si>
  <si>
    <t>Play_VO_MainStory_ONG_100_Austin</t>
  </si>
  <si>
    <t>ja_JP|-0.1512289;ko_KR|1.810375</t>
  </si>
  <si>
    <t>TID_Dialogue_story_gl_113</t>
  </si>
  <si>
    <t>奥斯汀伯爵，这就是你的想法？</t>
  </si>
  <si>
    <t>Play_VO_MainStory_ONG_101_Josephine</t>
  </si>
  <si>
    <t>ja_JP|0.9381039;ko_KR|0.5314159</t>
  </si>
  <si>
    <t>TID_Dialogue_story_gl_114</t>
  </si>
  <si>
    <t>从来如此，我的殿下。</t>
  </si>
  <si>
    <t>Play_VO_MainStory_ONG_102_Austin</t>
  </si>
  <si>
    <t>ja_JP|0.01618814;ko_KR|0.9559591</t>
  </si>
  <si>
    <t>TID_Dialogue_story_gl_116</t>
  </si>
  <si>
    <t>奥斯汀伯爵，你在看什么？</t>
  </si>
  <si>
    <t>-3.99|-8.5|-137.52|-152.5</t>
  </si>
  <si>
    <t>1.96|1.03|-146.28 |1.54||1|1|0.5</t>
  </si>
  <si>
    <t>1.98|1.03|-148.3 |1.54|60|1|1|0.5</t>
  </si>
  <si>
    <t>Play_VO_MainStory_ONG_104_Josephine</t>
  </si>
  <si>
    <t>ja_JP|0.728271;ko_KR|0.5583749</t>
  </si>
  <si>
    <t>TID_Dialogue_story_gl_117</t>
  </si>
  <si>
    <t>向您致意，殿下……哦，不过一些消遣的书籍，与此地先贤有关的古旧传说。</t>
  </si>
  <si>
    <t>-6.1|-8.5|-142.85|-77.7</t>
  </si>
  <si>
    <t>-6.1|-8.5|-142.85|12</t>
  </si>
  <si>
    <t>Play_VO_MainStory_ONG_105_Austin</t>
  </si>
  <si>
    <t>ja_JP|3.025292;ko_KR|2.545792</t>
  </si>
  <si>
    <t>TID_Dialogue_story_gl_118</t>
  </si>
  <si>
    <t>（注意到书名）《阿斯托拉尔手札》？古贤阿斯托拉尔？</t>
  </si>
  <si>
    <t>-3.99|-8.5|-137.52|-130</t>
  </si>
  <si>
    <t>Play_VO_MainStory_ONG_106_Josephine</t>
  </si>
  <si>
    <t>ja_JP|-0.9377923;ko_KR|0.7980618</t>
  </si>
  <si>
    <t>TID_Dialogue_story_gl_119</t>
  </si>
  <si>
    <t>随便看看，这本书用古文字写成，十分艰涩。
不过说起阿斯托拉尔，他就出生在边陲，这里至今还有他当时修建的修道院。</t>
  </si>
  <si>
    <t>Play_VO_MainStory_ONG_107_Austin</t>
  </si>
  <si>
    <t>ja_JP|-2.544312;ko_KR|-0.2232084</t>
  </si>
  <si>
    <t>TID_Dialogue_story_gl_120</t>
  </si>
  <si>
    <t>我手中的Historica，传言就是由阿斯托拉尔献给帝国的第一位皇帝安德烈的。
等彻底击败克鲁维斯，我一定要去瞻仰一下先贤曾经生活过的地方。</t>
  </si>
  <si>
    <t>Play_VO_MainStory_ONG_108_Josephine</t>
  </si>
  <si>
    <t>ja_JP|2.034937;ko_KR|0.9659786</t>
  </si>
  <si>
    <t>TID_Dialogue_story_gl_121</t>
  </si>
  <si>
    <t>是啊，Historica，传说中的圣物，象征权力的王者之剑……
这种传说总是会让人着迷，不是么？</t>
  </si>
  <si>
    <t>Play_VO_MainStory_ONG_109_Austin</t>
  </si>
  <si>
    <t>ja_JP|2.682667;ko_KR|1.842917</t>
  </si>
  <si>
    <t>TID_Dialogue_story_gl_122</t>
  </si>
  <si>
    <t>我有个问题，奥斯汀伯爵。</t>
  </si>
  <si>
    <t>Play_VO_MainStory_ONG_110_Josephine</t>
  </si>
  <si>
    <t>ja_JP|0.2377501;ko_KR|0.459729</t>
  </si>
  <si>
    <t>TID_Dialogue_story_gl_123</t>
  </si>
  <si>
    <t>请您示下。</t>
  </si>
  <si>
    <t>Play_VO_MainStory_ONG_111_Austin</t>
  </si>
  <si>
    <t>ja_JP|-0.383917;ko_KR|-0.299125</t>
  </si>
  <si>
    <t>TID_Dialogue_story_gl_124</t>
  </si>
  <si>
    <t>你对奴隶贸易怎么看？</t>
  </si>
  <si>
    <t>Play_VO_MainStory_ONG_112_Josephine</t>
  </si>
  <si>
    <t>ja_JP|-0.354125;ko_KR|-0.1389172</t>
  </si>
  <si>
    <t>TID_Dialogue_story_gl_125</t>
  </si>
  <si>
    <t>……，呵，殿下，这是一项考验吗？</t>
  </si>
  <si>
    <t>Play_VO_MainStory_ONG_113_Austin</t>
  </si>
  <si>
    <t>ja_JP|1.699104;ko_KR|0.4543538</t>
  </si>
  <si>
    <t>TID_Dialogue_story_gl_126</t>
  </si>
  <si>
    <t>我只是想听听你的想法。</t>
  </si>
  <si>
    <t>Play_VO_MainStory_ONG_114_Josephine</t>
  </si>
  <si>
    <t>ja_JP|-0.959396;ko_KR|0.161396</t>
  </si>
  <si>
    <t>TID_Dialogue_story_gl_127</t>
  </si>
  <si>
    <t>您的意志就是我的意志，殿下，虽然我认为奴隶贸易能带来不菲的利益。
但您既然禁止，它就绝对不会在我的领地里出现，这是我给您最忠实的承诺。</t>
  </si>
  <si>
    <t>Play_VO_MainStory_ONG_115_Austin</t>
  </si>
  <si>
    <t>ja_JP|3.768312;ko_KR|1.63048</t>
  </si>
  <si>
    <t>TID_Dialogue_story_gl_128</t>
  </si>
  <si>
    <t>所以，是“你的领地”。</t>
  </si>
  <si>
    <t>Play_VO_MainStory_ONG_116_Josephine</t>
  </si>
  <si>
    <t>ja_JP|0.340791;ko_KR|2.972125</t>
  </si>
  <si>
    <t>TID_Dialogue_story_gl_129</t>
  </si>
  <si>
    <t>克鲁维斯的声势越来越大，迟早会发动全面攻势，您真的不需要我的士兵来保护您吗？
为了您的安全……也为了Historica。</t>
  </si>
  <si>
    <t>Play_VO_MainStory_ONG_117_Austin</t>
  </si>
  <si>
    <t>ja_JP|10.70119;ko_KR|4.465959</t>
  </si>
  <si>
    <t>TID_Dialogue_story_gl_130</t>
  </si>
  <si>
    <t>感谢你的慷慨，但，我不习惯依靠别人。
所以，可能要让你失望了，奥斯汀伯爵。</t>
  </si>
  <si>
    <t>Play_VO_MainStory_ONG_118_Josephine</t>
  </si>
  <si>
    <t>ja_JP|3.030105;ko_KR|1.986688</t>
  </si>
  <si>
    <t>TID_Dialogue_story_gl_132</t>
  </si>
  <si>
    <t>殿下，紧急消息，在梅特隆修道院，就是在联盟领地西北岬角那个，昨天出土了一块预言石板！</t>
  </si>
  <si>
    <t>6.68|0|-37.52|185</t>
  </si>
  <si>
    <t>14.38|12.51|-50.2|18.7||1|1|0.5</t>
  </si>
  <si>
    <t>15.04|12.51|-50.87|18.7|60|1|1|0.5</t>
  </si>
  <si>
    <t>Play_VO_MainStory_ONG_120_DeputyAxel</t>
  </si>
  <si>
    <t>ja_JP|-0.6494379;ko_KR|-2.505606</t>
  </si>
  <si>
    <t>TID_Dialogue_story_gl_133</t>
  </si>
  <si>
    <t>预言？副官，这就是你如此慌乱的原因？
我还以为那里出土了大量黄金，这样我可能还会再重视一点。</t>
  </si>
  <si>
    <t>6.48|0|-44.7|1</t>
  </si>
  <si>
    <t>Play_VO_MainStory_ONG_121_Josephine</t>
  </si>
  <si>
    <t>ja_JP|2.860875;ko_KR|3.156938</t>
  </si>
  <si>
    <t>TID_Dialogue_story_gl_134</t>
  </si>
  <si>
    <t>不，这次不一样，殿下，那个修道院非同一般，它是……</t>
  </si>
  <si>
    <t>Play_VO_MainStory_ONG_122_DeputyAxel</t>
  </si>
  <si>
    <t>ja_JP|-0.8432922;ko_KR|-1.977937</t>
  </si>
  <si>
    <t>TID_Dialogue_story_gl_135</t>
  </si>
  <si>
    <t>等等，难道梅特隆修道院是阿斯托拉尔创建的？</t>
  </si>
  <si>
    <t>Play_VO_MainStory_ONG_123_Josephine</t>
  </si>
  <si>
    <t>ja_JP|1.467125;ko_KR|1.607</t>
  </si>
  <si>
    <t>TID_Dialogue_story_gl_136</t>
  </si>
  <si>
    <t>您猜的没错，就是那个进献了圣剑的古贤，传说中的法师阿斯托拉尔。</t>
  </si>
  <si>
    <t>Play_VO_MainStory_ONG_124_DeputyAxel</t>
  </si>
  <si>
    <t>ja_JP|-1.359271;ko_KR|-1.662146</t>
  </si>
  <si>
    <t>TID_Dialogue_story_gl_137</t>
  </si>
  <si>
    <t>这块石板的出现也很离奇，据说是前几日暴雨，一道雷霆劈开了修道院的后山。
在崩毁的山石裂隙里，有人发现了深埋在大山深处的石板。</t>
  </si>
  <si>
    <t>Play_VO_MainStory_ONG_125_DeputyAxel</t>
  </si>
  <si>
    <t>ja_JP|-7.027417;ko_KR|-7.533229</t>
  </si>
  <si>
    <t>TID_Dialogue_story_gl_138</t>
  </si>
  <si>
    <t>阿斯托拉尔……会是巧合吗？预言上写了什么？</t>
  </si>
  <si>
    <t>Play_VO_MainStory_ONG_126_Josephine</t>
  </si>
  <si>
    <t>ja_JP|-0.421021;ko_KR|0.1022081</t>
  </si>
  <si>
    <t>TID_Dialogue_story_gl_139</t>
  </si>
  <si>
    <t>不知道具体内容，但据说跟谁将成为皇帝有关。
现在所有势力都在觊觎着这块石板，就连部落也蠢蠢欲动。</t>
  </si>
  <si>
    <t>Play_VO_MainStory_ONG_127_DeputyAxel</t>
  </si>
  <si>
    <t>ja_JP|-0.4517498;ko_KR|-1.318624</t>
  </si>
  <si>
    <t>TID_Dialogue_story_gl_140</t>
  </si>
  <si>
    <t>奥斯汀在哪儿？</t>
  </si>
  <si>
    <t>Play_VO_MainStory_ONG_128_Josephine</t>
  </si>
  <si>
    <t>ja_JP|-0.909312;ko_KR|1.284104</t>
  </si>
  <si>
    <t>TID_Dialogue_story_gl_141</t>
  </si>
  <si>
    <t>因为担心部落会有行动，在得知消息的时候，奥斯汀伯爵已经先率军出发了！</t>
  </si>
  <si>
    <t>Play_VO_MainStory_ONG_129_DeputyAxel</t>
  </si>
  <si>
    <t>ja_JP|-1.424103;ko_KR|-2.321541</t>
  </si>
  <si>
    <t>TID_Dialogue_story_gl_142</t>
  </si>
  <si>
    <t>我们也立刻跟上。</t>
  </si>
  <si>
    <t>Play_VO_MainStory_ONG_130_Josephine</t>
  </si>
  <si>
    <t>ja_JP|-0.188979;ko_KR|0.30425</t>
  </si>
  <si>
    <t>TID_Dialogue_story_gl_143</t>
  </si>
  <si>
    <t>殿下……整备军队需要时间，而且就算我们去了，也不一定来得及。</t>
  </si>
  <si>
    <t>Play_VO_MainStory_ONG_131_DeputyAxel</t>
  </si>
  <si>
    <t>ja_JP|-1.181771;ko_KR|-2.511458</t>
  </si>
  <si>
    <t>TID_Dialogue_story_gl_144</t>
  </si>
  <si>
    <t>如果克鲁维斯真的出动，那就不只是石板的事了。
修道院恐怕会有危险！召集近卫轻装简行，立刻出发！</t>
  </si>
  <si>
    <t>Play_VO_MainStory_ONG_132_Josephine</t>
  </si>
  <si>
    <t>ja_JP|-0.2017078;ko_KR|-1.219916</t>
  </si>
  <si>
    <t>TID_Dialogue_story_gl_145</t>
  </si>
  <si>
    <t>该死，殿下，我们来晚了……
修道院被部落洗劫然后烧毁，石板也被凿毁带走，我们、我们还在寻找剩下的幸存者。</t>
  </si>
  <si>
    <t>0|0|-19.4|180</t>
  </si>
  <si>
    <t>6.51|8.47|-27.48|13||1|1|0.5</t>
  </si>
  <si>
    <t>Play_VO_MainStory_ONG_133_DeputyAxel</t>
  </si>
  <si>
    <t>ja_JP|-0.3380213;ko_KR|-4.628396</t>
  </si>
  <si>
    <t>TID_Dialogue_story_gl_146</t>
  </si>
  <si>
    <t>而且，在修道院中心大堂的地面上，我们还发现了一幅用鲜血绘制的狼头图腾。</t>
  </si>
  <si>
    <t>Play_VO_MainStory_ONG_134_DeputyAxel</t>
  </si>
  <si>
    <t>ja_JP|-0.06375027;ko_KR|-0.405479</t>
  </si>
  <si>
    <t>TID_Dialogue_story_gl_147</t>
  </si>
  <si>
    <t>灰狼氏族的标记，是克鲁维斯，这个混蛋在向我们挑衅。
……奥斯汀呢？他不是比我们先行出发的吗？！</t>
  </si>
  <si>
    <t>0|0|-22.77|0</t>
  </si>
  <si>
    <t>Play_VO_MainStory_ONG_135_Josephine</t>
  </si>
  <si>
    <t>ja_JP|2.935333;ko_KR|2.721146</t>
  </si>
  <si>
    <t>TID_Dialogue_story_gl_148</t>
  </si>
  <si>
    <t>奥斯汀伯爵他……他路上遭遇了部落的伏击，刚刚才赶到。</t>
  </si>
  <si>
    <t>Play_VO_MainStory_ONG_136_DeputyAxel</t>
  </si>
  <si>
    <t>ja_JP|-2.986083;ko_KR|-3.971937</t>
  </si>
  <si>
    <t>TID_Dialogue_story_gl_149</t>
  </si>
  <si>
    <t>哦我的上帝啊，殿下，万幸您没有事，不然即使我死一万次也难以赎清我的罪责。</t>
  </si>
  <si>
    <t>0|0|-29|0</t>
  </si>
  <si>
    <t>4.82|8.47|-35.17|12.6|1|1|1|0.5</t>
  </si>
  <si>
    <t>Play_VO_MainStory_ONG_137_Austin</t>
  </si>
  <si>
    <t>ja_JP|-0.3586874;ko_KR|-2.340353</t>
  </si>
  <si>
    <t>TID_Dialogue_story_gl_150</t>
  </si>
  <si>
    <t>你呢，奥斯汀伯爵，看上去部落没能给你造成什么麻烦。</t>
  </si>
  <si>
    <t>0|0|-22.77|180</t>
  </si>
  <si>
    <t>Play_VO_MainStory_ONG_138_Josephine</t>
  </si>
  <si>
    <t>ja_JP|1.396396;ko_KR|0.6967087</t>
  </si>
  <si>
    <t>TID_Dialogue_story_gl_151</t>
  </si>
  <si>
    <t>感谢您的关心，那些伏兵似乎只是为了阻拦我，对峙了一会儿就自行退去了。</t>
  </si>
  <si>
    <t>Play_VO_MainStory_ONG_139_Austin</t>
  </si>
  <si>
    <t>ja_JP|2.160604;ko_KR|0.2133341</t>
  </si>
  <si>
    <t>TID_Dialogue_story_gl_152</t>
  </si>
  <si>
    <t>殿下！刚刚有士兵来报告，我们找到幸存者了！
几位修士在一位女修带领下，藏在修道院的地下密室里，躲过了部落的士兵。</t>
  </si>
  <si>
    <t>6.51|8.47|-27.48|13|1|1|1|0.5</t>
  </si>
  <si>
    <t>Play_VO_MainStory_ONG_140_DeputyAxel</t>
  </si>
  <si>
    <t>ja_JP|-0.2558956;ko_KR|-1.199041</t>
  </si>
  <si>
    <t>TID_Dialogue_story_gl_153</t>
  </si>
  <si>
    <t>万幸……将这些可怜人带回领地好好安置。
我会为他们报仇的，以帝国与Historica的名义起誓。</t>
  </si>
  <si>
    <t>Play_VO_MainStory_ONG_141_Josephine</t>
  </si>
  <si>
    <t>ja_JP|0.5673332;ko_KR|-2.117126</t>
  </si>
  <si>
    <t>女修士</t>
  </si>
  <si>
    <t>TID_Dialogue_story_gl_charaname_05</t>
  </si>
  <si>
    <t>story_linda_big</t>
  </si>
  <si>
    <t>TID_Dialogue_story_gl_154</t>
  </si>
  <si>
    <t>感谢您的仁慈，约瑟芬王储妃殿下。</t>
  </si>
  <si>
    <t>stand_chat2</t>
  </si>
  <si>
    <t>8.8|0|-17|-112</t>
  </si>
  <si>
    <t>3.69|0|-20.14|-112</t>
  </si>
  <si>
    <t>Play_VO_MainStory_ONG_142_Linda</t>
  </si>
  <si>
    <t>TID_Dialogue_story_gl_155</t>
  </si>
  <si>
    <t>殿下，这位就是我刚刚跟您说的女修，她叫琳达。</t>
  </si>
  <si>
    <t>Play_VO_MainStory_ONG_143_DeputyAxel</t>
  </si>
  <si>
    <t>ja_JP|-1.576271;ko_KR|-1.399104</t>
  </si>
  <si>
    <t>TID_Dialogue_story_gl_156</t>
  </si>
  <si>
    <t>是……您？怎么会是您？！不，这不可能……</t>
  </si>
  <si>
    <t>Play_VO_MainStory_ONG_144_Josephine</t>
  </si>
  <si>
    <t>ja_JP|-4.94175;ko_KR|-2.522771</t>
  </si>
  <si>
    <t>琳达</t>
  </si>
  <si>
    <t>TID_Dialogue_story_gl_charaname_03</t>
  </si>
  <si>
    <t>TID_Dialogue_story_gl_157</t>
  </si>
  <si>
    <t>那是一个漫长的故事了，许久不见，我的女儿。
我亲爱的小蔷薇，你长大了。</t>
  </si>
  <si>
    <t>Play_VO_MainStory_ONG_145_Linda</t>
  </si>
  <si>
    <t>TID_Dialogue_story_gl_159</t>
  </si>
  <si>
    <t>我记得小时候，父亲说您生了重病去世了……然后我就再也没有见过您。</t>
  </si>
  <si>
    <t>-33|4.32|23.32|-49</t>
  </si>
  <si>
    <t>19|17|-20|30||1|1|0.5</t>
  </si>
  <si>
    <t>Play_VO_MainStory_ONG_147_Josephine</t>
  </si>
  <si>
    <t>ja_JP|4.921125;ko_KR|0.3915215</t>
  </si>
  <si>
    <t>TID_Dialogue_story_gl_160</t>
  </si>
  <si>
    <t>去世？哼，是的，在外人看来，我的确是死了。
我的过去，全被埋葬在了那座巨大可怖的宫廷之中！</t>
  </si>
  <si>
    <t>-41|3.32|31.23|-90</t>
  </si>
  <si>
    <t>-41|3.32|31.23|131.5</t>
  </si>
  <si>
    <t>Play_VO_MainStory_ONG_148_Linda</t>
  </si>
  <si>
    <t>TID_Dialogue_story_gl_161</t>
  </si>
  <si>
    <t>实际上我被软禁在修道院里，被判处永生监禁的刑罚，而行刑者，正是你残忍无情的父亲。</t>
  </si>
  <si>
    <t>Play_VO_MainStory_ONG_149_Linda</t>
  </si>
  <si>
    <t>TID_Dialogue_story_gl_162</t>
  </si>
  <si>
    <t>我在他的阴影下生活了十几年，直到他跟他的帝国彻底埋葬在烟尘里，我才终于看到久违的太阳，再次迎来我的新生。</t>
  </si>
  <si>
    <t>Play_VO_MainStory_ONG_150_Linda</t>
  </si>
  <si>
    <t>TID_Dialogue_story_gl_163</t>
  </si>
  <si>
    <t>可父亲为什么……他为什么要这么做？</t>
  </si>
  <si>
    <t>Play_VO_MainStory_ONG_151_Josephine</t>
  </si>
  <si>
    <t>ja_JP|-2.17448;ko_KR|-0.1176472</t>
  </si>
  <si>
    <t>TID_Dialogue_story_gl_164</t>
  </si>
  <si>
    <t>皇帝的意志哪里需要什么理由？！只因为我不甘于只做笼中的鸟……
我想获得更多，我想做的更多！但这……却触怒了那头老狮子。</t>
  </si>
  <si>
    <t>Play_VO_MainStory_ONG_152_Linda</t>
  </si>
  <si>
    <t>TID_Dialogue_story_gl_165</t>
  </si>
  <si>
    <t>他不容任何人染指他的权力，即便是他的妻子……
他残忍地夺走了我和你宝贵的相处时间，但好在我还有挽救的机会。</t>
  </si>
  <si>
    <t>Play_VO_MainStory_ONG_153_Linda</t>
  </si>
  <si>
    <t>TID_Dialogue_story_gl_166</t>
  </si>
  <si>
    <t>我一直想要见到你，触摸你，向你倾诉我的思念和不舍，却被那些固执的看守所阻。
直到部落攻破了这座监牢，它是一场灾难，却同时也打破了禁锢我的高墙。</t>
  </si>
  <si>
    <t>Play_VO_MainStory_ONG_154_Linda</t>
  </si>
  <si>
    <t>TID_Dialogue_story_gl_167</t>
  </si>
  <si>
    <t>我知道你是为了预言才去的修道院，虽然野蛮人带走了石板，但他们带不走我的记忆。</t>
  </si>
  <si>
    <t>Play_VO_MainStory_ONG_155_Linda</t>
  </si>
  <si>
    <t>TID_Dialogue_story_gl_168</t>
  </si>
  <si>
    <t>您是说……？！</t>
  </si>
  <si>
    <t>Play_VO_MainStory_ONG_156_Josephine</t>
  </si>
  <si>
    <t>ja_JP|0.06602108;ko_KR|0.8868331</t>
  </si>
  <si>
    <t>TID_Dialogue_story_gl_169</t>
  </si>
  <si>
    <t>‘雷现此石，圣器将苏。地白如盐，月满如珠。栖星之所，流雾之处。
持器为引，受选者入。四方同献，石开剑出。拔剑之人，终乃称孤。’</t>
  </si>
  <si>
    <t>Play_VO_MainStory_ONG_157_Linda</t>
  </si>
  <si>
    <t>TID_Dialogue_story_gl_170</t>
  </si>
  <si>
    <t>我的女儿，我会帮助你的。
我会解开阿斯托拉尔预言的秘密，将你培养成一个合格的贵族，一个合格的帝王！</t>
  </si>
  <si>
    <t>Play_VO_MainStory_ONG_158_Linda</t>
  </si>
  <si>
    <t>TID_Dialogue_story_gl_171</t>
  </si>
  <si>
    <r>
      <rPr>
        <sz val="10"/>
        <color rgb="FFFF0000"/>
        <rFont val="Helvetica Neue"/>
        <family val="2"/>
      </rPr>
      <t>我们的密探发现了</t>
    </r>
    <r>
      <rPr>
        <sz val="10"/>
        <color rgb="FF000000"/>
        <rFont val="Helvetica Neue"/>
        <family val="2"/>
      </rPr>
      <t>部落安置货物和奴隶的后勤营地。
但殿下，我们……真的要这么做吗？</t>
    </r>
  </si>
  <si>
    <t>-34.86|4.45|21.98|-17.121</t>
  </si>
  <si>
    <t>-27|16|15|28||1|1|0.5</t>
  </si>
  <si>
    <t>Play_VO_MainStory_ONG_159_DeputyAxel</t>
  </si>
  <si>
    <t>ja_JP|-0.4147501;ko_KR|-1.037916</t>
  </si>
  <si>
    <t>TID_Dialogue_story_gl_172</t>
  </si>
  <si>
    <t>副官，你害怕了？</t>
  </si>
  <si>
    <t>stand_chat1</t>
  </si>
  <si>
    <t>-34.07|4|27.52|-158</t>
  </si>
  <si>
    <t>Play_VO_MainStory_ONG_160_Josephine</t>
  </si>
  <si>
    <t>ja_JP|0.4105209;ko_KR|-0.215396</t>
  </si>
  <si>
    <t>TID_Dialogue_story_gl_173</t>
  </si>
  <si>
    <t>我当然不怕！只是……我们的实力和部落相去甚远，正面作战我担心您的安全。</t>
  </si>
  <si>
    <t>Play_VO_MainStory_ONG_161_DeputyAxel</t>
  </si>
  <si>
    <t>ja_JP|-0.7230206;ko_KR|1.877833</t>
  </si>
  <si>
    <t>TID_Dialogue_story_gl_174</t>
  </si>
  <si>
    <t>副官，瞻前顾后是成不了事的，时间拖得越久变数越多。</t>
  </si>
  <si>
    <t>Play_VO_MainStory_ONG_162_Josephine</t>
  </si>
  <si>
    <t>ja_JP|4.721896;ko_KR|2.587334</t>
  </si>
  <si>
    <t>TID_Dialogue_story_gl_175</t>
  </si>
  <si>
    <t>我可以带领一些精英士兵化妆成奴隶商人，在进入他们的营地之后展开奇袭。</t>
  </si>
  <si>
    <t>Play_VO_MainStory_ONG_163_Josephine</t>
  </si>
  <si>
    <t>ja_JP|0.817584;ko_KR|1.029376</t>
  </si>
  <si>
    <t>TID_Dialogue_story_gl_176</t>
  </si>
  <si>
    <t>……到时候你们再从外部正式进攻，记住，副官，我永远与你们共同进退。</t>
  </si>
  <si>
    <t>Play_VO_MainStory_ONG_164_Josephine</t>
  </si>
  <si>
    <t>ja_JP|2.171188;ko_KR|2.247209</t>
  </si>
  <si>
    <t>TID_Dialogue_story_gl_177</t>
  </si>
  <si>
    <t>（深呼吸）我明白了，殿下，我这就去召集军队，随时等待您的命令！</t>
  </si>
  <si>
    <t>-34.86|4.45|21.98|93</t>
  </si>
  <si>
    <t>-30|4.45|21.71|110.928</t>
  </si>
  <si>
    <t>Play_VO_MainStory_ONG_165_DeputyAxel</t>
  </si>
  <si>
    <t>ja_JP|2.857792;ko_KR|0.9606876</t>
  </si>
  <si>
    <t>TID_Dialogue_story_gl_178</t>
  </si>
  <si>
    <t>我流淌着高贵血脉的女儿，作为这个国家未来的皇帝，你该注意维持你的神圣与尊贵。
保持距离才能带来崇敬，靠近只会带来轻慢与亵渎。</t>
  </si>
  <si>
    <t>-29|16|17|28|0.5|1|1|0.5</t>
  </si>
  <si>
    <t>Play_VO_MainStory_ONG_166_Linda</t>
  </si>
  <si>
    <t>TID_Dialogue_story_gl_179</t>
  </si>
  <si>
    <t>但我听到了什么？你不但要和士兵一起行动，甚至还要穿戴平民的衣服？！
酒会呢？贵族的交际呢？上帝，看看你，每天和那些庸碌的贱民有什么区别？</t>
  </si>
  <si>
    <t>Play_VO_MainStory_ONG_167_Linda</t>
  </si>
  <si>
    <t>TID_Dialogue_story_gl_180</t>
  </si>
  <si>
    <t>没有力量的高贵，不过是没有根系的大树，根本无法抵御狂风的摧折。
我不希望自己领地、自己国家的未来会是这么一个下场。</t>
  </si>
  <si>
    <t>-34.07|4|27.52|-49</t>
  </si>
  <si>
    <t>Play_VO_MainStory_ONG_168_Josephine</t>
  </si>
  <si>
    <t>ja_JP|6.253375;ko_KR|1.766896</t>
  </si>
  <si>
    <t>TID_Dialogue_story_gl_181</t>
  </si>
  <si>
    <t>……曾经你不是这样的，我的女儿。</t>
  </si>
  <si>
    <t>Play_VO_MainStory_ONG_169_Linda</t>
  </si>
  <si>
    <t>TID_Dialogue_story_gl_182</t>
  </si>
  <si>
    <t>曾经的我也没想要做一个皇帝，母亲，这是命运迫使我做出的选择。</t>
  </si>
  <si>
    <t>Play_VO_MainStory_ONG_170_Josephine</t>
  </si>
  <si>
    <t>ja_JP|2.631437;ko_KR|1.487312</t>
  </si>
  <si>
    <t>TID_Dialogue_story_gl_183</t>
  </si>
  <si>
    <t>殿下！营地建筑已被完全摧毁，剩余的部落守军也被消灭。
按照您的命令，我让士兵在现场留下了我们的标识。</t>
  </si>
  <si>
    <t>Play_VO_MainStory_ONG_171_DeputyAxel</t>
  </si>
  <si>
    <t>ja_JP|0.5012283;ko_KR|-1.283813</t>
  </si>
  <si>
    <t>TID_Dialogue_story_gl_184</t>
  </si>
  <si>
    <t>……那些奴隶怎么样了？</t>
  </si>
  <si>
    <t>Play_VO_MainStory_ONG_172_Josephine</t>
  </si>
  <si>
    <t>ja_JP|-0.515938;ko_KR|0.05266595</t>
  </si>
  <si>
    <t>TID_Dialogue_story_gl_185</t>
  </si>
  <si>
    <t>托庇于您的仁慈，按照您的命令，所有的奴隶都被释放，重新成为了自由民！
还有，我们遇到了一位……熟人。</t>
  </si>
  <si>
    <t>Play_VO_MainStory_ONG_173_DeputyAxel</t>
  </si>
  <si>
    <t>ja_JP|-2.056812;ko_KR|-0.9906454</t>
  </si>
  <si>
    <t>TID_Dialogue_story_gl_186</t>
  </si>
  <si>
    <t>哦，殿下，真是一场让人惊叹的伟大剧目！
我此刻只想为这场精彩的表演鼓掌欢呼，克鲁维斯一定会气疯了的。</t>
  </si>
  <si>
    <t>Play_VO_MainStory_ONG_174_Will</t>
  </si>
  <si>
    <t>ja_JP|7.773958;ko_KR|10.21081</t>
  </si>
  <si>
    <t>TID_Dialogue_story_gl_187</t>
  </si>
  <si>
    <t>是你……血鞭是站在哪一边的？</t>
  </si>
  <si>
    <t>Play_VO_MainStory_ONG_175_Josephine</t>
  </si>
  <si>
    <t>ja_JP|0.144208;ko_KR|0.722604</t>
  </si>
  <si>
    <t>TID_Dialogue_story_gl_188</t>
  </si>
  <si>
    <t>尊贵的殿下，我们当然是站在黄金那边。
虽然您的行动让血鞭损失了一个大客户，但我们始终相信您才是最有潜力的合作者。</t>
  </si>
  <si>
    <t>Play_VO_MainStory_ONG_176_Will</t>
  </si>
  <si>
    <t>ja_JP|8.225916;ko_KR|10.78244</t>
  </si>
  <si>
    <t>TID_Dialogue_story_gl_189</t>
  </si>
  <si>
    <t>即使我禁止了奴隶贸易也是这样？</t>
  </si>
  <si>
    <t>Play_VO_MainStory_ONG_177_Josephine</t>
  </si>
  <si>
    <t>ja_JP|1.004938;ko_KR|0.1635211</t>
  </si>
  <si>
    <t>TID_Dialogue_story_gl_190</t>
  </si>
  <si>
    <t>我们将跟随您的脚步，遵从您的意志。
从今天开始，血鞭会停止所有奴隶贸易的经营事宜。</t>
  </si>
  <si>
    <t>Play_VO_MainStory_ONG_178_Will</t>
  </si>
  <si>
    <t>ja_JP|1.957084;ko_KR|2.716876</t>
  </si>
  <si>
    <t>TID_Dialogue_story_gl_191</t>
  </si>
  <si>
    <t>你们还真是合格的商人。</t>
  </si>
  <si>
    <t>Play_VO_MainStory_ONG_179_Josephine</t>
  </si>
  <si>
    <t>ja_JP|0.7524788;ko_KR|1.136312</t>
  </si>
  <si>
    <t>TID_Dialogue_story_gl_192</t>
  </si>
  <si>
    <t>您过奖了，如果这还不够的话，我可以告诉你营地账本在哪儿。
相信我，您会从中找到一个大惊喜的。</t>
  </si>
  <si>
    <t>Play_VO_MainStory_ONG_180_Will</t>
  </si>
  <si>
    <t>ja_JP|4.676354;ko_KR|6.746167</t>
  </si>
  <si>
    <t>TID_Dialogue_story_gl_193</t>
  </si>
  <si>
    <t>为表示诚意，血鞭会为您开放最高等级的商品清单。</t>
  </si>
  <si>
    <t>Play_VO_MainStory_ONG_181_Will</t>
  </si>
  <si>
    <t>ja_JP|0.4118757;ko_KR|0.1369371</t>
  </si>
  <si>
    <t>TID_Dialogue_story_gl_194</t>
  </si>
  <si>
    <t>我听说您的Historica可以为您召唤强大的英雄，这里有些东西，您应该可以用上。</t>
  </si>
  <si>
    <t>Play_VO_MainStory_ONG_182_Will</t>
  </si>
  <si>
    <t>ja_JP|2.920166;ko_KR|4.82977</t>
  </si>
  <si>
    <t>TID_Dialogue_story_gl_195</t>
  </si>
  <si>
    <t>殿下，您可真是做了一番大事，您夺目的光彩令我倍感心折。
只是可惜没能和您一起参与其中，也没能见识到您无比的英姿。</t>
  </si>
  <si>
    <t>64.14|0|0|88</t>
  </si>
  <si>
    <t>88|16|-14|28||1|1|0.5</t>
  </si>
  <si>
    <t>81|13|-12|22|3|1|1|0.5</t>
  </si>
  <si>
    <t>Play_VO_MainStory_ONG_183_Austin</t>
  </si>
  <si>
    <t>ja_JP|0.4625006;ko_KR|-0.9053745</t>
  </si>
  <si>
    <t>TID_Dialogue_story_gl_196</t>
  </si>
  <si>
    <t>（将账本扔给奥斯汀）你不是早就参与了么？</t>
  </si>
  <si>
    <t>75.76|0|0|-86.9</t>
  </si>
  <si>
    <t>88|16|-14|22||1|1|0.5</t>
  </si>
  <si>
    <t>Play_VO_MainStory_ONG_184_Josephine</t>
  </si>
  <si>
    <t>ja_JP|-0.7462921;ko_KR|1.681541</t>
  </si>
  <si>
    <t>TID_Dialogue_story_gl_197</t>
  </si>
  <si>
    <t>啊……您看到了。</t>
  </si>
  <si>
    <t>Play_VO_MainStory_ONG_185_Austin</t>
  </si>
  <si>
    <t>ja_JP|1.530667;ko_KR|0.2406042</t>
  </si>
  <si>
    <t>TID_Dialogue_story_gl_198</t>
  </si>
  <si>
    <t>为什么？</t>
  </si>
  <si>
    <t>Play_VO_MainStory_ONG_186_Josephine</t>
  </si>
  <si>
    <t>ja_JP|-0.014292;ko_KR|1.385541</t>
  </si>
  <si>
    <t>TID_Dialogue_story_gl_199</t>
  </si>
  <si>
    <t>金钱就在那里，利益就在那里。
这门生意始终需要有人去做，那为什么不掌控在我们自己手里？</t>
  </si>
  <si>
    <t>Play_VO_MainStory_ONG_187_Austin</t>
  </si>
  <si>
    <t>ja_JP|6.339416;ko_KR|0.5273328</t>
  </si>
  <si>
    <t>TID_Dialogue_story_gl_200</t>
  </si>
  <si>
    <t>可你是在和部落勾结屠戮自己的人民劫掠自己的村庄！</t>
  </si>
  <si>
    <t>Play_VO_MainStory_ONG_188_Josephine</t>
  </si>
  <si>
    <t>ja_JP|0.02727127;ko_KR|0.1726251</t>
  </si>
  <si>
    <t>TID_Dialogue_story_gl_201</t>
  </si>
  <si>
    <t>抱歉，殿下，那些不听话也不肯上税的乡巴佬可算不上是我的人民。
而且部落不过是一件好用的工具，我也需要他们为我找一些东西。</t>
  </si>
  <si>
    <t>Play_VO_MainStory_ONG_189_Austin</t>
  </si>
  <si>
    <t>ja_JP|4.830522;ko_KR|-0.5286665</t>
  </si>
  <si>
    <t>TID_Dialogue_story_gl_202</t>
  </si>
  <si>
    <t>既可以处理那些不稳定因素，又有利可图，哦殿下，我怎么有理由拒绝。</t>
  </si>
  <si>
    <t>Play_VO_MainStory_ONG_190_Austin</t>
  </si>
  <si>
    <t>ja_JP|3.324834;ko_KR|0.561584</t>
  </si>
  <si>
    <t>TID_Dialogue_story_gl_203</t>
  </si>
  <si>
    <t>这里的人民果然没有看错你们……这种无耻的话也说得出口！
所以，男爵特里根本不是死于自杀，而是你害死的，是吗？</t>
  </si>
  <si>
    <t>Play_VO_MainStory_ONG_191_Josephine</t>
  </si>
  <si>
    <t>ja_JP|4.103395;ko_KR|1.455521</t>
  </si>
  <si>
    <t>TID_Dialogue_story_gl_204</t>
  </si>
  <si>
    <t>我很遗憾，但那不是我个人做出的选择，而是无数贵族共同作出的决定。</t>
  </si>
  <si>
    <t>Play_VO_MainStory_ONG_192_Austin</t>
  </si>
  <si>
    <t>ja_JP|2.76552;ko_KR|0.934896</t>
  </si>
  <si>
    <t>TID_Dialogue_story_gl_205</t>
  </si>
  <si>
    <t>殿下，这门生意发展至今，早就不是我一个人的事情。
这笔庞大的资金牵涉到许多贵族的利益。</t>
  </si>
  <si>
    <t>Play_VO_MainStory_ONG_193_Austin</t>
  </si>
  <si>
    <t>ja_JP|4.206397;ko_KR|4.204689</t>
  </si>
  <si>
    <t>TID_Dialogue_story_gl_206</t>
  </si>
  <si>
    <t>否则，希望您已经看清了将要付出的代价，您是一位君王，有着明智的头脑和高贵的血脉，我相信您会做出正确的选择。</t>
  </si>
  <si>
    <t>Play_VO_MainStory_ONG_194_Austin</t>
  </si>
  <si>
    <t>ja_JP|3.028062;ko_KR|1.606479</t>
  </si>
  <si>
    <t>TID_Dialogue_story_gl_207</t>
  </si>
  <si>
    <t>我不接受威胁，奥斯汀，也轮不到你来教我如何做王。</t>
  </si>
  <si>
    <t>Play_VO_MainStory_ONG_195_Josephine</t>
  </si>
  <si>
    <t>ja_JP|0.998312;ko_KR|2.245666</t>
  </si>
  <si>
    <t>TID_Dialogue_story_gl_208</t>
  </si>
  <si>
    <t>……虽然您的回答我并不意外，但殿下，这是我最后一次这么称呼您。</t>
  </si>
  <si>
    <t>Play_VO_MainStory_ONG_196_Austin</t>
  </si>
  <si>
    <t>ja_JP|3.853646;ko_KR|5.030083</t>
  </si>
  <si>
    <t>TID_Dialogue_story_gl_209</t>
  </si>
  <si>
    <t>给予您一个小小的忠告，Historica并不代表着一切。</t>
  </si>
  <si>
    <t>Play_VO_MainStory_ONG_197_Austin</t>
  </si>
  <si>
    <t>ja_JP|1.587812;ko_KR|3.455374</t>
  </si>
  <si>
    <t>TID_Dialogue_story_gl_211</t>
  </si>
  <si>
    <t>你到底是怎么想的！
奥斯汀伯爵的身份至关重要，和他决裂，你知不知道会造成多大的动荡？！</t>
  </si>
  <si>
    <t>Play_VO_MainStory_ONG_199_Linda</t>
  </si>
  <si>
    <t>TID_Dialogue_story_gl_212</t>
  </si>
  <si>
    <t>即使是你父亲那样骄傲的人，也不敢随意忽视一个大贵族的能量！</t>
  </si>
  <si>
    <t>Play_VO_MainStory_ONG_200_Linda</t>
  </si>
  <si>
    <t>TID_Dialogue_story_gl_213</t>
  </si>
  <si>
    <t>母亲，请冷静，我有自己的考量。
贵族只是帝国的少数，我不能为了他们，抛弃那些大多数沉默寡言的人民。</t>
  </si>
  <si>
    <t>Play_VO_MainStory_ONG_201_Josephine</t>
  </si>
  <si>
    <t>ja_JP|1.91373;ko_KR|-1.260416</t>
  </si>
  <si>
    <t>TID_Dialogue_story_gl_214</t>
  </si>
  <si>
    <t>唉，我的女儿，你完全可以用一种更加温和的方式。
妥协对于皇帝来说并不是耻辱，反而是一种艺术，是智慧的美德。</t>
  </si>
  <si>
    <t>Play_VO_MainStory_ONG_202_Linda</t>
  </si>
  <si>
    <t>TID_Dialogue_story_gl_215</t>
  </si>
  <si>
    <t>卡尔曾经教导过我，真正的王者必定心存正义并保护弱者。
贵族可以妥协，但不能没有底线。</t>
  </si>
  <si>
    <t>Play_VO_MainStory_ONG_203_Josephine</t>
  </si>
  <si>
    <t>ja_JP|0.9643536;ko_KR|0.6166868</t>
  </si>
  <si>
    <t>TID_Dialogue_story_gl_216</t>
  </si>
  <si>
    <t>我只是在践行这个准则，母亲，我想要成为的是帝国的皇帝，而不只是贵族的皇帝。</t>
  </si>
  <si>
    <t>Play_VO_MainStory_ONG_204_Josephine</t>
  </si>
  <si>
    <t>ja_JP|3.40273;ko_KR|0.08756208</t>
  </si>
  <si>
    <t>TID_Dialogue_story_gl_217</t>
  </si>
  <si>
    <t>……唉，既然你已经决定了，那善后的事就交给我吧。
我可不指望你能去和那帮贵族虚与委蛇，但我擅长这些。</t>
  </si>
  <si>
    <t>Play_VO_MainStory_ONG_205_Linda</t>
  </si>
  <si>
    <t>TID_Dialogue_story_gl_218</t>
  </si>
  <si>
    <t>母亲……谢谢。</t>
  </si>
  <si>
    <t>Play_VO_MainStory_ONG_206_Josephine</t>
  </si>
  <si>
    <t>ja_JP|0.377229;ko_KR|-0.467729</t>
  </si>
  <si>
    <t>TID_Dialogue_story_gl_219</t>
  </si>
  <si>
    <t>我今天本来是想告诉你有关预言的事情，我有了一些新进展。</t>
  </si>
  <si>
    <t>Play_VO_MainStory_ONG_207_Linda</t>
  </si>
  <si>
    <t>TID_Dialogue_story_gl_220</t>
  </si>
  <si>
    <t>预言中时间指的就是今年，地白如盐，古代诗人经常用撒盐来指代下雪，再结合下句月满如珠……确切的时间应该是在一个满月的雪夜。至于那句栖星之所……</t>
  </si>
  <si>
    <t>Play_VO_MainStory_ONG_208_Linda</t>
  </si>
  <si>
    <t>TID_Dialogue_story_gl_221</t>
  </si>
  <si>
    <t>修道院的名字，梅特隆，在上古语中，是“天降之物”的意思。</t>
  </si>
  <si>
    <t>Play_VO_MainStory_ONG_209_Josephine</t>
  </si>
  <si>
    <t>ja_JP|1.892521;ko_KR|1.59475</t>
  </si>
  <si>
    <t>TID_Dialogue_story_gl_222</t>
  </si>
  <si>
    <t>没错，当年流星坠落，阿斯托拉尔认为这是神明降下的启示。
然后他便在星坠之处，修建了帝国境内的第一座修道院，并将其命名为“梅特隆”。</t>
  </si>
  <si>
    <t>Play_VO_MainStory_ONG_210_Linda</t>
  </si>
  <si>
    <t>TID_Dialogue_story_gl_223</t>
  </si>
  <si>
    <t>所以，您认为预言的地点就是那座修道院？</t>
  </si>
  <si>
    <t>Play_VO_MainStory_ONG_211_Josephine</t>
  </si>
  <si>
    <t>ja_JP|-0.40148;ko_KR|2.456437</t>
  </si>
  <si>
    <t>TID_Dialogue_story_gl_224</t>
  </si>
  <si>
    <t>准确的说，是那颗陨石，它至今还被放置在修道院后山的山顶。</t>
  </si>
  <si>
    <t>Play_VO_MainStory_ONG_212_Linda</t>
  </si>
  <si>
    <t>TID_Dialogue_story_gl_225</t>
  </si>
  <si>
    <t>殿下，正如我们之前所料，部落的营地被毁，最近克鲁维斯一直在疯狂袭扰我们。</t>
  </si>
  <si>
    <t>Play_VO_MainStory_ONG_213_DeputyAxel</t>
  </si>
  <si>
    <t>ja_JP|-2.184813;ko_KR|-3.076021</t>
  </si>
  <si>
    <t>TID_Dialogue_story_gl_226</t>
  </si>
  <si>
    <t>再加上……现在奥斯汀伯爵和许多贵族根本不帮我们协防，领地兵力又不足，我们快撑不住了。</t>
  </si>
  <si>
    <t>Play_VO_MainStory_ONG_214_DeputyAxel</t>
  </si>
  <si>
    <t>ja_JP|1.439584;ko_KR|-1.712291</t>
  </si>
  <si>
    <t>TID_Dialogue_story_gl_227</t>
  </si>
  <si>
    <t>副官，你觉得我错了吗？</t>
  </si>
  <si>
    <t>Play_VO_MainStory_ONG_215_Josephine</t>
  </si>
  <si>
    <t>ja_JP|0.3808761;ko_KR|0.5010419</t>
  </si>
  <si>
    <t>TID_Dialogue_story_gl_228</t>
  </si>
  <si>
    <t>我不敢评价，殿下，但不论您的选择是什么，我都认为它经过了您英明的考量。
而我，只会誓死忠诚地捍卫您的意志。</t>
  </si>
  <si>
    <t>Play_VO_MainStory_ONG_216_DeputyAxel</t>
  </si>
  <si>
    <t>ja_JP|-1.112709;ko_KR|-0.6923132</t>
  </si>
  <si>
    <t>杜尔村村民</t>
  </si>
  <si>
    <t>TID_Dialogue_story_gl_229</t>
  </si>
  <si>
    <t>请问这位骑士大人，这位女士，这里是那位王储妃殿下的领地吗？</t>
  </si>
  <si>
    <t>Play_VO_MainStory_ONG_217_Villager</t>
  </si>
  <si>
    <t>ja_JP|2.778229;ko_KR|1.275813</t>
  </si>
  <si>
    <t>TID_Dialogue_story_gl_230</t>
  </si>
  <si>
    <t>站住！你们是什么人？</t>
  </si>
  <si>
    <t>Play_VO_MainStory_ONG_218_DeputyAxel</t>
  </si>
  <si>
    <t>ja_JP|0.5306879;ko_KR|0.220875</t>
  </si>
  <si>
    <t>TID_Dialogue_story_gl_231</t>
  </si>
  <si>
    <t>这……这位骑士大人，我们是杜尔村的村民。</t>
  </si>
  <si>
    <t>Play_VO_MainStory_ONG_219_Villager</t>
  </si>
  <si>
    <t>ja_JP|0.9759579;ko_KR|1.588437</t>
  </si>
  <si>
    <t>TID_Dialogue_story_gl_232</t>
  </si>
  <si>
    <t>杜尔村？上次征兵时刁难传令官的就是你们吧？</t>
  </si>
  <si>
    <t>Play_VO_MainStory_ONG_220_DeputyAxel</t>
  </si>
  <si>
    <t>ja_JP|-0.8882289;ko_KR|-0.612709</t>
  </si>
  <si>
    <t>TID_Dialogue_story_gl_233</t>
  </si>
  <si>
    <t>不敢啊，骑士大人恕罪，之前我们把殿下也当成那些不顾我们死活贵族老爷了。</t>
  </si>
  <si>
    <t>Play_VO_MainStory_ONG_221_Villager</t>
  </si>
  <si>
    <t>ja_JP|3.069583;ko_KR|0.388834</t>
  </si>
  <si>
    <t>TID_Dialogue_story_gl_234</t>
  </si>
  <si>
    <t>但最近我们听说，殿下为了我们和那帮可恶的贵族闹翻了……</t>
  </si>
  <si>
    <t>Play_VO_MainStory_ONG_222_Villager</t>
  </si>
  <si>
    <t>ja_JP|1.536666;ko_KR|-0.5921254</t>
  </si>
  <si>
    <t>TID_Dialogue_story_gl_235</t>
  </si>
  <si>
    <t>我们明白了之前误会了殿下，想为殿下做点什么，就来一起投军了！</t>
  </si>
  <si>
    <t>Play_VO_MainStory_ONG_223_Villager</t>
  </si>
  <si>
    <t>ja_JP|4.410208;ko_KR|0.9198747</t>
  </si>
  <si>
    <t>TID_Dialogue_story_gl_236</t>
  </si>
  <si>
    <t>投军……殿下，领地的兵源有着落了！</t>
  </si>
  <si>
    <t>Play_VO_MainStory_ONG_224_DeputyAxel</t>
  </si>
  <si>
    <t>ja_JP|0.7851253;ko_KR|0.8001251</t>
  </si>
  <si>
    <t>TID_Dialogue_story_gl_237</t>
  </si>
  <si>
    <t>虽然我之前一直这么想，但现在我更加确认了……
副官，我没有错。</t>
  </si>
  <si>
    <t>Play_VO_MainStory_ONG_225_Josephine</t>
  </si>
  <si>
    <t>ja_JP|2.591833;ko_KR|1.750416</t>
  </si>
  <si>
    <t>TID_Dialogue_story_gl_238</t>
  </si>
  <si>
    <t>我是约瑟芬，感谢你们所做的一切。
帝国军队，永远欢迎你们的加入。帝国，也永远不会辜负你们的付出。</t>
  </si>
  <si>
    <t>Play_VO_MainStory_ONG_226_Josephine</t>
  </si>
  <si>
    <t>ja_JP|1.605959;ko_KR|1.708959</t>
  </si>
  <si>
    <t>TID_Dialogue_story_gl_239</t>
  </si>
  <si>
    <t>殿下，自从克鲁维斯获得预言石板之后，有一些边缘的贵族倒向了他。
其中有个名叫尼诺的贵族，已经开始根据预言寻找圣物，而且已经有了一定进展。</t>
  </si>
  <si>
    <t>Play_VO_MainStory_ONG_227_DeputyAxel</t>
  </si>
  <si>
    <t>ja_JP|-1.093061;ko_KR|-3.282937</t>
  </si>
  <si>
    <t>TID_Dialogue_story_gl_240</t>
  </si>
  <si>
    <t>一个穿着兽皮麻布的野蛮人，加上一个不知道哪个角落的小贵族。
就凭他们，也敢妄图觊觎帝国的四圣物？</t>
  </si>
  <si>
    <t>Play_VO_MainStory_ONG_228_Linda</t>
  </si>
  <si>
    <t>ja_JP|2.628396;ko_KR|-0.2009583</t>
  </si>
  <si>
    <t>TID_Dialogue_story_gl_241</t>
  </si>
  <si>
    <t>母亲，在您说出预言的时候我就想问……为什么是四圣物？
Historica难道不是唯一的吗？</t>
  </si>
  <si>
    <t>Play_VO_MainStory_ONG_229_Josephine</t>
  </si>
  <si>
    <t>ja_JP|4.743646;ko_KR|0.5152292</t>
  </si>
  <si>
    <t>TID_Dialogue_story_gl_242</t>
  </si>
  <si>
    <t>许多年前，我也曾和你一样这么认为，孩子。
但后来，我偶然间在帝都的藏书库中，读到一本名叫《阿斯托拉尔手札》的书。</t>
  </si>
  <si>
    <t>Play_VO_MainStory_ONG_230_Linda</t>
  </si>
  <si>
    <t>ja_JP|0.3037081;ko_KR|3.150916</t>
  </si>
  <si>
    <t>TID_Dialogue_story_gl_243</t>
  </si>
  <si>
    <t>我知道它，我曾经也试图研究过，但古文字太过艰涩，很多段落根本看不懂。</t>
  </si>
  <si>
    <t>Play_VO_MainStory_ONG_231_Josephine</t>
  </si>
  <si>
    <t>ja_JP|1.825729;ko_KR|2.142625</t>
  </si>
  <si>
    <t>TID_Dialogue_story_gl_244</t>
  </si>
  <si>
    <t>书中提到，阿斯托拉尔当年进献给古王安德烈的圣物不是一件，而是四件。</t>
  </si>
  <si>
    <t>Play_VO_MainStory_ONG_232_Linda</t>
  </si>
  <si>
    <t>ja_JP|3.285749;ko_KR|1.494354</t>
  </si>
  <si>
    <t>TID_Dialogue_story_gl_245</t>
  </si>
  <si>
    <t>Historica，代表历史的神圣之剑；Civictus，代表文明的至高之枪。
Aevumglor，代表荣耀的永恒之弓；Bellipotent，代表权力的战争之疆。</t>
  </si>
  <si>
    <t>Play_VO_MainStory_ONG_233_Linda</t>
  </si>
  <si>
    <t>ja_JP|1.035166;ko_KR|2.728937</t>
  </si>
  <si>
    <t>TID_Dialogue_story_gl_246</t>
  </si>
  <si>
    <t>正是在四圣器的帮助下，帝国最终才得以建立。
但随着时间流逝，除去圣剑被皇室世代传承，其他几件都不知所踪。</t>
  </si>
  <si>
    <t>Play_VO_MainStory_ONG_234_Linda</t>
  </si>
  <si>
    <t>ja_JP|4.359728;ko_KR|3.934624</t>
  </si>
  <si>
    <t>TID_Dialogue_story_gl_247</t>
  </si>
  <si>
    <t>传说圣物之主将获得命运的认可，终将成为这片土地真正的皇帝。
如果让部落拿到圣物，他们必定会以此攫取大量名望，名正言顺地攫取帝国的统治权。</t>
  </si>
  <si>
    <t>Play_VO_MainStory_ONG_235_Linda</t>
  </si>
  <si>
    <t>ja_JP|0.7645206;ko_KR|2.384188</t>
  </si>
  <si>
    <t>TID_Dialogue_story_gl_248</t>
  </si>
  <si>
    <t>王者由天命选定？曾经我也是这么认为的，但这段时间以来，我也多次翻阅过历史，内心常有一个疑问……</t>
  </si>
  <si>
    <t>Play_VO_MainStory_ONG_236_Josephine</t>
  </si>
  <si>
    <t>ja_JP|2.297688;ko_KR|0.0951252</t>
  </si>
  <si>
    <t>TID_Dialogue_story_gl_249</t>
  </si>
  <si>
    <t>到底是拥有圣剑的人最终成为了王者……还是拯救了世界的王者最终拥有了圣剑呢？</t>
  </si>
  <si>
    <t>Play_VO_MainStory_ONG_237_Josephine</t>
  </si>
  <si>
    <t>ja_JP|1.205;ko_KR|-1.29423</t>
  </si>
  <si>
    <t>TID_Dialogue_story_gl_250</t>
  </si>
  <si>
    <t>这几天我也在和奥斯汀探讨预言的内容，呵，虽然他只是个小贵族，但出乎意料的，他在古帝国语上的造诣还真不简单。</t>
  </si>
  <si>
    <t>Play_VO_MainStory_ONG_238_Linda</t>
  </si>
  <si>
    <t>ja_JP|4.164416;ko_KR|-0.4059582</t>
  </si>
  <si>
    <t>TID_Dialogue_story_gl_251</t>
  </si>
  <si>
    <t>放心吧我的女儿，相信不用多久，我们就能破解预言真正的秘密。</t>
  </si>
  <si>
    <t>Play_VO_MainStory_ONG_239_Linda</t>
  </si>
  <si>
    <t>ja_JP|1.695209;ko_KR|1.459209</t>
  </si>
  <si>
    <t>TID_Dialogue_story_gl_252</t>
  </si>
  <si>
    <t>等等，母亲，您找了奥斯汀？</t>
  </si>
  <si>
    <t>Play_VO_MainStory_ONG_240_Josephine</t>
  </si>
  <si>
    <t>ja_JP|0.8720829;ko_KR|1.034188</t>
  </si>
  <si>
    <t>TID_Dialogue_story_gl_253</t>
  </si>
  <si>
    <t>孩子，我知道你的担忧，但作为国王，你该学会利用那些有利于你的人。
即使，你可能根本不喜欢他。</t>
  </si>
  <si>
    <t>Play_VO_MainStory_ONG_241_Linda</t>
  </si>
  <si>
    <t>ja_JP|4.430104;ko_KR|4.068209</t>
  </si>
  <si>
    <t>TID_Dialogue_story_gl_254</t>
  </si>
  <si>
    <t>只要我们破解了预言，主动成为它所说的天命之王，所有阻碍自然都会消失。
而拿走了石板却毫无所得的克鲁维斯，呵，只会沦为一个可笑的小丑。</t>
  </si>
  <si>
    <t>Play_VO_MainStory_ONG_242_Linda</t>
  </si>
  <si>
    <t>ja_JP|3.100979;ko_KR|-1.991186</t>
  </si>
  <si>
    <t>TID_Dialogue_story_gl_255</t>
  </si>
  <si>
    <t>母亲，其实我觉得，预言虚无缥缈，我们其实不用理会，只要专心发展，早晚会——</t>
  </si>
  <si>
    <t>Play_VO_MainStory_ONG_243_Josephine</t>
  </si>
  <si>
    <t>ja_JP|4.770958;ko_KR|4.503771</t>
  </si>
  <si>
    <t>TID_Dialogue_story_gl_256</t>
  </si>
  <si>
    <t>愚蠢！名誉是一座高地，如果你不去占据，你的敌人就会去占据。
克鲁维斯在虎视眈眈，其他所有领主都在蠢蠢欲动，你怎能坐视不理？！</t>
  </si>
  <si>
    <t>Play_VO_MainStory_ONG_244_Linda</t>
  </si>
  <si>
    <t>ja_JP|2.426667;ko_KR|4.184146</t>
  </si>
  <si>
    <t>TID_Dialogue_story_gl_257</t>
  </si>
  <si>
    <t>难道所谓的名誉就这么重要吗？</t>
  </si>
  <si>
    <t>Play_VO_MainStory_ONG_245_Josephine</t>
  </si>
  <si>
    <t>ja_JP|-0.01031208;ko_KR|0.104167</t>
  </si>
  <si>
    <t>TID_Dialogue_story_gl_258</t>
  </si>
  <si>
    <t>我的女儿，你需要记住，名誉对于贵族比生命还重要！
即使我是一位女士，我也会不惜一切代价去守护皇室血脉的尊严。</t>
  </si>
  <si>
    <t>Play_VO_MainStory_ONG_246_Linda</t>
  </si>
  <si>
    <t>ja_JP|-1.451833;ko_KR|1.890875</t>
  </si>
  <si>
    <t>TID_Dialogue_story_gl_259</t>
  </si>
  <si>
    <t>注重实务固然没有错，但如果失去名誉……
那就远不是耕种一两块地，或者修建一两座房子可以弥补的了。</t>
  </si>
  <si>
    <t>Play_VO_MainStory_ONG_247_Linda</t>
  </si>
  <si>
    <t>ja_JP|1.46025;ko_KR|-0.3112497</t>
  </si>
  <si>
    <t>TID_Dialogue_story_gl_260</t>
  </si>
  <si>
    <t>……我明白了，母亲。</t>
  </si>
  <si>
    <t>Play_VO_MainStory_ONG_248_Josephine</t>
  </si>
  <si>
    <t>ja_JP|-0.189209;ko_KR|0.6477081</t>
  </si>
  <si>
    <t>TID_Dialogue_story_gl_261</t>
  </si>
  <si>
    <t>这是一个机会，孩子。
你要关注的不是它的真假，而是如何使用它。</t>
  </si>
  <si>
    <t>Play_VO_MainStory_ONG_249_Linda</t>
  </si>
  <si>
    <t>ja_JP|2.170833;ko_KR|2.724104</t>
  </si>
  <si>
    <t>TID_Dialogue_story_gl_263</t>
  </si>
  <si>
    <t>来吧，帝国人，都说说你有什么发现。</t>
  </si>
  <si>
    <t>Play_VO_MainStory_ONG_251_Kruvis</t>
  </si>
  <si>
    <t>ja_JP|-0.2757089;ko_KR|-0.5326247</t>
  </si>
  <si>
    <t>尼诺</t>
  </si>
  <si>
    <t>TID_Dialogue_story_gl_264</t>
  </si>
  <si>
    <t>预言不日即将完全破解，我们已经知道，它将在雪季来临时一一应验。
尊贵的克鲁维斯汗，您现在所需要的，只是一点微不足道的耐心。</t>
  </si>
  <si>
    <t>Play_VO_MainStory_ONG_252_Nino</t>
  </si>
  <si>
    <t>ja_JP|-0.9738541;ko_KR|-3.905271</t>
  </si>
  <si>
    <t>TID_Dialogue_story_gl_265</t>
  </si>
  <si>
    <t>我已经给了你足够的耐心！帝国人！
不要把我当成你们软弱可欺的皇帝，也不要妄图用花言巧语来欺骗我！</t>
  </si>
  <si>
    <t>Play_VO_MainStory_ONG_253_Kruvis</t>
  </si>
  <si>
    <t>ja_JP|5.524396;ko_KR|4.705146</t>
  </si>
  <si>
    <t>TID_Dialogue_story_gl_266</t>
  </si>
  <si>
    <t>当然，当然，我明白，您的明智和勇敢如同高山一般，不是我等卑微之人可以轻易撼动的。</t>
  </si>
  <si>
    <t>Play_VO_MainStory_ONG_254_Nino</t>
  </si>
  <si>
    <t>ja_JP|4.801667;ko_KR|1.115291</t>
  </si>
  <si>
    <t>TID_Dialogue_story_gl_267</t>
  </si>
  <si>
    <t>哼，你最好牢牢记住这一点。</t>
  </si>
  <si>
    <t>Play_VO_MainStory_ONG_255_Kruvis</t>
  </si>
  <si>
    <t>ja_JP|-0.8730001;ko_KR|1.691583</t>
  </si>
  <si>
    <t>TID_Dialogue_story_gl_268</t>
  </si>
  <si>
    <t>丝毫不敢忘记……克鲁维斯汗，因此，我有个好消息要带给您。
您需要的东西，我们已经找到了。</t>
  </si>
  <si>
    <t>Play_VO_MainStory_ONG_256_Nino</t>
  </si>
  <si>
    <t>ja_JP|4.072626;ko_KR|4.077271</t>
  </si>
  <si>
    <t>TID_Dialogue_story_gl_269</t>
  </si>
  <si>
    <t>哈哈哈哈哈哈哈！好！帝国人，你做得好啊！快把它拿上来！！</t>
  </si>
  <si>
    <t>Play_VO_MainStory_ONG_257_Kruvis</t>
  </si>
  <si>
    <t>ja_JP|-2.616687;ko_KR|-3.849125</t>
  </si>
  <si>
    <t>TID_Dialogue_story_gl_270</t>
  </si>
  <si>
    <t>这就是帝国真正的圣器，圣枪Civictus，和它相比，Historica不过是小孩的玩具罢了。</t>
  </si>
  <si>
    <t>Play_VO_MainStory_ONG_258_Nino</t>
  </si>
  <si>
    <t>ja_JP|0.9955835;ko_KR|0.5096455</t>
  </si>
  <si>
    <t>TID_Dialogue_story_gl_271</t>
  </si>
  <si>
    <t>什么约瑟芬！什么Historica！现在，连大汗都未曾拥有的东西已经掌握在我的手中！
帝国人，说出你想要的赏赐！</t>
  </si>
  <si>
    <t>Play_VO_MainStory_ONG_259_Kruvis</t>
  </si>
  <si>
    <t>ja_JP|3.277166;ko_KR|3.925813</t>
  </si>
  <si>
    <t>TID_Dialogue_story_gl_272</t>
  </si>
  <si>
    <t>为您效力是我的荣耀，这对我来说是最为珍贵的恩赐。我希望能作为随从与您一起，在预言那天亲眼见证您击败约瑟芬，成为帝国唯一的皇帝。</t>
  </si>
  <si>
    <t>Play_VO_MainStory_ONG_260_Nino</t>
  </si>
  <si>
    <t>ja_JP|2.282353;ko_KR|-1.606958</t>
  </si>
  <si>
    <t>TID_Dialogue_story_gl_273</t>
  </si>
  <si>
    <t>我喜欢你，帝国人！哈哈哈哈哈，等我成了唯一的大汗，我会允许你挑选一块肥沃的土地作为你个人的汗国！</t>
  </si>
  <si>
    <t>Play_VO_MainStory_ONG_261_Kruvis</t>
  </si>
  <si>
    <t>ja_JP|1.739938;ko_KR|1.027083</t>
  </si>
  <si>
    <t>TID_Dialogue_story_gl_274</t>
  </si>
  <si>
    <t>那一定会成为您光荣统治下的一片乐园，这是我的荣幸，克鲁维斯陛下……
哦看，天上下雪了。</t>
  </si>
  <si>
    <t>Play_VO_MainStory_ONG_262_Nino</t>
  </si>
  <si>
    <t>ja_JP|-1.438334;ko_KR|0.22925</t>
  </si>
  <si>
    <t>TID_Dialogue_story_gl_275</t>
  </si>
  <si>
    <t>殿下，就是这里，自从雪季开始，这里的大雾越来越浓，所有人都会在里面迷失方向，我已经让工匠和士兵都撤了出来。</t>
  </si>
  <si>
    <t>Play_VO_MainStory_ONG_263_DeputyAxel</t>
  </si>
  <si>
    <t>ja_JP|0.6208954;ko_KR|-1.693022</t>
  </si>
  <si>
    <t>TID_Dialogue_story_gl_276</t>
  </si>
  <si>
    <t>‘栖星之所，流雾之处。持器为引，受选者入。’我能看清前方的道路。
……呼，看来预言是真的。大雾的遮掩下，只有手持圣物者才能进入其中。</t>
  </si>
  <si>
    <t>Play_VO_MainStory_ONG_264_Josephine</t>
  </si>
  <si>
    <t>ja_JP|9.458812;ko_KR|3.186355</t>
  </si>
  <si>
    <t>TID_Dialogue_story_gl_277</t>
  </si>
  <si>
    <t>可惜剩下几件圣物没有完全找到，预言中说必须集齐四圣物才能召唤出最终的圣剑，今晚到底会如何，还远未确定。</t>
  </si>
  <si>
    <t>Play_VO_MainStory_ONG_265_Linda</t>
  </si>
  <si>
    <t>ja_JP|3.903625;ko_KR|3.200832</t>
  </si>
  <si>
    <t>TID_Dialogue_story_gl_278</t>
  </si>
  <si>
    <t>不管怎么样，满月已经升起，预言的时间就在今晚，各位，我准备好了。</t>
  </si>
  <si>
    <t>Play_VO_MainStory_ONG_266_Josephine</t>
  </si>
  <si>
    <t>ja_JP|0.2178535;ko_KR|-3.558667</t>
  </si>
  <si>
    <t>TID_Dialogue_story_gl_279</t>
  </si>
  <si>
    <t>等等殿下，您……请原谅我的冒昧，如果这里有危险，您只有一个人……</t>
  </si>
  <si>
    <t>Play_VO_MainStory_ONG_267_DeputyAxel</t>
  </si>
  <si>
    <t>ja_JP|-0.4307079;ko_KR|-3.466</t>
  </si>
  <si>
    <t>TID_Dialogue_story_gl_280</t>
  </si>
  <si>
    <t>真正的危险只能战胜而无法逃避，想要获得什么，必须得付出什么。
我已经做好准备了，副官，我相信圣剑，我更相信自己。</t>
  </si>
  <si>
    <t>Play_VO_MainStory_ONG_268_Josephine</t>
  </si>
  <si>
    <t>ja_JP|4.133561;ko_KR|-0.3209801</t>
  </si>
  <si>
    <t>TID_Dialogue_story_gl_281</t>
  </si>
  <si>
    <t>而且，你也不是一个人，我的孩子，我将和你一同前往。</t>
  </si>
  <si>
    <t>Play_VO_MainStory_ONG_269_Linda</t>
  </si>
  <si>
    <t>ja_JP|-0.04874992;ko_KR|1.544646</t>
  </si>
  <si>
    <t>TID_Dialogue_story_gl_282</t>
  </si>
  <si>
    <t>母亲？可是我们只有一把Historica……没有其他圣物，您怎么……</t>
  </si>
  <si>
    <t>Play_VO_MainStory_ONG_270_Josephine</t>
  </si>
  <si>
    <t>ja_JP|3.44875;ko_KR|3.510562</t>
  </si>
  <si>
    <t>TID_Dialogue_story_gl_283</t>
  </si>
  <si>
    <t>不用Historica，我有它，Bellipotent，战争与权力之缰绳，它在我的手中。
抱歉……我之前一直瞒着你，我也是圣物之主。</t>
  </si>
  <si>
    <t>Play_VO_MainStory_ONG_271_Linda</t>
  </si>
  <si>
    <t>ja_JP|6.768978;ko_KR|4.040209</t>
  </si>
  <si>
    <t>TID_Dialogue_story_gl_284</t>
  </si>
  <si>
    <t>我的家族也拥有高贵的古王血脉，圣缰正是我的家传之物。
多少年来，因它而流的血足以染透整个历史，我也本想将这个秘密带入坟墓。</t>
  </si>
  <si>
    <t>Play_VO_MainStory_ONG_272_Linda</t>
  </si>
  <si>
    <t>ja_JP|3.680416;ko_KR|2.469728</t>
  </si>
  <si>
    <t>TID_Dialogue_story_gl_285</t>
  </si>
  <si>
    <t>但……我实在放心不下你。
拥有圣物和王的血脉，我也可以参加这场试炼，我会与你一起，我的女儿。</t>
  </si>
  <si>
    <t>Play_VO_MainStory_ONG_273_Linda</t>
  </si>
  <si>
    <t>ja_JP|3.211749;ko_KR|7.042418</t>
  </si>
  <si>
    <t>TID_Dialogue_story_gl_286</t>
  </si>
  <si>
    <t>殿下一个人已经足够让我们担心了，怎么连琳达女士你也……</t>
  </si>
  <si>
    <t>Play_VO_MainStory_ONG_274_DeputyAxel</t>
  </si>
  <si>
    <t>ja_JP|-2.033333;ko_KR|-1.170687</t>
  </si>
  <si>
    <t>TID_Dialogue_story_gl_287</t>
  </si>
  <si>
    <t>看到我腰带里的这把匕首了吗？我早已在上面淬满了剧毒。
不要小看任何一个贵族，副官，即使她只是一个女人。</t>
  </si>
  <si>
    <t>Play_VO_MainStory_ONG_275_Linda</t>
  </si>
  <si>
    <t>ja_JP|0.5887918;ko_KR|3.0835</t>
  </si>
  <si>
    <t>TID_Dialogue_story_gl_288</t>
  </si>
  <si>
    <t>好浓的雾，抓紧我的手，母亲。</t>
  </si>
  <si>
    <t>Play_VO_MainStory_ONG_276_Josephine</t>
  </si>
  <si>
    <t>ja_JP|1.301041;ko_KR|1.564812</t>
  </si>
  <si>
    <t>TID_Dialogue_story_gl_289</t>
  </si>
  <si>
    <t>我忽然回想起当年，我牵着你的手去郊游，一起在草地上野餐。
你踩着阳光去扑蝴蝶，脸颊高兴地通红……已经这么多年过去了。</t>
  </si>
  <si>
    <t>Play_VO_MainStory_ONG_277_Linda</t>
  </si>
  <si>
    <t>ja_JP|6.740603;ko_KR|7.753875</t>
  </si>
  <si>
    <t>TID_Dialogue_story_gl_290</t>
  </si>
  <si>
    <t>……母亲，等这件事结束，我们再一起去野餐吧。</t>
  </si>
  <si>
    <t>Play_VO_MainStory_ONG_278_Josephine</t>
  </si>
  <si>
    <t>ja_JP|0.9489379;ko_KR|1.467459</t>
  </si>
  <si>
    <t>TID_Dialogue_story_gl_291</t>
  </si>
  <si>
    <t>哈哈，我只是说说，你就当成是一个老人家的抱怨吧。
正如你说的，孩子，你有更重要的事情要做。</t>
  </si>
  <si>
    <t>Play_VO_MainStory_ONG_279_Linda</t>
  </si>
  <si>
    <t>ja_JP|1.711687;ko_KR|3.199125</t>
  </si>
  <si>
    <t>TID_Dialogue_story_gl_292</t>
  </si>
  <si>
    <t>等等，前面有动静……好像，有人？
小点声，我们一起去看看。</t>
  </si>
  <si>
    <t>Play_VO_MainStory_ONG_280_Josephine</t>
  </si>
  <si>
    <t>ja_JP|1.103;ko_KR|-1.216208</t>
  </si>
  <si>
    <t>TID_Dialogue_story_gl_293</t>
  </si>
  <si>
    <t>尼诺！多谢你帮我破解了预言，还找回了圣枪！命运！它最终选择了我！</t>
  </si>
  <si>
    <t>Play_VO_MainStory_ONG_281_Kruvis</t>
  </si>
  <si>
    <t>ja_JP|1.149855;ko_KR|-1.366062</t>
  </si>
  <si>
    <t>TID_Dialogue_story_gl_294</t>
  </si>
  <si>
    <t>恭喜您，我一直相信，只有您能成为这片土地真正的主人。</t>
  </si>
  <si>
    <t>Play_VO_MainStory_ONG_282_Nino</t>
  </si>
  <si>
    <t>ja_JP|-1.145521;ko_KR|-1.916417</t>
  </si>
  <si>
    <t>TID_Dialogue_story_gl_295</t>
  </si>
  <si>
    <t>克鲁维斯身边那个……就是副官说的尼诺？</t>
  </si>
  <si>
    <t>Play_VO_MainStory_ONG_283_Josephine</t>
  </si>
  <si>
    <t>ja_JP|-1.368229;ko_KR|0.4482079</t>
  </si>
  <si>
    <t>TID_Dialogue_story_gl_296</t>
  </si>
  <si>
    <t>……</t>
  </si>
  <si>
    <t>Play_VO_MainStory_ONG_284_Linda</t>
  </si>
  <si>
    <t>TID_Dialogue_story_gl_297</t>
  </si>
  <si>
    <t>怎么可能，一个有能力找回圣物的贵族，我怎么从来都没在联盟里见过他？
……母亲，你怎么了？</t>
  </si>
  <si>
    <t>Play_VO_MainStory_ONG_285_Josephine</t>
  </si>
  <si>
    <t>ja_JP|-0.5585632;ko_KR|1.882187</t>
  </si>
  <si>
    <t>TID_Dialogue_story_gl_298</t>
  </si>
  <si>
    <t>该死……那不是什么所谓的尼诺，我认得那副盔甲，是他，是奥斯汀！
他背叛了帝国，背叛了我们！</t>
  </si>
  <si>
    <t>Play_VO_MainStory_ONG_286_Linda</t>
  </si>
  <si>
    <t>ja_JP|1.334542;ko_KR|1.915667</t>
  </si>
  <si>
    <t>TID_Dialogue_story_gl_299</t>
  </si>
  <si>
    <t>如果是他，那也不奇怪，甚至我怀疑，他们恐怕已经合作很久了。</t>
  </si>
  <si>
    <t>Play_VO_MainStory_ONG_287_Josephine</t>
  </si>
  <si>
    <t>ja_JP|-1.155292;ko_KR|0.125958</t>
  </si>
  <si>
    <t>TID_Dialogue_story_gl_300</t>
  </si>
  <si>
    <r>
      <rPr>
        <sz val="10"/>
        <color rgb="FF000000"/>
        <rFont val="Helvetica Neue"/>
        <family val="2"/>
      </rPr>
      <t>难怪部落总是能探到我们的情报，我之前的几次遇袭肯定都和他有关。
他总是看那本《</t>
    </r>
    <r>
      <rPr>
        <sz val="10"/>
        <color rgb="FFDE3C36"/>
        <rFont val="Helvetica Neue"/>
        <family val="2"/>
      </rPr>
      <t>阿斯托拉尔手札》</t>
    </r>
    <r>
      <rPr>
        <sz val="10"/>
        <color rgb="FF000000"/>
        <rFont val="Helvetica Neue"/>
        <family val="2"/>
      </rPr>
      <t>，估计一早就有成王的野心！</t>
    </r>
  </si>
  <si>
    <t>Play_VO_MainStory_ONG_288_Josephine</t>
  </si>
  <si>
    <t>ja_JP|4.224647;ko_KR|1.690291</t>
  </si>
  <si>
    <t>TID_Dialogue_story_gl_301</t>
  </si>
  <si>
    <t>我对预言的判断有误，看来只要手持圣物，不论血脉和出身……
都可以被试炼认可成为王之候选！</t>
  </si>
  <si>
    <t>Play_VO_MainStory_ONG_289_Linda</t>
  </si>
  <si>
    <t>ja_JP|2.102667;ko_KR|1.140563</t>
  </si>
  <si>
    <t>TID_Dialogue_story_gl_302</t>
  </si>
  <si>
    <t>等等，快看，他们要开始了!</t>
  </si>
  <si>
    <t>Play_VO_MainStory_ONG_290_Linda</t>
  </si>
  <si>
    <t>ja_JP|-0.6719999;ko_KR|1.462292</t>
  </si>
  <si>
    <t>TID_Dialogue_story_gl_314</t>
  </si>
  <si>
    <t>有了共同的利益，所谓名誉其实并不重要。我们可以是很好的战友，不是吗，奥斯汀先生？</t>
  </si>
  <si>
    <t>Play_VO_MainStory_TL_018_Linda</t>
  </si>
  <si>
    <t>TID_Dialogue_story_gl_315</t>
  </si>
  <si>
    <t>母亲……？！</t>
  </si>
  <si>
    <t>Play_VO_MainStory_TL_019_Josephine</t>
  </si>
  <si>
    <t>TID_Dialogue_story_gl_316</t>
  </si>
  <si>
    <t>哈哈哈哈哈，琳达女士，您果然是一个合格的贵族。</t>
  </si>
  <si>
    <t>Play_VO_MainStory_TL_020_Austin</t>
  </si>
  <si>
    <t>TID_Dialogue_story_gl_317</t>
  </si>
  <si>
    <t>作为诚意，我愿将这件圣缰送给您，对您来说，我们活着，远比死去更有作用……</t>
  </si>
  <si>
    <t>Play_VO_MainStory_TL_021_Linda</t>
  </si>
  <si>
    <t>TID_Dialogue_story_gl_303</t>
  </si>
  <si>
    <t>你……</t>
  </si>
  <si>
    <t>Play_VO_MainStory_CG_001_Kruvis</t>
  </si>
  <si>
    <t>ja_JP|-0.062958;ko_KR|0.246292</t>
  </si>
  <si>
    <t>TID_Dialogue_story_gl_304</t>
  </si>
  <si>
    <t>感谢你帮我走到今天这一步……野蛮人。</t>
  </si>
  <si>
    <t>Play_VO_MainStory_CG_002_Austin</t>
  </si>
  <si>
    <t>ja_JP|-0.6235838;ko_KR|0.5710621</t>
  </si>
  <si>
    <t>TID_Dialogue_story_gl_305</t>
  </si>
  <si>
    <t>好戏已经看够了，两位女士，出来吧。</t>
  </si>
  <si>
    <t>PLAY_VO_MainStory_TL_013_Austin</t>
  </si>
  <si>
    <t>TID_Dialogue_story_gl_306</t>
  </si>
  <si>
    <t>许久未见，我的王储妃殿下。</t>
  </si>
  <si>
    <t>PLAY_VO_MainStory_TL_014_Austin</t>
  </si>
  <si>
    <t>TID_Dialogue_story_gl_307</t>
  </si>
  <si>
    <t>你的身份对我还有一点用，只要你奉我为夫，然后帮我顺利成为新帝国的皇帝。
我可以不杀你。</t>
  </si>
  <si>
    <t>PLAY_VO_MainStory_TL_015_Austin</t>
  </si>
  <si>
    <t>TID_Dialogue_story_gl_308</t>
  </si>
  <si>
    <t>但首先，把Historica给我。</t>
  </si>
  <si>
    <t>PLAY_VO_MainStory_TL_016_Austin</t>
  </si>
  <si>
    <t>TID_Dialogue_story_gl_309</t>
  </si>
  <si>
    <t>绝不可能！</t>
  </si>
  <si>
    <t>PLAY_VO_MainStory_TL_017_Josephine</t>
  </si>
  <si>
    <t>TID_Dialogue_story_gl_310</t>
  </si>
  <si>
    <t>可惜，我明明已经给了你更好的选择。</t>
  </si>
  <si>
    <t>PLAY_VO_MainStory_ONG_291_Austin</t>
  </si>
  <si>
    <t>TID_Dialogue_story_gl_311</t>
  </si>
  <si>
    <t>圣弓与圣枪现在都在我手中！</t>
  </si>
  <si>
    <t>PLAY_VO_MainStory_ONG_292_Austin</t>
  </si>
  <si>
    <t>TID_Dialogue_story_gl_312</t>
  </si>
  <si>
    <t>你们的反抗与坚持，毫无意义。</t>
  </si>
  <si>
    <t>PLAY_VO_MainStory_ONG_293_Austin</t>
  </si>
  <si>
    <t>TID_Dialogue_story_gl_313</t>
  </si>
  <si>
    <t>你们凭什么击败我？</t>
  </si>
  <si>
    <t>PLAY_VO_MainStory_ONG_294_Austin</t>
  </si>
  <si>
    <t>TID_StoryQuest_Bubbletalk01</t>
  </si>
  <si>
    <t>十分荣幸见到您。</t>
  </si>
  <si>
    <t>TID_StoryQuest_Bubbletalk02</t>
  </si>
  <si>
    <t>往常阿克塞尔副官都会在这里随侍，但今天他不知道去哪儿了。</t>
  </si>
  <si>
    <t>TID_StoryQuest_Bubbletalk03</t>
  </si>
  <si>
    <t>到底该怎么办……</t>
  </si>
  <si>
    <t>TID_StoryQuest_Bubbletalk04</t>
  </si>
  <si>
    <t>岂有此理！</t>
  </si>
  <si>
    <t>TID_StoryQuest_Bubbletalk05</t>
  </si>
  <si>
    <t>大家靠近一点，警戒四周！</t>
  </si>
  <si>
    <t>TID_StoryQuest_Bubbletalk06</t>
  </si>
  <si>
    <t>这是最后一段路了！</t>
  </si>
  <si>
    <t>TID_StoryQuest_Bubbletalk07</t>
  </si>
  <si>
    <t>有王储妃在，我们不用担心！</t>
  </si>
  <si>
    <t>部落</t>
  </si>
  <si>
    <t>TID_StoryQuest_Bubbletalk08</t>
  </si>
  <si>
    <t>一个都不要放过！</t>
  </si>
  <si>
    <t>TID_StoryQuest_Bubbletalk09</t>
  </si>
  <si>
    <t>消灭他们！</t>
  </si>
  <si>
    <t>TID_StoryQuest_Bubbletalk10</t>
  </si>
  <si>
    <t>跟随我！士兵们！</t>
  </si>
  <si>
    <t>TID_StoryQuest_Bubbletalk11</t>
  </si>
  <si>
    <t>前方就是领地！我们加快速度！</t>
  </si>
  <si>
    <t>TID_StoryQuest_Bubbletalk12</t>
  </si>
  <si>
    <t>初次见面！约瑟芬王储妃殿下！</t>
  </si>
  <si>
    <t>TID_StoryQuest_Bubbletalk13</t>
  </si>
  <si>
    <t>哦，我的王储妃殿下，请您恕罪……</t>
  </si>
  <si>
    <t>TID_StoryQuest_Bubbletalk14</t>
  </si>
  <si>
    <t>殿下！不好了！</t>
  </si>
  <si>
    <t>TID_StoryQuest_Bubbletalk15</t>
  </si>
  <si>
    <t>这到底是……</t>
  </si>
  <si>
    <t>TID_StoryQuest_Bubbletalk16</t>
  </si>
  <si>
    <t>殿下，紧急消息！</t>
  </si>
  <si>
    <t>TID_StoryQuest_Bubbletalk17</t>
  </si>
  <si>
    <t>所有人保持低调，不要发出声响。</t>
  </si>
  <si>
    <t>TID_StoryQuest_Bubbletalk18</t>
  </si>
  <si>
    <t>殿下，我来了！</t>
  </si>
  <si>
    <t>TID_StoryQuest_Bubbletalk19</t>
  </si>
  <si>
    <t>禀告殿下！</t>
  </si>
  <si>
    <t>TID_StoryQuest_Bubbletalk20</t>
  </si>
  <si>
    <t>消灭这些袭击者！</t>
  </si>
  <si>
    <t>TID_StoryQuest_Bubbletalk21</t>
  </si>
  <si>
    <t>殿下，一切都结束了。</t>
  </si>
  <si>
    <t>TID_StoryQuest_Bubbletalk22</t>
  </si>
  <si>
    <t>恭喜您，我的殿下~！</t>
  </si>
  <si>
    <t>TID_StoryQuest_Bubbletalk23</t>
  </si>
  <si>
    <t>你瞧瞧你都做了些什么！</t>
  </si>
  <si>
    <t>TID_StoryQuest_Bubbletalk24</t>
  </si>
  <si>
    <t>都跟紧点。</t>
  </si>
  <si>
    <t>TID_StoryQuest_Bubbletalk25</t>
  </si>
  <si>
    <t>是这儿吗？</t>
  </si>
  <si>
    <t>TID_StoryQuest_Bubbletalk26</t>
  </si>
  <si>
    <t>我们好像到了！</t>
  </si>
  <si>
    <t>TID_StoryQuest_Bubbletalk27</t>
  </si>
  <si>
    <t>哼，区区野蛮人……</t>
  </si>
  <si>
    <t>TID_StoryQuest_Bubbletalk28</t>
  </si>
  <si>
    <t>原来是这样！哈哈哈我全明白了！</t>
  </si>
  <si>
    <t>TID_StoryQuest_Bubbletalk29</t>
  </si>
  <si>
    <t>我必须搞探清部落的情报。</t>
  </si>
  <si>
    <t>TID_StoryQuest_Bubbletalk30</t>
  </si>
  <si>
    <t>得避开那些巡逻的军队。</t>
  </si>
  <si>
    <t>TID_StoryQuest_Bubbletalk31</t>
  </si>
  <si>
    <t>都盯紧点！</t>
  </si>
  <si>
    <t>TID_StoryQuest_Bubbletalk32</t>
  </si>
  <si>
    <t>一只苍蝇都不要放过！</t>
  </si>
  <si>
    <t>PLAY_VO_Guide_ONG_045_Deputy</t>
  </si>
  <si>
    <t>TID_Dialogue_story_gl_cg_01</t>
  </si>
  <si>
    <t>我不会再丢下任何一个人……卡尔，安息吧。</t>
  </si>
  <si>
    <t>PLAY_VO_Guide_ONG_017_Josephine</t>
  </si>
  <si>
    <t>黎明之战-圣物说明</t>
  </si>
  <si>
    <t>圣物</t>
  </si>
  <si>
    <t>TID_Dialogue_HolyDawn_Relic</t>
  </si>
  <si>
    <t>拾取并护送圣物至己方占领的神庙，可获得大量军团积分。</t>
  </si>
  <si>
    <t>convert(ResTask.proto, table_SpineConf, SpineConf.pbin)</t>
  </si>
  <si>
    <t>SpineId</t>
  </si>
  <si>
    <t>说明</t>
  </si>
  <si>
    <t>序列</t>
  </si>
  <si>
    <t>Spine路径</t>
  </si>
  <si>
    <t>文本</t>
  </si>
  <si>
    <t>spineId</t>
  </si>
  <si>
    <t>spineName</t>
  </si>
  <si>
    <t>TID_SpineConf_11_textList_CN_Main</t>
  </si>
  <si>
    <t>TID_SpineConf_12_textList_CN_Main</t>
  </si>
  <si>
    <t>TID_SpineConf_13_textList_CN_Main</t>
  </si>
  <si>
    <t>TID_SpineConf_21_textList_CN_Main</t>
  </si>
  <si>
    <t>TID_SpineConf_22_textList_CN_Main</t>
  </si>
  <si>
    <t>npcid</t>
  </si>
  <si>
    <t>模型路径</t>
  </si>
  <si>
    <t>动作名称</t>
  </si>
  <si>
    <t>id</t>
  </si>
  <si>
    <t>modePath</t>
  </si>
  <si>
    <t>animations[|]</t>
  </si>
  <si>
    <t>assets/bundleresources/characters/story/p_celine_n_story.prefab</t>
  </si>
  <si>
    <t>Idle</t>
  </si>
  <si>
    <t>Walk</t>
  </si>
  <si>
    <t>Talk</t>
  </si>
  <si>
    <t>Down_Cry</t>
  </si>
  <si>
    <t>assets/bundleresources/characters/story/p_fa_lan_ke_shibing1_story_anim.prefab</t>
  </si>
  <si>
    <t>Idle_Story</t>
  </si>
  <si>
    <t>run_Story</t>
  </si>
  <si>
    <t>attack_Story</t>
  </si>
  <si>
    <t>moan_Story</t>
  </si>
  <si>
    <t>assets/bundleresources/characters/story/p_lead.prefab</t>
  </si>
  <si>
    <t>Attack</t>
  </si>
  <si>
    <t>wave</t>
  </si>
  <si>
    <t>assets/bundleresources/characters/story/p_ma_ke_bo_luo_story_anim.prefab</t>
  </si>
  <si>
    <t>idle</t>
  </si>
  <si>
    <t>idleSpecial</t>
  </si>
  <si>
    <t>interaction</t>
  </si>
  <si>
    <t>walk</t>
  </si>
  <si>
    <t>assets/bundleresources/characters/tv_preview/p_vikin_tv.prefab</t>
  </si>
  <si>
    <t>assets/bundleresources/characters/tv_preview/p_bfnpc_hawker_tv.prefab</t>
  </si>
  <si>
    <t>assets/bundleresources/characters/tv_preview/p_celine_n_tv.prefab</t>
  </si>
  <si>
    <t>talk</t>
  </si>
  <si>
    <t>think</t>
  </si>
  <si>
    <t>shout</t>
  </si>
  <si>
    <t>assets/bundleresources/characters/tv_preview/p_lead_tv.prefab</t>
  </si>
  <si>
    <t>weak</t>
  </si>
  <si>
    <t>assets/bundleresources/characters/tv_preview/p_fa_lan_ke_shibing1_tv.prefab</t>
  </si>
  <si>
    <t>idle_story</t>
  </si>
  <si>
    <t>standby_story</t>
  </si>
  <si>
    <t>assets/bundleresources/characters/lobby/p_hero_boudica.prefab</t>
  </si>
  <si>
    <t>assets/bundleresources/characters/lobby/p_hero_boudica_tv.prefab</t>
  </si>
  <si>
    <t>assets/bundleresources/characters/tv_preview/p_a_flora_tv.prefab</t>
  </si>
  <si>
    <t>talk_happy</t>
  </si>
  <si>
    <t>talk_angry</t>
  </si>
  <si>
    <t>芙罗拉</t>
  </si>
  <si>
    <t>assets/bundleresources/characters/tv_preview/p_a_lead_tv.prefab</t>
  </si>
  <si>
    <t>法兰克默认君主形象</t>
  </si>
  <si>
    <t>assets/bundleresources/characters/tv_preview/p_a_lead_e01_tv.prefab</t>
  </si>
  <si>
    <t>中国默认君主形象</t>
  </si>
  <si>
    <t>assets/bundleresources/characters/tv_preview/p_afl1_pkemn_tv.prefab</t>
  </si>
  <si>
    <t>法兰克1级枪兵</t>
  </si>
  <si>
    <t>assets/bundleresources/characters/tv_preview/p_afl2_pkemn_tv.prefab</t>
  </si>
  <si>
    <t>法兰克2级枪兵</t>
  </si>
  <si>
    <t>assets/bundleresources/characters/tv_preview/p_afl3_pkemn_tv.prefab</t>
  </si>
  <si>
    <t>法兰克3级枪兵</t>
  </si>
  <si>
    <t>assets/bundleresources/characters/tv_preview/p_afl4_pkemn_tv.prefab</t>
  </si>
  <si>
    <t>法兰克4级枪兵</t>
  </si>
  <si>
    <t>assets/bundleresources/characters/tv_preview/p_hero_boudica_tv.prefab</t>
  </si>
  <si>
    <t>布狄卡</t>
  </si>
  <si>
    <t>assets/bundleresources/characters/tv_preview/p_acl1_archr_tv.prefab</t>
  </si>
  <si>
    <t>中国1级弓兵-农民</t>
  </si>
  <si>
    <t>assets/bundleresources/characters/peasant/p_bfnpc_hawker_tv.prefab</t>
  </si>
  <si>
    <t>小贩</t>
  </si>
  <si>
    <t>assets/bundleresources/characters/tv_preview/p_bml4_huns_tv.prefab</t>
  </si>
  <si>
    <t>野蛮人头目</t>
  </si>
  <si>
    <t>assets/bundleresources/characters/tv_preview/p_acl1_pkemn_tv.prefab</t>
  </si>
  <si>
    <t>中国1级枪兵-水手</t>
  </si>
  <si>
    <t>assets/bundleresources/characters/tv_preview/p_acl3_pkemn_tv.prefab</t>
  </si>
  <si>
    <t>中国3级枪兵-随从</t>
  </si>
  <si>
    <t>assets/bundleresources/characters/tv_preview/p_hero_hml_tv.prefab</t>
  </si>
  <si>
    <t>assets/bundleresources/characters/tv_preview/p_hero_daxueshi_tv.prefab</t>
  </si>
  <si>
    <t>中国学士</t>
  </si>
  <si>
    <t>assets/bundleresources/characters/tv_preview/p_a_leadm_e02.prefab</t>
  </si>
  <si>
    <t>assets/bundleresources/characters/tv_preview/p_actv_bachelor_e.prefab</t>
  </si>
  <si>
    <t>assets/bundleresources/characters/tv_preview/p_actv_retinue_e.prefab</t>
  </si>
  <si>
    <t>中国随从</t>
  </si>
  <si>
    <t>assets/bundleresources/characters/tv_preview/p_actv_farmer_e.prefab</t>
  </si>
  <si>
    <t>中国村民</t>
  </si>
  <si>
    <t>琼恩</t>
  </si>
  <si>
    <t>强盗</t>
  </si>
  <si>
    <t>德·梅斯</t>
  </si>
  <si>
    <t>伯特兰</t>
  </si>
  <si>
    <t>强盗伏兵</t>
  </si>
  <si>
    <t>勃艮第人</t>
  </si>
  <si>
    <t>齐侬巡逻队</t>
  </si>
  <si>
    <t>齐侬巡查队</t>
  </si>
  <si>
    <t>萨佛克伯爵</t>
  </si>
  <si>
    <t>随从</t>
  </si>
  <si>
    <t>SuiCong</t>
  </si>
  <si>
    <t>我</t>
  </si>
  <si>
    <t>Wo</t>
  </si>
  <si>
    <t>村民甲</t>
  </si>
  <si>
    <t>CunMinJia</t>
  </si>
  <si>
    <t>魏兰</t>
  </si>
  <si>
    <t>WeiLan</t>
  </si>
  <si>
    <t>QiongEn</t>
  </si>
  <si>
    <t>QiangDao</t>
  </si>
  <si>
    <t>DeMeiSi</t>
  </si>
  <si>
    <t>BoTeLan</t>
  </si>
  <si>
    <t>QiangDaoFuBing1</t>
  </si>
  <si>
    <t>BoGenDiRen</t>
  </si>
  <si>
    <t>QiNongXunLuoDui</t>
  </si>
  <si>
    <t>QiNongXunChaDui</t>
  </si>
  <si>
    <t>SaFuKeBoJue</t>
  </si>
  <si>
    <t xml:space="preserve">琼恩 </t>
  </si>
  <si>
    <t>英格兰伏兵</t>
  </si>
  <si>
    <t>YingGeLanFuBing</t>
  </si>
  <si>
    <t>精英弓兵</t>
  </si>
  <si>
    <t>JingYingGongBing</t>
  </si>
  <si>
    <t>剧情报幕开始</t>
  </si>
  <si>
    <t>JuQingBaoMuStart</t>
  </si>
  <si>
    <t>剧情报幕结束</t>
  </si>
  <si>
    <t>JuQingBaoMuEnd</t>
  </si>
  <si>
    <t>尤里乌斯</t>
  </si>
  <si>
    <t>YouLiWuSi</t>
  </si>
  <si>
    <t>帝国斥候</t>
  </si>
  <si>
    <t>DiGuoChiHou</t>
  </si>
  <si>
    <t>蛮王</t>
  </si>
  <si>
    <t>ManWang</t>
  </si>
  <si>
    <t>皇帝</t>
  </si>
  <si>
    <t>HuangDi</t>
  </si>
  <si>
    <t>蛮族杂鱼</t>
  </si>
  <si>
    <t>ManZuZaYu</t>
  </si>
  <si>
    <t>斥候</t>
  </si>
  <si>
    <t>ChiHou</t>
  </si>
  <si>
    <t>殷童</t>
  </si>
  <si>
    <t>YingTong</t>
  </si>
  <si>
    <t>项毅</t>
  </si>
  <si>
    <t>XiangYi</t>
  </si>
  <si>
    <t>敌军护卫</t>
  </si>
  <si>
    <t>DiJunHuWei</t>
  </si>
  <si>
    <t>项楚</t>
  </si>
  <si>
    <t>XiangChu</t>
  </si>
  <si>
    <t>义军</t>
  </si>
  <si>
    <t>YiJun</t>
  </si>
  <si>
    <t>敌军校尉</t>
  </si>
  <si>
    <t>DiJunXiaoWei</t>
  </si>
  <si>
    <t>敌军守将</t>
  </si>
  <si>
    <t>DiJunShouJiang</t>
  </si>
  <si>
    <t>义军首领</t>
  </si>
  <si>
    <t>YiJunShouLing</t>
  </si>
  <si>
    <t>监狱看守</t>
  </si>
  <si>
    <t>JianYuKanShou</t>
  </si>
  <si>
    <t>秦朗</t>
  </si>
  <si>
    <t>QinLang</t>
  </si>
  <si>
    <t>刘沛</t>
  </si>
  <si>
    <t>LiuPei</t>
  </si>
  <si>
    <t>敌军</t>
  </si>
  <si>
    <t>DiJun</t>
  </si>
  <si>
    <t>秦威</t>
  </si>
  <si>
    <t>QinWei</t>
  </si>
  <si>
    <t>增援士兵</t>
  </si>
  <si>
    <t>ZengYuanShiBing</t>
  </si>
  <si>
    <t>当阳</t>
  </si>
  <si>
    <t>DangYang</t>
  </si>
  <si>
    <t>苏觉</t>
  </si>
  <si>
    <t>SuJue</t>
  </si>
  <si>
    <t>章汉</t>
  </si>
  <si>
    <t>ZhangHan</t>
  </si>
  <si>
    <t>友军守军</t>
  </si>
  <si>
    <t>YouJunShouJun</t>
  </si>
  <si>
    <t>王戾</t>
  </si>
  <si>
    <t>WangLi</t>
  </si>
  <si>
    <t>佘鉴</t>
  </si>
  <si>
    <t>SheJian</t>
  </si>
  <si>
    <t>兵仙</t>
  </si>
  <si>
    <t>BingXian</t>
  </si>
  <si>
    <t>策划用模型</t>
  </si>
  <si>
    <t>角色名字key</t>
  </si>
  <si>
    <t>海外新手用图集</t>
  </si>
  <si>
    <t>海外新手用头像</t>
  </si>
  <si>
    <t>对话文本</t>
  </si>
  <si>
    <t>初始文本</t>
  </si>
  <si>
    <t>安德莉娅</t>
  </si>
  <si>
    <t>关羽</t>
  </si>
  <si>
    <t>newbie_oversea_joa</t>
  </si>
  <si>
    <t>newbie_oversea_farmernohat</t>
  </si>
  <si>
    <t>newbie_oversea_attila</t>
  </si>
  <si>
    <t>凯恩</t>
  </si>
  <si>
    <t>肖恩</t>
  </si>
  <si>
    <t>TID_Name_mengduke_CN_Main</t>
  </si>
  <si>
    <t>newbie_oversea_monduk</t>
  </si>
  <si>
    <t>TID_Name_shibing_CN_Main</t>
  </si>
  <si>
    <t>TID_Name_wende_CN_Main</t>
  </si>
  <si>
    <t>TID_Name_baoluo_CN_Main</t>
  </si>
  <si>
    <t>TID_Name_manzushibing_CN_Main</t>
  </si>
  <si>
    <t>TID_Name_yanjiuyuan_CN_Main</t>
  </si>
  <si>
    <t>TID_Name_zhenni_CN_Main</t>
  </si>
  <si>
    <t>newbie_oversea_caesar</t>
  </si>
  <si>
    <t>newbie_oversea_clovis</t>
  </si>
  <si>
    <t>newbie_oversea_kabar</t>
  </si>
  <si>
    <t>newbie_oversea_mose</t>
  </si>
  <si>
    <t>TID_Dialogue_Character_12</t>
  </si>
  <si>
    <t>newbie_oversea_carl</t>
  </si>
  <si>
    <t>newbie_farmer_big</t>
  </si>
  <si>
    <t>newbie_urdin_big</t>
  </si>
  <si>
    <t>icon_hero_032_big</t>
  </si>
  <si>
    <t>士兵big</t>
  </si>
  <si>
    <t>icon_hero_203_big</t>
  </si>
  <si>
    <t>newbie_carl_big</t>
  </si>
  <si>
    <t>TID_Dialogue_story_gl_charaname_04</t>
  </si>
  <si>
    <t>story_peasant_big</t>
  </si>
  <si>
    <t>TID_BaseHeroRecruitPool_10_ItemNameText_CN_Main</t>
  </si>
  <si>
    <t>story_nino_big</t>
  </si>
  <si>
    <t>TID_HolyDawn_Relic</t>
  </si>
  <si>
    <t>ui_g_holywar</t>
  </si>
  <si>
    <t>pic_holywar_icon_38</t>
  </si>
  <si>
    <t>旧Key</t>
  </si>
  <si>
    <t>新Key</t>
  </si>
  <si>
    <t>DialogueConf_1001_name_CN_Main</t>
  </si>
  <si>
    <t>DialogueConf_1_textList_CN_Main</t>
  </si>
  <si>
    <t>&lt;color=#FFED6D&gt;领主&lt;/color&gt;，关押&lt;color=#FFED6D&gt;村民们&lt;/color&gt;的营地就在前方。</t>
  </si>
  <si>
    <t>DialogueConf_2_name_23996658795_CN_Main</t>
  </si>
  <si>
    <t>DialogueConf_2_textList_CN_Main</t>
  </si>
  <si>
    <t>必须&lt;color=#FFED6D&gt;拯救他们&lt;/color&gt;。这是我跟&lt;color=#FFED6D&gt;姐姐&lt;/color&gt;的约定？</t>
  </si>
  <si>
    <t>DialogueConf_2_textList_705307478613_CN_Main</t>
  </si>
  <si>
    <t>DialogueConf_3_name_CN_Main</t>
  </si>
  <si>
    <t>DialogueConf_3_textList_CN_Main</t>
  </si>
  <si>
    <t>DialogueConf_4_name_CN_Main</t>
  </si>
  <si>
    <t>DialogueConf_4_textList_CN_Main</t>
  </si>
  <si>
    <t>我是&lt;color=#FFED6D&gt;魏兰&lt;/color&gt;。前来营救！</t>
  </si>
  <si>
    <t>DialogueConf_5_textList_CN_Main</t>
  </si>
  <si>
    <t>DialogueConf_5_textList_960981524853_CN_Main</t>
  </si>
  <si>
    <t>DialogueConf_1001_textList_CN_Main</t>
  </si>
  <si>
    <t>DialogueConf_1002_textList_CN_Main</t>
  </si>
  <si>
    <t>DialogueConf_1002_textList_507990760778_CN_Main</t>
  </si>
  <si>
    <t>DialogueConf_10001_name_CN_Main</t>
  </si>
  <si>
    <t>DialogueConf_10001_textList_CN_Main</t>
  </si>
  <si>
    <t>DialogueConf_10002_name_CN_Main</t>
  </si>
  <si>
    <t>DialogueConf_10002_textList_CN_Main</t>
  </si>
  <si>
    <t>DialogueConf_10002_textList_286297514590_CN_Main</t>
  </si>
  <si>
    <t>DialogueConf_10003_name_CN_Main</t>
  </si>
  <si>
    <t>DialogueConf_10003_textList_CN_Main</t>
  </si>
  <si>
    <t>DialogueConf_10003_name_332050718590_CN_Main</t>
  </si>
  <si>
    <t>DialogueConf_10003_textList_236019767422_CN_Main</t>
  </si>
  <si>
    <t>别废话了！快&lt;color=#FFED6D&gt;救人&lt;/color&gt;！</t>
  </si>
  <si>
    <t>DialogueConf_10004_textList_CN_Main</t>
  </si>
  <si>
    <t>DialogueConf_10005_textList_CN_Main</t>
  </si>
  <si>
    <t>DialogueConf_10005_textList_571453909965_CN_Main</t>
  </si>
  <si>
    <t>DialogueConf_10005_textList_26062455831_CN_Main</t>
  </si>
  <si>
    <t>DialogueConf_10006_name_CN_Main</t>
  </si>
  <si>
    <t>DialogueConf_10006_textList_CN_Main</t>
  </si>
  <si>
    <t>DialogueConf_10007_name_CN_Main</t>
  </si>
  <si>
    <t>DialogueConf_10007_textList_CN_Main</t>
  </si>
  <si>
    <t>DialogueConf_10008_textList_CN_Main</t>
  </si>
  <si>
    <t>DialogueConf_10008_textList_10977554256_CN_Main</t>
  </si>
  <si>
    <t>DialogueConf_10009_textList_CN_Main</t>
  </si>
  <si>
    <t>DialogueConf_10009_name_902916305739_CN_Main</t>
  </si>
  <si>
    <t>DialogueConf_10009_textList_148802160042_CN_Main</t>
  </si>
  <si>
    <t>DialogueConf_10009_textList_582054669983_CN_Main</t>
  </si>
  <si>
    <t>DialogueConf_10010_textList_CN_Main</t>
  </si>
  <si>
    <t>DialogueConf_10010_textList_1052535821738_CN_Main</t>
  </si>
  <si>
    <t>DialogueConf_10011_textList_CN_Main</t>
  </si>
  <si>
    <t>DialogueConf_10011_textList_55595615503_CN_Main</t>
  </si>
  <si>
    <t>DialogueConf_10012_textList_CN_Main</t>
  </si>
  <si>
    <t>DialogueConf_10012_textList_15783825864_CN_Main</t>
  </si>
  <si>
    <t>DialogueConf_10012_textList_724579565898_CN_Main</t>
  </si>
  <si>
    <t>DialogueConf_10012_textList_821136482463_CN_Main</t>
  </si>
  <si>
    <t>DialogueConf_10012_textList_1035100805714_CN_Main</t>
  </si>
  <si>
    <t>DialogueConf_10012_textList_839298592958_CN_Main</t>
  </si>
  <si>
    <t>DialogueConf_10014_textList_CN_Main</t>
  </si>
  <si>
    <t>DialogueConf_10014_textList_651011808522_CN_Main</t>
  </si>
  <si>
    <t>DialogueConf_10014_name_166696220448_CN_Main</t>
  </si>
  <si>
    <t>DialogueConf_10014_textList_200003339702_CN_Main</t>
  </si>
  <si>
    <t>DialogueConf_10015_textList_CN_Main</t>
  </si>
  <si>
    <t>DialogueConf_10016_textList_CN_Main</t>
  </si>
  <si>
    <t>DialogueConf_10016_textList_360334247444_CN_Main</t>
  </si>
  <si>
    <t>DialogueConf_10017_name_898194757228_CN_Main</t>
  </si>
  <si>
    <t>DialogueConf_10017_textList_CN_Main</t>
  </si>
  <si>
    <t>DialogueConf_10017_textList_1010325964614_CN_Main</t>
  </si>
  <si>
    <t>DialogueConf_10018_textList_CN_Main</t>
  </si>
  <si>
    <t>DialogueConf_10018_textList_1003775802467_CN_Main</t>
  </si>
  <si>
    <t>DialogueConf_10019_textList_CN_Main</t>
  </si>
  <si>
    <t>DialogueConf_10019_textList_447917161427_CN_Main</t>
  </si>
  <si>
    <t>DialogueConf_10020_textList_CN_Main</t>
  </si>
  <si>
    <t>DialogueConf_10021_textList_CN_Main</t>
  </si>
  <si>
    <t>DialogueConf_10022_textList_CN_Main</t>
  </si>
  <si>
    <t>DialogueConf_10023_textList_CN_Main</t>
  </si>
  <si>
    <t>DialogueConf_10024_textList_CN_Main</t>
  </si>
  <si>
    <t>DialogueConf_10024_textList_290367274068_CN_Main</t>
  </si>
  <si>
    <t>DialogueConf_11001_textList_CN_Main</t>
  </si>
  <si>
    <t>DialogueConf_11001_textList_882144978695_CN_Main</t>
  </si>
  <si>
    <t>DialogueConf_11001_textList_54802890190_CN_Main</t>
  </si>
  <si>
    <t>DialogueConf_11002_textList_CN_Main</t>
  </si>
  <si>
    <t>DialogueConf_11003_textList_CN_Main</t>
  </si>
  <si>
    <t>DialogueConf_11004_textList_CN_Main</t>
  </si>
  <si>
    <t>DialogueConf_11005_textList_CN_Main</t>
  </si>
  <si>
    <t>DialogueConf_11005_name_286024863093_CN_Main</t>
  </si>
  <si>
    <t>TID_DialogueConf_11005_name_286024863093_CN_Main</t>
  </si>
  <si>
    <t>DialogueConf_11005_textList_118216904678_CN_Main</t>
  </si>
  <si>
    <t>DialogueConf_11006_textList_CN_Main</t>
  </si>
  <si>
    <t>DialogueConf_11007_textList_CN_Main</t>
  </si>
  <si>
    <t>DialogueConf_11008_textList_CN_Main</t>
  </si>
  <si>
    <t>DialogueConf_11009_textList_CN_Main</t>
  </si>
  <si>
    <t>DialogueConf_11010_textList_1068190486432_CN_Main</t>
  </si>
  <si>
    <t>DialogueConf_11011_textList_CN_Main</t>
  </si>
  <si>
    <t>DialogueConf_11012_textList_CN_Main</t>
  </si>
  <si>
    <t>DialogueConf_11013_textList_CN_Main</t>
  </si>
  <si>
    <t>DialogueConf_11014_textList_CN_Main</t>
  </si>
  <si>
    <t>DialogueConf_11015_textList_CN_Main</t>
  </si>
  <si>
    <t>DialogueConf_11016_textList_CN_Main</t>
  </si>
  <si>
    <t>DialogueConf_11016_textList_602014087443_CN_Main</t>
  </si>
  <si>
    <t>DialogueConf_11017_name_CN_Main</t>
  </si>
  <si>
    <t>DialogueConf_11017_textList_CN_Main</t>
  </si>
  <si>
    <t>DialogueConf_11018_textList_CN_Main</t>
  </si>
  <si>
    <t>DialogueConf_11019_textList_CN_Main</t>
  </si>
  <si>
    <t>DialogueConf_11020_textList_CN_Main</t>
  </si>
  <si>
    <t>DialogueConf_11021_textList_CN_Main</t>
  </si>
  <si>
    <t>DialogueConf_11022_textList_CN_Main</t>
  </si>
  <si>
    <t>DialogueConf_11023_textList_CN_Main</t>
  </si>
  <si>
    <t>DialogueConf_11023_textList_390907132824_CN_Main</t>
  </si>
  <si>
    <t>DialogueConf_11023_textList_165624598523_CN_Main</t>
  </si>
  <si>
    <t>DialogueConf_11024_textList_CN_Main</t>
  </si>
  <si>
    <t>DialogueConf_11024_textList_269153666539_CN_Main</t>
  </si>
  <si>
    <t>DialogueConf_11025_textList_CN_Main</t>
  </si>
  <si>
    <t>DialogueConf_11026_name_CN_Main</t>
  </si>
  <si>
    <t>DialogueConf_11026_textList_CN_Main</t>
  </si>
  <si>
    <t>DialogueConf_11027_textList_CN_Main</t>
  </si>
  <si>
    <t>DialogueConf_11028_textList_CN_Main</t>
  </si>
  <si>
    <t>DialogueConf_11029_textList_CN_Main</t>
  </si>
  <si>
    <t>DialogueConf_11030_textList_CN_Main</t>
  </si>
  <si>
    <t>DialogueConf_11031_textList_CN_Main</t>
  </si>
  <si>
    <t>DialogueConf_11032_textList_CN_Main</t>
  </si>
  <si>
    <t>DialogueConf_11032_textList_837687070005_CN_Main</t>
  </si>
  <si>
    <t>DialogueConf_11033_textList_CN_Main</t>
  </si>
  <si>
    <t>DialogueConf_11034_textList_CN_Main</t>
  </si>
  <si>
    <t>DialogueConf_11034_textList_39841240217_CN_Main</t>
  </si>
  <si>
    <t>DialogueConf_11035_textList_CN_Main</t>
  </si>
  <si>
    <t>DialogueConf_11036_textList_CN_Main</t>
  </si>
  <si>
    <t>DialogueConf_11037_textList_CN_Main</t>
  </si>
  <si>
    <t>DialogueConf_11038_textList_CN_Main</t>
  </si>
  <si>
    <t>DialogueConf_11039_textList_CN_Main</t>
  </si>
  <si>
    <t>我会在你颤抖的身躯，仔细品味胜利的滋味！</t>
  </si>
  <si>
    <t>DialogueConf_11040_textList_CN_Main</t>
  </si>
  <si>
    <t>DialogueConf_11040_textList_1027299844430_CN_Main</t>
  </si>
  <si>
    <t>DialogueConf_11041_name_CN_Main</t>
  </si>
  <si>
    <t>DialogueConf_11041_textList_CN_Main</t>
  </si>
  <si>
    <t>DialogueConf_11042_name_CN_Main</t>
  </si>
  <si>
    <t>DialogueConf_11042_textList_CN_Main</t>
  </si>
  <si>
    <t>DialogueConf_41001_name_CN_Main</t>
  </si>
  <si>
    <t>DialogueConf_41001_textList_CN_Main</t>
  </si>
  <si>
    <t>领主大人，&lt;color=#FFCC71&gt;城门已被蛮族攻破&lt;/color&gt;！再不快点，陛下恐怕要不行了。</t>
  </si>
  <si>
    <t>DialogueConf_41002_textList_CN_Main</t>
  </si>
  <si>
    <t>这些&lt;color=#FFCC71&gt;野蛮人&lt;/color&gt;竟然也懂得&lt;color=#FFCC71&gt;封锁道路&lt;/color&gt;，看来是有两下子，我们得绕着走。</t>
  </si>
  <si>
    <t>DialogueConf_41003_name_CN_Main</t>
  </si>
  <si>
    <t>DialogueConf_41003_textList_CN_Main</t>
  </si>
  <si>
    <t>DialogueConf_41004_textList_CN_Main</t>
  </si>
  <si>
    <t>DialogueConf_41005_textList_CN_Main</t>
  </si>
  <si>
    <t>除了&lt;color=#FFCC71&gt;硬刚&lt;/color&gt;，没有其他可走的路了，就让我们这些士兵“热热身”，&lt;color=#FFCC71&gt;拔掉这个关隘&lt;/color&gt;！</t>
  </si>
  <si>
    <t>DialogueConf_41005_textList_834036336037_CN_Main</t>
  </si>
  <si>
    <t>禀告大人，&lt;color=#FFCC71&gt;关隘内部&lt;/color&gt;存放了&lt;color=#FFCC71&gt;大量火药&lt;/color&gt;，只要一点火花，就能把他们炸上天！</t>
  </si>
  <si>
    <t>DialogueConf_41006_textList_CN_Main</t>
  </si>
  <si>
    <t>DialogueConf_41007_textList_CN_Main</t>
  </si>
  <si>
    <t>DialogueConf_41008_textList_CN_Main</t>
  </si>
  <si>
    <t>DialogueConf_41009_textList_CN_Main</t>
  </si>
  <si>
    <t>DialogueConf_41010_textList_CN_Main</t>
  </si>
  <si>
    <t>大人，保存实力，别正面刚，利用&lt;color=#FFCC71&gt;兵种克制&lt;/color&gt;就可以轻松&lt;color=#FFCC71&gt;压制敌人&lt;/color&gt;。</t>
  </si>
  <si>
    <t>DialogueConf_41011_textList_CN_Main</t>
  </si>
  <si>
    <t>DialogueConf_2055001_name_CN_Main</t>
  </si>
  <si>
    <t>DialogueConf_41012_textList_CN_Main</t>
  </si>
  <si>
    <t>DialogueConf_41013_name_CN_Main</t>
  </si>
  <si>
    <t>蛮族前锋</t>
  </si>
  <si>
    <t>DialogueConf_41013_textList_CN_Main</t>
  </si>
  <si>
    <t>DialogueConf_41014_textList_CN_Main</t>
  </si>
  <si>
    <t>DialogueConf_41015_textList_CN_Main</t>
  </si>
  <si>
    <t>DialogueConf_41016_name_CN_Main</t>
  </si>
  <si>
    <t>DialogueConf_41016_textList_CN_Main</t>
  </si>
  <si>
    <t>DialogueConf_41017_name_CN_Main</t>
  </si>
  <si>
    <t>DialogueConf_41017_textList_CN_Main</t>
  </si>
  <si>
    <t>DialogueConf_41018_textList_CN_Main</t>
  </si>
  <si>
    <t>DialogueConf_41019_textList_CN_Main</t>
  </si>
  <si>
    <t>DialogueConf_41020_textList_CN_Main</t>
  </si>
  <si>
    <t>DialogueConf_41021_textList_CN_Main</t>
  </si>
  <si>
    <t>DialogueConf_41022_textList_CN_Main</t>
  </si>
  <si>
    <t>DialogueConf_41023_textList_CN_Main</t>
  </si>
  <si>
    <t>也许，这就是&lt;color=#FFCC71&gt;命运的安排&lt;/color&gt;吧……&lt;color=#FFCC71&gt;帝国&lt;/color&gt;的未来就&lt;color=#FFCC71&gt;交给你了&lt;/color&gt;！</t>
  </si>
  <si>
    <t>DialogueConf_41023_textList_140333048854_CN_Main</t>
  </si>
  <si>
    <t>你们一定要&lt;color=#FFCC71&gt;活下去&lt;/color&gt;，只要你们活着，&lt;color=#FFCC71&gt;帝国&lt;/color&gt;就一定&lt;color=#FFCC71&gt;不会灭亡&lt;/color&gt;！</t>
  </si>
  <si>
    <t>DialogueConf_41024_name_CN_Main</t>
  </si>
  <si>
    <t>DialogueConf_41024_textList_CN_Main</t>
  </si>
  <si>
    <t>DialogueConf_41025_textList_CN_Main</t>
  </si>
  <si>
    <t>DialogueConf_41026_textList_CN_Main</t>
  </si>
  <si>
    <t>DialogueConf_41027_textList_CN_Main</t>
  </si>
  <si>
    <t>DialogueConf_41028_textList_CN_Main</t>
  </si>
  <si>
    <t>DialogueConf_41029_textList_CN_Main</t>
  </si>
  <si>
    <t>DialogueConf_41030_textList_CN_Main</t>
  </si>
  <si>
    <t>DialogueConf_41031_textList_CN_Main</t>
  </si>
  <si>
    <t>DialogueConf_41032_textList_CN_Main</t>
  </si>
  <si>
    <t>DialogueConf_41033_textList_CN_Main</t>
  </si>
  <si>
    <t>领主大人，擒贼先擒王，快&lt;color=#FFCC71&gt;集合队伍&lt;/color&gt;全力进攻敌人头目！</t>
  </si>
  <si>
    <t>DialogueConf_41034_textList_CN_Main</t>
  </si>
  <si>
    <t>DialogueConf_41036_textList_CN_Main</t>
  </si>
  <si>
    <t>DialogueConf_41101_name_CN_Main</t>
  </si>
  <si>
    <t>DialogueConf_41101_textList_CN_Main</t>
  </si>
  <si>
    <t>大人，&lt;color=#FFCC71&gt;城门已被蛮族攻破&lt;/color&gt;！我们要加快些，皇帝陛下的情况已经很危急了！</t>
  </si>
  <si>
    <t>DialogueConf_41103_textList_CN_Main</t>
  </si>
  <si>
    <t>DialogueConf_41104_textList_CN_Main</t>
  </si>
  <si>
    <t>DialogueConf_41105_textList_CN_Main</t>
  </si>
  <si>
    <t>DialogueConf_41107_textList_CN_Main</t>
  </si>
  <si>
    <t>DialogueConf_41108_textList_CN_Main</t>
  </si>
  <si>
    <t>DialogueConf_41109_textList_CN_Main</t>
  </si>
  <si>
    <t>DialogueConf_41114_textList_CN_Main</t>
  </si>
  <si>
    <t>DialogueConf_41116_textList_CN_Main</t>
  </si>
  <si>
    <t>DialogueConf_41117_textList_CN_Main</t>
  </si>
  <si>
    <t>DialogueConf_41118_textList_CN_Main</t>
  </si>
  <si>
    <t>DialogueConf_41121_textList_CN_Main</t>
  </si>
  <si>
    <t>DialogueConf_50001_textList_CN_Main</t>
  </si>
  <si>
    <t>这次勤王，你是第一功臣，也是&lt;color=#FFCC71&gt;我们的希望&lt;/color&gt;，&lt;color=#FFCC71&gt;帝国的未来&lt;/color&gt;就交给你了！</t>
  </si>
  <si>
    <t>DialogueConf_50001_textList_1051906345268_CN_Main</t>
  </si>
  <si>
    <t>这将是我给你的最后封赏，你可以&lt;color=#FFCC71&gt;选择一个洲&lt;/color&gt;，在那里我会给你&lt;color=#FFCC71&gt;准备一座城池&lt;/color&gt;，让你&lt;color=#FFCC71&gt;重整旗鼓&lt;/color&gt;，进而由外向内，消灭蛮族。</t>
  </si>
  <si>
    <t>DialogueConf_50101_textList_CN_Main</t>
  </si>
  <si>
    <t>嗯？这是陛下封赏的城池？小了点，但在大人手上一定可以&lt;color=#FFCC71&gt;做大做强&lt;/color&gt;，毕竟&lt;color=#FFCC71&gt;大人最懂内政&lt;/color&gt;。</t>
  </si>
  <si>
    <t>DialogueConf_50101_textList_410484278510_CN_Main</t>
  </si>
  <si>
    <t>能跟大人并肩作战实在荣幸！在下也要返回领地&lt;color=#FFCC71&gt;重振旗鼓&lt;/color&gt;了，离开之前，请允许我&lt;color=#FFCC71&gt;为您推荐一位名将&lt;/color&gt;！</t>
  </si>
  <si>
    <t>DialogueConf_50102_textList_CN_Main</t>
  </si>
  <si>
    <t>通过【点将台】可以&lt;color=#FFCC71&gt;招募许多强力的英雄&lt;/color&gt;，这些英雄会为您军队的战斗力带来巨大的提升，大人，来点个将试试吧！</t>
  </si>
  <si>
    <t>DialogueConf_50103_textList_CN_Main</t>
  </si>
  <si>
    <t>谁说女子不如男！&lt;color=#FFCC71&gt;「巾帼孝烈」魏兰&lt;/color&gt;愿为阁下亲效犬马之劳，扫除蛮族！</t>
  </si>
  <si>
    <t>DialogueConf_50104_textList_CN_Main</t>
  </si>
  <si>
    <t>大人，探子来报，似乎在&lt;color=#FFCC71&gt;城外资源点&lt;/color&gt;发现了&lt;color=#FFCC71&gt;蛮族的踪迹&lt;/color&gt;，真是阴魂不散啊！</t>
  </si>
  <si>
    <t>DialogueConf_50105_textList_CN_Main</t>
  </si>
  <si>
    <t>带兵打仗是将领的天职，领主大人，只要&lt;color=#FFCC71&gt;给我一点人马&lt;/color&gt;，我魏兰&lt;color=#FFCC71&gt;保你城池坚不可摧&lt;/color&gt;。</t>
  </si>
  <si>
    <t>DialogueConf_50106_textList_CN_Main</t>
  </si>
  <si>
    <t>我有个办法可以&lt;color=#FFCC71&gt;快速定位那些蛮子&lt;/color&gt;，大人，来跟我操作，通过&lt;color=#FFCC71&gt;搜索资源点&lt;/color&gt;就能搞定。</t>
  </si>
  <si>
    <t>DialogueConf_50107_textList_CN_Main</t>
  </si>
  <si>
    <t>只有&lt;color=#FFCC71&gt;击败&lt;/color&gt;盘踞在这的&lt;color=#FFCC71&gt;蛮族&lt;/color&gt;才能&lt;color=#FFCC71&gt;拿回资源点&lt;/color&gt;，大人，别犹豫，他们就是一盘散沙，不足为惧！</t>
  </si>
  <si>
    <t>DialogueConf_50108_textList_CN_Main</t>
  </si>
  <si>
    <t>这可真是一场&lt;color=#FFCC71&gt;教科书般的胜利&lt;/color&gt;，那我就放心了，领主大人，接下来就看你的表演了。</t>
  </si>
  <si>
    <t>DialogueConf_50201_textList_CN_Main</t>
  </si>
  <si>
    <t>我们&lt;color=#FFCC71&gt;真正的敌人&lt;/color&gt;远比这些散装蛮子要强大的多，要想取胜并非一朝一夕，&lt;color=#FFCC71&gt;大人得先稳住&lt;/color&gt;。</t>
  </si>
  <si>
    <t>DialogueConf_50201_textList_479360412265_CN_Main</t>
  </si>
  <si>
    <t>大人，不如先从&lt;color=#FFCC71&gt;内城的建设&lt;/color&gt;开始着手吧，毕竟腰包鼓了，才能撑起更大的队伍。</t>
  </si>
  <si>
    <t>DialogueConf_50202_textList_CN_Main</t>
  </si>
  <si>
    <t>领主大人，有了磨坊，我们才能在&lt;color=#FFCC71&gt;城内生产粮食&lt;/color&gt;，还请先&lt;color=#FFCC71&gt;建造一些磨坊&lt;/color&gt;。</t>
  </si>
  <si>
    <t>DialogueConf_50203_textList_CN_Main</t>
  </si>
  <si>
    <t>请在磨坊附近&lt;color=#FFCC71&gt;开垦几块农田&lt;/color&gt;，这样我们的村民就不用天天吃浆果了。</t>
  </si>
  <si>
    <t>DialogueConf_50204_textList_CN_Main</t>
  </si>
  <si>
    <t>是时候&lt;color=#FFCC71&gt;升级&lt;/color&gt;我们的&lt;color=#FFCC71&gt;城镇中心&lt;/color&gt;了，这样一来便可以建造更多不同用途的建筑了。</t>
  </si>
  <si>
    <t>DialogueConf_50205_textList_CN_Main</t>
  </si>
  <si>
    <t>大人，必须&lt;color=#FFCC71&gt;建造&lt;/color&gt;多一些&lt;color=#FFCC71&gt;居民房舍&lt;/color&gt;，才能让城镇容下更多的村民。</t>
  </si>
  <si>
    <t>DialogueConf_50206_textList_CN_Main</t>
  </si>
  <si>
    <t>城内资源生产人手有些不足，请大人在城镇中心&lt;color=#FFCC71&gt;训练一批村民&lt;/color&gt;吧。</t>
  </si>
  <si>
    <t>DialogueConf_50207_textList_CN_Main</t>
  </si>
  <si>
    <t>作为领地的主人，您可以根据需要&lt;color=#FFCC71&gt;自由调配村民&lt;/color&gt;的生产方案，厉害吧。</t>
  </si>
  <si>
    <t>DialogueConf_50208_textList_CN_Main</t>
  </si>
  <si>
    <t>随着领地建设的深入，各种资源的需求会越来越大，大人不妨提前&lt;color=#FFCC71&gt;占领&lt;/color&gt;一些&lt;color=#FFCC71&gt;高级的资源点&lt;/color&gt;。</t>
  </si>
  <si>
    <t>DialogueConf_50301_textList_CN_Main</t>
  </si>
  <si>
    <t>在大人的勤奋治理下，&lt;color=#FFCC71&gt;领地发展&lt;/color&gt;已经逐渐走上了正轨，果然，没有人比&lt;color=#FFCC71&gt;大人更懂内政&lt;/color&gt;了。</t>
  </si>
  <si>
    <t>DialogueConf_50301_textList_212524274087_CN_Main</t>
  </si>
  <si>
    <t>打铁要趁热，想要&lt;color=#FFCC71&gt;进一步强大&lt;/color&gt;，&lt;color=#FFCC71&gt;军事发展&lt;/color&gt;也不能落下呀。</t>
  </si>
  <si>
    <t>DialogueConf_50302_textList_CN_Main</t>
  </si>
  <si>
    <t>想要招募出&lt;color=#FFCC71&gt;心仪的英雄&lt;/color&gt;，肯定需要一点点运气的啦，&lt;color=#FFCC71&gt;多抽几次&lt;/color&gt;，总是会有惊喜的。</t>
  </si>
  <si>
    <t>DialogueConf_50303_textList_CN_Main</t>
  </si>
  <si>
    <t>持续&lt;color=#FFCC71&gt;升级城镇中心&lt;/color&gt;，才能保证领地的&lt;color=#FFCC71&gt;持续发展&lt;/color&gt;。</t>
  </si>
  <si>
    <t>DialogueConf_50304_textList_CN_Main</t>
  </si>
  <si>
    <t>建筑可以&lt;color=#FFCC71&gt;免费升级&lt;/color&gt;时，一定要&lt;color=#FFCC71&gt;立即秒掉&lt;/color&gt;，肯定没有比这个更划算的了。</t>
  </si>
  <si>
    <t>DialogueConf_50305_textList_CN_Main</t>
  </si>
  <si>
    <t>还请您&lt;color=#FFCC71&gt;升级这些居民房舍&lt;/color&gt;，让一间房能&lt;color=#FFCC71&gt;容纳更多村民&lt;/color&gt;，毕竟打工人越多越好。</t>
  </si>
  <si>
    <t>DialogueConf_50306_textList_CN_Main</t>
  </si>
  <si>
    <t>我们得先把&lt;color=#FFCC71&gt;兵营修整&lt;/color&gt;一下，之后就可以&lt;color=#FFCC71&gt;大规模爆兵&lt;/color&gt;了。</t>
  </si>
  <si>
    <t>DialogueConf_50307_textList_CN_Main</t>
  </si>
  <si>
    <t>&lt;color=#FFCC71&gt;扩大地盘&lt;/color&gt;，&lt;color=#FFCC71&gt;提升实力&lt;/color&gt;，都离不开一个最基本的条件，那就是要有&lt;color=#FFCC71&gt;足够多的士兵&lt;/color&gt;！</t>
  </si>
  <si>
    <t>DialogueConf_50308_textList_CN_Main</t>
  </si>
  <si>
    <t>士兵按时完成训练固然不错，在面对紧急情况，该&lt;color=#FFCC71&gt;加速训练&lt;/color&gt;还是得加速。</t>
  </si>
  <si>
    <t>DialogueConf_50309_textList_CN_Main</t>
  </si>
  <si>
    <t>养兵千日用在一时，是时候让那些&lt;color=#FFCC71&gt;侵占良田的蛮族&lt;/color&gt;付出更大的代价了！</t>
  </si>
  <si>
    <t>DialogueConf_500001_name_CN_Main</t>
  </si>
  <si>
    <t>DialogueConf_50401_textList_CN_Main</t>
  </si>
  <si>
    <t>在下周游至此，听闻领主大人&lt;color=#FFCC71&gt;皇城一役&lt;/color&gt;，&lt;color=#FFCC71&gt;孤军救主&lt;/color&gt;，以一己之力抗衡百万蛮军，如此胆识颇有老夫当年之勇。</t>
  </si>
  <si>
    <t>DialogueConf_50401_textList_170583767840_CN_Main</t>
  </si>
  <si>
    <t>便由在下来协助领主大人熟悉一下&lt;color=#FFCC71&gt;英雄培养&lt;/color&gt;的相关事宜。</t>
  </si>
  <si>
    <t>DialogueConf_50402_textList_CN_Main</t>
  </si>
  <si>
    <t>大人，您现在兵力不足，请&lt;color=#FFCC71&gt;训练更多士兵&lt;/color&gt;方能补足部队。</t>
  </si>
  <si>
    <t>DialogueConf_50403_textList_CN_Main</t>
  </si>
  <si>
    <t>如果有训练好的士兵，首先得将他们&lt;color=#FFCC71&gt;补充至部队之中&lt;/color&gt;。</t>
  </si>
  <si>
    <t>DialogueConf_50404_textList_CN_Main</t>
  </si>
  <si>
    <t>将帅乃三军之胆，&lt;color=#FFCC71&gt;提升英雄等级&lt;/color&gt;！这样可&lt;color=#FFCC71&gt;增加部队士兵上限&lt;/color&gt;，战斗力当然也会更强。</t>
  </si>
  <si>
    <t>DialogueConf_50405_textList_CN_Main</t>
  </si>
  <si>
    <t>&lt;color=#FFCC71&gt;英雄&lt;/color&gt;之所以为&lt;color=#FFCC71&gt;英雄&lt;/color&gt;，是因为他们有着&lt;color=#FFCC71&gt;常人所不具备的能力&lt;/color&gt;，但能力并非天生，而是需要后天的努力学习。</t>
  </si>
  <si>
    <t>DialogueConf_50406_textList_CN_Main</t>
  </si>
  <si>
    <t>英雄&lt;color=#FFCC71&gt;固有技能&lt;/color&gt;都是他们的看家本领，请您务必注意&lt;color=#FFCC71&gt;首先升级&lt;/color&gt;，当然升级还&lt;color=#FFCC71&gt;需要一些技能点&lt;/color&gt;。</t>
  </si>
  <si>
    <t>DialogueConf_50407_textList_CN_Main</t>
  </si>
  <si>
    <t>依在下看，敌人不过是一群乌合之众，我们&lt;color=#FFCC71&gt;既有精兵也有良将&lt;/color&gt;，取胜便如探囊取物，大人请下令吧。</t>
  </si>
  <si>
    <t>DialogueConf_50501_textList_CN_Main</t>
  </si>
  <si>
    <t>虽然目前局势一片大好，但是大人必须要&lt;color=#FFCC71&gt;保持清醒&lt;/color&gt;，不能被眼前的胜利冲昏了头脑。</t>
  </si>
  <si>
    <t>DialogueConf_50501_textList_512981168791_CN_Main</t>
  </si>
  <si>
    <t>&lt;color=#FFCC71&gt;未来发展&lt;/color&gt;的道路方向得要有&lt;color=#FFCC71&gt;进一步的规划&lt;/color&gt;，切不可急功冒进。格局，关键是得要有格局。</t>
  </si>
  <si>
    <t>DialogueConf_50502_textList_CN_Main</t>
  </si>
  <si>
    <t>人多力量大，加入一个&lt;color=#FFCC71&gt;强大的联盟&lt;/color&gt;，就等于有了个&lt;color=#FFCC71&gt;够硬的靠山&lt;/color&gt;，大人抓紧机会吧！</t>
  </si>
  <si>
    <t>DialogueConf_50503_textList_CN_Main</t>
  </si>
  <si>
    <t>周边的&lt;color=#FFCC71&gt;蛮族部队&lt;/color&gt;又在&lt;color=#FFCC71&gt;蠢蠢欲动&lt;/color&gt;，我们养精蓄锐也有一阵子了，正好可以&lt;color=#FFCC71&gt;拿他们练练兵&lt;/color&gt;。</t>
  </si>
  <si>
    <t>DialogueConf_50504_textList_CN_Main</t>
  </si>
  <si>
    <t>&lt;color=#FFCC71&gt;攻打蛮族部队&lt;/color&gt;可以&lt;color=#FFCC71&gt;获得发展方略点数&lt;/color&gt;，积累一定点数可以制定新的发展方略。</t>
  </si>
  <si>
    <t>DialogueConf_50505_textList_CN_Main</t>
  </si>
  <si>
    <t>展现格局的时候到了，大人，请&lt;color=#FFCC71&gt;制定您的发展方略&lt;/color&gt;。</t>
  </si>
  <si>
    <t>DialogueConf_50506_textList_CN_Main</t>
  </si>
  <si>
    <t>大人英明，&lt;color=#FFCC71&gt;发展方略提升了我军战斗力&lt;/color&gt;，内城建设需要消耗大量的木材，这时候就需要攻占一些木材资源点。</t>
  </si>
  <si>
    <t>DialogueConf_50507_textList_CN_Main</t>
  </si>
  <si>
    <t>我们还得考虑一下&lt;color=#FFCC71&gt;修缮治疗房舍&lt;/color&gt;了，否则您的士兵只会越打越少。</t>
  </si>
  <si>
    <t>DialogueConf_50508_textList_CN_Main</t>
  </si>
  <si>
    <t>眼下周围局势逐渐稳定！在下也该告辞了！只要大人勤于内政，&lt;color=#FFCC71&gt;待突破瓶颈之时&lt;/color&gt;，必能登上人生巅峰！</t>
  </si>
  <si>
    <t>DialogueConf_50508_textList_451173351052_CN_Main</t>
  </si>
  <si>
    <t>离开之前，在下将为大人&lt;color=#FFCC71&gt;引荐两位英雄&lt;/color&gt;，大人可以选择一个，并将其纳入麾下！</t>
  </si>
  <si>
    <t>DialogueConf_50509_textList_CN_Main</t>
  </si>
  <si>
    <t>一部分伤兵已被&lt;color=#FFCC71&gt;提前治愈&lt;/color&gt;，大人，您现在可&lt;color=#FFCC71&gt;收取士兵&lt;/color&gt;。</t>
  </si>
  <si>
    <t>DialogueConf_50510_textList_CN_Main</t>
  </si>
  <si>
    <t>任何时候都不能忘记：&lt;color=#FFCC71&gt;城镇中心&lt;/color&gt;是领地发展的&lt;color=#FFCC71&gt;先决条件&lt;/color&gt;，请大人尽快着手升级。</t>
  </si>
  <si>
    <t>DialogueConf_50511_textList_CN_Main</t>
  </si>
  <si>
    <t>建造领地只争朝夕，不要让&lt;color=#FFCC71&gt;过长升级时间&lt;/color&gt;成为您升级绊脚石，请您继续使用&lt;color=#FFCC71&gt;【立即升级】&lt;/color&gt;。</t>
  </si>
  <si>
    <t>DialogueConf_50512_textList_CN_Main</t>
  </si>
  <si>
    <t>领地建设仍&lt;color=#FFCC71&gt;需要大量木材&lt;/color&gt;，不如多&lt;color=#FFCC71&gt;修建几个伐木场&lt;/color&gt;，多多益善。</t>
  </si>
  <si>
    <t>DialogueConf_50601_textList_CN_Main</t>
  </si>
  <si>
    <t>武圣大人所说的&lt;color=#FFCC71&gt;【突破瓶颈之时】&lt;/color&gt;到底指的是什么？</t>
  </si>
  <si>
    <t>DialogueConf_50601_textList_801330325430_CN_Main</t>
  </si>
  <si>
    <t>我曾听说每个强大文明通过&lt;color=#FFCC71&gt;时代升级&lt;/color&gt;便能掌握一大堆&lt;color=#FFCC71&gt;核心科技&lt;/color&gt;，大人或许可以尝试尝试。</t>
  </si>
  <si>
    <t>DialogueConf_50602_textList_CN_Main</t>
  </si>
  <si>
    <t>&lt;color=#FFCC71&gt;繁荣度&lt;/color&gt;是&lt;color=#FFCC71&gt;突破实力瓶颈&lt;/color&gt;的关键所在，大人，我们先来定个小目标吧。</t>
  </si>
  <si>
    <t>DialogueConf_50603_textList_CN_Main</t>
  </si>
  <si>
    <t>&lt;color=#FFCC71&gt;时代升级&lt;/color&gt;仅一步之遥，还请大人&lt;color=#FFCC71&gt;加速升级城镇中心&lt;/color&gt;，迎接激动人心的时刻！</t>
  </si>
  <si>
    <t>DialogueConf_50604_textList_CN_Main</t>
  </si>
  <si>
    <t>繁荣度已足够，请您&lt;color=#FFCC71&gt;升级城镇中心&lt;/color&gt;，为&lt;color=#FFCC71&gt;升级时代&lt;/color&gt;做好准备。</t>
  </si>
  <si>
    <t>DialogueConf_50605_textList_CN_Main</t>
  </si>
  <si>
    <t>领主大人，&lt;color=#FFCC71&gt;城镇中心升级完成&lt;/color&gt;，万事俱备，请您&lt;color=#FFCC71&gt;迎接中古时代&lt;/color&gt;的到来吧！</t>
  </si>
  <si>
    <t>DialogueConf_50606_textList_CN_Main</t>
  </si>
  <si>
    <t>&lt;color=#FFCC71&gt;城市风格&lt;/color&gt;活动已开启，时代升级后，您可在&lt;color=#FFCC71&gt;活动中心&lt;/color&gt;更换各种不同的&lt;color=#FFCC71&gt;城市风格&lt;/color&gt;。</t>
  </si>
  <si>
    <t>DialogueConf_50607_textList_CN_Main</t>
  </si>
  <si>
    <t>领主大人，欢迎来到&lt;color=#FFCC71&gt;中古时代&lt;/color&gt;！时代升级解锁了部队中&lt;color=#FFCC71&gt;第2个英雄的位置&lt;/color&gt;，不知道大人这次派谁上阵呢？</t>
  </si>
  <si>
    <t>DialogueConf_50608_textList_CN_Main</t>
  </si>
  <si>
    <t>TID_DialogueConf_50608_textList_CN_Main</t>
  </si>
  <si>
    <t>&lt;color=#FFCC71&gt;时代升级&lt;/color&gt;后我们掌握了开发&lt;color=#FFCC71&gt;高级兵种&lt;/color&gt;的能力，先升级兵营就能&lt;color=#FFCC71&gt;训练2级士兵&lt;/color&gt;了！
&lt;color=#2AB81E&gt;兵营升级后，兵营里所有士兵将自动晋升等级。&lt;/color&gt;</t>
  </si>
  <si>
    <t>DialogueConf_50609_textList_CN_Main</t>
  </si>
  <si>
    <t>&lt;color=#FFCC71&gt;双英雄和高级兵种&lt;/color&gt;具有可怕战斗力，&lt;color=#FFCC71&gt;开疆扩土&lt;/color&gt;之时必然会更加得心应手。</t>
  </si>
  <si>
    <t>DialogueConf_50701_textList_CN_Main</t>
  </si>
  <si>
    <t>大规模的&lt;color=#FFCC71&gt;战斗会产生伤兵&lt;/color&gt;，必须要有足够的治疗房舍来保住有生力量，还请大人&lt;color=#FFCC71&gt;升级一些治疗房舍&lt;/color&gt;。</t>
  </si>
  <si>
    <t>DialogueConf_50702_textList_CN_Main</t>
  </si>
  <si>
    <t>&lt;color=#FFCC71&gt;利用兵种克制&lt;/color&gt;攻打资源点，可以大幅&lt;color=#FFCC71&gt;减少我军损耗&lt;/color&gt;，知己知彼，百战百胜。</t>
  </si>
  <si>
    <t>DialogueConf_50703_textList_CN_Main</t>
  </si>
  <si>
    <t>您可从邮件中的&lt;color=#FFCC71&gt;侦察报告&lt;/color&gt;获知敌军详情，使用相应兵种&lt;color=#FFCC71&gt;克制敌军&lt;/color&gt;，事半功倍。</t>
  </si>
  <si>
    <t>DialogueConf_50801_textList_CN_Main</t>
  </si>
  <si>
    <t>中古时代的建设需要&lt;color=#FFCC71&gt;消耗大量石头&lt;/color&gt;，&lt;color=#FFCC71&gt;多造一些石矿场&lt;/color&gt;，准没错。</t>
  </si>
  <si>
    <t>DialogueConf_50802_textList_CN_Main</t>
  </si>
  <si>
    <t>大人，请让我们的村民去&lt;color=#FFCC71&gt;采集一些木材&lt;/color&gt;吧，充当大自然的搬运工也是不错的选择。</t>
  </si>
  <si>
    <t>DialogueConf_50803_textList_CN_Main</t>
  </si>
  <si>
    <t>帝国历史上有无数光辉灿烂的&lt;color=#FFCC71&gt;英雄传说&lt;/color&gt;，您可以通过&lt;color=#FFCC71&gt;【战役】&lt;/color&gt;来体验不同英雄的精彩人生。</t>
  </si>
  <si>
    <t>DialogueConf_50901_textList_CN_Main</t>
  </si>
  <si>
    <t>拥有大使馆不仅可以让&lt;color=#FFCC71&gt;盟友帮忙加速建造&lt;/color&gt;，还能接受&lt;color=#FFCC71&gt;援军保护您的城市&lt;/color&gt;，大使馆等级越高，好处就越多。</t>
  </si>
  <si>
    <t>DialogueConf_50902_textList_CN_Main</t>
  </si>
  <si>
    <t>帝国的&lt;color=#FFCC71&gt;捕鱼&lt;/color&gt;还有印象吗？快修建一个码头，把渔网撒出去，就能&lt;color=#FFCC71&gt;收获大量食物&lt;/color&gt;。</t>
  </si>
  <si>
    <t>DialogueConf_50903_textList_CN_Main</t>
  </si>
  <si>
    <t>当您所拥有的&lt;color=#FFCC71&gt;资源点数量接近上限时&lt;/color&gt;，可以战略性&lt;color=#FFCC71&gt;放弃一些低等级的资源点&lt;/color&gt;。</t>
  </si>
  <si>
    <t>DialogueConf_51001_textList_CN_Main</t>
  </si>
  <si>
    <t>领主大人，学院中的&lt;color=#FFCC71&gt;各种科技&lt;/color&gt;可以让我们的&lt;color=#FFCC71&gt;实力更上一层楼&lt;/color&gt;，毕竟知识就是力量。</t>
  </si>
  <si>
    <t>DialogueConf_51002_textList_CN_Main</t>
  </si>
  <si>
    <t>那些更强大的蛮族往往掠夺了帝国的知识，只要讨伐了他们便可以&lt;color=#FFCC71&gt;获得知识卷轴&lt;/color&gt;，从而&lt;color=#FFCC71&gt;研发更多科技&lt;/color&gt;。</t>
  </si>
  <si>
    <t>DialogueConf_51101_textList_CN_Main</t>
  </si>
  <si>
    <t>大人，听说了吗？全新&lt;color=#FFCC71&gt;内政官活动&lt;/color&gt;开启了，您可以&lt;color=#FFCC71&gt;建造酒馆&lt;/color&gt;，在酒馆中可以将合意的人才招募为内政官，还可以派遣内政官进行探险！活动限时开启，我们一起去看看吧！</t>
  </si>
  <si>
    <t>DialogueConf_51102_textList_CN_Main</t>
  </si>
  <si>
    <t>&lt;color=#FFCC71&gt;内政官&lt;/color&gt;与英雄最大的区别在于：他们不能领兵打仗，但&lt;color=#FFCC71&gt;精于内政管理&lt;/color&gt;，请您务必善加利用。</t>
  </si>
  <si>
    <t>DialogueConf_51103_textList_CN_Main</t>
  </si>
  <si>
    <t>除了内政管理外，&lt;color=#FFCC71&gt;内政官&lt;/color&gt;还可以&lt;color=#FFCC71&gt;外出探险&lt;/color&gt;，完成各种探险事件，获得&lt;color=#FFCC71&gt;内城发展所需的资源&lt;/color&gt;。</t>
  </si>
  <si>
    <t>DialogueConf_51104_textList_CN_Main</t>
  </si>
  <si>
    <t>如果您某种&lt;color=#FFCC71&gt;资源还有富余&lt;/color&gt;，可以考虑在&lt;color=#FFCC71&gt;市集兑换&lt;/color&gt;成其他类型的资源。</t>
  </si>
  <si>
    <t>DialogueConf_51201_textList_CN_Main</t>
  </si>
  <si>
    <t>培养英雄技能需要大量&lt;color=#FFCC71&gt;铜钱&lt;/color&gt;，每天的&lt;color=#FFCC71&gt;征税&lt;/color&gt;，大人不要错过哦！</t>
  </si>
  <si>
    <t>DialogueConf_51202_textList_CN_Main</t>
  </si>
  <si>
    <t>领主大人，&lt;color=#FFCC71&gt;派驻城墙的英雄&lt;/color&gt;若是最强战力，就算您不出兵都能威慑敌人。</t>
  </si>
  <si>
    <t>DialogueConf_51301_textList_CN_Main</t>
  </si>
  <si>
    <t>&lt;color=#FFCC71&gt;时代升级解锁&lt;/color&gt;了部队中&lt;color=#FFCC71&gt;第3个上阵英雄的位置&lt;/color&gt;，能征善战的英雄肯定是越多越好！</t>
  </si>
  <si>
    <t>DialogueConf_51302_textList_CN_Main</t>
  </si>
  <si>
    <t>进入了&lt;color=#FFCC71&gt;启蒙时代&lt;/color&gt;，我们高等级的建筑升级需要&lt;color=#FFCC71&gt;消耗黄金&lt;/color&gt;，野外那些金矿也是我们必争之所。</t>
  </si>
  <si>
    <t>DialogueConf_51501_textList_CN_Main</t>
  </si>
  <si>
    <t>&lt;color=#FFCC71&gt;黄金&lt;/color&gt;是非常宝贵的战略资源，&lt;color=#FFCC71&gt;快造些金矿场&lt;/color&gt;，领地的发展才能先人一步。</t>
  </si>
  <si>
    <t>DialogueConf_51601_textList_CN_Main</t>
  </si>
  <si>
    <t>还记得帝国的&lt;color=#FFCC71&gt;城堡&lt;/color&gt;吗，大人，在这里不仅可以&lt;color=#FFCC71&gt;训练特色兵种&lt;/color&gt;，还可以&lt;color=#FFCC71&gt;升级各种军事设施&lt;/color&gt;，提升部队战斗力！</t>
  </si>
  <si>
    <t>DialogueConf_51602_textList_CN_Main</t>
  </si>
  <si>
    <t>&lt;color=#FFCC71&gt;城墙&lt;/color&gt;稳固，打仗不慌，大人，&lt;color=#FFCC71&gt;城墙&lt;/color&gt;需要尽快&lt;color=#FFCC71&gt;升级一下&lt;/color&gt;！</t>
  </si>
  <si>
    <t>DialogueConf_51701_textList_CN_Main</t>
  </si>
  <si>
    <t>有了&lt;color=#FFCC71&gt;战争大厅&lt;/color&gt;，就能和盟友们一起&lt;color=#FFCC71&gt;组队攻城略地&lt;/color&gt;了，想想就很带感！</t>
  </si>
  <si>
    <t>DialogueConf_52401_textList_CN_Main</t>
  </si>
  <si>
    <t>&lt;color=#FFCC71&gt;坐骑挂饰打造&lt;/color&gt;功能已开启，请领主前往查看。</t>
  </si>
  <si>
    <t>DialogueConf_55001_textList_CN_Main</t>
  </si>
  <si>
    <t>这次危机，你是&lt;color=#FFCC71&gt;第一功臣&lt;/color&gt;，帝国的未来就交给你了！</t>
  </si>
  <si>
    <t>DialogueConf_55001_textList_334415207077_CN_Main</t>
  </si>
  <si>
    <t>这将是我给你的最后封赏，希望你能&lt;color=#FFCC71&gt;让帝国重现辉煌&lt;/color&gt;。</t>
  </si>
  <si>
    <t>DialogueConf_55001_textList_471036495197_CN_Main</t>
  </si>
  <si>
    <t>你可以&lt;color=#FFCC71&gt;选择一个洲&lt;/color&gt;，在那里我会给你准备一座城池，让你可以&lt;color=#FFCC71&gt;重整军队&lt;/color&gt;，从外向内&lt;color=#FFCC71&gt;夺回各个城市&lt;/color&gt;，消灭蛮族。</t>
  </si>
  <si>
    <t>DialogueConf_55101_textList_CN_Main</t>
  </si>
  <si>
    <t>这就是陛下封赏的城池？小了点，但大人一定能让它&lt;color=#FFCC71&gt;发展壮大&lt;/color&gt;的。</t>
  </si>
  <si>
    <t>DialogueConf_55101_textList_497445174757_CN_Main</t>
  </si>
  <si>
    <t>能跟大人并肩作战实在荣幸！在下也要返回领地重振旗鼓了，离开之前，请允许我&lt;color=#FFCC71&gt;为您推荐一位名将&lt;/color&gt;！</t>
  </si>
  <si>
    <t>DialogueConf_55102_textList_CN_Main</t>
  </si>
  <si>
    <t>通过&lt;color=#FFCC71&gt;【点将台】&lt;/color&gt;可以招募许多强力的英雄，这些英雄会为您军队的战斗力带来巨大的提升，大人，来点个将试试吧！</t>
  </si>
  <si>
    <t>DialogueConf_2055001_name_595233328535_CN_Main</t>
  </si>
  <si>
    <t>DialogueConf_55103_textList_CN_Main</t>
  </si>
  <si>
    <t>谁说女子不如男！&lt;color=#FFCC71&gt;花木兰&lt;/color&gt;愿为阁下亲效犬马之劳，扫除蛮族！</t>
  </si>
  <si>
    <t>DialogueConf_55104_textList_CN_Main</t>
  </si>
  <si>
    <t>大人，探子在&lt;color=#FFCC71&gt;城外资源点&lt;/color&gt;发现了&lt;color=#FFCC71&gt;蛮族的踪迹&lt;/color&gt;，他们的势力竟然也渗透到了这里！</t>
  </si>
  <si>
    <t>DialogueConf_2055001_textList_298990238301_CN_Main</t>
  </si>
  <si>
    <t>带兵打仗是将领的天职，领主大人，只要&lt;color=#FFCC71&gt;给我一点人马&lt;/color&gt;，我花木兰保你城池坚不可摧。</t>
  </si>
  <si>
    <t>DialogueConf_55106_textList_CN_Main</t>
  </si>
  <si>
    <t>有个办法可以快速找到那些蛮子，大人，请跟我来&lt;color=#FFCC71&gt;搜索资源点&lt;/color&gt;。</t>
  </si>
  <si>
    <t>DialogueConf_55107_textList_CN_Main</t>
  </si>
  <si>
    <t>击败这里的蛮族才能&lt;color=#FFCC71&gt;拿回资源点&lt;/color&gt;，大人，别犹豫，他们根本不足为惧！</t>
  </si>
  <si>
    <t>DialogueConf_55108_textList_CN_Main</t>
  </si>
  <si>
    <t>这真是一场&lt;color=#FFCC71&gt;伟大的胜利&lt;/color&gt;，那我就放心了，大人，接下来到您出场了。</t>
  </si>
  <si>
    <t>DialogueConf_55201_textList_CN_Main</t>
  </si>
  <si>
    <t>我们&lt;color=#FFCC71&gt;真正的敌人&lt;/color&gt;远比这些游荡的蛮族要强大得多，要想取胜需得从长计议。</t>
  </si>
  <si>
    <t>DialogueConf_55201_textList_902084743134_CN_Main</t>
  </si>
  <si>
    <t>大人，不如先从&lt;color=#FFCC71&gt;城市建设&lt;/color&gt;着手吧，毕竟有了&lt;color=#FFCC71&gt;粮食和资源&lt;/color&gt;，才能支撑更强大的军队。</t>
  </si>
  <si>
    <t>DialogueConf_55202_textList_CN_Main</t>
  </si>
  <si>
    <t>大人，请先建造一些&lt;color=#FFCC71&gt;磨坊&lt;/color&gt;以便让居民&lt;color=#FFCC71&gt;生产粮食&lt;/color&gt;。</t>
  </si>
  <si>
    <t>DialogueConf_55203_textList_CN_Main</t>
  </si>
  <si>
    <t>请在磨坊附近&lt;color=#FFCC71&gt;开垦几块农田&lt;/color&gt;，这样我们的居民就不用天天吃浆果了。</t>
  </si>
  <si>
    <t>DialogueConf_55204_textList_CN_Main</t>
  </si>
  <si>
    <t>请多多&lt;color=#FFCC71&gt;升级&lt;/color&gt;我们的&lt;color=#FFCC71&gt;城镇中心&lt;/color&gt;，这样可以解锁更多不同用途的建筑。</t>
  </si>
  <si>
    <t>DialogueConf_55205_textList_CN_Main</t>
  </si>
  <si>
    <t>大人，请您多&lt;color=#FFCC71&gt;建造&lt;/color&gt;一些&lt;color=#FFCC71&gt;居民房舍&lt;/color&gt;，这样您的城镇才能容下更多的村民。</t>
  </si>
  <si>
    <t>DialogueConf_55207_textList_CN_Main</t>
  </si>
  <si>
    <t>作为领主，您可以&lt;color=#FFCC71&gt;自由调配村民&lt;/color&gt;的生产方案，以优先生产您需要的资源。</t>
  </si>
  <si>
    <t>DialogueConf_55208_textList_CN_Main</t>
  </si>
  <si>
    <t>随着领地建设的深入，各种资源的需求会越来越大，大人不妨&lt;color=#FFCC71&gt;占领更多资源点&lt;/color&gt;。</t>
  </si>
  <si>
    <t>DialogueConf_55301_textList_CN_Main</t>
  </si>
  <si>
    <t>在大人的勤奋治理下，&lt;color=#FFCC71&gt;领地发展&lt;/color&gt;逐渐走上正轨，大人果然既懂军事，又懂内政。</t>
  </si>
  <si>
    <t>DialogueConf_55301_textList_839834781097_CN_Main</t>
  </si>
  <si>
    <t>打铁要趁热，想要进一步强大，&lt;color=#FFCC71&gt;军事发展&lt;/color&gt;也不能落下。</t>
  </si>
  <si>
    <t>DialogueConf_55302_textList_CN_Main</t>
  </si>
  <si>
    <t>持续&lt;color=#FFCC71&gt;升级城镇中心&lt;/color&gt;，才能保证领地的发展。</t>
  </si>
  <si>
    <t>DialogueConf_55303_textList_CN_Main</t>
  </si>
  <si>
    <t>建筑可以免费升级时，请直接点击&lt;color=#FFCC71&gt;【免费完成】&lt;/color&gt;，让领地&lt;color=#FFCC71&gt;更快发展&lt;/color&gt;。</t>
  </si>
  <si>
    <t>DialogueConf_55304_textList_CN_Main</t>
  </si>
  <si>
    <t>请您&lt;color=#FFCC71&gt;升级居民房舍&lt;/color&gt;，升级后能容纳更多的村民，&lt;color=#FFCC71&gt;提升村民人口上限&lt;/color&gt;。</t>
  </si>
  <si>
    <t>DialogueConf_55305_textList_CN_Main</t>
  </si>
  <si>
    <t>我们还得先&lt;color=#FFCC71&gt;修整一下兵营&lt;/color&gt;，就可以快速发展我们的军队了。</t>
  </si>
  <si>
    <t>DialogueConf_55306_textList_CN_Main</t>
  </si>
  <si>
    <t>扩大地盘，&lt;color=#FFCC71&gt;提升实力&lt;/color&gt;，都离不开一个最基本的条件，那就是要有&lt;color=#FFCC71&gt;足够多的士兵&lt;/color&gt;！</t>
  </si>
  <si>
    <t>DialogueConf_55307_textList_CN_Main</t>
  </si>
  <si>
    <t>在面对紧急情况时，&lt;color=#FFCC71&gt;加速训练&lt;/color&gt;可以给您提供更快捷的兵源。</t>
  </si>
  <si>
    <t>DialogueConf_55401_textList_1057247905559_CN_Main</t>
  </si>
  <si>
    <t>接下来我将帮助大人了解，如何进行&lt;color=#FFCC71&gt;英雄培养&lt;/color&gt;。</t>
  </si>
  <si>
    <t>DialogueConf_55402_textList_CN_Main</t>
  </si>
  <si>
    <t>英雄&lt;color=#FFCC71&gt;固有技能&lt;/color&gt;都是他们的看家本领，请您务必注意&lt;color=#FFCC71&gt;优先升级&lt;/color&gt;，升级需要消耗技能点。</t>
  </si>
  <si>
    <t>DialogueConf_55403_textList_CN_Main</t>
  </si>
  <si>
    <t>依在下看，敌人不过是一群乌合之众，我们有&lt;color=#FFCC71&gt;精兵良将&lt;/color&gt;，取胜如探囊取物，大人请下令吧。</t>
  </si>
  <si>
    <t>DialogueConf_55501_textList_235693080208_CN_Main</t>
  </si>
  <si>
    <t>领地和部队的&lt;color=#FFCC71&gt;进一步发展&lt;/color&gt;，切不可冒进，需要&lt;color=#FFCC71&gt;制定周详的谋略&lt;/color&gt;。</t>
  </si>
  <si>
    <t>DialogueConf_55502_textList_CN_Main</t>
  </si>
  <si>
    <t>周边的&lt;color=#FFCC71&gt;蛮族部队又在蠢蠢欲动&lt;/color&gt;，我们养精蓄锐也有一阵子了，正好可以拿他们练练兵。</t>
  </si>
  <si>
    <t>DialogueConf_55503_textList_CN_Main</t>
  </si>
  <si>
    <t>&lt;color=#FFCC71&gt;攻打蛮族部队&lt;/color&gt;可以获得&lt;color=#FFCC71&gt;发展方略点数&lt;/color&gt;，积累一定点数可以制定新的发展方略。</t>
  </si>
  <si>
    <t>DialogueConf_55504_textList_CN_Main</t>
  </si>
  <si>
    <t>展现谋略的时候到了，大人，请选择您的&lt;color=#FFCC71&gt;发展方略&lt;/color&gt;。</t>
  </si>
  <si>
    <t>DialogueConf_55506_textList_CN_Main</t>
  </si>
  <si>
    <t>我们得考虑一下&lt;color=#FFCC71&gt;修缮治疗房舍&lt;/color&gt;了，士兵们需要休憩和治疗。</t>
  </si>
  <si>
    <t>DialogueConf_55508_textList_CN_Main</t>
  </si>
  <si>
    <t>加入一个&lt;color=#FFCC71&gt;强大的联盟&lt;/color&gt;，就等于有了&lt;color=#FFCC71&gt;强大的靠山&lt;/color&gt;，大人抓紧机会吧！</t>
  </si>
  <si>
    <t>DialogueConf_55510_textList_CN_Main</t>
  </si>
  <si>
    <t>建造领地只争朝夕，不要让&lt;color=#FFCC71&gt;过长升级时间&lt;/color&gt;成为您升级的绊脚石，请您继续使用&lt;color=#FFCC71&gt;【立即升级】&lt;/color&gt;。</t>
  </si>
  <si>
    <t>DialogueConf_55511_textList_CN_Main</t>
  </si>
  <si>
    <t>领地建设&lt;color=#FFCC71&gt;需要大量木材&lt;/color&gt;，不如多&lt;color=#FFCC71&gt;修建几个伐木场&lt;/color&gt;，多多益善呢。</t>
  </si>
  <si>
    <t>DialogueConf_55601_textList_CN_Main</t>
  </si>
  <si>
    <t>关羽大人所说的&lt;color=#FFCC71&gt;【突破瓶颈之时】&lt;/color&gt;到底是指什么？</t>
  </si>
  <si>
    <t>DialogueConf_55601_textList_707520770333_CN_Main</t>
  </si>
  <si>
    <t>我曾听说，通过&lt;color=#FFCC71&gt;【时代升级】&lt;/color&gt;可以掌握更先进的技术、解锁更高级的兵种，大人可以尝试一下。</t>
  </si>
  <si>
    <t>DialogueConf_55602_textList_CN_Main</t>
  </si>
  <si>
    <t>繁荣度是&lt;color=#FFCC71&gt;突破实力瓶颈&lt;/color&gt;的关键，大人，让我们&lt;color=#FFCC71&gt;提升繁荣度&lt;/color&gt;吧。</t>
  </si>
  <si>
    <t>DialogueConf_55605_textList_CN_Main</t>
  </si>
  <si>
    <t>领主大人，城镇中心升级完成，万事俱备，请您&lt;color=#FFCC71&gt;迎接中古时代&lt;/color&gt;的到来吧！</t>
  </si>
  <si>
    <t>DialogueConf_55606_textList_CN_Main</t>
  </si>
  <si>
    <t>想要招募出心仪的英雄，需要一点点运气，&lt;color=#FFCC71&gt;多抽几次&lt;/color&gt;，会有惊喜的。</t>
  </si>
  <si>
    <t>DialogueConf_55607_textList_CN_Main</t>
  </si>
  <si>
    <t>欢迎来到&lt;color=#FFCC71&gt;中古时代&lt;/color&gt;！时代升级解锁了部队中&lt;color=#FFCC71&gt;第2个英雄的位置&lt;/color&gt;，您可以选择自己青睐的英雄上阵。</t>
  </si>
  <si>
    <t>DialogueConf_55608_textList_CN_Main</t>
  </si>
  <si>
    <t>时代升级后，我们掌握了&lt;color=#FFCC71&gt;训练更高级兵种&lt;/color&gt;的能力，先升级兵营就能&lt;color=#FFCC71&gt;训练2级士兵&lt;/color&gt;。</t>
  </si>
  <si>
    <t>DialogueConf_55609_textList_CN_Main</t>
  </si>
  <si>
    <t>&lt;color=#FFCC71&gt;双英雄和高级兵种&lt;/color&gt;将大大提升我们的实力，您可以轻松开拓更多领土。</t>
  </si>
  <si>
    <t>DialogueConf_55701_textList_CN_Main</t>
  </si>
  <si>
    <t>大规模&lt;color=#FFCC71&gt;战斗会有很多士兵受伤&lt;/color&gt;，我们必须要有足够的&lt;color=#FFCC71&gt;治疗房舍&lt;/color&gt;，请大人升级一些&lt;color=#FFCC71&gt;治疗房舍&lt;/color&gt;。</t>
  </si>
  <si>
    <t>DialogueConf_55702_textList_CN_Main</t>
  </si>
  <si>
    <t>英雄有着常人所不具备的技能，英雄达到一定等级可以&lt;color=#FFCC71&gt;通过学习更换新技能&lt;/color&gt;。</t>
  </si>
  <si>
    <t>DialogueConf_55704_textList_CN_Main</t>
  </si>
  <si>
    <t>您可从邮件中的&lt;color=#FFCC71&gt;侦察报告&lt;/color&gt;获知敌情，使用相应&lt;color=#FFCC71&gt;兵种克制&lt;/color&gt;，更加容易胜利。</t>
  </si>
  <si>
    <t>DialogueConf_55801_textList_CN_Main</t>
  </si>
  <si>
    <t>中古时代的建设需要&lt;color=#FFCC71&gt;消耗大量石头&lt;/color&gt;资源，&lt;color=#FFCC71&gt;多造一些石矿场&lt;/color&gt;是准没错的。</t>
  </si>
  <si>
    <t>DialogueConf_55802_textList_CN_Main</t>
  </si>
  <si>
    <t>大人，请让村民去&lt;color=#FFCC71&gt;采集木材&lt;/color&gt;吧，充足的木材能够支持领地繁荣发展。</t>
  </si>
  <si>
    <t>DialogueConf_55803_textList_CN_Main</t>
  </si>
  <si>
    <t>帝国历史上有着光辉灿烂的英雄传说，通过&lt;color=#FFCC71&gt;【英雄远征】&lt;/color&gt;您可以在此体验不同英雄的精彩人生。</t>
  </si>
  <si>
    <t>DialogueConf_55901_textList_CN_Main</t>
  </si>
  <si>
    <t>快修建一个&lt;color=#FFCC71&gt;码头&lt;/color&gt;，把渔网撒出去，就能&lt;color=#FFCC71&gt;收获大量食物&lt;/color&gt;。</t>
  </si>
  <si>
    <t>DialogueConf_55902_textList_CN_Main</t>
  </si>
  <si>
    <t>当您所拥有的&lt;color=#FFCC71&gt;资源点数量接近上限&lt;/color&gt;时，可以&lt;color=#FFCC71&gt;放弃低等级的资源点&lt;/color&gt;。</t>
  </si>
  <si>
    <t>DialogueConf_55903_textList_CN_Main</t>
  </si>
  <si>
    <t>拥有大使馆可以让&lt;color=#FFCC71&gt;盟友帮忙加速建造&lt;/color&gt;，还能&lt;color=#FFCC71&gt;接受援军保护&lt;/color&gt;，大使馆等级越高越好。</t>
  </si>
  <si>
    <t>DialogueConf_56101_textList_CN_Main</t>
  </si>
  <si>
    <t>您可以在酒馆中招募各种人才，任命他们为&lt;color=#FFCC71&gt;内政官&lt;/color&gt;后，除了可以帮助您&lt;color=#FFCC71&gt;管理领地&lt;/color&gt;，还能&lt;color=#FFCC71&gt;外出探险&lt;/color&gt;。</t>
  </si>
  <si>
    <t>DialogueConf_56103_textList_CN_Main</t>
  </si>
  <si>
    <t>除了内政管理外，&lt;color=#FFCC71&gt;内政官&lt;/color&gt;还可以外出探险，完成各种&lt;color=#FFCC71&gt;探险事件&lt;/color&gt;，获得内城发展所需的资源。</t>
  </si>
  <si>
    <t>DialogueConf_56201_textList_CN_Main</t>
  </si>
  <si>
    <t>英雄技能升级需要使用&lt;color=#FFCC71&gt;大量铜钱&lt;/color&gt;，请不要错过每天的&lt;color=#FFCC71&gt;征税&lt;/color&gt;！</t>
  </si>
  <si>
    <t>DialogueConf_56202_textList_CN_Main</t>
  </si>
  <si>
    <t>大人，派驻强力&lt;color=#FFCC71&gt;英雄守卫城墙&lt;/color&gt;，能有效地震慑敌人。</t>
  </si>
  <si>
    <t>DialogueConf_56301_textList_CN_Main</t>
  </si>
  <si>
    <t>时代升级后，可在编队中&lt;color=#FFCC71&gt;上阵第3名英雄&lt;/color&gt;，显著提升战斗力。</t>
  </si>
  <si>
    <t>DialogueConf_56302_textList_CN_Main</t>
  </si>
  <si>
    <t>进入&lt;color=#FFCC71&gt;启蒙时代&lt;/color&gt;后，高等级的建筑升级需要消耗黄金，因此我们需要在城外&lt;color=#FFCC71&gt;占领更多金矿&lt;/color&gt;。</t>
  </si>
  <si>
    <t>DialogueConf_56501_textList_CN_Main</t>
  </si>
  <si>
    <t>黄金是非常宝贵的战略资源，在城内&lt;color=#FFCC71&gt;建造金矿场&lt;/color&gt;，才能更快发展领地。</t>
  </si>
  <si>
    <t>DialogueConf_56601_textList_CN_Main</t>
  </si>
  <si>
    <t>在城堡可以&lt;color=#FFCC71&gt;训练特色兵种&lt;/color&gt;，&lt;color=#FFCC71&gt;升级各种军事设施&lt;/color&gt;，提升战斗力！</t>
  </si>
  <si>
    <t>DialogueConf_56602_textList_CN_Main</t>
  </si>
  <si>
    <t>城墙可以帮助我们更好地&lt;color=#FFCC71&gt;守护城池&lt;/color&gt;，领主大人，快去&lt;color=#FFCC71&gt;提升一下城墙等级&lt;/color&gt;。</t>
  </si>
  <si>
    <t>DialogueConf_56701_textList_CN_Main</t>
  </si>
  <si>
    <t>有了&lt;color=#FFCC71&gt;战争大厅&lt;/color&gt;，就能和盟友们一起&lt;color=#FFCC71&gt;组队攻城&lt;/color&gt;了，这将为我们带来巨大战略优势。</t>
  </si>
  <si>
    <t>DialogueConf_60001_textList_CN_Main</t>
  </si>
  <si>
    <t>&lt;color=#FFCC71&gt;君临……陷落了&lt;/color&gt;，但幸好，你还在。
只要这面旗帜依旧屹立，希望就会存续。</t>
  </si>
  <si>
    <t>DialogueConf_60001_textList_571920976247_CN_Main</t>
  </si>
  <si>
    <t>不过眼下都得&lt;color=#FFCC71&gt;重新开始&lt;/color&gt;咯，我跟着大家就好了。
都别苦着个脸嘛！咱们接下来去哪儿？</t>
  </si>
  <si>
    <t>DialogueConf_60001_textList_594528838364_CN_Main</t>
  </si>
  <si>
    <t>重回故土，还是&lt;color=#FFCC71&gt;另觅他地&lt;/color&gt;？
……不管最终选择如何，尊敬的领主，我将&lt;color=#FFCC71&gt;始终与您同行&lt;/color&gt;。</t>
  </si>
  <si>
    <t>DialogueConf_60001_textList_982985090452_CN_Main</t>
  </si>
  <si>
    <t>DialogueConf_60002_textList_CN_Main</t>
  </si>
  <si>
    <t>呼……那决定好了的话，就&lt;color=#FFCC71&gt;一起出发&lt;/color&gt;吧！
接下来的路，还有很长呢。</t>
  </si>
  <si>
    <t>DialogueConf_60003_textList_CN_Main</t>
  </si>
  <si>
    <t>没想到，帝国现在这种情况，他们竟然还会认同我这个公主……
我以印信&lt;color=#FFCC71&gt;签发了政令&lt;/color&gt;，这块土地，以后就是&lt;color=#FFCC71&gt;我们的领土&lt;/color&gt;了。</t>
  </si>
  <si>
    <t>DialogueConf_60101_textList_CN_Main</t>
  </si>
  <si>
    <t>我回来啦！
刚在周边溜达了一圈，简要写了一份&lt;color=#FFCC71&gt;侦察战报&lt;/color&gt;，大家一起看看？</t>
  </si>
  <si>
    <t>DialogueConf_60101_textList_462827576046_CN_Main</t>
  </si>
  <si>
    <t>我看看……这份情报，唔……？
&lt;color=#FFCC71&gt;资源分布&lt;/color&gt;倒是没什么问题，不过怎么会有这么多的&lt;color=#FFCC71&gt;乱兵和蛮族&lt;/color&gt;？</t>
  </si>
  <si>
    <t>DialogueConf_60101_textList_651635741045_CN_Main</t>
  </si>
  <si>
    <t>咦？也对哦，这里的总督我之前听说过，还挺精明强势的。
按理说……他的治理下&lt;color=#FFCC71&gt;不该这么乱&lt;/color&gt;啊。</t>
  </si>
  <si>
    <t>DialogueConf_60101_textList_481341447237_CN_Main</t>
  </si>
  <si>
    <t>看来这里&lt;color=#FFCC71&gt;发生了一些&lt;/color&gt;我们不知道的&lt;color=#FFCC71&gt;事情&lt;/color&gt;。
先潜心发展吧，小心为上。</t>
  </si>
  <si>
    <t>DialogueConf_60201_textList_CN_Main</t>
  </si>
  <si>
    <t>不好了大人，我们的&lt;color=#FFCC71&gt;辎重队伍被袭击&lt;/color&gt;了！
士兵、马夫、还有随行的家眷……&lt;color=#FFCC71&gt;全部阵亡&lt;/color&gt;，一个都没能逃出来。</t>
  </si>
  <si>
    <t>DialogueConf_60201_textList_23756267412_CN_Main</t>
  </si>
  <si>
    <t>这行事风格，&lt;color=#FFCC71&gt;一定是蛮族&lt;/color&gt;……只有那帮没有人性的东西，才会连手无寸铁的&lt;color=#FFCC71&gt;平民都不放过&lt;/color&gt;！</t>
  </si>
  <si>
    <t>DialogueConf_60201_textList_323636333013_CN_Main</t>
  </si>
  <si>
    <t>请&lt;color=#FFCC71&gt;下令清剿&lt;/color&gt;吧大人！我以帝国公主之名立誓，一定会为那些可怜的人&lt;color=#FFCC71&gt;报仇&lt;/color&gt;，血债，必须以血来偿！</t>
  </si>
  <si>
    <t>DialogueConf_60301_textList_CN_Main</t>
  </si>
  <si>
    <t>……咳咳……对不起，我、我让大家失望了……&lt;color=#FFCC71&gt;那些蛮族&lt;/color&gt;，&lt;color=#FFCC71&gt;很不一样&lt;/color&gt;……虽然军备简陋，但他们的意志却十分顽强……</t>
  </si>
  <si>
    <t>DialogueConf_60301_textList_218107703257_CN_Main</t>
  </si>
  <si>
    <t>安德莉娅你在说什么胡话啊，这根本不是你的错！
&lt;color=#FFCC71&gt;那些蛮族&lt;/color&gt;甚至比帝国的精兵还强，这&lt;color=#FFCC71&gt;一点都不正常&lt;/color&gt;！</t>
  </si>
  <si>
    <t>DialogueConf_60301_textList_185340135806_CN_Main</t>
  </si>
  <si>
    <t>对不起……&lt;color=#FFCC71&gt;他们人很多&lt;/color&gt;，而且非常……疯狂……大家都……
都是我……对不起……</t>
  </si>
  <si>
    <t>DialogueConf_60301_textList_303977504037_CN_Main</t>
  </si>
  <si>
    <t>喂！不要丧气啊！现在还没到最严重的时候！
&lt;color=#FFCC71&gt;蛮族随时有可能会攻过来&lt;/color&gt;，战备先交给我，你好好休息一阵吧！</t>
  </si>
  <si>
    <t>DialogueConf_60401_textList_CN_Main</t>
  </si>
  <si>
    <t>报告大人！侦察到&lt;color=#FFCC71&gt;大量蛮族军团&lt;/color&gt;正在接近领地！</t>
  </si>
  <si>
    <t>DialogueConf_60401_textList_209841731320_CN_Main</t>
  </si>
  <si>
    <t>DialogueConf_60401_textList_1072964968331_CN_Main</t>
  </si>
  <si>
    <t>DialogueConf_60401_textList_432064660228_CN_Main</t>
  </si>
  <si>
    <t>没有其他办法了！若我的命运注定在此终结，也请让她在战场上消亡吧……大人，&lt;color=#FFCC71&gt;安德莉娅请战&lt;/color&gt;！</t>
  </si>
  <si>
    <t>DialogueConf_60401_textList_1031159423808_CN_Main</t>
  </si>
  <si>
    <t>……能被劝回来那就不是你了吧。
那就走吧，&lt;color=#FFCC71&gt;我跟你一起&lt;/color&gt;！</t>
  </si>
  <si>
    <t>DialogueConf_60402_textList_CN_Main</t>
  </si>
  <si>
    <t>DialogueConf_60402_textList_763575504246_CN_Main</t>
  </si>
  <si>
    <t>DialogueConf_60402_textList_695215296361_CN_Main</t>
  </si>
  <si>
    <t>我偶经此地，正在小酌，忽被告知&lt;color=#FFCC71&gt;将有战事&lt;/color&gt;。
早闻公主有伤在身，我想，&lt;color=#FFCC71&gt;诸位应该需要一些帮助&lt;/color&gt;。</t>
  </si>
  <si>
    <t>DialogueConf_60402_textList_139192335544_CN_Main</t>
  </si>
  <si>
    <t>DialogueConf_60402_name_558395943407_CN_Main</t>
  </si>
  <si>
    <t>DialogueConf_60402_textList_215435661141_CN_Main</t>
  </si>
  <si>
    <t>东洲李国，&lt;color=#FFCC71&gt;李白&lt;/color&gt;。</t>
  </si>
  <si>
    <t>DialogueConf_60501_textList_CN_Main</t>
  </si>
  <si>
    <t>早就听说过&lt;color=#FFCC71&gt;青莲先生&lt;/color&gt;诗剑双绝，今日多谢先生相助。
请恕我冒昧，我可以知道先生来此地是为了何事吗？</t>
  </si>
  <si>
    <t>DialogueConf_60501_textList_184775371417_CN_Main</t>
  </si>
  <si>
    <t>我游历天下，只为遍览&lt;color=#FFCC71&gt;各地奇迹&lt;/color&gt;之壮丽。
此地既有奇迹亦有美饮，我若不来，哈，那才是咄咄怪事。</t>
  </si>
  <si>
    <t>DialogueConf_60501_textList_658373046988_CN_Main</t>
  </si>
  <si>
    <t>&lt;color=#FFCC71&gt;奇迹&lt;/color&gt;？！我就知道！
莲花先生，那些&lt;color=#FFCC71&gt;蛮族&lt;/color&gt;是不是因为它才那么强？！</t>
  </si>
  <si>
    <t>DialogueConf_60501_textList_1075717612217_CN_Main</t>
  </si>
  <si>
    <t>然也，&lt;color=#FFCC71&gt;奇迹&lt;/color&gt;是穷极人力、极尽巧思，应时而起的壮丽建筑。
它形构华美，而且承天之运，能&lt;color=#FFCC71&gt;鼓舞士气提振军威&lt;/color&gt;。</t>
  </si>
  <si>
    <t>DialogueConf_60501_textList_1073372463755_CN_Main</t>
  </si>
  <si>
    <t>不过目前占据彼处的&lt;color=#FFCC71&gt;蛮胡已除&lt;/color&gt;，&lt;color=#FFCC71&gt;奇迹之地也重归和平&lt;/color&gt;，也是我该&lt;color=#FFCC71&gt;告别&lt;/color&gt;的时候了。</t>
  </si>
  <si>
    <t>DialogueConf_60501_textList_807084423762_CN_Main</t>
  </si>
  <si>
    <t>再次多谢先生，不过，&lt;color=#FFCC71&gt;青莲先生&lt;/color&gt;可以&lt;color=#FFCC71&gt;多留几日&lt;/color&gt;吗？
用东洲的话说——让我们可以一尽地主之谊。</t>
  </si>
  <si>
    <t>DialogueConf_60601_textList_CN_Main</t>
  </si>
  <si>
    <t>&lt;color=#FFCC71&gt;青莲先生还是离开了……&lt;/color&gt;也是，像他这种乘风而舞的鹏鸟，注定如同极天之云，根本不会长久留在同一个地方。</t>
  </si>
  <si>
    <t>DialogueConf_60601_textList_939880398251_CN_Main</t>
  </si>
  <si>
    <t>别想啦，等我们&lt;color=#FFCC71&gt;领地建设&lt;/color&gt;好了，什么李白呀李黑呀……会有越来越多的人自己过来的！有句话怎么说的来着……桃子不说话，下面有小溪？</t>
  </si>
  <si>
    <t>DialogueConf_60601_textList_601978283905_CN_Main</t>
  </si>
  <si>
    <t>是“桃李不言，下自成蹊”啦……不过魏兰说的对，目前&lt;color=#FFCC71&gt;领地发展&lt;/color&gt;已经步入正轨，以后肯定会有更多的&lt;color=#FFCC71&gt;贤才加入&lt;/color&gt;我们。</t>
  </si>
  <si>
    <t>DialogueConf_60601_textList_825600163726_CN_Main</t>
  </si>
  <si>
    <t>DialogueConf_210001_name_499962613841_CN_Main</t>
  </si>
  <si>
    <t>DialogueConf_210001_textList_CN_Main</t>
  </si>
  <si>
    <t>DialogueConf_210001_name_234552473703_CN_Main</t>
  </si>
  <si>
    <t>DialogueConf_210001_textList_51575630724_CN_Main</t>
  </si>
  <si>
    <t>DialogueConf_210001_textList_20492016517_CN_Main</t>
  </si>
  <si>
    <t>DialogueConf_210002_name_CN_Main</t>
  </si>
  <si>
    <t>DialogueConf_210002_textList_CN_Main</t>
  </si>
  <si>
    <t>DialogueConf_210005_name_CN_Main</t>
  </si>
  <si>
    <t>DialogueConf_210005_textList_CN_Main</t>
  </si>
  <si>
    <t>DialogueConf_210006_textList_CN_Main</t>
  </si>
  <si>
    <t>DialogueConf_210006_textList_824716304906_CN_Main</t>
  </si>
  <si>
    <t>DialogueConf_210006_textList_472221291908_CN_Main</t>
  </si>
  <si>
    <t>DialogueConf_210009_textList_CN_Main</t>
  </si>
  <si>
    <t>DialogueConf_210013_name_CN_Main</t>
  </si>
  <si>
    <t>DialogueConf_210013_textList_CN_Main</t>
  </si>
  <si>
    <t>DialogueConf_210015_textList_CN_Main</t>
  </si>
  <si>
    <t>DialogueConf_210017_name_CN_Main</t>
  </si>
  <si>
    <t>DialogueConf_210017_textList_CN_Main</t>
  </si>
  <si>
    <t>DialogueConf_210017_name_20320866507_CN_Main</t>
  </si>
  <si>
    <t>DialogueConf_210017_textList_334792427960_CN_Main</t>
  </si>
  <si>
    <t>DialogueConf_210018_name_CN_Main</t>
  </si>
  <si>
    <t>DialogueConf_210018_textList_CN_Main</t>
  </si>
  <si>
    <t>DialogueConf_210022_name_822873610193_CN_Main</t>
  </si>
  <si>
    <t>DialogueConf_210022_textList_CN_Main</t>
  </si>
  <si>
    <t>DialogueConf_210022_textList_694306972272_CN_Main</t>
  </si>
  <si>
    <t>DialogueConf_210022_textList_74112133513_CN_Main</t>
  </si>
  <si>
    <t>DialogueConf_210022_textList_760989499183_CN_Main</t>
  </si>
  <si>
    <t>DialogueConf_210024_name_CN_Main</t>
  </si>
  <si>
    <t>DialogueConf_210024_textList_CN_Main</t>
  </si>
  <si>
    <t>DialogueConf_210024_textList_608751173099_CN_Main</t>
  </si>
  <si>
    <t>DialogueConf_210025_textList_CN_Main</t>
  </si>
  <si>
    <t>DialogueConf_210025_textList_899930889148_CN_Main</t>
  </si>
  <si>
    <t>DialogueConf_210025_textList_878703469444_CN_Main</t>
  </si>
  <si>
    <t>DialogueConf_210026_textList_CN_Main</t>
  </si>
  <si>
    <t>DialogueConf_210026_textList_494819418510_CN_Main</t>
  </si>
  <si>
    <t>DialogueConf_210027_textList_CN_Main</t>
  </si>
  <si>
    <t>DialogueConf_210028_textList_CN_Main</t>
  </si>
  <si>
    <t>DialogueConf_210028_textList_301607467231_CN_Main</t>
  </si>
  <si>
    <t>DialogueConf_220001_name_CN_Main</t>
  </si>
  <si>
    <t>DialogueConf_220001_textList_CN_Main</t>
  </si>
  <si>
    <t>DialogueConf_220001_textList_358701263368_CN_Main</t>
  </si>
  <si>
    <t>DialogueConf_220002_name_CN_Main</t>
  </si>
  <si>
    <t>DialogueConf_220002_textList_CN_Main</t>
  </si>
  <si>
    <t>DialogueConf_220003_textList_CN_Main</t>
  </si>
  <si>
    <t>DialogueConf_220003_textList_537208865301_CN_Main</t>
  </si>
  <si>
    <t>DialogueConf_220004_textList_CN_Main</t>
  </si>
  <si>
    <t>DialogueConf_220004_textList_216110414877_CN_Main</t>
  </si>
  <si>
    <t>DialogueConf_220005_textList_CN_Main</t>
  </si>
  <si>
    <t>DialogueConf_220005_textList_284979199703_CN_Main</t>
  </si>
  <si>
    <t>DialogueConf_220006_textList_CN_Main</t>
  </si>
  <si>
    <t>DialogueConf_220007_textList_CN_Main</t>
  </si>
  <si>
    <t>DialogueConf_220008_textList_CN_Main</t>
  </si>
  <si>
    <t>DialogueConf_220009_textList_CN_Main</t>
  </si>
  <si>
    <t>DialogueConf_220010_textList_CN_Main</t>
  </si>
  <si>
    <t>DialogueConf_220011_textList_CN_Main</t>
  </si>
  <si>
    <t>DialogueConf_220012_textList_CN_Main</t>
  </si>
  <si>
    <t>DialogueConf_220013_textList_CN_Main</t>
  </si>
  <si>
    <t>DialogueConf_220013_textList_557191133394_CN_Main</t>
  </si>
  <si>
    <t>DialogueConf_220014_textList_CN_Main</t>
  </si>
  <si>
    <t>DialogueConf_220015_name_CN_Main</t>
  </si>
  <si>
    <t>DialogueConf_220015_textList_CN_Main</t>
  </si>
  <si>
    <t>DialogueConf_220015_textList_219293393979_CN_Main</t>
  </si>
  <si>
    <t>DialogueConf_220017_textList_CN_Main</t>
  </si>
  <si>
    <t>DialogueConf_220018_textList_CN_Main</t>
  </si>
  <si>
    <t>DialogueConf_220019_textList_CN_Main</t>
  </si>
  <si>
    <t>DialogueConf_220020_textList_CN_Main</t>
  </si>
  <si>
    <t>DialogueConf_220021_textList_CN_Main</t>
  </si>
  <si>
    <t>DialogueConf_220022_textList_CN_Main</t>
  </si>
  <si>
    <t>DialogueConf_220023_textList_CN_Main</t>
  </si>
  <si>
    <t>DialogueConf_220024_textList_CN_Main</t>
  </si>
  <si>
    <t>DialogueConf_220025_textList_CN_Main</t>
  </si>
  <si>
    <t>DialogueConf_220026_textList_CN_Main</t>
  </si>
  <si>
    <t>DialogueConf_220027_name_CN_Main</t>
  </si>
  <si>
    <t>DialogueConf_220027_textList_CN_Main</t>
  </si>
  <si>
    <t>DialogueConf_230001_name_CN_Main</t>
  </si>
  <si>
    <t>DialogueConf_230001_textList_CN_Main</t>
  </si>
  <si>
    <t>DialogueConf_230002_textList_CN_Main</t>
  </si>
  <si>
    <t>DialogueConf_230003_textList_CN_Main</t>
  </si>
  <si>
    <t>若是我们向敌军“借粮”，他们借是不借？</t>
  </si>
  <si>
    <t>DialogueConf_230004_textList_CN_Main</t>
  </si>
  <si>
    <t>DialogueConf_230005_textList_CN_Main</t>
  </si>
  <si>
    <t>DialogueConf_230006_textList_CN_Main</t>
  </si>
  <si>
    <t>DialogueConf_230007_textList_CN_Main</t>
  </si>
  <si>
    <t>DialogueConf_230007_name_772287549395_CN_Main</t>
  </si>
  <si>
    <t>DialogueConf_230007_textList_603880802309_CN_Main</t>
  </si>
  <si>
    <t>DialogueConf_230007_textList_1066687314398_CN_Main</t>
  </si>
  <si>
    <t>DialogueConf_230007_textList_1097974414160_CN_Main</t>
  </si>
  <si>
    <t>差点忘了说了，那些资源点该拿下的全部拿了，以备不时之需。</t>
  </si>
  <si>
    <t>DialogueConf_230009_textList_CN_Main</t>
  </si>
  <si>
    <t>DialogueConf_230009_textList_76269841260_CN_Main</t>
  </si>
  <si>
    <t>DialogueConf_230009_textList_857674437602_CN_Main</t>
  </si>
  <si>
    <t>DialogueConf_230010_name_CN_Main</t>
  </si>
  <si>
    <t>DialogueConf_230010_textList_CN_Main</t>
  </si>
  <si>
    <t>DialogueConf_230010_textList_368229574077_CN_Main</t>
  </si>
  <si>
    <t>杂牌队伍？嘿，遇上我算你倒霉了。</t>
  </si>
  <si>
    <t>DialogueConf_230013_textList_CN_Main</t>
  </si>
  <si>
    <t>DialogueConf_230013_textList_176180889544_CN_Main</t>
  </si>
  <si>
    <t>DialogueConf_230015_textList_CN_Main</t>
  </si>
  <si>
    <t>这厮的确不简单，我军损失惨重，急需休整。</t>
  </si>
  <si>
    <t>DialogueConf_230015_textList_875375218103_CN_Main</t>
  </si>
  <si>
    <t>DialogueConf_230016_textList_CN_Main</t>
  </si>
  <si>
    <t>DialogueConf_230017_name_CN_Main</t>
  </si>
  <si>
    <t>DialogueConf_230017_textList_CN_Main</t>
  </si>
  <si>
    <t>DialogueConf_230018_textList_CN_Main</t>
  </si>
  <si>
    <t>DialogueConf_230018_textList_972650260457_CN_Main</t>
  </si>
  <si>
    <t>敌军在派遣增援，兄弟们不要懈怠！</t>
  </si>
  <si>
    <t>DialogueConf_230019_name_CN_Main</t>
  </si>
  <si>
    <t>DialogueConf_230019_textList_CN_Main</t>
  </si>
  <si>
    <t>DialogueConf_230019_textList_17146332243_CN_Main</t>
  </si>
  <si>
    <t>DialogueConf_230020_textList_CN_Main</t>
  </si>
  <si>
    <t>DialogueConf_230020_textList_696695989583_CN_Main</t>
  </si>
  <si>
    <t>DialogueConf_230021_name_CN_Main</t>
  </si>
  <si>
    <t>DialogueConf_230021_textList_CN_Main</t>
  </si>
  <si>
    <t>DialogueConf_230021_textList_427812183466_CN_Main</t>
  </si>
  <si>
    <t>DialogueConf_230022_textList_CN_Main</t>
  </si>
  <si>
    <t>DialogueConf_230022_textList_1053223392331_CN_Main</t>
  </si>
  <si>
    <t>DialogueConf_230023_textList_CN_Main</t>
  </si>
  <si>
    <t>DialogueConf_230023_textList_640939381692_CN_Main</t>
  </si>
  <si>
    <t>DialogueConf_230024_textList_CN_Main</t>
  </si>
  <si>
    <t>很好，两个补给营地都拿下了，是时候决一胜负了！</t>
  </si>
  <si>
    <t>DialogueConf_230025_textList_CN_Main</t>
  </si>
  <si>
    <t>你！你！啊！</t>
  </si>
  <si>
    <t>DialogueConf_240001_name_CN_Main</t>
  </si>
  <si>
    <t>DialogueConf_240001_textList_CN_Main</t>
  </si>
  <si>
    <t>DialogueConf_240002_textList_CN_Main</t>
  </si>
  <si>
    <t>DialogueConf_240003_textList_CN_Main</t>
  </si>
  <si>
    <t>DialogueConf_240003_textList_95362994060_CN_Main</t>
  </si>
  <si>
    <t>DialogueConf_240004_name_CN_Main</t>
  </si>
  <si>
    <t>刘沛军</t>
  </si>
  <si>
    <t>DialogueConf_240004_textList_CN_Main</t>
  </si>
  <si>
    <t>DialogueConf_240004_textList_963729218342_CN_Main</t>
  </si>
  <si>
    <t>DialogueConf_240004_textList_884100250883_CN_Main</t>
  </si>
  <si>
    <t>DialogueConf_240005_textList_CN_Main</t>
  </si>
  <si>
    <t>DialogueConf_240005_textList_684701075897_CN_Main</t>
  </si>
  <si>
    <t>DialogueConf_240006_textList_CN_Main</t>
  </si>
  <si>
    <t>DialogueConf_240006_textList_297181996612_CN_Main</t>
  </si>
  <si>
    <t>DialogueConf_240007_textList_CN_Main</t>
  </si>
  <si>
    <t>DialogueConf_240008_textList_CN_Main</t>
  </si>
  <si>
    <t>DialogueConf_240008_textList_726821187773_CN_Main</t>
  </si>
  <si>
    <t>DialogueConf_240009_textList_CN_Main</t>
  </si>
  <si>
    <t>DialogueConf_240010_textList_CN_Main</t>
  </si>
  <si>
    <t>DialogueConf_240010_textList_519031262781_CN_Main</t>
  </si>
  <si>
    <t>DialogueConf_240011_textList_CN_Main</t>
  </si>
  <si>
    <t>DialogueConf_240012_textList_CN_Main</t>
  </si>
  <si>
    <t>DialogueConf_250001_textList_CN_Main</t>
  </si>
  <si>
    <t>DialogueConf_250002_textList_CN_Main</t>
  </si>
  <si>
    <t>DialogueConf_250003_textList_CN_Main</t>
  </si>
  <si>
    <t>DialogueConf_250003_textList_439920407837_CN_Main</t>
  </si>
  <si>
    <t>DialogueConf_250004_textList_CN_Main</t>
  </si>
  <si>
    <t>DialogueConf_250005_textList_CN_Main</t>
  </si>
  <si>
    <t>DialogueConf_250005_name_738490450945_CN_Main</t>
  </si>
  <si>
    <t>运粮队伍</t>
  </si>
  <si>
    <t>DialogueConf_250005_textList_724642329514_CN_Main</t>
  </si>
  <si>
    <t>DialogueConf_250006_textList_CN_Main</t>
  </si>
  <si>
    <t>DialogueConf_250007_textList_CN_Main</t>
  </si>
  <si>
    <t>DialogueConf_250007_textList_886694157191_CN_Main</t>
  </si>
  <si>
    <t>DialogueConf_250008_textList_CN_Main</t>
  </si>
  <si>
    <t>DialogueConf_250008_textList_233621395980_CN_Main</t>
  </si>
  <si>
    <t>DialogueConf_250009_textList_CN_Main</t>
  </si>
  <si>
    <t>DialogueConf_250010_name_CN_Main</t>
  </si>
  <si>
    <t>友军</t>
  </si>
  <si>
    <t>DialogueConf_250010_textList_CN_Main</t>
  </si>
  <si>
    <t>DialogueConf_250010_textList_1044156296494_CN_Main</t>
  </si>
  <si>
    <t>DialogueConf_250010_textList_544248260565_CN_Main</t>
  </si>
  <si>
    <t>DialogueConf_250011_textList_CN_Main</t>
  </si>
  <si>
    <t>DialogueConf_250011_textList_668565034724_CN_Main</t>
  </si>
  <si>
    <t>DialogueConf_250012_textList_CN_Main</t>
  </si>
  <si>
    <t>DialogueConf_250012_textList_61555402642_CN_Main</t>
  </si>
  <si>
    <t>DialogueConf_250013_textList_CN_Main</t>
  </si>
  <si>
    <t>DialogueConf_250014_textList_CN_Main</t>
  </si>
  <si>
    <t>DialogueConf_250014_textList_175034913455_CN_Main</t>
  </si>
  <si>
    <t>DialogueConf_250021_textList_CN_Main</t>
  </si>
  <si>
    <t>DialogueConf_250021_textList_955303001470_CN_Main</t>
  </si>
  <si>
    <t>DialogueConf_250015_textList_CN_Main</t>
  </si>
  <si>
    <t>DialogueConf_250015_textList_367467883689_CN_Main</t>
  </si>
  <si>
    <t>DialogueConf_250016_textList_CN_Main</t>
  </si>
  <si>
    <t>DialogueConf_250016_textList_964092783513_CN_Main</t>
  </si>
  <si>
    <t>DialogueConf_250018_textList_CN_Main</t>
  </si>
  <si>
    <t>DialogueConf_250018_textList_203385667092_CN_Main</t>
  </si>
  <si>
    <t>DialogueConf_250019_textList_CN_Main</t>
  </si>
  <si>
    <t>DialogueConf_250019_textList_682294374498_CN_Main</t>
  </si>
  <si>
    <t>DialogueConf_250020_textList_CN_Main</t>
  </si>
  <si>
    <t>DialogueConf_260001_name_536053893450_CN_Main</t>
  </si>
  <si>
    <t>DialogueConf_260001_textList_CN_Main</t>
  </si>
  <si>
    <t>DialogueConf_260001_textList_646391585912_CN_Main</t>
  </si>
  <si>
    <t>DialogueConf_260002_textList_CN_Main</t>
  </si>
  <si>
    <t>DialogueConf_260002_textList_837493694599_CN_Main</t>
  </si>
  <si>
    <t>DialogueConf_260003_textList_CN_Main</t>
  </si>
  <si>
    <t>精彩精彩，不枉我摆出这么大阵仗！我在大营，恭候！</t>
  </si>
  <si>
    <t>DialogueConf_260004_textList_CN_Main</t>
  </si>
  <si>
    <t>DialogueConf_260005_textList_CN_Main</t>
  </si>
  <si>
    <t>DialogueConf_260005_textList_711920151298_CN_Main</t>
  </si>
  <si>
    <t>DialogueConf_260006_textList_CN_Main</t>
  </si>
  <si>
    <t>DialogueConf_260007_textList_CN_Main</t>
  </si>
  <si>
    <t>DialogueConf_260007_textList_371896663971_CN_Main</t>
  </si>
  <si>
    <t>DialogueConf_260008_textList_CN_Main</t>
  </si>
  <si>
    <t>DialogueConf_260009_textList_CN_Main</t>
  </si>
  <si>
    <t>DialogueConf_260009_textList_397610958263_CN_Main</t>
  </si>
  <si>
    <t>DialogueConf_260010_textList_CN_Main</t>
  </si>
  <si>
    <t>DialogueConf_260010_textList_141026542426_CN_Main</t>
  </si>
  <si>
    <t>我的时代永远都不会结束！</t>
  </si>
  <si>
    <t>DialogueConf_300001_name_CN_Main</t>
  </si>
  <si>
    <t>杂毛</t>
  </si>
  <si>
    <t>DialogueConf_300001_textList_CN_Main</t>
  </si>
  <si>
    <t>我也有帮手，见识下我们的厉害！</t>
  </si>
  <si>
    <t>DialogueConf_300002_textList_CN_Main</t>
  </si>
  <si>
    <t>大人！我们的友军被敌人围困，危在旦夕，请火速派兵前往救援！</t>
  </si>
  <si>
    <t>DialogueConf_300003_textList_CN_Main</t>
  </si>
  <si>
    <t>大人小心，敌人盯上了我们的投石车，那可是我们攻城的核心力量，千万不能有失！</t>
  </si>
  <si>
    <t>DialogueConf_300004_textList_CN_Main</t>
  </si>
  <si>
    <t>目标在城池的最深处，有强大的巡逻军队护卫，大人我们不要节外生枝，避开他们，直击目标！</t>
  </si>
  <si>
    <t>DialogueConf_300005_textList_CN_Main</t>
  </si>
  <si>
    <t>这次护送行动极为重要，大人切记，友军的安全才是第一位。</t>
  </si>
  <si>
    <t>DialogueConf_300006_textList_CN_Main</t>
  </si>
  <si>
    <t>想要过关，先和我较量较量！</t>
  </si>
  <si>
    <t>DialogueConf_300007_textList_CN_Main</t>
  </si>
  <si>
    <t>消灭目标！其他的不要管！</t>
  </si>
  <si>
    <t>DialogueConf_300008_textList_CN_Main</t>
  </si>
  <si>
    <t>围上！一个都不要放过！</t>
  </si>
  <si>
    <t>DialogueConf_300009_textList_CN_Main</t>
  </si>
  <si>
    <t>今日，你们合该葬身于此！上！</t>
  </si>
  <si>
    <t>DialogueConf_300010_textList_CN_Main</t>
  </si>
  <si>
    <t>大人！城池内外我们的两支部队皆已就位，内外交击攻破城门吧，胜利终将属于我们！</t>
  </si>
  <si>
    <t>DialogueConf_300011_textList_CN_Main</t>
  </si>
  <si>
    <t>三面的敌军都围上来了！大人，准备好让他们见识一下我们的实力了吗？！</t>
  </si>
  <si>
    <t>DialogueConf_300012_textList_CN_Main</t>
  </si>
  <si>
    <t>敌军的包围网逐渐成型了，大人，我们不能坐以待毙，分而化之，逐个击破吧！</t>
  </si>
  <si>
    <t>DialogueConf_300013_textList_CN_Main</t>
  </si>
  <si>
    <t>看来我们的行踪暴露了，大家小心！</t>
  </si>
  <si>
    <t>DialogueConf_300014_textList_CN_Main</t>
  </si>
  <si>
    <t>幸亏有你在……我们继续前进！</t>
  </si>
  <si>
    <t>DialogueConf_300015_textList_CN_Main</t>
  </si>
  <si>
    <t>我也是有主将技的，吃我一记霸王降世！</t>
  </si>
  <si>
    <t>DialogueConf_300016_textList_CN_Main</t>
  </si>
  <si>
    <t>若能跟上它的速度，那就来击败我吧！</t>
  </si>
  <si>
    <t>DialogueConf_300017_textList_CN_Main</t>
  </si>
  <si>
    <t>乌星！风驰电掣！</t>
  </si>
  <si>
    <t>DialogueConf_300018_textList_CN_Main</t>
  </si>
  <si>
    <t>你终于来到了第100层，享受这最后一战吧！</t>
  </si>
  <si>
    <t>DialogueConf_300019_textList_CN_Main</t>
  </si>
  <si>
    <t>铁蹄纵横之处，皆为我的领地！</t>
  </si>
  <si>
    <t>DialogueConf_300020_textList_CN_Main</t>
  </si>
  <si>
    <t>云龙骧！剿灭他们，一个不留！</t>
  </si>
  <si>
    <t>DialogueConf_300021_textList_CN_Main</t>
  </si>
  <si>
    <t>不要节外生枝，大人，我们最好绕过他们，低调行动。</t>
  </si>
  <si>
    <t>DialogueConf_300022_textList_CN_Main</t>
  </si>
  <si>
    <t>大人，敌军正在攻击我方城门！请速速击破敌军攻城小队，尽力守住我们的城池！</t>
  </si>
  <si>
    <t>DialogueConf_500001_textList_CN_Main</t>
  </si>
  <si>
    <t>DialogueConf_500002_textList_CN_Main</t>
  </si>
  <si>
    <t>DialogueConf_500003_textList_CN_Main</t>
  </si>
  <si>
    <t>DialogueConf_500004_textList_CN_Main</t>
  </si>
  <si>
    <t>DialogueConf_500011_textList_CN_Main</t>
  </si>
  <si>
    <t>DialogueConf_500012_textList_CN_Main</t>
  </si>
  <si>
    <t>DialogueConf_500013_textList_CN_Main</t>
  </si>
  <si>
    <t>DialogueConf_500014_textList_CN_Main</t>
  </si>
  <si>
    <t>DialogueConf_510001_textList_CN_Main</t>
  </si>
  <si>
    <t>帝国先贤曾说过：“对于不屈不挠的人来说，永远没有失败。”来吧，领主大人！不要灰心，您可是帝国崩于前而面不改色的人。让我们调整策略，再试一次吧！</t>
  </si>
  <si>
    <t>DialogueConf_510002_textList_CN_Main</t>
  </si>
  <si>
    <t>DialogueConf_600001_name_CN_Main</t>
  </si>
  <si>
    <t>蛮族援军</t>
  </si>
  <si>
    <t>DialogueConf_600001_textList_CN_Main</t>
  </si>
  <si>
    <t>DialogueConf_710001_textList_CN_Main</t>
  </si>
  <si>
    <t>不行哦大人，英雄的&lt;color=#FFCC71&gt;战斗风格&lt;/color&gt;和&lt;color=#FFCC71&gt;兵种特性&lt;/color&gt;没有完全统一，就这样出征对阵强敌的话……是没有办法发挥出最大实力的。</t>
  </si>
  <si>
    <t>DialogueConf_710002_textList_CN_Main</t>
  </si>
  <si>
    <t>大人，对英雄而言，除了&lt;color=#FFCC71&gt;自身的等级&lt;/color&gt;，&lt;color=#FFCC71&gt;技能等级&lt;/color&gt;、&lt;color=#FFCC71&gt;天赋和基础属性&lt;/color&gt;同样也会极大影响他们的实力。进行有难度的挑战前，请您一定要做好万全的准备，让英雄达到目前最好的状态。</t>
  </si>
  <si>
    <t>DialogueConf_710003_textList_CN_Main</t>
  </si>
  <si>
    <t>又一位新英雄加入，恭喜大人……您怎么了？唔，是在为新英雄的&lt;color=#FFCC71&gt;等级过低&lt;/color&gt;而烦恼吗？不如让&lt;color=#FFCC71&gt;高等级英雄带领新英雄&lt;/color&gt;攻打高级蛮族试试，这样可以让新英雄成长得更快呢。</t>
  </si>
  <si>
    <t>DialogueConf_710004_textList_CN_Main</t>
  </si>
  <si>
    <t>大人，资源是领地快速发展不可或缺的一环，在我们当前的阶段，&lt;color=#FFCC71&gt;木材&lt;/color&gt;更是不可或缺。但&lt;color=#FFCC71&gt;木材&lt;/color&gt;&lt;color=#FFCC71&gt;只有&lt;/color&gt;&lt;color=#FFCC71&gt;木材&lt;/color&gt;资源点才能&lt;color=#FFCC71&gt;产出&lt;/color&gt;……去占领更多&lt;color=#FFCC71&gt;木材&lt;/color&gt;资源点吧，这样我们的发展才会更快。</t>
  </si>
  <si>
    <t>DialogueConf_710005_textList_CN_Main</t>
  </si>
  <si>
    <t>正如之前所说，大人，我们必须时刻关注我们的资源产出，但是在这一阶段，&lt;color=#FFCC71&gt;石头&lt;/color&gt;会更加重要哦。关注并占领更多的&lt;color=#FFCC71&gt;石头&lt;/color&gt;资源点吧，把&lt;color=#FFCC71&gt;发展效率&lt;/color&gt;提升起来。</t>
  </si>
  <si>
    <t>DialogueConf_710006_textList_CN_Main</t>
  </si>
  <si>
    <t>士兵的训练不仅包括数量，还包括&lt;color=#FFCC71&gt;等级&lt;/color&gt;，这关乎士兵的&lt;color=#FFCC71&gt;战斗力&lt;/color&gt;和整体素质。高级兵种组成的军队会更加强大，大人千万别忘了及时升级兵营。</t>
  </si>
  <si>
    <t>DialogueConf_710007_textList_CN_Main</t>
  </si>
  <si>
    <t>兴兵打仗不是一个人两个人的事，是千千万万人的事，人越多，自身的实力也就越强。大人出征时切记仔细核验，&lt;color=#FFCC71&gt;兵员满编&lt;/color&gt;后行军胜算才会更高。</t>
  </si>
  <si>
    <t>DialogueConf_710008_textList_CN_Main</t>
  </si>
  <si>
    <t>兵法有说过，兵贵精而不贵多。如今我看大人的&lt;color=#FFCC71&gt;食物也较为紧缺&lt;/color&gt;，为了避免被拖垮，我们还是优先&lt;color=#FFCC71&gt;集中发展两支&lt;/color&gt;队伍，这样才是上策。</t>
  </si>
  <si>
    <t>DialogueConf_710009_textList_CN_Main</t>
  </si>
  <si>
    <t>目前帝国的局势愈发动荡，大人手下也可以招募更多的兵员……但这一切都需要依靠&lt;color=#FFCC71&gt;充足的粮食&lt;/color&gt;，还请大人多关注并占领一些&lt;color=#FFCC71&gt;食物资源点&lt;/color&gt;，努力壮大我们的队伍，这样才能在乱世中博得一席之地。</t>
  </si>
  <si>
    <t>DialogueConf_710010_textList_CN_Main</t>
  </si>
  <si>
    <t>大人找不到新的合适资源点了吗？我听说东洲有句古话叫作登高而望远，&lt;color=#FFCC71&gt;拉高视野&lt;/color&gt;可以在地图上找到更多的选择。&lt;color=#FFCC71&gt;资源点的等级和城市的等级成正比&lt;/color&gt;，大人不妨迁城至高级城附近再试试搜索。</t>
  </si>
  <si>
    <t>DialogueConf_710011_textList_CN_Main</t>
  </si>
  <si>
    <t>我记得兵法里说，靡费巨资强启收益不多的战斗，即使胜利了也算作失败。多队同时进攻一支蛮族就是如此，这样会导致&lt;color=#FFCC71&gt;经验被分薄&lt;/color&gt;，每份体力获得的收益会大大减少，不如只用一队去打&lt;color=#FFCC71&gt;等级较低&lt;/color&gt;的蛮族哦。</t>
  </si>
  <si>
    <t>DialogueConf_710012_textList_CN_Main</t>
  </si>
  <si>
    <t>我刚刚清点了一下库存，看到有许多&lt;color=#FFCC71&gt;闲置的&lt;/color&gt;技能点，您是留着另有用处，还是说……单纯是忘了？&lt;color=#FFCC71&gt;高等级&lt;/color&gt;的英雄技能可以带来极大的战力提升，大人千万记得要&lt;color=#FFCC71&gt;及时升级&lt;/color&gt;。</t>
  </si>
  <si>
    <t>DialogueConf_710013_textList_CN_Main</t>
  </si>
  <si>
    <t>领地钱库里的铜币已经&lt;color=#FFCC71&gt;堆积成山&lt;/color&gt;了……大人，虽然储蓄是个好习惯，但铜币只有被使用才会有价值哦。若是用它来进行&lt;color=#FFCC71&gt;精锐招募&lt;/color&gt;，可以获得更多的&lt;color=#FFCC71&gt;技能点&lt;/color&gt;，想必大人的实力也能得到极大提升吧？</t>
  </si>
  <si>
    <t>DialogueConf_710102_textList_CN_Main</t>
  </si>
  <si>
    <t>大人，对英雄而言，除了&lt;color=#FFCC71&gt;自身等级&lt;/color&gt;，&lt;color=#FFCC71&gt;技能等级&lt;/color&gt;、&lt;color=#FFCC71&gt;天赋和基础属性&lt;/color&gt;同样也会极大影响他们的实力。进行有难度的挑战前，请您一定让英雄达到目前最好的状态。</t>
  </si>
  <si>
    <t>DialogueConf_710103_textList_CN_Main</t>
  </si>
  <si>
    <t>又一位新英雄加入，恭喜大人……不如让&lt;color=#FFCC71&gt;高等级英雄带领新英雄&lt;/color&gt;攻打高级蛮族试试，这样可以让新英雄成长得更快呢。</t>
  </si>
  <si>
    <t>DialogueConf_710104_textList_CN_Main</t>
  </si>
  <si>
    <t>大人，在我们当前的阶段，木材更是不可或缺……去&lt;color=#FFCC71&gt;占领更多木材资源点&lt;/color&gt;吧，这样我们的发展才会更快。</t>
  </si>
  <si>
    <t>DialogueConf_710105_textList_CN_Main</t>
  </si>
  <si>
    <t>大人，在这一阶段，石头会更加重要哦，关注并&lt;color=#FFCC71&gt;占领更多石头资源点&lt;/color&gt;吧，把发展效率提升起来。</t>
  </si>
  <si>
    <t>DialogueConf_710106_textList_CN_Main</t>
  </si>
  <si>
    <t>士兵的训练不仅包括数量，还包括等级，&lt;color=#FFCC71&gt;高级兵种&lt;/color&gt;组成的军队会更加强大，大人千万别忘了&lt;color=#FFCC71&gt;及时升级兵营&lt;/color&gt;。</t>
  </si>
  <si>
    <t>DialogueConf_710107_textList_CN_Main</t>
  </si>
  <si>
    <t>人越多，自身的实力也就越强，大人出征时切记仔细核验，&lt;color=#FFCC71&gt;满编后出征&lt;/color&gt;胜算才会更高。</t>
  </si>
  <si>
    <t>DialogueConf_710108_textList_CN_Main</t>
  </si>
  <si>
    <t>如今我看大人的&lt;color=#FFCC71&gt;食物也较为紧缺&lt;/color&gt;，我们还是优先&lt;color=#FFCC71&gt;集中发展两支部队&lt;/color&gt;，这样才是上策。</t>
  </si>
  <si>
    <t>DialogueConf_710109_textList_CN_Main</t>
  </si>
  <si>
    <t>训练士兵需要依靠&lt;color=#FFCC71&gt;充足的粮食&lt;/color&gt;，还请大人多关注并占领一些&lt;color=#FFCC71&gt;食物资源点&lt;/color&gt;，努力壮大我们的队伍。</t>
  </si>
  <si>
    <t>DialogueConf_710110_textList_CN_Main</t>
  </si>
  <si>
    <t>大人找不到新的合适资源点了吗？&lt;color=#FFCC71&gt;高级城市拥有高级资源点&lt;/color&gt;，大人不妨&lt;color=#FFCC71&gt;迁城至高级城&lt;/color&gt;附近再试试搜索。</t>
  </si>
  <si>
    <t>DialogueConf_710111_textList_CN_Main</t>
  </si>
  <si>
    <t>&lt;color=#FFCC71&gt;多队同时进攻蛮族&lt;/color&gt;，这样会导致&lt;color=#FFCC71&gt;经验被分薄&lt;/color&gt;，每份体力获得的收益会大大减少，不如只用一队去打等级较低的蛮族哦。</t>
  </si>
  <si>
    <t>DialogueConf_710112_textList_CN_Main</t>
  </si>
  <si>
    <t>我刚刚清点了一下库存，看到有许多&lt;color=#FFCC71&gt;闲置技能点&lt;/color&gt;，高等级的&lt;color=#FFCC71&gt;英雄技能&lt;/color&gt;可以带来极大的战力提升，大人千万记得要&lt;color=#FFCC71&gt;及时升级&lt;/color&gt;。</t>
  </si>
  <si>
    <t>DialogueConf_710113_textList_CN_Main</t>
  </si>
  <si>
    <t>铜币只有被使用才会有价值哦，若是用它来进行&lt;color=#FFCC71&gt;精锐招募&lt;/color&gt;，可以&lt;color=#FFCC71&gt;获得更多技能点&lt;/color&gt;，想必大人的实力也能得到极大提升吧？</t>
  </si>
  <si>
    <t>DialogueConf_800001_name_CN_Main</t>
  </si>
  <si>
    <t>残忍头目</t>
  </si>
  <si>
    <t>DialogueConf_800001_textList_CN_Main</t>
  </si>
  <si>
    <t>DialogueConf_800002_textList_CN_Main</t>
  </si>
  <si>
    <t>DialogueConf_800003_textList_CN_Main</t>
  </si>
  <si>
    <t>DialogueConf_800004_textList_CN_Main</t>
  </si>
  <si>
    <t>DialogueConf_800005_textList_CN_Main</t>
  </si>
  <si>
    <t>DialogueConf_2055001_textList_CN_Main</t>
  </si>
  <si>
    <t>大人，探子在&lt;color=#FFCC71&gt;校场附近&lt;/color&gt;发现了&lt;color=#FFCC71&gt;蛮族的踪迹&lt;/color&gt;，他们的势力竟然也渗透到了这里！</t>
  </si>
  <si>
    <t>DialogueConf_1060001_name_CN_Main</t>
  </si>
  <si>
    <t>DialogueConf_1060001_textList_CN_Main</t>
  </si>
  <si>
    <t>DialogueConf_1060001_name_337966742914_CN_Main</t>
  </si>
  <si>
    <t>DialogueConf_1060001_textList_1009465413397_CN_Main</t>
  </si>
  <si>
    <t>没有绝对安全的地方，还有现在你是副官，不是我的亲卫，更应该以我们&lt;color=#FFCC71&gt;此行的任务&lt;/color&gt;为重。再说，这已经是我们一半的人手了。</t>
  </si>
  <si>
    <t>DialogueConf_1060001_textList_1090856519622_CN_Main</t>
  </si>
  <si>
    <t>DialogueConf_1060002_textList_CN_Main</t>
  </si>
  <si>
    <t>TID_DialogueConf_1060002_textList_CN_Main</t>
  </si>
  <si>
    <t>小镇就在前方，昨天我们的斥候和这里&lt;color=#FFCC71&gt;有过接洽&lt;/color&gt;，这里地处偏远，还暂未卷入战火。</t>
  </si>
  <si>
    <t>DialogueConf_1060002_textList_248178326549_CN_Main</t>
  </si>
  <si>
    <t>TID_DialogueConf_1060002_textList_248178326549_CN_Main</t>
  </si>
  <si>
    <t>先按计划，和当地人沟通我们&lt;color=#FFCC71&gt;要在此驻营&lt;/color&gt;的事情，可惜，我的&lt;color=#FFCC71&gt;玺戒&lt;/color&gt;在君临之战中损毁了，希望他们还认我这个公主。</t>
  </si>
  <si>
    <t>DialogueConf_1060003_textList_CN_Main</t>
  </si>
  <si>
    <t>情报说这里很安全？怎么地上还有&lt;color=#FFCC71&gt;死尸&lt;/color&gt;？</t>
  </si>
  <si>
    <t>DialogueConf_1060003_textList_478689942327_CN_Main</t>
  </si>
  <si>
    <t>殿下，要不要现在&lt;color=#FFCC71&gt;召集士兵&lt;/color&gt;？虽然我们只剩几个人，但至少——</t>
  </si>
  <si>
    <t>DialogueConf_1060003_textList_423570232401_CN_Main</t>
  </si>
  <si>
    <t>DialogueConf_1060004_textList_CN_Main</t>
  </si>
  <si>
    <t>DialogueConf_1060005_name_CN_Main</t>
  </si>
  <si>
    <t>DialogueConf_1060005_textList_CN_Main</t>
  </si>
  <si>
    <t>DialogueConf_1060006_textList_CN_Main</t>
  </si>
  <si>
    <t>DialogueConf_1060006_textList_835642213095_CN_Main</t>
  </si>
  <si>
    <t>DialogueConf_1060006_textList_288682741337_CN_Main</t>
  </si>
  <si>
    <t>那些&lt;color=#FFCC71&gt;尸体&lt;/color&gt;，好像是当地的&lt;color=#FFCC71&gt;官员&lt;/color&gt;。</t>
  </si>
  <si>
    <t>DialogueConf_1060006_textList_857908520868_CN_Main</t>
  </si>
  <si>
    <t>DialogueConf_1060007_textList_CN_Main</t>
  </si>
  <si>
    <t>根据斥候的报告，这里再往前走就是&lt;color=#FFCC71&gt;民居&lt;/color&gt;，但怎么到现在一个人都没看到。</t>
  </si>
  <si>
    <t>DialogueConf_1060007_textList_572766985210_CN_Main</t>
  </si>
  <si>
    <t>四周有行军的痕迹，小心点，在狼群到来之前，这里恐怕已经有了&lt;color=#FFCC71&gt;其他不速之客&lt;/color&gt;。</t>
  </si>
  <si>
    <t>DialogueConf_1060008_textList_CN_Main</t>
  </si>
  <si>
    <t>TID_DialogueConf_1060008_textList_CN_Main</t>
  </si>
  <si>
    <t>&lt;color=#FFCC71&gt;居民房舍&lt;/color&gt;竟然被弄成这个样子......</t>
  </si>
  <si>
    <t>DialogueConf_1060008_textList_933701598370_CN_Main</t>
  </si>
  <si>
    <t>TID_DialogueConf_1060008_textList_933701598370_CN_Main</t>
  </si>
  <si>
    <t>殿下，我想我们可以先用&lt;color=#FFCC71&gt;周边散落的木材&lt;/color&gt;修复一下它。</t>
  </si>
  <si>
    <t>DialogueConf_1060009_textList_CN_Main</t>
  </si>
  <si>
    <t>DialogueConf_1060010_textList_CN_Main</t>
  </si>
  <si>
    <t>木材够了，通知我们的村民，现在开始&lt;color=#FFCC71&gt;修复房舍&lt;/color&gt;！</t>
  </si>
  <si>
    <t>DialogueConf_1060011_textList_CN_Main</t>
  </si>
  <si>
    <t>居民房舍已经建好，殿下，&lt;color=#FFCC71&gt;点击地上木材&lt;/color&gt;让村民们开始收集资源。</t>
  </si>
  <si>
    <t>DialogueConf_1060011_textList_814453363392_CN_Main</t>
  </si>
  <si>
    <t>DialogueConf_1060012_textList_CN_Main</t>
  </si>
  <si>
    <t>DialogueConf_1060012_textList_673241112091_CN_Main</t>
  </si>
  <si>
    <t>殿下，前面的&lt;color=#FFCC71&gt;两条岔路&lt;/color&gt;都有战斗痕迹！</t>
  </si>
  <si>
    <t>DialogueConf_1060607_name_CN_Main</t>
  </si>
  <si>
    <t>DialogueConf_1060013_textList_CN_Main</t>
  </si>
  <si>
    <t>DialogueConf_1060013_textList_377797599366_CN_Main</t>
  </si>
  <si>
    <t>DialogueConf_1060014_textList_CN_Main</t>
  </si>
  <si>
    <t>DialogueConf_1060014_textList_1048197218045_CN_Main</t>
  </si>
  <si>
    <t>DialogueConf_1060015_textList_CN_Main</t>
  </si>
  <si>
    <t>你要是杀了我，我老大&lt;color=#FFCC71&gt;血手阿提卡&lt;/color&gt;就会带领我们上百名的勇士，把你们都践踏成灰！</t>
  </si>
  <si>
    <t>DialogueConf_1060015_textList_38021682362_CN_Main</t>
  </si>
  <si>
    <t>他就驻扎在&lt;color=#FFCC71&gt;上方的城镇中心&lt;/color&gt;，快点放了我，你们想死吗？！</t>
  </si>
  <si>
    <t>DialogueConf_1060609_textList_CN_Main</t>
  </si>
  <si>
    <t>DialogueConf_1060609_textList_417677113663_CN_Main</t>
  </si>
  <si>
    <t>DialogueConf_1060018_textList_CN_Main</t>
  </si>
  <si>
    <t>DialogueConf_1060610_textList_CN_Main</t>
  </si>
  <si>
    <t>DialogueConf_1060020_textList_CN_Main</t>
  </si>
  <si>
    <t>DialogueConf_1060021_textList_CN_Main</t>
  </si>
  <si>
    <t>DialogueConf_1060610_textList_584683633688_CN_Main</t>
  </si>
  <si>
    <t>DialogueConf_1060023_textList_CN_Main</t>
  </si>
  <si>
    <t>DialogueConf_1060023_textList_103832035154_CN_Main</t>
  </si>
  <si>
    <t>殿下，您看前方有个&lt;color=#FFCC71&gt;废弃建筑&lt;/color&gt;，我们可以把它&lt;color=#FFCC71&gt;改造成剑士营&lt;/color&gt;来训练士兵</t>
  </si>
  <si>
    <t>DialogueConf_1060024_textList_CN_Main</t>
  </si>
  <si>
    <t>报告殿下，&lt;color=#FFCC71&gt;剑士营&lt;/color&gt;改造完毕，但我们&lt;color=#FFCC71&gt;食物不够训练士兵&lt;/color&gt;了。</t>
  </si>
  <si>
    <t>DialogueConf_1060024_textList_743489374561_CN_Main</t>
  </si>
  <si>
    <t>DialogueConf_1060024_textList_233913561687_CN_Main</t>
  </si>
  <si>
    <t>您只需&lt;color=#FFCC71&gt;点击动物或者动物尸体&lt;/color&gt;，即可派遣农民前往狩猎，获取食物。</t>
  </si>
  <si>
    <t>DialogueConf_1060025_textList_CN_Main</t>
  </si>
  <si>
    <t>殿下，现在食物足够了，您可以&lt;color=#FFCC71&gt;点击右下角的头像&lt;/color&gt;立即训练剑士。</t>
  </si>
  <si>
    <t>DialogueConf_1060026_textList_CN_Main</t>
  </si>
  <si>
    <t>殿下，村民们已经找到了&lt;color=#FFCC71&gt;修复玺戒&lt;/color&gt;的方法。</t>
  </si>
  <si>
    <t>DialogueConf_1060026_textList_179743367226_CN_Main</t>
  </si>
  <si>
    <t>消息不错，有了它赋予的法理，我就可以在战斗中释放我的&lt;color=#FFCC71&gt;主将技&lt;/color&gt;了。</t>
  </si>
  <si>
    <t>DialogueConf_1060027_textList_CN_Main</t>
  </si>
  <si>
    <t>我们的军队已经&lt;color=#FFCC71&gt;集结完毕&lt;/color&gt;，请您下令吧，殿下！</t>
  </si>
  <si>
    <t>DialogueConf_1060027_textList_890852174555_CN_Main</t>
  </si>
  <si>
    <t>DialogueConf_1060601_textList_CN_Main</t>
  </si>
  <si>
    <t>DialogueConf_1060601_textList_1022022314161_CN_Main</t>
  </si>
  <si>
    <t>DialogueConf_1060620_name_CN_Main</t>
  </si>
  <si>
    <t>DialogueConf_1060602_textList_CN_Main</t>
  </si>
  <si>
    <t>DialogueConf_1060602_textList_857929299162_CN_Main</t>
  </si>
  <si>
    <t>DialogueConf_1060602_textList_759194434354_CN_Main</t>
  </si>
  <si>
    <t>帝国公主，&lt;color=#FFCC71&gt;钢铁蔷薇安德莉亚&lt;/color&gt;，我听说过你的名号！你的头颅，将成为我最名贵的收藏！</t>
  </si>
  <si>
    <t>DialogueConf_1060603_textList_CN_Main</t>
  </si>
  <si>
    <t>DialogueConf_1060604_textList_CN_Main</t>
  </si>
  <si>
    <t>不愧是镇守君临的&lt;color=#FFCC71&gt;钢铁蔷薇&lt;/color&gt;，安德莉亚，我承认你作为我对手的资格！</t>
  </si>
  <si>
    <t>DialogueConf_1060605_textList_CN_Main</t>
  </si>
  <si>
    <t>DialogueConf_1060606_textList_CN_Main</t>
  </si>
  <si>
    <t>DialogueConf_1060606_textList_968588793368_CN_Main</t>
  </si>
  <si>
    <t>DialogueConf_1060606_textList_606807445789_CN_Main</t>
  </si>
  <si>
    <t>DialogueConf_1060606_textList_787700499688_CN_Main</t>
  </si>
  <si>
    <t>DialogueConf_1060607_textList_CN_Main</t>
  </si>
  <si>
    <t>你要是杀了我，冷酷的&lt;color=#FFCC71&gt;血手阿提卡&lt;/color&gt;就会带领我们上百名的勇士，把你们都践踏成灰！</t>
  </si>
  <si>
    <t>DialogueConf_1060607_textList_310092932498_CN_Main</t>
  </si>
  <si>
    <t>所以趁早放了我，这是你们唯一的选择，&lt;color=#FFCC71&gt;阿提卡大人&lt;/color&gt;就驻扎在上风的营地，你们跑不掉的！</t>
  </si>
  <si>
    <t>DialogueConf_1060608_textList_CN_Main</t>
  </si>
  <si>
    <t>DialogueConf_1060609_textList_1063052924561_CN_Main</t>
  </si>
  <si>
    <t>DialogueConf_1060610_textList_973126850728_CN_Main</t>
  </si>
  <si>
    <t>DialogueConf_1060610_textList_583858277546_CN_Main</t>
  </si>
  <si>
    <t>DialogueConf_1060611_name_CN_Main</t>
  </si>
  <si>
    <t>DialogueConf_1060611_textList_CN_Main_841432734597</t>
  </si>
  <si>
    <t>TID_DialogueConf_1060611_textList_CN_Main_841432734597</t>
  </si>
  <si>
    <t>不负所托，您的&lt;color=#FFCC71&gt;玺戒&lt;/color&gt;，我已经修好了。</t>
  </si>
  <si>
    <t>DialogueConf_1060617_textList_278202494042_CN_Main</t>
  </si>
  <si>
    <t>感谢你所做的一切，这只&lt;color=#FFCC71&gt;玺戒&lt;/color&gt;，它会见证这场注定的胜利。</t>
  </si>
  <si>
    <t>DialogueConf_1060613_textList_CN_Main</t>
  </si>
  <si>
    <t>DialogueConf_1060613_textList_1090946303019_CN_Main</t>
  </si>
  <si>
    <t>DialogueConf_1060613_name_282914983875_CN_Main</t>
  </si>
  <si>
    <t>DialogueConf_1060613_textList_407628185459_CN_Main</t>
  </si>
  <si>
    <t>DialogueConf_1060614_textList_CN_Main</t>
  </si>
  <si>
    <t>DialogueConf_1060614_textList_626982586668_CN_Main</t>
  </si>
  <si>
    <t>我记得殿下您说过，&lt;color=#FFCC71&gt;重返君临&lt;/color&gt;，扫除蛮族，登临帝位，拯救帝国！</t>
  </si>
  <si>
    <t>DialogueConf_1060614_textList_145771419646_CN_Main</t>
  </si>
  <si>
    <t>DialogueConf_1060615_textList_CN_Main</t>
  </si>
  <si>
    <t>士兵们！&lt;color=#FFCC71&gt;箭塔&lt;/color&gt;在攻击我们！把蛮族引出&lt;color=#FFCC71&gt;攻击范围&lt;/color&gt;！</t>
  </si>
  <si>
    <t>DialogueConf_1060616_textList_CN_Main</t>
  </si>
  <si>
    <t>士兵们，拿出你们的&lt;color=#FFCC71&gt;火把&lt;/color&gt;，拆了这些箭塔！</t>
  </si>
  <si>
    <t>DialogueConf_1060617_textList_CN_Main</t>
  </si>
  <si>
    <t>DialogueConf_1060617_textList_841432734597_CN_Main</t>
  </si>
  <si>
    <t>DialogueConf_1060618_textList_CN_Main</t>
  </si>
  <si>
    <t>只要我在战斗中拥有足够的怒气值，就可以&lt;color=#FFCC71&gt;释放主将技打断敌人的大招&lt;/color&gt;！</t>
  </si>
  <si>
    <t>DialogueConf_1060619_textList_CN_Main</t>
  </si>
  <si>
    <t>DialogueConf_1060620_textList_CN_Main</t>
  </si>
  <si>
    <t>帝国公主，&lt;color=#FFCC71&gt;钢铁蔷薇安德莉亚&lt;/color&gt;，我听说过你的名号！亡国的鬼魂竟然也敢走到阳光之下？</t>
  </si>
  <si>
    <t>DialogueConf_1060620_textList_11089751484_CN_Main</t>
  </si>
  <si>
    <t>DialogueConf_1060620_textList_265932557975_CN_Main</t>
  </si>
  <si>
    <t>DialogueConf_1060621_textList_CN_Main</t>
  </si>
  <si>
    <t>我的主将技可以&lt;color=#FFCC71&gt;打断&lt;/color&gt;阿提卡的大招，同时，副官，你得注意躲避地面上的火焰。</t>
  </si>
  <si>
    <t>DialogueConf_1060622_textList_CN_Main</t>
  </si>
  <si>
    <t>不愧是镇守&lt;color=#FFCC71&gt;君临&lt;/color&gt;的钢铁蔷薇，我承认你作为我对手的资格！</t>
  </si>
  <si>
    <t>DialogueConf_1060626_textList_CN_Main</t>
  </si>
  <si>
    <t>DialogueConf_1060628_textList_CN_Main</t>
  </si>
  <si>
    <t>DialogueConf_1060628_textList_983302943709_CN_Main</t>
  </si>
  <si>
    <t>DialogueConf_1060629_textList_CN_Main</t>
  </si>
  <si>
    <t>DialogueConf_1060633_name_CN_Main</t>
  </si>
  <si>
    <t>DialogueConf_1060634_textList_CN_Main</t>
  </si>
  <si>
    <t>殿下，您可以&lt;color=#FFCC71&gt;拖拽右侧头像&lt;/color&gt;攻击乌尔丁</t>
  </si>
  <si>
    <t>DialogueConf_1060635_textList_CN_Main</t>
  </si>
  <si>
    <t>DialogueConf_1060635_textList_45687468128_CN_Main</t>
  </si>
  <si>
    <t>DialogueConf_1060636_textList_CN_Main</t>
  </si>
  <si>
    <t>DialogueConf_1060636_textList_56374418386_CN_Main</t>
  </si>
  <si>
    <t>DialogueConf_1060637_textList_CN_Main</t>
  </si>
  <si>
    <t>DialogueConf_1060637_textList_668526997777_CN_Main</t>
  </si>
  <si>
    <t>DialogueConf_1060701_textList_CN_Main</t>
  </si>
  <si>
    <t>TID_DialogueConf_1060701_textList_CN_Main</t>
  </si>
  <si>
    <t>&lt;color=#FFCC71&gt;城镇中心&lt;/color&gt;已经修复，我们也有了自己的据点。不管敌人动向如何，领地的发展不能落下。</t>
  </si>
  <si>
    <t>DialogueConf_1060702_textList_CN_Main</t>
  </si>
  <si>
    <t>TID_DialogueConf_1060702_textList_CN_Main</t>
  </si>
  <si>
    <t>现在需要更稳定的&lt;color=#FFCC71&gt;木材&lt;/color&gt;来源。副官，是时候修建我们自己的&lt;color=#FFCC71&gt;伐木场&lt;/color&gt;了。</t>
  </si>
  <si>
    <t>DialogueConf_1060703_textList_CN_Main</t>
  </si>
  <si>
    <t>TID_DialogueConf_1060703_textList_CN_Main</t>
  </si>
  <si>
    <t>周边的林木资源很丰富，可以安排村民继续开采，短时间内我们都不用担心&lt;color=#FFCC71&gt;木材&lt;/color&gt;的短缺了。</t>
  </si>
  <si>
    <t>DialogueConf_1060704_textList_CN_Main</t>
  </si>
  <si>
    <t>TID_DialogueConf_1060704_textList_CN_Main</t>
  </si>
  <si>
    <t>这里的&lt;color=#FFCC71&gt;蛮族&lt;/color&gt;还没有完全扫净，如果不能及时探查到他们的动向，以后会有大麻烦。</t>
  </si>
  <si>
    <t>DialogueConf_1060705_textList_CN_Main</t>
  </si>
  <si>
    <t>TID_DialogueConf_1060705_textList_CN_Main</t>
  </si>
  <si>
    <t>殿下，我们可以修建一座&lt;color=#FFCC71&gt;瞭望塔&lt;/color&gt;。</t>
  </si>
  <si>
    <t>DialogueConf_1060704_textList_163478015074_CN_Main</t>
  </si>
  <si>
    <t>TID_DialogueConf_1060704_textList_163478015074_CN_Main</t>
  </si>
  <si>
    <t xml:space="preserve">
不错，站得高才能看得远，情报于战争是重中之重，我可不想一直当个瞎子。</t>
  </si>
  <si>
    <t>DialogueConf_1060706_textList_CN_Main</t>
  </si>
  <si>
    <t>TID_DialogueConf_1060706_textList_CN_Main</t>
  </si>
  <si>
    <t>这些该死的混蛋！那些只是普通的平民！</t>
  </si>
  <si>
    <t>DialogueConf_1060707_textList_CN_Main</t>
  </si>
  <si>
    <t>TID_DialogueConf_1060707_textList_CN_Main</t>
  </si>
  <si>
    <t>殿下，小心，对方的实力比我们强。</t>
  </si>
  <si>
    <t>DialogueConf_1060708_textList_CN_Main</t>
  </si>
  <si>
    <t>TID_DialogueConf_1060708_textList_CN_Main</t>
  </si>
  <si>
    <t>我知道，暂时不要轻举妄动，先&lt;color=#FFCC71&gt;积蓄力量&lt;/color&gt;……我迟早会让他们为他们的所作所为付出代价！</t>
  </si>
  <si>
    <t>DialogueConf_1060709_textList_CN_Main</t>
  </si>
  <si>
    <t>TID_DialogueConf_1060709_textList_CN_Main</t>
  </si>
  <si>
    <t>士兵，跟紧我！</t>
  </si>
  <si>
    <t>DialogueConf_1060710_textList_CN_Main</t>
  </si>
  <si>
    <t>TID_DialogueConf_1060710_textList_CN_Main</t>
  </si>
  <si>
    <t>如果要&lt;color=#FFCC71&gt;训练&lt;/color&gt;更多的士兵，&lt;color=#FFCC71&gt;食物&lt;/color&gt;依旧是个大问题。</t>
  </si>
  <si>
    <t>DialogueConf_1060711_textList_CN_Main</t>
  </si>
  <si>
    <t>TID_DialogueConf_1060711_textList_CN_Main</t>
  </si>
  <si>
    <t>一座&lt;color=#FFCC71&gt;磨坊&lt;/color&gt;应该可以帮到我们。</t>
  </si>
  <si>
    <t>DialogueConf_1060712_textList_CN_Main</t>
  </si>
  <si>
    <t>TID_DialogueConf_1060712_textList_CN_Main</t>
  </si>
  <si>
    <t>殿下，&lt;color=#FFCC71&gt;磨坊&lt;/color&gt;已经建好，我们可以派遣村民&lt;color=#FFCC71&gt;采集食物&lt;/color&gt;了。</t>
  </si>
  <si>
    <t>DialogueConf_1060713_textList_CN_Main</t>
  </si>
  <si>
    <t>TID_DialogueConf_1060713_textList_CN_Main</t>
  </si>
  <si>
    <t>周边的&lt;color=#FFCC71&gt;浆果丛&lt;/color&gt;还有很多，暂时可供我们消耗一阵了。</t>
  </si>
  <si>
    <t>DialogueConf_1060714_textList_CN_Main</t>
  </si>
  <si>
    <t>TID_DialogueConf_1060714_textList_CN_Main</t>
  </si>
  <si>
    <t>虽然训练了许多士兵，但只凭我率领的这支军队还不足以对抗敌人，修建&lt;color=#FFCC71&gt;点将台&lt;/color&gt;，我来&lt;color=#FFCC71&gt;招募&lt;/color&gt;更多的将领。</t>
  </si>
  <si>
    <t>DialogueConf_1060715_name_CN_Main</t>
  </si>
  <si>
    <t>DialogueConf_1060715_textList_CN_Main</t>
  </si>
  <si>
    <t>TID_DialogueConf_1060715_textList_CN_Main</t>
  </si>
  <si>
    <t>虽然没有参与&lt;color=#FFCC71&gt;君临&lt;/color&gt;的战斗，但安德莉亚殿下起兵救国的壮举我早有耳闻。</t>
  </si>
  <si>
    <t>DialogueConf_1060716_textList_CN_Main</t>
  </si>
  <si>
    <t>TID_DialogueConf_1060716_textList_CN_Main</t>
  </si>
  <si>
    <t>因此当听说您急需将领时，我立刻就赶来了。公主殿下，贞德向您效忠。</t>
  </si>
  <si>
    <t>DialogueConf_1060717_textList_CN_Main</t>
  </si>
  <si>
    <t>TID_DialogueConf_1060717_textList_CN_Main</t>
  </si>
  <si>
    <t>射程即是一切，殿下，请允许我组建一支专门的&lt;color=#FFCC71&gt;弓兵部队&lt;/color&gt;，它会成为您麾下最锋锐的王牌。</t>
  </si>
  <si>
    <t>DialogueConf_1060718_textList_CN_Main</t>
  </si>
  <si>
    <t>TID_DialogueConf_1060718_textList_CN_Main</t>
  </si>
  <si>
    <t>可惜现在领地&lt;color=#FFCC71&gt;食物太少&lt;/color&gt;，没法为你收编更多的士兵。</t>
  </si>
  <si>
    <t>DialogueConf_1060719_textList_CN_Main</t>
  </si>
  <si>
    <t>TID_DialogueConf_1060719_textList_CN_Main</t>
  </si>
  <si>
    <t>殿下不急，质量远比数量来得重要。只是训练的话，这些士兵已经足够。</t>
  </si>
  <si>
    <t>DialogueConf_1060720_textList_CN_Main</t>
  </si>
  <si>
    <t>TID_DialogueConf_1060720_textList_CN_Main</t>
  </si>
  <si>
    <t>为了解决领地食物的紧缺，殿下，我们可以试着&lt;color=#FFCC71&gt;组织村民狩猎&lt;/color&gt;。</t>
  </si>
  <si>
    <t>DialogueConf_1060721_textList_CN_Main</t>
  </si>
  <si>
    <t>TID_DialogueConf_1060721_textList_CN_Main</t>
  </si>
  <si>
    <t>收获不错，你已经是个合格的副官了。</t>
  </si>
  <si>
    <t>DialogueConf_1060722_textList_CN_Main</t>
  </si>
  <si>
    <t>TID_DialogueConf_1060722_textList_CN_Main</t>
  </si>
  <si>
    <t>殿下，虽然我们现在有了足够的兵员，但作战的技巧还是过于单一。</t>
  </si>
  <si>
    <t>DialogueConf_1060723_textList_CN_Main</t>
  </si>
  <si>
    <t>TID_DialogueConf_1060723_textList_CN_Main</t>
  </si>
  <si>
    <t>我给您带来了帝国军队的&lt;color=#FFCC71&gt;战术手册&lt;/color&gt;，这才是我们真正强大的所在。</t>
  </si>
  <si>
    <t>DialogueConf_1060724_textList_CN_Main</t>
  </si>
  <si>
    <t>TID_DialogueConf_1060724_textList_CN_Main</t>
  </si>
  <si>
    <t>原来是这样，这些我之前都在书里看过。</t>
  </si>
  <si>
    <t>DialogueConf_1060725_textList_CN_Main</t>
  </si>
  <si>
    <t>TID_DialogueConf_1060725_textList_CN_Main</t>
  </si>
  <si>
    <t>城镇的发展再度向前迈进了一步，我们现在可以率领更多的士兵了。</t>
  </si>
  <si>
    <t>DialogueConf_1060726_textList_CN_Main</t>
  </si>
  <si>
    <t>TID_DialogueConf_1060726_textList_CN_Main</t>
  </si>
  <si>
    <t>殿下，瞭望塔侦测到了一群&lt;color=#FFCC71&gt;蛮族士兵&lt;/color&gt;的动向，目标正是我们的城镇！</t>
  </si>
  <si>
    <t>DialogueConf_1060727_textList_CN_Main</t>
  </si>
  <si>
    <t>TID_DialogueConf_1060727_textList_CN_Main</t>
  </si>
  <si>
    <t>特地赶在这个时候，这群&lt;color=#FFCC71&gt;野蛮人&lt;/color&gt;是要给我送贺礼么？</t>
  </si>
  <si>
    <t>DialogueConf_1060728_textList_CN_Main</t>
  </si>
  <si>
    <t>TID_DialogueConf_1060728_textList_CN_Main</t>
  </si>
  <si>
    <t>那我们将用死亡予以回敬，殿下，请允许我率兵与您一同出征！</t>
  </si>
  <si>
    <t>DialogueConf_1060729_name_CN_Main</t>
  </si>
  <si>
    <t>TID_DialogueConf_1060729_name_CN_Main</t>
  </si>
  <si>
    <t>DialogueConf_1060729_textList_CN_Main</t>
  </si>
  <si>
    <t>TID_DialogueConf_1060729_textList_CN_Main</t>
  </si>
  <si>
    <t>烧了这里，杀光他们！</t>
  </si>
  <si>
    <t>DialogueConf_1060730_textList_CN_Main</t>
  </si>
  <si>
    <t>TID_DialogueConf_1060730_textList_CN_Main</t>
  </si>
  <si>
    <t>（欢呼）！</t>
  </si>
  <si>
    <t>DialogueConf_1060731_textList_CN_Main</t>
  </si>
  <si>
    <t>TID_DialogueConf_1060731_textList_CN_Main</t>
  </si>
  <si>
    <t>敌军的战斗意志很强，不能拖到拉锯战！建议殿下下令&lt;color=#FFCC71&gt;建造箭塔&lt;/color&gt;，我们必须一口气把敌人的攻势按回去！</t>
  </si>
  <si>
    <t>DialogueConf_1060732_textList_CN_Main</t>
  </si>
  <si>
    <t>TID_DialogueConf_1060732_textList_CN_Main</t>
  </si>
  <si>
    <t>一场大胜，贞德！正因有了你的帮助，我们才打得如此漂亮。</t>
  </si>
  <si>
    <t>DialogueConf_1060733_textList_CN_Main</t>
  </si>
  <si>
    <t>TID_DialogueConf_1060733_textList_CN_Main</t>
  </si>
  <si>
    <t>我只是辅佐，您才是这场胜利的主导者，这是我应尽的职责，殿下。</t>
  </si>
  <si>
    <t>DialogueConf_1060734_textList_CN_Main</t>
  </si>
  <si>
    <t>TID_DialogueConf_1060734_textList_CN_Main</t>
  </si>
  <si>
    <t>不过这次战斗也多了不少伤员，副官，建立一座&lt;color=#FFCC71&gt;治疗房舍&lt;/color&gt;，尽快治疗士兵们的伤势。</t>
  </si>
  <si>
    <t>DialogueConf_1060735_textList_CN_Main</t>
  </si>
  <si>
    <t>TID_DialogueConf_1060735_textList_CN_Main</t>
  </si>
  <si>
    <t>殿下，治疗房舍已经建好，它会&lt;color=#FFCC71&gt;自动接收伤兵&lt;/color&gt;，帮助他们恢复战斗力以尽快归队。</t>
  </si>
  <si>
    <t>DialogueConf_1060736_textList_CN_Main</t>
  </si>
  <si>
    <t>TID_DialogueConf_1060736_textList_CN_Main</t>
  </si>
  <si>
    <t>殿下，之前攻打我们的蛮族正来自我们之前探查到那座&lt;color=#FFCC71&gt;蛮族营地&lt;/color&gt;，他们将抢来的大部分食物都贮藏在那里。</t>
  </si>
  <si>
    <t>DialogueConf_1060737_textList_CN_Main</t>
  </si>
  <si>
    <t>TID_DialogueConf_1060737_textList_CN_Main</t>
  </si>
  <si>
    <t>如果能将其攻占，正好可以解决我们当前&lt;color=#FFCC71&gt;粮食短缺&lt;/color&gt;的困境！</t>
  </si>
  <si>
    <t>DialogueConf_1060738_textList_CN_Main</t>
  </si>
  <si>
    <t>TID_DialogueConf_1060738_textList_CN_Main</t>
  </si>
  <si>
    <t>这些守营的&lt;color=#FFCC71&gt;蛮族枪兵&lt;/color&gt;正好被我麾下的剑士&lt;color=#FFCC71&gt;克制&lt;/color&gt;，诸位，随我冲锋！</t>
  </si>
  <si>
    <t>DialogueConf_1060739_textList_CN_Main</t>
  </si>
  <si>
    <t>TID_DialogueConf_1060739_textList_CN_Main</t>
  </si>
  <si>
    <t>殿下，根据调查，这些敌人隶属于蛮族的&lt;color=#FFCC71&gt;西路先锋蒙杜克&lt;/color&gt;，他就盘踞在&lt;color=#FFCC71&gt;东北半岛的废墟里&lt;/color&gt;。</t>
  </si>
  <si>
    <t>DialogueConf_1060740_textList_CN_Main</t>
  </si>
  <si>
    <t>TID_DialogueConf_1060740_textList_CN_Main</t>
  </si>
  <si>
    <t>&lt;color=#FFCC71&gt;蒙杜克营寨的大门很坚固&lt;/color&gt;，更有重兵把守，以我们现在的实力，强攻会有很大风险。</t>
  </si>
  <si>
    <t>DialogueConf_1060741_textList_CN_Main</t>
  </si>
  <si>
    <t>TID_DialogueConf_1060741_textList_CN_Main</t>
  </si>
  <si>
    <t>贞德，这些蛮族的食物全都给你吧，应该能帮你&lt;color=#FFCC71&gt;训练更多的士兵&lt;/color&gt;。</t>
  </si>
  <si>
    <t>DialogueConf_1060742_textList_CN_Main</t>
  </si>
  <si>
    <t>TID_DialogueConf_1060742_textList_CN_Main</t>
  </si>
  <si>
    <t>您的付出不会白费，殿下，我向您保证。</t>
  </si>
  <si>
    <t>DialogueConf_1060743_textList_CN_Main</t>
  </si>
  <si>
    <t>TID_DialogueConf_1060743_textList_CN_Main</t>
  </si>
  <si>
    <t>我听说蒙杜克的几个跟班依旧在周边胡作非为，在和正主算账之前，我不介意先找这些喽啰收点利息。</t>
  </si>
  <si>
    <t>DialogueConf_1060744_textList_CN_Main</t>
  </si>
  <si>
    <t>TID_DialogueConf_1060744_textList_CN_Main</t>
  </si>
  <si>
    <t>殿下，村民给我们送来了一份&lt;color=#FFCC71&gt;城墙的设计图&lt;/color&gt;。</t>
  </si>
  <si>
    <t>DialogueConf_1060745_textList_CN_Main</t>
  </si>
  <si>
    <t>TID_DialogueConf_1060745_textList_CN_Main</t>
  </si>
  <si>
    <t>如果之前的城主能把它修好，也不至于让这里落到如今的下场。</t>
  </si>
  <si>
    <t>DialogueConf_1060746_textList_CN_Main</t>
  </si>
  <si>
    <t>TID_DialogueConf_1060746_textList_CN_Main</t>
  </si>
  <si>
    <t>殿下，我们的城池现在有了充足的安全保障，我们可以&lt;color=#FFCC71&gt;探索一下周边的区域&lt;/color&gt;了。</t>
  </si>
  <si>
    <t>DialogueConf_1060747_textList_CN_Main</t>
  </si>
  <si>
    <t>TID_DialogueConf_1060747_textList_CN_Main</t>
  </si>
  <si>
    <t>殿下，我们仍有一些&lt;color=#FFCC71&gt;名将笔记&lt;/color&gt;流落在外，当您在城外探索时可以稍微留意一下，那可以给我们带来很大提升。</t>
  </si>
  <si>
    <t>DialogueConf_1060748_textList_CN_Main</t>
  </si>
  <si>
    <t>TID_DialogueConf_1060748_textList_CN_Main</t>
  </si>
  <si>
    <t>&lt;color=#FFCC71&gt;野蛮人&lt;/color&gt;给这片土地带来的只有绝望和伤痛，从他开始，我会把他们一个个揪出来，然后彻底消灭！</t>
  </si>
  <si>
    <t>DialogueConf_1060749_textList_CN_Main</t>
  </si>
  <si>
    <t>TID_DialogueConf_1060749_textList_CN_Main</t>
  </si>
  <si>
    <t>蒙杜克的大门……如果能&lt;color=#FFCC71&gt;用投石车砸开&lt;/color&gt;，也许我们可以发动奇袭，给他送上一个大惊喜。</t>
  </si>
  <si>
    <t>DialogueConf_1060750_textList_CN_Main</t>
  </si>
  <si>
    <t>TID_DialogueConf_1060750_textList_CN_Main</t>
  </si>
  <si>
    <t>&lt;color=#FFCC71&gt;战争器械的图纸&lt;/color&gt;都会收藏在城镇中心，这里本来是座四级城镇，如果您能把它恢复到以前的样子，说不定能找到剩余的图纸。</t>
  </si>
  <si>
    <t>DialogueConf_1060751_textList_CN_Main</t>
  </si>
  <si>
    <t>TID_DialogueConf_1060751_textList_CN_Main</t>
  </si>
  <si>
    <t>新的战术！我逐渐找到了以前的感觉，这支军队总算有些样子了。</t>
  </si>
  <si>
    <t>DialogueConf_1060752_textList_CN_Main</t>
  </si>
  <si>
    <t>TID_DialogueConf_1060752_textList_CN_Main</t>
  </si>
  <si>
    <t>殿下，感激您的仁慈，城镇正在逐步恢复繁荣。</t>
  </si>
  <si>
    <t>DialogueConf_1060753_textList_CN_Main</t>
  </si>
  <si>
    <t>TID_DialogueConf_1060753_textList_CN_Main</t>
  </si>
  <si>
    <t>是时候了，来吧，让这座城变成它该有的样子！</t>
  </si>
  <si>
    <t>DialogueConf_1060754_textList_CN_Main</t>
  </si>
  <si>
    <t>TID_DialogueConf_1060754_textList_CN_Main</t>
  </si>
  <si>
    <t>殿下！您看我在被蛮族毁坏的房间里找到了什么！</t>
  </si>
  <si>
    <t>DialogueConf_1060755_textList_CN_Main</t>
  </si>
  <si>
    <t>TID_DialogueConf_1060755_textList_CN_Main</t>
  </si>
  <si>
    <t>这是……&lt;color=#FFCC71&gt;投石车的设计图&lt;/color&gt;！蛮族竟然没有带走它？</t>
  </si>
  <si>
    <t>DialogueConf_1060756_textList_CN_Main</t>
  </si>
  <si>
    <t>TID_DialogueConf_1060756_textList_CN_Main</t>
  </si>
  <si>
    <t>不要高估蛮族的见识，殿下，这对他们来说只是一张画着图像的废纸。</t>
  </si>
  <si>
    <t>DialogueConf_1060757_textList_CN_Main</t>
  </si>
  <si>
    <t>TID_DialogueConf_1060757_textList_CN_Main</t>
  </si>
  <si>
    <t>但对我们而言，却是打开胜利大门的宝贵钥匙。感谢我们的蛮族朋友。</t>
  </si>
  <si>
    <t>DialogueConf_1060758_textList_CN_Main</t>
  </si>
  <si>
    <t>TID_DialogueConf_1060758_textList_CN_Main</t>
  </si>
  <si>
    <t>哇哦，这真是个美丽的大家伙。</t>
  </si>
  <si>
    <t>DialogueConf_1060759_textList_CN_Main</t>
  </si>
  <si>
    <t>TID_DialogueConf_1060759_textList_CN_Main</t>
  </si>
  <si>
    <t>让野蛮人见识一下什么是科技的力量！伙计，去敲个门吧！</t>
  </si>
  <si>
    <t>DialogueConf_1060760_textList_CN_Main</t>
  </si>
  <si>
    <t>TID_DialogueConf_1060760_textList_CN_Main</t>
  </si>
  <si>
    <t>接受审判吧，野蛮人！为了那些无辜的民众，你会收到应有的惩罚！</t>
  </si>
  <si>
    <t>DialogueConf_1060761_name_CN_Main</t>
  </si>
  <si>
    <t>TID_DialogueConf_1060761_name_CN_Main</t>
  </si>
  <si>
    <t>DialogueConf_1060761_textList_CN_Main</t>
  </si>
  <si>
    <t>TID_DialogueConf_1060761_textList_CN_Main</t>
  </si>
  <si>
    <t>光凭空话是无法达成你的愿望的，公主安德莉亚，只有力量，强大的力量才是这片土地上的第一准则。</t>
  </si>
  <si>
    <t>DialogueConf_1060762_textList_CN_Main</t>
  </si>
  <si>
    <t>TID_DialogueConf_1060762_textList_CN_Main</t>
  </si>
  <si>
    <t>举起你的剑！杀了我，或者和那些虫子一同去死吧！</t>
  </si>
  <si>
    <t>DialogueConf_1060763_textList_CN_Main</t>
  </si>
  <si>
    <t>TID_DialogueConf_1060763_textList_CN_Main</t>
  </si>
  <si>
    <t>哈哈哈哈，原来这就是死亡，这会是一场被载入史册的战斗。</t>
  </si>
  <si>
    <t>DialogueConf_1060764_textList_CN_Main</t>
  </si>
  <si>
    <t>TID_DialogueConf_1060764_textList_CN_Main</t>
  </si>
  <si>
    <t>你会跟旧时代一同被埋葬在尘土里……正如你所说的那样，历史不会记载失败者的名字。</t>
  </si>
  <si>
    <t>DialogueConf_1060801_textList_CN_Main</t>
  </si>
  <si>
    <t>TID_DialogueConf_1060801_textList_CN_Main</t>
  </si>
  <si>
    <t>报告殿下，我们在分拣蛮族物资的过程中，还发现了这份&lt;color=#FFCC71&gt;建筑图纸&lt;/color&gt;，请您过目。</t>
  </si>
  <si>
    <t>DialogueConf_1060801_textList_1042018786795_CN_Main</t>
  </si>
  <si>
    <t>TID_DialogueConf_1060801_textList_1042018786795_CN_Main</t>
  </si>
  <si>
    <t>各种&lt;color=#FFCC71&gt;文明风格&lt;/color&gt;的建筑方案？这些原本都是帝国珍藏的图纸……</t>
  </si>
  <si>
    <t>DialogueConf_1060801_textList_312595157388_CN_Main</t>
  </si>
  <si>
    <t>TID_DialogueConf_1060801_textList_312595157388_CN_Main</t>
  </si>
  <si>
    <t>这些建筑，每种风格都可以让我们掌握不同的先进技术，殿下，这是我们战胜蛮族不可或缺的助力。</t>
  </si>
  <si>
    <t>DialogueConf_1060802_textList_CN_Main</t>
  </si>
  <si>
    <t>TID_DialogueConf_1060802_textList_CN_Main</t>
  </si>
  <si>
    <t>殿下英明，我们未来将按照您的规划，组织村民来建造我们的城市；</t>
  </si>
  <si>
    <t>DialogueConf_1060802_textList_278435665446_CN_Main</t>
  </si>
  <si>
    <t>TID_DialogueConf_1060802_textList_278435665446_CN_Main</t>
  </si>
  <si>
    <t>剩余的建筑图纸也保管好，以备不时之需。</t>
  </si>
  <si>
    <t>DialogueConf_1060802_textList_455917222269_CN_Main</t>
  </si>
  <si>
    <t>TID_DialogueConf_1060802_textList_455917222269_CN_Main</t>
  </si>
  <si>
    <t>遵命，您可以随时从&lt;color=#FFCC71&gt;君主头像&lt;/color&gt;处查看所有的建筑风格。</t>
  </si>
  <si>
    <t>DialogueConf_1060803_textList_CN_Main</t>
  </si>
  <si>
    <t>TID_DialogueConf_1060803_textList_CN_Main</t>
  </si>
  <si>
    <t>虽说城内蛮族已被肃清，但外界情况不明，我们依旧需要更多的人手。</t>
  </si>
  <si>
    <t>DialogueConf_1060803_textList_205660001314_CN_Main</t>
  </si>
  <si>
    <t>TID_DialogueConf_1060803_textList_205660001314_CN_Main</t>
  </si>
  <si>
    <t>我们可以继续&lt;color=#FFCC71&gt;升级兵营&lt;/color&gt;，这样可以提升&lt;color=#FFCC71&gt;士兵训练速度&lt;/color&gt;。</t>
  </si>
  <si>
    <t>DialogueConf_1060804_textList_CN_Main</t>
  </si>
  <si>
    <t>TID_DialogueConf_1060804_textList_CN_Main</t>
  </si>
  <si>
    <t>殿下，贞德将军已经完成军营升级，现在我们可以&lt;color=#FFCC71&gt;大规模训练士兵&lt;/color&gt;了。</t>
  </si>
  <si>
    <t>DialogueConf_1060805_textList_CN_Main</t>
  </si>
  <si>
    <t>TID_DialogueConf_1060805_textList_CN_Main</t>
  </si>
  <si>
    <t>如果还是一个个训练的话，但是时间好像有些久…帝国什么时候才能复兴…</t>
  </si>
  <si>
    <t>DialogueConf_1060805_textList_515187189948_CN_Main</t>
  </si>
  <si>
    <t>TID_DialogueConf_1060805_textList_515187189948_CN_Main</t>
  </si>
  <si>
    <t>&lt;color=#FFCC71&gt;训练加速&lt;/color&gt;可以给您提供更快捷的兵源，殿下您可以尝试一下。</t>
  </si>
  <si>
    <t>DialogueConf_1060806_textList_CN_Main</t>
  </si>
  <si>
    <t>TID_DialogueConf_1060806_textList_CN_Main</t>
  </si>
  <si>
    <t>殿下，训练中的新兵正在等候您的指令！</t>
  </si>
  <si>
    <t>DialogueConf_1060807_textList_CN_Main</t>
  </si>
  <si>
    <t>TID_DialogueConf_1060807_textList_CN_Main</t>
  </si>
  <si>
    <t>首批士兵已训练完毕，等待您的指示！</t>
  </si>
  <si>
    <t>DialogueConf_1060808_textList_CN_Main</t>
  </si>
  <si>
    <t>TID_DialogueConf_1060808_textList_CN_Main</t>
  </si>
  <si>
    <t>殿下，大事不好了，侦察兵来报，城外资源点附近发现大量&lt;color=#FFCC71&gt;蛮族踪迹&lt;/color&gt;。</t>
  </si>
  <si>
    <t>DialogueConf_1060809_textList_CN_Main</t>
  </si>
  <si>
    <t>TID_DialogueConf_1060809_textList_CN_Main</t>
  </si>
  <si>
    <t>城外的危险无处不在，我们得小心行事。</t>
  </si>
  <si>
    <t>DialogueConf_1060809_textList_1066121931211_CN_Main</t>
  </si>
  <si>
    <t>TID_DialogueConf_1060809_textList_1066121931211_CN_Main</t>
  </si>
  <si>
    <t>殿下所言极是，出征之前，我们得重新&lt;color=#FFCC71&gt;编组部队&lt;/color&gt;，发挥英雄&lt;color=#FFCC71&gt;兵种优势&lt;/color&gt;。</t>
  </si>
  <si>
    <t>DialogueConf_1060810_textList_CN_Main</t>
  </si>
  <si>
    <t>TID_DialogueConf_1060810_textList_CN_Main</t>
  </si>
  <si>
    <t>我有个办法可以快速定位那些蛮族，殿下，来跟我一起使用&lt;color=#FFCC71&gt;【搜索】&lt;/color&gt;功能。</t>
  </si>
  <si>
    <t>DialogueConf_1060811_textList_CN_Main</t>
  </si>
  <si>
    <t>TID_DialogueConf_1060811_textList_CN_Main</t>
  </si>
  <si>
    <t>蛮族位置已经暴露，请殿下下令攻击！</t>
  </si>
  <si>
    <t>DialogueConf_1060812_textList_CN_Main</t>
  </si>
  <si>
    <t>TID_DialogueConf_1060812_textList_CN_Main</t>
  </si>
  <si>
    <t>殿下，当前出征在外，应以战事为重，最好不要分心。</t>
  </si>
  <si>
    <t>DialogueConf_1060813_textList_CN_Main</t>
  </si>
  <si>
    <t>TID_DialogueConf_1060813_textList_CN_Main</t>
  </si>
  <si>
    <t>殿下，我们在蛮族战利品中又发现了一些新的卷轴……</t>
  </si>
  <si>
    <t>DialogueConf_1060813_textList_1078403358400_CN_Main</t>
  </si>
  <si>
    <t>TID_DialogueConf_1060813_textList_1078403358400_CN_Main</t>
  </si>
  <si>
    <t>原来&lt;color=#FFCC71&gt;发展方略&lt;/color&gt;还有第二页，现在我们可以继续通过&lt;color=#FFCC71&gt;发展方略&lt;/color&gt;来提升实力了。</t>
  </si>
  <si>
    <t>DialogueConf_1060814_textList_CN_Main</t>
  </si>
  <si>
    <t>TID_DialogueConf_1060814_textList_CN_Main</t>
  </si>
  <si>
    <t>请殿下选择一个方向，以便我们更好地带领大家继续发展。</t>
  </si>
  <si>
    <t>DialogueConf_1060815_textList_CN_Main</t>
  </si>
  <si>
    <t>TID_DialogueConf_1060815_textList_CN_Main</t>
  </si>
  <si>
    <t>殿下，不如我们就先选择第一项吧？</t>
  </si>
  <si>
    <t>DialogueConf_1060816_textList_CN_Main</t>
  </si>
  <si>
    <t>TID_DialogueConf_1060816_textList_CN_Main</t>
  </si>
  <si>
    <t>我们战力得到了提升，现在可以尝试去攻打更高级的蛮族了。</t>
  </si>
  <si>
    <t>DialogueConf_1060817_textList_CN_Main</t>
  </si>
  <si>
    <t>TID_DialogueConf_1060817_textList_CN_Main</t>
  </si>
  <si>
    <t>殿下，部队连续作战需要资源支持，&lt;color=#FFCC71&gt;内城建设&lt;/color&gt;也不能荒废，让我们回城里稍作休整。</t>
  </si>
  <si>
    <t>DialogueConf_1060818_textList_CN_Main</t>
  </si>
  <si>
    <t>TID_DialogueConf_1060818_textList_CN_Main</t>
  </si>
  <si>
    <t>进入封建时代，城市建设需要消耗大量&lt;color=#FFCC71&gt;石头资源&lt;/color&gt;，多造一些&lt;color=#FFCC71&gt;石矿场&lt;/color&gt;是准没错的。</t>
  </si>
  <si>
    <t>DialogueConf_1060819_textList_CN_Main</t>
  </si>
  <si>
    <t>TID_DialogueConf_1060819_textList_CN_Main</t>
  </si>
  <si>
    <t>殿下，现如今我们的城市已经初具规模，您可以&lt;color=#FFCC71&gt;点击任务跳转&lt;/color&gt;，以节省您宝贵的时间。</t>
  </si>
  <si>
    <t>DialogueConf_1060820_textList_CN_Main</t>
  </si>
  <si>
    <t>TID_DialogueConf_1060820_textList_CN_Main</t>
  </si>
  <si>
    <t>除了石头，食物和木材也是必不可少的资源，殿下，请将他们逐个升级。</t>
  </si>
  <si>
    <t>DialogueConf_1060821_textList_CN_Main</t>
  </si>
  <si>
    <t>TID_DialogueConf_1060821_textList_CN_Main</t>
  </si>
  <si>
    <t>自从居民房舍修复好后，资源生产人手一直有些不足，请大人在城镇中心&lt;color=#FFCC71&gt;训练一批村民&lt;/color&gt;吧。</t>
  </si>
  <si>
    <t>DialogueConf_1060822_textList_CN_Main</t>
  </si>
  <si>
    <t>TID_DialogueConf_1060822_textList_CN_Main</t>
  </si>
  <si>
    <t>木材资源在早期建设比较关键，您还可以通过&lt;color=#FFCC71&gt;生产调配&lt;/color&gt;，优先生产更多木材资源。</t>
  </si>
  <si>
    <t>DialogueConf_1060823_textList_CN_Main</t>
  </si>
  <si>
    <t>TID_DialogueConf_1060823_textList_CN_Main</t>
  </si>
  <si>
    <t>只靠城内生产，不足以支撑我们长期发展，我们必须得攻占一些&lt;color=#FFCC71&gt;城外资源点&lt;/color&gt;。</t>
  </si>
  <si>
    <t>DialogueConf_1060824_textList_CN_Main</t>
  </si>
  <si>
    <t>TID_DialogueConf_1060824_textList_CN_Main</t>
  </si>
  <si>
    <t>这是我们新的领土！村民们可以自动前往搬运资源了。</t>
  </si>
  <si>
    <t>DialogueConf_1060825_textList_CN_Main</t>
  </si>
  <si>
    <t>TID_DialogueConf_1060825_textList_CN_Main</t>
  </si>
  <si>
    <t>资源充足的情况下，&lt;color=#FFCC71&gt;持续升级城镇中心&lt;/color&gt;，才能保证领地的快速发展。</t>
  </si>
  <si>
    <t>DialogueConf_1060826_textList_CN_Main</t>
  </si>
  <si>
    <t>TID_DialogueConf_1060826_textList_CN_Main</t>
  </si>
  <si>
    <t>殿下，遵照您的命令，村民们已经在加紧建设了，但距离完成升级还有一些时间。</t>
  </si>
  <si>
    <t>DialogueConf_1060827_textList_CN_Main</t>
  </si>
  <si>
    <t>TID_DialogueConf_1060827_textList_CN_Main</t>
  </si>
  <si>
    <t>殿下，我们势单力薄，在这乱世之中很难立足，不如与其他领主合作，共同对抗蛮族。</t>
  </si>
  <si>
    <t>DialogueConf_1060828_textList_CN_Main</t>
  </si>
  <si>
    <t>TID_DialogueConf_1060828_textList_CN_Main</t>
  </si>
  <si>
    <t>现在有了可靠的盟友，对于未来，我们需要一份更详尽的发展计划。</t>
  </si>
  <si>
    <t>DialogueConf_1060828_textList_674884223909_CN_Main</t>
  </si>
  <si>
    <t>TID_DialogueConf_1060828_textList_674884223909_CN_Main</t>
  </si>
  <si>
    <t>我们早就为此做好了准备，殿下，请您过目。</t>
  </si>
  <si>
    <t>DialogueConf_1060829_textList_CN_Main</t>
  </si>
  <si>
    <t>TID_DialogueConf_1060829_textList_CN_Main</t>
  </si>
  <si>
    <t>做得好贞德！遵循计划，直至&lt;color=#FFCC71&gt;夺回君临&lt;/color&gt;，这就是我们前进的方向！</t>
  </si>
  <si>
    <t>DialogueConf_1060638_textList_CN_Main</t>
  </si>
  <si>
    <t>DialogueConf_1060638_textList_1079106829253_CN_Main</t>
  </si>
  <si>
    <t>DialogueConf_1060639_textList_CN_Main</t>
  </si>
  <si>
    <t>SpineConf_11_textList_CN_Main</t>
  </si>
  <si>
    <t>新手剧情Spine1（占位）
蛮族已经包围了皇城，帝国危在旦夕！</t>
  </si>
  <si>
    <t>SpineConf_12_textList_CN_Main</t>
  </si>
  <si>
    <t>新手剧情Spine2（占位）
国王发布了全境通告好找领主出兵支援
“领主们！我以帝国皇帝之名，命令你们！立刻出兵，剿灭蛮族！”</t>
  </si>
  <si>
    <t>SpineConf_13_textList_CN_Main</t>
  </si>
  <si>
    <t>新手剧情Spine3（占位）
玩家的行军前往皇城支援</t>
  </si>
  <si>
    <t>SpineConf_21_textList_CN_Main</t>
  </si>
  <si>
    <t>新手剧情Spine4（占位）
蛮族越来越多，皇城最终陷落，帝国军队全部牺牲，玩家也跟英雄失散。</t>
  </si>
  <si>
    <t>SpineConf_22_textList_CN_Main</t>
  </si>
  <si>
    <t>新手剧情Spine5（占位）
皇帝阵亡之前，嘱托玩家一定要:
“铲除蛮族，夺回皇城，统一帝国！”</t>
  </si>
  <si>
    <t>塔罗牌新手引导</t>
  </si>
  <si>
    <t>T+2塔罗牌</t>
  </si>
  <si>
    <t>TID_Survivor_Dialog_Tarot1</t>
  </si>
  <si>
    <t>有传言说，在这片土地上，藏有《阿斯托拉尔手札》的原稿。</t>
  </si>
  <si>
    <t>TID_Survivor_Dialog_Tarot2</t>
  </si>
  <si>
    <t>传说中的古贤者阿斯托拉尔掌握了强大的禁忌魔法……</t>
  </si>
  <si>
    <t>TID_Survivor_Dialog_Tarot3</t>
  </si>
  <si>
    <t>那他亲自书写的手札原稿，是否也具有同样的力量？</t>
  </si>
  <si>
    <t>TID_Survivor_Dialog_Tarot4</t>
  </si>
  <si>
    <t>等等！圣剑在向我低语，手札的原稿就在附近！</t>
  </si>
  <si>
    <t>TID_Survivor_Dialog_Tarot6</t>
  </si>
  <si>
    <t>虽然手札只有一章，但力量已经十分惊人，如果能善加组合……</t>
  </si>
  <si>
    <t>TID_Survivor_Dialog_Tarot7</t>
  </si>
  <si>
    <t>就如同指引初代皇帝安德烈一样，贤者阿斯托拉尔，请赐下您的力量，为我们照见更多的未来吧！</t>
  </si>
  <si>
    <t>TID_NewbieStepsData_10001270_1_tipsText_GL_Share</t>
    <phoneticPr fontId="40" type="noConversion"/>
  </si>
  <si>
    <t>领主大人，先前您一定看过我带给您的诸多宝物了。如果您对奥菲利亚的珍藏还感兴趣，我想现在是时候交给您一件新的东西了……</t>
  </si>
  <si>
    <t>TID_NewbieStepsData_10001270_8_tipsText_GL_Share</t>
    <phoneticPr fontId="40" type="noConversion"/>
  </si>
  <si>
    <t>噢，还有件事。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</si>
</sst>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color rgb="FF000000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000000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9"/>
      <name val="微软雅黑"/>
      <family val="2"/>
      <charset val="134"/>
    </font>
    <font>
      <sz val="9"/>
      <color theme="0" tint="-0.34998626667073579"/>
      <name val="微软雅黑"/>
      <family val="2"/>
      <charset val="134"/>
    </font>
    <font>
      <sz val="9"/>
      <color theme="0" tint="-0.14960173345133823"/>
      <name val="微软雅黑"/>
      <family val="2"/>
      <charset val="134"/>
    </font>
    <font>
      <u/>
      <sz val="9"/>
      <color theme="10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 tint="0.249977111117893"/>
      <name val="微软雅黑"/>
      <family val="2"/>
      <charset val="134"/>
    </font>
    <font>
      <sz val="11"/>
      <color rgb="FF000000"/>
      <name val="Calibri"/>
      <family val="2"/>
    </font>
    <font>
      <sz val="9"/>
      <color rgb="FF000000"/>
      <name val="微软雅黑"/>
      <family val="2"/>
      <charset val="134"/>
    </font>
    <font>
      <sz val="11"/>
      <color rgb="FF000000"/>
      <name val="Microsoft YaHei"/>
      <charset val="134"/>
    </font>
    <font>
      <b/>
      <sz val="10"/>
      <color theme="1"/>
      <name val="微软雅黑"/>
      <family val="2"/>
      <charset val="134"/>
    </font>
    <font>
      <b/>
      <sz val="11"/>
      <color rgb="FF000000"/>
      <name val="Microsoft YaHei"/>
      <charset val="134"/>
    </font>
    <font>
      <sz val="11"/>
      <color rgb="FFFF0000"/>
      <name val="Microsoft YaHei"/>
      <charset val="134"/>
    </font>
    <font>
      <sz val="10"/>
      <name val="微软雅黑"/>
      <family val="2"/>
      <charset val="134"/>
    </font>
    <font>
      <sz val="10"/>
      <color rgb="FFDE3C36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rgb="FF000000"/>
      <name val="Calibri"/>
      <family val="2"/>
    </font>
    <font>
      <sz val="10"/>
      <color rgb="FF000000"/>
      <name val="微软雅黑"/>
      <family val="2"/>
      <charset val="134"/>
    </font>
    <font>
      <sz val="10"/>
      <color rgb="FFFF0000"/>
      <name val="Helvetica Neue"/>
      <family val="2"/>
    </font>
    <font>
      <sz val="10"/>
      <color rgb="FF000000"/>
      <name val="Helvetica Neue"/>
      <family val="2"/>
    </font>
    <font>
      <u/>
      <sz val="11"/>
      <color theme="1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0"/>
      <color rgb="FFDE3C36"/>
      <name val="Helvetica Neue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63988158818325"/>
        <bgColor indexed="64"/>
      </patternFill>
    </fill>
    <fill>
      <patternFill patternType="solid">
        <fgColor theme="7" tint="0.39963988158818325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55442976165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6398815881832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60936307870726"/>
        <bgColor indexed="64"/>
      </patternFill>
    </fill>
    <fill>
      <patternFill patternType="solid">
        <fgColor theme="5" tint="0.39960936307870726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34" fillId="0" borderId="0">
      <alignment vertical="center"/>
    </xf>
    <xf numFmtId="0" fontId="6" fillId="0" borderId="0"/>
    <xf numFmtId="0" fontId="6" fillId="0" borderId="0">
      <alignment vertical="center"/>
    </xf>
    <xf numFmtId="0" fontId="35" fillId="0" borderId="0">
      <alignment vertical="center"/>
    </xf>
  </cellStyleXfs>
  <cellXfs count="216">
    <xf numFmtId="0" fontId="0" fillId="0" borderId="0" xfId="0" applyNumberFormat="1" applyFont="1" applyFill="1" applyBorder="1">
      <alignment vertical="center"/>
    </xf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  <xf numFmtId="0" fontId="1" fillId="4" borderId="1" xfId="0" applyNumberFormat="1" applyFont="1" applyFill="1" applyBorder="1" applyAlignment="1">
      <alignment horizontal="left" vertical="center"/>
    </xf>
    <xf numFmtId="0" fontId="1" fillId="5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left" vertical="center"/>
    </xf>
    <xf numFmtId="0" fontId="5" fillId="3" borderId="1" xfId="0" applyNumberFormat="1" applyFont="1" applyFill="1" applyBorder="1" applyAlignment="1">
      <alignment horizontal="left" vertical="center"/>
    </xf>
    <xf numFmtId="0" fontId="5" fillId="4" borderId="1" xfId="0" applyNumberFormat="1" applyFont="1" applyFill="1" applyBorder="1" applyAlignment="1">
      <alignment horizontal="left" vertical="center"/>
    </xf>
    <xf numFmtId="0" fontId="5" fillId="5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/>
    <xf numFmtId="0" fontId="7" fillId="0" borderId="2" xfId="0" applyNumberFormat="1" applyFont="1" applyFill="1" applyBorder="1" applyAlignment="1">
      <alignment horizontal="left" vertical="center"/>
    </xf>
    <xf numFmtId="0" fontId="7" fillId="0" borderId="3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/>
    </xf>
    <xf numFmtId="0" fontId="5" fillId="0" borderId="6" xfId="0" applyNumberFormat="1" applyFont="1" applyFill="1" applyBorder="1" applyAlignment="1">
      <alignment horizontal="left" vertical="center"/>
    </xf>
    <xf numFmtId="0" fontId="6" fillId="0" borderId="0" xfId="0" applyNumberFormat="1" applyFont="1" applyFill="1" applyBorder="1">
      <alignment vertical="center"/>
    </xf>
    <xf numFmtId="0" fontId="9" fillId="0" borderId="4" xfId="0" applyNumberFormat="1" applyFont="1" applyFill="1" applyBorder="1" applyAlignment="1">
      <alignment horizontal="left" vertical="center"/>
    </xf>
    <xf numFmtId="0" fontId="9" fillId="6" borderId="3" xfId="0" applyNumberFormat="1" applyFont="1" applyFill="1" applyBorder="1" applyAlignment="1">
      <alignment horizontal="left" vertical="center"/>
    </xf>
    <xf numFmtId="0" fontId="0" fillId="0" borderId="6" xfId="0" applyNumberFormat="1" applyFont="1" applyFill="1" applyBorder="1" applyAlignment="1"/>
    <xf numFmtId="0" fontId="10" fillId="0" borderId="0" xfId="0" applyNumberFormat="1" applyFont="1" applyFill="1" applyBorder="1">
      <alignment vertical="center"/>
    </xf>
    <xf numFmtId="0" fontId="11" fillId="0" borderId="0" xfId="0" applyNumberFormat="1" applyFont="1" applyFill="1" applyBorder="1">
      <alignment vertical="center"/>
    </xf>
    <xf numFmtId="0" fontId="1" fillId="0" borderId="6" xfId="0" applyNumberFormat="1" applyFont="1" applyFill="1" applyBorder="1">
      <alignment vertical="center"/>
    </xf>
    <xf numFmtId="0" fontId="12" fillId="7" borderId="6" xfId="0" applyNumberFormat="1" applyFont="1" applyFill="1" applyBorder="1" applyAlignment="1">
      <alignment horizontal="left" vertical="center"/>
    </xf>
    <xf numFmtId="0" fontId="13" fillId="8" borderId="6" xfId="0" applyNumberFormat="1" applyFont="1" applyFill="1" applyBorder="1" applyAlignment="1">
      <alignment horizontal="left" vertical="center"/>
    </xf>
    <xf numFmtId="0" fontId="1" fillId="0" borderId="6" xfId="0" applyNumberFormat="1" applyFont="1" applyFill="1" applyBorder="1" applyAlignment="1">
      <alignment horizontal="left" vertical="center"/>
    </xf>
    <xf numFmtId="0" fontId="1" fillId="9" borderId="6" xfId="0" applyNumberFormat="1" applyFont="1" applyFill="1" applyBorder="1" applyAlignment="1">
      <alignment horizontal="left" vertical="center"/>
    </xf>
    <xf numFmtId="0" fontId="1" fillId="10" borderId="6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center" vertical="center"/>
    </xf>
    <xf numFmtId="0" fontId="12" fillId="11" borderId="6" xfId="0" applyNumberFormat="1" applyFont="1" applyFill="1" applyBorder="1" applyAlignment="1">
      <alignment horizontal="center"/>
    </xf>
    <xf numFmtId="0" fontId="12" fillId="11" borderId="6" xfId="0" applyNumberFormat="1" applyFont="1" applyFill="1" applyBorder="1" applyAlignment="1">
      <alignment horizontal="left"/>
    </xf>
    <xf numFmtId="0" fontId="0" fillId="12" borderId="7" xfId="0" applyNumberFormat="1" applyFont="1" applyFill="1" applyBorder="1" applyAlignment="1">
      <alignment horizontal="center"/>
    </xf>
    <xf numFmtId="0" fontId="14" fillId="8" borderId="6" xfId="0" applyNumberFormat="1" applyFont="1" applyFill="1" applyBorder="1" applyAlignment="1">
      <alignment horizontal="left"/>
    </xf>
    <xf numFmtId="0" fontId="0" fillId="0" borderId="6" xfId="0" applyNumberFormat="1" applyFont="1" applyFill="1" applyBorder="1" applyAlignment="1">
      <alignment horizontal="center" vertical="center"/>
    </xf>
    <xf numFmtId="0" fontId="14" fillId="13" borderId="6" xfId="0" applyNumberFormat="1" applyFont="1" applyFill="1" applyBorder="1" applyAlignment="1">
      <alignment horizontal="left" vertical="center"/>
    </xf>
    <xf numFmtId="0" fontId="14" fillId="13" borderId="6" xfId="0" applyNumberFormat="1" applyFont="1" applyFill="1" applyBorder="1" applyAlignment="1">
      <alignment horizontal="left" vertical="center" wrapText="1"/>
    </xf>
    <xf numFmtId="0" fontId="14" fillId="13" borderId="6" xfId="0" applyNumberFormat="1" applyFont="1" applyFill="1" applyBorder="1" applyAlignment="1">
      <alignment horizontal="left"/>
    </xf>
    <xf numFmtId="0" fontId="0" fillId="0" borderId="6" xfId="0" applyNumberFormat="1" applyFont="1" applyFill="1" applyBorder="1">
      <alignment vertical="center"/>
    </xf>
    <xf numFmtId="0" fontId="0" fillId="0" borderId="6" xfId="0" applyNumberFormat="1" applyFont="1" applyFill="1" applyBorder="1" applyAlignment="1">
      <alignment vertical="center" wrapText="1"/>
    </xf>
    <xf numFmtId="0" fontId="3" fillId="2" borderId="6" xfId="0" applyNumberFormat="1" applyFont="1" applyFill="1" applyBorder="1" applyAlignment="1">
      <alignment horizontal="left" vertical="center"/>
    </xf>
    <xf numFmtId="0" fontId="5" fillId="14" borderId="6" xfId="0" applyNumberFormat="1" applyFont="1" applyFill="1" applyBorder="1" applyAlignment="1">
      <alignment horizontal="left" vertical="center"/>
    </xf>
    <xf numFmtId="0" fontId="15" fillId="15" borderId="6" xfId="0" applyNumberFormat="1" applyFont="1" applyFill="1" applyBorder="1" applyAlignment="1">
      <alignment horizontal="left" vertical="center"/>
    </xf>
    <xf numFmtId="0" fontId="5" fillId="4" borderId="6" xfId="0" applyNumberFormat="1" applyFont="1" applyFill="1" applyBorder="1" applyAlignment="1">
      <alignment horizontal="left" vertical="center"/>
    </xf>
    <xf numFmtId="0" fontId="5" fillId="16" borderId="6" xfId="0" applyNumberFormat="1" applyFont="1" applyFill="1" applyBorder="1" applyAlignment="1">
      <alignment horizontal="left" vertical="center"/>
    </xf>
    <xf numFmtId="0" fontId="16" fillId="4" borderId="6" xfId="0" applyNumberFormat="1" applyFont="1" applyFill="1" applyBorder="1" applyAlignment="1">
      <alignment horizontal="left" vertical="center"/>
    </xf>
    <xf numFmtId="0" fontId="17" fillId="16" borderId="6" xfId="0" applyNumberFormat="1" applyFont="1" applyFill="1" applyBorder="1" applyAlignment="1">
      <alignment horizontal="left" vertical="center"/>
    </xf>
    <xf numFmtId="0" fontId="5" fillId="17" borderId="6" xfId="0" applyNumberFormat="1" applyFont="1" applyFill="1" applyBorder="1" applyAlignment="1">
      <alignment horizontal="left" vertical="center"/>
    </xf>
    <xf numFmtId="0" fontId="16" fillId="16" borderId="6" xfId="0" applyNumberFormat="1" applyFont="1" applyFill="1" applyBorder="1" applyAlignment="1">
      <alignment horizontal="left" vertical="center"/>
    </xf>
    <xf numFmtId="0" fontId="5" fillId="18" borderId="6" xfId="0" applyNumberFormat="1" applyFont="1" applyFill="1" applyBorder="1" applyAlignment="1">
      <alignment horizontal="left" vertical="center"/>
    </xf>
    <xf numFmtId="0" fontId="5" fillId="19" borderId="6" xfId="0" applyNumberFormat="1" applyFont="1" applyFill="1" applyBorder="1" applyAlignment="1">
      <alignment horizontal="left" vertical="center"/>
    </xf>
    <xf numFmtId="0" fontId="5" fillId="20" borderId="6" xfId="0" applyNumberFormat="1" applyFont="1" applyFill="1" applyBorder="1" applyAlignment="1">
      <alignment horizontal="left" vertical="center"/>
    </xf>
    <xf numFmtId="0" fontId="5" fillId="21" borderId="6" xfId="0" applyNumberFormat="1" applyFont="1" applyFill="1" applyBorder="1" applyAlignment="1">
      <alignment horizontal="left" vertical="center"/>
    </xf>
    <xf numFmtId="0" fontId="5" fillId="12" borderId="6" xfId="0" applyNumberFormat="1" applyFont="1" applyFill="1" applyBorder="1" applyAlignment="1">
      <alignment horizontal="left" vertical="center"/>
    </xf>
    <xf numFmtId="0" fontId="5" fillId="15" borderId="6" xfId="0" applyNumberFormat="1" applyFont="1" applyFill="1" applyBorder="1" applyAlignment="1">
      <alignment horizontal="left" vertical="center"/>
    </xf>
    <xf numFmtId="0" fontId="16" fillId="12" borderId="6" xfId="0" applyNumberFormat="1" applyFont="1" applyFill="1" applyBorder="1" applyAlignment="1">
      <alignment horizontal="left" vertical="center"/>
    </xf>
    <xf numFmtId="0" fontId="5" fillId="22" borderId="6" xfId="0" applyNumberFormat="1" applyFont="1" applyFill="1" applyBorder="1" applyAlignment="1">
      <alignment horizontal="left" vertical="center"/>
    </xf>
    <xf numFmtId="0" fontId="5" fillId="23" borderId="6" xfId="0" applyNumberFormat="1" applyFont="1" applyFill="1" applyBorder="1" applyAlignment="1">
      <alignment horizontal="left" vertical="center"/>
    </xf>
    <xf numFmtId="0" fontId="5" fillId="24" borderId="6" xfId="0" applyNumberFormat="1" applyFont="1" applyFill="1" applyBorder="1" applyAlignment="1">
      <alignment horizontal="left" vertical="center"/>
    </xf>
    <xf numFmtId="0" fontId="16" fillId="24" borderId="6" xfId="0" applyNumberFormat="1" applyFont="1" applyFill="1" applyBorder="1" applyAlignment="1">
      <alignment horizontal="left" vertical="center"/>
    </xf>
    <xf numFmtId="0" fontId="16" fillId="22" borderId="6" xfId="0" applyNumberFormat="1" applyFont="1" applyFill="1" applyBorder="1" applyAlignment="1">
      <alignment horizontal="left" vertical="center"/>
    </xf>
    <xf numFmtId="0" fontId="5" fillId="25" borderId="6" xfId="0" applyNumberFormat="1" applyFont="1" applyFill="1" applyBorder="1" applyAlignment="1">
      <alignment horizontal="left" vertical="center"/>
    </xf>
    <xf numFmtId="0" fontId="5" fillId="10" borderId="6" xfId="0" applyNumberFormat="1" applyFont="1" applyFill="1" applyBorder="1" applyAlignment="1">
      <alignment horizontal="left" vertical="center"/>
    </xf>
    <xf numFmtId="0" fontId="5" fillId="9" borderId="6" xfId="0" applyNumberFormat="1" applyFont="1" applyFill="1" applyBorder="1" applyAlignment="1">
      <alignment horizontal="left" vertical="center"/>
    </xf>
    <xf numFmtId="0" fontId="5" fillId="13" borderId="6" xfId="0" applyNumberFormat="1" applyFont="1" applyFill="1" applyBorder="1" applyAlignment="1">
      <alignment horizontal="left" vertical="center"/>
    </xf>
    <xf numFmtId="0" fontId="5" fillId="26" borderId="6" xfId="0" applyNumberFormat="1" applyFont="1" applyFill="1" applyBorder="1" applyAlignment="1">
      <alignment horizontal="left" vertical="center"/>
    </xf>
    <xf numFmtId="0" fontId="5" fillId="27" borderId="6" xfId="0" applyNumberFormat="1" applyFont="1" applyFill="1" applyBorder="1" applyAlignment="1">
      <alignment horizontal="left" vertical="center"/>
    </xf>
    <xf numFmtId="0" fontId="5" fillId="28" borderId="6" xfId="0" applyNumberFormat="1" applyFont="1" applyFill="1" applyBorder="1" applyAlignment="1">
      <alignment horizontal="left" vertical="center"/>
    </xf>
    <xf numFmtId="0" fontId="5" fillId="29" borderId="6" xfId="0" applyNumberFormat="1" applyFont="1" applyFill="1" applyBorder="1" applyAlignment="1">
      <alignment horizontal="left" vertical="center"/>
    </xf>
    <xf numFmtId="0" fontId="5" fillId="30" borderId="6" xfId="0" applyNumberFormat="1" applyFont="1" applyFill="1" applyBorder="1" applyAlignment="1">
      <alignment horizontal="left" vertical="center"/>
    </xf>
    <xf numFmtId="0" fontId="10" fillId="31" borderId="6" xfId="0" applyNumberFormat="1" applyFont="1" applyFill="1" applyBorder="1" applyAlignment="1">
      <alignment horizontal="left" vertical="center"/>
    </xf>
    <xf numFmtId="0" fontId="5" fillId="32" borderId="6" xfId="0" applyNumberFormat="1" applyFont="1" applyFill="1" applyBorder="1" applyAlignment="1">
      <alignment horizontal="left" vertical="center"/>
    </xf>
    <xf numFmtId="0" fontId="10" fillId="33" borderId="6" xfId="0" applyNumberFormat="1" applyFont="1" applyFill="1" applyBorder="1" applyAlignment="1">
      <alignment horizontal="left" vertical="center"/>
    </xf>
    <xf numFmtId="0" fontId="5" fillId="0" borderId="6" xfId="0" applyNumberFormat="1" applyFont="1" applyFill="1" applyBorder="1" applyAlignment="1">
      <alignment horizontal="left" vertical="center" wrapText="1"/>
    </xf>
    <xf numFmtId="0" fontId="3" fillId="14" borderId="6" xfId="0" applyNumberFormat="1" applyFont="1" applyFill="1" applyBorder="1" applyAlignment="1">
      <alignment horizontal="left"/>
    </xf>
    <xf numFmtId="0" fontId="15" fillId="15" borderId="6" xfId="0" applyNumberFormat="1" applyFont="1" applyFill="1" applyBorder="1" applyAlignment="1">
      <alignment horizontal="left"/>
    </xf>
    <xf numFmtId="0" fontId="15" fillId="0" borderId="6" xfId="0" applyNumberFormat="1" applyFont="1" applyFill="1" applyBorder="1" applyAlignment="1">
      <alignment horizontal="left" vertical="center"/>
    </xf>
    <xf numFmtId="0" fontId="15" fillId="0" borderId="6" xfId="0" applyNumberFormat="1" applyFont="1" applyFill="1" applyBorder="1" applyAlignment="1">
      <alignment horizontal="left"/>
    </xf>
    <xf numFmtId="0" fontId="3" fillId="2" borderId="6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5" fillId="34" borderId="6" xfId="0" applyNumberFormat="1" applyFont="1" applyFill="1" applyBorder="1" applyAlignment="1">
      <alignment horizontal="left" vertical="center"/>
    </xf>
    <xf numFmtId="0" fontId="15" fillId="15" borderId="6" xfId="0" applyNumberFormat="1" applyFont="1" applyFill="1" applyBorder="1" applyAlignment="1">
      <alignment horizontal="left" vertical="center" wrapText="1"/>
    </xf>
    <xf numFmtId="0" fontId="18" fillId="9" borderId="6" xfId="1" applyNumberFormat="1" applyFont="1" applyFill="1" applyBorder="1" applyAlignment="1">
      <alignment horizontal="left" vertical="center"/>
    </xf>
    <xf numFmtId="0" fontId="15" fillId="9" borderId="6" xfId="0" applyNumberFormat="1" applyFont="1" applyFill="1" applyBorder="1" applyAlignment="1">
      <alignment horizontal="left"/>
    </xf>
    <xf numFmtId="49" fontId="5" fillId="0" borderId="6" xfId="0" applyNumberFormat="1" applyFont="1" applyFill="1" applyBorder="1" applyAlignment="1">
      <alignment horizontal="left" vertical="center"/>
    </xf>
    <xf numFmtId="0" fontId="19" fillId="15" borderId="6" xfId="0" applyNumberFormat="1" applyFont="1" applyFill="1" applyBorder="1" applyAlignment="1">
      <alignment horizontal="left"/>
    </xf>
    <xf numFmtId="0" fontId="4" fillId="14" borderId="6" xfId="0" applyNumberFormat="1" applyFont="1" applyFill="1" applyBorder="1" applyAlignment="1">
      <alignment horizontal="left" vertical="center" wrapText="1"/>
    </xf>
    <xf numFmtId="0" fontId="5" fillId="0" borderId="6" xfId="0" applyNumberFormat="1" applyFont="1" applyFill="1" applyBorder="1" applyAlignment="1">
      <alignment horizontal="left"/>
    </xf>
    <xf numFmtId="0" fontId="4" fillId="14" borderId="6" xfId="0" applyNumberFormat="1" applyFont="1" applyFill="1" applyBorder="1" applyAlignment="1">
      <alignment horizontal="left" vertical="center"/>
    </xf>
    <xf numFmtId="0" fontId="4" fillId="35" borderId="6" xfId="0" applyNumberFormat="1" applyFont="1" applyFill="1" applyBorder="1" applyAlignment="1">
      <alignment horizontal="left" vertical="center"/>
    </xf>
    <xf numFmtId="0" fontId="20" fillId="0" borderId="6" xfId="2" applyNumberFormat="1" applyFont="1" applyFill="1" applyBorder="1" applyAlignment="1">
      <alignment horizontal="left" vertical="center"/>
    </xf>
    <xf numFmtId="49" fontId="5" fillId="16" borderId="6" xfId="0" applyNumberFormat="1" applyFont="1" applyFill="1" applyBorder="1" applyAlignment="1">
      <alignment horizontal="left" vertical="center"/>
    </xf>
    <xf numFmtId="0" fontId="17" fillId="16" borderId="6" xfId="0" applyNumberFormat="1" applyFont="1" applyFill="1" applyBorder="1" applyAlignment="1">
      <alignment horizontal="left" vertical="center" wrapText="1"/>
    </xf>
    <xf numFmtId="0" fontId="5" fillId="18" borderId="6" xfId="0" applyNumberFormat="1" applyFont="1" applyFill="1" applyBorder="1" applyAlignment="1">
      <alignment horizontal="left" vertical="center" wrapText="1"/>
    </xf>
    <xf numFmtId="0" fontId="5" fillId="4" borderId="6" xfId="0" applyNumberFormat="1" applyFont="1" applyFill="1" applyBorder="1" applyAlignment="1">
      <alignment horizontal="left" vertical="center" wrapText="1"/>
    </xf>
    <xf numFmtId="0" fontId="5" fillId="20" borderId="6" xfId="0" applyNumberFormat="1" applyFont="1" applyFill="1" applyBorder="1" applyAlignment="1">
      <alignment horizontal="left" vertical="center" wrapText="1"/>
    </xf>
    <xf numFmtId="0" fontId="5" fillId="21" borderId="6" xfId="0" applyNumberFormat="1" applyFont="1" applyFill="1" applyBorder="1" applyAlignment="1">
      <alignment horizontal="left" vertical="center" wrapText="1"/>
    </xf>
    <xf numFmtId="0" fontId="5" fillId="36" borderId="6" xfId="0" applyNumberFormat="1" applyFont="1" applyFill="1" applyBorder="1" applyAlignment="1">
      <alignment horizontal="left" vertical="center"/>
    </xf>
    <xf numFmtId="0" fontId="15" fillId="12" borderId="6" xfId="0" applyNumberFormat="1" applyFont="1" applyFill="1" applyBorder="1" applyAlignment="1">
      <alignment horizontal="left"/>
    </xf>
    <xf numFmtId="0" fontId="5" fillId="15" borderId="6" xfId="0" applyNumberFormat="1" applyFont="1" applyFill="1" applyBorder="1" applyAlignment="1">
      <alignment horizontal="left" vertical="center" wrapText="1"/>
    </xf>
    <xf numFmtId="0" fontId="15" fillId="22" borderId="6" xfId="0" applyNumberFormat="1" applyFont="1" applyFill="1" applyBorder="1" applyAlignment="1">
      <alignment horizontal="left" vertical="center"/>
    </xf>
    <xf numFmtId="0" fontId="15" fillId="23" borderId="6" xfId="0" applyNumberFormat="1" applyFont="1" applyFill="1" applyBorder="1" applyAlignment="1">
      <alignment horizontal="left" vertical="center"/>
    </xf>
    <xf numFmtId="0" fontId="16" fillId="12" borderId="6" xfId="0" applyNumberFormat="1" applyFont="1" applyFill="1" applyBorder="1" applyAlignment="1">
      <alignment horizontal="left"/>
    </xf>
    <xf numFmtId="0" fontId="15" fillId="22" borderId="6" xfId="0" applyNumberFormat="1" applyFont="1" applyFill="1" applyBorder="1" applyAlignment="1">
      <alignment horizontal="left"/>
    </xf>
    <xf numFmtId="0" fontId="15" fillId="23" borderId="6" xfId="0" applyNumberFormat="1" applyFont="1" applyFill="1" applyBorder="1" applyAlignment="1">
      <alignment horizontal="left"/>
    </xf>
    <xf numFmtId="0" fontId="15" fillId="24" borderId="6" xfId="0" applyNumberFormat="1" applyFont="1" applyFill="1" applyBorder="1" applyAlignment="1">
      <alignment horizontal="left"/>
    </xf>
    <xf numFmtId="0" fontId="16" fillId="24" borderId="6" xfId="0" applyNumberFormat="1" applyFont="1" applyFill="1" applyBorder="1" applyAlignment="1">
      <alignment horizontal="left"/>
    </xf>
    <xf numFmtId="0" fontId="16" fillId="22" borderId="6" xfId="0" applyNumberFormat="1" applyFont="1" applyFill="1" applyBorder="1" applyAlignment="1">
      <alignment horizontal="left"/>
    </xf>
    <xf numFmtId="0" fontId="16" fillId="9" borderId="6" xfId="0" applyNumberFormat="1" applyFont="1" applyFill="1" applyBorder="1" applyAlignment="1">
      <alignment horizontal="left" vertical="center"/>
    </xf>
    <xf numFmtId="0" fontId="5" fillId="22" borderId="6" xfId="0" applyNumberFormat="1" applyFont="1" applyFill="1" applyBorder="1" applyAlignment="1">
      <alignment horizontal="left" vertical="center" wrapText="1"/>
    </xf>
    <xf numFmtId="0" fontId="5" fillId="16" borderId="6" xfId="0" applyNumberFormat="1" applyFont="1" applyFill="1" applyBorder="1" applyAlignment="1">
      <alignment horizontal="left" vertical="center" wrapText="1"/>
    </xf>
    <xf numFmtId="0" fontId="5" fillId="10" borderId="6" xfId="0" applyNumberFormat="1" applyFont="1" applyFill="1" applyBorder="1" applyAlignment="1">
      <alignment horizontal="left" vertical="center" wrapText="1"/>
    </xf>
    <xf numFmtId="0" fontId="15" fillId="10" borderId="6" xfId="0" applyNumberFormat="1" applyFont="1" applyFill="1" applyBorder="1" applyAlignment="1">
      <alignment horizontal="left"/>
    </xf>
    <xf numFmtId="0" fontId="5" fillId="10" borderId="6" xfId="0" applyNumberFormat="1" applyFont="1" applyFill="1" applyBorder="1">
      <alignment vertical="center"/>
    </xf>
    <xf numFmtId="0" fontId="5" fillId="17" borderId="6" xfId="0" applyNumberFormat="1" applyFont="1" applyFill="1" applyBorder="1">
      <alignment vertical="center"/>
    </xf>
    <xf numFmtId="0" fontId="5" fillId="9" borderId="6" xfId="0" applyNumberFormat="1" applyFont="1" applyFill="1" applyBorder="1" applyAlignment="1">
      <alignment horizontal="left" vertical="center" wrapText="1"/>
    </xf>
    <xf numFmtId="0" fontId="21" fillId="0" borderId="0" xfId="0" applyNumberFormat="1" applyFont="1" applyFill="1" applyBorder="1" applyAlignment="1">
      <alignment horizontal="left" vertical="center" wrapText="1"/>
    </xf>
    <xf numFmtId="0" fontId="22" fillId="13" borderId="6" xfId="0" applyNumberFormat="1" applyFont="1" applyFill="1" applyBorder="1" applyAlignment="1">
      <alignment horizontal="left" vertical="center"/>
    </xf>
    <xf numFmtId="0" fontId="22" fillId="26" borderId="6" xfId="0" applyNumberFormat="1" applyFont="1" applyFill="1" applyBorder="1" applyAlignment="1">
      <alignment horizontal="left" vertical="center"/>
    </xf>
    <xf numFmtId="0" fontId="22" fillId="27" borderId="6" xfId="0" applyNumberFormat="1" applyFont="1" applyFill="1" applyBorder="1" applyAlignment="1">
      <alignment horizontal="left" vertical="center"/>
    </xf>
    <xf numFmtId="0" fontId="22" fillId="12" borderId="6" xfId="0" applyNumberFormat="1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 applyAlignment="1">
      <alignment wrapText="1"/>
    </xf>
    <xf numFmtId="0" fontId="5" fillId="37" borderId="6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Border="1" applyAlignment="1">
      <alignment horizontal="left" vertical="center" wrapText="1"/>
    </xf>
    <xf numFmtId="0" fontId="5" fillId="32" borderId="6" xfId="0" applyNumberFormat="1" applyFont="1" applyFill="1" applyBorder="1" applyAlignment="1">
      <alignment wrapText="1"/>
    </xf>
    <xf numFmtId="49" fontId="5" fillId="32" borderId="6" xfId="0" applyNumberFormat="1" applyFont="1" applyFill="1" applyBorder="1" applyAlignment="1">
      <alignment horizontal="left" vertical="center"/>
    </xf>
    <xf numFmtId="0" fontId="5" fillId="37" borderId="6" xfId="0" applyNumberFormat="1" applyFont="1" applyFill="1" applyBorder="1" applyAlignment="1">
      <alignment wrapText="1"/>
    </xf>
    <xf numFmtId="49" fontId="5" fillId="37" borderId="6" xfId="0" applyNumberFormat="1" applyFont="1" applyFill="1" applyBorder="1" applyAlignment="1">
      <alignment horizontal="left" vertical="center"/>
    </xf>
    <xf numFmtId="0" fontId="5" fillId="37" borderId="6" xfId="0" applyNumberFormat="1" applyFont="1" applyFill="1" applyBorder="1" applyAlignment="1">
      <alignment horizontal="left" vertical="center" wrapText="1"/>
    </xf>
    <xf numFmtId="0" fontId="5" fillId="32" borderId="6" xfId="0" applyNumberFormat="1" applyFont="1" applyFill="1" applyBorder="1" applyAlignment="1">
      <alignment horizontal="left" vertical="center" wrapText="1"/>
    </xf>
    <xf numFmtId="0" fontId="5" fillId="38" borderId="6" xfId="0" applyNumberFormat="1" applyFont="1" applyFill="1" applyBorder="1" applyAlignment="1">
      <alignment horizontal="left" vertical="center"/>
    </xf>
    <xf numFmtId="0" fontId="5" fillId="38" borderId="6" xfId="0" applyNumberFormat="1" applyFont="1" applyFill="1" applyBorder="1" applyAlignment="1">
      <alignment horizontal="left" vertical="center" wrapText="1"/>
    </xf>
    <xf numFmtId="49" fontId="5" fillId="38" borderId="6" xfId="0" applyNumberFormat="1" applyFont="1" applyFill="1" applyBorder="1" applyAlignment="1">
      <alignment horizontal="left" vertical="center"/>
    </xf>
    <xf numFmtId="0" fontId="9" fillId="9" borderId="4" xfId="0" applyNumberFormat="1" applyFont="1" applyFill="1" applyBorder="1" applyAlignment="1">
      <alignment horizontal="left" vertical="center"/>
    </xf>
    <xf numFmtId="0" fontId="9" fillId="9" borderId="8" xfId="0" applyNumberFormat="1" applyFont="1" applyFill="1" applyBorder="1" applyAlignment="1">
      <alignment horizontal="left" vertical="center"/>
    </xf>
    <xf numFmtId="0" fontId="21" fillId="39" borderId="4" xfId="0" applyNumberFormat="1" applyFont="1" applyFill="1" applyBorder="1" applyAlignment="1">
      <alignment horizontal="center" vertical="center" wrapText="1"/>
    </xf>
    <xf numFmtId="0" fontId="9" fillId="0" borderId="8" xfId="0" applyNumberFormat="1" applyFont="1" applyFill="1" applyBorder="1" applyAlignment="1">
      <alignment horizontal="left" vertical="center"/>
    </xf>
    <xf numFmtId="49" fontId="5" fillId="28" borderId="6" xfId="0" applyNumberFormat="1" applyFont="1" applyFill="1" applyBorder="1" applyAlignment="1">
      <alignment horizontal="left" vertical="center"/>
    </xf>
    <xf numFmtId="0" fontId="6" fillId="0" borderId="6" xfId="0" applyNumberFormat="1" applyFont="1" applyFill="1" applyBorder="1" applyAlignment="1"/>
    <xf numFmtId="0" fontId="11" fillId="0" borderId="4" xfId="0" applyNumberFormat="1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 wrapText="1"/>
    </xf>
    <xf numFmtId="0" fontId="23" fillId="39" borderId="4" xfId="0" applyNumberFormat="1" applyFont="1" applyFill="1" applyBorder="1" applyAlignment="1">
      <alignment horizontal="left" vertical="center" wrapText="1"/>
    </xf>
    <xf numFmtId="0" fontId="9" fillId="9" borderId="8" xfId="0" applyNumberFormat="1" applyFont="1" applyFill="1" applyBorder="1">
      <alignment vertical="center"/>
    </xf>
    <xf numFmtId="0" fontId="9" fillId="9" borderId="8" xfId="0" applyNumberFormat="1" applyFont="1" applyFill="1" applyBorder="1" applyAlignment="1">
      <alignment horizontal="center" vertical="center"/>
    </xf>
    <xf numFmtId="0" fontId="15" fillId="28" borderId="6" xfId="0" applyNumberFormat="1" applyFont="1" applyFill="1" applyBorder="1" applyAlignment="1">
      <alignment horizontal="left"/>
    </xf>
    <xf numFmtId="0" fontId="15" fillId="29" borderId="6" xfId="0" applyNumberFormat="1" applyFont="1" applyFill="1" applyBorder="1" applyAlignment="1">
      <alignment horizontal="left"/>
    </xf>
    <xf numFmtId="0" fontId="15" fillId="30" borderId="6" xfId="0" applyNumberFormat="1" applyFont="1" applyFill="1" applyBorder="1" applyAlignment="1">
      <alignment horizontal="left"/>
    </xf>
    <xf numFmtId="0" fontId="9" fillId="9" borderId="8" xfId="0" applyNumberFormat="1" applyFont="1" applyFill="1" applyBorder="1" applyAlignment="1">
      <alignment horizontal="left"/>
    </xf>
    <xf numFmtId="0" fontId="9" fillId="9" borderId="5" xfId="0" applyNumberFormat="1" applyFont="1" applyFill="1" applyBorder="1" applyAlignment="1">
      <alignment horizontal="left" vertical="center"/>
    </xf>
    <xf numFmtId="0" fontId="9" fillId="9" borderId="9" xfId="0" applyNumberFormat="1" applyFont="1" applyFill="1" applyBorder="1" applyAlignment="1">
      <alignment horizontal="left" vertical="center"/>
    </xf>
    <xf numFmtId="0" fontId="21" fillId="0" borderId="5" xfId="0" applyNumberFormat="1" applyFont="1" applyFill="1" applyBorder="1" applyAlignment="1">
      <alignment horizontal="center" vertical="center" wrapText="1"/>
    </xf>
    <xf numFmtId="0" fontId="9" fillId="0" borderId="5" xfId="0" applyNumberFormat="1" applyFont="1" applyFill="1" applyBorder="1" applyAlignment="1">
      <alignment horizontal="left" vertical="center"/>
    </xf>
    <xf numFmtId="0" fontId="9" fillId="0" borderId="9" xfId="0" applyNumberFormat="1" applyFont="1" applyFill="1" applyBorder="1" applyAlignment="1">
      <alignment horizontal="left" vertical="center"/>
    </xf>
    <xf numFmtId="0" fontId="21" fillId="0" borderId="10" xfId="0" applyNumberFormat="1" applyFont="1" applyFill="1" applyBorder="1" applyAlignment="1">
      <alignment horizontal="center" vertical="center" wrapText="1"/>
    </xf>
    <xf numFmtId="0" fontId="21" fillId="40" borderId="5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21" fillId="0" borderId="11" xfId="0" applyNumberFormat="1" applyFont="1" applyFill="1" applyBorder="1" applyAlignment="1">
      <alignment horizontal="center" vertical="center" wrapText="1"/>
    </xf>
    <xf numFmtId="0" fontId="21" fillId="39" borderId="5" xfId="0" applyNumberFormat="1" applyFont="1" applyFill="1" applyBorder="1" applyAlignment="1">
      <alignment horizontal="center" vertical="center" wrapText="1"/>
    </xf>
    <xf numFmtId="0" fontId="13" fillId="0" borderId="5" xfId="0" applyNumberFormat="1" applyFont="1" applyFill="1" applyBorder="1" applyAlignment="1">
      <alignment horizontal="center" vertical="center" wrapText="1"/>
    </xf>
    <xf numFmtId="0" fontId="24" fillId="31" borderId="6" xfId="0" applyNumberFormat="1" applyFont="1" applyFill="1" applyBorder="1" applyAlignment="1">
      <alignment horizontal="left" vertical="center"/>
    </xf>
    <xf numFmtId="0" fontId="23" fillId="0" borderId="5" xfId="0" applyNumberFormat="1" applyFont="1" applyFill="1" applyBorder="1" applyAlignment="1">
      <alignment horizontal="left" vertical="center" wrapText="1"/>
    </xf>
    <xf numFmtId="0" fontId="23" fillId="0" borderId="12" xfId="0" applyNumberFormat="1" applyFont="1" applyFill="1" applyBorder="1" applyAlignment="1">
      <alignment horizontal="left" vertical="center" wrapText="1"/>
    </xf>
    <xf numFmtId="0" fontId="23" fillId="0" borderId="13" xfId="0" applyNumberFormat="1" applyFont="1" applyFill="1" applyBorder="1" applyAlignment="1">
      <alignment horizontal="left" vertical="center" wrapText="1"/>
    </xf>
    <xf numFmtId="0" fontId="25" fillId="0" borderId="5" xfId="0" applyNumberFormat="1" applyFont="1" applyFill="1" applyBorder="1" applyAlignment="1">
      <alignment horizontal="left" vertical="center" wrapText="1"/>
    </xf>
    <xf numFmtId="0" fontId="23" fillId="40" borderId="5" xfId="0" applyNumberFormat="1" applyFont="1" applyFill="1" applyBorder="1" applyAlignment="1">
      <alignment horizontal="left" vertical="center" wrapText="1"/>
    </xf>
    <xf numFmtId="0" fontId="23" fillId="0" borderId="11" xfId="0" applyNumberFormat="1" applyFont="1" applyFill="1" applyBorder="1" applyAlignment="1">
      <alignment horizontal="left" vertical="center" wrapText="1"/>
    </xf>
    <xf numFmtId="0" fontId="26" fillId="0" borderId="5" xfId="0" applyNumberFormat="1" applyFont="1" applyFill="1" applyBorder="1" applyAlignment="1">
      <alignment horizontal="left" vertical="center" wrapText="1"/>
    </xf>
    <xf numFmtId="0" fontId="23" fillId="39" borderId="5" xfId="0" applyNumberFormat="1" applyFont="1" applyFill="1" applyBorder="1" applyAlignment="1">
      <alignment horizontal="left" vertical="center" wrapText="1"/>
    </xf>
    <xf numFmtId="0" fontId="9" fillId="9" borderId="9" xfId="0" applyNumberFormat="1" applyFont="1" applyFill="1" applyBorder="1">
      <alignment vertical="center"/>
    </xf>
    <xf numFmtId="0" fontId="9" fillId="9" borderId="9" xfId="0" applyNumberFormat="1" applyFont="1" applyFill="1" applyBorder="1" applyAlignment="1">
      <alignment horizontal="center" vertical="center"/>
    </xf>
    <xf numFmtId="0" fontId="9" fillId="9" borderId="9" xfId="0" applyNumberFormat="1" applyFont="1" applyFill="1" applyBorder="1" applyAlignment="1">
      <alignment horizontal="left"/>
    </xf>
    <xf numFmtId="0" fontId="27" fillId="31" borderId="6" xfId="0" applyNumberFormat="1" applyFont="1" applyFill="1" applyBorder="1" applyAlignment="1">
      <alignment horizontal="left"/>
    </xf>
    <xf numFmtId="0" fontId="11" fillId="32" borderId="4" xfId="0" applyNumberFormat="1" applyFont="1" applyFill="1" applyBorder="1" applyAlignment="1">
      <alignment horizontal="left" vertical="center"/>
    </xf>
    <xf numFmtId="0" fontId="15" fillId="32" borderId="6" xfId="0" applyNumberFormat="1" applyFont="1" applyFill="1" applyBorder="1" applyAlignment="1">
      <alignment horizontal="left" vertical="center"/>
    </xf>
    <xf numFmtId="0" fontId="11" fillId="23" borderId="4" xfId="0" applyNumberFormat="1" applyFont="1" applyFill="1" applyBorder="1" applyAlignment="1">
      <alignment horizontal="left" vertical="center"/>
    </xf>
    <xf numFmtId="0" fontId="6" fillId="32" borderId="6" xfId="0" applyNumberFormat="1" applyFont="1" applyFill="1" applyBorder="1" applyAlignment="1"/>
    <xf numFmtId="0" fontId="11" fillId="32" borderId="4" xfId="0" applyNumberFormat="1" applyFont="1" applyFill="1" applyBorder="1" applyAlignment="1">
      <alignment horizontal="left" vertical="center" wrapText="1"/>
    </xf>
    <xf numFmtId="0" fontId="6" fillId="23" borderId="6" xfId="0" applyNumberFormat="1" applyFont="1" applyFill="1" applyBorder="1" applyAlignment="1"/>
    <xf numFmtId="0" fontId="11" fillId="23" borderId="4" xfId="0" applyNumberFormat="1" applyFont="1" applyFill="1" applyBorder="1" applyAlignment="1">
      <alignment horizontal="left" vertical="center" wrapText="1"/>
    </xf>
    <xf numFmtId="0" fontId="5" fillId="23" borderId="6" xfId="0" applyFont="1" applyFill="1" applyBorder="1" applyAlignment="1">
      <alignment horizontal="left" vertical="center"/>
    </xf>
    <xf numFmtId="0" fontId="28" fillId="23" borderId="4" xfId="0" applyNumberFormat="1" applyFont="1" applyFill="1" applyBorder="1" applyAlignment="1">
      <alignment horizontal="left" vertical="center" wrapText="1"/>
    </xf>
    <xf numFmtId="0" fontId="10" fillId="32" borderId="6" xfId="0" applyNumberFormat="1" applyFont="1" applyFill="1" applyBorder="1" applyAlignment="1">
      <alignment horizontal="left" vertical="center"/>
    </xf>
    <xf numFmtId="0" fontId="10" fillId="23" borderId="6" xfId="0" applyNumberFormat="1" applyFont="1" applyFill="1" applyBorder="1" applyAlignment="1">
      <alignment horizontal="left" vertical="center"/>
    </xf>
    <xf numFmtId="0" fontId="29" fillId="0" borderId="0" xfId="0" applyNumberFormat="1" applyFont="1" applyFill="1" applyBorder="1" applyAlignment="1">
      <alignment horizontal="left" vertical="center"/>
    </xf>
    <xf numFmtId="0" fontId="30" fillId="0" borderId="0" xfId="0" applyNumberFormat="1" applyFont="1" applyFill="1" applyBorder="1" applyAlignment="1">
      <alignment horizontal="left" vertical="center"/>
    </xf>
    <xf numFmtId="0" fontId="31" fillId="0" borderId="0" xfId="0" applyNumberFormat="1" applyFont="1" applyFill="1" applyBorder="1" applyAlignment="1">
      <alignment horizontal="left" vertical="center"/>
    </xf>
    <xf numFmtId="0" fontId="11" fillId="9" borderId="4" xfId="0" applyNumberFormat="1" applyFont="1" applyFill="1" applyBorder="1" applyAlignment="1">
      <alignment horizontal="left" vertical="center"/>
    </xf>
    <xf numFmtId="0" fontId="15" fillId="9" borderId="6" xfId="0" applyNumberFormat="1" applyFont="1" applyFill="1" applyBorder="1" applyAlignment="1">
      <alignment horizontal="left" vertical="center"/>
    </xf>
    <xf numFmtId="0" fontId="6" fillId="9" borderId="6" xfId="0" applyNumberFormat="1" applyFont="1" applyFill="1" applyBorder="1" applyAlignment="1"/>
    <xf numFmtId="0" fontId="11" fillId="9" borderId="4" xfId="0" applyNumberFormat="1" applyFont="1" applyFill="1" applyBorder="1" applyAlignment="1">
      <alignment horizontal="left" vertical="center" wrapText="1"/>
    </xf>
    <xf numFmtId="0" fontId="5" fillId="32" borderId="6" xfId="0" applyFont="1" applyFill="1" applyBorder="1" applyAlignment="1">
      <alignment horizontal="left" vertical="center"/>
    </xf>
    <xf numFmtId="0" fontId="10" fillId="9" borderId="6" xfId="0" applyNumberFormat="1" applyFont="1" applyFill="1" applyBorder="1" applyAlignment="1">
      <alignment horizontal="left" vertical="center"/>
    </xf>
    <xf numFmtId="0" fontId="29" fillId="32" borderId="4" xfId="0" applyNumberFormat="1" applyFont="1" applyFill="1" applyBorder="1" applyAlignment="1">
      <alignment horizontal="left" vertical="center" wrapText="1"/>
    </xf>
    <xf numFmtId="0" fontId="32" fillId="32" borderId="4" xfId="0" applyNumberFormat="1" applyFont="1" applyFill="1" applyBorder="1" applyAlignment="1">
      <alignment horizontal="left" vertical="center" wrapText="1"/>
    </xf>
    <xf numFmtId="0" fontId="33" fillId="32" borderId="4" xfId="0" applyNumberFormat="1" applyFont="1" applyFill="1" applyBorder="1" applyAlignment="1">
      <alignment horizontal="left" vertical="center" wrapText="1"/>
    </xf>
    <xf numFmtId="0" fontId="24" fillId="33" borderId="6" xfId="0" applyNumberFormat="1" applyFont="1" applyFill="1" applyBorder="1" applyAlignment="1">
      <alignment horizontal="left" vertical="center"/>
    </xf>
    <xf numFmtId="0" fontId="11" fillId="0" borderId="4" xfId="0" applyNumberFormat="1" applyFont="1" applyFill="1" applyBorder="1" applyAlignment="1">
      <alignment horizontal="left" vertical="center" wrapText="1"/>
    </xf>
    <xf numFmtId="0" fontId="27" fillId="33" borderId="6" xfId="0" applyNumberFormat="1" applyFont="1" applyFill="1" applyBorder="1" applyAlignment="1">
      <alignment horizontal="left"/>
    </xf>
    <xf numFmtId="0" fontId="5" fillId="32" borderId="6" xfId="0" quotePrefix="1" applyNumberFormat="1" applyFont="1" applyFill="1" applyBorder="1" applyAlignment="1">
      <alignment horizontal="left" vertical="center"/>
    </xf>
    <xf numFmtId="0" fontId="39" fillId="0" borderId="6" xfId="0" applyFont="1" applyBorder="1" applyAlignment="1">
      <alignment horizontal="left" vertical="center"/>
    </xf>
    <xf numFmtId="0" fontId="39" fillId="41" borderId="6" xfId="0" applyFont="1" applyFill="1" applyBorder="1" applyAlignment="1">
      <alignment horizontal="left" vertical="center"/>
    </xf>
    <xf numFmtId="0" fontId="39" fillId="42" borderId="6" xfId="0" applyFont="1" applyFill="1" applyBorder="1" applyAlignment="1">
      <alignment horizontal="left" vertical="center"/>
    </xf>
    <xf numFmtId="0" fontId="39" fillId="43" borderId="6" xfId="0" applyFont="1" applyFill="1" applyBorder="1" applyAlignment="1">
      <alignment horizontal="left" vertical="center"/>
    </xf>
    <xf numFmtId="0" fontId="39" fillId="44" borderId="6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41" borderId="6" xfId="0" applyFont="1" applyFill="1" applyBorder="1" applyAlignment="1">
      <alignment horizontal="left" vertical="center"/>
    </xf>
    <xf numFmtId="0" fontId="5" fillId="42" borderId="6" xfId="0" applyFont="1" applyFill="1" applyBorder="1" applyAlignment="1">
      <alignment horizontal="left" vertical="center"/>
    </xf>
    <xf numFmtId="0" fontId="5" fillId="43" borderId="6" xfId="0" applyFont="1" applyFill="1" applyBorder="1" applyAlignment="1">
      <alignment horizontal="left" vertical="center"/>
    </xf>
    <xf numFmtId="0" fontId="5" fillId="44" borderId="6" xfId="0" applyFont="1" applyFill="1" applyBorder="1" applyAlignment="1">
      <alignment horizontal="left" vertical="center"/>
    </xf>
  </cellXfs>
  <cellStyles count="5">
    <cellStyle name="常规" xfId="0" builtinId="0"/>
    <cellStyle name="常规 2" xfId="2" xr:uid="{00000000-0005-0000-0000-000031000000}"/>
    <cellStyle name="常规 2 2" xfId="3" xr:uid="{00000000-0005-0000-0000-000032000000}"/>
    <cellStyle name="常规 3" xfId="4" xr:uid="{00000000-0005-0000-0000-000033000000}"/>
    <cellStyle name="超链接" xfId="1" builtinId="8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ameDesigner_Art_CBT3/common/resources/xls/Main/D_&#23545;&#35805;&#37197;1&#32622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_ttccai\Desktop\D1_&#23545;&#35805;&#37197;&#32622;&#3492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_ttccai\Desktop\D_&#23545;1&#35805;&#37197;&#3262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对话配置表"/>
      <sheetName val="Spine配置表"/>
      <sheetName val="#Sheet2"/>
      <sheetName val="#Sheet1"/>
      <sheetName val="#名称Key"/>
      <sheetName val="#对话模型配置"/>
      <sheetName val="#TID_base_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角色名称</v>
          </cell>
          <cell r="B1" t="str">
            <v>文本</v>
          </cell>
          <cell r="C1" t="str">
            <v>是否使用3D播放</v>
          </cell>
          <cell r="D1" t="str">
            <v>语音和背景音</v>
          </cell>
          <cell r="E1" t="str">
            <v>语音和背景结束音</v>
          </cell>
          <cell r="F1" t="str">
            <v>口型配置</v>
          </cell>
          <cell r="G1" t="str">
            <v>自动关闭时间</v>
          </cell>
          <cell r="H1" t="str">
            <v>角色模型</v>
          </cell>
          <cell r="I1" t="str">
            <v>表演动作</v>
          </cell>
          <cell r="J1" t="str">
            <v>蓝图objID</v>
          </cell>
          <cell r="K1" t="str">
            <v>角色名字key</v>
          </cell>
          <cell r="L1" t="str">
            <v>图集路径</v>
          </cell>
          <cell r="M1" t="str">
            <v>海外新手用图集</v>
          </cell>
          <cell r="N1" t="str">
            <v>海外新手用头像</v>
          </cell>
        </row>
        <row r="2">
          <cell r="A2" t="str">
            <v>name</v>
          </cell>
          <cell r="B2" t="str">
            <v>textList</v>
          </cell>
          <cell r="C2" t="str">
            <v>isIn3D</v>
          </cell>
          <cell r="D2" t="str">
            <v>voiceList[|]</v>
          </cell>
          <cell r="E2" t="str">
            <v>endVoiceList[|]</v>
          </cell>
          <cell r="G2" t="str">
            <v>endTime</v>
          </cell>
          <cell r="H2" t="str">
            <v>npcId</v>
          </cell>
          <cell r="I2" t="str">
            <v>animationName</v>
          </cell>
          <cell r="J2" t="str">
            <v>BPobjID</v>
          </cell>
          <cell r="K2" t="str">
            <v>hideBlur</v>
          </cell>
          <cell r="L2" t="str">
            <v>altasPath</v>
          </cell>
          <cell r="M2" t="str">
            <v>altasPath</v>
          </cell>
          <cell r="N2" t="str">
            <v>picture</v>
          </cell>
        </row>
        <row r="3">
          <cell r="A3" t="str">
            <v>帝国斥候</v>
          </cell>
          <cell r="G3">
            <v>10</v>
          </cell>
          <cell r="H3">
            <v>20001001</v>
          </cell>
          <cell r="I3" t="str">
            <v>chapter_1_6</v>
          </cell>
          <cell r="L3" t="str">
            <v>icon_guidechara.smash</v>
          </cell>
        </row>
        <row r="4">
          <cell r="A4" t="str">
            <v>安德莉娅</v>
          </cell>
          <cell r="G4">
            <v>10</v>
          </cell>
          <cell r="H4">
            <v>30001001</v>
          </cell>
          <cell r="I4" t="str">
            <v>chapter_1_2</v>
          </cell>
          <cell r="L4" t="str">
            <v>icon_guidechara.smash</v>
          </cell>
          <cell r="M4" t="str">
            <v>icon_newbie</v>
          </cell>
          <cell r="N4" t="str">
            <v>newbie_oversea_andrea</v>
          </cell>
        </row>
        <row r="5">
          <cell r="A5" t="str">
            <v>尤里乌斯</v>
          </cell>
          <cell r="G5">
            <v>10</v>
          </cell>
          <cell r="H5">
            <v>20001003</v>
          </cell>
          <cell r="I5" t="str">
            <v>Idle</v>
          </cell>
          <cell r="L5" t="str">
            <v>icon_guidechara.smash</v>
          </cell>
        </row>
        <row r="6">
          <cell r="A6" t="str">
            <v>关羽</v>
          </cell>
          <cell r="G6">
            <v>10</v>
          </cell>
          <cell r="H6">
            <v>20001004</v>
          </cell>
          <cell r="I6" t="str">
            <v>Idle</v>
          </cell>
          <cell r="L6" t="str">
            <v>icon_guidechara.smash</v>
          </cell>
        </row>
        <row r="7">
          <cell r="A7" t="str">
            <v>魏兰</v>
          </cell>
          <cell r="G7">
            <v>10</v>
          </cell>
          <cell r="H7">
            <v>20001005</v>
          </cell>
          <cell r="I7" t="str">
            <v>chapter_1_2</v>
          </cell>
          <cell r="L7" t="str">
            <v>icon_guidechara.smash</v>
          </cell>
        </row>
        <row r="8">
          <cell r="A8" t="str">
            <v>皇帝</v>
          </cell>
          <cell r="G8">
            <v>10</v>
          </cell>
          <cell r="H8">
            <v>20001006</v>
          </cell>
          <cell r="I8" t="str">
            <v>chapter_2_13</v>
          </cell>
          <cell r="L8" t="str">
            <v>icon_guidechara.smash</v>
          </cell>
        </row>
        <row r="9">
          <cell r="A9" t="str">
            <v>花木兰</v>
          </cell>
          <cell r="G9">
            <v>10</v>
          </cell>
          <cell r="H9">
            <v>20001005</v>
          </cell>
          <cell r="I9" t="str">
            <v>chapter_1_2</v>
          </cell>
          <cell r="L9" t="str">
            <v>icon_guidechara.smash</v>
          </cell>
        </row>
        <row r="10">
          <cell r="A10" t="str">
            <v>凯撒</v>
          </cell>
          <cell r="G10">
            <v>10</v>
          </cell>
          <cell r="H10">
            <v>20001003</v>
          </cell>
          <cell r="I10" t="str">
            <v>Idle</v>
          </cell>
          <cell r="L10" t="str">
            <v>icon_guidechara.smash</v>
          </cell>
        </row>
        <row r="11">
          <cell r="A11" t="str">
            <v>李白</v>
          </cell>
          <cell r="H11">
            <v>20001099</v>
          </cell>
        </row>
        <row r="12">
          <cell r="A12" t="str">
            <v>贞德</v>
          </cell>
          <cell r="G12">
            <v>10</v>
          </cell>
          <cell r="H12">
            <v>30001002</v>
          </cell>
          <cell r="I12" t="str">
            <v>chapter_1_2</v>
          </cell>
          <cell r="K12" t="str">
            <v>TID_DialogueConf_1060715_name_CN_Main</v>
          </cell>
          <cell r="L12" t="str">
            <v>icon_guidechara.smash</v>
          </cell>
          <cell r="M12" t="str">
            <v>icon_newbie</v>
          </cell>
          <cell r="N12" t="str">
            <v>newbie_oversea_joa</v>
          </cell>
        </row>
        <row r="13">
          <cell r="A13" t="str">
            <v>副官</v>
          </cell>
          <cell r="G13">
            <v>10</v>
          </cell>
          <cell r="H13">
            <v>30001003</v>
          </cell>
          <cell r="I13" t="str">
            <v>Idle</v>
          </cell>
          <cell r="K13" t="str">
            <v>TID_DialogueConf_1060001_name_CN_Main</v>
          </cell>
          <cell r="L13" t="str">
            <v>icon_guidechara.smash</v>
          </cell>
          <cell r="M13" t="str">
            <v>icon_newbie</v>
          </cell>
          <cell r="N13" t="str">
            <v>newbie_oversea_axe</v>
          </cell>
        </row>
        <row r="14">
          <cell r="A14" t="str">
            <v>村民</v>
          </cell>
          <cell r="K14" t="str">
            <v>TID_DialogueConf_1060611_name_CN_Main</v>
          </cell>
          <cell r="M14" t="str">
            <v>icon_newbie</v>
          </cell>
          <cell r="N14" t="str">
            <v>newbie_oversea_farmer</v>
          </cell>
        </row>
        <row r="15">
          <cell r="A15" t="str">
            <v>乌尔丁</v>
          </cell>
          <cell r="K15" t="str">
            <v>TID_DialogueConf_1060607_name_CN_Main</v>
          </cell>
          <cell r="M15" t="str">
            <v>icon_newbie</v>
          </cell>
          <cell r="N15" t="str">
            <v>newbie_oversea_enemy</v>
          </cell>
        </row>
        <row r="16">
          <cell r="A16" t="str">
            <v>血手阿提卡</v>
          </cell>
          <cell r="K16" t="str">
            <v>TID_DialogueConf_1060620_name_CN_Main</v>
          </cell>
          <cell r="M16" t="str">
            <v>icon_newbie</v>
          </cell>
          <cell r="N16" t="str">
            <v>newbie_oversea_attila</v>
          </cell>
        </row>
        <row r="17">
          <cell r="A17" t="str">
            <v>安德莉亚</v>
          </cell>
          <cell r="K17" t="str">
            <v>TID_DialogueConf_1060001_name_337966742914_CN_Main</v>
          </cell>
          <cell r="M17" t="str">
            <v>icon_newbie</v>
          </cell>
          <cell r="N17" t="str">
            <v>newbie_oversea_andrea</v>
          </cell>
        </row>
        <row r="18">
          <cell r="A18" t="str">
            <v>凯恩</v>
          </cell>
          <cell r="M18" t="str">
            <v>icon_newbie</v>
          </cell>
          <cell r="N18" t="str">
            <v>newbie_oversea_leo</v>
          </cell>
        </row>
        <row r="19">
          <cell r="A19" t="str">
            <v>肖恩</v>
          </cell>
          <cell r="M19" t="str">
            <v>icon_newbie</v>
          </cell>
          <cell r="N19" t="str">
            <v>newbie_oversea_leo</v>
          </cell>
        </row>
        <row r="20">
          <cell r="A20" t="str">
            <v>蒙杜克</v>
          </cell>
          <cell r="K20" t="str">
            <v>TID_Name_mengduke_CN_Main</v>
          </cell>
          <cell r="M20" t="str">
            <v>icon_newbie</v>
          </cell>
          <cell r="N20" t="str">
            <v>newbie_oversea_monduk</v>
          </cell>
        </row>
        <row r="21">
          <cell r="A21" t="str">
            <v>士兵</v>
          </cell>
          <cell r="K21" t="str">
            <v>TID_Name_shibing_CN_Main</v>
          </cell>
          <cell r="M21" t="str">
            <v>icon_newbie</v>
          </cell>
          <cell r="N21" t="str">
            <v>newbie_oversea_leo</v>
          </cell>
        </row>
        <row r="22">
          <cell r="A22" t="str">
            <v>蛮族</v>
          </cell>
          <cell r="M22" t="str">
            <v>icon_newbie</v>
          </cell>
          <cell r="N22" t="str">
            <v>newbie_oversea_enemy</v>
          </cell>
        </row>
        <row r="23">
          <cell r="A23" t="str">
            <v>温德</v>
          </cell>
          <cell r="K23" t="str">
            <v>TID_Name_wende_CN_Main</v>
          </cell>
          <cell r="M23" t="str">
            <v>icon_newbie</v>
          </cell>
          <cell r="N23" t="str">
            <v>newbie_oversea_leo</v>
          </cell>
        </row>
        <row r="24">
          <cell r="A24" t="str">
            <v>图尔坎</v>
          </cell>
          <cell r="K24" t="str">
            <v>TID_Name_tuerkan_CN_Main</v>
          </cell>
          <cell r="M24" t="str">
            <v>icon_newbie</v>
          </cell>
          <cell r="N24" t="str">
            <v>newbie_oversea_enemy</v>
          </cell>
        </row>
        <row r="25">
          <cell r="A25" t="str">
            <v>保罗</v>
          </cell>
          <cell r="K25" t="str">
            <v>TID_Name_baoluo_CN_Main</v>
          </cell>
          <cell r="M25" t="str">
            <v>icon_newbie</v>
          </cell>
          <cell r="N25" t="str">
            <v>newbie_oversea_enemy</v>
          </cell>
        </row>
        <row r="26">
          <cell r="A26" t="str">
            <v>蛮族士兵</v>
          </cell>
          <cell r="K26" t="str">
            <v>TID_Name_manzushibing_CN_Main</v>
          </cell>
          <cell r="M26" t="str">
            <v>icon_newbie</v>
          </cell>
          <cell r="N26" t="str">
            <v>newbie_oversea_leo</v>
          </cell>
        </row>
        <row r="27">
          <cell r="A27" t="str">
            <v>研究员</v>
          </cell>
          <cell r="K27" t="str">
            <v>TID_Name_yanjiuyuan_CN_Main</v>
          </cell>
          <cell r="M27" t="str">
            <v>icon_newbie</v>
          </cell>
          <cell r="N27" t="str">
            <v>newbie_oversea_enemy</v>
          </cell>
        </row>
        <row r="28">
          <cell r="A28" t="str">
            <v>珍妮</v>
          </cell>
          <cell r="K28" t="str">
            <v>TID_Name_zhenni_CN_Main</v>
          </cell>
          <cell r="M28" t="str">
            <v>icon_newbie</v>
          </cell>
          <cell r="N28" t="str">
            <v>newbie_oversea_leo</v>
          </cell>
        </row>
        <row r="29">
          <cell r="A29" t="str">
            <v>陌生的来客</v>
          </cell>
          <cell r="K29" t="str">
            <v>TID_Dialogue_Character_4</v>
          </cell>
        </row>
        <row r="30">
          <cell r="A30" t="str">
            <v>凯撒</v>
          </cell>
          <cell r="K30" t="str">
            <v>TID_Dialogue_Character_5</v>
          </cell>
        </row>
        <row r="31">
          <cell r="A31" t="str">
            <v>蛮族</v>
          </cell>
          <cell r="K31" t="str">
            <v>TID_Dialogue_Character_6</v>
          </cell>
        </row>
        <row r="32">
          <cell r="A32" t="str">
            <v>克洛维</v>
          </cell>
          <cell r="K32" t="str">
            <v>TID_Dialogue_Character_7</v>
          </cell>
        </row>
        <row r="33">
          <cell r="A33" t="str">
            <v>撕裂者</v>
          </cell>
          <cell r="K33" t="str">
            <v>TID_Dialogue_Character_8</v>
          </cell>
        </row>
        <row r="34">
          <cell r="A34" t="str">
            <v>墨西</v>
          </cell>
          <cell r="K34" t="str">
            <v>TID_Dialogue_Character_9</v>
          </cell>
        </row>
        <row r="35">
          <cell r="A35" t="str">
            <v>克鲁维斯</v>
          </cell>
          <cell r="K35" t="str">
            <v>TID_Dialogue_Character_10</v>
          </cell>
        </row>
      </sheetData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对话配置表"/>
      <sheetName val="Spine配置表"/>
      <sheetName val="#Sheet2"/>
      <sheetName val="#Sheet1"/>
      <sheetName val="#名称Key"/>
      <sheetName val="#对话模型配置"/>
      <sheetName val="#TID_base_up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角色名称</v>
          </cell>
          <cell r="B1" t="str">
            <v>策划用模型</v>
          </cell>
          <cell r="C1" t="str">
            <v>文本</v>
          </cell>
          <cell r="D1" t="str">
            <v>是否使用3D播放</v>
          </cell>
          <cell r="E1" t="str">
            <v>语音和背景音</v>
          </cell>
          <cell r="F1" t="str">
            <v>语音和背景结束音</v>
          </cell>
          <cell r="G1" t="str">
            <v>口型配置</v>
          </cell>
          <cell r="H1" t="str">
            <v>自动关闭时间</v>
          </cell>
          <cell r="I1" t="str">
            <v>角色模型</v>
          </cell>
          <cell r="J1" t="str">
            <v>表演动作</v>
          </cell>
          <cell r="K1" t="str">
            <v>蓝图objID</v>
          </cell>
          <cell r="L1" t="str">
            <v>角色名字key</v>
          </cell>
          <cell r="M1" t="str">
            <v>图集路径</v>
          </cell>
          <cell r="N1" t="str">
            <v>海外新手用图集</v>
          </cell>
          <cell r="O1" t="str">
            <v>海外新手用头像</v>
          </cell>
        </row>
        <row r="2">
          <cell r="A2" t="str">
            <v>name</v>
          </cell>
          <cell r="C2" t="str">
            <v>textList</v>
          </cell>
          <cell r="D2" t="str">
            <v>isIn3D</v>
          </cell>
          <cell r="E2" t="str">
            <v>voiceList[|]</v>
          </cell>
          <cell r="F2" t="str">
            <v>endVoiceList[|]</v>
          </cell>
          <cell r="H2" t="str">
            <v>endTime</v>
          </cell>
          <cell r="I2" t="str">
            <v>npcId</v>
          </cell>
          <cell r="J2" t="str">
            <v>animationName</v>
          </cell>
          <cell r="K2" t="str">
            <v>BPobjID</v>
          </cell>
          <cell r="L2" t="str">
            <v>hideBlur</v>
          </cell>
          <cell r="M2" t="str">
            <v>altasPath</v>
          </cell>
          <cell r="N2" t="str">
            <v>altasPath</v>
          </cell>
          <cell r="O2" t="str">
            <v>picture</v>
          </cell>
        </row>
        <row r="3">
          <cell r="A3" t="str">
            <v>帝国斥候</v>
          </cell>
          <cell r="H3">
            <v>10</v>
          </cell>
          <cell r="I3">
            <v>20001001</v>
          </cell>
          <cell r="J3" t="str">
            <v>chapter_1_6</v>
          </cell>
          <cell r="M3" t="str">
            <v>icon_guidechara.smash</v>
          </cell>
        </row>
        <row r="4">
          <cell r="A4" t="str">
            <v>安德莉娅</v>
          </cell>
          <cell r="H4">
            <v>10</v>
          </cell>
          <cell r="I4">
            <v>30001001</v>
          </cell>
          <cell r="J4" t="str">
            <v>chapter_1_2</v>
          </cell>
          <cell r="M4" t="str">
            <v>icon_guidechara.smash</v>
          </cell>
          <cell r="N4" t="str">
            <v>icon_newbie</v>
          </cell>
          <cell r="O4" t="str">
            <v>newbie_oversea_andrea</v>
          </cell>
        </row>
        <row r="5">
          <cell r="A5" t="str">
            <v>尤里乌斯</v>
          </cell>
          <cell r="H5">
            <v>10</v>
          </cell>
          <cell r="I5">
            <v>20001003</v>
          </cell>
          <cell r="J5" t="str">
            <v>Idle</v>
          </cell>
          <cell r="M5" t="str">
            <v>icon_guidechara.smash</v>
          </cell>
        </row>
        <row r="6">
          <cell r="A6" t="str">
            <v>关羽</v>
          </cell>
          <cell r="H6">
            <v>10</v>
          </cell>
          <cell r="I6">
            <v>20001004</v>
          </cell>
          <cell r="J6" t="str">
            <v>Idle</v>
          </cell>
          <cell r="M6" t="str">
            <v>icon_guidechara.smash</v>
          </cell>
        </row>
        <row r="7">
          <cell r="A7" t="str">
            <v>魏兰</v>
          </cell>
          <cell r="H7">
            <v>10</v>
          </cell>
          <cell r="I7">
            <v>20001005</v>
          </cell>
          <cell r="J7" t="str">
            <v>chapter_1_2</v>
          </cell>
          <cell r="M7" t="str">
            <v>icon_guidechara.smash</v>
          </cell>
        </row>
        <row r="8">
          <cell r="A8" t="str">
            <v>皇帝</v>
          </cell>
          <cell r="H8">
            <v>10</v>
          </cell>
          <cell r="I8">
            <v>20001006</v>
          </cell>
          <cell r="J8" t="str">
            <v>chapter_2_13</v>
          </cell>
          <cell r="M8" t="str">
            <v>icon_guidechara.smash</v>
          </cell>
        </row>
        <row r="9">
          <cell r="A9" t="str">
            <v>花木兰</v>
          </cell>
          <cell r="H9">
            <v>10</v>
          </cell>
          <cell r="I9">
            <v>20001005</v>
          </cell>
          <cell r="J9" t="str">
            <v>chapter_1_2</v>
          </cell>
          <cell r="M9" t="str">
            <v>icon_guidechara.smash</v>
          </cell>
        </row>
        <row r="10">
          <cell r="A10" t="str">
            <v>尤里乌斯</v>
          </cell>
          <cell r="H10">
            <v>10</v>
          </cell>
          <cell r="I10">
            <v>20001003</v>
          </cell>
          <cell r="J10" t="str">
            <v>Idle</v>
          </cell>
          <cell r="M10" t="str">
            <v>icon_guidechara.smash</v>
          </cell>
        </row>
        <row r="11">
          <cell r="A11" t="str">
            <v>李白</v>
          </cell>
          <cell r="I11">
            <v>20001099</v>
          </cell>
        </row>
        <row r="12">
          <cell r="A12" t="str">
            <v>贞德</v>
          </cell>
          <cell r="B12">
            <v>110002</v>
          </cell>
          <cell r="H12">
            <v>10</v>
          </cell>
          <cell r="I12">
            <v>30001002</v>
          </cell>
          <cell r="J12" t="str">
            <v>chapter_1_2</v>
          </cell>
          <cell r="L12" t="str">
            <v>TID_DialogueConf_1060715_name_CN_Main</v>
          </cell>
          <cell r="M12" t="str">
            <v>icon_guidechara.smash</v>
          </cell>
          <cell r="N12" t="str">
            <v>icon_newbie</v>
          </cell>
          <cell r="O12" t="str">
            <v>newbie_oversea_joa</v>
          </cell>
        </row>
        <row r="13">
          <cell r="A13" t="str">
            <v>副官</v>
          </cell>
          <cell r="B13">
            <v>110008</v>
          </cell>
          <cell r="H13">
            <v>10</v>
          </cell>
          <cell r="I13">
            <v>30001003</v>
          </cell>
          <cell r="J13" t="str">
            <v>Idle</v>
          </cell>
          <cell r="L13" t="str">
            <v>TID_DialogueConf_1060001_name_CN_Main</v>
          </cell>
          <cell r="M13" t="str">
            <v>icon_guidechara.smash</v>
          </cell>
          <cell r="N13" t="str">
            <v>icon_newbie</v>
          </cell>
          <cell r="O13" t="str">
            <v>newbie_oversea_axe</v>
          </cell>
        </row>
        <row r="14">
          <cell r="A14" t="str">
            <v>村民</v>
          </cell>
          <cell r="L14" t="str">
            <v>TID_DialogueConf_1060611_name_CN_Main</v>
          </cell>
          <cell r="N14" t="str">
            <v>icon_newbie</v>
          </cell>
          <cell r="O14" t="str">
            <v>newbie_oversea_farmer</v>
          </cell>
        </row>
        <row r="15">
          <cell r="A15" t="str">
            <v>乌尔丁</v>
          </cell>
          <cell r="L15" t="str">
            <v>TID_DialogueConf_1060607_name_CN_Main</v>
          </cell>
          <cell r="N15" t="str">
            <v>icon_newbie</v>
          </cell>
          <cell r="O15" t="str">
            <v>newbie_oversea_enemy</v>
          </cell>
        </row>
        <row r="16">
          <cell r="A16" t="str">
            <v>血手阿提卡</v>
          </cell>
          <cell r="L16" t="str">
            <v>TID_DialogueConf_1060620_name_CN_Main</v>
          </cell>
          <cell r="N16" t="str">
            <v>icon_newbie</v>
          </cell>
          <cell r="O16" t="str">
            <v>newbie_oversea_attila</v>
          </cell>
        </row>
        <row r="17">
          <cell r="A17" t="str">
            <v>安德莉亚</v>
          </cell>
          <cell r="B17">
            <v>110003</v>
          </cell>
          <cell r="L17" t="str">
            <v>TID_DialogueConf_1060001_name_337966742914_CN_Main</v>
          </cell>
          <cell r="N17" t="str">
            <v>icon_newbie</v>
          </cell>
          <cell r="O17" t="str">
            <v>newbie_oversea_andrea</v>
          </cell>
        </row>
        <row r="18">
          <cell r="A18" t="str">
            <v>凯恩</v>
          </cell>
          <cell r="N18" t="str">
            <v>icon_newbie</v>
          </cell>
          <cell r="O18" t="str">
            <v>newbie_oversea_leo</v>
          </cell>
        </row>
        <row r="19">
          <cell r="A19" t="str">
            <v>肖恩</v>
          </cell>
          <cell r="N19" t="str">
            <v>icon_newbie</v>
          </cell>
          <cell r="O19" t="str">
            <v>newbie_oversea_leo</v>
          </cell>
        </row>
        <row r="20">
          <cell r="A20" t="str">
            <v>蒙杜克</v>
          </cell>
          <cell r="L20" t="str">
            <v>TID_Name_mengduke_CN_Main</v>
          </cell>
          <cell r="N20" t="str">
            <v>icon_newbie</v>
          </cell>
          <cell r="O20" t="str">
            <v>newbie_oversea_monduk</v>
          </cell>
        </row>
        <row r="21">
          <cell r="A21" t="str">
            <v>士兵</v>
          </cell>
          <cell r="L21" t="str">
            <v>TID_Name_shibing_CN_Main</v>
          </cell>
          <cell r="N21" t="str">
            <v>icon_newbie</v>
          </cell>
          <cell r="O21" t="str">
            <v>newbie_oversea_leo</v>
          </cell>
        </row>
        <row r="22">
          <cell r="A22" t="str">
            <v>蛮族</v>
          </cell>
          <cell r="L22" t="str">
            <v>TID_Dialogue_Character_6</v>
          </cell>
          <cell r="N22" t="str">
            <v>icon_newbie</v>
          </cell>
          <cell r="O22" t="str">
            <v>newbie_oversea_enemy</v>
          </cell>
        </row>
        <row r="23">
          <cell r="A23" t="str">
            <v>温德</v>
          </cell>
          <cell r="L23" t="str">
            <v>TID_Name_wende_CN_Main</v>
          </cell>
          <cell r="N23" t="str">
            <v>icon_newbie</v>
          </cell>
          <cell r="O23" t="str">
            <v>newbie_oversea_leo</v>
          </cell>
        </row>
        <row r="24">
          <cell r="A24" t="str">
            <v>图尔坎</v>
          </cell>
          <cell r="L24" t="str">
            <v>TID_Name_tuerkan_CN_Main</v>
          </cell>
          <cell r="N24" t="str">
            <v>icon_newbie</v>
          </cell>
          <cell r="O24" t="str">
            <v>newbie_oversea_enemy</v>
          </cell>
        </row>
        <row r="25">
          <cell r="A25" t="str">
            <v>保罗</v>
          </cell>
          <cell r="L25" t="str">
            <v>TID_Name_baoluo_CN_Main</v>
          </cell>
          <cell r="N25" t="str">
            <v>icon_newbie</v>
          </cell>
          <cell r="O25" t="str">
            <v>newbie_oversea_enemy</v>
          </cell>
        </row>
        <row r="26">
          <cell r="A26" t="str">
            <v>蛮族士兵</v>
          </cell>
          <cell r="L26" t="str">
            <v>TID_Name_manzushibing_CN_Main</v>
          </cell>
          <cell r="N26" t="str">
            <v>icon_newbie</v>
          </cell>
          <cell r="O26" t="str">
            <v>newbie_oversea_leo</v>
          </cell>
        </row>
        <row r="27">
          <cell r="A27" t="str">
            <v>研究员</v>
          </cell>
          <cell r="L27" t="str">
            <v>TID_Name_yanjiuyuan_CN_Main</v>
          </cell>
          <cell r="N27" t="str">
            <v>icon_newbie</v>
          </cell>
          <cell r="O27" t="str">
            <v>newbie_oversea_enemy</v>
          </cell>
        </row>
        <row r="28">
          <cell r="A28" t="str">
            <v>珍妮</v>
          </cell>
          <cell r="L28" t="str">
            <v>TID_Name_zhenni_CN_Main</v>
          </cell>
          <cell r="N28" t="str">
            <v>icon_newbie</v>
          </cell>
          <cell r="O28" t="str">
            <v>newbie_oversea_leo</v>
          </cell>
        </row>
        <row r="29">
          <cell r="A29" t="str">
            <v>陌生的来客</v>
          </cell>
          <cell r="B29">
            <v>110001</v>
          </cell>
          <cell r="L29" t="str">
            <v>TID_Dialogue_Character_4</v>
          </cell>
          <cell r="N29" t="str">
            <v>icon_newbie</v>
          </cell>
          <cell r="O29" t="str">
            <v>newbie_oversea_caesar</v>
          </cell>
        </row>
        <row r="30">
          <cell r="A30" t="str">
            <v>凯撒</v>
          </cell>
          <cell r="B30">
            <v>110001</v>
          </cell>
          <cell r="L30" t="str">
            <v>TID_Dialogue_Character_5</v>
          </cell>
          <cell r="N30" t="str">
            <v>icon_newbie</v>
          </cell>
          <cell r="O30" t="str">
            <v>newbie_oversea_caesar</v>
          </cell>
        </row>
        <row r="31">
          <cell r="A31" t="str">
            <v>蛮族</v>
          </cell>
          <cell r="B31">
            <v>110005</v>
          </cell>
          <cell r="L31" t="str">
            <v>TID_Dialogue_Character_6</v>
          </cell>
          <cell r="N31" t="str">
            <v>icon_newbie</v>
          </cell>
          <cell r="O31" t="str">
            <v>newbie_oversea_enemy</v>
          </cell>
        </row>
        <row r="32">
          <cell r="A32" t="str">
            <v>克洛维</v>
          </cell>
          <cell r="B32">
            <v>110004</v>
          </cell>
          <cell r="L32" t="str">
            <v>TID_Dialogue_Character_7</v>
          </cell>
          <cell r="N32" t="str">
            <v>icon_newbie</v>
          </cell>
          <cell r="O32" t="str">
            <v>newbie_oversea_clovis</v>
          </cell>
        </row>
        <row r="33">
          <cell r="A33" t="str">
            <v>撕裂者</v>
          </cell>
          <cell r="B33">
            <v>110005</v>
          </cell>
          <cell r="L33" t="str">
            <v>TID_Dialogue_Character_8</v>
          </cell>
          <cell r="N33" t="str">
            <v>icon_newbie</v>
          </cell>
          <cell r="O33" t="str">
            <v>newbie_oversea_kabar</v>
          </cell>
        </row>
        <row r="34">
          <cell r="A34" t="str">
            <v>墨西</v>
          </cell>
          <cell r="B34">
            <v>110006</v>
          </cell>
          <cell r="L34" t="str">
            <v>TID_Dialogue_Character_9</v>
          </cell>
          <cell r="N34" t="str">
            <v>icon_newbie</v>
          </cell>
          <cell r="O34" t="str">
            <v>newbie_oversea_mose</v>
          </cell>
        </row>
        <row r="35">
          <cell r="A35" t="str">
            <v>克鲁维斯</v>
          </cell>
          <cell r="B35">
            <v>110007</v>
          </cell>
          <cell r="L35" t="str">
            <v>TID_Dialogue_Character_10</v>
          </cell>
          <cell r="N35" t="str">
            <v>icon_newbie</v>
          </cell>
          <cell r="O35" t="str">
            <v>newbie_oversea_kruvis</v>
          </cell>
        </row>
      </sheetData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对话配置表"/>
      <sheetName val="Spine配置表"/>
      <sheetName val="#Sheet2"/>
      <sheetName val="#Sheet1"/>
      <sheetName val="#名称Key"/>
      <sheetName val="#对话模型配置"/>
      <sheetName val="#TID_base_up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角色名称</v>
          </cell>
          <cell r="B1" t="str">
            <v>策划用模型</v>
          </cell>
          <cell r="C1" t="str">
            <v>文本</v>
          </cell>
          <cell r="D1" t="str">
            <v>是否使用3D播放</v>
          </cell>
          <cell r="E1" t="str">
            <v>语音和背景音</v>
          </cell>
          <cell r="F1" t="str">
            <v>语音和背景结束音</v>
          </cell>
          <cell r="G1" t="str">
            <v>口型配置</v>
          </cell>
          <cell r="H1" t="str">
            <v>自动关闭时间</v>
          </cell>
          <cell r="I1" t="str">
            <v>角色模型</v>
          </cell>
          <cell r="J1" t="str">
            <v>表演动作</v>
          </cell>
          <cell r="K1" t="str">
            <v>蓝图objID</v>
          </cell>
          <cell r="L1" t="str">
            <v>角色名字key</v>
          </cell>
          <cell r="M1" t="str">
            <v>图集路径</v>
          </cell>
          <cell r="N1" t="str">
            <v>海外新手用图集</v>
          </cell>
          <cell r="O1" t="str">
            <v>海外新手用头像</v>
          </cell>
        </row>
        <row r="2">
          <cell r="A2" t="str">
            <v>name</v>
          </cell>
          <cell r="C2" t="str">
            <v>textList</v>
          </cell>
          <cell r="D2" t="str">
            <v>isIn3D</v>
          </cell>
          <cell r="E2" t="str">
            <v>voiceList[|]</v>
          </cell>
          <cell r="F2" t="str">
            <v>endVoiceList[|]</v>
          </cell>
          <cell r="H2" t="str">
            <v>endTime</v>
          </cell>
          <cell r="I2" t="str">
            <v>npcId</v>
          </cell>
          <cell r="J2" t="str">
            <v>animationName</v>
          </cell>
          <cell r="K2" t="str">
            <v>BPobjID</v>
          </cell>
          <cell r="L2" t="str">
            <v>hideBlur</v>
          </cell>
          <cell r="M2" t="str">
            <v>altasPath</v>
          </cell>
          <cell r="N2" t="str">
            <v>altasPath</v>
          </cell>
          <cell r="O2" t="str">
            <v>picture</v>
          </cell>
        </row>
        <row r="3">
          <cell r="A3" t="str">
            <v>帝国斥候</v>
          </cell>
          <cell r="H3">
            <v>10</v>
          </cell>
          <cell r="I3">
            <v>20001001</v>
          </cell>
          <cell r="J3" t="str">
            <v>chapter_1_6</v>
          </cell>
          <cell r="M3" t="str">
            <v>icon_guidechara.smash</v>
          </cell>
        </row>
        <row r="4">
          <cell r="A4" t="str">
            <v>安德莉娅</v>
          </cell>
          <cell r="H4">
            <v>10</v>
          </cell>
          <cell r="I4">
            <v>30001001</v>
          </cell>
          <cell r="J4" t="str">
            <v>chapter_1_2</v>
          </cell>
          <cell r="M4" t="str">
            <v>icon_guidechara.smash</v>
          </cell>
          <cell r="N4" t="str">
            <v>icon_newbie</v>
          </cell>
          <cell r="O4" t="str">
            <v>newbie_oversea_andrea</v>
          </cell>
        </row>
        <row r="5">
          <cell r="A5" t="str">
            <v>尤里乌斯</v>
          </cell>
          <cell r="H5">
            <v>10</v>
          </cell>
          <cell r="I5">
            <v>20001003</v>
          </cell>
          <cell r="J5" t="str">
            <v>Idle</v>
          </cell>
          <cell r="M5" t="str">
            <v>icon_guidechara.smash</v>
          </cell>
        </row>
        <row r="6">
          <cell r="A6" t="str">
            <v>关羽</v>
          </cell>
          <cell r="H6">
            <v>10</v>
          </cell>
          <cell r="I6">
            <v>20001004</v>
          </cell>
          <cell r="J6" t="str">
            <v>Idle</v>
          </cell>
          <cell r="M6" t="str">
            <v>icon_guidechara.smash</v>
          </cell>
        </row>
        <row r="7">
          <cell r="A7" t="str">
            <v>魏兰</v>
          </cell>
          <cell r="H7">
            <v>10</v>
          </cell>
          <cell r="I7">
            <v>20001005</v>
          </cell>
          <cell r="J7" t="str">
            <v>chapter_1_2</v>
          </cell>
          <cell r="M7" t="str">
            <v>icon_guidechara.smash</v>
          </cell>
        </row>
        <row r="8">
          <cell r="A8" t="str">
            <v>皇帝</v>
          </cell>
          <cell r="H8">
            <v>10</v>
          </cell>
          <cell r="I8">
            <v>20001006</v>
          </cell>
          <cell r="J8" t="str">
            <v>chapter_2_13</v>
          </cell>
          <cell r="M8" t="str">
            <v>icon_guidechara.smash</v>
          </cell>
        </row>
        <row r="9">
          <cell r="A9" t="str">
            <v>花木兰</v>
          </cell>
          <cell r="H9">
            <v>10</v>
          </cell>
          <cell r="I9">
            <v>20001005</v>
          </cell>
          <cell r="J9" t="str">
            <v>chapter_1_2</v>
          </cell>
          <cell r="M9" t="str">
            <v>icon_guidechara.smash</v>
          </cell>
        </row>
        <row r="10">
          <cell r="A10" t="str">
            <v>尤里乌斯</v>
          </cell>
          <cell r="H10">
            <v>10</v>
          </cell>
          <cell r="I10">
            <v>20001003</v>
          </cell>
          <cell r="J10" t="str">
            <v>Idle</v>
          </cell>
          <cell r="M10" t="str">
            <v>icon_guidechara.smash</v>
          </cell>
        </row>
        <row r="11">
          <cell r="A11" t="str">
            <v>李白</v>
          </cell>
          <cell r="I11">
            <v>20001099</v>
          </cell>
        </row>
        <row r="12">
          <cell r="A12" t="str">
            <v>贞德</v>
          </cell>
          <cell r="B12">
            <v>110002</v>
          </cell>
          <cell r="H12">
            <v>10</v>
          </cell>
          <cell r="I12">
            <v>30001002</v>
          </cell>
          <cell r="J12" t="str">
            <v>chapter_1_2</v>
          </cell>
          <cell r="L12" t="str">
            <v>TID_DialogueConf_1060715_name_CN_Main</v>
          </cell>
          <cell r="M12" t="str">
            <v>icon_guidechara.smash</v>
          </cell>
          <cell r="N12" t="str">
            <v>icon_newbie</v>
          </cell>
          <cell r="O12" t="str">
            <v>newbie_oversea_joa</v>
          </cell>
        </row>
        <row r="13">
          <cell r="A13" t="str">
            <v>副官</v>
          </cell>
          <cell r="B13">
            <v>110008</v>
          </cell>
          <cell r="H13">
            <v>10</v>
          </cell>
          <cell r="I13">
            <v>30001003</v>
          </cell>
          <cell r="J13" t="str">
            <v>Idle</v>
          </cell>
          <cell r="L13" t="str">
            <v>TID_DialogueConf_1060001_name_CN_Main</v>
          </cell>
          <cell r="M13" t="str">
            <v>icon_guidechara.smash</v>
          </cell>
          <cell r="N13" t="str">
            <v>icon_newbie</v>
          </cell>
          <cell r="O13" t="str">
            <v>newbie_oversea_axe</v>
          </cell>
        </row>
        <row r="14">
          <cell r="A14" t="str">
            <v>村民</v>
          </cell>
          <cell r="L14" t="str">
            <v>TID_DialogueConf_1060611_name_CN_Main</v>
          </cell>
          <cell r="N14" t="str">
            <v>icon_newbie</v>
          </cell>
          <cell r="O14" t="str">
            <v>newbie_oversea_farmernohat</v>
          </cell>
        </row>
        <row r="15">
          <cell r="A15" t="str">
            <v>乌尔丁</v>
          </cell>
          <cell r="L15" t="str">
            <v>TID_DialogueConf_1060607_name_CN_Main</v>
          </cell>
          <cell r="N15" t="str">
            <v>icon_newbie</v>
          </cell>
          <cell r="O15" t="str">
            <v>newbie_oversea_enemy</v>
          </cell>
        </row>
        <row r="16">
          <cell r="A16" t="str">
            <v>血手阿提卡</v>
          </cell>
          <cell r="L16" t="str">
            <v>TID_DialogueConf_1060620_name_CN_Main</v>
          </cell>
          <cell r="N16" t="str">
            <v>icon_newbie</v>
          </cell>
          <cell r="O16" t="str">
            <v>newbie_oversea_attila</v>
          </cell>
        </row>
        <row r="17">
          <cell r="A17" t="str">
            <v>安德莉亚</v>
          </cell>
          <cell r="B17">
            <v>110003</v>
          </cell>
          <cell r="L17" t="str">
            <v>TID_DialogueConf_1060001_name_337966742914_CN_Main</v>
          </cell>
          <cell r="N17" t="str">
            <v>icon_newbie</v>
          </cell>
          <cell r="O17" t="str">
            <v>newbie_oversea_andrea</v>
          </cell>
        </row>
        <row r="18">
          <cell r="A18" t="str">
            <v>凯恩</v>
          </cell>
          <cell r="N18" t="str">
            <v>icon_newbie</v>
          </cell>
          <cell r="O18" t="str">
            <v>newbie_oversea_leo</v>
          </cell>
        </row>
        <row r="19">
          <cell r="A19" t="str">
            <v>肖恩</v>
          </cell>
          <cell r="N19" t="str">
            <v>icon_newbie</v>
          </cell>
          <cell r="O19" t="str">
            <v>newbie_oversea_leo</v>
          </cell>
        </row>
        <row r="20">
          <cell r="A20" t="str">
            <v>蒙杜克</v>
          </cell>
          <cell r="L20" t="str">
            <v>TID_Name_mengduke_CN_Main</v>
          </cell>
          <cell r="N20" t="str">
            <v>icon_newbie</v>
          </cell>
          <cell r="O20" t="str">
            <v>newbie_oversea_monduk</v>
          </cell>
        </row>
        <row r="21">
          <cell r="A21" t="str">
            <v>士兵</v>
          </cell>
          <cell r="L21" t="str">
            <v>TID_Name_shibing_CN_Main</v>
          </cell>
          <cell r="N21" t="str">
            <v>icon_newbie</v>
          </cell>
          <cell r="O21" t="str">
            <v>newbie_oversea_leo</v>
          </cell>
        </row>
        <row r="22">
          <cell r="A22" t="str">
            <v>蛮族</v>
          </cell>
          <cell r="L22" t="str">
            <v>TID_Dialogue_Character_6</v>
          </cell>
          <cell r="N22" t="str">
            <v>icon_newbie</v>
          </cell>
          <cell r="O22" t="str">
            <v>newbie_oversea_enemy</v>
          </cell>
        </row>
        <row r="23">
          <cell r="A23" t="str">
            <v>温德</v>
          </cell>
          <cell r="L23" t="str">
            <v>TID_Name_wende_CN_Main</v>
          </cell>
          <cell r="N23" t="str">
            <v>icon_newbie</v>
          </cell>
          <cell r="O23" t="str">
            <v>newbie_oversea_leo</v>
          </cell>
        </row>
        <row r="24">
          <cell r="A24" t="str">
            <v>图尔坎</v>
          </cell>
          <cell r="L24" t="str">
            <v>TID_Name_tuerkan_CN_Main</v>
          </cell>
          <cell r="N24" t="str">
            <v>icon_newbie</v>
          </cell>
          <cell r="O24" t="str">
            <v>newbie_oversea_enemy</v>
          </cell>
        </row>
        <row r="25">
          <cell r="A25" t="str">
            <v>保罗</v>
          </cell>
          <cell r="L25" t="str">
            <v>TID_Name_baoluo_CN_Main</v>
          </cell>
          <cell r="N25" t="str">
            <v>icon_newbie</v>
          </cell>
          <cell r="O25" t="str">
            <v>newbie_oversea_enemy</v>
          </cell>
        </row>
        <row r="26">
          <cell r="A26" t="str">
            <v>蛮族士兵</v>
          </cell>
          <cell r="L26" t="str">
            <v>TID_Name_manzushibing_CN_Main</v>
          </cell>
          <cell r="N26" t="str">
            <v>icon_newbie</v>
          </cell>
          <cell r="O26" t="str">
            <v>newbie_oversea_enemy</v>
          </cell>
        </row>
        <row r="27">
          <cell r="A27" t="str">
            <v>研究员</v>
          </cell>
          <cell r="L27" t="str">
            <v>TID_Name_yanjiuyuan_CN_Main</v>
          </cell>
          <cell r="N27" t="str">
            <v>icon_newbie</v>
          </cell>
          <cell r="O27" t="str">
            <v>newbie_oversea_enemy</v>
          </cell>
        </row>
        <row r="28">
          <cell r="A28" t="str">
            <v>珍妮</v>
          </cell>
          <cell r="L28" t="str">
            <v>TID_Name_zhenni_CN_Main</v>
          </cell>
          <cell r="N28" t="str">
            <v>icon_newbie</v>
          </cell>
          <cell r="O28" t="str">
            <v>newbie_oversea_leo</v>
          </cell>
        </row>
        <row r="29">
          <cell r="A29" t="str">
            <v>陌生的来客</v>
          </cell>
          <cell r="B29">
            <v>110001</v>
          </cell>
          <cell r="L29" t="str">
            <v>TID_Dialogue_Character_4</v>
          </cell>
          <cell r="N29" t="str">
            <v>icon_newbie</v>
          </cell>
          <cell r="O29" t="str">
            <v>newbie_oversea_caesar</v>
          </cell>
        </row>
        <row r="30">
          <cell r="A30" t="str">
            <v>凯撒</v>
          </cell>
          <cell r="B30">
            <v>110001</v>
          </cell>
          <cell r="L30" t="str">
            <v>TID_Dialogue_Character_5</v>
          </cell>
          <cell r="N30" t="str">
            <v>icon_newbie</v>
          </cell>
          <cell r="O30" t="str">
            <v>newbie_oversea_caesar</v>
          </cell>
        </row>
        <row r="31">
          <cell r="A31" t="str">
            <v>蛮族</v>
          </cell>
          <cell r="B31">
            <v>110005</v>
          </cell>
          <cell r="L31" t="str">
            <v>TID_Dialogue_Character_6</v>
          </cell>
          <cell r="N31" t="str">
            <v>icon_newbie</v>
          </cell>
          <cell r="O31" t="str">
            <v>newbie_oversea_enemy</v>
          </cell>
        </row>
        <row r="32">
          <cell r="A32" t="str">
            <v>克洛维</v>
          </cell>
          <cell r="B32">
            <v>110004</v>
          </cell>
          <cell r="L32" t="str">
            <v>TID_Dialogue_Character_7</v>
          </cell>
          <cell r="N32" t="str">
            <v>icon_newbie</v>
          </cell>
          <cell r="O32" t="str">
            <v>newbie_oversea_clovis</v>
          </cell>
        </row>
        <row r="33">
          <cell r="A33" t="str">
            <v>撕裂者</v>
          </cell>
          <cell r="B33">
            <v>110005</v>
          </cell>
          <cell r="L33" t="str">
            <v>TID_Dialogue_Character_8</v>
          </cell>
          <cell r="N33" t="str">
            <v>icon_newbie</v>
          </cell>
          <cell r="O33" t="str">
            <v>newbie_oversea_kabar</v>
          </cell>
        </row>
        <row r="34">
          <cell r="A34" t="str">
            <v>墨西</v>
          </cell>
          <cell r="B34">
            <v>110006</v>
          </cell>
          <cell r="L34" t="str">
            <v>TID_Dialogue_Character_9</v>
          </cell>
          <cell r="N34" t="str">
            <v>icon_newbie</v>
          </cell>
          <cell r="O34" t="str">
            <v>newbie_oversea_mose</v>
          </cell>
        </row>
        <row r="35">
          <cell r="A35" t="str">
            <v>克鲁维斯</v>
          </cell>
          <cell r="B35">
            <v>110007</v>
          </cell>
          <cell r="L35" t="str">
            <v>TID_Dialogue_Character_10</v>
          </cell>
          <cell r="N35" t="str">
            <v>icon_newbie</v>
          </cell>
          <cell r="O35" t="str">
            <v>newbie_oversea_kruvis</v>
          </cell>
        </row>
        <row r="36">
          <cell r="A36" t="str">
            <v>约瑟芬</v>
          </cell>
          <cell r="B36">
            <v>110007</v>
          </cell>
          <cell r="L36" t="str">
            <v>TID_Dialogue_Character_11</v>
          </cell>
          <cell r="N36" t="str">
            <v>icon_newbie</v>
          </cell>
          <cell r="O36" t="str">
            <v>newbie_oversea_andrea</v>
          </cell>
        </row>
        <row r="37">
          <cell r="A37" t="str">
            <v>卡尔</v>
          </cell>
          <cell r="L37" t="str">
            <v>TID_Dialogue_Character_12</v>
          </cell>
          <cell r="N37" t="str">
            <v>icon_newbie</v>
          </cell>
          <cell r="O37" t="str">
            <v>newbie_oversea_carl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787"/>
  <sheetViews>
    <sheetView tabSelected="1" workbookViewId="0">
      <pane xSplit="11" ySplit="3" topLeftCell="L1304" activePane="bottomRight" state="frozen"/>
      <selection pane="topRight"/>
      <selection pane="bottomLeft"/>
      <selection pane="bottomRight" activeCell="K1332" sqref="K1332"/>
    </sheetView>
  </sheetViews>
  <sheetFormatPr defaultColWidth="9" defaultRowHeight="13"/>
  <cols>
    <col min="1" max="1" width="9.83203125" style="20" customWidth="1"/>
    <col min="2" max="2" width="4.08203125" style="20" customWidth="1"/>
    <col min="3" max="3" width="3.5" style="20" customWidth="1"/>
    <col min="4" max="5" width="4.08203125" style="20" customWidth="1"/>
    <col min="6" max="6" width="15.58203125" style="20" customWidth="1"/>
    <col min="7" max="7" width="35.1640625" style="20" customWidth="1"/>
    <col min="8" max="8" width="11" style="20" customWidth="1"/>
    <col min="9" max="9" width="17.58203125" style="20" customWidth="1"/>
    <col min="10" max="10" width="23.33203125" style="20" customWidth="1"/>
    <col min="11" max="11" width="53.33203125" style="78" customWidth="1"/>
    <col min="12" max="12" width="9.08203125" style="20" customWidth="1"/>
    <col min="13" max="13" width="13.58203125" style="20" customWidth="1"/>
    <col min="14" max="14" width="14.58203125" style="20" customWidth="1"/>
    <col min="15" max="15" width="16.4140625" style="20" customWidth="1"/>
    <col min="16" max="16" width="22.25" style="20" customWidth="1"/>
    <col min="17" max="17" width="3.33203125" style="20" customWidth="1"/>
    <col min="18" max="18" width="29" style="20" customWidth="1"/>
    <col min="19" max="19" width="23.08203125" style="20" customWidth="1"/>
    <col min="20" max="20" width="9.33203125" style="20" customWidth="1"/>
    <col min="21" max="21" width="18.25" style="20" customWidth="1"/>
    <col min="22" max="22" width="9.08203125" style="20" customWidth="1"/>
    <col min="23" max="23" width="7.33203125" style="20" customWidth="1"/>
    <col min="24" max="24" width="7.75" style="20" customWidth="1"/>
    <col min="25" max="25" width="12.75" style="20" customWidth="1"/>
    <col min="26" max="26" width="33.33203125" style="20" customWidth="1"/>
    <col min="27" max="27" width="7.58203125" style="20" customWidth="1"/>
    <col min="28" max="28" width="14.33203125" style="20" customWidth="1"/>
    <col min="29" max="29" width="10.75" style="20" customWidth="1"/>
    <col min="30" max="30" width="11.75" style="20" customWidth="1"/>
    <col min="31" max="31" width="10.33203125" style="20" customWidth="1"/>
    <col min="32" max="32" width="37.6640625" style="20" customWidth="1"/>
    <col min="33" max="33" width="22.5" style="20" customWidth="1"/>
    <col min="34" max="34" width="17.75" style="20" customWidth="1"/>
    <col min="35" max="35" width="15.83203125" style="20" customWidth="1"/>
    <col min="36" max="36" width="14.75" style="20" customWidth="1"/>
    <col min="37" max="37" width="21.75" style="20" customWidth="1"/>
    <col min="38" max="38" width="9.75" style="20" customWidth="1"/>
    <col min="39" max="39" width="11.33203125" style="20" customWidth="1"/>
    <col min="40" max="40" width="12.08203125" style="20" customWidth="1"/>
    <col min="41" max="41" width="10" style="20" customWidth="1"/>
    <col min="42" max="42" width="9.33203125" style="20" customWidth="1"/>
    <col min="43" max="43" width="7.08203125" style="20" customWidth="1"/>
    <col min="44" max="44" width="12.08203125" style="20" customWidth="1"/>
    <col min="45" max="45" width="37.08203125" style="20" customWidth="1"/>
    <col min="46" max="46" width="20.58203125" style="20" customWidth="1"/>
    <col min="47" max="47" width="40.33203125" style="20" customWidth="1"/>
    <col min="48" max="48" width="9.33203125" style="20" customWidth="1"/>
    <col min="49" max="49" width="13.33203125" style="20" customWidth="1"/>
    <col min="50" max="50" width="16.08203125" style="20" customWidth="1"/>
    <col min="51" max="51" width="13.33203125" style="20" customWidth="1"/>
    <col min="52" max="52" width="8.08203125" style="20" customWidth="1"/>
    <col min="53" max="53" width="19.58203125" style="20" customWidth="1"/>
    <col min="54" max="54" width="18" style="20" customWidth="1"/>
    <col min="55" max="55" width="24.83203125" style="20" customWidth="1"/>
    <col min="56" max="56" width="21.33203125" style="20" customWidth="1"/>
    <col min="57" max="57" width="17.33203125" style="20" customWidth="1"/>
    <col min="58" max="58" width="26.08203125" style="20" customWidth="1"/>
    <col min="59" max="59" width="9" style="20" customWidth="1"/>
    <col min="60" max="60" width="25.75" style="20" customWidth="1"/>
    <col min="61" max="61" width="21.75" style="20" customWidth="1"/>
    <col min="62" max="66" width="9" style="20" customWidth="1"/>
    <col min="67" max="16384" width="9" style="20"/>
  </cols>
  <sheetData>
    <row r="1" spans="1:61" s="45" customFormat="1" ht="13.5" customHeight="1">
      <c r="A1" s="45" t="s">
        <v>0</v>
      </c>
      <c r="K1" s="83"/>
    </row>
    <row r="2" spans="1:61" s="46" customFormat="1" ht="18.649999999999999" customHeight="1">
      <c r="A2" s="79" t="s">
        <v>1</v>
      </c>
      <c r="B2" s="79" t="s">
        <v>2</v>
      </c>
      <c r="C2" s="79" t="s">
        <v>3</v>
      </c>
      <c r="D2" s="79" t="s">
        <v>2</v>
      </c>
      <c r="E2" s="79" t="s">
        <v>4</v>
      </c>
      <c r="F2" s="79" t="s">
        <v>5</v>
      </c>
      <c r="G2" s="79" t="s">
        <v>6</v>
      </c>
      <c r="H2" s="79" t="s">
        <v>7</v>
      </c>
      <c r="I2" s="79" t="s">
        <v>8</v>
      </c>
      <c r="J2" s="79" t="s">
        <v>9</v>
      </c>
      <c r="K2" s="84" t="s">
        <v>10</v>
      </c>
      <c r="L2" s="85" t="s">
        <v>11</v>
      </c>
      <c r="M2" s="85" t="s">
        <v>12</v>
      </c>
      <c r="N2" s="85" t="s">
        <v>13</v>
      </c>
      <c r="O2" s="85" t="s">
        <v>14</v>
      </c>
      <c r="P2" s="85" t="s">
        <v>15</v>
      </c>
      <c r="Q2" s="85" t="s">
        <v>16</v>
      </c>
      <c r="R2" s="85" t="s">
        <v>17</v>
      </c>
      <c r="S2" s="85" t="s">
        <v>18</v>
      </c>
      <c r="T2" s="79" t="s">
        <v>19</v>
      </c>
      <c r="U2" s="79" t="s">
        <v>20</v>
      </c>
      <c r="V2" s="79" t="s">
        <v>21</v>
      </c>
      <c r="W2" s="79" t="s">
        <v>22</v>
      </c>
      <c r="X2" s="79" t="s">
        <v>23</v>
      </c>
      <c r="Y2" s="79" t="s">
        <v>24</v>
      </c>
      <c r="Z2" s="79" t="s">
        <v>25</v>
      </c>
      <c r="AA2" s="79" t="s">
        <v>26</v>
      </c>
      <c r="AB2" s="79" t="s">
        <v>27</v>
      </c>
      <c r="AC2" s="79" t="s">
        <v>28</v>
      </c>
      <c r="AD2" s="79" t="s">
        <v>29</v>
      </c>
      <c r="AE2" s="79" t="s">
        <v>30</v>
      </c>
      <c r="AF2" s="79" t="s">
        <v>31</v>
      </c>
      <c r="AG2" s="79" t="s">
        <v>32</v>
      </c>
      <c r="AH2" s="79" t="s">
        <v>33</v>
      </c>
      <c r="AI2" s="80" t="s">
        <v>34</v>
      </c>
      <c r="AJ2" s="79" t="s">
        <v>35</v>
      </c>
      <c r="AK2" s="79" t="s">
        <v>36</v>
      </c>
      <c r="AL2" s="79" t="s">
        <v>37</v>
      </c>
      <c r="AM2" s="79" t="s">
        <v>38</v>
      </c>
      <c r="AN2" s="79" t="s">
        <v>39</v>
      </c>
      <c r="AO2" s="79" t="s">
        <v>40</v>
      </c>
      <c r="AP2" s="79" t="s">
        <v>41</v>
      </c>
      <c r="AQ2" s="79" t="s">
        <v>42</v>
      </c>
      <c r="AR2" s="79" t="s">
        <v>43</v>
      </c>
      <c r="AS2" s="80" t="s">
        <v>44</v>
      </c>
      <c r="AT2" s="79" t="s">
        <v>45</v>
      </c>
      <c r="AU2" s="79" t="s">
        <v>46</v>
      </c>
      <c r="AV2" s="79" t="s">
        <v>47</v>
      </c>
      <c r="AW2" s="79" t="s">
        <v>48</v>
      </c>
      <c r="AX2" s="79" t="s">
        <v>49</v>
      </c>
      <c r="AY2" s="79" t="s">
        <v>50</v>
      </c>
      <c r="AZ2" s="79" t="s">
        <v>51</v>
      </c>
      <c r="BA2" s="79" t="s">
        <v>52</v>
      </c>
      <c r="BB2" s="79" t="s">
        <v>53</v>
      </c>
      <c r="BC2" s="79" t="s">
        <v>54</v>
      </c>
      <c r="BD2" s="91" t="s">
        <v>55</v>
      </c>
      <c r="BE2" s="93" t="s">
        <v>56</v>
      </c>
      <c r="BF2" s="94" t="s">
        <v>57</v>
      </c>
      <c r="BG2" s="94" t="s">
        <v>58</v>
      </c>
      <c r="BH2" s="94" t="s">
        <v>59</v>
      </c>
      <c r="BI2" s="93" t="s">
        <v>60</v>
      </c>
    </row>
    <row r="3" spans="1:61" s="47" customFormat="1" ht="13.5" customHeight="1">
      <c r="A3" s="80" t="s">
        <v>61</v>
      </c>
      <c r="B3" s="80"/>
      <c r="C3" s="80" t="s">
        <v>62</v>
      </c>
      <c r="D3" s="80"/>
      <c r="E3" s="80"/>
      <c r="G3" s="80" t="s">
        <v>63</v>
      </c>
      <c r="H3" s="80" t="s">
        <v>64</v>
      </c>
      <c r="I3" s="80" t="s">
        <v>65</v>
      </c>
      <c r="J3" s="80" t="s">
        <v>66</v>
      </c>
      <c r="K3" s="86"/>
      <c r="L3" s="47" t="s">
        <v>67</v>
      </c>
      <c r="M3" s="47" t="s">
        <v>68</v>
      </c>
      <c r="N3" s="47" t="s">
        <v>69</v>
      </c>
      <c r="O3" s="47" t="s">
        <v>70</v>
      </c>
      <c r="P3" s="47" t="s">
        <v>71</v>
      </c>
      <c r="Q3" s="47" t="s">
        <v>72</v>
      </c>
      <c r="R3" s="47" t="s">
        <v>73</v>
      </c>
      <c r="S3" s="47" t="s">
        <v>74</v>
      </c>
      <c r="T3" s="80" t="s">
        <v>75</v>
      </c>
      <c r="U3" s="80" t="s">
        <v>76</v>
      </c>
      <c r="V3" s="80" t="s">
        <v>77</v>
      </c>
      <c r="W3" s="80" t="s">
        <v>78</v>
      </c>
      <c r="X3" s="80" t="s">
        <v>79</v>
      </c>
      <c r="Y3" s="80" t="s">
        <v>80</v>
      </c>
      <c r="Z3" s="80" t="s">
        <v>81</v>
      </c>
      <c r="AA3" s="80" t="s">
        <v>82</v>
      </c>
      <c r="AB3" s="80" t="s">
        <v>83</v>
      </c>
      <c r="AC3" s="80" t="s">
        <v>84</v>
      </c>
      <c r="AD3" s="80" t="s">
        <v>85</v>
      </c>
      <c r="AE3" s="80" t="s">
        <v>86</v>
      </c>
      <c r="AF3" s="80" t="s">
        <v>87</v>
      </c>
      <c r="AG3" s="80" t="s">
        <v>88</v>
      </c>
      <c r="AH3" s="80" t="s">
        <v>89</v>
      </c>
      <c r="AI3" s="47" t="s">
        <v>90</v>
      </c>
      <c r="AJ3" s="80" t="s">
        <v>91</v>
      </c>
      <c r="AK3" s="80" t="s">
        <v>92</v>
      </c>
      <c r="AL3" s="80" t="s">
        <v>93</v>
      </c>
      <c r="AM3" s="80" t="s">
        <v>94</v>
      </c>
      <c r="AN3" s="80" t="s">
        <v>95</v>
      </c>
      <c r="AO3" s="80" t="s">
        <v>96</v>
      </c>
      <c r="AP3" s="80" t="s">
        <v>97</v>
      </c>
      <c r="AQ3" s="80" t="s">
        <v>98</v>
      </c>
      <c r="AR3" s="80" t="s">
        <v>99</v>
      </c>
      <c r="AS3" s="47" t="s">
        <v>100</v>
      </c>
      <c r="AT3" s="90"/>
      <c r="AU3" s="90"/>
      <c r="AV3" s="80"/>
      <c r="AW3" s="90"/>
      <c r="AX3" s="90"/>
      <c r="AY3" s="90"/>
      <c r="AZ3" s="90"/>
      <c r="BA3" s="47" t="s">
        <v>101</v>
      </c>
      <c r="BB3" s="47" t="s">
        <v>102</v>
      </c>
      <c r="BC3" s="47" t="s">
        <v>103</v>
      </c>
      <c r="BD3" s="47" t="s">
        <v>104</v>
      </c>
      <c r="BE3" s="47" t="s">
        <v>105</v>
      </c>
      <c r="BF3" s="47" t="s">
        <v>106</v>
      </c>
      <c r="BG3" s="47" t="s">
        <v>107</v>
      </c>
      <c r="BH3" s="47" t="s">
        <v>108</v>
      </c>
      <c r="BI3" s="47" t="s">
        <v>109</v>
      </c>
    </row>
    <row r="4" spans="1:61">
      <c r="A4" s="20">
        <v>1</v>
      </c>
      <c r="C4" s="20">
        <v>1</v>
      </c>
      <c r="E4" s="20" t="s">
        <v>110</v>
      </c>
      <c r="F4" s="20" t="str">
        <f>VLOOKUP(G4,'#TID_base_up'!B:C,2,0)</f>
        <v>随从</v>
      </c>
      <c r="G4" s="81" t="s">
        <v>111</v>
      </c>
      <c r="H4" s="82" t="s">
        <v>112</v>
      </c>
      <c r="I4" s="82" t="s">
        <v>113</v>
      </c>
      <c r="J4" s="81" t="s">
        <v>114</v>
      </c>
      <c r="T4" s="20">
        <v>1</v>
      </c>
      <c r="U4" s="20">
        <v>1</v>
      </c>
      <c r="V4" s="20">
        <v>0</v>
      </c>
      <c r="W4" s="20">
        <v>1</v>
      </c>
      <c r="X4" s="20">
        <v>0</v>
      </c>
      <c r="Y4" s="81"/>
      <c r="Z4" s="82"/>
      <c r="AC4" s="68"/>
      <c r="AD4" s="82">
        <v>5.5</v>
      </c>
      <c r="AE4" s="82">
        <v>6.5</v>
      </c>
      <c r="AF4" s="82"/>
      <c r="AG4" s="89" t="s">
        <v>115</v>
      </c>
      <c r="AH4" s="82">
        <v>0.1</v>
      </c>
      <c r="AJ4" s="82"/>
      <c r="AK4" s="82"/>
      <c r="AL4" s="82">
        <v>10</v>
      </c>
      <c r="AM4" s="89" t="s">
        <v>116</v>
      </c>
      <c r="AN4" s="20" t="s">
        <v>117</v>
      </c>
      <c r="AT4" s="82" t="str">
        <f t="shared" ref="AT4:AT67" si="0">IF($AU4="","",SUBSTITUTE(SUBSTITUTE(SUBSTITUTE(SUBSTITUTE($AU4,IF($AW4="","",$AW4),IF($AW4="","",CONCATENATE("&lt;color=#FFCC71&gt;",$AW4,"&lt;/color&gt;"))),IF($AX4="","",$AX4),IF($AX4="","",CONCATENATE("&lt;color=#FFCC71&gt;",$AX4,"&lt;/color&gt;"))),IF($AY4="","",$AY4),IF($AY4="","",CONCATENATE("&lt;color=#FFCC71&gt;",$AY4,"&lt;/color&gt;"))),IF($AZ4="","",$AZ4),IF($AZ4="","",CONCATENATE("&lt;color=#FFCC71&gt;",$AZ4,"&lt;/color&gt;"))))</f>
        <v>领主，关押村民们的营地就在前方。</v>
      </c>
      <c r="AU4" s="81" t="s">
        <v>118</v>
      </c>
      <c r="AV4" s="81"/>
      <c r="AW4" s="82"/>
      <c r="AX4" s="82"/>
      <c r="AY4" s="92"/>
      <c r="AZ4" s="92"/>
    </row>
    <row r="5" spans="1:61">
      <c r="A5" s="20">
        <v>2</v>
      </c>
      <c r="C5" s="20">
        <v>1</v>
      </c>
      <c r="E5" s="20" t="s">
        <v>110</v>
      </c>
      <c r="F5" s="20" t="str">
        <f>VLOOKUP(G5,'#TID_base_up'!B:C,2,0)</f>
        <v>我</v>
      </c>
      <c r="G5" s="81" t="s">
        <v>119</v>
      </c>
      <c r="H5" s="82" t="s">
        <v>112</v>
      </c>
      <c r="I5" s="82" t="s">
        <v>113</v>
      </c>
      <c r="J5" s="81" t="s">
        <v>120</v>
      </c>
      <c r="T5" s="20">
        <v>1</v>
      </c>
      <c r="U5" s="20">
        <v>1</v>
      </c>
      <c r="V5" s="20">
        <v>0</v>
      </c>
      <c r="W5" s="20">
        <v>1</v>
      </c>
      <c r="X5" s="20">
        <v>0</v>
      </c>
      <c r="Y5" s="81"/>
      <c r="Z5" s="82"/>
      <c r="AC5" s="87"/>
      <c r="AD5" s="82">
        <v>5.5</v>
      </c>
      <c r="AE5" s="82">
        <v>6.5</v>
      </c>
      <c r="AF5" s="82"/>
      <c r="AG5" s="82"/>
      <c r="AH5" s="82">
        <v>0.1</v>
      </c>
      <c r="AJ5" s="82"/>
      <c r="AK5" s="82"/>
      <c r="AL5" s="82">
        <v>10</v>
      </c>
      <c r="AM5" s="89" t="s">
        <v>116</v>
      </c>
      <c r="AN5" s="20" t="s">
        <v>121</v>
      </c>
      <c r="AT5" s="82" t="str">
        <f t="shared" si="0"/>
        <v>必须拯救他们。这是我跟姐姐的约定？</v>
      </c>
      <c r="AU5" s="81" t="s">
        <v>122</v>
      </c>
      <c r="AV5" s="81"/>
      <c r="AW5" s="82"/>
      <c r="AX5" s="82"/>
    </row>
    <row r="6" spans="1:61">
      <c r="A6" s="20">
        <v>2</v>
      </c>
      <c r="C6" s="20">
        <v>2</v>
      </c>
      <c r="E6" s="20" t="s">
        <v>110</v>
      </c>
      <c r="F6" s="20" t="str">
        <f>VLOOKUP(G6,'#TID_base_up'!B:C,2,0)</f>
        <v>我</v>
      </c>
      <c r="G6" s="81" t="s">
        <v>119</v>
      </c>
      <c r="H6" s="82" t="s">
        <v>112</v>
      </c>
      <c r="I6" s="82" t="s">
        <v>113</v>
      </c>
      <c r="J6" s="81" t="s">
        <v>123</v>
      </c>
      <c r="T6" s="20">
        <v>1</v>
      </c>
      <c r="U6" s="20">
        <v>1</v>
      </c>
      <c r="V6" s="20">
        <v>0</v>
      </c>
      <c r="W6" s="20">
        <v>1</v>
      </c>
      <c r="X6" s="20">
        <v>0</v>
      </c>
      <c r="Y6" s="81"/>
      <c r="Z6" s="82"/>
      <c r="AC6" s="68"/>
      <c r="AD6" s="82">
        <v>5.5</v>
      </c>
      <c r="AE6" s="82">
        <v>6.5</v>
      </c>
      <c r="AF6" s="82"/>
      <c r="AG6" s="82"/>
      <c r="AH6" s="82">
        <v>0.1</v>
      </c>
      <c r="AJ6" s="82"/>
      <c r="AK6" s="82"/>
      <c r="AL6" s="82">
        <v>10</v>
      </c>
      <c r="AM6" s="89" t="s">
        <v>116</v>
      </c>
      <c r="AN6" s="20" t="s">
        <v>121</v>
      </c>
      <c r="AT6" s="82" t="str">
        <f t="shared" si="0"/>
        <v>出发！消灭守军。</v>
      </c>
      <c r="AU6" s="81" t="s">
        <v>124</v>
      </c>
      <c r="AV6" s="81"/>
      <c r="AW6" s="82"/>
      <c r="AX6" s="82"/>
    </row>
    <row r="7" spans="1:61">
      <c r="A7" s="20">
        <v>3</v>
      </c>
      <c r="C7" s="20">
        <v>1</v>
      </c>
      <c r="E7" s="20" t="s">
        <v>110</v>
      </c>
      <c r="F7" s="20" t="str">
        <f>VLOOKUP(G7,'#TID_base_up'!B:C,2,0)</f>
        <v>村民甲</v>
      </c>
      <c r="G7" s="81" t="s">
        <v>125</v>
      </c>
      <c r="H7" s="82" t="s">
        <v>112</v>
      </c>
      <c r="I7" s="82" t="s">
        <v>113</v>
      </c>
      <c r="J7" s="20" t="s">
        <v>126</v>
      </c>
      <c r="T7" s="20">
        <v>1</v>
      </c>
      <c r="U7" s="20">
        <v>1</v>
      </c>
      <c r="V7" s="20">
        <v>0</v>
      </c>
      <c r="W7" s="20">
        <v>1</v>
      </c>
      <c r="X7" s="20">
        <v>0</v>
      </c>
      <c r="AC7" s="88"/>
      <c r="AD7" s="82">
        <v>5.5</v>
      </c>
      <c r="AE7" s="82">
        <v>6.5</v>
      </c>
      <c r="AF7" s="82"/>
      <c r="AG7" s="82"/>
      <c r="AH7" s="82">
        <v>0.1</v>
      </c>
      <c r="AJ7" s="82"/>
      <c r="AK7" s="82"/>
      <c r="AL7" s="82">
        <v>10</v>
      </c>
      <c r="AM7" s="89" t="s">
        <v>116</v>
      </c>
      <c r="AN7" s="20" t="s">
        <v>127</v>
      </c>
      <c r="AT7" s="20" t="str">
        <f t="shared" si="0"/>
        <v>天啊！敌人的将军来了，就在前方。</v>
      </c>
      <c r="AU7" s="20" t="s">
        <v>128</v>
      </c>
    </row>
    <row r="8" spans="1:61">
      <c r="A8" s="20">
        <v>4</v>
      </c>
      <c r="C8" s="20">
        <v>1</v>
      </c>
      <c r="E8" s="20" t="s">
        <v>110</v>
      </c>
      <c r="F8" s="20" t="str">
        <f>VLOOKUP(G8,'#TID_base_up'!B:C,2,0)</f>
        <v>魏兰</v>
      </c>
      <c r="G8" s="20" t="s">
        <v>129</v>
      </c>
      <c r="H8" s="82" t="s">
        <v>112</v>
      </c>
      <c r="I8" s="82" t="s">
        <v>113</v>
      </c>
      <c r="J8" s="81" t="s">
        <v>130</v>
      </c>
      <c r="T8" s="20">
        <v>1</v>
      </c>
      <c r="U8" s="20">
        <v>1</v>
      </c>
      <c r="V8" s="20">
        <v>0</v>
      </c>
      <c r="W8" s="20">
        <v>1</v>
      </c>
      <c r="X8" s="20">
        <v>0</v>
      </c>
      <c r="Y8" s="81"/>
      <c r="AD8" s="82">
        <v>5.5</v>
      </c>
      <c r="AE8" s="82">
        <v>6.5</v>
      </c>
      <c r="AF8" s="82"/>
      <c r="AG8" s="82"/>
      <c r="AH8" s="82">
        <v>0.1</v>
      </c>
      <c r="AJ8" s="82"/>
      <c r="AK8" s="82"/>
      <c r="AL8" s="82">
        <v>10</v>
      </c>
      <c r="AM8" s="89" t="s">
        <v>116</v>
      </c>
      <c r="AN8" s="20" t="s">
        <v>121</v>
      </c>
      <c r="AT8" s="20" t="str">
        <f t="shared" si="0"/>
        <v>我是花木兰。前来营救！</v>
      </c>
      <c r="AU8" s="20" t="s">
        <v>131</v>
      </c>
      <c r="AV8" s="81"/>
    </row>
    <row r="9" spans="1:61">
      <c r="A9" s="20">
        <v>5</v>
      </c>
      <c r="C9" s="20">
        <v>1</v>
      </c>
      <c r="E9" s="20" t="s">
        <v>110</v>
      </c>
      <c r="F9" s="20" t="str">
        <f>VLOOKUP(G9,'#TID_base_up'!B:C,2,0)</f>
        <v>随从</v>
      </c>
      <c r="G9" s="81" t="s">
        <v>111</v>
      </c>
      <c r="H9" s="82" t="s">
        <v>132</v>
      </c>
      <c r="I9" s="82" t="s">
        <v>133</v>
      </c>
      <c r="J9" s="81" t="s">
        <v>134</v>
      </c>
      <c r="T9" s="20">
        <v>1</v>
      </c>
      <c r="U9" s="20">
        <v>2</v>
      </c>
      <c r="V9" s="20">
        <v>0</v>
      </c>
      <c r="W9" s="20">
        <v>1</v>
      </c>
      <c r="X9" s="20">
        <v>0</v>
      </c>
      <c r="Y9" s="81"/>
      <c r="AD9" s="20">
        <v>5.5</v>
      </c>
      <c r="AE9" s="82">
        <v>6.5</v>
      </c>
      <c r="AF9" s="82"/>
      <c r="AG9" s="82"/>
      <c r="AH9" s="82">
        <v>0.1</v>
      </c>
      <c r="AJ9" s="82"/>
      <c r="AK9" s="82"/>
      <c r="AL9" s="82">
        <v>10</v>
      </c>
      <c r="AT9" s="20" t="str">
        <f t="shared" si="0"/>
        <v>这是小对话测试1</v>
      </c>
      <c r="AU9" s="20" t="s">
        <v>135</v>
      </c>
      <c r="AV9" s="81"/>
    </row>
    <row r="10" spans="1:61">
      <c r="A10" s="20">
        <v>5</v>
      </c>
      <c r="C10" s="20">
        <v>2</v>
      </c>
      <c r="E10" s="20" t="s">
        <v>110</v>
      </c>
      <c r="F10" s="20" t="str">
        <f>VLOOKUP(G10,'#TID_base_up'!B:C,2,0)</f>
        <v>随从</v>
      </c>
      <c r="G10" s="81" t="s">
        <v>111</v>
      </c>
      <c r="H10" s="82" t="s">
        <v>112</v>
      </c>
      <c r="I10" s="82" t="s">
        <v>113</v>
      </c>
      <c r="J10" s="81" t="s">
        <v>136</v>
      </c>
      <c r="T10" s="20">
        <v>1</v>
      </c>
      <c r="U10" s="20">
        <v>2</v>
      </c>
      <c r="V10" s="20">
        <v>0</v>
      </c>
      <c r="W10" s="20">
        <v>1</v>
      </c>
      <c r="X10" s="20">
        <v>0</v>
      </c>
      <c r="Y10" s="81"/>
      <c r="AD10" s="20">
        <v>5.5</v>
      </c>
      <c r="AE10" s="82">
        <v>6.5</v>
      </c>
      <c r="AF10" s="82"/>
      <c r="AG10" s="82"/>
      <c r="AH10" s="82">
        <v>0.1</v>
      </c>
      <c r="AJ10" s="82"/>
      <c r="AK10" s="82"/>
      <c r="AL10" s="82">
        <v>10</v>
      </c>
      <c r="AT10" s="20" t="str">
        <f t="shared" si="0"/>
        <v>这是小对话测试2</v>
      </c>
      <c r="AU10" s="20" t="s">
        <v>137</v>
      </c>
      <c r="AV10" s="81"/>
    </row>
    <row r="11" spans="1:61">
      <c r="A11" s="20">
        <v>1001</v>
      </c>
      <c r="C11" s="20">
        <v>1</v>
      </c>
      <c r="E11" s="20" t="s">
        <v>110</v>
      </c>
      <c r="F11" s="20" t="str">
        <f>VLOOKUP(G11,'#TID_base_up'!B:C,2,0)</f>
        <v>随从</v>
      </c>
      <c r="G11" s="81" t="s">
        <v>111</v>
      </c>
      <c r="J11" s="81" t="s">
        <v>138</v>
      </c>
      <c r="T11" s="20">
        <v>1</v>
      </c>
      <c r="U11" s="20">
        <v>3</v>
      </c>
      <c r="V11" s="20">
        <v>0</v>
      </c>
      <c r="W11" s="20">
        <v>1</v>
      </c>
      <c r="X11" s="20">
        <v>0</v>
      </c>
      <c r="Y11" s="81"/>
      <c r="AD11" s="20">
        <v>5.5</v>
      </c>
      <c r="AE11" s="82">
        <v>6.5</v>
      </c>
      <c r="AF11" s="82"/>
      <c r="AG11" s="82"/>
      <c r="AH11" s="82">
        <v>0.1</v>
      </c>
      <c r="AJ11" s="82"/>
      <c r="AK11" s="82"/>
      <c r="AL11" s="82">
        <v>10</v>
      </c>
      <c r="AT11" s="20" t="str">
        <f t="shared" si="0"/>
        <v>我是一个小气泡文本</v>
      </c>
      <c r="AU11" s="20" t="s">
        <v>139</v>
      </c>
      <c r="AV11" s="81"/>
    </row>
    <row r="12" spans="1:61">
      <c r="A12" s="20">
        <v>1002</v>
      </c>
      <c r="C12" s="20">
        <v>1</v>
      </c>
      <c r="E12" s="20" t="s">
        <v>110</v>
      </c>
      <c r="F12" s="20" t="str">
        <f>VLOOKUP(G12,'#TID_base_up'!B:C,2,0)</f>
        <v>随从</v>
      </c>
      <c r="G12" s="81" t="s">
        <v>111</v>
      </c>
      <c r="J12" s="81" t="s">
        <v>140</v>
      </c>
      <c r="T12" s="20">
        <v>1</v>
      </c>
      <c r="U12" s="20">
        <v>3</v>
      </c>
      <c r="V12" s="20">
        <v>0</v>
      </c>
      <c r="W12" s="20">
        <v>1</v>
      </c>
      <c r="X12" s="20">
        <v>0</v>
      </c>
      <c r="Y12" s="81"/>
      <c r="AD12" s="20">
        <v>5.5</v>
      </c>
      <c r="AE12" s="82">
        <v>6.5</v>
      </c>
      <c r="AF12" s="82"/>
      <c r="AG12" s="82"/>
      <c r="AH12" s="82">
        <v>0.1</v>
      </c>
      <c r="AJ12" s="82"/>
      <c r="AK12" s="82"/>
      <c r="AL12" s="82">
        <v>10</v>
      </c>
      <c r="AT12" s="20" t="str">
        <f t="shared" si="0"/>
        <v>我是一个小气泡文本，但是我特别的长，用来测试气泡文本的自动缩放功能。哈哈哈哈哈哈哈哈。</v>
      </c>
      <c r="AU12" s="20" t="s">
        <v>141</v>
      </c>
      <c r="AV12" s="81"/>
    </row>
    <row r="13" spans="1:61">
      <c r="A13" s="20">
        <v>1002</v>
      </c>
      <c r="C13" s="20">
        <v>2</v>
      </c>
      <c r="E13" s="20" t="s">
        <v>110</v>
      </c>
      <c r="F13" s="20" t="str">
        <f>VLOOKUP(G13,'#TID_base_up'!B:C,2,0)</f>
        <v>随从</v>
      </c>
      <c r="G13" s="81" t="s">
        <v>111</v>
      </c>
      <c r="J13" s="81" t="s">
        <v>142</v>
      </c>
      <c r="T13" s="20">
        <v>1</v>
      </c>
      <c r="U13" s="20">
        <v>3</v>
      </c>
      <c r="V13" s="20">
        <v>0</v>
      </c>
      <c r="W13" s="20">
        <v>1</v>
      </c>
      <c r="X13" s="20">
        <v>0</v>
      </c>
      <c r="Y13" s="81"/>
      <c r="AD13" s="20">
        <v>5.5</v>
      </c>
      <c r="AE13" s="82">
        <v>6.5</v>
      </c>
      <c r="AF13" s="82"/>
      <c r="AG13" s="82"/>
      <c r="AH13" s="82">
        <v>0.1</v>
      </c>
      <c r="AJ13" s="82"/>
      <c r="AK13" s="82"/>
      <c r="AL13" s="82">
        <v>10</v>
      </c>
      <c r="AT13" s="20" t="str">
        <f t="shared" si="0"/>
        <v>这是小气泡文本的第二段，过了五秒钟我会出现。这是小气泡文本的第二段，过了五秒钟我会出现。这是小气泡文本的第二段，过了五秒钟我会出现。</v>
      </c>
      <c r="AU13" s="20" t="s">
        <v>143</v>
      </c>
      <c r="AV13" s="81"/>
    </row>
    <row r="14" spans="1:61">
      <c r="A14" s="20">
        <v>10001</v>
      </c>
      <c r="C14" s="20">
        <v>1</v>
      </c>
      <c r="E14" s="20" t="s">
        <v>110</v>
      </c>
      <c r="F14" s="20" t="str">
        <f>VLOOKUP(G14,'#TID_base_up'!B:C,2,0)</f>
        <v>琼恩</v>
      </c>
      <c r="G14" s="20" t="s">
        <v>144</v>
      </c>
      <c r="H14" s="82" t="s">
        <v>132</v>
      </c>
      <c r="I14" s="82" t="s">
        <v>145</v>
      </c>
      <c r="J14" s="20" t="s">
        <v>146</v>
      </c>
      <c r="T14" s="20">
        <v>1</v>
      </c>
      <c r="U14" s="20">
        <v>2</v>
      </c>
      <c r="V14" s="20">
        <v>0</v>
      </c>
      <c r="X14" s="20">
        <v>1005</v>
      </c>
      <c r="AD14" s="20">
        <v>4</v>
      </c>
      <c r="AE14" s="82">
        <v>5</v>
      </c>
      <c r="AF14" s="82"/>
      <c r="AG14" s="82"/>
      <c r="AH14" s="82">
        <v>0.1</v>
      </c>
      <c r="AJ14" s="82"/>
      <c r="AK14" s="82"/>
      <c r="AL14" s="82">
        <v>10</v>
      </c>
      <c r="AT14" s="20" t="str">
        <f t="shared" si="0"/>
        <v>说好了在这里汇合，怎么到现在都不见人影？</v>
      </c>
      <c r="AU14" s="20" t="s">
        <v>147</v>
      </c>
    </row>
    <row r="15" spans="1:61">
      <c r="A15" s="20">
        <v>10002</v>
      </c>
      <c r="C15" s="20">
        <f t="shared" ref="C15:C46" si="1">IF(A15=A14,C14+1,1)</f>
        <v>1</v>
      </c>
      <c r="E15" s="20" t="s">
        <v>110</v>
      </c>
      <c r="F15" s="20" t="str">
        <f>VLOOKUP(G15,'#TID_base_up'!B:C,2,0)</f>
        <v>强盗</v>
      </c>
      <c r="G15" s="20" t="s">
        <v>148</v>
      </c>
      <c r="H15" s="82" t="s">
        <v>112</v>
      </c>
      <c r="I15" s="82" t="str">
        <f>VLOOKUP(F15,'#Sheet1'!$J$2:$L$10,2,FALSE)</f>
        <v>frame_s_xsdh_005</v>
      </c>
      <c r="J15" s="20" t="s">
        <v>149</v>
      </c>
      <c r="T15" s="20">
        <v>1</v>
      </c>
      <c r="U15" s="20">
        <v>2</v>
      </c>
      <c r="V15" s="20">
        <v>0</v>
      </c>
      <c r="X15" s="20">
        <v>1005</v>
      </c>
      <c r="AD15" s="20">
        <v>3.7</v>
      </c>
      <c r="AE15" s="82">
        <v>4.7</v>
      </c>
      <c r="AF15" s="82"/>
      <c r="AG15" s="82"/>
      <c r="AH15" s="82">
        <v>0.1</v>
      </c>
      <c r="AJ15" s="82"/>
      <c r="AK15" s="82"/>
      <c r="AL15" s="82">
        <v>10</v>
      </c>
      <c r="AT15" s="20" t="str">
        <f t="shared" si="0"/>
        <v>喂！女人！快把值钱的东西全部交出来！</v>
      </c>
      <c r="AU15" s="20" t="s">
        <v>150</v>
      </c>
    </row>
    <row r="16" spans="1:61">
      <c r="A16" s="20">
        <v>10002</v>
      </c>
      <c r="C16" s="20">
        <f t="shared" si="1"/>
        <v>2</v>
      </c>
      <c r="E16" s="20" t="s">
        <v>110</v>
      </c>
      <c r="F16" s="20" t="str">
        <f>VLOOKUP(G16,'#TID_base_up'!B:C,2,0)</f>
        <v>琼恩</v>
      </c>
      <c r="G16" s="20" t="s">
        <v>144</v>
      </c>
      <c r="H16" s="82" t="s">
        <v>132</v>
      </c>
      <c r="I16" s="82" t="s">
        <v>145</v>
      </c>
      <c r="J16" s="20" t="s">
        <v>151</v>
      </c>
      <c r="T16" s="20">
        <v>1</v>
      </c>
      <c r="U16" s="20">
        <v>2</v>
      </c>
      <c r="V16" s="20">
        <v>0</v>
      </c>
      <c r="X16" s="20">
        <v>1005</v>
      </c>
      <c r="AD16" s="20">
        <v>5.2</v>
      </c>
      <c r="AE16" s="82">
        <v>6.2</v>
      </c>
      <c r="AF16" s="82"/>
      <c r="AG16" s="82"/>
      <c r="AH16" s="82">
        <v>0.1</v>
      </c>
      <c r="AJ16" s="82"/>
      <c r="AK16" s="82"/>
      <c r="AL16" s="82">
        <v>10</v>
      </c>
      <c r="AT16" s="20" t="str">
        <f t="shared" si="0"/>
        <v>外敌当前，你们这些人不想着为祖国效力，竟然还打劫自己人！</v>
      </c>
      <c r="AU16" s="20" t="s">
        <v>152</v>
      </c>
    </row>
    <row r="17" spans="1:47">
      <c r="A17" s="20">
        <v>10003</v>
      </c>
      <c r="C17" s="20">
        <f t="shared" si="1"/>
        <v>1</v>
      </c>
      <c r="E17" s="20" t="s">
        <v>110</v>
      </c>
      <c r="F17" s="20" t="str">
        <f>VLOOKUP(G17,'#TID_base_up'!B:C,2,0)</f>
        <v>德·梅斯</v>
      </c>
      <c r="G17" s="20" t="s">
        <v>153</v>
      </c>
      <c r="H17" s="82" t="s">
        <v>112</v>
      </c>
      <c r="I17" s="82" t="str">
        <f>VLOOKUP(F17,'#Sheet1'!$J$2:$L$10,2,FALSE)</f>
        <v>frame_s_xsdh_003</v>
      </c>
      <c r="J17" s="20" t="s">
        <v>154</v>
      </c>
      <c r="T17" s="20">
        <v>1</v>
      </c>
      <c r="U17" s="20">
        <v>2</v>
      </c>
      <c r="V17" s="20">
        <v>0</v>
      </c>
      <c r="X17" s="20">
        <v>1005</v>
      </c>
      <c r="AD17" s="20">
        <v>2.35</v>
      </c>
      <c r="AE17" s="82">
        <v>3.35</v>
      </c>
      <c r="AF17" s="82"/>
      <c r="AG17" s="82"/>
      <c r="AH17" s="82">
        <v>0.1</v>
      </c>
      <c r="AJ17" s="82"/>
      <c r="AK17" s="82"/>
      <c r="AL17" s="82">
        <v>10</v>
      </c>
      <c r="AT17" s="20" t="str">
        <f t="shared" si="0"/>
        <v>我就说要迟到了……</v>
      </c>
      <c r="AU17" s="20" t="s">
        <v>155</v>
      </c>
    </row>
    <row r="18" spans="1:47">
      <c r="A18" s="20">
        <v>10003</v>
      </c>
      <c r="C18" s="20">
        <f t="shared" si="1"/>
        <v>2</v>
      </c>
      <c r="E18" s="20" t="s">
        <v>110</v>
      </c>
      <c r="F18" s="20" t="str">
        <f>VLOOKUP(G18,'#TID_base_up'!B:C,2,0)</f>
        <v>伯特兰</v>
      </c>
      <c r="G18" s="20" t="s">
        <v>156</v>
      </c>
      <c r="H18" s="82" t="s">
        <v>112</v>
      </c>
      <c r="I18" s="82" t="str">
        <f>VLOOKUP(F18,'#Sheet1'!$J$2:$L$10,2,FALSE)</f>
        <v>frame_s_xsdh_006</v>
      </c>
      <c r="J18" s="20" t="s">
        <v>157</v>
      </c>
      <c r="T18" s="20">
        <v>1</v>
      </c>
      <c r="U18" s="20">
        <v>2</v>
      </c>
      <c r="V18" s="20">
        <v>0</v>
      </c>
      <c r="X18" s="20">
        <v>1005</v>
      </c>
      <c r="AD18" s="20">
        <v>5.8</v>
      </c>
      <c r="AE18" s="82">
        <v>6.8</v>
      </c>
      <c r="AF18" s="82"/>
      <c r="AG18" s="82"/>
      <c r="AH18" s="82">
        <v>0.1</v>
      </c>
      <c r="AJ18" s="82"/>
      <c r="AK18" s="82"/>
      <c r="AL18" s="82">
        <v>10</v>
      </c>
      <c r="AT18" s="20" t="str">
        <f t="shared" si="0"/>
        <v>别废话了！快救人！</v>
      </c>
      <c r="AU18" s="20" t="s">
        <v>158</v>
      </c>
    </row>
    <row r="19" spans="1:47">
      <c r="A19" s="20">
        <v>10004</v>
      </c>
      <c r="C19" s="20">
        <f t="shared" si="1"/>
        <v>1</v>
      </c>
      <c r="E19" s="20" t="s">
        <v>110</v>
      </c>
      <c r="F19" s="20" t="str">
        <f>VLOOKUP(G19,'#TID_base_up'!B:C,2,0)</f>
        <v>伯特兰</v>
      </c>
      <c r="G19" s="20" t="s">
        <v>156</v>
      </c>
      <c r="H19" s="82" t="s">
        <v>112</v>
      </c>
      <c r="I19" s="82" t="str">
        <f>VLOOKUP(F19,'#Sheet1'!$J$2:$L$10,2,FALSE)</f>
        <v>frame_s_xsdh_006</v>
      </c>
      <c r="J19" s="20" t="s">
        <v>159</v>
      </c>
      <c r="T19" s="20">
        <v>1</v>
      </c>
      <c r="U19" s="20">
        <v>2</v>
      </c>
      <c r="V19" s="20">
        <v>0</v>
      </c>
      <c r="X19" s="20">
        <v>1005</v>
      </c>
      <c r="AD19" s="20">
        <v>3.4</v>
      </c>
      <c r="AE19" s="82">
        <v>4.4000000000000004</v>
      </c>
      <c r="AF19" s="82"/>
      <c r="AG19" s="82"/>
      <c r="AH19" s="82">
        <v>0.1</v>
      </c>
      <c r="AJ19" s="82"/>
      <c r="AK19" s="82"/>
      <c r="AL19" s="82">
        <v>10</v>
      </c>
      <c r="AT19" s="20" t="str">
        <f t="shared" si="0"/>
        <v>将部队拖拽向敌人，可以发起攻击。</v>
      </c>
      <c r="AU19" s="20" t="s">
        <v>160</v>
      </c>
    </row>
    <row r="20" spans="1:47">
      <c r="A20" s="20">
        <v>10005</v>
      </c>
      <c r="C20" s="20">
        <f t="shared" si="1"/>
        <v>1</v>
      </c>
      <c r="E20" s="20" t="s">
        <v>110</v>
      </c>
      <c r="F20" s="20" t="str">
        <f>VLOOKUP(G20,'#TID_base_up'!B:C,2,0)</f>
        <v>伯特兰</v>
      </c>
      <c r="G20" s="20" t="s">
        <v>156</v>
      </c>
      <c r="H20" s="82" t="s">
        <v>112</v>
      </c>
      <c r="I20" s="82" t="str">
        <f>VLOOKUP(F20,'#Sheet1'!$J$2:$L$10,2,FALSE)</f>
        <v>frame_s_xsdh_006</v>
      </c>
      <c r="J20" s="20" t="s">
        <v>161</v>
      </c>
      <c r="T20" s="20">
        <v>1</v>
      </c>
      <c r="U20" s="20">
        <v>2</v>
      </c>
      <c r="V20" s="20">
        <v>0</v>
      </c>
      <c r="X20" s="20">
        <v>1005</v>
      </c>
      <c r="AD20" s="20">
        <v>2.8</v>
      </c>
      <c r="AE20" s="82">
        <v>3.8</v>
      </c>
      <c r="AF20" s="82"/>
      <c r="AG20" s="82"/>
      <c r="AH20" s="82">
        <v>0.1</v>
      </c>
      <c r="AJ20" s="82"/>
      <c r="AK20" s="82"/>
      <c r="AL20" s="82">
        <v>10</v>
      </c>
      <c r="AT20" s="20" t="str">
        <f t="shared" si="0"/>
        <v>你好，琼恩，我是伯特兰。</v>
      </c>
      <c r="AU20" s="20" t="s">
        <v>162</v>
      </c>
    </row>
    <row r="21" spans="1:47">
      <c r="A21" s="20">
        <v>10005</v>
      </c>
      <c r="C21" s="20">
        <f t="shared" si="1"/>
        <v>2</v>
      </c>
      <c r="E21" s="20" t="s">
        <v>110</v>
      </c>
      <c r="F21" s="20" t="str">
        <f>VLOOKUP(G21,'#TID_base_up'!B:C,2,0)</f>
        <v>德·梅斯</v>
      </c>
      <c r="G21" s="20" t="s">
        <v>153</v>
      </c>
      <c r="H21" s="82" t="s">
        <v>112</v>
      </c>
      <c r="I21" s="82" t="str">
        <f>VLOOKUP(F21,'#Sheet1'!$J$2:$L$10,2,FALSE)</f>
        <v>frame_s_xsdh_003</v>
      </c>
      <c r="J21" s="20" t="s">
        <v>163</v>
      </c>
      <c r="T21" s="20">
        <v>1</v>
      </c>
      <c r="U21" s="20">
        <v>2</v>
      </c>
      <c r="V21" s="20">
        <v>0</v>
      </c>
      <c r="X21" s="20">
        <v>1005</v>
      </c>
      <c r="AD21" s="20">
        <v>3.7</v>
      </c>
      <c r="AE21" s="82">
        <v>4.7</v>
      </c>
      <c r="AF21" s="82"/>
      <c r="AG21" s="82"/>
      <c r="AH21" s="82">
        <v>0.1</v>
      </c>
      <c r="AJ21" s="82"/>
      <c r="AK21" s="82"/>
      <c r="AL21" s="82">
        <v>10</v>
      </c>
      <c r="AT21" s="20" t="str">
        <f t="shared" si="0"/>
        <v>让·德·梅斯，很荣幸为您效劳，女士。</v>
      </c>
      <c r="AU21" s="20" t="s">
        <v>164</v>
      </c>
    </row>
    <row r="22" spans="1:47">
      <c r="A22" s="20">
        <v>10005</v>
      </c>
      <c r="C22" s="20">
        <f t="shared" si="1"/>
        <v>3</v>
      </c>
      <c r="E22" s="20" t="s">
        <v>110</v>
      </c>
      <c r="F22" s="20" t="str">
        <f>VLOOKUP(G22,'#TID_base_up'!B:C,2,0)</f>
        <v>伯特兰</v>
      </c>
      <c r="G22" s="20" t="s">
        <v>156</v>
      </c>
      <c r="H22" s="82" t="s">
        <v>112</v>
      </c>
      <c r="I22" s="82" t="str">
        <f>VLOOKUP(F22,'#Sheet1'!$J$2:$L$10,2,FALSE)</f>
        <v>frame_s_xsdh_006</v>
      </c>
      <c r="J22" s="20" t="s">
        <v>165</v>
      </c>
      <c r="T22" s="20">
        <v>1</v>
      </c>
      <c r="U22" s="20">
        <v>2</v>
      </c>
      <c r="V22" s="20">
        <v>0</v>
      </c>
      <c r="X22" s="20">
        <v>1005</v>
      </c>
      <c r="AD22" s="20">
        <v>5.05</v>
      </c>
      <c r="AE22" s="82">
        <v>6.05</v>
      </c>
      <c r="AF22" s="82"/>
      <c r="AG22" s="82"/>
      <c r="AH22" s="82">
        <v>0.1</v>
      </c>
      <c r="AJ22" s="82"/>
      <c r="AK22" s="82"/>
      <c r="AL22" s="82">
        <v>10</v>
      </c>
      <c r="AT22" s="20" t="str">
        <f t="shared" si="0"/>
        <v>我和梅斯会一同护送你到前往齐侬，皇太子正在那里等着你。</v>
      </c>
      <c r="AU22" s="20" t="s">
        <v>166</v>
      </c>
    </row>
    <row r="23" spans="1:47">
      <c r="A23" s="20">
        <v>10006</v>
      </c>
      <c r="C23" s="20">
        <f t="shared" si="1"/>
        <v>1</v>
      </c>
      <c r="E23" s="20" t="s">
        <v>110</v>
      </c>
      <c r="F23" s="20" t="str">
        <f>VLOOKUP(G23,'#TID_base_up'!B:C,2,0)</f>
        <v>强盗伏兵</v>
      </c>
      <c r="G23" s="20" t="s">
        <v>167</v>
      </c>
      <c r="H23" s="82" t="s">
        <v>112</v>
      </c>
      <c r="I23" s="82" t="str">
        <f>VLOOKUP(F23,'#Sheet1'!$J$2:$L$10,2,FALSE)</f>
        <v>frame_s_xsdh_005</v>
      </c>
      <c r="J23" s="20" t="s">
        <v>168</v>
      </c>
      <c r="T23" s="20">
        <v>1</v>
      </c>
      <c r="U23" s="20">
        <v>2</v>
      </c>
      <c r="V23" s="20">
        <v>0</v>
      </c>
      <c r="X23" s="20">
        <v>1005</v>
      </c>
      <c r="AD23" s="20">
        <v>2.2000000000000002</v>
      </c>
      <c r="AE23" s="82">
        <v>3.2</v>
      </c>
      <c r="AF23" s="82"/>
      <c r="AG23" s="82"/>
      <c r="AH23" s="82">
        <v>0.1</v>
      </c>
      <c r="AJ23" s="82"/>
      <c r="AK23" s="82"/>
      <c r="AL23" s="82">
        <v>10</v>
      </c>
      <c r="AT23" s="20" t="str">
        <f t="shared" si="0"/>
        <v>肥鸭子送上门啦！</v>
      </c>
      <c r="AU23" s="20" t="s">
        <v>169</v>
      </c>
    </row>
    <row r="24" spans="1:47">
      <c r="A24" s="20">
        <v>10007</v>
      </c>
      <c r="C24" s="20">
        <f t="shared" si="1"/>
        <v>1</v>
      </c>
      <c r="E24" s="20" t="s">
        <v>110</v>
      </c>
      <c r="F24" s="20" t="str">
        <f>VLOOKUP(G24,'#TID_base_up'!B:C,2,0)</f>
        <v>勃艮第人</v>
      </c>
      <c r="G24" s="20" t="s">
        <v>170</v>
      </c>
      <c r="H24" s="82" t="s">
        <v>112</v>
      </c>
      <c r="I24" s="82" t="str">
        <f>VLOOKUP(F24,'#Sheet1'!$J$2:$L$10,2,FALSE)</f>
        <v>frame_s_xsdh_005</v>
      </c>
      <c r="J24" s="20" t="s">
        <v>171</v>
      </c>
      <c r="T24" s="20">
        <v>1</v>
      </c>
      <c r="U24" s="20">
        <v>2</v>
      </c>
      <c r="V24" s="20">
        <v>0</v>
      </c>
      <c r="X24" s="20">
        <v>1005</v>
      </c>
      <c r="AD24" s="20">
        <v>3.85</v>
      </c>
      <c r="AE24" s="82">
        <v>4.8499999999999996</v>
      </c>
      <c r="AF24" s="82"/>
      <c r="AG24" s="82"/>
      <c r="AH24" s="82">
        <v>0.1</v>
      </c>
      <c r="AJ24" s="82"/>
      <c r="AK24" s="82"/>
      <c r="AL24" s="82">
        <v>10</v>
      </c>
      <c r="AT24" s="20" t="str">
        <f t="shared" si="0"/>
        <v>你们法兰西人就是不知道什么时候该认输！</v>
      </c>
      <c r="AU24" s="20" t="s">
        <v>172</v>
      </c>
    </row>
    <row r="25" spans="1:47">
      <c r="A25" s="20">
        <v>10008</v>
      </c>
      <c r="C25" s="20">
        <f t="shared" si="1"/>
        <v>1</v>
      </c>
      <c r="E25" s="20" t="s">
        <v>110</v>
      </c>
      <c r="F25" s="20" t="str">
        <f>VLOOKUP(G25,'#TID_base_up'!B:C,2,0)</f>
        <v>伯特兰</v>
      </c>
      <c r="G25" s="20" t="s">
        <v>156</v>
      </c>
      <c r="H25" s="82" t="s">
        <v>112</v>
      </c>
      <c r="I25" s="82" t="str">
        <f>VLOOKUP(F25,'#Sheet1'!$J$2:$L$10,2,FALSE)</f>
        <v>frame_s_xsdh_006</v>
      </c>
      <c r="J25" s="20" t="s">
        <v>173</v>
      </c>
      <c r="T25" s="20">
        <v>1</v>
      </c>
      <c r="U25" s="20">
        <v>2</v>
      </c>
      <c r="V25" s="20">
        <v>0</v>
      </c>
      <c r="X25" s="20">
        <v>1005</v>
      </c>
      <c r="AD25" s="20">
        <v>3.25</v>
      </c>
      <c r="AE25" s="82">
        <v>4.25</v>
      </c>
      <c r="AF25" s="82"/>
      <c r="AG25" s="82"/>
      <c r="AH25" s="82">
        <v>0.1</v>
      </c>
      <c r="AJ25" s="82"/>
      <c r="AK25" s="82"/>
      <c r="AL25" s="82">
        <v>10</v>
      </c>
      <c r="AT25" s="20" t="str">
        <f t="shared" si="0"/>
        <v>解救友军能够增强部队的战斗力。</v>
      </c>
      <c r="AU25" s="20" t="s">
        <v>174</v>
      </c>
    </row>
    <row r="26" spans="1:47">
      <c r="A26" s="20">
        <v>10008</v>
      </c>
      <c r="C26" s="20">
        <f t="shared" si="1"/>
        <v>2</v>
      </c>
      <c r="E26" s="20" t="s">
        <v>110</v>
      </c>
      <c r="F26" s="20" t="str">
        <f>VLOOKUP(G26,'#TID_base_up'!B:C,2,0)</f>
        <v>德·梅斯</v>
      </c>
      <c r="G26" s="20" t="s">
        <v>153</v>
      </c>
      <c r="H26" s="82" t="s">
        <v>112</v>
      </c>
      <c r="I26" s="82" t="str">
        <f>VLOOKUP(F26,'#Sheet1'!$J$2:$L$10,2,FALSE)</f>
        <v>frame_s_xsdh_003</v>
      </c>
      <c r="J26" s="20" t="s">
        <v>175</v>
      </c>
      <c r="T26" s="20">
        <v>1</v>
      </c>
      <c r="U26" s="20">
        <v>2</v>
      </c>
      <c r="V26" s="20">
        <v>0</v>
      </c>
      <c r="X26" s="20">
        <v>1005</v>
      </c>
      <c r="AD26" s="20">
        <v>4.3</v>
      </c>
      <c r="AE26" s="82">
        <v>5.3</v>
      </c>
      <c r="AF26" s="82"/>
      <c r="AG26" s="82"/>
      <c r="AH26" s="82">
        <v>0.1</v>
      </c>
      <c r="AJ26" s="82"/>
      <c r="AK26" s="82"/>
      <c r="AL26" s="82">
        <v>10</v>
      </c>
      <c r="AT26" s="20" t="str">
        <f t="shared" si="0"/>
        <v>同时也会将琼恩置于危险境地，两难呐，两难……</v>
      </c>
      <c r="AU26" s="20" t="s">
        <v>176</v>
      </c>
    </row>
    <row r="27" spans="1:47">
      <c r="A27" s="20">
        <v>10009</v>
      </c>
      <c r="C27" s="20">
        <f t="shared" si="1"/>
        <v>1</v>
      </c>
      <c r="E27" s="20" t="s">
        <v>110</v>
      </c>
      <c r="F27" s="20" t="str">
        <f>VLOOKUP(G27,'#TID_base_up'!B:C,2,0)</f>
        <v>伯特兰</v>
      </c>
      <c r="G27" s="20" t="s">
        <v>156</v>
      </c>
      <c r="H27" s="82" t="s">
        <v>112</v>
      </c>
      <c r="I27" s="82" t="str">
        <f>VLOOKUP(F27,'#Sheet1'!$J$2:$L$10,2,FALSE)</f>
        <v>frame_s_xsdh_006</v>
      </c>
      <c r="J27" s="20" t="s">
        <v>177</v>
      </c>
      <c r="T27" s="20">
        <v>1</v>
      </c>
      <c r="U27" s="20">
        <v>2</v>
      </c>
      <c r="V27" s="20">
        <v>0</v>
      </c>
      <c r="X27" s="20">
        <v>1005</v>
      </c>
      <c r="AD27" s="20">
        <v>3.25</v>
      </c>
      <c r="AE27" s="82">
        <v>4.25</v>
      </c>
      <c r="AF27" s="82"/>
      <c r="AG27" s="82"/>
      <c r="AH27" s="82">
        <v>0.1</v>
      </c>
      <c r="AJ27" s="82"/>
      <c r="AK27" s="82"/>
      <c r="AL27" s="82">
        <v>10</v>
      </c>
      <c r="AT27" s="20" t="str">
        <f t="shared" si="0"/>
        <v>齐侬的朋友，我们一起并肩作战！</v>
      </c>
      <c r="AU27" s="20" t="s">
        <v>178</v>
      </c>
    </row>
    <row r="28" spans="1:47">
      <c r="A28" s="20">
        <v>10009</v>
      </c>
      <c r="C28" s="20">
        <f t="shared" si="1"/>
        <v>2</v>
      </c>
      <c r="E28" s="20" t="s">
        <v>110</v>
      </c>
      <c r="F28" s="20" t="str">
        <f>VLOOKUP(G28,'#TID_base_up'!B:C,2,0)</f>
        <v>齐侬巡逻队</v>
      </c>
      <c r="G28" s="20" t="s">
        <v>179</v>
      </c>
      <c r="H28" s="82" t="s">
        <v>112</v>
      </c>
      <c r="I28" s="82" t="str">
        <f>VLOOKUP(F28,'#Sheet1'!$J$2:$L$10,2,FALSE)</f>
        <v>frame_s_xsdh_002</v>
      </c>
      <c r="J28" s="20" t="s">
        <v>180</v>
      </c>
      <c r="T28" s="20">
        <v>1</v>
      </c>
      <c r="U28" s="20">
        <v>2</v>
      </c>
      <c r="V28" s="20">
        <v>0</v>
      </c>
      <c r="X28" s="20">
        <v>1005</v>
      </c>
      <c r="AD28" s="20">
        <v>2.35</v>
      </c>
      <c r="AE28" s="82">
        <v>3.35</v>
      </c>
      <c r="AF28" s="82"/>
      <c r="AG28" s="82"/>
      <c r="AH28" s="82">
        <v>0.1</v>
      </c>
      <c r="AJ28" s="82"/>
      <c r="AK28" s="82"/>
      <c r="AL28" s="82">
        <v>10</v>
      </c>
      <c r="AT28" s="20" t="str">
        <f t="shared" si="0"/>
        <v>是友军！友军来了！</v>
      </c>
      <c r="AU28" s="20" t="s">
        <v>181</v>
      </c>
    </row>
    <row r="29" spans="1:47">
      <c r="A29" s="20">
        <v>10009</v>
      </c>
      <c r="C29" s="20">
        <f t="shared" si="1"/>
        <v>3</v>
      </c>
      <c r="E29" s="20" t="s">
        <v>110</v>
      </c>
      <c r="F29" s="20" t="str">
        <f>VLOOKUP(G29,'#TID_base_up'!B:C,2,0)</f>
        <v>勃艮第人</v>
      </c>
      <c r="G29" s="20" t="s">
        <v>170</v>
      </c>
      <c r="H29" s="82" t="s">
        <v>112</v>
      </c>
      <c r="I29" s="82" t="str">
        <f>VLOOKUP(F29,'#Sheet1'!$J$2:$L$10,2,FALSE)</f>
        <v>frame_s_xsdh_005</v>
      </c>
      <c r="J29" s="20" t="s">
        <v>182</v>
      </c>
      <c r="T29" s="20">
        <v>1</v>
      </c>
      <c r="U29" s="20">
        <v>2</v>
      </c>
      <c r="V29" s="20">
        <v>0</v>
      </c>
      <c r="X29" s="20">
        <v>1005</v>
      </c>
      <c r="AD29" s="20">
        <v>2.95</v>
      </c>
      <c r="AE29" s="82">
        <v>3.95</v>
      </c>
      <c r="AF29" s="82"/>
      <c r="AG29" s="82"/>
      <c r="AH29" s="82">
        <v>0.1</v>
      </c>
      <c r="AJ29" s="82"/>
      <c r="AK29" s="82"/>
      <c r="AL29" s="82">
        <v>10</v>
      </c>
      <c r="AT29" s="20" t="str">
        <f t="shared" si="0"/>
        <v>该死的！他们过来了！进攻！</v>
      </c>
      <c r="AU29" s="20" t="s">
        <v>183</v>
      </c>
    </row>
    <row r="30" spans="1:47">
      <c r="A30" s="20">
        <v>10010</v>
      </c>
      <c r="C30" s="20">
        <f t="shared" si="1"/>
        <v>1</v>
      </c>
      <c r="E30" s="20" t="s">
        <v>110</v>
      </c>
      <c r="F30" s="20" t="str">
        <f>VLOOKUP(G30,'#TID_base_up'!B:C,2,0)</f>
        <v>齐侬巡逻队</v>
      </c>
      <c r="G30" s="20" t="s">
        <v>179</v>
      </c>
      <c r="H30" s="82" t="s">
        <v>112</v>
      </c>
      <c r="I30" s="82" t="str">
        <f>VLOOKUP(F30,'#Sheet1'!$J$2:$L$10,2,FALSE)</f>
        <v>frame_s_xsdh_002</v>
      </c>
      <c r="J30" s="20" t="s">
        <v>184</v>
      </c>
      <c r="T30" s="20">
        <v>1</v>
      </c>
      <c r="U30" s="20">
        <v>2</v>
      </c>
      <c r="V30" s="20">
        <v>0</v>
      </c>
      <c r="X30" s="20">
        <v>1005</v>
      </c>
      <c r="AD30" s="20">
        <v>3.7</v>
      </c>
      <c r="AE30" s="82">
        <v>4.7</v>
      </c>
      <c r="AF30" s="82"/>
      <c r="AG30" s="82"/>
      <c r="AH30" s="82">
        <v>0.1</v>
      </c>
      <c r="AJ30" s="82"/>
      <c r="AK30" s="82"/>
      <c r="AL30" s="82">
        <v>10</v>
      </c>
      <c r="AT30" s="20" t="str">
        <f t="shared" si="0"/>
        <v>小心，我们的敌人英格兰已经大肆出动。</v>
      </c>
      <c r="AU30" s="20" t="s">
        <v>185</v>
      </c>
    </row>
    <row r="31" spans="1:47">
      <c r="A31" s="20">
        <v>10010</v>
      </c>
      <c r="C31" s="20">
        <f t="shared" si="1"/>
        <v>2</v>
      </c>
      <c r="E31" s="20" t="s">
        <v>110</v>
      </c>
      <c r="F31" s="20" t="str">
        <f>VLOOKUP(G31,'#TID_base_up'!B:C,2,0)</f>
        <v>齐侬巡逻队</v>
      </c>
      <c r="G31" s="20" t="s">
        <v>179</v>
      </c>
      <c r="H31" s="82" t="s">
        <v>112</v>
      </c>
      <c r="I31" s="82" t="str">
        <f>VLOOKUP(F31,'#Sheet1'!$J$2:$L$10,2,FALSE)</f>
        <v>frame_s_xsdh_002</v>
      </c>
      <c r="J31" s="20" t="s">
        <v>186</v>
      </c>
      <c r="T31" s="20">
        <v>1</v>
      </c>
      <c r="U31" s="20">
        <v>2</v>
      </c>
      <c r="V31" s="20">
        <v>0</v>
      </c>
      <c r="X31" s="20">
        <v>1005</v>
      </c>
      <c r="AD31" s="20">
        <v>3.55</v>
      </c>
      <c r="AE31" s="82">
        <v>4.55</v>
      </c>
      <c r="AF31" s="82"/>
      <c r="AG31" s="82"/>
      <c r="AH31" s="82">
        <v>0.1</v>
      </c>
      <c r="AJ31" s="82"/>
      <c r="AK31" s="82"/>
      <c r="AL31" s="82">
        <v>10</v>
      </c>
      <c r="AT31" s="20" t="str">
        <f t="shared" si="0"/>
        <v>他们的勃艮第盟友人数多得犹如老鼠。</v>
      </c>
      <c r="AU31" s="20" t="s">
        <v>187</v>
      </c>
    </row>
    <row r="32" spans="1:47">
      <c r="A32" s="20">
        <v>10011</v>
      </c>
      <c r="C32" s="20">
        <f t="shared" si="1"/>
        <v>1</v>
      </c>
      <c r="E32" s="20" t="s">
        <v>110</v>
      </c>
      <c r="F32" s="20" t="str">
        <f>VLOOKUP(G32,'#TID_base_up'!B:C,2,0)</f>
        <v>齐侬巡逻队</v>
      </c>
      <c r="G32" s="20" t="s">
        <v>179</v>
      </c>
      <c r="H32" s="82" t="s">
        <v>112</v>
      </c>
      <c r="I32" s="82" t="str">
        <f>VLOOKUP(F32,'#Sheet1'!$J$2:$L$10,2,FALSE)</f>
        <v>frame_s_xsdh_002</v>
      </c>
      <c r="J32" s="20" t="s">
        <v>188</v>
      </c>
      <c r="T32" s="20">
        <v>1</v>
      </c>
      <c r="U32" s="20">
        <v>2</v>
      </c>
      <c r="V32" s="20">
        <v>0</v>
      </c>
      <c r="X32" s="20">
        <v>1005</v>
      </c>
      <c r="AD32" s="20">
        <v>1.9</v>
      </c>
      <c r="AE32" s="82">
        <v>2.9</v>
      </c>
      <c r="AF32" s="82"/>
      <c r="AG32" s="82"/>
      <c r="AH32" s="82">
        <v>0.1</v>
      </c>
      <c r="AJ32" s="82"/>
      <c r="AK32" s="82"/>
      <c r="AL32" s="82">
        <v>10</v>
      </c>
      <c r="AT32" s="20" t="str">
        <f t="shared" si="0"/>
        <v>为了法兰西！</v>
      </c>
      <c r="AU32" s="20" t="s">
        <v>189</v>
      </c>
    </row>
    <row r="33" spans="1:47">
      <c r="A33" s="20">
        <v>10011</v>
      </c>
      <c r="C33" s="20">
        <f t="shared" si="1"/>
        <v>2</v>
      </c>
      <c r="E33" s="20" t="s">
        <v>110</v>
      </c>
      <c r="F33" s="20" t="str">
        <f>VLOOKUP(G33,'#TID_base_up'!B:C,2,0)</f>
        <v>伯特兰</v>
      </c>
      <c r="G33" s="20" t="s">
        <v>156</v>
      </c>
      <c r="H33" s="82" t="s">
        <v>112</v>
      </c>
      <c r="I33" s="82" t="str">
        <f>VLOOKUP(F33,'#Sheet1'!$J$2:$L$10,2,FALSE)</f>
        <v>frame_s_xsdh_006</v>
      </c>
      <c r="J33" s="20" t="s">
        <v>190</v>
      </c>
      <c r="T33" s="20">
        <v>1</v>
      </c>
      <c r="U33" s="20">
        <v>2</v>
      </c>
      <c r="V33" s="20">
        <v>0</v>
      </c>
      <c r="X33" s="20">
        <v>1005</v>
      </c>
      <c r="AD33" s="20">
        <v>2.95</v>
      </c>
      <c r="AE33" s="82">
        <v>3.95</v>
      </c>
      <c r="AF33" s="82"/>
      <c r="AG33" s="82"/>
      <c r="AH33" s="82">
        <v>0.1</v>
      </c>
      <c r="AJ33" s="82"/>
      <c r="AK33" s="82"/>
      <c r="AL33" s="82">
        <v>10</v>
      </c>
      <c r="AT33" s="20" t="str">
        <f t="shared" si="0"/>
        <v>我们必须要专注自己的任务。</v>
      </c>
      <c r="AU33" s="20" t="s">
        <v>191</v>
      </c>
    </row>
    <row r="34" spans="1:47">
      <c r="A34" s="20">
        <v>10012</v>
      </c>
      <c r="C34" s="20">
        <f t="shared" si="1"/>
        <v>1</v>
      </c>
      <c r="E34" s="20" t="s">
        <v>110</v>
      </c>
      <c r="F34" s="20" t="str">
        <f>VLOOKUP(G34,'#TID_base_up'!B:C,2,0)</f>
        <v>琼恩</v>
      </c>
      <c r="G34" s="20" t="s">
        <v>144</v>
      </c>
      <c r="H34" s="82" t="s">
        <v>112</v>
      </c>
      <c r="I34" s="82" t="str">
        <f>VLOOKUP(F34,'#Sheet1'!$J$2:$L$10,2,FALSE)</f>
        <v>frame_s_xsdh_001</v>
      </c>
      <c r="J34" s="20" t="s">
        <v>192</v>
      </c>
      <c r="T34" s="20">
        <v>1</v>
      </c>
      <c r="U34" s="20">
        <v>2</v>
      </c>
      <c r="V34" s="20">
        <v>0</v>
      </c>
      <c r="X34" s="20">
        <v>1005</v>
      </c>
      <c r="AD34" s="20">
        <v>4.75</v>
      </c>
      <c r="AE34" s="82">
        <v>5.75</v>
      </c>
      <c r="AF34" s="82"/>
      <c r="AG34" s="82"/>
      <c r="AH34" s="82">
        <v>0.1</v>
      </c>
      <c r="AJ34" s="82"/>
      <c r="AK34" s="82"/>
      <c r="AL34" s="82">
        <v>10</v>
      </c>
      <c r="AT34" s="20" t="str">
        <f t="shared" si="0"/>
        <v>只要我们齐心协力，就一定可以将这些侵略者赶回海里。</v>
      </c>
      <c r="AU34" s="20" t="s">
        <v>193</v>
      </c>
    </row>
    <row r="35" spans="1:47">
      <c r="A35" s="20">
        <v>10012</v>
      </c>
      <c r="C35" s="20">
        <f t="shared" si="1"/>
        <v>2</v>
      </c>
      <c r="E35" s="20" t="s">
        <v>110</v>
      </c>
      <c r="F35" s="20" t="str">
        <f>VLOOKUP(G35,'#TID_base_up'!B:C,2,0)</f>
        <v>齐侬巡逻队</v>
      </c>
      <c r="G35" s="20" t="s">
        <v>179</v>
      </c>
      <c r="H35" s="82" t="s">
        <v>112</v>
      </c>
      <c r="I35" s="82" t="str">
        <f>VLOOKUP(F35,'#Sheet1'!$J$2:$L$10,2,FALSE)</f>
        <v>frame_s_xsdh_002</v>
      </c>
      <c r="J35" s="20" t="s">
        <v>194</v>
      </c>
      <c r="T35" s="20">
        <v>1</v>
      </c>
      <c r="U35" s="20">
        <v>2</v>
      </c>
      <c r="V35" s="20">
        <v>0</v>
      </c>
      <c r="X35" s="20">
        <v>1005</v>
      </c>
      <c r="AD35" s="20">
        <v>4.1500000000000004</v>
      </c>
      <c r="AE35" s="82">
        <v>5.15</v>
      </c>
      <c r="AF35" s="82"/>
      <c r="AG35" s="82"/>
      <c r="AH35" s="82">
        <v>0.1</v>
      </c>
      <c r="AJ35" s="82"/>
      <c r="AK35" s="82"/>
      <c r="AL35" s="82">
        <v>10</v>
      </c>
      <c r="AT35" s="20" t="str">
        <f t="shared" si="0"/>
        <v>你是琼恩……我相信你说的话，我们会追随你。</v>
      </c>
      <c r="AU35" s="20" t="s">
        <v>195</v>
      </c>
    </row>
    <row r="36" spans="1:47">
      <c r="A36" s="20">
        <v>10012</v>
      </c>
      <c r="C36" s="20">
        <f t="shared" si="1"/>
        <v>3</v>
      </c>
      <c r="E36" s="20" t="s">
        <v>110</v>
      </c>
      <c r="F36" s="20" t="str">
        <f>VLOOKUP(G36,'#TID_base_up'!B:C,2,0)</f>
        <v>伯特兰</v>
      </c>
      <c r="G36" s="20" t="s">
        <v>156</v>
      </c>
      <c r="H36" s="82" t="s">
        <v>112</v>
      </c>
      <c r="I36" s="82" t="str">
        <f>VLOOKUP(F36,'#Sheet1'!$J$2:$L$10,2,FALSE)</f>
        <v>frame_s_xsdh_006</v>
      </c>
      <c r="J36" s="20" t="s">
        <v>196</v>
      </c>
      <c r="T36" s="20">
        <v>1</v>
      </c>
      <c r="U36" s="20">
        <v>2</v>
      </c>
      <c r="V36" s="20">
        <v>0</v>
      </c>
      <c r="X36" s="20">
        <v>1005</v>
      </c>
      <c r="AD36" s="20">
        <v>1.9</v>
      </c>
      <c r="AE36" s="82">
        <v>2.9</v>
      </c>
      <c r="AF36" s="82"/>
      <c r="AG36" s="82"/>
      <c r="AH36" s="82">
        <v>0.1</v>
      </c>
      <c r="AJ36" s="82"/>
      <c r="AK36" s="82"/>
      <c r="AL36" s="82">
        <v>10</v>
      </c>
      <c r="AT36" s="20" t="str">
        <f t="shared" si="0"/>
        <v>下面有动静！</v>
      </c>
      <c r="AU36" s="20" t="s">
        <v>197</v>
      </c>
    </row>
    <row r="37" spans="1:47">
      <c r="A37" s="20">
        <v>10012</v>
      </c>
      <c r="C37" s="20">
        <f t="shared" si="1"/>
        <v>4</v>
      </c>
      <c r="E37" s="20" t="s">
        <v>110</v>
      </c>
      <c r="F37" s="20" t="str">
        <f>VLOOKUP(G37,'#TID_base_up'!B:C,2,0)</f>
        <v>齐侬巡逻队</v>
      </c>
      <c r="G37" s="20" t="s">
        <v>179</v>
      </c>
      <c r="H37" s="82" t="s">
        <v>112</v>
      </c>
      <c r="I37" s="82" t="str">
        <f>VLOOKUP(F37,'#Sheet1'!$J$2:$L$10,2,FALSE)</f>
        <v>frame_s_xsdh_002</v>
      </c>
      <c r="J37" s="20" t="s">
        <v>198</v>
      </c>
      <c r="T37" s="20">
        <v>1</v>
      </c>
      <c r="U37" s="20">
        <v>2</v>
      </c>
      <c r="V37" s="20">
        <v>0</v>
      </c>
      <c r="X37" s="20">
        <v>1005</v>
      </c>
      <c r="AD37" s="20">
        <v>3.7</v>
      </c>
      <c r="AE37" s="82">
        <v>4.7</v>
      </c>
      <c r="AF37" s="82"/>
      <c r="AG37" s="82"/>
      <c r="AH37" s="82">
        <v>0.1</v>
      </c>
      <c r="AJ37" s="82"/>
      <c r="AK37" s="82"/>
      <c r="AL37" s="82">
        <v>10</v>
      </c>
      <c r="AT37" s="20" t="str">
        <f t="shared" si="0"/>
        <v>是我们的人，他们还在跟勃艮第人作战！</v>
      </c>
      <c r="AU37" s="20" t="s">
        <v>199</v>
      </c>
    </row>
    <row r="38" spans="1:47">
      <c r="A38" s="20">
        <v>10012</v>
      </c>
      <c r="C38" s="20">
        <f t="shared" si="1"/>
        <v>5</v>
      </c>
      <c r="E38" s="20" t="s">
        <v>110</v>
      </c>
      <c r="F38" s="20" t="str">
        <f>VLOOKUP(G38,'#TID_base_up'!B:C,2,0)</f>
        <v>琼恩</v>
      </c>
      <c r="G38" s="20" t="s">
        <v>144</v>
      </c>
      <c r="H38" s="82" t="s">
        <v>112</v>
      </c>
      <c r="I38" s="82" t="str">
        <f>VLOOKUP(F38,'#Sheet1'!$J$2:$L$10,2,FALSE)</f>
        <v>frame_s_xsdh_001</v>
      </c>
      <c r="J38" s="20" t="s">
        <v>200</v>
      </c>
      <c r="T38" s="20">
        <v>1</v>
      </c>
      <c r="U38" s="20">
        <v>2</v>
      </c>
      <c r="V38" s="20">
        <v>0</v>
      </c>
      <c r="X38" s="20">
        <v>1005</v>
      </c>
      <c r="AD38" s="20">
        <v>2.2000000000000002</v>
      </c>
      <c r="AE38" s="82">
        <v>3.2</v>
      </c>
      <c r="AF38" s="82"/>
      <c r="AG38" s="82"/>
      <c r="AH38" s="82">
        <v>0.1</v>
      </c>
      <c r="AJ38" s="82"/>
      <c r="AK38" s="82"/>
      <c r="AL38" s="82">
        <v>10</v>
      </c>
      <c r="AT38" s="20" t="str">
        <f t="shared" si="0"/>
        <v>这里不太对劲……</v>
      </c>
      <c r="AU38" s="20" t="s">
        <v>201</v>
      </c>
    </row>
    <row r="39" spans="1:47">
      <c r="A39" s="20">
        <v>10012</v>
      </c>
      <c r="C39" s="20">
        <f t="shared" si="1"/>
        <v>6</v>
      </c>
      <c r="E39" s="20" t="s">
        <v>110</v>
      </c>
      <c r="F39" s="20" t="str">
        <f>VLOOKUP(G39,'#TID_base_up'!B:C,2,0)</f>
        <v>德·梅斯</v>
      </c>
      <c r="G39" s="20" t="s">
        <v>153</v>
      </c>
      <c r="H39" s="82" t="s">
        <v>112</v>
      </c>
      <c r="I39" s="82" t="str">
        <f>VLOOKUP(F39,'#Sheet1'!$J$2:$L$10,2,FALSE)</f>
        <v>frame_s_xsdh_003</v>
      </c>
      <c r="J39" s="20" t="s">
        <v>202</v>
      </c>
      <c r="T39" s="20">
        <v>1</v>
      </c>
      <c r="U39" s="20">
        <v>2</v>
      </c>
      <c r="V39" s="20">
        <v>0</v>
      </c>
      <c r="X39" s="20">
        <v>1005</v>
      </c>
      <c r="AD39" s="20">
        <v>3.4</v>
      </c>
      <c r="AE39" s="82">
        <v>4.4000000000000004</v>
      </c>
      <c r="AF39" s="82"/>
      <c r="AG39" s="82"/>
      <c r="AH39" s="82">
        <v>0.1</v>
      </c>
      <c r="AJ39" s="82"/>
      <c r="AK39" s="82"/>
      <c r="AL39" s="82">
        <v>10</v>
      </c>
      <c r="AT39" s="20" t="str">
        <f t="shared" si="0"/>
        <v>就快到齐侬了，你先走，我们就来。</v>
      </c>
      <c r="AU39" s="20" t="s">
        <v>203</v>
      </c>
    </row>
    <row r="40" spans="1:47">
      <c r="A40" s="20">
        <v>10013</v>
      </c>
      <c r="C40" s="20">
        <f t="shared" si="1"/>
        <v>1</v>
      </c>
      <c r="E40" s="20" t="s">
        <v>110</v>
      </c>
      <c r="F40" s="20" t="str">
        <f>VLOOKUP(G40,'#TID_base_up'!B:C,2,0)</f>
        <v>伯特兰</v>
      </c>
      <c r="G40" s="20" t="s">
        <v>156</v>
      </c>
      <c r="H40" s="82" t="s">
        <v>112</v>
      </c>
      <c r="I40" s="82" t="str">
        <f>VLOOKUP(F40,'#Sheet1'!$J$2:$L$10,2,FALSE)</f>
        <v>frame_s_xsdh_006</v>
      </c>
      <c r="J40" s="20" t="s">
        <v>196</v>
      </c>
      <c r="T40" s="20">
        <v>1</v>
      </c>
      <c r="U40" s="20">
        <v>2</v>
      </c>
      <c r="V40" s="20">
        <v>0</v>
      </c>
      <c r="X40" s="20">
        <v>1005</v>
      </c>
      <c r="AD40" s="20">
        <v>1.9</v>
      </c>
      <c r="AE40" s="82">
        <v>2.9</v>
      </c>
      <c r="AF40" s="82"/>
      <c r="AG40" s="82"/>
      <c r="AH40" s="82">
        <v>0.1</v>
      </c>
      <c r="AJ40" s="82"/>
      <c r="AK40" s="82"/>
      <c r="AL40" s="82">
        <v>10</v>
      </c>
      <c r="AT40" s="20" t="str">
        <f t="shared" si="0"/>
        <v>下面有动静！</v>
      </c>
      <c r="AU40" s="20" t="s">
        <v>197</v>
      </c>
    </row>
    <row r="41" spans="1:47">
      <c r="A41" s="20">
        <v>10013</v>
      </c>
      <c r="C41" s="20">
        <f t="shared" si="1"/>
        <v>2</v>
      </c>
      <c r="E41" s="20" t="s">
        <v>110</v>
      </c>
      <c r="F41" s="20" t="str">
        <f>VLOOKUP(G41,'#TID_base_up'!B:C,2,0)</f>
        <v>琼恩</v>
      </c>
      <c r="G41" s="20" t="s">
        <v>144</v>
      </c>
      <c r="H41" s="82" t="s">
        <v>112</v>
      </c>
      <c r="I41" s="82" t="str">
        <f>VLOOKUP(F41,'#Sheet1'!$J$2:$L$10,2,FALSE)</f>
        <v>frame_s_xsdh_001</v>
      </c>
      <c r="J41" s="20" t="s">
        <v>200</v>
      </c>
      <c r="T41" s="20">
        <v>1</v>
      </c>
      <c r="U41" s="20">
        <v>2</v>
      </c>
      <c r="V41" s="20">
        <v>0</v>
      </c>
      <c r="X41" s="20">
        <v>1005</v>
      </c>
      <c r="AD41" s="20">
        <v>2.2000000000000002</v>
      </c>
      <c r="AE41" s="82">
        <v>3.2</v>
      </c>
      <c r="AF41" s="82"/>
      <c r="AG41" s="82"/>
      <c r="AH41" s="82">
        <v>0.1</v>
      </c>
      <c r="AJ41" s="82"/>
      <c r="AK41" s="82"/>
      <c r="AL41" s="82">
        <v>10</v>
      </c>
      <c r="AT41" s="20" t="str">
        <f t="shared" si="0"/>
        <v>这里不太对劲……</v>
      </c>
      <c r="AU41" s="20" t="s">
        <v>201</v>
      </c>
    </row>
    <row r="42" spans="1:47">
      <c r="A42" s="20">
        <v>10013</v>
      </c>
      <c r="C42" s="20">
        <f t="shared" si="1"/>
        <v>3</v>
      </c>
      <c r="E42" s="20" t="s">
        <v>110</v>
      </c>
      <c r="F42" s="20" t="str">
        <f>VLOOKUP(G42,'#TID_base_up'!B:C,2,0)</f>
        <v>德·梅斯</v>
      </c>
      <c r="G42" s="20" t="s">
        <v>153</v>
      </c>
      <c r="H42" s="82" t="s">
        <v>112</v>
      </c>
      <c r="I42" s="82" t="str">
        <f>VLOOKUP(F42,'#Sheet1'!$J$2:$L$10,2,FALSE)</f>
        <v>frame_s_xsdh_003</v>
      </c>
      <c r="J42" s="20" t="s">
        <v>202</v>
      </c>
      <c r="T42" s="20">
        <v>1</v>
      </c>
      <c r="U42" s="20">
        <v>2</v>
      </c>
      <c r="V42" s="20">
        <v>0</v>
      </c>
      <c r="X42" s="20">
        <v>1005</v>
      </c>
      <c r="AD42" s="20">
        <v>3.4</v>
      </c>
      <c r="AE42" s="82">
        <v>4.4000000000000004</v>
      </c>
      <c r="AF42" s="82"/>
      <c r="AG42" s="82"/>
      <c r="AH42" s="82">
        <v>0.1</v>
      </c>
      <c r="AJ42" s="82"/>
      <c r="AK42" s="82"/>
      <c r="AL42" s="82">
        <v>10</v>
      </c>
      <c r="AT42" s="20" t="str">
        <f t="shared" si="0"/>
        <v>就快到齐侬了，你先走，我们就来。</v>
      </c>
      <c r="AU42" s="20" t="s">
        <v>203</v>
      </c>
    </row>
    <row r="43" spans="1:47">
      <c r="A43" s="20">
        <v>10014</v>
      </c>
      <c r="C43" s="20">
        <f t="shared" si="1"/>
        <v>1</v>
      </c>
      <c r="E43" s="20" t="s">
        <v>110</v>
      </c>
      <c r="F43" s="20" t="str">
        <f>VLOOKUP(G43,'#TID_base_up'!B:C,2,0)</f>
        <v>勃艮第人</v>
      </c>
      <c r="G43" s="20" t="s">
        <v>170</v>
      </c>
      <c r="H43" s="82" t="s">
        <v>112</v>
      </c>
      <c r="I43" s="82" t="str">
        <f>VLOOKUP(F43,'#Sheet1'!$J$2:$L$10,2,FALSE)</f>
        <v>frame_s_xsdh_005</v>
      </c>
      <c r="J43" s="20" t="s">
        <v>204</v>
      </c>
      <c r="T43" s="20">
        <v>1</v>
      </c>
      <c r="U43" s="20">
        <v>2</v>
      </c>
      <c r="V43" s="20">
        <v>0</v>
      </c>
      <c r="X43" s="20">
        <v>1005</v>
      </c>
      <c r="AD43" s="20">
        <v>2.65</v>
      </c>
      <c r="AE43" s="82">
        <v>3.65</v>
      </c>
      <c r="AF43" s="82"/>
      <c r="AG43" s="82"/>
      <c r="AH43" s="82">
        <v>0.1</v>
      </c>
      <c r="AJ43" s="82"/>
      <c r="AK43" s="82"/>
      <c r="AL43" s="82">
        <v>10</v>
      </c>
      <c r="AT43" s="20" t="str">
        <f t="shared" si="0"/>
        <v>（喘气）真是冥顽不灵！</v>
      </c>
      <c r="AU43" s="20" t="s">
        <v>205</v>
      </c>
    </row>
    <row r="44" spans="1:47">
      <c r="A44" s="20">
        <v>10014</v>
      </c>
      <c r="C44" s="20">
        <f t="shared" si="1"/>
        <v>2</v>
      </c>
      <c r="E44" s="20" t="s">
        <v>110</v>
      </c>
      <c r="F44" s="20" t="str">
        <f>VLOOKUP(G44,'#TID_base_up'!B:C,2,0)</f>
        <v>伯特兰</v>
      </c>
      <c r="G44" s="20" t="s">
        <v>156</v>
      </c>
      <c r="H44" s="82" t="s">
        <v>112</v>
      </c>
      <c r="I44" s="82" t="str">
        <f>VLOOKUP(F44,'#Sheet1'!$J$2:$L$10,2,FALSE)</f>
        <v>frame_s_xsdh_006</v>
      </c>
      <c r="J44" s="20" t="s">
        <v>206</v>
      </c>
      <c r="T44" s="20">
        <v>1</v>
      </c>
      <c r="U44" s="20">
        <v>2</v>
      </c>
      <c r="V44" s="20">
        <v>0</v>
      </c>
      <c r="X44" s="20">
        <v>1005</v>
      </c>
      <c r="AD44" s="20">
        <v>3.1</v>
      </c>
      <c r="AE44" s="82">
        <v>4.0999999999999996</v>
      </c>
      <c r="AF44" s="82"/>
      <c r="AG44" s="82"/>
      <c r="AH44" s="82">
        <v>0.1</v>
      </c>
      <c r="AJ44" s="82"/>
      <c r="AK44" s="82"/>
      <c r="AL44" s="82">
        <v>10</v>
      </c>
      <c r="AT44" s="20" t="str">
        <f t="shared" si="0"/>
        <v>齐侬的朋友，让我们并肩作战。</v>
      </c>
      <c r="AU44" s="20" t="s">
        <v>207</v>
      </c>
    </row>
    <row r="45" spans="1:47">
      <c r="A45" s="20">
        <v>10014</v>
      </c>
      <c r="C45" s="20">
        <f t="shared" si="1"/>
        <v>3</v>
      </c>
      <c r="E45" s="20" t="s">
        <v>110</v>
      </c>
      <c r="F45" s="20" t="str">
        <f>VLOOKUP(G45,'#TID_base_up'!B:C,2,0)</f>
        <v>齐侬巡查队</v>
      </c>
      <c r="G45" s="20" t="s">
        <v>208</v>
      </c>
      <c r="H45" s="82" t="s">
        <v>112</v>
      </c>
      <c r="I45" s="82" t="str">
        <f>VLOOKUP(F45,'#Sheet1'!$J$2:$L$10,2,FALSE)</f>
        <v>frame_s_xsdh_002</v>
      </c>
      <c r="J45" s="20" t="s">
        <v>209</v>
      </c>
      <c r="T45" s="20">
        <v>1</v>
      </c>
      <c r="U45" s="20">
        <v>2</v>
      </c>
      <c r="V45" s="20">
        <v>0</v>
      </c>
      <c r="X45" s="20">
        <v>1005</v>
      </c>
      <c r="AD45" s="20">
        <v>3.55</v>
      </c>
      <c r="AE45" s="82">
        <v>4.55</v>
      </c>
      <c r="AF45" s="82"/>
      <c r="AG45" s="82"/>
      <c r="AH45" s="82">
        <v>0.1</v>
      </c>
      <c r="AJ45" s="82"/>
      <c r="AK45" s="82"/>
      <c r="AL45" s="82">
        <v>10</v>
      </c>
      <c r="AT45" s="20" t="str">
        <f t="shared" si="0"/>
        <v>是你们！蠢货！快回去保护那个少女！</v>
      </c>
      <c r="AU45" s="20" t="s">
        <v>210</v>
      </c>
    </row>
    <row r="46" spans="1:47">
      <c r="A46" s="20">
        <v>10015</v>
      </c>
      <c r="C46" s="20">
        <f t="shared" si="1"/>
        <v>1</v>
      </c>
      <c r="E46" s="20" t="s">
        <v>110</v>
      </c>
      <c r="F46" s="20" t="str">
        <f>VLOOKUP(G46,'#TID_base_up'!B:C,2,0)</f>
        <v>齐侬巡查队</v>
      </c>
      <c r="G46" s="20" t="s">
        <v>208</v>
      </c>
      <c r="H46" s="82" t="s">
        <v>112</v>
      </c>
      <c r="I46" s="82" t="str">
        <f>VLOOKUP(F46,'#Sheet1'!$J$2:$L$10,2,FALSE)</f>
        <v>frame_s_xsdh_002</v>
      </c>
      <c r="J46" s="20" t="s">
        <v>211</v>
      </c>
      <c r="T46" s="20">
        <v>1</v>
      </c>
      <c r="U46" s="20">
        <v>2</v>
      </c>
      <c r="V46" s="20">
        <v>0</v>
      </c>
      <c r="X46" s="20">
        <v>1005</v>
      </c>
      <c r="AD46" s="20">
        <v>2.8</v>
      </c>
      <c r="AE46" s="82">
        <v>3.8</v>
      </c>
      <c r="AF46" s="82"/>
      <c r="AG46" s="82"/>
      <c r="AH46" s="82">
        <v>0.1</v>
      </c>
      <c r="AJ46" s="82"/>
      <c r="AK46" s="82"/>
      <c r="AL46" s="82">
        <v>10</v>
      </c>
      <c r="AT46" s="20" t="str">
        <f t="shared" si="0"/>
        <v>她一定要活着！快往上追！</v>
      </c>
      <c r="AU46" s="20" t="s">
        <v>212</v>
      </c>
    </row>
    <row r="47" spans="1:47">
      <c r="A47" s="20">
        <v>10016</v>
      </c>
      <c r="C47" s="20">
        <f t="shared" ref="C47:C78" si="2">IF(A47=A46,C46+1,1)</f>
        <v>1</v>
      </c>
      <c r="E47" s="20" t="s">
        <v>110</v>
      </c>
      <c r="F47" s="20" t="str">
        <f>VLOOKUP(G47,'#TID_base_up'!B:C,2,0)</f>
        <v>齐侬巡查队</v>
      </c>
      <c r="G47" s="20" t="s">
        <v>208</v>
      </c>
      <c r="H47" s="82" t="s">
        <v>112</v>
      </c>
      <c r="I47" s="82" t="str">
        <f>VLOOKUP(F47,'#Sheet1'!$J$2:$L$10,2,FALSE)</f>
        <v>frame_s_xsdh_002</v>
      </c>
      <c r="J47" s="20" t="s">
        <v>213</v>
      </c>
      <c r="T47" s="20">
        <v>1</v>
      </c>
      <c r="U47" s="20">
        <v>2</v>
      </c>
      <c r="V47" s="20">
        <v>0</v>
      </c>
      <c r="X47" s="20">
        <v>1005</v>
      </c>
      <c r="AD47" s="20">
        <v>2.0499999999999998</v>
      </c>
      <c r="AE47" s="82">
        <v>3.05</v>
      </c>
      <c r="AF47" s="82"/>
      <c r="AG47" s="82"/>
      <c r="AH47" s="82">
        <v>0.1</v>
      </c>
      <c r="AJ47" s="82"/>
      <c r="AK47" s="82"/>
      <c r="AL47" s="82">
        <v>10</v>
      </c>
      <c r="AT47" s="20" t="str">
        <f t="shared" si="0"/>
        <v>法兰西！万岁！</v>
      </c>
      <c r="AU47" s="20" t="s">
        <v>214</v>
      </c>
    </row>
    <row r="48" spans="1:47">
      <c r="A48" s="20">
        <v>10016</v>
      </c>
      <c r="C48" s="20">
        <f t="shared" si="2"/>
        <v>2</v>
      </c>
      <c r="E48" s="20" t="s">
        <v>110</v>
      </c>
      <c r="F48" s="20" t="str">
        <f>VLOOKUP(G48,'#TID_base_up'!B:C,2,0)</f>
        <v>伯特兰</v>
      </c>
      <c r="G48" s="20" t="s">
        <v>156</v>
      </c>
      <c r="H48" s="82" t="s">
        <v>112</v>
      </c>
      <c r="I48" s="82" t="str">
        <f>VLOOKUP(F48,'#Sheet1'!$J$2:$L$10,2,FALSE)</f>
        <v>frame_s_xsdh_006</v>
      </c>
      <c r="J48" s="20" t="s">
        <v>215</v>
      </c>
      <c r="T48" s="20">
        <v>1</v>
      </c>
      <c r="U48" s="20">
        <v>2</v>
      </c>
      <c r="V48" s="20">
        <v>0</v>
      </c>
      <c r="X48" s="20">
        <v>1005</v>
      </c>
      <c r="AD48" s="20">
        <v>2.8</v>
      </c>
      <c r="AE48" s="82">
        <v>3.8</v>
      </c>
      <c r="AF48" s="82"/>
      <c r="AG48" s="82"/>
      <c r="AH48" s="82">
        <v>0.1</v>
      </c>
      <c r="AJ48" s="82"/>
      <c r="AK48" s="82"/>
      <c r="AL48" s="82">
        <v>10</v>
      </c>
      <c r="AT48" s="20" t="str">
        <f t="shared" si="0"/>
        <v>我们不能让你有丝毫意外。</v>
      </c>
      <c r="AU48" s="20" t="s">
        <v>216</v>
      </c>
    </row>
    <row r="49" spans="1:47">
      <c r="A49" s="20">
        <v>10017</v>
      </c>
      <c r="C49" s="20">
        <f t="shared" si="2"/>
        <v>1</v>
      </c>
      <c r="E49" s="20" t="s">
        <v>110</v>
      </c>
      <c r="F49" s="20" t="str">
        <f>VLOOKUP(G49,'#TID_base_up'!B:C,2,0)</f>
        <v>萨佛克伯爵</v>
      </c>
      <c r="G49" s="20" t="s">
        <v>217</v>
      </c>
      <c r="H49" s="82" t="s">
        <v>112</v>
      </c>
      <c r="I49" s="82" t="str">
        <f>VLOOKUP(F49,'#Sheet1'!$J$2:$L$10,2,FALSE)</f>
        <v>frame_s_xsdh_005</v>
      </c>
      <c r="J49" s="20" t="s">
        <v>218</v>
      </c>
      <c r="T49" s="20">
        <v>1</v>
      </c>
      <c r="U49" s="20">
        <v>2</v>
      </c>
      <c r="V49" s="20">
        <v>0</v>
      </c>
      <c r="X49" s="20">
        <v>1005</v>
      </c>
      <c r="AD49" s="20">
        <v>5.05</v>
      </c>
      <c r="AE49" s="82">
        <v>6.05</v>
      </c>
      <c r="AF49" s="82"/>
      <c r="AG49" s="82"/>
      <c r="AH49" s="82">
        <v>0.1</v>
      </c>
      <c r="AJ49" s="82"/>
      <c r="AK49" s="82"/>
      <c r="AL49" s="82">
        <v>10</v>
      </c>
      <c r="AT49" s="20" t="str">
        <f t="shared" si="0"/>
        <v>没想到，传闻中的法兰西救主竟是一个如此不起眼的小丫头。</v>
      </c>
      <c r="AU49" s="20" t="s">
        <v>219</v>
      </c>
    </row>
    <row r="50" spans="1:47">
      <c r="A50" s="20">
        <v>10017</v>
      </c>
      <c r="C50" s="20">
        <f t="shared" si="2"/>
        <v>2</v>
      </c>
      <c r="E50" s="20" t="s">
        <v>110</v>
      </c>
      <c r="F50" s="20" t="str">
        <f>VLOOKUP(G50,'#TID_base_up'!B:C,2,0)</f>
        <v>萨佛克伯爵</v>
      </c>
      <c r="G50" s="20" t="s">
        <v>217</v>
      </c>
      <c r="H50" s="82" t="s">
        <v>112</v>
      </c>
      <c r="I50" s="82" t="str">
        <f>VLOOKUP(F50,'#Sheet1'!$J$2:$L$10,2,FALSE)</f>
        <v>frame_s_xsdh_005</v>
      </c>
      <c r="J50" s="20" t="s">
        <v>220</v>
      </c>
      <c r="T50" s="20">
        <v>1</v>
      </c>
      <c r="U50" s="20">
        <v>2</v>
      </c>
      <c r="V50" s="20">
        <v>0</v>
      </c>
      <c r="X50" s="20">
        <v>1005</v>
      </c>
      <c r="AD50" s="20">
        <v>2.0499999999999998</v>
      </c>
      <c r="AE50" s="82">
        <v>3.05</v>
      </c>
      <c r="AF50" s="82"/>
      <c r="AG50" s="82"/>
      <c r="AH50" s="82">
        <v>0.1</v>
      </c>
      <c r="AJ50" s="82"/>
      <c r="AK50" s="82"/>
      <c r="AL50" s="82">
        <v>10</v>
      </c>
      <c r="AT50" s="20" t="str">
        <f t="shared" si="0"/>
        <v>哼，真是可笑！</v>
      </c>
      <c r="AU50" s="20" t="s">
        <v>221</v>
      </c>
    </row>
    <row r="51" spans="1:47">
      <c r="A51" s="20">
        <v>10018</v>
      </c>
      <c r="C51" s="20">
        <f t="shared" si="2"/>
        <v>1</v>
      </c>
      <c r="E51" s="20" t="s">
        <v>110</v>
      </c>
      <c r="F51" s="20" t="str">
        <f>VLOOKUP(G51,'#TID_base_up'!B:C,2,0)</f>
        <v>伯特兰</v>
      </c>
      <c r="G51" s="20" t="s">
        <v>156</v>
      </c>
      <c r="H51" s="82" t="s">
        <v>112</v>
      </c>
      <c r="I51" s="82" t="str">
        <f>VLOOKUP(F51,'#Sheet1'!$J$2:$L$10,2,FALSE)</f>
        <v>frame_s_xsdh_006</v>
      </c>
      <c r="J51" s="20" t="s">
        <v>222</v>
      </c>
      <c r="T51" s="20">
        <v>1</v>
      </c>
      <c r="U51" s="20">
        <v>2</v>
      </c>
      <c r="V51" s="20">
        <v>0</v>
      </c>
      <c r="X51" s="20">
        <v>1005</v>
      </c>
      <c r="AD51" s="20">
        <v>2.35</v>
      </c>
      <c r="AE51" s="82">
        <v>3.35</v>
      </c>
      <c r="AF51" s="82"/>
      <c r="AG51" s="82"/>
      <c r="AH51" s="82">
        <v>0.1</v>
      </c>
      <c r="AJ51" s="82"/>
      <c r="AK51" s="82"/>
      <c r="AL51" s="82">
        <v>10</v>
      </c>
      <c r="AT51" s="20" t="str">
        <f t="shared" si="0"/>
        <v>骑士们，举起长剑！</v>
      </c>
      <c r="AU51" s="20" t="s">
        <v>223</v>
      </c>
    </row>
    <row r="52" spans="1:47">
      <c r="A52" s="20">
        <v>10018</v>
      </c>
      <c r="C52" s="20">
        <f t="shared" si="2"/>
        <v>2</v>
      </c>
      <c r="E52" s="20" t="s">
        <v>110</v>
      </c>
      <c r="F52" s="20" t="str">
        <f>VLOOKUP(G52,'#TID_base_up'!B:C,2,0)</f>
        <v>伯特兰</v>
      </c>
      <c r="G52" s="20" t="s">
        <v>156</v>
      </c>
      <c r="H52" s="82" t="s">
        <v>112</v>
      </c>
      <c r="I52" s="82" t="str">
        <f>VLOOKUP(F52,'#Sheet1'!$J$2:$L$10,2,FALSE)</f>
        <v>frame_s_xsdh_006</v>
      </c>
      <c r="J52" s="20" t="s">
        <v>224</v>
      </c>
      <c r="T52" s="20">
        <v>1</v>
      </c>
      <c r="U52" s="20">
        <v>2</v>
      </c>
      <c r="V52" s="20">
        <v>0</v>
      </c>
      <c r="X52" s="20">
        <v>1005</v>
      </c>
      <c r="AD52" s="20">
        <v>4.3</v>
      </c>
      <c r="AE52" s="82">
        <v>5.3</v>
      </c>
      <c r="AF52" s="82"/>
      <c r="AG52" s="82"/>
      <c r="AH52" s="82">
        <v>0.1</v>
      </c>
      <c r="AJ52" s="82"/>
      <c r="AK52" s="82"/>
      <c r="AL52" s="82">
        <v>10</v>
      </c>
      <c r="AT52" s="20" t="str">
        <f t="shared" si="0"/>
        <v>点击右侧发光的“主动技能”按钮，施放XXX。</v>
      </c>
      <c r="AU52" s="20" t="s">
        <v>225</v>
      </c>
    </row>
    <row r="53" spans="1:47">
      <c r="A53" s="20">
        <v>10019</v>
      </c>
      <c r="C53" s="20">
        <f t="shared" si="2"/>
        <v>1</v>
      </c>
      <c r="E53" s="20" t="s">
        <v>110</v>
      </c>
      <c r="F53" s="20" t="str">
        <f>VLOOKUP(G53,'#TID_base_up'!B:C,2,0)</f>
        <v>萨佛克伯爵</v>
      </c>
      <c r="G53" s="20" t="s">
        <v>217</v>
      </c>
      <c r="H53" s="82" t="s">
        <v>112</v>
      </c>
      <c r="I53" s="82" t="str">
        <f>VLOOKUP(F53,'#Sheet1'!$J$2:$L$10,2,FALSE)</f>
        <v>frame_s_xsdh_005</v>
      </c>
      <c r="J53" s="20" t="s">
        <v>226</v>
      </c>
      <c r="T53" s="20">
        <v>1</v>
      </c>
      <c r="U53" s="20">
        <v>2</v>
      </c>
      <c r="V53" s="20">
        <v>0</v>
      </c>
      <c r="X53" s="20">
        <v>1005</v>
      </c>
      <c r="AD53" s="20">
        <v>3.55</v>
      </c>
      <c r="AE53" s="82">
        <v>4.55</v>
      </c>
      <c r="AF53" s="82"/>
      <c r="AG53" s="82"/>
      <c r="AH53" s="82">
        <v>0.1</v>
      </c>
      <c r="AJ53" s="82"/>
      <c r="AK53" s="82"/>
      <c r="AL53" s="82">
        <v>10</v>
      </c>
      <c r="AT53" s="20" t="str">
        <f t="shared" si="0"/>
        <v>该死！太靠近皇太子的齐侬了！撤退！</v>
      </c>
      <c r="AU53" s="20" t="s">
        <v>227</v>
      </c>
    </row>
    <row r="54" spans="1:47">
      <c r="A54" s="20">
        <v>10019</v>
      </c>
      <c r="C54" s="20">
        <f t="shared" si="2"/>
        <v>2</v>
      </c>
      <c r="E54" s="20" t="s">
        <v>110</v>
      </c>
      <c r="F54" s="20" t="str">
        <f>VLOOKUP(G54,'#TID_base_up'!B:C,2,0)</f>
        <v>萨佛克伯爵</v>
      </c>
      <c r="G54" s="20" t="s">
        <v>217</v>
      </c>
      <c r="H54" s="82" t="s">
        <v>112</v>
      </c>
      <c r="I54" s="82" t="str">
        <f>VLOOKUP(F54,'#Sheet1'!$J$2:$L$10,2,FALSE)</f>
        <v>frame_s_xsdh_005</v>
      </c>
      <c r="J54" s="20" t="s">
        <v>228</v>
      </c>
      <c r="T54" s="20">
        <v>1</v>
      </c>
      <c r="U54" s="20">
        <v>2</v>
      </c>
      <c r="V54" s="20">
        <v>0</v>
      </c>
      <c r="X54" s="20">
        <v>1005</v>
      </c>
      <c r="AD54" s="20">
        <v>3.25</v>
      </c>
      <c r="AE54" s="82">
        <v>4.25</v>
      </c>
      <c r="AF54" s="82"/>
      <c r="AG54" s="82"/>
      <c r="AH54" s="82">
        <v>0.1</v>
      </c>
      <c r="AJ54" s="82"/>
      <c r="AK54" s="82"/>
      <c r="AL54" s="82">
        <v>10</v>
      </c>
      <c r="AT54" s="20" t="str">
        <f t="shared" si="0"/>
        <v>我会在奥尔良等着你的，小丫头！</v>
      </c>
      <c r="AU54" s="20" t="s">
        <v>229</v>
      </c>
    </row>
    <row r="55" spans="1:47">
      <c r="A55" s="20">
        <v>10020</v>
      </c>
      <c r="C55" s="20">
        <f t="shared" si="2"/>
        <v>1</v>
      </c>
      <c r="E55" s="20" t="s">
        <v>110</v>
      </c>
      <c r="F55" s="20" t="str">
        <f>VLOOKUP(G55,'#TID_base_up'!B:C,2,0)</f>
        <v>伯特兰</v>
      </c>
      <c r="G55" s="20" t="s">
        <v>156</v>
      </c>
      <c r="H55" s="82" t="s">
        <v>112</v>
      </c>
      <c r="I55" s="82" t="str">
        <f>VLOOKUP(F55,'#Sheet1'!$J$2:$L$10,2,FALSE)</f>
        <v>frame_s_xsdh_006</v>
      </c>
      <c r="J55" s="20" t="s">
        <v>230</v>
      </c>
      <c r="T55" s="20">
        <v>1</v>
      </c>
      <c r="U55" s="20">
        <v>2</v>
      </c>
      <c r="V55" s="20">
        <v>0</v>
      </c>
      <c r="X55" s="20">
        <v>1005</v>
      </c>
      <c r="AD55" s="20">
        <v>2.35</v>
      </c>
      <c r="AE55" s="82">
        <v>3.35</v>
      </c>
      <c r="AF55" s="82"/>
      <c r="AG55" s="82"/>
      <c r="AH55" s="82">
        <v>0.1</v>
      </c>
      <c r="AJ55" s="82"/>
      <c r="AK55" s="82"/>
      <c r="AL55" s="82">
        <v>10</v>
      </c>
      <c r="AT55" s="20" t="str">
        <f t="shared" si="0"/>
        <v>齐侬！我们做到了！</v>
      </c>
      <c r="AU55" s="20" t="s">
        <v>231</v>
      </c>
    </row>
    <row r="56" spans="1:47">
      <c r="A56" s="20">
        <v>10021</v>
      </c>
      <c r="C56" s="20">
        <f t="shared" si="2"/>
        <v>1</v>
      </c>
      <c r="E56" s="20" t="s">
        <v>110</v>
      </c>
      <c r="F56" s="20" t="str">
        <f>VLOOKUP(G56,'#TID_base_up'!B:C,2,0)</f>
        <v>琼恩</v>
      </c>
      <c r="G56" s="20" t="s">
        <v>144</v>
      </c>
      <c r="H56" s="82" t="s">
        <v>112</v>
      </c>
      <c r="I56" s="82" t="str">
        <f>VLOOKUP(F56,'#Sheet1'!$J$2:$L$10,2,FALSE)</f>
        <v>frame_s_xsdh_001</v>
      </c>
      <c r="J56" s="20" t="s">
        <v>232</v>
      </c>
      <c r="T56" s="20">
        <v>1</v>
      </c>
      <c r="U56" s="20">
        <v>2</v>
      </c>
      <c r="V56" s="20">
        <v>0</v>
      </c>
      <c r="X56" s="20">
        <v>1005</v>
      </c>
      <c r="AD56" s="20">
        <v>2.5</v>
      </c>
      <c r="AE56" s="82">
        <v>3.5</v>
      </c>
      <c r="AF56" s="82"/>
      <c r="AG56" s="82"/>
      <c r="AH56" s="82">
        <v>0.1</v>
      </c>
      <c r="AJ56" s="82"/>
      <c r="AK56" s="82"/>
      <c r="AL56" s="82">
        <v>10</v>
      </c>
      <c r="AT56" s="20" t="str">
        <f t="shared" si="0"/>
        <v>小伤而已，无需担心。</v>
      </c>
      <c r="AU56" s="20" t="s">
        <v>233</v>
      </c>
    </row>
    <row r="57" spans="1:47">
      <c r="A57" s="20">
        <v>10022</v>
      </c>
      <c r="C57" s="20">
        <f t="shared" si="2"/>
        <v>1</v>
      </c>
      <c r="E57" s="20" t="s">
        <v>110</v>
      </c>
      <c r="F57" s="20" t="str">
        <f>VLOOKUP(G57,'#TID_base_up'!B:C,2,0)</f>
        <v>琼恩</v>
      </c>
      <c r="G57" s="20" t="s">
        <v>144</v>
      </c>
      <c r="H57" s="82" t="s">
        <v>112</v>
      </c>
      <c r="I57" s="82" t="str">
        <f>VLOOKUP(F57,'#Sheet1'!$J$2:$L$10,2,FALSE)</f>
        <v>frame_s_xsdh_001</v>
      </c>
      <c r="J57" s="20" t="s">
        <v>234</v>
      </c>
      <c r="T57" s="20">
        <v>1</v>
      </c>
      <c r="U57" s="20">
        <v>2</v>
      </c>
      <c r="V57" s="20">
        <v>0</v>
      </c>
      <c r="X57" s="20">
        <v>1005</v>
      </c>
      <c r="AD57" s="20">
        <v>2.0499999999999998</v>
      </c>
      <c r="AE57" s="82">
        <v>3.05</v>
      </c>
      <c r="AF57" s="82"/>
      <c r="AG57" s="82"/>
      <c r="AH57" s="82">
        <v>0.1</v>
      </c>
      <c r="AJ57" s="82"/>
      <c r="AK57" s="82"/>
      <c r="AL57" s="82">
        <v>10</v>
      </c>
      <c r="AT57" s="20" t="str">
        <f t="shared" si="0"/>
        <v>再坚持一会儿。</v>
      </c>
      <c r="AU57" s="20" t="s">
        <v>235</v>
      </c>
    </row>
    <row r="58" spans="1:47">
      <c r="A58" s="20">
        <v>10023</v>
      </c>
      <c r="C58" s="20">
        <f t="shared" si="2"/>
        <v>1</v>
      </c>
      <c r="E58" s="20" t="s">
        <v>110</v>
      </c>
      <c r="F58" s="20" t="str">
        <f>VLOOKUP(G58,'#TID_base_up'!B:C,2,0)</f>
        <v>琼恩</v>
      </c>
      <c r="G58" s="20" t="s">
        <v>144</v>
      </c>
      <c r="H58" s="82" t="s">
        <v>112</v>
      </c>
      <c r="I58" s="82" t="str">
        <f>VLOOKUP(F58,'#Sheet1'!$J$2:$L$10,2,FALSE)</f>
        <v>frame_s_xsdh_001</v>
      </c>
      <c r="J58" s="20" t="s">
        <v>236</v>
      </c>
      <c r="T58" s="20">
        <v>1</v>
      </c>
      <c r="U58" s="20">
        <v>2</v>
      </c>
      <c r="V58" s="20">
        <v>0</v>
      </c>
      <c r="X58" s="20">
        <v>1005</v>
      </c>
      <c r="AD58" s="20">
        <v>1.75</v>
      </c>
      <c r="AE58" s="82">
        <v>2.75</v>
      </c>
      <c r="AF58" s="82"/>
      <c r="AG58" s="82"/>
      <c r="AH58" s="82">
        <v>0.1</v>
      </c>
      <c r="AJ58" s="82"/>
      <c r="AK58" s="82"/>
      <c r="AL58" s="82">
        <v>10</v>
      </c>
      <c r="AT58" s="20" t="str">
        <f t="shared" si="0"/>
        <v>快帮帮我！</v>
      </c>
      <c r="AU58" s="20" t="s">
        <v>237</v>
      </c>
    </row>
    <row r="59" spans="1:47">
      <c r="A59" s="20">
        <v>10024</v>
      </c>
      <c r="C59" s="20">
        <f t="shared" si="2"/>
        <v>1</v>
      </c>
      <c r="E59" s="20" t="s">
        <v>110</v>
      </c>
      <c r="F59" s="20" t="str">
        <f>VLOOKUP(G59,'#TID_base_up'!B:C,2,0)</f>
        <v>伯特兰</v>
      </c>
      <c r="G59" s="20" t="s">
        <v>156</v>
      </c>
      <c r="H59" s="82" t="s">
        <v>112</v>
      </c>
      <c r="I59" s="82" t="str">
        <f>VLOOKUP(F59,'#Sheet1'!$J$2:$L$10,2,FALSE)</f>
        <v>frame_s_xsdh_006</v>
      </c>
      <c r="J59" s="20" t="s">
        <v>238</v>
      </c>
      <c r="T59" s="20">
        <v>1</v>
      </c>
      <c r="U59" s="20">
        <v>2</v>
      </c>
      <c r="V59" s="20">
        <v>0</v>
      </c>
      <c r="X59" s="20">
        <v>1005</v>
      </c>
      <c r="AD59" s="20">
        <v>4</v>
      </c>
      <c r="AE59" s="82">
        <v>5</v>
      </c>
      <c r="AF59" s="82"/>
      <c r="AG59" s="82"/>
      <c r="AH59" s="82">
        <v>0.1</v>
      </c>
      <c r="AJ59" s="82"/>
      <c r="AK59" s="82"/>
      <c r="AL59" s="82">
        <v>10</v>
      </c>
      <c r="AT59" s="20" t="str">
        <f t="shared" si="0"/>
        <v>抢劫无助旅客的强盗啊，我们的祖国怎么了？</v>
      </c>
      <c r="AU59" s="20" t="s">
        <v>239</v>
      </c>
    </row>
    <row r="60" spans="1:47">
      <c r="A60" s="20">
        <v>10024</v>
      </c>
      <c r="C60" s="20">
        <f t="shared" si="2"/>
        <v>2</v>
      </c>
      <c r="E60" s="20" t="s">
        <v>110</v>
      </c>
      <c r="F60" s="20" t="str">
        <f>VLOOKUP(G60,'#TID_base_up'!B:C,2,0)</f>
        <v>德·梅斯</v>
      </c>
      <c r="G60" s="20" t="s">
        <v>153</v>
      </c>
      <c r="H60" s="82" t="s">
        <v>112</v>
      </c>
      <c r="I60" s="82" t="str">
        <f>VLOOKUP(F60,'#Sheet1'!$J$2:$L$10,2,FALSE)</f>
        <v>frame_s_xsdh_003</v>
      </c>
      <c r="J60" s="20" t="s">
        <v>240</v>
      </c>
      <c r="T60" s="20">
        <v>1</v>
      </c>
      <c r="U60" s="20">
        <v>2</v>
      </c>
      <c r="V60" s="20">
        <v>0</v>
      </c>
      <c r="X60" s="20">
        <v>1005</v>
      </c>
      <c r="AD60" s="20">
        <v>5.2</v>
      </c>
      <c r="AE60" s="82">
        <v>6.2</v>
      </c>
      <c r="AF60" s="82"/>
      <c r="AG60" s="82"/>
      <c r="AH60" s="82">
        <v>0.1</v>
      </c>
      <c r="AJ60" s="82"/>
      <c r="AK60" s="82"/>
      <c r="AL60" s="82">
        <v>10</v>
      </c>
      <c r="AT60" s="20" t="str">
        <f t="shared" si="0"/>
        <v>攻击强盗可以吸引他们火力。如果琼恩倒下了，大家都得完蛋。</v>
      </c>
      <c r="AU60" s="20" t="s">
        <v>241</v>
      </c>
    </row>
    <row r="61" spans="1:47">
      <c r="A61" s="20">
        <v>11001</v>
      </c>
      <c r="C61" s="20">
        <f t="shared" si="2"/>
        <v>1</v>
      </c>
      <c r="E61" s="20" t="s">
        <v>110</v>
      </c>
      <c r="F61" s="20" t="str">
        <f>VLOOKUP(G61,'#TID_base_up'!B:C,2,0)</f>
        <v>琼恩</v>
      </c>
      <c r="G61" s="20" t="s">
        <v>144</v>
      </c>
      <c r="H61" s="20" t="s">
        <v>112</v>
      </c>
      <c r="I61" s="20" t="s">
        <v>242</v>
      </c>
      <c r="J61" s="20" t="s">
        <v>243</v>
      </c>
      <c r="T61" s="20">
        <v>1</v>
      </c>
      <c r="U61" s="20">
        <v>2</v>
      </c>
      <c r="V61" s="20">
        <v>0</v>
      </c>
      <c r="X61" s="20">
        <v>1006</v>
      </c>
      <c r="Y61" s="20" t="b">
        <v>0</v>
      </c>
      <c r="Z61" s="20" t="s">
        <v>244</v>
      </c>
      <c r="AA61" s="20" t="b">
        <v>0</v>
      </c>
      <c r="AD61" s="20">
        <v>2.97708296775818</v>
      </c>
      <c r="AE61" s="82">
        <v>3.98</v>
      </c>
      <c r="AF61" s="82"/>
      <c r="AG61" s="82"/>
      <c r="AH61" s="82">
        <v>0.1</v>
      </c>
      <c r="AJ61" s="82"/>
      <c r="AK61" s="82"/>
      <c r="AL61" s="82">
        <v>10</v>
      </c>
      <c r="AT61" s="20" t="str">
        <f t="shared" si="0"/>
        <v>说好了在这里会合，怎么到现在都不见人影？</v>
      </c>
      <c r="AU61" s="20" t="s">
        <v>245</v>
      </c>
    </row>
    <row r="62" spans="1:47">
      <c r="A62" s="20">
        <v>11001</v>
      </c>
      <c r="C62" s="20">
        <f t="shared" si="2"/>
        <v>2</v>
      </c>
      <c r="E62" s="20" t="s">
        <v>110</v>
      </c>
      <c r="F62" s="20" t="str">
        <f>VLOOKUP(G62,'#TID_base_up'!B:C,2,0)</f>
        <v>强盗</v>
      </c>
      <c r="G62" s="20" t="s">
        <v>148</v>
      </c>
      <c r="H62" s="20" t="s">
        <v>112</v>
      </c>
      <c r="I62" s="20" t="s">
        <v>246</v>
      </c>
      <c r="J62" s="20" t="s">
        <v>149</v>
      </c>
      <c r="T62" s="20">
        <v>1</v>
      </c>
      <c r="U62" s="20">
        <v>2</v>
      </c>
      <c r="V62" s="20">
        <v>0</v>
      </c>
      <c r="X62" s="20">
        <v>1006</v>
      </c>
      <c r="Y62" s="20" t="b">
        <v>1</v>
      </c>
      <c r="Z62" s="20" t="s">
        <v>247</v>
      </c>
      <c r="AA62" s="20" t="b">
        <v>0</v>
      </c>
      <c r="AD62" s="20">
        <v>3.7119998931884801</v>
      </c>
      <c r="AE62" s="82">
        <v>4.71</v>
      </c>
      <c r="AF62" s="82"/>
      <c r="AG62" s="82"/>
      <c r="AH62" s="82">
        <v>0.1</v>
      </c>
      <c r="AJ62" s="82"/>
      <c r="AK62" s="82"/>
      <c r="AL62" s="82">
        <v>10</v>
      </c>
      <c r="AT62" s="20" t="str">
        <f t="shared" si="0"/>
        <v>喂！女人！快把值钱的东西全部交出来！</v>
      </c>
      <c r="AU62" s="20" t="s">
        <v>150</v>
      </c>
    </row>
    <row r="63" spans="1:47">
      <c r="A63" s="20">
        <v>11001</v>
      </c>
      <c r="C63" s="20">
        <f t="shared" si="2"/>
        <v>3</v>
      </c>
      <c r="E63" s="20" t="s">
        <v>110</v>
      </c>
      <c r="F63" s="20" t="str">
        <f>VLOOKUP(G63,'#TID_base_up'!B:C,2,0)</f>
        <v>琼恩</v>
      </c>
      <c r="G63" s="20" t="s">
        <v>144</v>
      </c>
      <c r="H63" s="20" t="s">
        <v>112</v>
      </c>
      <c r="I63" s="20" t="s">
        <v>242</v>
      </c>
      <c r="J63" s="20" t="s">
        <v>248</v>
      </c>
      <c r="T63" s="20">
        <v>1</v>
      </c>
      <c r="U63" s="20">
        <v>2</v>
      </c>
      <c r="V63" s="20">
        <v>0</v>
      </c>
      <c r="X63" s="20">
        <v>1006</v>
      </c>
      <c r="Y63" s="20" t="b">
        <v>0</v>
      </c>
      <c r="Z63" s="20" t="s">
        <v>249</v>
      </c>
      <c r="AA63" s="20" t="b">
        <v>0</v>
      </c>
      <c r="AD63" s="20">
        <v>4.4613327980041504</v>
      </c>
      <c r="AE63" s="82">
        <v>5.46</v>
      </c>
      <c r="AF63" s="82"/>
      <c r="AG63" s="82"/>
      <c r="AH63" s="82">
        <v>0.1</v>
      </c>
      <c r="AJ63" s="82"/>
      <c r="AK63" s="82"/>
      <c r="AL63" s="82">
        <v>10</v>
      </c>
      <c r="AT63" s="20" t="str">
        <f t="shared" si="0"/>
        <v>国难当头，你们还在打劫同胞！真是法兰西的耻辱！</v>
      </c>
      <c r="AU63" s="20" t="s">
        <v>250</v>
      </c>
    </row>
    <row r="64" spans="1:47">
      <c r="A64" s="20">
        <v>11001</v>
      </c>
      <c r="C64" s="20">
        <f t="shared" si="2"/>
        <v>4</v>
      </c>
      <c r="E64" s="20" t="s">
        <v>110</v>
      </c>
      <c r="F64" s="20" t="str">
        <f>VLOOKUP(G64,'#TID_base_up'!B:C,2,0)</f>
        <v>伯特兰</v>
      </c>
      <c r="G64" s="20" t="s">
        <v>156</v>
      </c>
      <c r="H64" s="20" t="s">
        <v>112</v>
      </c>
      <c r="I64" s="20" t="s">
        <v>251</v>
      </c>
      <c r="J64" s="20" t="s">
        <v>252</v>
      </c>
      <c r="T64" s="20">
        <v>1</v>
      </c>
      <c r="U64" s="20">
        <v>2</v>
      </c>
      <c r="V64" s="20">
        <v>0</v>
      </c>
      <c r="X64" s="20">
        <v>1006</v>
      </c>
      <c r="Y64" s="20" t="b">
        <v>1</v>
      </c>
      <c r="Z64" s="20" t="s">
        <v>253</v>
      </c>
      <c r="AA64" s="20" t="b">
        <v>0</v>
      </c>
      <c r="AD64" s="20">
        <v>1.13333296775818</v>
      </c>
      <c r="AE64" s="82">
        <v>2.13</v>
      </c>
      <c r="AF64" s="82"/>
      <c r="AG64" s="82"/>
      <c r="AH64" s="82">
        <v>0.1</v>
      </c>
      <c r="AJ64" s="82"/>
      <c r="AK64" s="82"/>
      <c r="AL64" s="82">
        <v>10</v>
      </c>
      <c r="AT64" s="20" t="str">
        <f t="shared" si="0"/>
        <v>说得好，琼恩！</v>
      </c>
      <c r="AU64" s="20" t="s">
        <v>254</v>
      </c>
    </row>
    <row r="65" spans="1:47">
      <c r="A65" s="20">
        <v>11002</v>
      </c>
      <c r="C65" s="20">
        <f t="shared" si="2"/>
        <v>1</v>
      </c>
      <c r="E65" s="20" t="s">
        <v>110</v>
      </c>
      <c r="F65" s="20" t="str">
        <f>VLOOKUP(G65,'#TID_base_up'!B:C,2,0)</f>
        <v>伯特兰</v>
      </c>
      <c r="G65" s="20" t="s">
        <v>156</v>
      </c>
      <c r="H65" s="20" t="s">
        <v>112</v>
      </c>
      <c r="I65" s="20" t="s">
        <v>251</v>
      </c>
      <c r="J65" s="20" t="s">
        <v>255</v>
      </c>
      <c r="T65" s="20">
        <v>1</v>
      </c>
      <c r="U65" s="20">
        <v>2</v>
      </c>
      <c r="V65" s="20">
        <v>0</v>
      </c>
      <c r="X65" s="20">
        <v>1006</v>
      </c>
      <c r="Y65" s="20" t="b">
        <v>0</v>
      </c>
      <c r="Z65" s="20" t="s">
        <v>256</v>
      </c>
      <c r="AA65" s="20" t="b">
        <v>0</v>
      </c>
      <c r="AD65" s="20">
        <v>2.6219999790191602</v>
      </c>
      <c r="AE65" s="82">
        <v>3.62</v>
      </c>
      <c r="AF65" s="82"/>
      <c r="AG65" s="82"/>
      <c r="AH65" s="82">
        <v>0.1</v>
      </c>
      <c r="AJ65" s="82"/>
      <c r="AK65" s="82"/>
      <c r="AL65" s="82">
        <v>10</v>
      </c>
      <c r="AT65" s="20" t="str">
        <f t="shared" si="0"/>
        <v>将部队拖拽向敌人，立即发起攻击。</v>
      </c>
      <c r="AU65" s="20" t="s">
        <v>257</v>
      </c>
    </row>
    <row r="66" spans="1:47">
      <c r="A66" s="20">
        <v>11003</v>
      </c>
      <c r="C66" s="20">
        <f t="shared" si="2"/>
        <v>1</v>
      </c>
      <c r="E66" s="20" t="s">
        <v>110</v>
      </c>
      <c r="F66" s="20" t="str">
        <f>VLOOKUP(G66,'#TID_base_up'!B:C,2,0)</f>
        <v>琼恩</v>
      </c>
      <c r="G66" s="20" t="s">
        <v>144</v>
      </c>
      <c r="H66" s="20" t="s">
        <v>112</v>
      </c>
      <c r="I66" s="20" t="s">
        <v>242</v>
      </c>
      <c r="J66" s="20" t="s">
        <v>258</v>
      </c>
      <c r="T66" s="20">
        <v>1</v>
      </c>
      <c r="U66" s="20">
        <v>3</v>
      </c>
      <c r="V66" s="20">
        <v>0</v>
      </c>
      <c r="X66" s="20">
        <v>1006</v>
      </c>
      <c r="Y66" s="20" t="b">
        <v>1</v>
      </c>
      <c r="Z66" s="20" t="s">
        <v>259</v>
      </c>
      <c r="AA66" s="20" t="b">
        <v>0</v>
      </c>
      <c r="AD66" s="20">
        <v>1.42499995231628</v>
      </c>
      <c r="AE66" s="82">
        <v>2.42</v>
      </c>
      <c r="AF66" s="82"/>
      <c r="AG66" s="82"/>
      <c r="AH66" s="82">
        <v>0.1</v>
      </c>
      <c r="AJ66" s="82"/>
      <c r="AK66" s="82"/>
      <c r="AL66" s="82">
        <v>10</v>
      </c>
      <c r="AT66" s="20" t="str">
        <f t="shared" si="0"/>
        <v>伯特兰！你迟到了。</v>
      </c>
      <c r="AU66" s="20" t="s">
        <v>260</v>
      </c>
    </row>
    <row r="67" spans="1:47">
      <c r="A67" s="20">
        <v>11004</v>
      </c>
      <c r="C67" s="20">
        <f t="shared" si="2"/>
        <v>1</v>
      </c>
      <c r="E67" s="20" t="s">
        <v>110</v>
      </c>
      <c r="F67" s="20" t="str">
        <f>VLOOKUP(G67,'#TID_base_up'!B:C,2,0)</f>
        <v>伯特兰</v>
      </c>
      <c r="G67" s="20" t="s">
        <v>156</v>
      </c>
      <c r="H67" s="20" t="s">
        <v>112</v>
      </c>
      <c r="I67" s="20" t="s">
        <v>251</v>
      </c>
      <c r="J67" s="20" t="s">
        <v>261</v>
      </c>
      <c r="T67" s="20">
        <v>1</v>
      </c>
      <c r="U67" s="20">
        <v>3</v>
      </c>
      <c r="V67" s="20">
        <v>0</v>
      </c>
      <c r="X67" s="20">
        <v>1006</v>
      </c>
      <c r="Y67" s="20" t="b">
        <v>0</v>
      </c>
      <c r="Z67" s="20" t="s">
        <v>262</v>
      </c>
      <c r="AA67" s="20" t="b">
        <v>0</v>
      </c>
      <c r="AD67" s="20">
        <v>4.6079998016357404</v>
      </c>
      <c r="AE67" s="82">
        <v>5.61</v>
      </c>
      <c r="AF67" s="82"/>
      <c r="AG67" s="82"/>
      <c r="AH67" s="82">
        <v>0.1</v>
      </c>
      <c r="AJ67" s="82"/>
      <c r="AK67" s="82"/>
      <c r="AL67" s="82">
        <v>10</v>
      </c>
      <c r="AT67" s="20" t="str">
        <f t="shared" si="0"/>
        <v>请见谅，女士，路上遇到了一队英国佬，耽误了一点时间。</v>
      </c>
      <c r="AU67" s="20" t="s">
        <v>263</v>
      </c>
    </row>
    <row r="68" spans="1:47">
      <c r="A68" s="20">
        <v>11005</v>
      </c>
      <c r="C68" s="20">
        <f t="shared" si="2"/>
        <v>1</v>
      </c>
      <c r="E68" s="20" t="s">
        <v>110</v>
      </c>
      <c r="F68" s="20" t="str">
        <f>VLOOKUP(G68,'#TID_base_up'!B:C,2,0)</f>
        <v>伯特兰</v>
      </c>
      <c r="G68" s="20" t="s">
        <v>156</v>
      </c>
      <c r="H68" s="20" t="s">
        <v>112</v>
      </c>
      <c r="I68" s="20" t="s">
        <v>251</v>
      </c>
      <c r="J68" s="20" t="s">
        <v>264</v>
      </c>
      <c r="T68" s="20">
        <v>1</v>
      </c>
      <c r="U68" s="20">
        <v>2</v>
      </c>
      <c r="V68" s="20">
        <v>0</v>
      </c>
      <c r="X68" s="20">
        <v>1006</v>
      </c>
      <c r="Y68" s="20" t="b">
        <v>0</v>
      </c>
      <c r="Z68" s="20" t="s">
        <v>265</v>
      </c>
      <c r="AA68" s="20" t="b">
        <v>0</v>
      </c>
      <c r="AD68" s="20">
        <v>6.3333330154418901</v>
      </c>
      <c r="AE68" s="82">
        <v>7.33</v>
      </c>
      <c r="AF68" s="82"/>
      <c r="AG68" s="82"/>
      <c r="AH68" s="82">
        <v>0.1</v>
      </c>
      <c r="AJ68" s="82"/>
      <c r="AK68" s="82"/>
      <c r="AL68" s="82">
        <v>10</v>
      </c>
      <c r="AT68" s="20" t="str">
        <f t="shared" ref="AT68:AT131" si="3">IF($AU68="","",SUBSTITUTE(SUBSTITUTE(SUBSTITUTE(SUBSTITUTE($AU68,IF($AW68="","",$AW68),IF($AW68="","",CONCATENATE("&lt;color=#FFCC71&gt;",$AW68,"&lt;/color&gt;"))),IF($AX68="","",$AX68),IF($AX68="","",CONCATENATE("&lt;color=#FFCC71&gt;",$AX68,"&lt;/color&gt;"))),IF($AY68="","",$AY68),IF($AY68="","",CONCATENATE("&lt;color=#FFCC71&gt;",$AY68,"&lt;/color&gt;"))),IF($AZ68="","",$AZ68),IF($AZ68="","",CONCATENATE("&lt;color=#FFCC71&gt;",$AZ68,"&lt;/color&gt;"))))</f>
        <v>皇太子正在齐侬等着，我和德·梅斯会护送你……等等……德·梅斯人呢？</v>
      </c>
      <c r="AU68" s="20" t="s">
        <v>266</v>
      </c>
    </row>
    <row r="69" spans="1:47">
      <c r="A69" s="20">
        <v>11005</v>
      </c>
      <c r="C69" s="20">
        <f t="shared" si="2"/>
        <v>2</v>
      </c>
      <c r="E69" s="20" t="s">
        <v>110</v>
      </c>
      <c r="F69" s="20" t="e">
        <f>VLOOKUP(G69,'#TID_base_up'!B:C,2,0)</f>
        <v>#N/A</v>
      </c>
      <c r="G69" s="20" t="s">
        <v>267</v>
      </c>
      <c r="H69" s="20" t="s">
        <v>112</v>
      </c>
      <c r="I69" s="20" t="s">
        <v>242</v>
      </c>
      <c r="J69" s="20" t="s">
        <v>268</v>
      </c>
      <c r="T69" s="20">
        <v>1</v>
      </c>
      <c r="U69" s="20">
        <v>2</v>
      </c>
      <c r="V69" s="20">
        <v>0</v>
      </c>
      <c r="X69" s="20">
        <v>1006</v>
      </c>
      <c r="Y69" s="20" t="b">
        <v>0</v>
      </c>
      <c r="Z69" s="20" t="s">
        <v>269</v>
      </c>
      <c r="AA69" s="20" t="b">
        <v>0</v>
      </c>
      <c r="AD69" s="20">
        <v>2.50833296775818</v>
      </c>
      <c r="AE69" s="82">
        <v>3.51</v>
      </c>
      <c r="AF69" s="82"/>
      <c r="AG69" s="82"/>
      <c r="AH69" s="82">
        <v>0.1</v>
      </c>
      <c r="AJ69" s="82"/>
      <c r="AK69" s="82"/>
      <c r="AL69" s="82">
        <v>10</v>
      </c>
      <c r="AT69" s="20" t="str">
        <f t="shared" si="3"/>
        <v>他在前面探查，就等你过去会合了。</v>
      </c>
      <c r="AU69" s="20" t="s">
        <v>270</v>
      </c>
    </row>
    <row r="70" spans="1:47">
      <c r="A70" s="20">
        <v>11006</v>
      </c>
      <c r="C70" s="20">
        <f t="shared" si="2"/>
        <v>1</v>
      </c>
      <c r="E70" s="20" t="s">
        <v>110</v>
      </c>
      <c r="F70" s="20" t="str">
        <f>VLOOKUP(G70,'#TID_base_up'!B:C,2,0)</f>
        <v>强盗伏兵</v>
      </c>
      <c r="G70" s="20" t="s">
        <v>167</v>
      </c>
      <c r="H70" s="20" t="s">
        <v>112</v>
      </c>
      <c r="I70" s="20" t="s">
        <v>246</v>
      </c>
      <c r="J70" s="20" t="s">
        <v>271</v>
      </c>
      <c r="T70" s="20">
        <v>1</v>
      </c>
      <c r="U70" s="20">
        <v>3</v>
      </c>
      <c r="V70" s="20">
        <v>0</v>
      </c>
      <c r="X70" s="20">
        <v>1006</v>
      </c>
      <c r="Y70" s="20" t="b">
        <v>0</v>
      </c>
      <c r="Z70" s="20" t="s">
        <v>272</v>
      </c>
      <c r="AA70" s="20" t="b">
        <v>0</v>
      </c>
      <c r="AD70" s="20">
        <v>3.5733330249786399</v>
      </c>
      <c r="AE70" s="82">
        <v>4.57</v>
      </c>
      <c r="AF70" s="82"/>
      <c r="AG70" s="82"/>
      <c r="AH70" s="82">
        <v>0.1</v>
      </c>
      <c r="AJ70" s="82"/>
      <c r="AK70" s="82"/>
      <c r="AL70" s="82">
        <v>10</v>
      </c>
      <c r="AT70" s="20" t="str">
        <f t="shared" si="3"/>
        <v>肥鸭子送上门了！</v>
      </c>
      <c r="AU70" s="20" t="s">
        <v>273</v>
      </c>
    </row>
    <row r="71" spans="1:47">
      <c r="A71" s="20">
        <v>11007</v>
      </c>
      <c r="C71" s="20">
        <f t="shared" si="2"/>
        <v>1</v>
      </c>
      <c r="E71" s="20" t="s">
        <v>110</v>
      </c>
      <c r="F71" s="20" t="str">
        <f>VLOOKUP(G71,'#TID_base_up'!B:C,2,0)</f>
        <v>伯特兰</v>
      </c>
      <c r="G71" s="20" t="s">
        <v>156</v>
      </c>
      <c r="H71" s="20" t="s">
        <v>112</v>
      </c>
      <c r="I71" s="20" t="s">
        <v>251</v>
      </c>
      <c r="J71" s="20" t="s">
        <v>274</v>
      </c>
      <c r="T71" s="20">
        <v>1</v>
      </c>
      <c r="U71" s="20">
        <v>2</v>
      </c>
      <c r="V71" s="20">
        <v>0</v>
      </c>
      <c r="X71" s="20">
        <v>1006</v>
      </c>
      <c r="Y71" s="20" t="b">
        <v>0</v>
      </c>
      <c r="Z71" s="20" t="s">
        <v>275</v>
      </c>
      <c r="AA71" s="20" t="b">
        <v>0</v>
      </c>
      <c r="AD71" s="20">
        <v>5.5093331336975098</v>
      </c>
      <c r="AE71" s="82">
        <v>6.51</v>
      </c>
      <c r="AF71" s="82"/>
      <c r="AG71" s="82"/>
      <c r="AH71" s="82">
        <v>0.1</v>
      </c>
      <c r="AJ71" s="82"/>
      <c r="AK71" s="82"/>
      <c r="AL71" s="82">
        <v>10</v>
      </c>
      <c r="AT71" s="20" t="str">
        <f t="shared" si="3"/>
        <v>攻击敌人可以吸引他们的火力。琼恩是我们最后的希望，决不能让她受到伤害！</v>
      </c>
      <c r="AU71" s="20" t="s">
        <v>276</v>
      </c>
    </row>
    <row r="72" spans="1:47">
      <c r="A72" s="20">
        <v>11008</v>
      </c>
      <c r="C72" s="20">
        <f t="shared" si="2"/>
        <v>1</v>
      </c>
      <c r="E72" s="20" t="s">
        <v>110</v>
      </c>
      <c r="F72" s="20" t="str">
        <f>VLOOKUP(G72,'#TID_base_up'!B:C,2,0)</f>
        <v>伯特兰</v>
      </c>
      <c r="G72" s="20" t="s">
        <v>156</v>
      </c>
      <c r="H72" s="20" t="s">
        <v>112</v>
      </c>
      <c r="I72" s="20" t="s">
        <v>251</v>
      </c>
      <c r="J72" s="20" t="s">
        <v>277</v>
      </c>
      <c r="T72" s="20">
        <v>1</v>
      </c>
      <c r="U72" s="20">
        <v>2</v>
      </c>
      <c r="V72" s="20">
        <v>0</v>
      </c>
      <c r="X72" s="20">
        <v>1006</v>
      </c>
      <c r="Y72" s="20" t="b">
        <v>0</v>
      </c>
      <c r="Z72" s="20" t="s">
        <v>278</v>
      </c>
      <c r="AA72" s="20" t="b">
        <v>0</v>
      </c>
      <c r="AD72" s="20">
        <v>3.8453330993652299</v>
      </c>
      <c r="AE72" s="82">
        <v>4.8499999999999996</v>
      </c>
      <c r="AF72" s="82"/>
      <c r="AG72" s="82"/>
      <c r="AH72" s="82">
        <v>0.1</v>
      </c>
      <c r="AJ72" s="82"/>
      <c r="AK72" s="82"/>
      <c r="AL72" s="82">
        <v>10</v>
      </c>
      <c r="AT72" s="20" t="str">
        <f t="shared" si="3"/>
        <v>骑士克制弓兵！我们有绝对的优势！冲散他们！</v>
      </c>
      <c r="AU72" s="20" t="s">
        <v>279</v>
      </c>
    </row>
    <row r="73" spans="1:47">
      <c r="A73" s="20">
        <v>11009</v>
      </c>
      <c r="C73" s="20">
        <f t="shared" si="2"/>
        <v>1</v>
      </c>
      <c r="E73" s="20" t="s">
        <v>110</v>
      </c>
      <c r="F73" s="20" t="str">
        <f>VLOOKUP(G73,'#TID_base_up'!B:C,2,0)</f>
        <v>伯特兰</v>
      </c>
      <c r="G73" s="20" t="s">
        <v>156</v>
      </c>
      <c r="H73" s="20" t="s">
        <v>112</v>
      </c>
      <c r="I73" s="20" t="s">
        <v>251</v>
      </c>
      <c r="J73" s="20" t="s">
        <v>280</v>
      </c>
      <c r="T73" s="20">
        <v>1</v>
      </c>
      <c r="U73" s="20">
        <v>2</v>
      </c>
      <c r="V73" s="20">
        <v>0</v>
      </c>
      <c r="X73" s="20">
        <v>1006</v>
      </c>
      <c r="Y73" s="20" t="b">
        <v>0</v>
      </c>
      <c r="Z73" s="20" t="s">
        <v>281</v>
      </c>
      <c r="AA73" s="20" t="b">
        <v>0</v>
      </c>
      <c r="AD73" s="20">
        <v>2.6400001049041699</v>
      </c>
      <c r="AE73" s="82">
        <v>3.64</v>
      </c>
      <c r="AF73" s="82"/>
      <c r="AG73" s="82"/>
      <c r="AH73" s="82">
        <v>0.1</v>
      </c>
      <c r="AJ73" s="82"/>
      <c r="AK73" s="82"/>
      <c r="AL73" s="82">
        <v>10</v>
      </c>
      <c r="AT73" s="20" t="str">
        <f t="shared" si="3"/>
        <v>阿金库尔的教训一次就够了。</v>
      </c>
      <c r="AU73" s="20" t="s">
        <v>282</v>
      </c>
    </row>
    <row r="74" spans="1:47">
      <c r="A74" s="20">
        <v>11010</v>
      </c>
      <c r="C74" s="20">
        <f t="shared" si="2"/>
        <v>1</v>
      </c>
      <c r="E74" s="20" t="s">
        <v>110</v>
      </c>
      <c r="F74" s="20" t="str">
        <f>VLOOKUP(G74,'#TID_base_up'!B:C,2,0)</f>
        <v>勃艮第人</v>
      </c>
      <c r="G74" s="20" t="s">
        <v>170</v>
      </c>
      <c r="H74" s="20" t="s">
        <v>112</v>
      </c>
      <c r="I74" s="20" t="s">
        <v>246</v>
      </c>
      <c r="J74" s="20" t="s">
        <v>171</v>
      </c>
      <c r="T74" s="20">
        <v>1</v>
      </c>
      <c r="U74" s="20">
        <v>2</v>
      </c>
      <c r="V74" s="20">
        <v>0</v>
      </c>
      <c r="X74" s="20">
        <v>1006</v>
      </c>
      <c r="Y74" s="20" t="b">
        <v>0</v>
      </c>
      <c r="Z74" s="20" t="s">
        <v>283</v>
      </c>
      <c r="AA74" s="20" t="b">
        <v>0</v>
      </c>
      <c r="AD74" s="20">
        <v>4.10666704177856</v>
      </c>
      <c r="AE74" s="82">
        <v>5.1100000000000003</v>
      </c>
      <c r="AF74" s="82"/>
      <c r="AG74" s="82"/>
      <c r="AH74" s="82">
        <v>0.1</v>
      </c>
      <c r="AJ74" s="82"/>
      <c r="AK74" s="82"/>
      <c r="AL74" s="82">
        <v>10</v>
      </c>
      <c r="AT74" s="20" t="str">
        <f t="shared" si="3"/>
        <v>你们法兰西人就是不知道什么时候该认输！</v>
      </c>
      <c r="AU74" s="20" t="s">
        <v>172</v>
      </c>
    </row>
    <row r="75" spans="1:47">
      <c r="A75" s="20">
        <v>11010</v>
      </c>
      <c r="C75" s="20">
        <f t="shared" si="2"/>
        <v>2</v>
      </c>
      <c r="E75" s="20" t="s">
        <v>110</v>
      </c>
      <c r="F75" s="20" t="str">
        <f>VLOOKUP(G75,'#TID_base_up'!B:C,2,0)</f>
        <v>德·梅斯</v>
      </c>
      <c r="G75" s="20" t="s">
        <v>153</v>
      </c>
      <c r="H75" s="20" t="s">
        <v>112</v>
      </c>
      <c r="I75" s="20" t="s">
        <v>284</v>
      </c>
      <c r="J75" s="20" t="s">
        <v>285</v>
      </c>
      <c r="T75" s="20">
        <v>1</v>
      </c>
      <c r="U75" s="20">
        <v>2</v>
      </c>
      <c r="V75" s="20">
        <v>0</v>
      </c>
      <c r="X75" s="20">
        <v>1006</v>
      </c>
      <c r="Y75" s="20" t="b">
        <v>0</v>
      </c>
      <c r="Z75" s="20" t="s">
        <v>286</v>
      </c>
      <c r="AA75" s="20" t="b">
        <v>0</v>
      </c>
      <c r="AD75" s="20">
        <v>3.16533303260803</v>
      </c>
      <c r="AE75" s="82">
        <v>4.17</v>
      </c>
      <c r="AF75" s="82"/>
      <c r="AG75" s="82"/>
      <c r="AH75" s="82">
        <v>0.1</v>
      </c>
      <c r="AJ75" s="82"/>
      <c r="AK75" s="82"/>
      <c r="AL75" s="82">
        <v>10</v>
      </c>
      <c r="AT75" s="20" t="str">
        <f t="shared" si="3"/>
        <v>是啊，不如你先表演一下？</v>
      </c>
      <c r="AU75" s="20" t="s">
        <v>287</v>
      </c>
    </row>
    <row r="76" spans="1:47">
      <c r="A76" s="20">
        <v>11011</v>
      </c>
      <c r="C76" s="20">
        <f t="shared" si="2"/>
        <v>1</v>
      </c>
      <c r="E76" s="20" t="s">
        <v>110</v>
      </c>
      <c r="F76" s="20" t="str">
        <f>VLOOKUP(G76,'#TID_base_up'!B:C,2,0)</f>
        <v>伯特兰</v>
      </c>
      <c r="G76" s="20" t="s">
        <v>156</v>
      </c>
      <c r="H76" s="20" t="s">
        <v>112</v>
      </c>
      <c r="I76" s="20" t="s">
        <v>251</v>
      </c>
      <c r="J76" s="20" t="s">
        <v>288</v>
      </c>
      <c r="T76" s="20">
        <v>1</v>
      </c>
      <c r="U76" s="20">
        <v>2</v>
      </c>
      <c r="V76" s="20">
        <v>0</v>
      </c>
      <c r="X76" s="20">
        <v>1006</v>
      </c>
      <c r="Y76" s="20" t="b">
        <v>0</v>
      </c>
      <c r="Z76" s="20" t="s">
        <v>289</v>
      </c>
      <c r="AA76" s="20" t="b">
        <v>0</v>
      </c>
      <c r="AD76" s="20">
        <v>4.3106670379638699</v>
      </c>
      <c r="AE76" s="82">
        <v>5.31</v>
      </c>
      <c r="AF76" s="82"/>
      <c r="AG76" s="82"/>
      <c r="AH76" s="82">
        <v>0.1</v>
      </c>
      <c r="AJ76" s="82"/>
      <c r="AK76" s="82"/>
      <c r="AL76" s="82">
        <v>10</v>
      </c>
      <c r="AT76" s="20" t="str">
        <f t="shared" si="3"/>
        <v>敌人的弓兵完全克制住了德梅斯的剑士小队，必须要救他们。</v>
      </c>
      <c r="AU76" s="20" t="s">
        <v>290</v>
      </c>
    </row>
    <row r="77" spans="1:47">
      <c r="A77" s="20">
        <v>11012</v>
      </c>
      <c r="C77" s="20">
        <f t="shared" si="2"/>
        <v>1</v>
      </c>
      <c r="E77" s="20" t="s">
        <v>110</v>
      </c>
      <c r="F77" s="20" t="str">
        <f>VLOOKUP(G77,'#TID_base_up'!B:C,2,0)</f>
        <v>伯特兰</v>
      </c>
      <c r="G77" s="20" t="s">
        <v>156</v>
      </c>
      <c r="H77" s="20" t="s">
        <v>112</v>
      </c>
      <c r="I77" s="20" t="s">
        <v>251</v>
      </c>
      <c r="J77" s="20" t="s">
        <v>291</v>
      </c>
      <c r="T77" s="20">
        <v>1</v>
      </c>
      <c r="U77" s="20">
        <v>3</v>
      </c>
      <c r="V77" s="20">
        <v>0</v>
      </c>
      <c r="X77" s="20">
        <v>1006</v>
      </c>
      <c r="Y77" s="20" t="b">
        <v>0</v>
      </c>
      <c r="Z77" s="95" t="s">
        <v>292</v>
      </c>
      <c r="AA77" s="20" t="b">
        <v>0</v>
      </c>
      <c r="AD77" s="20">
        <v>2.8609170913696298</v>
      </c>
      <c r="AE77" s="82">
        <v>3.86</v>
      </c>
      <c r="AF77" s="82"/>
      <c r="AG77" s="82"/>
      <c r="AH77" s="82">
        <v>0.1</v>
      </c>
      <c r="AJ77" s="82"/>
      <c r="AK77" s="82"/>
      <c r="AL77" s="82">
        <v>10</v>
      </c>
      <c r="AT77" s="20" t="str">
        <f t="shared" si="3"/>
        <v>怎么，德·梅斯，几个弓兵就把你吓住了？</v>
      </c>
      <c r="AU77" s="20" t="s">
        <v>293</v>
      </c>
    </row>
    <row r="78" spans="1:47">
      <c r="A78" s="20">
        <v>11013</v>
      </c>
      <c r="C78" s="20">
        <f t="shared" si="2"/>
        <v>1</v>
      </c>
      <c r="E78" s="20" t="s">
        <v>110</v>
      </c>
      <c r="F78" s="20" t="str">
        <f>VLOOKUP(G78,'#TID_base_up'!B:C,2,0)</f>
        <v>德·梅斯</v>
      </c>
      <c r="G78" s="20" t="s">
        <v>153</v>
      </c>
      <c r="H78" s="20" t="s">
        <v>112</v>
      </c>
      <c r="I78" s="20" t="s">
        <v>284</v>
      </c>
      <c r="J78" s="20" t="s">
        <v>294</v>
      </c>
      <c r="T78" s="20">
        <v>1</v>
      </c>
      <c r="U78" s="20">
        <v>3</v>
      </c>
      <c r="V78" s="20">
        <v>0</v>
      </c>
      <c r="X78" s="20">
        <v>1006</v>
      </c>
      <c r="Y78" s="20" t="b">
        <v>0</v>
      </c>
      <c r="Z78" s="95" t="s">
        <v>295</v>
      </c>
      <c r="AA78" s="20" t="b">
        <v>0</v>
      </c>
      <c r="AD78" s="20">
        <v>4.5599999427795401</v>
      </c>
      <c r="AE78" s="82">
        <v>5.56</v>
      </c>
      <c r="AF78" s="82"/>
      <c r="AG78" s="82"/>
      <c r="AH78" s="82">
        <v>0.1</v>
      </c>
      <c r="AJ78" s="82"/>
      <c r="AK78" s="82"/>
      <c r="AL78" s="82">
        <v>10</v>
      </c>
      <c r="AT78" s="20" t="str">
        <f t="shared" si="3"/>
        <v>啊，伯特兰！能见到你手下的骑士，真是太高兴了。</v>
      </c>
      <c r="AU78" s="20" t="s">
        <v>296</v>
      </c>
    </row>
    <row r="79" spans="1:47">
      <c r="A79" s="20">
        <v>11014</v>
      </c>
      <c r="C79" s="20">
        <f t="shared" ref="C79:C112" si="4">IF(A79=A78,C78+1,1)</f>
        <v>1</v>
      </c>
      <c r="E79" s="20" t="s">
        <v>110</v>
      </c>
      <c r="F79" s="20" t="str">
        <f>VLOOKUP(G79,'#TID_base_up'!B:C,2,0)</f>
        <v>德·梅斯</v>
      </c>
      <c r="G79" s="20" t="s">
        <v>153</v>
      </c>
      <c r="H79" s="20" t="s">
        <v>112</v>
      </c>
      <c r="I79" s="20" t="s">
        <v>284</v>
      </c>
      <c r="J79" s="20" t="s">
        <v>297</v>
      </c>
      <c r="T79" s="20">
        <v>1</v>
      </c>
      <c r="U79" s="20">
        <v>2</v>
      </c>
      <c r="V79" s="20">
        <v>0</v>
      </c>
      <c r="X79" s="20">
        <v>1006</v>
      </c>
      <c r="Y79" s="20" t="b">
        <v>0</v>
      </c>
      <c r="Z79" s="95" t="s">
        <v>298</v>
      </c>
      <c r="AA79" s="20" t="b">
        <v>0</v>
      </c>
      <c r="AD79" s="20">
        <v>4.3093328475952104</v>
      </c>
      <c r="AE79" s="82">
        <v>5.31</v>
      </c>
      <c r="AF79" s="82"/>
      <c r="AG79" s="82"/>
      <c r="AH79" s="82">
        <v>0.1</v>
      </c>
      <c r="AJ79" s="82"/>
      <c r="AK79" s="82"/>
      <c r="AL79" s="82">
        <v>10</v>
      </c>
      <c r="AT79" s="20" t="str">
        <f t="shared" si="3"/>
        <v>让·德·梅斯，很荣幸再次为您效劳，我的女士。</v>
      </c>
      <c r="AU79" s="20" t="s">
        <v>299</v>
      </c>
    </row>
    <row r="80" spans="1:47">
      <c r="A80" s="20">
        <v>11015</v>
      </c>
      <c r="C80" s="20">
        <f t="shared" si="4"/>
        <v>1</v>
      </c>
      <c r="E80" s="20" t="s">
        <v>110</v>
      </c>
      <c r="F80" s="20" t="str">
        <f>VLOOKUP(G80,'#TID_base_up'!B:C,2,0)</f>
        <v>伯特兰</v>
      </c>
      <c r="G80" s="20" t="s">
        <v>156</v>
      </c>
      <c r="H80" s="20" t="s">
        <v>112</v>
      </c>
      <c r="I80" s="20" t="s">
        <v>251</v>
      </c>
      <c r="J80" s="20" t="s">
        <v>300</v>
      </c>
      <c r="T80" s="20">
        <v>1</v>
      </c>
      <c r="U80" s="20">
        <v>2</v>
      </c>
      <c r="V80" s="20">
        <v>0</v>
      </c>
      <c r="X80" s="20">
        <v>1006</v>
      </c>
      <c r="Y80" s="20" t="b">
        <v>0</v>
      </c>
      <c r="Z80" s="95" t="s">
        <v>301</v>
      </c>
      <c r="AA80" s="20" t="b">
        <v>0</v>
      </c>
      <c r="AD80" s="20">
        <v>3.8896670341491699</v>
      </c>
      <c r="AE80" s="82">
        <v>4.8899999999999997</v>
      </c>
      <c r="AF80" s="82"/>
      <c r="AG80" s="82"/>
      <c r="AH80" s="82">
        <v>0.1</v>
      </c>
      <c r="AJ80" s="82"/>
      <c r="AK80" s="82"/>
      <c r="AL80" s="82">
        <v>10</v>
      </c>
      <c r="AT80" s="20" t="str">
        <f t="shared" si="3"/>
        <v>点选英雄头像并拖拽，可以将部队移动至目标地点。</v>
      </c>
      <c r="AU80" s="20" t="s">
        <v>302</v>
      </c>
    </row>
    <row r="81" spans="1:47">
      <c r="A81" s="20">
        <v>11016</v>
      </c>
      <c r="C81" s="20">
        <f t="shared" si="4"/>
        <v>1</v>
      </c>
      <c r="E81" s="20" t="s">
        <v>110</v>
      </c>
      <c r="F81" s="20" t="str">
        <f>VLOOKUP(G81,'#TID_base_up'!B:C,2,0)</f>
        <v>琼恩</v>
      </c>
      <c r="G81" s="20" t="s">
        <v>144</v>
      </c>
      <c r="H81" s="20" t="s">
        <v>112</v>
      </c>
      <c r="I81" s="20" t="s">
        <v>242</v>
      </c>
      <c r="J81" s="20" t="s">
        <v>303</v>
      </c>
      <c r="T81" s="20">
        <v>1</v>
      </c>
      <c r="U81" s="20">
        <v>2</v>
      </c>
      <c r="V81" s="20">
        <v>0</v>
      </c>
      <c r="X81" s="20">
        <v>1006</v>
      </c>
      <c r="Y81" s="20" t="b">
        <v>0</v>
      </c>
      <c r="Z81" s="95" t="s">
        <v>304</v>
      </c>
      <c r="AA81" s="20" t="b">
        <v>0</v>
      </c>
      <c r="AD81" s="20">
        <v>1.6310830116271999</v>
      </c>
      <c r="AE81" s="82">
        <v>2.63</v>
      </c>
      <c r="AF81" s="82"/>
      <c r="AG81" s="82"/>
      <c r="AH81" s="82">
        <v>0.1</v>
      </c>
      <c r="AJ81" s="82"/>
      <c r="AK81" s="82"/>
      <c r="AL81" s="82">
        <v>10</v>
      </c>
      <c r="AT81" s="20" t="str">
        <f t="shared" si="3"/>
        <v>小心！是陷阱！</v>
      </c>
      <c r="AU81" s="20" t="s">
        <v>305</v>
      </c>
    </row>
    <row r="82" spans="1:47">
      <c r="A82" s="20">
        <v>11016</v>
      </c>
      <c r="C82" s="20">
        <f t="shared" si="4"/>
        <v>2</v>
      </c>
      <c r="E82" s="20" t="s">
        <v>110</v>
      </c>
      <c r="F82" s="20" t="str">
        <f>VLOOKUP(G82,'#TID_base_up'!B:C,2,0)</f>
        <v>伯特兰</v>
      </c>
      <c r="G82" s="20" t="s">
        <v>156</v>
      </c>
      <c r="H82" s="20" t="s">
        <v>112</v>
      </c>
      <c r="I82" s="20" t="s">
        <v>251</v>
      </c>
      <c r="J82" s="20" t="s">
        <v>306</v>
      </c>
      <c r="T82" s="20">
        <v>1</v>
      </c>
      <c r="U82" s="20">
        <v>2</v>
      </c>
      <c r="V82" s="20">
        <v>0</v>
      </c>
      <c r="X82" s="20">
        <v>1006</v>
      </c>
      <c r="Y82" s="20" t="b">
        <v>0</v>
      </c>
      <c r="Z82" s="95" t="s">
        <v>307</v>
      </c>
      <c r="AA82" s="20" t="b">
        <v>0</v>
      </c>
      <c r="AD82" s="20">
        <v>3.5626668930053702</v>
      </c>
      <c r="AE82" s="82">
        <v>4.5599999999999996</v>
      </c>
      <c r="AF82" s="82"/>
      <c r="AG82" s="82"/>
      <c r="AH82" s="82">
        <v>0.1</v>
      </c>
      <c r="AJ82" s="82"/>
      <c r="AK82" s="82"/>
      <c r="AL82" s="82">
        <v>10</v>
      </c>
      <c r="AT82" s="20" t="str">
        <f t="shared" si="3"/>
        <v>镇定！准备战斗！保护好琼恩！</v>
      </c>
      <c r="AU82" s="20" t="s">
        <v>308</v>
      </c>
    </row>
    <row r="83" spans="1:47">
      <c r="A83" s="20">
        <v>11017</v>
      </c>
      <c r="C83" s="20">
        <f t="shared" si="4"/>
        <v>1</v>
      </c>
      <c r="E83" s="20" t="s">
        <v>110</v>
      </c>
      <c r="F83" s="20" t="str">
        <f>VLOOKUP(G83,'#TID_base_up'!B:C,2,0)</f>
        <v>英格兰伏兵</v>
      </c>
      <c r="G83" s="20" t="s">
        <v>309</v>
      </c>
      <c r="H83" s="20" t="s">
        <v>112</v>
      </c>
      <c r="I83" s="20" t="s">
        <v>113</v>
      </c>
      <c r="J83" s="20" t="s">
        <v>310</v>
      </c>
      <c r="T83" s="20">
        <v>1</v>
      </c>
      <c r="U83" s="20">
        <v>3</v>
      </c>
      <c r="V83" s="20">
        <v>0</v>
      </c>
      <c r="X83" s="20">
        <v>1006</v>
      </c>
      <c r="Y83" s="20" t="b">
        <v>0</v>
      </c>
      <c r="Z83" s="95" t="s">
        <v>311</v>
      </c>
      <c r="AA83" s="20" t="b">
        <v>0</v>
      </c>
      <c r="AD83" s="20">
        <v>3.2666668891906698</v>
      </c>
      <c r="AE83" s="82">
        <v>4.2699999999999996</v>
      </c>
      <c r="AF83" s="82"/>
      <c r="AG83" s="82"/>
      <c r="AH83" s="82">
        <v>0.1</v>
      </c>
      <c r="AJ83" s="82"/>
      <c r="AK83" s="82"/>
      <c r="AL83" s="82">
        <v>10</v>
      </c>
      <c r="AT83" s="20" t="str">
        <f t="shared" si="3"/>
        <v>干掉那个女孩，法兰西就完了！</v>
      </c>
      <c r="AU83" s="20" t="s">
        <v>312</v>
      </c>
    </row>
    <row r="84" spans="1:47">
      <c r="A84" s="20">
        <v>11018</v>
      </c>
      <c r="C84" s="20">
        <f t="shared" si="4"/>
        <v>1</v>
      </c>
      <c r="E84" s="20" t="s">
        <v>110</v>
      </c>
      <c r="F84" s="20" t="str">
        <f>VLOOKUP(G84,'#TID_base_up'!B:C,2,0)</f>
        <v>伯特兰</v>
      </c>
      <c r="G84" s="20" t="s">
        <v>156</v>
      </c>
      <c r="H84" s="20" t="s">
        <v>112</v>
      </c>
      <c r="I84" s="20" t="s">
        <v>251</v>
      </c>
      <c r="J84" s="20" t="s">
        <v>313</v>
      </c>
      <c r="T84" s="20">
        <v>1</v>
      </c>
      <c r="U84" s="20">
        <v>3</v>
      </c>
      <c r="V84" s="20">
        <v>0</v>
      </c>
      <c r="X84" s="20">
        <v>1006</v>
      </c>
      <c r="Y84" s="20" t="b">
        <v>0</v>
      </c>
      <c r="Z84" s="95" t="s">
        <v>314</v>
      </c>
      <c r="AA84" s="20" t="b">
        <v>0</v>
      </c>
      <c r="AD84" s="20">
        <v>2.79466700553894</v>
      </c>
      <c r="AE84" s="82">
        <v>3.79</v>
      </c>
      <c r="AF84" s="82"/>
      <c r="AG84" s="82"/>
      <c r="AH84" s="82">
        <v>0.1</v>
      </c>
      <c r="AJ84" s="82"/>
      <c r="AK84" s="82"/>
      <c r="AL84" s="82">
        <v>10</v>
      </c>
      <c r="AT84" s="20" t="str">
        <f t="shared" si="3"/>
        <v>列好阵型，别让他们靠近琼恩！</v>
      </c>
      <c r="AU84" s="20" t="s">
        <v>315</v>
      </c>
    </row>
    <row r="85" spans="1:47">
      <c r="A85" s="20">
        <v>11019</v>
      </c>
      <c r="C85" s="20">
        <f t="shared" si="4"/>
        <v>1</v>
      </c>
      <c r="E85" s="20" t="s">
        <v>110</v>
      </c>
      <c r="F85" s="20" t="str">
        <f>VLOOKUP(G85,'#TID_base_up'!B:C,2,0)</f>
        <v>伯特兰</v>
      </c>
      <c r="G85" s="20" t="s">
        <v>156</v>
      </c>
      <c r="H85" s="20" t="s">
        <v>112</v>
      </c>
      <c r="I85" s="20" t="s">
        <v>251</v>
      </c>
      <c r="J85" s="20" t="s">
        <v>316</v>
      </c>
      <c r="T85" s="20">
        <v>1</v>
      </c>
      <c r="U85" s="20">
        <v>3</v>
      </c>
      <c r="V85" s="20">
        <v>0</v>
      </c>
      <c r="X85" s="20">
        <v>1006</v>
      </c>
      <c r="Y85" s="20" t="b">
        <v>0</v>
      </c>
      <c r="Z85" s="95" t="s">
        <v>317</v>
      </c>
      <c r="AA85" s="20" t="b">
        <v>0</v>
      </c>
      <c r="AD85" s="20">
        <v>3.39199995994568</v>
      </c>
      <c r="AE85" s="82">
        <v>4.3899999999999997</v>
      </c>
      <c r="AF85" s="82"/>
      <c r="AG85" s="82"/>
      <c r="AH85" s="82">
        <v>0.1</v>
      </c>
      <c r="AJ85" s="82"/>
      <c r="AK85" s="82"/>
      <c r="AL85" s="82">
        <v>10</v>
      </c>
      <c r="AT85" s="20" t="str">
        <f t="shared" si="3"/>
        <v>守好阵线！英国佬不会轻易死心的！</v>
      </c>
      <c r="AU85" s="20" t="s">
        <v>318</v>
      </c>
    </row>
    <row r="86" spans="1:47">
      <c r="A86" s="20">
        <v>11020</v>
      </c>
      <c r="C86" s="20">
        <f t="shared" si="4"/>
        <v>1</v>
      </c>
      <c r="E86" s="20" t="s">
        <v>110</v>
      </c>
      <c r="F86" s="20" t="str">
        <f>VLOOKUP(G86,'#TID_base_up'!B:C,2,0)</f>
        <v>德·梅斯</v>
      </c>
      <c r="G86" s="20" t="s">
        <v>153</v>
      </c>
      <c r="H86" s="20" t="s">
        <v>112</v>
      </c>
      <c r="I86" s="20" t="s">
        <v>284</v>
      </c>
      <c r="J86" s="20" t="s">
        <v>319</v>
      </c>
      <c r="T86" s="20">
        <v>1</v>
      </c>
      <c r="U86" s="20">
        <v>3</v>
      </c>
      <c r="V86" s="20">
        <v>0</v>
      </c>
      <c r="X86" s="20">
        <v>1006</v>
      </c>
      <c r="Y86" s="20" t="b">
        <v>0</v>
      </c>
      <c r="Z86" s="95" t="s">
        <v>320</v>
      </c>
      <c r="AA86" s="20" t="b">
        <v>0</v>
      </c>
      <c r="AD86" s="20">
        <v>1.57200002670288</v>
      </c>
      <c r="AE86" s="82">
        <v>2.57</v>
      </c>
      <c r="AF86" s="82"/>
      <c r="AG86" s="82"/>
      <c r="AH86" s="82">
        <v>0.1</v>
      </c>
      <c r="AJ86" s="82"/>
      <c r="AK86" s="82"/>
      <c r="AL86" s="82">
        <v>10</v>
      </c>
      <c r="AT86" s="20" t="str">
        <f t="shared" si="3"/>
        <v>该死！怎么还有！</v>
      </c>
      <c r="AU86" s="20" t="s">
        <v>321</v>
      </c>
    </row>
    <row r="87" spans="1:47">
      <c r="A87" s="20">
        <v>11021</v>
      </c>
      <c r="C87" s="20">
        <f t="shared" si="4"/>
        <v>1</v>
      </c>
      <c r="E87" s="20" t="s">
        <v>110</v>
      </c>
      <c r="F87" s="20" t="str">
        <f>VLOOKUP(G87,'#TID_base_up'!B:C,2,0)</f>
        <v>德·梅斯</v>
      </c>
      <c r="G87" s="20" t="s">
        <v>153</v>
      </c>
      <c r="H87" s="20" t="s">
        <v>112</v>
      </c>
      <c r="I87" s="20" t="s">
        <v>284</v>
      </c>
      <c r="J87" s="20" t="s">
        <v>322</v>
      </c>
      <c r="T87" s="20">
        <v>1</v>
      </c>
      <c r="U87" s="20">
        <v>2</v>
      </c>
      <c r="V87" s="20">
        <v>0</v>
      </c>
      <c r="X87" s="20">
        <v>1006</v>
      </c>
      <c r="Y87" s="20" t="b">
        <v>0</v>
      </c>
      <c r="Z87" s="95" t="s">
        <v>323</v>
      </c>
      <c r="AA87" s="20" t="b">
        <v>0</v>
      </c>
      <c r="AD87" s="20">
        <v>1.9813330173492401</v>
      </c>
      <c r="AE87" s="82">
        <v>2.98</v>
      </c>
      <c r="AF87" s="82"/>
      <c r="AG87" s="82"/>
      <c r="AH87" s="82">
        <v>0.1</v>
      </c>
      <c r="AJ87" s="82"/>
      <c r="AK87" s="82"/>
      <c r="AL87" s="82">
        <v>10</v>
      </c>
      <c r="AT87" s="20" t="str">
        <f t="shared" si="3"/>
        <v>真是比牛身上的虱子还多！</v>
      </c>
      <c r="AU87" s="20" t="s">
        <v>324</v>
      </c>
    </row>
    <row r="88" spans="1:47">
      <c r="A88" s="20">
        <v>11022</v>
      </c>
      <c r="C88" s="20">
        <f t="shared" si="4"/>
        <v>1</v>
      </c>
      <c r="E88" s="20" t="s">
        <v>110</v>
      </c>
      <c r="F88" s="20" t="str">
        <f>VLOOKUP(G88,'#TID_base_up'!B:C,2,0)</f>
        <v>伯特兰</v>
      </c>
      <c r="G88" s="20" t="s">
        <v>156</v>
      </c>
      <c r="H88" s="20" t="s">
        <v>112</v>
      </c>
      <c r="I88" s="20" t="s">
        <v>251</v>
      </c>
      <c r="J88" s="20" t="s">
        <v>325</v>
      </c>
      <c r="T88" s="20">
        <v>1</v>
      </c>
      <c r="U88" s="20">
        <v>2</v>
      </c>
      <c r="V88" s="20">
        <v>0</v>
      </c>
      <c r="X88" s="20">
        <v>1006</v>
      </c>
      <c r="Y88" s="20" t="b">
        <v>0</v>
      </c>
      <c r="Z88" s="95" t="s">
        <v>326</v>
      </c>
      <c r="AA88" s="20" t="b">
        <v>0</v>
      </c>
      <c r="AD88" s="20">
        <v>2.49600005149841</v>
      </c>
      <c r="AE88" s="82">
        <v>3.5</v>
      </c>
      <c r="AF88" s="82"/>
      <c r="AG88" s="82"/>
      <c r="AH88" s="82">
        <v>0.1</v>
      </c>
      <c r="AJ88" s="82"/>
      <c r="AK88" s="82"/>
      <c r="AL88" s="82">
        <v>10</v>
      </c>
      <c r="AT88" s="20" t="str">
        <f t="shared" si="3"/>
        <v>移动部队拾取血瓶，恢复部队兵力。</v>
      </c>
      <c r="AU88" s="20" t="s">
        <v>327</v>
      </c>
    </row>
    <row r="89" spans="1:47">
      <c r="A89" s="20">
        <v>11023</v>
      </c>
      <c r="C89" s="20">
        <f t="shared" si="4"/>
        <v>1</v>
      </c>
      <c r="E89" s="20" t="s">
        <v>110</v>
      </c>
      <c r="F89" s="20" t="str">
        <f>VLOOKUP(G89,'#TID_base_up'!B:C,2,0)</f>
        <v>伯特兰</v>
      </c>
      <c r="G89" s="20" t="s">
        <v>156</v>
      </c>
      <c r="H89" s="20" t="s">
        <v>112</v>
      </c>
      <c r="I89" s="20" t="s">
        <v>251</v>
      </c>
      <c r="J89" s="20" t="s">
        <v>328</v>
      </c>
      <c r="T89" s="20">
        <v>1</v>
      </c>
      <c r="U89" s="20">
        <v>2</v>
      </c>
      <c r="V89" s="20">
        <v>0</v>
      </c>
      <c r="X89" s="20">
        <v>1006</v>
      </c>
      <c r="Y89" s="20" t="b">
        <v>0</v>
      </c>
      <c r="Z89" s="95" t="s">
        <v>329</v>
      </c>
      <c r="AA89" s="20" t="b">
        <v>0</v>
      </c>
      <c r="AD89" s="20">
        <v>3.9195830821990998</v>
      </c>
      <c r="AE89" s="82">
        <v>4.92</v>
      </c>
      <c r="AF89" s="82"/>
      <c r="AG89" s="82"/>
      <c r="AH89" s="82">
        <v>0.1</v>
      </c>
      <c r="AJ89" s="82"/>
      <c r="AK89" s="82"/>
      <c r="AL89" s="82">
        <v>10</v>
      </c>
      <c r="AT89" s="20" t="str">
        <f t="shared" si="3"/>
        <v>这条路线已经被英国佬渗透了，也许我们该换条路走……</v>
      </c>
      <c r="AU89" s="20" t="s">
        <v>330</v>
      </c>
    </row>
    <row r="90" spans="1:47">
      <c r="A90" s="20">
        <v>11023</v>
      </c>
      <c r="C90" s="20">
        <f t="shared" si="4"/>
        <v>2</v>
      </c>
      <c r="E90" s="20" t="s">
        <v>110</v>
      </c>
      <c r="F90" s="20" t="str">
        <f>VLOOKUP(G90,'#TID_base_up'!B:C,2,0)</f>
        <v>琼恩</v>
      </c>
      <c r="G90" s="20" t="s">
        <v>144</v>
      </c>
      <c r="H90" s="20" t="s">
        <v>112</v>
      </c>
      <c r="I90" s="20" t="s">
        <v>242</v>
      </c>
      <c r="J90" s="20" t="s">
        <v>331</v>
      </c>
      <c r="T90" s="20">
        <v>1</v>
      </c>
      <c r="U90" s="20">
        <v>2</v>
      </c>
      <c r="V90" s="20">
        <v>0</v>
      </c>
      <c r="X90" s="20">
        <v>1006</v>
      </c>
      <c r="Y90" s="20" t="b">
        <v>0</v>
      </c>
      <c r="Z90" s="95" t="s">
        <v>332</v>
      </c>
      <c r="AA90" s="20" t="b">
        <v>0</v>
      </c>
      <c r="AD90" s="20">
        <v>6.1756668090820304</v>
      </c>
      <c r="AE90" s="82">
        <v>7.18</v>
      </c>
      <c r="AF90" s="82"/>
      <c r="AG90" s="82"/>
      <c r="AH90" s="82">
        <v>0.1</v>
      </c>
      <c r="AJ90" s="82"/>
      <c r="AK90" s="82"/>
      <c r="AL90" s="82">
        <v>10</v>
      </c>
      <c r="AT90" s="20" t="str">
        <f t="shared" si="3"/>
        <v>不！让他们来吧！法兰西前进的道路永远不会被这些异国小丑所阻挡！</v>
      </c>
      <c r="AU90" s="20" t="s">
        <v>333</v>
      </c>
    </row>
    <row r="91" spans="1:47">
      <c r="A91" s="20">
        <v>11023</v>
      </c>
      <c r="C91" s="20">
        <f t="shared" si="4"/>
        <v>3</v>
      </c>
      <c r="E91" s="20" t="s">
        <v>110</v>
      </c>
      <c r="F91" s="20" t="str">
        <f>VLOOKUP(G91,'#TID_base_up'!B:C,2,0)</f>
        <v>德·梅斯</v>
      </c>
      <c r="G91" s="20" t="s">
        <v>153</v>
      </c>
      <c r="H91" s="20" t="s">
        <v>112</v>
      </c>
      <c r="I91" s="20" t="s">
        <v>284</v>
      </c>
      <c r="J91" s="20" t="s">
        <v>334</v>
      </c>
      <c r="T91" s="20">
        <v>1</v>
      </c>
      <c r="U91" s="20">
        <v>2</v>
      </c>
      <c r="V91" s="20">
        <v>0</v>
      </c>
      <c r="X91" s="20">
        <v>1006</v>
      </c>
      <c r="Y91" s="20" t="b">
        <v>0</v>
      </c>
      <c r="Z91" s="95" t="s">
        <v>335</v>
      </c>
      <c r="AA91" s="20" t="b">
        <v>0</v>
      </c>
      <c r="AD91" s="20">
        <v>3.6526670455932599</v>
      </c>
      <c r="AE91" s="82">
        <v>4.6500000000000004</v>
      </c>
      <c r="AF91" s="82"/>
      <c r="AG91" s="82"/>
      <c r="AH91" s="82">
        <v>0.1</v>
      </c>
      <c r="AJ91" s="82"/>
      <c r="AK91" s="82"/>
      <c r="AL91" s="82">
        <v>10</v>
      </c>
      <c r="AT91" s="20" t="str">
        <f t="shared" si="3"/>
        <v>听听，伯特兰，这才是英雄该说的话。</v>
      </c>
      <c r="AU91" s="20" t="s">
        <v>336</v>
      </c>
    </row>
    <row r="92" spans="1:47">
      <c r="A92" s="20">
        <v>11024</v>
      </c>
      <c r="C92" s="20">
        <f t="shared" si="4"/>
        <v>1</v>
      </c>
      <c r="E92" s="20" t="s">
        <v>110</v>
      </c>
      <c r="F92" s="20" t="str">
        <f>VLOOKUP(G92,'#TID_base_up'!B:C,2,0)</f>
        <v>琼恩</v>
      </c>
      <c r="G92" s="20" t="s">
        <v>144</v>
      </c>
      <c r="H92" s="20" t="s">
        <v>112</v>
      </c>
      <c r="I92" s="20" t="s">
        <v>242</v>
      </c>
      <c r="J92" s="20" t="s">
        <v>337</v>
      </c>
      <c r="T92" s="20">
        <v>1</v>
      </c>
      <c r="U92" s="20">
        <v>2</v>
      </c>
      <c r="V92" s="20">
        <v>0</v>
      </c>
      <c r="X92" s="20">
        <v>1006</v>
      </c>
      <c r="Y92" s="20" t="b">
        <v>0</v>
      </c>
      <c r="Z92" s="95" t="s">
        <v>338</v>
      </c>
      <c r="AA92" s="20" t="b">
        <v>0</v>
      </c>
      <c r="AD92" s="20">
        <v>7.8506669998168901</v>
      </c>
      <c r="AE92" s="82">
        <v>8.85</v>
      </c>
      <c r="AF92" s="82"/>
      <c r="AG92" s="82"/>
      <c r="AH92" s="82">
        <v>0.1</v>
      </c>
      <c r="AJ92" s="82"/>
      <c r="AK92" s="82"/>
      <c r="AL92" s="82">
        <v>10</v>
      </c>
      <c r="AT92" s="20" t="str">
        <f t="shared" si="3"/>
        <v>啊！不，我不能倒下……我不能……</v>
      </c>
      <c r="AU92" s="20" t="s">
        <v>339</v>
      </c>
    </row>
    <row r="93" spans="1:47">
      <c r="A93" s="20">
        <v>11024</v>
      </c>
      <c r="C93" s="20">
        <f t="shared" si="4"/>
        <v>2</v>
      </c>
      <c r="E93" s="20" t="s">
        <v>110</v>
      </c>
      <c r="F93" s="20" t="str">
        <f>VLOOKUP(G93,'#TID_base_up'!B:C,2,0)</f>
        <v>伯特兰</v>
      </c>
      <c r="G93" s="20" t="s">
        <v>156</v>
      </c>
      <c r="H93" s="20" t="s">
        <v>112</v>
      </c>
      <c r="I93" s="20" t="s">
        <v>251</v>
      </c>
      <c r="J93" s="20" t="s">
        <v>340</v>
      </c>
      <c r="T93" s="20">
        <v>1</v>
      </c>
      <c r="U93" s="20">
        <v>2</v>
      </c>
      <c r="V93" s="20">
        <v>0</v>
      </c>
      <c r="X93" s="20">
        <v>1006</v>
      </c>
      <c r="Y93" s="20" t="b">
        <v>0</v>
      </c>
      <c r="Z93" s="95" t="s">
        <v>341</v>
      </c>
      <c r="AA93" s="20" t="b">
        <v>0</v>
      </c>
      <c r="AD93" s="20">
        <v>2.7661669254303001</v>
      </c>
      <c r="AE93" s="82">
        <v>3.77</v>
      </c>
      <c r="AF93" s="82"/>
      <c r="AG93" s="82"/>
      <c r="AH93" s="82">
        <v>0.1</v>
      </c>
      <c r="AJ93" s="82"/>
      <c r="AK93" s="82"/>
      <c r="AL93" s="82">
        <v>10</v>
      </c>
      <c r="AT93" s="20" t="str">
        <f t="shared" si="3"/>
        <v>女士，坚持住！法兰西还等着你呢！</v>
      </c>
      <c r="AU93" s="20" t="s">
        <v>342</v>
      </c>
    </row>
    <row r="94" spans="1:47">
      <c r="A94" s="20">
        <v>11025</v>
      </c>
      <c r="C94" s="20">
        <f t="shared" si="4"/>
        <v>1</v>
      </c>
      <c r="E94" s="20" t="s">
        <v>110</v>
      </c>
      <c r="F94" s="20" t="str">
        <f>VLOOKUP(G94,'#TID_base_up'!B:C,2,0)</f>
        <v>德·梅斯</v>
      </c>
      <c r="G94" s="20" t="s">
        <v>153</v>
      </c>
      <c r="H94" s="20" t="s">
        <v>112</v>
      </c>
      <c r="I94" s="20" t="s">
        <v>284</v>
      </c>
      <c r="J94" s="20" t="s">
        <v>343</v>
      </c>
      <c r="T94" s="20">
        <v>1</v>
      </c>
      <c r="U94" s="20">
        <v>2</v>
      </c>
      <c r="V94" s="20">
        <v>0</v>
      </c>
      <c r="X94" s="20">
        <v>1006</v>
      </c>
      <c r="Y94" s="20" t="b">
        <v>0</v>
      </c>
      <c r="Z94" s="95" t="s">
        <v>344</v>
      </c>
      <c r="AA94" s="20" t="b">
        <v>0</v>
      </c>
      <c r="AD94" s="20">
        <v>5.6106672286987296</v>
      </c>
      <c r="AE94" s="82">
        <v>6.61</v>
      </c>
      <c r="AF94" s="82"/>
      <c r="AG94" s="82"/>
      <c r="AH94" s="82">
        <v>0.1</v>
      </c>
      <c r="AJ94" s="82"/>
      <c r="AK94" s="82"/>
      <c r="AL94" s="82">
        <v>10</v>
      </c>
      <c r="AT94" s="20" t="str">
        <f t="shared" si="3"/>
        <v>法兰西有没有在等我不知道，眼前的英国佬倒真是在“等我们”！</v>
      </c>
      <c r="AU94" s="20" t="s">
        <v>345</v>
      </c>
    </row>
    <row r="95" spans="1:47">
      <c r="A95" s="20">
        <v>11026</v>
      </c>
      <c r="C95" s="20">
        <f t="shared" si="4"/>
        <v>1</v>
      </c>
      <c r="E95" s="20" t="s">
        <v>110</v>
      </c>
      <c r="F95" s="20" t="str">
        <f>VLOOKUP(G95,'#TID_base_up'!B:C,2,0)</f>
        <v>精英弓兵</v>
      </c>
      <c r="G95" s="20" t="s">
        <v>346</v>
      </c>
      <c r="H95" s="20" t="s">
        <v>112</v>
      </c>
      <c r="I95" s="20" t="s">
        <v>246</v>
      </c>
      <c r="J95" s="20" t="s">
        <v>347</v>
      </c>
      <c r="T95" s="20">
        <v>1</v>
      </c>
      <c r="U95" s="20">
        <v>3</v>
      </c>
      <c r="V95" s="20">
        <v>0</v>
      </c>
      <c r="X95" s="20">
        <v>1006</v>
      </c>
      <c r="Y95" s="20" t="b">
        <v>0</v>
      </c>
      <c r="Z95" s="95" t="s">
        <v>348</v>
      </c>
      <c r="AA95" s="20" t="b">
        <v>0</v>
      </c>
      <c r="AD95" s="20">
        <v>2.44266700744629</v>
      </c>
      <c r="AE95" s="82">
        <v>3.44</v>
      </c>
      <c r="AF95" s="82"/>
      <c r="AG95" s="82"/>
      <c r="AH95" s="82">
        <v>0.1</v>
      </c>
      <c r="AJ95" s="82"/>
      <c r="AK95" s="82"/>
      <c r="AL95" s="82">
        <v>10</v>
      </c>
      <c r="AT95" s="20" t="str">
        <f t="shared" si="3"/>
        <v>瞄准那个女孩！她才是主要目标！</v>
      </c>
      <c r="AU95" s="20" t="s">
        <v>349</v>
      </c>
    </row>
    <row r="96" spans="1:47">
      <c r="A96" s="20">
        <v>11027</v>
      </c>
      <c r="C96" s="20">
        <f t="shared" si="4"/>
        <v>1</v>
      </c>
      <c r="E96" s="20" t="s">
        <v>110</v>
      </c>
      <c r="F96" s="20" t="str">
        <f>VLOOKUP(G96,'#TID_base_up'!B:C,2,0)</f>
        <v>伯特兰</v>
      </c>
      <c r="G96" s="20" t="s">
        <v>156</v>
      </c>
      <c r="H96" s="20" t="s">
        <v>112</v>
      </c>
      <c r="I96" s="20" t="s">
        <v>251</v>
      </c>
      <c r="J96" s="20" t="s">
        <v>350</v>
      </c>
      <c r="T96" s="20">
        <v>1</v>
      </c>
      <c r="U96" s="20">
        <v>3</v>
      </c>
      <c r="V96" s="20">
        <v>0</v>
      </c>
      <c r="X96" s="20">
        <v>1006</v>
      </c>
      <c r="Y96" s="20" t="b">
        <v>0</v>
      </c>
      <c r="Z96" s="95" t="s">
        <v>351</v>
      </c>
      <c r="AA96" s="20" t="b">
        <v>0</v>
      </c>
      <c r="AD96" s="20">
        <v>2.9833331108093302</v>
      </c>
      <c r="AE96" s="82">
        <v>3.98</v>
      </c>
      <c r="AF96" s="82"/>
      <c r="AG96" s="82"/>
      <c r="AH96" s="82">
        <v>0.1</v>
      </c>
      <c r="AJ96" s="82"/>
      <c r="AK96" s="82"/>
      <c r="AL96" s="82">
        <v>10</v>
      </c>
      <c r="AT96" s="20" t="str">
        <f t="shared" si="3"/>
        <v>那个弓兵正在瞄准琼恩，不能让他得逞！</v>
      </c>
      <c r="AU96" s="20" t="s">
        <v>352</v>
      </c>
    </row>
    <row r="97" spans="1:47">
      <c r="A97" s="20">
        <v>11028</v>
      </c>
      <c r="C97" s="20">
        <f t="shared" si="4"/>
        <v>1</v>
      </c>
      <c r="E97" s="20" t="s">
        <v>110</v>
      </c>
      <c r="F97" s="20" t="str">
        <f>VLOOKUP(G97,'#TID_base_up'!B:C,2,0)</f>
        <v>伯特兰</v>
      </c>
      <c r="G97" s="20" t="s">
        <v>156</v>
      </c>
      <c r="H97" s="20" t="s">
        <v>112</v>
      </c>
      <c r="I97" s="20" t="s">
        <v>251</v>
      </c>
      <c r="J97" s="20" t="s">
        <v>353</v>
      </c>
      <c r="T97" s="20">
        <v>1</v>
      </c>
      <c r="U97" s="20">
        <v>2</v>
      </c>
      <c r="V97" s="20">
        <v>0</v>
      </c>
      <c r="X97" s="20">
        <v>1006</v>
      </c>
      <c r="Y97" s="20" t="b">
        <v>0</v>
      </c>
      <c r="Z97" s="95" t="s">
        <v>354</v>
      </c>
      <c r="AA97" s="20" t="b">
        <v>0</v>
      </c>
      <c r="AD97" s="20">
        <v>3.3680000305175799</v>
      </c>
      <c r="AE97" s="82">
        <v>4.37</v>
      </c>
      <c r="AF97" s="82"/>
      <c r="AG97" s="82"/>
      <c r="AH97" s="82">
        <v>0.1</v>
      </c>
      <c r="AJ97" s="82"/>
      <c r="AK97" s="82"/>
      <c r="AL97" s="82">
        <v>10</v>
      </c>
      <c r="AT97" s="20" t="str">
        <f t="shared" si="3"/>
        <v>点击施放眩晕技能，优先针对高威胁目标。</v>
      </c>
      <c r="AU97" s="20" t="s">
        <v>355</v>
      </c>
    </row>
    <row r="98" spans="1:47">
      <c r="A98" s="20">
        <v>11029</v>
      </c>
      <c r="C98" s="20">
        <f t="shared" si="4"/>
        <v>1</v>
      </c>
      <c r="E98" s="20" t="s">
        <v>110</v>
      </c>
      <c r="F98" s="20" t="str">
        <f>VLOOKUP(G98,'#TID_base_up'!B:C,2,0)</f>
        <v>德·梅斯</v>
      </c>
      <c r="G98" s="20" t="s">
        <v>153</v>
      </c>
      <c r="H98" s="20" t="s">
        <v>112</v>
      </c>
      <c r="I98" s="20" t="s">
        <v>284</v>
      </c>
      <c r="J98" s="20" t="s">
        <v>356</v>
      </c>
      <c r="T98" s="20">
        <v>1</v>
      </c>
      <c r="U98" s="20">
        <v>2</v>
      </c>
      <c r="V98" s="20">
        <v>0</v>
      </c>
      <c r="X98" s="20">
        <v>1006</v>
      </c>
      <c r="Y98" s="20" t="b">
        <v>0</v>
      </c>
      <c r="Z98" s="95" t="s">
        <v>357</v>
      </c>
      <c r="AA98" s="20" t="b">
        <v>0</v>
      </c>
      <c r="AD98" s="20">
        <v>3.5413329601287802</v>
      </c>
      <c r="AE98" s="82">
        <v>4.54</v>
      </c>
      <c r="AF98" s="82"/>
      <c r="AG98" s="82"/>
      <c r="AH98" s="82">
        <v>0.1</v>
      </c>
      <c r="AJ98" s="82"/>
      <c r="AK98" s="82"/>
      <c r="AL98" s="82">
        <v>10</v>
      </c>
      <c r="AT98" s="20" t="str">
        <f t="shared" si="3"/>
        <v>英国佬的“欢迎仪式”越来越“热情”了！</v>
      </c>
      <c r="AU98" s="20" t="s">
        <v>358</v>
      </c>
    </row>
    <row r="99" spans="1:47">
      <c r="A99" s="20">
        <v>11030</v>
      </c>
      <c r="C99" s="20">
        <f t="shared" si="4"/>
        <v>1</v>
      </c>
      <c r="E99" s="20" t="s">
        <v>110</v>
      </c>
      <c r="F99" s="20" t="str">
        <f>VLOOKUP(G99,'#TID_base_up'!B:C,2,0)</f>
        <v>德·梅斯</v>
      </c>
      <c r="G99" s="20" t="s">
        <v>153</v>
      </c>
      <c r="H99" s="20" t="s">
        <v>112</v>
      </c>
      <c r="I99" s="20" t="s">
        <v>284</v>
      </c>
      <c r="J99" s="20" t="s">
        <v>359</v>
      </c>
      <c r="T99" s="20">
        <v>1</v>
      </c>
      <c r="U99" s="20">
        <v>3</v>
      </c>
      <c r="V99" s="20">
        <v>0</v>
      </c>
      <c r="X99" s="20">
        <v>1006</v>
      </c>
      <c r="Y99" s="20" t="b">
        <v>0</v>
      </c>
      <c r="Z99" s="95" t="s">
        <v>360</v>
      </c>
      <c r="AA99" s="20" t="b">
        <v>0</v>
      </c>
      <c r="AD99" s="20">
        <v>6.3439998626709002</v>
      </c>
      <c r="AE99" s="82">
        <v>7.34</v>
      </c>
      <c r="AF99" s="82"/>
      <c r="AG99" s="82"/>
      <c r="AH99" s="82">
        <v>0.1</v>
      </c>
      <c r="AJ99" s="82"/>
      <c r="AK99" s="82"/>
      <c r="AL99" s="82">
        <v>10</v>
      </c>
      <c r="AT99" s="20" t="str">
        <f t="shared" si="3"/>
        <v>伯特兰，如果我死了，记得把我靴子里的私房钱拿走！可不能留给这群英国佬！</v>
      </c>
      <c r="AU99" s="20" t="s">
        <v>361</v>
      </c>
    </row>
    <row r="100" spans="1:47">
      <c r="A100" s="20">
        <v>11031</v>
      </c>
      <c r="C100" s="20">
        <f t="shared" si="4"/>
        <v>1</v>
      </c>
      <c r="E100" s="20" t="s">
        <v>110</v>
      </c>
      <c r="F100" s="20" t="str">
        <f>VLOOKUP(G100,'#TID_base_up'!B:C,2,0)</f>
        <v>伯特兰</v>
      </c>
      <c r="G100" s="20" t="s">
        <v>156</v>
      </c>
      <c r="H100" s="20" t="s">
        <v>112</v>
      </c>
      <c r="I100" s="20" t="s">
        <v>251</v>
      </c>
      <c r="J100" s="20" t="s">
        <v>362</v>
      </c>
      <c r="T100" s="20">
        <v>1</v>
      </c>
      <c r="U100" s="20">
        <v>3</v>
      </c>
      <c r="V100" s="20">
        <v>0</v>
      </c>
      <c r="X100" s="20">
        <v>1006</v>
      </c>
      <c r="Y100" s="20" t="b">
        <v>0</v>
      </c>
      <c r="Z100" s="95" t="s">
        <v>363</v>
      </c>
      <c r="AA100" s="20" t="b">
        <v>0</v>
      </c>
      <c r="AD100" s="20">
        <v>2.9173328876495401</v>
      </c>
      <c r="AE100" s="82">
        <v>3.92</v>
      </c>
      <c r="AF100" s="82"/>
      <c r="AG100" s="82"/>
      <c r="AH100" s="82">
        <v>0.1</v>
      </c>
      <c r="AJ100" s="82"/>
      <c r="AK100" s="82"/>
      <c r="AL100" s="82">
        <v>10</v>
      </c>
      <c r="AT100" s="20" t="str">
        <f t="shared" si="3"/>
        <v>哦，德·梅斯，你闭嘴吧！</v>
      </c>
      <c r="AU100" s="20" t="s">
        <v>364</v>
      </c>
    </row>
    <row r="101" spans="1:47">
      <c r="A101" s="20">
        <v>11032</v>
      </c>
      <c r="C101" s="20">
        <f t="shared" si="4"/>
        <v>1</v>
      </c>
      <c r="E101" s="20" t="s">
        <v>110</v>
      </c>
      <c r="F101" s="20" t="str">
        <f>VLOOKUP(G101,'#TID_base_up'!B:C,2,0)</f>
        <v>伯特兰</v>
      </c>
      <c r="G101" s="20" t="s">
        <v>156</v>
      </c>
      <c r="H101" s="20" t="s">
        <v>112</v>
      </c>
      <c r="I101" s="20" t="s">
        <v>251</v>
      </c>
      <c r="J101" s="20" t="s">
        <v>365</v>
      </c>
      <c r="T101" s="20">
        <v>1</v>
      </c>
      <c r="U101" s="20">
        <v>2</v>
      </c>
      <c r="V101" s="20">
        <v>0</v>
      </c>
      <c r="X101" s="20">
        <v>1006</v>
      </c>
      <c r="Y101" s="20" t="b">
        <v>0</v>
      </c>
      <c r="Z101" s="95" t="s">
        <v>366</v>
      </c>
      <c r="AA101" s="20" t="b">
        <v>0</v>
      </c>
      <c r="AD101" s="20">
        <v>1.89791703224182</v>
      </c>
      <c r="AE101" s="82">
        <v>2.9</v>
      </c>
      <c r="AF101" s="82"/>
      <c r="AG101" s="82"/>
      <c r="AH101" s="82">
        <v>0.1</v>
      </c>
      <c r="AJ101" s="82"/>
      <c r="AK101" s="82"/>
      <c r="AL101" s="82">
        <v>10</v>
      </c>
      <c r="AT101" s="20" t="str">
        <f t="shared" si="3"/>
        <v>坚持住，琼恩，就快到了。</v>
      </c>
      <c r="AU101" s="20" t="s">
        <v>367</v>
      </c>
    </row>
    <row r="102" spans="1:47">
      <c r="A102" s="20">
        <v>11032</v>
      </c>
      <c r="C102" s="20">
        <f t="shared" si="4"/>
        <v>2</v>
      </c>
      <c r="E102" s="20" t="s">
        <v>110</v>
      </c>
      <c r="F102" s="20" t="str">
        <f>VLOOKUP(G102,'#TID_base_up'!B:C,2,0)</f>
        <v>琼恩</v>
      </c>
      <c r="G102" s="20" t="s">
        <v>144</v>
      </c>
      <c r="H102" s="20" t="s">
        <v>112</v>
      </c>
      <c r="I102" s="20" t="s">
        <v>242</v>
      </c>
      <c r="J102" s="20" t="s">
        <v>368</v>
      </c>
      <c r="T102" s="20">
        <v>1</v>
      </c>
      <c r="U102" s="20">
        <v>2</v>
      </c>
      <c r="V102" s="20">
        <v>0</v>
      </c>
      <c r="X102" s="20">
        <v>1006</v>
      </c>
      <c r="Y102" s="20" t="b">
        <v>0</v>
      </c>
      <c r="Z102" s="95" t="s">
        <v>369</v>
      </c>
      <c r="AA102" s="20" t="b">
        <v>0</v>
      </c>
      <c r="AD102" s="20">
        <v>4.7215619087219203</v>
      </c>
      <c r="AE102" s="82">
        <v>5.72</v>
      </c>
      <c r="AF102" s="82"/>
      <c r="AG102" s="82"/>
      <c r="AH102" s="82">
        <v>0.1</v>
      </c>
      <c r="AJ102" s="82"/>
      <c r="AK102" s="82"/>
      <c r="AL102" s="82">
        <v>10</v>
      </c>
      <c r="AT102" s="20" t="str">
        <f t="shared" si="3"/>
        <v>我……没事，继续前进吧。</v>
      </c>
      <c r="AU102" s="20" t="s">
        <v>370</v>
      </c>
    </row>
    <row r="103" spans="1:47">
      <c r="A103" s="20">
        <v>11033</v>
      </c>
      <c r="C103" s="20">
        <f t="shared" si="4"/>
        <v>1</v>
      </c>
      <c r="E103" s="20" t="s">
        <v>110</v>
      </c>
      <c r="F103" s="20" t="str">
        <f>VLOOKUP(G103,'#TID_base_up'!B:C,2,0)</f>
        <v>伯特兰</v>
      </c>
      <c r="G103" s="20" t="s">
        <v>156</v>
      </c>
      <c r="H103" s="20" t="s">
        <v>112</v>
      </c>
      <c r="I103" s="20" t="s">
        <v>251</v>
      </c>
      <c r="J103" s="20" t="s">
        <v>371</v>
      </c>
      <c r="T103" s="20">
        <v>1</v>
      </c>
      <c r="U103" s="20">
        <v>3</v>
      </c>
      <c r="V103" s="20">
        <v>0</v>
      </c>
      <c r="X103" s="20">
        <v>1006</v>
      </c>
      <c r="Y103" s="20" t="b">
        <v>0</v>
      </c>
      <c r="Z103" s="95" t="s">
        <v>372</v>
      </c>
      <c r="AA103" s="20" t="b">
        <v>0</v>
      </c>
      <c r="AD103" s="20">
        <v>1.40625</v>
      </c>
      <c r="AE103" s="82">
        <v>2.41</v>
      </c>
      <c r="AF103" s="82"/>
      <c r="AG103" s="82"/>
      <c r="AH103" s="82">
        <v>0.1</v>
      </c>
      <c r="AJ103" s="82"/>
      <c r="AK103" s="82"/>
      <c r="AL103" s="82">
        <v>10</v>
      </c>
      <c r="AT103" s="20" t="str">
        <f t="shared" si="3"/>
        <v>我们不会被轻易打败。</v>
      </c>
      <c r="AU103" s="20" t="s">
        <v>373</v>
      </c>
    </row>
    <row r="104" spans="1:47">
      <c r="A104" s="20">
        <v>11034</v>
      </c>
      <c r="C104" s="20">
        <f t="shared" si="4"/>
        <v>1</v>
      </c>
      <c r="D104" s="20" t="s">
        <v>374</v>
      </c>
      <c r="E104" s="20" t="s">
        <v>110</v>
      </c>
      <c r="F104" s="20" t="str">
        <f>VLOOKUP(G104,'#TID_base_up'!B:C,2,0)</f>
        <v>萨佛克伯爵</v>
      </c>
      <c r="G104" s="20" t="s">
        <v>217</v>
      </c>
      <c r="H104" s="20" t="s">
        <v>112</v>
      </c>
      <c r="I104" s="20" t="s">
        <v>246</v>
      </c>
      <c r="J104" s="20" t="s">
        <v>375</v>
      </c>
      <c r="T104" s="20">
        <v>1</v>
      </c>
      <c r="U104" s="20">
        <v>2</v>
      </c>
      <c r="V104" s="20">
        <v>0</v>
      </c>
      <c r="X104" s="20">
        <v>1006</v>
      </c>
      <c r="Y104" s="20" t="b">
        <v>0</v>
      </c>
      <c r="Z104" s="95" t="s">
        <v>376</v>
      </c>
      <c r="AA104" s="20" t="b">
        <v>0</v>
      </c>
      <c r="AD104" s="20">
        <v>4.2453331947326696</v>
      </c>
      <c r="AE104" s="82">
        <v>5.25</v>
      </c>
      <c r="AF104" s="82"/>
      <c r="AG104" s="82"/>
      <c r="AH104" s="82">
        <v>0.1</v>
      </c>
      <c r="AJ104" s="82"/>
      <c r="AK104" s="82"/>
      <c r="AL104" s="82">
        <v>10</v>
      </c>
      <c r="AT104" s="20" t="str">
        <f t="shared" si="3"/>
        <v>不错，小丫头，你确实让我印象深刻……</v>
      </c>
      <c r="AU104" s="20" t="s">
        <v>377</v>
      </c>
    </row>
    <row r="105" spans="1:47">
      <c r="A105" s="20">
        <v>11034</v>
      </c>
      <c r="C105" s="20">
        <f t="shared" si="4"/>
        <v>2</v>
      </c>
      <c r="E105" s="20" t="s">
        <v>110</v>
      </c>
      <c r="F105" s="20" t="str">
        <f>VLOOKUP(G105,'#TID_base_up'!B:C,2,0)</f>
        <v>萨佛克伯爵</v>
      </c>
      <c r="G105" s="20" t="s">
        <v>217</v>
      </c>
      <c r="H105" s="20" t="s">
        <v>112</v>
      </c>
      <c r="I105" s="20" t="s">
        <v>246</v>
      </c>
      <c r="J105" s="20" t="s">
        <v>378</v>
      </c>
      <c r="T105" s="20">
        <v>1</v>
      </c>
      <c r="U105" s="20">
        <v>2</v>
      </c>
      <c r="V105" s="20">
        <v>0</v>
      </c>
      <c r="X105" s="20">
        <v>1006</v>
      </c>
      <c r="Y105" s="20" t="b">
        <v>0</v>
      </c>
      <c r="Z105" s="95" t="s">
        <v>379</v>
      </c>
      <c r="AA105" s="20" t="b">
        <v>0</v>
      </c>
      <c r="AD105" s="20">
        <v>3.3573329448699898</v>
      </c>
      <c r="AE105" s="82">
        <v>4.3600000000000003</v>
      </c>
      <c r="AF105" s="82"/>
      <c r="AG105" s="82"/>
      <c r="AH105" s="82">
        <v>0.1</v>
      </c>
      <c r="AJ105" s="82"/>
      <c r="AK105" s="82"/>
      <c r="AL105" s="82">
        <v>10</v>
      </c>
      <c r="AT105" s="20" t="str">
        <f t="shared" si="3"/>
        <v>可惜，到此为止了！</v>
      </c>
      <c r="AU105" s="20" t="s">
        <v>380</v>
      </c>
    </row>
    <row r="106" spans="1:47">
      <c r="A106" s="20">
        <v>11035</v>
      </c>
      <c r="C106" s="20">
        <f t="shared" si="4"/>
        <v>1</v>
      </c>
      <c r="E106" s="20" t="s">
        <v>110</v>
      </c>
      <c r="F106" s="20" t="str">
        <f>VLOOKUP(G106,'#TID_base_up'!B:C,2,0)</f>
        <v>伯特兰</v>
      </c>
      <c r="G106" s="20" t="s">
        <v>156</v>
      </c>
      <c r="H106" s="20" t="s">
        <v>112</v>
      </c>
      <c r="I106" s="20" t="s">
        <v>251</v>
      </c>
      <c r="J106" s="20" t="s">
        <v>381</v>
      </c>
      <c r="T106" s="20">
        <v>1</v>
      </c>
      <c r="U106" s="20">
        <v>3</v>
      </c>
      <c r="V106" s="20">
        <v>0</v>
      </c>
      <c r="X106" s="20">
        <v>1006</v>
      </c>
      <c r="Y106" s="20" t="b">
        <v>0</v>
      </c>
      <c r="Z106" s="95" t="s">
        <v>382</v>
      </c>
      <c r="AA106" s="20" t="b">
        <v>0</v>
      </c>
      <c r="AD106" s="20">
        <v>1.8953330516815201</v>
      </c>
      <c r="AE106" s="82">
        <v>2.9</v>
      </c>
      <c r="AF106" s="82"/>
      <c r="AG106" s="82"/>
      <c r="AH106" s="82">
        <v>0.1</v>
      </c>
      <c r="AJ106" s="82"/>
      <c r="AK106" s="82"/>
      <c r="AL106" s="82">
        <v>10</v>
      </c>
      <c r="AT106" s="20" t="str">
        <f t="shared" si="3"/>
        <v>为了法兰西的荣耀！</v>
      </c>
      <c r="AU106" s="20" t="s">
        <v>383</v>
      </c>
    </row>
    <row r="107" spans="1:47">
      <c r="A107" s="20">
        <v>11036</v>
      </c>
      <c r="C107" s="20">
        <f t="shared" si="4"/>
        <v>1</v>
      </c>
      <c r="E107" s="20" t="s">
        <v>110</v>
      </c>
      <c r="F107" s="20" t="str">
        <f>VLOOKUP(G107,'#TID_base_up'!B:C,2,0)</f>
        <v>德·梅斯</v>
      </c>
      <c r="G107" s="20" t="s">
        <v>153</v>
      </c>
      <c r="H107" s="20" t="s">
        <v>112</v>
      </c>
      <c r="I107" s="20" t="s">
        <v>284</v>
      </c>
      <c r="J107" s="20" t="s">
        <v>384</v>
      </c>
      <c r="T107" s="20">
        <v>1</v>
      </c>
      <c r="U107" s="20">
        <v>3</v>
      </c>
      <c r="V107" s="20">
        <v>0</v>
      </c>
      <c r="X107" s="20">
        <v>1006</v>
      </c>
      <c r="Y107" s="20" t="b">
        <v>0</v>
      </c>
      <c r="Z107" s="95" t="s">
        <v>385</v>
      </c>
      <c r="AA107" s="20" t="b">
        <v>0</v>
      </c>
      <c r="AD107" s="20">
        <v>2.5013329982757599</v>
      </c>
      <c r="AE107" s="82">
        <v>3.5</v>
      </c>
      <c r="AF107" s="82"/>
      <c r="AG107" s="82"/>
      <c r="AH107" s="82">
        <v>0.1</v>
      </c>
      <c r="AJ107" s="82"/>
      <c r="AK107" s="82"/>
      <c r="AL107" s="82">
        <v>10</v>
      </c>
      <c r="AT107" s="20" t="str">
        <f t="shared" si="3"/>
        <v>把这些入侵者丢进海里喂鱼！</v>
      </c>
      <c r="AU107" s="20" t="s">
        <v>386</v>
      </c>
    </row>
    <row r="108" spans="1:47">
      <c r="A108" s="20">
        <v>11037</v>
      </c>
      <c r="C108" s="20">
        <f t="shared" si="4"/>
        <v>1</v>
      </c>
      <c r="E108" s="20" t="s">
        <v>110</v>
      </c>
      <c r="F108" s="20" t="str">
        <f>VLOOKUP(G108,'#TID_base_up'!B:C,2,0)</f>
        <v>萨佛克伯爵</v>
      </c>
      <c r="G108" s="20" t="s">
        <v>217</v>
      </c>
      <c r="H108" s="20" t="s">
        <v>112</v>
      </c>
      <c r="I108" s="20" t="s">
        <v>246</v>
      </c>
      <c r="J108" s="20" t="s">
        <v>387</v>
      </c>
      <c r="T108" s="20">
        <v>1</v>
      </c>
      <c r="U108" s="20">
        <v>3</v>
      </c>
      <c r="V108" s="20">
        <v>0</v>
      </c>
      <c r="X108" s="20">
        <v>1006</v>
      </c>
      <c r="Y108" s="20" t="b">
        <v>0</v>
      </c>
      <c r="Z108" s="95" t="s">
        <v>388</v>
      </c>
      <c r="AA108" s="20" t="b">
        <v>0</v>
      </c>
      <c r="AD108" s="20">
        <v>2.8053328990936302</v>
      </c>
      <c r="AE108" s="82">
        <v>3.81</v>
      </c>
      <c r="AF108" s="82"/>
      <c r="AG108" s="82"/>
      <c r="AH108" s="82">
        <v>0.1</v>
      </c>
      <c r="AJ108" s="82"/>
      <c r="AK108" s="82"/>
      <c r="AL108" s="82">
        <v>10</v>
      </c>
      <c r="AT108" s="20" t="str">
        <f t="shared" si="3"/>
        <v>放弃吧，这徒劳的挣扎。</v>
      </c>
      <c r="AU108" s="20" t="s">
        <v>389</v>
      </c>
    </row>
    <row r="109" spans="1:47">
      <c r="A109" s="20">
        <v>11038</v>
      </c>
      <c r="C109" s="20">
        <f t="shared" si="4"/>
        <v>1</v>
      </c>
      <c r="E109" s="20" t="s">
        <v>110</v>
      </c>
      <c r="F109" s="20" t="str">
        <f>VLOOKUP(G109,'#TID_base_up'!B:C,2,0)</f>
        <v>萨佛克伯爵</v>
      </c>
      <c r="G109" s="20" t="s">
        <v>217</v>
      </c>
      <c r="H109" s="20" t="s">
        <v>112</v>
      </c>
      <c r="I109" s="20" t="s">
        <v>246</v>
      </c>
      <c r="J109" s="20" t="s">
        <v>390</v>
      </c>
      <c r="T109" s="20">
        <v>1</v>
      </c>
      <c r="U109" s="20">
        <v>3</v>
      </c>
      <c r="V109" s="20">
        <v>0</v>
      </c>
      <c r="X109" s="20">
        <v>1006</v>
      </c>
      <c r="Y109" s="20" t="b">
        <v>0</v>
      </c>
      <c r="Z109" s="95" t="s">
        <v>391</v>
      </c>
      <c r="AA109" s="20" t="b">
        <v>0</v>
      </c>
      <c r="AD109" s="20">
        <v>3.3280000686645499</v>
      </c>
      <c r="AE109" s="82">
        <v>4.33</v>
      </c>
      <c r="AF109" s="82"/>
      <c r="AG109" s="82"/>
      <c r="AH109" s="82">
        <v>0.1</v>
      </c>
      <c r="AJ109" s="82"/>
      <c r="AK109" s="82"/>
      <c r="AL109" s="82">
        <v>10</v>
      </c>
      <c r="AT109" s="20" t="str">
        <f t="shared" si="3"/>
        <v>要么跪下！要么死！</v>
      </c>
      <c r="AU109" s="20" t="s">
        <v>392</v>
      </c>
    </row>
    <row r="110" spans="1:47">
      <c r="A110" s="20">
        <v>11039</v>
      </c>
      <c r="C110" s="20">
        <f t="shared" si="4"/>
        <v>1</v>
      </c>
      <c r="E110" s="20" t="s">
        <v>110</v>
      </c>
      <c r="F110" s="20" t="str">
        <f>VLOOKUP(G110,'#TID_base_up'!B:C,2,0)</f>
        <v>萨佛克伯爵</v>
      </c>
      <c r="G110" s="20" t="s">
        <v>217</v>
      </c>
      <c r="H110" s="20" t="s">
        <v>112</v>
      </c>
      <c r="I110" s="20" t="s">
        <v>246</v>
      </c>
      <c r="J110" s="20" t="s">
        <v>393</v>
      </c>
      <c r="T110" s="20">
        <v>1</v>
      </c>
      <c r="U110" s="20">
        <v>3</v>
      </c>
      <c r="V110" s="20">
        <v>0</v>
      </c>
      <c r="X110" s="20">
        <v>1006</v>
      </c>
      <c r="Y110" s="20" t="b">
        <v>0</v>
      </c>
      <c r="Z110" s="95" t="s">
        <v>394</v>
      </c>
      <c r="AA110" s="20" t="b">
        <v>0</v>
      </c>
      <c r="AD110" s="20">
        <v>4.8057918548584002</v>
      </c>
      <c r="AE110" s="82">
        <v>5.81</v>
      </c>
      <c r="AF110" s="82"/>
      <c r="AG110" s="82"/>
      <c r="AH110" s="82">
        <v>0.1</v>
      </c>
      <c r="AJ110" s="82"/>
      <c r="AK110" s="82"/>
      <c r="AL110" s="82">
        <v>10</v>
      </c>
      <c r="AT110" s="20" t="str">
        <f t="shared" si="3"/>
        <v>我会在你颤抖的身影里，仔细品味胜利的滋味！</v>
      </c>
      <c r="AU110" s="20" t="s">
        <v>395</v>
      </c>
    </row>
    <row r="111" spans="1:47">
      <c r="A111" s="20">
        <v>11040</v>
      </c>
      <c r="C111" s="20">
        <f t="shared" si="4"/>
        <v>1</v>
      </c>
      <c r="E111" s="20" t="s">
        <v>110</v>
      </c>
      <c r="F111" s="20" t="str">
        <f>VLOOKUP(G111,'#TID_base_up'!B:C,2,0)</f>
        <v>萨佛克伯爵</v>
      </c>
      <c r="G111" s="20" t="s">
        <v>217</v>
      </c>
      <c r="H111" s="20" t="s">
        <v>112</v>
      </c>
      <c r="I111" s="20" t="s">
        <v>246</v>
      </c>
      <c r="J111" s="20" t="s">
        <v>396</v>
      </c>
      <c r="T111" s="20">
        <v>1</v>
      </c>
      <c r="U111" s="20">
        <v>2</v>
      </c>
      <c r="V111" s="20">
        <v>0</v>
      </c>
      <c r="X111" s="20">
        <v>1006</v>
      </c>
      <c r="Y111" s="20" t="b">
        <v>0</v>
      </c>
      <c r="Z111" s="95" t="s">
        <v>397</v>
      </c>
      <c r="AA111" s="20" t="b">
        <v>0</v>
      </c>
      <c r="AD111" s="20">
        <v>3.1573328971862802</v>
      </c>
      <c r="AE111" s="82">
        <v>4.16</v>
      </c>
      <c r="AF111" s="82"/>
      <c r="AG111" s="82"/>
      <c r="AH111" s="82">
        <v>0.1</v>
      </c>
      <c r="AJ111" s="82"/>
      <c r="AK111" s="82"/>
      <c r="AL111" s="82">
        <v>10</v>
      </c>
      <c r="AT111" s="20" t="str">
        <f t="shared" si="3"/>
        <v>我们奥尔良再见吧！小丫头！</v>
      </c>
      <c r="AU111" s="20" t="s">
        <v>398</v>
      </c>
    </row>
    <row r="112" spans="1:47">
      <c r="A112" s="20">
        <v>11040</v>
      </c>
      <c r="C112" s="20">
        <f t="shared" si="4"/>
        <v>2</v>
      </c>
      <c r="E112" s="20" t="s">
        <v>110</v>
      </c>
      <c r="F112" s="20" t="str">
        <f>VLOOKUP(G112,'#TID_base_up'!B:C,2,0)</f>
        <v>德·梅斯</v>
      </c>
      <c r="G112" s="20" t="s">
        <v>153</v>
      </c>
      <c r="H112" s="20" t="s">
        <v>112</v>
      </c>
      <c r="I112" s="20" t="s">
        <v>284</v>
      </c>
      <c r="J112" s="20" t="s">
        <v>399</v>
      </c>
      <c r="T112" s="20">
        <v>1</v>
      </c>
      <c r="U112" s="20">
        <v>2</v>
      </c>
      <c r="V112" s="20">
        <v>0</v>
      </c>
      <c r="X112" s="20">
        <v>1006</v>
      </c>
      <c r="Y112" s="20" t="b">
        <v>0</v>
      </c>
      <c r="Z112" s="95" t="s">
        <v>400</v>
      </c>
      <c r="AA112" s="20" t="b">
        <v>0</v>
      </c>
      <c r="AD112" s="20">
        <v>3.9946670532226598</v>
      </c>
      <c r="AE112" s="82">
        <v>4.99</v>
      </c>
      <c r="AF112" s="82"/>
      <c r="AG112" s="82"/>
      <c r="AH112" s="82">
        <v>0.1</v>
      </c>
      <c r="AJ112" s="82"/>
      <c r="AK112" s="82"/>
      <c r="AL112" s="82">
        <v>10</v>
      </c>
      <c r="AT112" s="20" t="str">
        <f t="shared" si="3"/>
        <v>终于到了！齐侬的美酒在等我们！</v>
      </c>
      <c r="AU112" s="20" t="s">
        <v>401</v>
      </c>
    </row>
    <row r="113" spans="1:50">
      <c r="A113" s="20">
        <v>11041</v>
      </c>
      <c r="C113" s="20">
        <v>0</v>
      </c>
      <c r="E113" s="20" t="s">
        <v>110</v>
      </c>
      <c r="F113" s="20" t="str">
        <f>VLOOKUP(G113,'#TID_base_up'!B:C,2,0)</f>
        <v>剧情报幕开始</v>
      </c>
      <c r="G113" s="20" t="s">
        <v>402</v>
      </c>
      <c r="J113" s="20" t="s">
        <v>403</v>
      </c>
      <c r="T113" s="20">
        <v>1</v>
      </c>
      <c r="U113" s="20">
        <v>0</v>
      </c>
      <c r="V113" s="20">
        <v>0</v>
      </c>
      <c r="X113" s="20">
        <v>1006</v>
      </c>
      <c r="Y113" s="20" t="b">
        <v>0</v>
      </c>
      <c r="Z113" s="20" t="s">
        <v>404</v>
      </c>
      <c r="AA113" s="20" t="b">
        <v>0</v>
      </c>
      <c r="AD113" s="20">
        <v>13.425499916076699</v>
      </c>
      <c r="AE113" s="82">
        <v>14.43</v>
      </c>
      <c r="AF113" s="82"/>
      <c r="AG113" s="82"/>
      <c r="AH113" s="82">
        <v>0.1</v>
      </c>
      <c r="AJ113" s="82"/>
      <c r="AK113" s="82"/>
      <c r="AL113" s="82">
        <v>10</v>
      </c>
      <c r="AT113" s="20" t="str">
        <f t="shared" si="3"/>
        <v>自阿金库尔战役惨败以来，英军几乎占领了法兰西的整个北部。
在民族存亡的巨大危机面前，一位普通的少女站了出来……</v>
      </c>
      <c r="AU113" s="20" t="s">
        <v>405</v>
      </c>
      <c r="AV113" s="78"/>
    </row>
    <row r="114" spans="1:50">
      <c r="A114" s="20">
        <v>11042</v>
      </c>
      <c r="C114" s="20">
        <v>0</v>
      </c>
      <c r="E114" s="20" t="s">
        <v>110</v>
      </c>
      <c r="F114" s="20" t="str">
        <f>VLOOKUP(G114,'#TID_base_up'!B:C,2,0)</f>
        <v>剧情报幕结束</v>
      </c>
      <c r="G114" s="20" t="s">
        <v>406</v>
      </c>
      <c r="J114" s="20" t="s">
        <v>407</v>
      </c>
      <c r="T114" s="20">
        <v>1</v>
      </c>
      <c r="U114" s="20">
        <v>0</v>
      </c>
      <c r="V114" s="20">
        <v>0</v>
      </c>
      <c r="X114" s="20">
        <v>1006</v>
      </c>
      <c r="Y114" s="20" t="b">
        <v>0</v>
      </c>
      <c r="Z114" s="20" t="s">
        <v>408</v>
      </c>
      <c r="AA114" s="20" t="b">
        <v>0</v>
      </c>
      <c r="AD114" s="20">
        <v>14.938666343689</v>
      </c>
      <c r="AE114" s="82">
        <v>15.94</v>
      </c>
      <c r="AF114" s="82"/>
      <c r="AG114" s="82"/>
      <c r="AH114" s="82">
        <v>0.1</v>
      </c>
      <c r="AJ114" s="82"/>
      <c r="AK114" s="82"/>
      <c r="AL114" s="82">
        <v>10</v>
      </c>
      <c r="AT114" s="20" t="str">
        <f t="shared" si="3"/>
        <v>琼恩站在皇太子面前，周边的窃窃私语并没有让她感到惶恐，人们怀疑的目光也没有让她退缩。
因为她知道，自己就站在正确的道路之上。</v>
      </c>
      <c r="AU114" s="20" t="s">
        <v>409</v>
      </c>
      <c r="AV114" s="78"/>
    </row>
    <row r="115" spans="1:50" s="48" customFormat="1" ht="28">
      <c r="A115" s="48">
        <v>41001</v>
      </c>
      <c r="B115" s="48" t="s">
        <v>410</v>
      </c>
      <c r="C115" s="48">
        <v>1</v>
      </c>
      <c r="D115" s="48" t="s">
        <v>411</v>
      </c>
      <c r="E115" s="48" t="s">
        <v>412</v>
      </c>
      <c r="F115" s="20" t="str">
        <f>VLOOKUP(G115,'#TID_base_up'!B:C,2,0)</f>
        <v>尤里乌斯</v>
      </c>
      <c r="G115" s="48" t="s">
        <v>413</v>
      </c>
      <c r="H115" s="48" t="str">
        <f>VLOOKUP($G115,'#对话模型配置'!$A:$W,MATCH(对话配置表!H$2,'#对话模型配置'!$1:$1,0))</f>
        <v>altasPath</v>
      </c>
      <c r="I115" s="48" t="str">
        <f>VLOOKUP($G115,'#对话模型配置'!$A:$W,MATCH(对话配置表!I$2,'#对话模型配置'!$1:$1,0))</f>
        <v>picture</v>
      </c>
      <c r="J115" s="48" t="s">
        <v>414</v>
      </c>
      <c r="K115" s="84" t="str">
        <f t="shared" ref="K115:K132" si="5">AT115</f>
        <v>领主大人，&lt;color=#FFCC71&gt;城门已被蛮族攻破&lt;/color&gt;！再不快点，陛下恐怕要不行了。</v>
      </c>
      <c r="T115" s="48">
        <v>1</v>
      </c>
      <c r="U115" s="48">
        <v>1</v>
      </c>
      <c r="V115" s="48">
        <v>0</v>
      </c>
      <c r="X115" s="48">
        <v>3</v>
      </c>
      <c r="Y115" s="48" t="b">
        <v>0</v>
      </c>
      <c r="Z115" s="48" t="s">
        <v>415</v>
      </c>
      <c r="AA115" s="48" t="b">
        <v>0</v>
      </c>
      <c r="AC115" s="48">
        <v>20001007</v>
      </c>
      <c r="AD115" s="48">
        <v>5.5626668930053702</v>
      </c>
      <c r="AE115" s="48">
        <v>6.56</v>
      </c>
      <c r="AH115" s="48">
        <v>1.5</v>
      </c>
      <c r="AL115" s="48">
        <v>25</v>
      </c>
      <c r="AM115" s="48">
        <f>VLOOKUP($F115,'#对话模型配置'!$A:$W,MATCH(对话配置表!AM$2,'#对话模型配置'!$1:$1,0),FALSE)</f>
        <v>20001003</v>
      </c>
      <c r="AN115" s="48" t="s">
        <v>416</v>
      </c>
      <c r="AT115" s="48" t="str">
        <f t="shared" si="3"/>
        <v>领主大人，&lt;color=#FFCC71&gt;城门已被蛮族攻破&lt;/color&gt;！再不快点，陛下恐怕要不行了。</v>
      </c>
      <c r="AU115" s="48" t="s">
        <v>417</v>
      </c>
      <c r="AW115" s="48" t="s">
        <v>418</v>
      </c>
    </row>
    <row r="116" spans="1:50" s="48" customFormat="1" ht="42">
      <c r="A116" s="48">
        <v>41002</v>
      </c>
      <c r="B116" s="48" t="s">
        <v>410</v>
      </c>
      <c r="C116" s="48">
        <v>1</v>
      </c>
      <c r="D116" s="48" t="s">
        <v>411</v>
      </c>
      <c r="E116" s="48" t="s">
        <v>412</v>
      </c>
      <c r="F116" s="20" t="str">
        <f>VLOOKUP(G116,'#TID_base_up'!B:C,2,0)</f>
        <v>尤里乌斯</v>
      </c>
      <c r="G116" s="48" t="s">
        <v>413</v>
      </c>
      <c r="H116" s="48" t="str">
        <f>VLOOKUP($G116,'#对话模型配置'!$A:$W,MATCH(对话配置表!H$2,'#对话模型配置'!$1:$1,0))</f>
        <v>altasPath</v>
      </c>
      <c r="I116" s="48" t="str">
        <f>VLOOKUP($G116,'#对话模型配置'!$A:$W,MATCH(对话配置表!I$2,'#对话模型配置'!$1:$1,0))</f>
        <v>picture</v>
      </c>
      <c r="J116" s="48" t="s">
        <v>419</v>
      </c>
      <c r="K116" s="84" t="str">
        <f t="shared" si="5"/>
        <v>这些&lt;color=#FFCC71&gt;野蛮人&lt;/color&gt;竟然也懂得&lt;color=#FFCC71&gt;封锁道路&lt;/color&gt;，看来是有两下子，我们得绕着走。</v>
      </c>
      <c r="T116" s="48">
        <v>1</v>
      </c>
      <c r="U116" s="48">
        <v>1</v>
      </c>
      <c r="V116" s="48">
        <v>0</v>
      </c>
      <c r="X116" s="48">
        <v>3</v>
      </c>
      <c r="Y116" s="48" t="b">
        <v>0</v>
      </c>
      <c r="Z116" s="48" t="s">
        <v>420</v>
      </c>
      <c r="AA116" s="48" t="b">
        <v>0</v>
      </c>
      <c r="AC116" s="48">
        <v>20001008</v>
      </c>
      <c r="AD116" s="48">
        <v>6.1680002212524396</v>
      </c>
      <c r="AE116" s="48">
        <v>7.17</v>
      </c>
      <c r="AH116" s="48">
        <v>1.5</v>
      </c>
      <c r="AL116" s="48">
        <v>25</v>
      </c>
      <c r="AM116" s="48">
        <f>VLOOKUP($F116,'#对话模型配置'!$A:$W,MATCH(对话配置表!AM$2,'#对话模型配置'!$1:$1,0),FALSE)</f>
        <v>20001003</v>
      </c>
      <c r="AN116" s="48" t="s">
        <v>421</v>
      </c>
      <c r="AT116" s="48" t="str">
        <f t="shared" si="3"/>
        <v>这些&lt;color=#FFCC71&gt;野蛮人&lt;/color&gt;竟然也懂得&lt;color=#FFCC71&gt;封锁道路&lt;/color&gt;，看来是有两下子，我们得绕着走。</v>
      </c>
      <c r="AU116" s="48" t="s">
        <v>422</v>
      </c>
      <c r="AW116" s="48" t="s">
        <v>423</v>
      </c>
      <c r="AX116" s="48" t="s">
        <v>424</v>
      </c>
    </row>
    <row r="117" spans="1:50" s="49" customFormat="1" ht="14">
      <c r="A117" s="49">
        <v>41003</v>
      </c>
      <c r="B117" s="49" t="s">
        <v>410</v>
      </c>
      <c r="C117" s="49">
        <v>1</v>
      </c>
      <c r="D117" s="49" t="s">
        <v>411</v>
      </c>
      <c r="E117" s="49" t="s">
        <v>412</v>
      </c>
      <c r="F117" s="20" t="str">
        <f>VLOOKUP(G117,'#TID_base_up'!B:C,2,0)</f>
        <v>帝国斥候</v>
      </c>
      <c r="G117" s="49" t="s">
        <v>425</v>
      </c>
      <c r="H117" s="49" t="str">
        <f>VLOOKUP($G117,'#对话模型配置'!$A:$W,MATCH(对话配置表!H$2,'#对话模型配置'!$1:$1,0))</f>
        <v>altasPath</v>
      </c>
      <c r="I117" s="49" t="str">
        <f>VLOOKUP($G117,'#对话模型配置'!$A:$W,MATCH(对话配置表!I$2,'#对话模型配置'!$1:$1,0))</f>
        <v>picture</v>
      </c>
      <c r="J117" s="49" t="s">
        <v>426</v>
      </c>
      <c r="K117" s="84" t="str">
        <f t="shared" si="5"/>
        <v>放下武器，是友军！太好了，皇城有救了！</v>
      </c>
      <c r="T117" s="49">
        <v>1</v>
      </c>
      <c r="U117" s="49">
        <v>4</v>
      </c>
      <c r="V117" s="49">
        <v>0</v>
      </c>
      <c r="X117" s="49">
        <v>3</v>
      </c>
      <c r="Y117" s="49" t="b">
        <v>1</v>
      </c>
      <c r="Z117" s="49" t="s">
        <v>427</v>
      </c>
      <c r="AA117" s="49" t="b">
        <v>0</v>
      </c>
      <c r="AD117" s="49">
        <v>4.4239997863769496</v>
      </c>
      <c r="AE117" s="49">
        <v>5.42</v>
      </c>
      <c r="AH117" s="49">
        <v>0.1</v>
      </c>
      <c r="AL117" s="48">
        <v>25</v>
      </c>
      <c r="AO117" s="49">
        <v>2</v>
      </c>
      <c r="AQ117" s="49" t="s">
        <v>428</v>
      </c>
      <c r="AT117" s="49" t="str">
        <f t="shared" si="3"/>
        <v>放下武器，是友军！太好了，皇城有救了！</v>
      </c>
      <c r="AU117" s="49" t="s">
        <v>429</v>
      </c>
    </row>
    <row r="118" spans="1:50" s="49" customFormat="1" ht="14">
      <c r="A118" s="49">
        <v>41004</v>
      </c>
      <c r="B118" s="49" t="s">
        <v>410</v>
      </c>
      <c r="C118" s="49">
        <v>1</v>
      </c>
      <c r="D118" s="49" t="s">
        <v>411</v>
      </c>
      <c r="E118" s="49" t="s">
        <v>412</v>
      </c>
      <c r="F118" s="20" t="str">
        <f>VLOOKUP(G118,'#TID_base_up'!B:C,2,0)</f>
        <v>尤里乌斯</v>
      </c>
      <c r="G118" s="49" t="s">
        <v>413</v>
      </c>
      <c r="H118" s="49" t="str">
        <f>VLOOKUP($G118,'#对话模型配置'!$A:$W,MATCH(对话配置表!H$2,'#对话模型配置'!$1:$1,0))</f>
        <v>altasPath</v>
      </c>
      <c r="I118" s="49" t="str">
        <f>VLOOKUP($G118,'#对话模型配置'!$A:$W,MATCH(对话配置表!I$2,'#对话模型配置'!$1:$1,0))</f>
        <v>picture</v>
      </c>
      <c r="J118" s="49" t="s">
        <v>430</v>
      </c>
      <c r="K118" s="84" t="str">
        <f t="shared" si="5"/>
        <v>战士们，跟上部队！陛下还在皇城等着我们！</v>
      </c>
      <c r="T118" s="49">
        <v>1</v>
      </c>
      <c r="U118" s="49">
        <v>4</v>
      </c>
      <c r="V118" s="49">
        <v>0</v>
      </c>
      <c r="X118" s="49">
        <v>3</v>
      </c>
      <c r="Y118" s="49" t="b">
        <v>1</v>
      </c>
      <c r="Z118" s="49" t="s">
        <v>431</v>
      </c>
      <c r="AA118" s="49" t="b">
        <v>0</v>
      </c>
      <c r="AD118" s="49">
        <v>5.2686672210693404</v>
      </c>
      <c r="AE118" s="49">
        <v>6.27</v>
      </c>
      <c r="AH118" s="49">
        <v>0.1</v>
      </c>
      <c r="AL118" s="48">
        <v>25</v>
      </c>
      <c r="AO118" s="49">
        <v>1</v>
      </c>
      <c r="AT118" s="49" t="str">
        <f t="shared" si="3"/>
        <v>战士们，跟上部队！陛下还在皇城等着我们！</v>
      </c>
      <c r="AU118" s="49" t="s">
        <v>432</v>
      </c>
    </row>
    <row r="119" spans="1:50" s="48" customFormat="1" ht="42">
      <c r="A119" s="48">
        <v>41005</v>
      </c>
      <c r="B119" s="48" t="s">
        <v>410</v>
      </c>
      <c r="C119" s="48">
        <v>1</v>
      </c>
      <c r="D119" s="48" t="s">
        <v>411</v>
      </c>
      <c r="E119" s="48" t="s">
        <v>412</v>
      </c>
      <c r="F119" s="20" t="str">
        <f>VLOOKUP(G119,'#TID_base_up'!B:C,2,0)</f>
        <v>尤里乌斯</v>
      </c>
      <c r="G119" s="48" t="s">
        <v>413</v>
      </c>
      <c r="H119" s="48" t="str">
        <f>VLOOKUP($G119,'#对话模型配置'!$A:$W,MATCH(对话配置表!H$2,'#对话模型配置'!$1:$1,0))</f>
        <v>altasPath</v>
      </c>
      <c r="I119" s="48" t="str">
        <f>VLOOKUP($G119,'#对话模型配置'!$A:$W,MATCH(对话配置表!I$2,'#对话模型配置'!$1:$1,0))</f>
        <v>picture</v>
      </c>
      <c r="J119" s="48" t="s">
        <v>433</v>
      </c>
      <c r="K119" s="84" t="str">
        <f t="shared" si="5"/>
        <v>除了&lt;color=#FFCC71&gt;硬刚&lt;/color&gt;，没有其他可走的路了，就让我们这些士兵“热热身”，&lt;color=#FFCC71&gt;拔掉这个关隘&lt;/color&gt;！</v>
      </c>
      <c r="T119" s="48">
        <v>1</v>
      </c>
      <c r="U119" s="48">
        <v>1</v>
      </c>
      <c r="V119" s="48">
        <v>0</v>
      </c>
      <c r="X119" s="48">
        <v>3</v>
      </c>
      <c r="Y119" s="48" t="b">
        <v>1</v>
      </c>
      <c r="Z119" s="48" t="s">
        <v>434</v>
      </c>
      <c r="AA119" s="48" t="b">
        <v>0</v>
      </c>
      <c r="AC119" s="48">
        <v>20001009</v>
      </c>
      <c r="AD119" s="48">
        <v>7.4248957633972203</v>
      </c>
      <c r="AE119" s="48">
        <v>8.42</v>
      </c>
      <c r="AH119" s="48">
        <v>1.5</v>
      </c>
      <c r="AL119" s="48">
        <v>25</v>
      </c>
      <c r="AM119" s="48">
        <f>VLOOKUP($F119,'#对话模型配置'!$A:$W,MATCH(对话配置表!AM$2,'#对话模型配置'!$1:$1,0),FALSE)</f>
        <v>20001003</v>
      </c>
      <c r="AN119" s="48" t="s">
        <v>435</v>
      </c>
      <c r="AT119" s="48" t="str">
        <f t="shared" si="3"/>
        <v>除了&lt;color=#FFCC71&gt;硬刚&lt;/color&gt;，没有其他可走的路了，就让我们这些士兵“热热身”，&lt;color=#FFCC71&gt;拔掉这个关隘&lt;/color&gt;！</v>
      </c>
      <c r="AU119" s="48" t="s">
        <v>436</v>
      </c>
      <c r="AW119" s="48" t="s">
        <v>437</v>
      </c>
      <c r="AX119" s="48" t="s">
        <v>438</v>
      </c>
    </row>
    <row r="120" spans="1:50" s="48" customFormat="1" ht="42">
      <c r="A120" s="48">
        <v>41005</v>
      </c>
      <c r="B120" s="48" t="s">
        <v>410</v>
      </c>
      <c r="C120" s="48">
        <v>2</v>
      </c>
      <c r="D120" s="48" t="s">
        <v>411</v>
      </c>
      <c r="E120" s="48" t="s">
        <v>412</v>
      </c>
      <c r="F120" s="20" t="str">
        <f>VLOOKUP(G120,'#TID_base_up'!B:C,2,0)</f>
        <v>帝国斥候</v>
      </c>
      <c r="G120" s="48" t="s">
        <v>425</v>
      </c>
      <c r="H120" s="48" t="str">
        <f>VLOOKUP($G120,'#对话模型配置'!$A:$W,MATCH(对话配置表!H$2,'#对话模型配置'!$1:$1,0))</f>
        <v>altasPath</v>
      </c>
      <c r="I120" s="48" t="str">
        <f>VLOOKUP($G120,'#对话模型配置'!$A:$W,MATCH(对话配置表!I$2,'#对话模型配置'!$1:$1,0))</f>
        <v>picture</v>
      </c>
      <c r="J120" s="48" t="s">
        <v>439</v>
      </c>
      <c r="K120" s="84" t="str">
        <f t="shared" si="5"/>
        <v>禀告大人，&lt;color=#FFCC71&gt;关隘内部&lt;/color&gt;存放了&lt;color=#FFCC71&gt;大量火药&lt;/color&gt;，只要一点火花，就能把他们炸上天！</v>
      </c>
      <c r="T120" s="48">
        <v>1</v>
      </c>
      <c r="U120" s="48">
        <v>1</v>
      </c>
      <c r="V120" s="48">
        <v>0</v>
      </c>
      <c r="X120" s="48">
        <v>3</v>
      </c>
      <c r="Y120" s="48" t="b">
        <v>0</v>
      </c>
      <c r="Z120" s="48" t="s">
        <v>440</v>
      </c>
      <c r="AA120" s="48" t="b">
        <v>0</v>
      </c>
      <c r="AC120" s="48">
        <v>20001010</v>
      </c>
      <c r="AD120" s="48">
        <v>5.5673332214355504</v>
      </c>
      <c r="AE120" s="48">
        <v>6.57</v>
      </c>
      <c r="AH120" s="48">
        <v>1.5</v>
      </c>
      <c r="AL120" s="48">
        <v>25</v>
      </c>
      <c r="AM120" s="48">
        <f>VLOOKUP($F120,'#对话模型配置'!$A:$W,MATCH(对话配置表!AM$2,'#对话模型配置'!$1:$1,0),FALSE)</f>
        <v>20001001</v>
      </c>
      <c r="AN120" s="48" t="s">
        <v>441</v>
      </c>
      <c r="AT120" s="48" t="str">
        <f t="shared" si="3"/>
        <v>禀告大人，&lt;color=#FFCC71&gt;关隘内部&lt;/color&gt;存放了&lt;color=#FFCC71&gt;大量火药&lt;/color&gt;，只要一点火花，就能把他们炸上天！</v>
      </c>
      <c r="AU120" s="48" t="s">
        <v>442</v>
      </c>
      <c r="AW120" s="48" t="s">
        <v>443</v>
      </c>
      <c r="AX120" s="48" t="s">
        <v>444</v>
      </c>
    </row>
    <row r="121" spans="1:50" s="49" customFormat="1" ht="14">
      <c r="A121" s="49">
        <v>41006</v>
      </c>
      <c r="B121" s="49" t="s">
        <v>410</v>
      </c>
      <c r="C121" s="49">
        <v>1</v>
      </c>
      <c r="D121" s="49" t="s">
        <v>411</v>
      </c>
      <c r="E121" s="49" t="s">
        <v>412</v>
      </c>
      <c r="F121" s="20" t="str">
        <f>VLOOKUP(G121,'#TID_base_up'!B:C,2,0)</f>
        <v>尤里乌斯</v>
      </c>
      <c r="G121" s="49" t="s">
        <v>413</v>
      </c>
      <c r="H121" s="49" t="str">
        <f>VLOOKUP($G121,'#对话模型配置'!$A:$W,MATCH(对话配置表!H$2,'#对话模型配置'!$1:$1,0))</f>
        <v>altasPath</v>
      </c>
      <c r="I121" s="49" t="str">
        <f>VLOOKUP($G121,'#对话模型配置'!$A:$W,MATCH(对话配置表!I$2,'#对话模型配置'!$1:$1,0))</f>
        <v>picture</v>
      </c>
      <c r="J121" s="49" t="s">
        <v>445</v>
      </c>
      <c r="K121" s="84" t="str">
        <f t="shared" si="5"/>
        <v>投石车，发射！让火药炸一会！</v>
      </c>
      <c r="T121" s="49">
        <v>1</v>
      </c>
      <c r="U121" s="49">
        <v>4</v>
      </c>
      <c r="V121" s="49">
        <v>1</v>
      </c>
      <c r="X121" s="49">
        <v>3</v>
      </c>
      <c r="Y121" s="49" t="b">
        <v>1</v>
      </c>
      <c r="Z121" s="49" t="s">
        <v>446</v>
      </c>
      <c r="AA121" s="49" t="b">
        <v>0</v>
      </c>
      <c r="AD121" s="49">
        <v>4.1866660118103001</v>
      </c>
      <c r="AE121" s="49">
        <v>5.19</v>
      </c>
      <c r="AH121" s="49">
        <v>0.1</v>
      </c>
      <c r="AL121" s="48">
        <v>25</v>
      </c>
      <c r="AO121" s="49">
        <v>1</v>
      </c>
      <c r="AT121" s="49" t="str">
        <f t="shared" si="3"/>
        <v>投石车，发射！让火药炸一会！</v>
      </c>
      <c r="AU121" s="49" t="s">
        <v>447</v>
      </c>
    </row>
    <row r="122" spans="1:50" s="49" customFormat="1" ht="14">
      <c r="A122" s="49">
        <v>41007</v>
      </c>
      <c r="B122" s="49" t="s">
        <v>410</v>
      </c>
      <c r="C122" s="49">
        <v>1</v>
      </c>
      <c r="D122" s="49" t="s">
        <v>411</v>
      </c>
      <c r="E122" s="49" t="s">
        <v>412</v>
      </c>
      <c r="F122" s="20" t="str">
        <f>VLOOKUP(G122,'#TID_base_up'!B:C,2,0)</f>
        <v>尤里乌斯</v>
      </c>
      <c r="G122" s="49" t="s">
        <v>413</v>
      </c>
      <c r="H122" s="49" t="str">
        <f>VLOOKUP($G122,'#对话模型配置'!$A:$W,MATCH(对话配置表!H$2,'#对话模型配置'!$1:$1,0))</f>
        <v>altasPath</v>
      </c>
      <c r="I122" s="49" t="str">
        <f>VLOOKUP($G122,'#对话模型配置'!$A:$W,MATCH(对话配置表!I$2,'#对话模型配置'!$1:$1,0))</f>
        <v>picture</v>
      </c>
      <c r="J122" s="49" t="s">
        <v>448</v>
      </c>
      <c r="K122" s="84" t="str">
        <f t="shared" si="5"/>
        <v>利剑出鞘，随我冲锋！重铸荣光，我辈义不容辞！</v>
      </c>
      <c r="T122" s="49">
        <v>1</v>
      </c>
      <c r="U122" s="49">
        <v>4</v>
      </c>
      <c r="V122" s="49">
        <v>1</v>
      </c>
      <c r="X122" s="49">
        <v>3</v>
      </c>
      <c r="Y122" s="49" t="b">
        <v>1</v>
      </c>
      <c r="Z122" s="49" t="s">
        <v>449</v>
      </c>
      <c r="AA122" s="49" t="b">
        <v>1</v>
      </c>
      <c r="AD122" s="49">
        <v>6.7036881446838397</v>
      </c>
      <c r="AE122" s="49">
        <v>7.7</v>
      </c>
      <c r="AH122" s="49">
        <v>0.1</v>
      </c>
      <c r="AL122" s="48">
        <v>25</v>
      </c>
      <c r="AO122" s="49">
        <v>1</v>
      </c>
      <c r="AQ122" s="49" t="s">
        <v>450</v>
      </c>
      <c r="AT122" s="49" t="str">
        <f t="shared" si="3"/>
        <v>利剑出鞘，随我冲锋！重铸荣光，我辈义不容辞！</v>
      </c>
      <c r="AU122" s="49" t="s">
        <v>451</v>
      </c>
    </row>
    <row r="123" spans="1:50" s="49" customFormat="1" ht="14">
      <c r="A123" s="49">
        <v>41008</v>
      </c>
      <c r="B123" s="49" t="s">
        <v>410</v>
      </c>
      <c r="C123" s="49">
        <v>1</v>
      </c>
      <c r="D123" s="49" t="s">
        <v>411</v>
      </c>
      <c r="E123" s="49" t="s">
        <v>412</v>
      </c>
      <c r="F123" s="20" t="str">
        <f>VLOOKUP(G123,'#TID_base_up'!B:C,2,0)</f>
        <v>帝国斥候</v>
      </c>
      <c r="G123" s="49" t="s">
        <v>425</v>
      </c>
      <c r="H123" s="49" t="str">
        <f>VLOOKUP($G123,'#对话模型配置'!$A:$W,MATCH(对话配置表!H$2,'#对话模型配置'!$1:$1,0))</f>
        <v>altasPath</v>
      </c>
      <c r="I123" s="49" t="str">
        <f>VLOOKUP($G123,'#对话模型配置'!$A:$W,MATCH(对话配置表!I$2,'#对话模型配置'!$1:$1,0))</f>
        <v>picture</v>
      </c>
      <c r="J123" s="49" t="s">
        <v>452</v>
      </c>
      <c r="K123" s="84" t="str">
        <f t="shared" si="5"/>
        <v>大人，敌人被打残了！快使用[主将技能]收割他们！</v>
      </c>
      <c r="T123" s="49">
        <v>1</v>
      </c>
      <c r="U123" s="49">
        <v>4</v>
      </c>
      <c r="V123" s="49">
        <v>2</v>
      </c>
      <c r="X123" s="49">
        <v>3</v>
      </c>
      <c r="Y123" s="49" t="b">
        <v>1</v>
      </c>
      <c r="Z123" s="49" t="s">
        <v>453</v>
      </c>
      <c r="AA123" s="49" t="b">
        <v>1</v>
      </c>
      <c r="AD123" s="49">
        <v>4.1075000762939498</v>
      </c>
      <c r="AE123" s="49">
        <v>5.1100000000000003</v>
      </c>
      <c r="AH123" s="49">
        <v>0.1</v>
      </c>
      <c r="AL123" s="48">
        <v>25</v>
      </c>
      <c r="AO123" s="49">
        <v>1</v>
      </c>
      <c r="AQ123" s="49" t="s">
        <v>450</v>
      </c>
      <c r="AT123" s="49" t="str">
        <f t="shared" si="3"/>
        <v>大人，敌人被打残了！快使用[主将技能]收割他们！</v>
      </c>
      <c r="AU123" s="49" t="s">
        <v>454</v>
      </c>
    </row>
    <row r="124" spans="1:50" s="48" customFormat="1" ht="14">
      <c r="A124" s="48">
        <v>41009</v>
      </c>
      <c r="B124" s="48" t="s">
        <v>410</v>
      </c>
      <c r="C124" s="48">
        <v>1</v>
      </c>
      <c r="D124" s="48" t="s">
        <v>411</v>
      </c>
      <c r="E124" s="48" t="s">
        <v>412</v>
      </c>
      <c r="F124" s="20" t="str">
        <f>VLOOKUP(G124,'#TID_base_up'!B:C,2,0)</f>
        <v>帝国斥候</v>
      </c>
      <c r="G124" s="48" t="s">
        <v>425</v>
      </c>
      <c r="H124" s="48" t="str">
        <f>VLOOKUP($G124,'#对话模型配置'!$A:$W,MATCH(对话配置表!H$2,'#对话模型配置'!$1:$1,0))</f>
        <v>altasPath</v>
      </c>
      <c r="I124" s="48" t="str">
        <f>VLOOKUP($G124,'#对话模型配置'!$A:$W,MATCH(对话配置表!I$2,'#对话模型配置'!$1:$1,0))</f>
        <v>picture</v>
      </c>
      <c r="J124" s="48" t="s">
        <v>455</v>
      </c>
      <c r="K124" s="84" t="str">
        <f t="shared" si="5"/>
        <v>撑住！援军快要来了！</v>
      </c>
      <c r="T124" s="48">
        <v>1</v>
      </c>
      <c r="U124" s="48">
        <v>4</v>
      </c>
      <c r="V124" s="48">
        <v>1</v>
      </c>
      <c r="X124" s="48">
        <v>3</v>
      </c>
      <c r="Y124" s="48" t="b">
        <v>0</v>
      </c>
      <c r="Z124" s="48" t="s">
        <v>456</v>
      </c>
      <c r="AA124" s="48" t="b">
        <v>0</v>
      </c>
      <c r="AD124" s="48">
        <v>2.9940550327300999</v>
      </c>
      <c r="AE124" s="48">
        <v>3.99</v>
      </c>
      <c r="AH124" s="48">
        <v>1.5</v>
      </c>
      <c r="AL124" s="48">
        <v>25</v>
      </c>
      <c r="AO124" s="48">
        <v>6</v>
      </c>
      <c r="AQ124" s="48" t="s">
        <v>428</v>
      </c>
      <c r="AT124" s="48" t="str">
        <f t="shared" si="3"/>
        <v>撑住！援军快要来了！</v>
      </c>
      <c r="AU124" s="48" t="s">
        <v>457</v>
      </c>
      <c r="AW124" s="48" t="s">
        <v>458</v>
      </c>
    </row>
    <row r="125" spans="1:50" s="48" customFormat="1" ht="28">
      <c r="A125" s="48">
        <v>41010</v>
      </c>
      <c r="B125" s="48" t="s">
        <v>410</v>
      </c>
      <c r="C125" s="48">
        <v>1</v>
      </c>
      <c r="D125" s="48" t="s">
        <v>411</v>
      </c>
      <c r="E125" s="48" t="s">
        <v>412</v>
      </c>
      <c r="F125" s="20" t="str">
        <f>VLOOKUP(G125,'#TID_base_up'!B:C,2,0)</f>
        <v>帝国斥候</v>
      </c>
      <c r="G125" s="48" t="s">
        <v>425</v>
      </c>
      <c r="H125" s="48" t="str">
        <f>VLOOKUP($G125,'#对话模型配置'!$A:$W,MATCH(对话配置表!H$2,'#对话模型配置'!$1:$1,0))</f>
        <v>altasPath</v>
      </c>
      <c r="I125" s="48" t="str">
        <f>VLOOKUP($G125,'#对话模型配置'!$A:$W,MATCH(对话配置表!I$2,'#对话模型配置'!$1:$1,0))</f>
        <v>picture</v>
      </c>
      <c r="J125" s="48" t="s">
        <v>459</v>
      </c>
      <c r="K125" s="84" t="str">
        <f t="shared" si="5"/>
        <v>大人，保存实力，别正面刚，利用&lt;color=#FFCC71&gt;兵种克制&lt;/color&gt;就可以轻松&lt;color=#FFCC71&gt;压制敌人&lt;/color&gt;。</v>
      </c>
      <c r="T125" s="48">
        <v>1</v>
      </c>
      <c r="U125" s="48">
        <v>1</v>
      </c>
      <c r="V125" s="48">
        <v>0</v>
      </c>
      <c r="X125" s="48">
        <v>3</v>
      </c>
      <c r="Y125" s="48" t="b">
        <v>1</v>
      </c>
      <c r="Z125" s="48" t="s">
        <v>460</v>
      </c>
      <c r="AA125" s="48" t="b">
        <v>0</v>
      </c>
      <c r="AC125" s="48">
        <v>20001011</v>
      </c>
      <c r="AD125" s="48">
        <v>5.94183301925659</v>
      </c>
      <c r="AE125" s="48">
        <v>6.94</v>
      </c>
      <c r="AH125" s="48">
        <v>1.5</v>
      </c>
      <c r="AL125" s="48">
        <v>25</v>
      </c>
      <c r="AM125" s="48">
        <f>VLOOKUP($F125,'#对话模型配置'!$A:$W,MATCH(对话配置表!AM$2,'#对话模型配置'!$1:$1,0),FALSE)</f>
        <v>20001001</v>
      </c>
      <c r="AN125" s="48" t="s">
        <v>461</v>
      </c>
      <c r="AT125" s="48" t="str">
        <f t="shared" si="3"/>
        <v>大人，保存实力，别正面刚，利用&lt;color=#FFCC71&gt;兵种克制&lt;/color&gt;就可以轻松&lt;color=#FFCC71&gt;压制敌人&lt;/color&gt;。</v>
      </c>
      <c r="AU125" s="48" t="s">
        <v>462</v>
      </c>
      <c r="AW125" s="48" t="s">
        <v>463</v>
      </c>
      <c r="AX125" s="48" t="s">
        <v>464</v>
      </c>
    </row>
    <row r="126" spans="1:50" s="50" customFormat="1" ht="14">
      <c r="A126" s="50">
        <v>41011</v>
      </c>
      <c r="B126" s="50" t="s">
        <v>410</v>
      </c>
      <c r="C126" s="50">
        <v>1</v>
      </c>
      <c r="D126" s="50" t="s">
        <v>411</v>
      </c>
      <c r="E126" s="50" t="s">
        <v>412</v>
      </c>
      <c r="F126" s="20" t="str">
        <f>VLOOKUP(G126,'#TID_base_up'!B:C,2,0)</f>
        <v>帝国斥候</v>
      </c>
      <c r="G126" s="50" t="s">
        <v>425</v>
      </c>
      <c r="H126" s="50" t="str">
        <f>VLOOKUP($G126,'#对话模型配置'!$A:$W,MATCH(对话配置表!H$2,'#对话模型配置'!$1:$1,0))</f>
        <v>altasPath</v>
      </c>
      <c r="I126" s="50" t="str">
        <f>VLOOKUP($G126,'#对话模型配置'!$A:$W,MATCH(对话配置表!I$2,'#对话模型配置'!$1:$1,0))</f>
        <v>picture</v>
      </c>
      <c r="J126" s="50" t="s">
        <v>465</v>
      </c>
      <c r="K126" s="84" t="str">
        <f t="shared" si="5"/>
        <v>占领这座哨塔，可以让我们的视野更加开阔。（目前没配置）</v>
      </c>
      <c r="T126" s="50">
        <v>1</v>
      </c>
      <c r="U126" s="50">
        <v>1</v>
      </c>
      <c r="V126" s="50">
        <v>2</v>
      </c>
      <c r="X126" s="50">
        <v>3</v>
      </c>
      <c r="AA126" s="50" t="b">
        <v>0</v>
      </c>
      <c r="AE126" s="50">
        <v>1</v>
      </c>
      <c r="AH126" s="50">
        <v>1.5</v>
      </c>
      <c r="AL126" s="48">
        <v>25</v>
      </c>
      <c r="AT126" s="50" t="str">
        <f t="shared" si="3"/>
        <v>占领这座哨塔，可以让我们的视野更加开阔。（目前没配置）</v>
      </c>
      <c r="AU126" s="50" t="s">
        <v>466</v>
      </c>
    </row>
    <row r="127" spans="1:50" s="49" customFormat="1" ht="14">
      <c r="A127" s="49">
        <v>41012</v>
      </c>
      <c r="B127" s="49" t="s">
        <v>410</v>
      </c>
      <c r="C127" s="49">
        <v>1</v>
      </c>
      <c r="D127" s="49" t="s">
        <v>411</v>
      </c>
      <c r="E127" s="49" t="s">
        <v>412</v>
      </c>
      <c r="F127" s="20" t="str">
        <f>VLOOKUP(G127,'#TID_base_up'!B:C,2,0)</f>
        <v>安德莉娅</v>
      </c>
      <c r="G127" s="49" t="s">
        <v>467</v>
      </c>
      <c r="H127" s="49" t="str">
        <f>VLOOKUP($G127,'#对话模型配置'!$A:$W,MATCH(对话配置表!H$2,'#对话模型配置'!$1:$1,0))</f>
        <v>altasPath</v>
      </c>
      <c r="I127" s="49" t="str">
        <f>VLOOKUP($G127,'#对话模型配置'!$A:$W,MATCH(对话配置表!I$2,'#对话模型配置'!$1:$1,0))</f>
        <v>picture</v>
      </c>
      <c r="J127" s="49" t="s">
        <v>468</v>
      </c>
      <c r="K127" s="84" t="str">
        <f t="shared" si="5"/>
        <v>老狗都有几颗牙，再看看你们，就这么点儿能耐吗？</v>
      </c>
      <c r="T127" s="49">
        <v>1</v>
      </c>
      <c r="U127" s="49">
        <v>4</v>
      </c>
      <c r="V127" s="49">
        <v>0</v>
      </c>
      <c r="X127" s="49">
        <v>3</v>
      </c>
      <c r="Y127" s="49" t="b">
        <v>1</v>
      </c>
      <c r="Z127" s="49" t="s">
        <v>469</v>
      </c>
      <c r="AA127" s="49" t="b">
        <v>0</v>
      </c>
      <c r="AD127" s="49">
        <v>5.0306668281555202</v>
      </c>
      <c r="AE127" s="49">
        <v>6.03</v>
      </c>
      <c r="AH127" s="49">
        <v>0.1</v>
      </c>
      <c r="AL127" s="48">
        <v>25</v>
      </c>
      <c r="AO127" s="49">
        <v>17</v>
      </c>
      <c r="AQ127" s="96" t="s">
        <v>470</v>
      </c>
      <c r="AT127" s="49" t="str">
        <f t="shared" si="3"/>
        <v>老狗都有几颗牙，再看看你们，就这么点儿能耐吗？</v>
      </c>
      <c r="AU127" s="49" t="s">
        <v>471</v>
      </c>
    </row>
    <row r="128" spans="1:50" s="49" customFormat="1" ht="14">
      <c r="A128" s="49">
        <v>41013</v>
      </c>
      <c r="B128" s="49" t="s">
        <v>410</v>
      </c>
      <c r="C128" s="49">
        <v>1</v>
      </c>
      <c r="D128" s="49" t="s">
        <v>411</v>
      </c>
      <c r="E128" s="49" t="s">
        <v>412</v>
      </c>
      <c r="F128" s="20" t="str">
        <f>VLOOKUP(G128,'#TID_base_up'!B:C,2,0)</f>
        <v>蛮族前锋</v>
      </c>
      <c r="G128" s="49" t="s">
        <v>472</v>
      </c>
      <c r="H128" s="49" t="str">
        <f>VLOOKUP($G128,'#对话模型配置'!$A:$W,MATCH(对话配置表!H$2,'#对话模型配置'!$1:$1,0))</f>
        <v>altasPath</v>
      </c>
      <c r="I128" s="49" t="str">
        <f>VLOOKUP($G128,'#对话模型配置'!$A:$W,MATCH(对话配置表!I$2,'#对话模型配置'!$1:$1,0))</f>
        <v>picture</v>
      </c>
      <c r="J128" s="49" t="s">
        <v>473</v>
      </c>
      <c r="K128" s="84" t="str">
        <f t="shared" si="5"/>
        <v>牙尖嘴利，一会儿看我怎么收拾你！</v>
      </c>
      <c r="T128" s="49">
        <v>1</v>
      </c>
      <c r="U128" s="49">
        <v>4</v>
      </c>
      <c r="V128" s="49">
        <v>0</v>
      </c>
      <c r="X128" s="49">
        <v>3</v>
      </c>
      <c r="Y128" s="49" t="b">
        <v>1</v>
      </c>
      <c r="Z128" s="49" t="s">
        <v>474</v>
      </c>
      <c r="AA128" s="49" t="b">
        <v>0</v>
      </c>
      <c r="AD128" s="49">
        <v>3.70933294296265</v>
      </c>
      <c r="AE128" s="49">
        <v>4.71</v>
      </c>
      <c r="AH128" s="49">
        <v>0.1</v>
      </c>
      <c r="AL128" s="48">
        <v>25</v>
      </c>
      <c r="AO128" s="49">
        <v>17</v>
      </c>
      <c r="AQ128" s="96" t="s">
        <v>475</v>
      </c>
      <c r="AT128" s="49" t="str">
        <f t="shared" si="3"/>
        <v>牙尖嘴利，一会儿看我怎么收拾你！</v>
      </c>
      <c r="AU128" s="49" t="s">
        <v>476</v>
      </c>
    </row>
    <row r="129" spans="1:51" s="49" customFormat="1" ht="14">
      <c r="A129" s="49">
        <v>41014</v>
      </c>
      <c r="B129" s="49" t="s">
        <v>410</v>
      </c>
      <c r="C129" s="49">
        <v>1</v>
      </c>
      <c r="D129" s="49" t="s">
        <v>411</v>
      </c>
      <c r="E129" s="49" t="s">
        <v>412</v>
      </c>
      <c r="F129" s="20" t="str">
        <f>VLOOKUP(G129,'#TID_base_up'!B:C,2,0)</f>
        <v>尤里乌斯</v>
      </c>
      <c r="G129" s="49" t="s">
        <v>413</v>
      </c>
      <c r="H129" s="49" t="str">
        <f>VLOOKUP($G129,'#对话模型配置'!$A:$W,MATCH(对话配置表!H$2,'#对话模型配置'!$1:$1,0))</f>
        <v>altasPath</v>
      </c>
      <c r="I129" s="49" t="str">
        <f>VLOOKUP($G129,'#对话模型配置'!$A:$W,MATCH(对话配置表!I$2,'#对话模型配置'!$1:$1,0))</f>
        <v>picture</v>
      </c>
      <c r="J129" s="49" t="s">
        <v>477</v>
      </c>
      <c r="K129" s="84" t="str">
        <f t="shared" si="5"/>
        <v>别怕，公主殿下！有我尤里乌斯在，他们……</v>
      </c>
      <c r="T129" s="49">
        <v>1</v>
      </c>
      <c r="U129" s="49">
        <v>4</v>
      </c>
      <c r="V129" s="49">
        <v>0</v>
      </c>
      <c r="X129" s="49">
        <v>3</v>
      </c>
      <c r="Y129" s="49" t="b">
        <v>1</v>
      </c>
      <c r="Z129" s="49" t="s">
        <v>478</v>
      </c>
      <c r="AA129" s="49" t="b">
        <v>0</v>
      </c>
      <c r="AD129" s="49">
        <v>4.8786668777465803</v>
      </c>
      <c r="AE129" s="49">
        <v>4.5999999999999996</v>
      </c>
      <c r="AH129" s="49">
        <v>0.1</v>
      </c>
      <c r="AL129" s="48">
        <v>25</v>
      </c>
      <c r="AO129" s="49">
        <v>1</v>
      </c>
      <c r="AQ129" s="49" t="s">
        <v>450</v>
      </c>
      <c r="AT129" s="49" t="str">
        <f t="shared" si="3"/>
        <v>别怕，公主殿下！有我尤里乌斯在，他们……</v>
      </c>
      <c r="AU129" s="49" t="s">
        <v>479</v>
      </c>
    </row>
    <row r="130" spans="1:51" s="49" customFormat="1" ht="14">
      <c r="A130" s="49">
        <v>41015</v>
      </c>
      <c r="B130" s="49" t="s">
        <v>410</v>
      </c>
      <c r="C130" s="49">
        <v>1</v>
      </c>
      <c r="D130" s="49" t="s">
        <v>411</v>
      </c>
      <c r="E130" s="49" t="s">
        <v>412</v>
      </c>
      <c r="F130" s="20" t="str">
        <f>VLOOKUP(G130,'#TID_base_up'!B:C,2,0)</f>
        <v>安德莉娅</v>
      </c>
      <c r="G130" s="49" t="s">
        <v>467</v>
      </c>
      <c r="H130" s="49" t="str">
        <f>VLOOKUP($G130,'#对话模型配置'!$A:$W,MATCH(对话配置表!H$2,'#对话模型配置'!$1:$1,0))</f>
        <v>altasPath</v>
      </c>
      <c r="I130" s="49" t="str">
        <f>VLOOKUP($G130,'#对话模型配置'!$A:$W,MATCH(对话配置表!I$2,'#对话模型配置'!$1:$1,0))</f>
        <v>picture</v>
      </c>
      <c r="J130" s="49" t="s">
        <v>480</v>
      </c>
      <c r="K130" s="84" t="str">
        <f t="shared" si="5"/>
        <v>知道了，别客套了！有时间站着，不如过来搭把手！</v>
      </c>
      <c r="T130" s="49">
        <v>1</v>
      </c>
      <c r="U130" s="49">
        <v>4</v>
      </c>
      <c r="V130" s="49">
        <v>0</v>
      </c>
      <c r="X130" s="49">
        <v>3</v>
      </c>
      <c r="Y130" s="49" t="b">
        <v>1</v>
      </c>
      <c r="Z130" s="49" t="s">
        <v>481</v>
      </c>
      <c r="AA130" s="49" t="b">
        <v>0</v>
      </c>
      <c r="AD130" s="49">
        <v>4.3586668968200701</v>
      </c>
      <c r="AE130" s="49">
        <v>5.36</v>
      </c>
      <c r="AH130" s="49">
        <v>0.1</v>
      </c>
      <c r="AL130" s="48">
        <v>25</v>
      </c>
      <c r="AO130" s="49">
        <v>17</v>
      </c>
      <c r="AQ130" s="96" t="s">
        <v>482</v>
      </c>
      <c r="AT130" s="49" t="str">
        <f t="shared" si="3"/>
        <v>知道了，别客套了！有时间站着，不如过来搭把手！</v>
      </c>
      <c r="AU130" s="49" t="s">
        <v>483</v>
      </c>
    </row>
    <row r="131" spans="1:51" s="49" customFormat="1" ht="14">
      <c r="A131" s="49">
        <v>41016</v>
      </c>
      <c r="B131" s="49" t="s">
        <v>410</v>
      </c>
      <c r="C131" s="49">
        <v>1</v>
      </c>
      <c r="D131" s="49" t="s">
        <v>411</v>
      </c>
      <c r="E131" s="49" t="s">
        <v>412</v>
      </c>
      <c r="F131" s="20" t="str">
        <f>VLOOKUP(G131,'#TID_base_up'!B:C,2,0)</f>
        <v>蛮王</v>
      </c>
      <c r="G131" s="49" t="s">
        <v>484</v>
      </c>
      <c r="H131" s="49" t="str">
        <f>VLOOKUP($G131,'#对话模型配置'!$A:$W,MATCH(对话配置表!H$2,'#对话模型配置'!$1:$1,0))</f>
        <v>altasPath</v>
      </c>
      <c r="I131" s="49" t="str">
        <f>VLOOKUP($G131,'#对话模型配置'!$A:$W,MATCH(对话配置表!I$2,'#对话模型配置'!$1:$1,0))</f>
        <v>picture</v>
      </c>
      <c r="J131" s="49" t="s">
        <v>485</v>
      </c>
      <c r="K131" s="84" t="str">
        <f t="shared" si="5"/>
        <v>老东西，别做无谓的挣扎了，乖乖下马束手就擒吧！</v>
      </c>
      <c r="T131" s="49">
        <v>1</v>
      </c>
      <c r="U131" s="49">
        <v>4</v>
      </c>
      <c r="V131" s="49">
        <v>0</v>
      </c>
      <c r="X131" s="49">
        <v>3</v>
      </c>
      <c r="Y131" s="49" t="b">
        <v>1</v>
      </c>
      <c r="Z131" s="49" t="s">
        <v>486</v>
      </c>
      <c r="AA131" s="49" t="b">
        <v>0</v>
      </c>
      <c r="AD131" s="49">
        <v>5.2155828475952104</v>
      </c>
      <c r="AE131" s="49">
        <v>6.22</v>
      </c>
      <c r="AH131" s="49">
        <v>0.1</v>
      </c>
      <c r="AL131" s="48">
        <v>25</v>
      </c>
      <c r="AO131" s="49">
        <v>23</v>
      </c>
      <c r="AQ131" s="49" t="s">
        <v>450</v>
      </c>
      <c r="AT131" s="49" t="str">
        <f t="shared" si="3"/>
        <v>老东西，别做无谓的挣扎了，乖乖下马束手就擒吧！</v>
      </c>
      <c r="AU131" s="49" t="s">
        <v>487</v>
      </c>
    </row>
    <row r="132" spans="1:51" s="49" customFormat="1" ht="14">
      <c r="A132" s="49">
        <v>41017</v>
      </c>
      <c r="B132" s="49" t="s">
        <v>410</v>
      </c>
      <c r="C132" s="49">
        <v>1</v>
      </c>
      <c r="D132" s="49" t="s">
        <v>411</v>
      </c>
      <c r="E132" s="49" t="s">
        <v>412</v>
      </c>
      <c r="F132" s="20" t="str">
        <f>VLOOKUP(G132,'#TID_base_up'!B:C,2,0)</f>
        <v>皇帝</v>
      </c>
      <c r="G132" s="49" t="s">
        <v>488</v>
      </c>
      <c r="H132" s="49" t="str">
        <f>VLOOKUP($G132,'#对话模型配置'!$A:$W,MATCH(对话配置表!H$2,'#对话模型配置'!$1:$1,0))</f>
        <v>altasPath</v>
      </c>
      <c r="I132" s="49" t="str">
        <f>VLOOKUP($G132,'#对话模型配置'!$A:$W,MATCH(对话配置表!I$2,'#对话模型配置'!$1:$1,0))</f>
        <v>picture</v>
      </c>
      <c r="J132" s="49" t="s">
        <v>489</v>
      </c>
      <c r="K132" s="84" t="str">
        <f t="shared" si="5"/>
        <v>化外蛮夷，今天就让我来教教你，什么是基本礼仪！</v>
      </c>
      <c r="T132" s="49">
        <v>1</v>
      </c>
      <c r="U132" s="49">
        <v>4</v>
      </c>
      <c r="V132" s="49">
        <v>0</v>
      </c>
      <c r="X132" s="49">
        <v>3</v>
      </c>
      <c r="Y132" s="49" t="b">
        <v>1</v>
      </c>
      <c r="Z132" s="49" t="s">
        <v>490</v>
      </c>
      <c r="AA132" s="49" t="b">
        <v>0</v>
      </c>
      <c r="AD132" s="49">
        <v>6.03049993515015</v>
      </c>
      <c r="AE132" s="49">
        <v>7.03</v>
      </c>
      <c r="AH132" s="49">
        <v>0.1</v>
      </c>
      <c r="AL132" s="48">
        <v>25</v>
      </c>
      <c r="AO132" s="49">
        <v>32</v>
      </c>
      <c r="AQ132" s="96" t="s">
        <v>491</v>
      </c>
      <c r="AT132" s="49" t="str">
        <f t="shared" ref="AT132:AT195" si="6">IF($AU132="","",SUBSTITUTE(SUBSTITUTE(SUBSTITUTE(SUBSTITUTE($AU132,IF($AW132="","",$AW132),IF($AW132="","",CONCATENATE("&lt;color=#FFCC71&gt;",$AW132,"&lt;/color&gt;"))),IF($AX132="","",$AX132),IF($AX132="","",CONCATENATE("&lt;color=#FFCC71&gt;",$AX132,"&lt;/color&gt;"))),IF($AY132="","",$AY132),IF($AY132="","",CONCATENATE("&lt;color=#FFCC71&gt;",$AY132,"&lt;/color&gt;"))),IF($AZ132="","",$AZ132),IF($AZ132="","",CONCATENATE("&lt;color=#FFCC71&gt;",$AZ132,"&lt;/color&gt;"))))</f>
        <v>化外蛮夷，今天就让我来教教你，什么是基本礼仪！</v>
      </c>
      <c r="AU132" s="49" t="s">
        <v>492</v>
      </c>
    </row>
    <row r="133" spans="1:51" s="51" customFormat="1">
      <c r="A133" s="51">
        <v>41018</v>
      </c>
      <c r="B133" s="51" t="s">
        <v>410</v>
      </c>
      <c r="C133" s="51">
        <v>1</v>
      </c>
      <c r="D133" s="51" t="s">
        <v>411</v>
      </c>
      <c r="E133" s="51" t="s">
        <v>412</v>
      </c>
      <c r="F133" s="20" t="str">
        <f>VLOOKUP(G133,'#TID_base_up'!B:C,2,0)</f>
        <v>尤里乌斯</v>
      </c>
      <c r="G133" s="51" t="s">
        <v>413</v>
      </c>
      <c r="H133" s="51" t="str">
        <f>VLOOKUP($G133,'#对话模型配置'!$A:$W,MATCH(对话配置表!H$2,'#对话模型配置'!$1:$1,0))</f>
        <v>altasPath</v>
      </c>
      <c r="I133" s="51" t="str">
        <f>VLOOKUP($G133,'#对话模型配置'!$A:$W,MATCH(对话配置表!I$2,'#对话模型配置'!$1:$1,0))</f>
        <v>picture</v>
      </c>
      <c r="J133" s="51" t="s">
        <v>493</v>
      </c>
      <c r="K133" s="97"/>
      <c r="T133" s="51">
        <v>1</v>
      </c>
      <c r="U133" s="51">
        <v>4</v>
      </c>
      <c r="V133" s="51">
        <v>0</v>
      </c>
      <c r="X133" s="51">
        <v>3</v>
      </c>
      <c r="AA133" s="51" t="b">
        <v>0</v>
      </c>
      <c r="AD133" s="51">
        <v>4</v>
      </c>
      <c r="AE133" s="51">
        <v>5</v>
      </c>
      <c r="AH133" s="49">
        <v>0.1</v>
      </c>
      <c r="AJ133" s="49"/>
      <c r="AK133" s="49"/>
      <c r="AL133" s="48">
        <v>25</v>
      </c>
      <c r="AT133" s="51" t="str">
        <f t="shared" si="6"/>
        <v>陛下！</v>
      </c>
      <c r="AU133" s="51" t="s">
        <v>494</v>
      </c>
    </row>
    <row r="134" spans="1:51" s="49" customFormat="1" ht="14">
      <c r="A134" s="49">
        <v>41019</v>
      </c>
      <c r="B134" s="49" t="s">
        <v>410</v>
      </c>
      <c r="C134" s="49">
        <v>1</v>
      </c>
      <c r="D134" s="49" t="s">
        <v>411</v>
      </c>
      <c r="E134" s="49" t="s">
        <v>412</v>
      </c>
      <c r="F134" s="20" t="str">
        <f>VLOOKUP(G134,'#TID_base_up'!B:C,2,0)</f>
        <v>皇帝</v>
      </c>
      <c r="G134" s="49" t="s">
        <v>488</v>
      </c>
      <c r="H134" s="49" t="str">
        <f>VLOOKUP($G134,'#对话模型配置'!$A:$W,MATCH(对话配置表!H$2,'#对话模型配置'!$1:$1,0))</f>
        <v>altasPath</v>
      </c>
      <c r="I134" s="49" t="str">
        <f>VLOOKUP($G134,'#对话模型配置'!$A:$W,MATCH(对话配置表!I$2,'#对话模型配置'!$1:$1,0))</f>
        <v>picture</v>
      </c>
      <c r="J134" s="49" t="s">
        <v>495</v>
      </c>
      <c r="K134" s="84" t="str">
        <f t="shared" ref="K134:K152" si="7">AT134</f>
        <v>想不到，最后竟然只有你来陪我打这一场仗！</v>
      </c>
      <c r="T134" s="49">
        <v>1</v>
      </c>
      <c r="U134" s="49">
        <v>4</v>
      </c>
      <c r="V134" s="49">
        <v>0</v>
      </c>
      <c r="X134" s="49">
        <v>3</v>
      </c>
      <c r="Y134" s="49" t="b">
        <v>1</v>
      </c>
      <c r="Z134" s="49" t="s">
        <v>496</v>
      </c>
      <c r="AA134" s="49" t="b">
        <v>0</v>
      </c>
      <c r="AD134" s="49">
        <v>4.4648327827453604</v>
      </c>
      <c r="AE134" s="49">
        <v>5.46</v>
      </c>
      <c r="AH134" s="49">
        <v>0.1</v>
      </c>
      <c r="AL134" s="48">
        <v>25</v>
      </c>
      <c r="AO134" s="49">
        <v>32</v>
      </c>
      <c r="AQ134" s="96" t="s">
        <v>497</v>
      </c>
      <c r="AT134" s="49" t="str">
        <f t="shared" si="6"/>
        <v>想不到，最后竟然只有你来陪我打这一场仗！</v>
      </c>
      <c r="AU134" s="49" t="s">
        <v>498</v>
      </c>
    </row>
    <row r="135" spans="1:51" s="49" customFormat="1" ht="14">
      <c r="A135" s="49">
        <v>41020</v>
      </c>
      <c r="B135" s="49" t="s">
        <v>410</v>
      </c>
      <c r="C135" s="49">
        <v>1</v>
      </c>
      <c r="D135" s="49" t="s">
        <v>411</v>
      </c>
      <c r="E135" s="49" t="s">
        <v>412</v>
      </c>
      <c r="F135" s="20" t="str">
        <f>VLOOKUP(G135,'#TID_base_up'!B:C,2,0)</f>
        <v>蛮王</v>
      </c>
      <c r="G135" s="49" t="s">
        <v>484</v>
      </c>
      <c r="H135" s="49" t="str">
        <f>VLOOKUP($G135,'#对话模型配置'!$A:$W,MATCH(对话配置表!H$2,'#对话模型配置'!$1:$1,0))</f>
        <v>altasPath</v>
      </c>
      <c r="I135" s="49" t="str">
        <f>VLOOKUP($G135,'#对话模型配置'!$A:$W,MATCH(对话配置表!I$2,'#对话模型配置'!$1:$1,0))</f>
        <v>picture</v>
      </c>
      <c r="J135" s="49" t="s">
        <v>499</v>
      </c>
      <c r="K135" s="84" t="str">
        <f t="shared" si="7"/>
        <v>可笑，逃跑的见过无数，赶来送人头的倒是第一回见！</v>
      </c>
      <c r="T135" s="49">
        <v>1</v>
      </c>
      <c r="U135" s="49">
        <v>4</v>
      </c>
      <c r="V135" s="49">
        <v>0</v>
      </c>
      <c r="X135" s="49">
        <v>3</v>
      </c>
      <c r="Y135" s="49" t="b">
        <v>1</v>
      </c>
      <c r="Z135" s="49" t="s">
        <v>500</v>
      </c>
      <c r="AA135" s="49" t="b">
        <v>0</v>
      </c>
      <c r="AD135" s="49">
        <v>6.0549998283386204</v>
      </c>
      <c r="AE135" s="49">
        <v>7.05</v>
      </c>
      <c r="AH135" s="49">
        <v>0.1</v>
      </c>
      <c r="AL135" s="48">
        <v>25</v>
      </c>
      <c r="AO135" s="49">
        <v>23</v>
      </c>
      <c r="AQ135" s="96" t="s">
        <v>501</v>
      </c>
      <c r="AT135" s="49" t="str">
        <f t="shared" si="6"/>
        <v>可笑，逃跑的见过无数，赶来送人头的倒是第一回见！</v>
      </c>
      <c r="AU135" s="49" t="s">
        <v>502</v>
      </c>
    </row>
    <row r="136" spans="1:51" s="49" customFormat="1" ht="14">
      <c r="A136" s="49">
        <v>41021</v>
      </c>
      <c r="B136" s="49" t="s">
        <v>410</v>
      </c>
      <c r="C136" s="49">
        <v>1</v>
      </c>
      <c r="D136" s="49" t="s">
        <v>411</v>
      </c>
      <c r="E136" s="49" t="s">
        <v>412</v>
      </c>
      <c r="F136" s="20" t="str">
        <f>VLOOKUP(G136,'#TID_base_up'!B:C,2,0)</f>
        <v>蛮王</v>
      </c>
      <c r="G136" s="49" t="s">
        <v>484</v>
      </c>
      <c r="H136" s="49" t="str">
        <f>VLOOKUP($G136,'#对话模型配置'!$A:$W,MATCH(对话配置表!H$2,'#对话模型配置'!$1:$1,0))</f>
        <v>altasPath</v>
      </c>
      <c r="I136" s="49" t="str">
        <f>VLOOKUP($G136,'#对话模型配置'!$A:$W,MATCH(对话配置表!I$2,'#对话模型配置'!$1:$1,0))</f>
        <v>picture</v>
      </c>
      <c r="J136" s="49" t="s">
        <v>503</v>
      </c>
      <c r="K136" s="84" t="str">
        <f t="shared" si="7"/>
        <v>哼，这老东西就算给你们又如何！</v>
      </c>
      <c r="T136" s="49">
        <v>1</v>
      </c>
      <c r="U136" s="49">
        <v>4</v>
      </c>
      <c r="V136" s="49">
        <v>0</v>
      </c>
      <c r="X136" s="49">
        <v>3</v>
      </c>
      <c r="Y136" s="49" t="b">
        <v>1</v>
      </c>
      <c r="Z136" s="49" t="s">
        <v>504</v>
      </c>
      <c r="AA136" s="49" t="b">
        <v>0</v>
      </c>
      <c r="AD136" s="49">
        <v>3.0298330783843999</v>
      </c>
      <c r="AE136" s="49">
        <v>4.03</v>
      </c>
      <c r="AH136" s="49">
        <v>0.1</v>
      </c>
      <c r="AL136" s="48">
        <v>25</v>
      </c>
      <c r="AO136" s="49">
        <v>23</v>
      </c>
      <c r="AT136" s="49" t="str">
        <f t="shared" si="6"/>
        <v>哼，这老东西就算给你们又如何！</v>
      </c>
      <c r="AU136" s="49" t="s">
        <v>505</v>
      </c>
    </row>
    <row r="137" spans="1:51" s="49" customFormat="1" ht="14">
      <c r="A137" s="49">
        <v>41022</v>
      </c>
      <c r="B137" s="49" t="s">
        <v>410</v>
      </c>
      <c r="C137" s="49">
        <v>1</v>
      </c>
      <c r="D137" s="49" t="s">
        <v>411</v>
      </c>
      <c r="E137" s="49" t="s">
        <v>412</v>
      </c>
      <c r="F137" s="20" t="str">
        <f>VLOOKUP(G137,'#TID_base_up'!B:C,2,0)</f>
        <v>安德莉娅</v>
      </c>
      <c r="G137" s="49" t="s">
        <v>467</v>
      </c>
      <c r="H137" s="49" t="str">
        <f>VLOOKUP($G137,'#对话模型配置'!$A:$W,MATCH(对话配置表!H$2,'#对话模型配置'!$1:$1,0))</f>
        <v>altasPath</v>
      </c>
      <c r="I137" s="49" t="str">
        <f>VLOOKUP($G137,'#对话模型配置'!$A:$W,MATCH(对话配置表!I$2,'#对话模型配置'!$1:$1,0))</f>
        <v>picture</v>
      </c>
      <c r="J137" s="49" t="s">
        <v>506</v>
      </c>
      <c r="K137" s="84" t="str">
        <f t="shared" si="7"/>
        <v>糟糕糟糕！蛮族又冲过来了！快掩护陛下撤退！</v>
      </c>
      <c r="T137" s="49">
        <v>1</v>
      </c>
      <c r="U137" s="49">
        <v>4</v>
      </c>
      <c r="V137" s="49">
        <v>0</v>
      </c>
      <c r="X137" s="49">
        <v>3</v>
      </c>
      <c r="Y137" s="49" t="b">
        <v>1</v>
      </c>
      <c r="Z137" s="49" t="s">
        <v>507</v>
      </c>
      <c r="AA137" s="49" t="b">
        <v>0</v>
      </c>
      <c r="AD137" s="49">
        <v>4.1626667976379403</v>
      </c>
      <c r="AE137" s="49">
        <v>5.16</v>
      </c>
      <c r="AH137" s="49">
        <v>0.1</v>
      </c>
      <c r="AL137" s="48">
        <v>25</v>
      </c>
      <c r="AO137" s="49">
        <v>17</v>
      </c>
      <c r="AQ137" s="49" t="s">
        <v>428</v>
      </c>
      <c r="AT137" s="49" t="str">
        <f t="shared" si="6"/>
        <v>糟糕糟糕！蛮族又冲过来了！快掩护陛下撤退！</v>
      </c>
      <c r="AU137" s="49" t="s">
        <v>508</v>
      </c>
    </row>
    <row r="138" spans="1:51" s="50" customFormat="1" ht="42">
      <c r="A138" s="50">
        <v>41023</v>
      </c>
      <c r="B138" s="50" t="s">
        <v>410</v>
      </c>
      <c r="C138" s="50">
        <v>1</v>
      </c>
      <c r="D138" s="50" t="s">
        <v>411</v>
      </c>
      <c r="E138" s="50" t="s">
        <v>412</v>
      </c>
      <c r="F138" s="20" t="str">
        <f>VLOOKUP(G138,'#TID_base_up'!B:C,2,0)</f>
        <v>皇帝</v>
      </c>
      <c r="G138" s="50" t="s">
        <v>488</v>
      </c>
      <c r="H138" s="50" t="str">
        <f>VLOOKUP($G138,'#对话模型配置'!$A:$W,MATCH(对话配置表!H$2,'#对话模型配置'!$1:$1,0))</f>
        <v>altasPath</v>
      </c>
      <c r="I138" s="50" t="str">
        <f>VLOOKUP($G138,'#对话模型配置'!$A:$W,MATCH(对话配置表!I$2,'#对话模型配置'!$1:$1,0))</f>
        <v>picture</v>
      </c>
      <c r="J138" s="50" t="s">
        <v>509</v>
      </c>
      <c r="K138" s="84" t="str">
        <f t="shared" si="7"/>
        <v>也许，这就是&lt;color=#FFCC71&gt;命运的安排&lt;/color&gt;吧……&lt;color=#FFCC71&gt;帝国&lt;/color&gt;的未来就&lt;color=#FFCC71&gt;交给你了&lt;/color&gt;！</v>
      </c>
      <c r="T138" s="50">
        <v>1</v>
      </c>
      <c r="U138" s="50">
        <v>1</v>
      </c>
      <c r="V138" s="50">
        <v>2</v>
      </c>
      <c r="X138" s="50">
        <v>3</v>
      </c>
      <c r="Y138" s="50" t="b">
        <v>0</v>
      </c>
      <c r="AA138" s="50" t="b">
        <v>0</v>
      </c>
      <c r="AD138" s="50">
        <v>6.0888328552246103</v>
      </c>
      <c r="AE138" s="50">
        <v>7.09</v>
      </c>
      <c r="AH138" s="50">
        <v>1.5</v>
      </c>
      <c r="AL138" s="48">
        <v>25</v>
      </c>
      <c r="AM138" s="50" t="s">
        <v>510</v>
      </c>
      <c r="AN138" s="50" t="s">
        <v>511</v>
      </c>
      <c r="AT138" s="50" t="str">
        <f t="shared" si="6"/>
        <v>也许，这就是&lt;color=#FFCC71&gt;命运的安排&lt;/color&gt;吧……&lt;color=#FFCC71&gt;帝国&lt;/color&gt;的未来就&lt;color=#FFCC71&gt;交给你了&lt;/color&gt;！</v>
      </c>
      <c r="AU138" s="50" t="s">
        <v>512</v>
      </c>
      <c r="AW138" s="50" t="s">
        <v>513</v>
      </c>
      <c r="AX138" s="50" t="s">
        <v>514</v>
      </c>
      <c r="AY138" s="50" t="s">
        <v>515</v>
      </c>
    </row>
    <row r="139" spans="1:51" s="50" customFormat="1" ht="42">
      <c r="A139" s="50">
        <v>41023</v>
      </c>
      <c r="B139" s="50" t="s">
        <v>410</v>
      </c>
      <c r="C139" s="50">
        <v>2</v>
      </c>
      <c r="D139" s="50" t="s">
        <v>411</v>
      </c>
      <c r="E139" s="50" t="s">
        <v>412</v>
      </c>
      <c r="F139" s="20" t="str">
        <f>VLOOKUP(G139,'#TID_base_up'!B:C,2,0)</f>
        <v>皇帝</v>
      </c>
      <c r="G139" s="50" t="s">
        <v>488</v>
      </c>
      <c r="H139" s="50" t="str">
        <f>VLOOKUP($G139,'#对话模型配置'!$A:$W,MATCH(对话配置表!H$2,'#对话模型配置'!$1:$1,0))</f>
        <v>altasPath</v>
      </c>
      <c r="I139" s="50" t="str">
        <f>VLOOKUP($G139,'#对话模型配置'!$A:$W,MATCH(对话配置表!I$2,'#对话模型配置'!$1:$1,0))</f>
        <v>picture</v>
      </c>
      <c r="J139" s="50" t="s">
        <v>516</v>
      </c>
      <c r="K139" s="84" t="str">
        <f t="shared" si="7"/>
        <v>你们一定要&lt;color=#FFCC71&gt;活下去&lt;/color&gt;，只要你们活着，&lt;color=#FFCC71&gt;帝国&lt;/color&gt;就一定&lt;color=#FFCC71&gt;不会灭亡&lt;/color&gt;！</v>
      </c>
      <c r="T139" s="50">
        <v>1</v>
      </c>
      <c r="U139" s="50">
        <v>1</v>
      </c>
      <c r="V139" s="50">
        <v>2</v>
      </c>
      <c r="X139" s="50">
        <v>3</v>
      </c>
      <c r="Y139" s="50" t="b">
        <v>0</v>
      </c>
      <c r="AA139" s="50" t="b">
        <v>0</v>
      </c>
      <c r="AD139" s="50">
        <v>8.5306663513183594</v>
      </c>
      <c r="AE139" s="50">
        <v>9.5299999999999994</v>
      </c>
      <c r="AH139" s="50">
        <v>1.5</v>
      </c>
      <c r="AL139" s="48">
        <v>25</v>
      </c>
      <c r="AM139" s="50" t="s">
        <v>510</v>
      </c>
      <c r="AN139" s="50" t="s">
        <v>517</v>
      </c>
      <c r="AT139" s="50" t="str">
        <f t="shared" si="6"/>
        <v>你们一定要&lt;color=#FFCC71&gt;活下去&lt;/color&gt;，只要你们活着，&lt;color=#FFCC71&gt;帝国&lt;/color&gt;就一定&lt;color=#FFCC71&gt;不会灭亡&lt;/color&gt;！</v>
      </c>
      <c r="AU139" s="50" t="s">
        <v>518</v>
      </c>
      <c r="AW139" s="50" t="s">
        <v>519</v>
      </c>
      <c r="AX139" s="50" t="s">
        <v>514</v>
      </c>
      <c r="AY139" s="50" t="s">
        <v>520</v>
      </c>
    </row>
    <row r="140" spans="1:51" s="52" customFormat="1" ht="14">
      <c r="A140" s="52">
        <v>41024</v>
      </c>
      <c r="B140" s="52" t="s">
        <v>410</v>
      </c>
      <c r="C140" s="52">
        <v>1</v>
      </c>
      <c r="D140" s="52" t="s">
        <v>411</v>
      </c>
      <c r="E140" s="52" t="s">
        <v>412</v>
      </c>
      <c r="F140" s="20" t="str">
        <f>VLOOKUP(G140,'#TID_base_up'!B:C,2,0)</f>
        <v>蛮族杂鱼</v>
      </c>
      <c r="G140" s="52" t="s">
        <v>521</v>
      </c>
      <c r="H140" s="52" t="str">
        <f>VLOOKUP($G140,'#对话模型配置'!$A:$W,MATCH(对话配置表!H$2,'#对话模型配置'!$1:$1,0))</f>
        <v>altasPath</v>
      </c>
      <c r="I140" s="52" t="str">
        <f>VLOOKUP($G140,'#对话模型配置'!$A:$W,MATCH(对话配置表!I$2,'#对话模型配置'!$1:$1,0))</f>
        <v>picture</v>
      </c>
      <c r="J140" s="52" t="s">
        <v>522</v>
      </c>
      <c r="K140" s="84" t="str">
        <f t="shared" si="7"/>
        <v>眼睛都给我瞪大点儿！哪怕一只苍蝇都不能放过！</v>
      </c>
      <c r="T140" s="52">
        <v>1</v>
      </c>
      <c r="U140" s="52">
        <v>3</v>
      </c>
      <c r="V140" s="52">
        <v>0</v>
      </c>
      <c r="X140" s="52">
        <v>3</v>
      </c>
      <c r="Y140" s="52" t="b">
        <v>1</v>
      </c>
      <c r="Z140" s="52" t="s">
        <v>523</v>
      </c>
      <c r="AA140" s="52" t="b">
        <v>0</v>
      </c>
      <c r="AD140" s="52">
        <v>3.8036251068115199</v>
      </c>
      <c r="AE140" s="52">
        <v>4.8</v>
      </c>
      <c r="AH140" s="52">
        <v>0.1</v>
      </c>
      <c r="AL140" s="48">
        <v>25</v>
      </c>
      <c r="AT140" s="52" t="str">
        <f t="shared" si="6"/>
        <v>眼睛都给我瞪大点儿！哪怕一只苍蝇都不能放过！</v>
      </c>
      <c r="AU140" s="52" t="s">
        <v>524</v>
      </c>
    </row>
    <row r="141" spans="1:51" s="49" customFormat="1" ht="14">
      <c r="A141" s="49">
        <v>41025</v>
      </c>
      <c r="B141" s="49" t="s">
        <v>410</v>
      </c>
      <c r="C141" s="49">
        <v>1</v>
      </c>
      <c r="D141" s="49" t="s">
        <v>411</v>
      </c>
      <c r="E141" s="49" t="s">
        <v>412</v>
      </c>
      <c r="F141" s="20" t="str">
        <f>VLOOKUP(G141,'#TID_base_up'!B:C,2,0)</f>
        <v>尤里乌斯</v>
      </c>
      <c r="G141" s="49" t="s">
        <v>413</v>
      </c>
      <c r="H141" s="49" t="str">
        <f>VLOOKUP($G141,'#对话模型配置'!$A:$W,MATCH(对话配置表!H$2,'#对话模型配置'!$1:$1,0))</f>
        <v>altasPath</v>
      </c>
      <c r="I141" s="49" t="str">
        <f>VLOOKUP($G141,'#对话模型配置'!$A:$W,MATCH(对话配置表!I$2,'#对话模型配置'!$1:$1,0))</f>
        <v>picture</v>
      </c>
      <c r="J141" s="49" t="s">
        <v>525</v>
      </c>
      <c r="K141" s="84" t="str">
        <f t="shared" si="7"/>
        <v>让我来，利剑胜长枪，再多枪兵都是我剑下炮灰！</v>
      </c>
      <c r="T141" s="49">
        <v>1</v>
      </c>
      <c r="U141" s="49">
        <v>4</v>
      </c>
      <c r="V141" s="49">
        <v>0</v>
      </c>
      <c r="X141" s="49">
        <v>3</v>
      </c>
      <c r="Y141" s="49" t="b">
        <v>1</v>
      </c>
      <c r="Z141" s="49" t="s">
        <v>526</v>
      </c>
      <c r="AA141" s="49" t="b">
        <v>0</v>
      </c>
      <c r="AD141" s="49">
        <v>6.3699998855590803</v>
      </c>
      <c r="AE141" s="49">
        <v>7.37</v>
      </c>
      <c r="AH141" s="49">
        <v>0.1</v>
      </c>
      <c r="AL141" s="48">
        <v>25</v>
      </c>
      <c r="AO141" s="49">
        <v>1</v>
      </c>
      <c r="AT141" s="49" t="str">
        <f t="shared" si="6"/>
        <v>让我来，利剑胜长枪，再多枪兵都是我剑下炮灰！</v>
      </c>
      <c r="AU141" s="49" t="s">
        <v>527</v>
      </c>
    </row>
    <row r="142" spans="1:51" s="49" customFormat="1" ht="14">
      <c r="A142" s="49">
        <v>41026</v>
      </c>
      <c r="B142" s="49" t="s">
        <v>410</v>
      </c>
      <c r="C142" s="49">
        <v>1</v>
      </c>
      <c r="D142" s="49" t="s">
        <v>411</v>
      </c>
      <c r="E142" s="49" t="s">
        <v>412</v>
      </c>
      <c r="F142" s="20" t="str">
        <f>VLOOKUP(G142,'#TID_base_up'!B:C,2,0)</f>
        <v>安德莉娅</v>
      </c>
      <c r="G142" s="49" t="s">
        <v>467</v>
      </c>
      <c r="H142" s="49" t="str">
        <f>VLOOKUP($G142,'#对话模型配置'!$A:$W,MATCH(对话配置表!H$2,'#对话模型配置'!$1:$1,0))</f>
        <v>altasPath</v>
      </c>
      <c r="I142" s="49" t="str">
        <f>VLOOKUP($G142,'#对话模型配置'!$A:$W,MATCH(对话配置表!I$2,'#对话模型配置'!$1:$1,0))</f>
        <v>picture</v>
      </c>
      <c r="J142" s="49" t="s">
        <v>528</v>
      </c>
      <c r="K142" s="84" t="str">
        <f t="shared" si="7"/>
        <v>蛮王又准备施放技能了，快打断他！</v>
      </c>
      <c r="T142" s="49">
        <v>1</v>
      </c>
      <c r="U142" s="49">
        <v>4</v>
      </c>
      <c r="V142" s="49">
        <v>0</v>
      </c>
      <c r="X142" s="49">
        <v>3</v>
      </c>
      <c r="Y142" s="49" t="b">
        <v>0</v>
      </c>
      <c r="Z142" s="49" t="s">
        <v>529</v>
      </c>
      <c r="AA142" s="49" t="b">
        <v>0</v>
      </c>
      <c r="AD142" s="49">
        <v>3.0566670894622798</v>
      </c>
      <c r="AE142" s="49">
        <v>4.0599999999999996</v>
      </c>
      <c r="AH142" s="49">
        <v>0.1</v>
      </c>
      <c r="AL142" s="48">
        <v>25</v>
      </c>
      <c r="AO142" s="49">
        <v>17</v>
      </c>
      <c r="AT142" s="49" t="str">
        <f t="shared" si="6"/>
        <v>蛮王又准备施放技能了，快打断他！</v>
      </c>
      <c r="AU142" s="49" t="s">
        <v>530</v>
      </c>
    </row>
    <row r="143" spans="1:51" s="49" customFormat="1" ht="14">
      <c r="A143" s="49">
        <v>41027</v>
      </c>
      <c r="B143" s="49" t="s">
        <v>410</v>
      </c>
      <c r="C143" s="49">
        <v>1</v>
      </c>
      <c r="D143" s="49" t="s">
        <v>411</v>
      </c>
      <c r="E143" s="49" t="s">
        <v>412</v>
      </c>
      <c r="F143" s="20" t="str">
        <f>VLOOKUP(G143,'#TID_base_up'!B:C,2,0)</f>
        <v>尤里乌斯</v>
      </c>
      <c r="G143" s="49" t="s">
        <v>413</v>
      </c>
      <c r="H143" s="49" t="str">
        <f>VLOOKUP($G143,'#对话模型配置'!$A:$W,MATCH(对话配置表!H$2,'#对话模型配置'!$1:$1,0))</f>
        <v>altasPath</v>
      </c>
      <c r="I143" s="49" t="str">
        <f>VLOOKUP($G143,'#对话模型配置'!$A:$W,MATCH(对话配置表!I$2,'#对话模型配置'!$1:$1,0))</f>
        <v>picture</v>
      </c>
      <c r="J143" s="49" t="s">
        <v>531</v>
      </c>
      <c r="K143" s="84" t="str">
        <f t="shared" si="7"/>
        <v>你的命令，就是我的使命，列队出发！</v>
      </c>
      <c r="T143" s="49">
        <v>1</v>
      </c>
      <c r="U143" s="49">
        <v>4</v>
      </c>
      <c r="V143" s="49">
        <v>0</v>
      </c>
      <c r="X143" s="49">
        <v>3</v>
      </c>
      <c r="Y143" s="49" t="b">
        <v>1</v>
      </c>
      <c r="Z143" s="49" t="s">
        <v>532</v>
      </c>
      <c r="AA143" s="49" t="b">
        <v>0</v>
      </c>
      <c r="AD143" s="49">
        <v>3.55733299255371</v>
      </c>
      <c r="AE143" s="49">
        <v>4.5599999999999996</v>
      </c>
      <c r="AH143" s="49">
        <v>0.1</v>
      </c>
      <c r="AL143" s="48">
        <v>25</v>
      </c>
      <c r="AO143" s="49">
        <v>1</v>
      </c>
      <c r="AT143" s="49" t="str">
        <f t="shared" si="6"/>
        <v>你的命令，就是我的使命，列队出发！</v>
      </c>
      <c r="AU143" s="49" t="s">
        <v>533</v>
      </c>
    </row>
    <row r="144" spans="1:51" s="49" customFormat="1" ht="14">
      <c r="A144" s="49">
        <v>41028</v>
      </c>
      <c r="B144" s="49" t="s">
        <v>410</v>
      </c>
      <c r="C144" s="49">
        <v>1</v>
      </c>
      <c r="D144" s="49" t="s">
        <v>411</v>
      </c>
      <c r="E144" s="49" t="s">
        <v>412</v>
      </c>
      <c r="F144" s="20" t="str">
        <f>VLOOKUP(G144,'#TID_base_up'!B:C,2,0)</f>
        <v>尤里乌斯</v>
      </c>
      <c r="G144" s="49" t="s">
        <v>413</v>
      </c>
      <c r="H144" s="49" t="str">
        <f>VLOOKUP($G144,'#对话模型配置'!$A:$W,MATCH(对话配置表!H$2,'#对话模型配置'!$1:$1,0))</f>
        <v>altasPath</v>
      </c>
      <c r="I144" s="49" t="str">
        <f>VLOOKUP($G144,'#对话模型配置'!$A:$W,MATCH(对话配置表!I$2,'#对话模型配置'!$1:$1,0))</f>
        <v>picture</v>
      </c>
      <c r="J144" s="49" t="s">
        <v>534</v>
      </c>
      <c r="K144" s="84" t="str">
        <f t="shared" si="7"/>
        <v>士兵们，低调点，别让敌人发现了。</v>
      </c>
      <c r="T144" s="49">
        <v>1</v>
      </c>
      <c r="U144" s="49">
        <v>4</v>
      </c>
      <c r="V144" s="49">
        <v>0</v>
      </c>
      <c r="X144" s="49">
        <v>3</v>
      </c>
      <c r="Y144" s="49" t="b">
        <v>1</v>
      </c>
      <c r="Z144" s="49" t="s">
        <v>535</v>
      </c>
      <c r="AA144" s="49" t="b">
        <v>0</v>
      </c>
      <c r="AD144" s="49">
        <v>3.29066705703735</v>
      </c>
      <c r="AE144" s="49">
        <v>4.29</v>
      </c>
      <c r="AH144" s="49">
        <v>0.1</v>
      </c>
      <c r="AL144" s="48">
        <v>25</v>
      </c>
      <c r="AO144" s="49">
        <v>1</v>
      </c>
      <c r="AT144" s="49" t="str">
        <f t="shared" si="6"/>
        <v>士兵们，低调点，别让敌人发现了。</v>
      </c>
      <c r="AU144" s="49" t="s">
        <v>536</v>
      </c>
    </row>
    <row r="145" spans="1:49" s="53" customFormat="1" ht="14">
      <c r="A145" s="53">
        <v>41029</v>
      </c>
      <c r="B145" s="53" t="s">
        <v>410</v>
      </c>
      <c r="C145" s="53">
        <v>1</v>
      </c>
      <c r="D145" s="53" t="s">
        <v>411</v>
      </c>
      <c r="E145" s="53" t="s">
        <v>412</v>
      </c>
      <c r="F145" s="20" t="str">
        <f>VLOOKUP(G145,'#TID_base_up'!B:C,2,0)</f>
        <v>尤里乌斯</v>
      </c>
      <c r="G145" s="53" t="s">
        <v>413</v>
      </c>
      <c r="H145" s="53" t="str">
        <f>VLOOKUP($G145,'#对话模型配置'!$A:$W,MATCH(对话配置表!H$2,'#对话模型配置'!$1:$1,0))</f>
        <v>altasPath</v>
      </c>
      <c r="I145" s="53" t="str">
        <f>VLOOKUP($G145,'#对话模型配置'!$A:$W,MATCH(对话配置表!I$2,'#对话模型配置'!$1:$1,0))</f>
        <v>picture</v>
      </c>
      <c r="J145" s="53" t="s">
        <v>537</v>
      </c>
      <c r="K145" s="84" t="str">
        <f t="shared" si="7"/>
        <v>列队出征，击溃敌人！</v>
      </c>
      <c r="T145" s="53">
        <v>1</v>
      </c>
      <c r="U145" s="53">
        <v>4</v>
      </c>
      <c r="V145" s="53">
        <v>0</v>
      </c>
      <c r="X145" s="53">
        <v>3</v>
      </c>
      <c r="Y145" s="53" t="b">
        <v>1</v>
      </c>
      <c r="AA145" s="53" t="b">
        <v>0</v>
      </c>
      <c r="AD145" s="53">
        <v>3.55733299255371</v>
      </c>
      <c r="AE145" s="53">
        <v>4.5599999999999996</v>
      </c>
      <c r="AH145" s="53">
        <v>0.1</v>
      </c>
      <c r="AL145" s="48">
        <v>25</v>
      </c>
      <c r="AO145" s="53">
        <v>1</v>
      </c>
      <c r="AT145" s="53" t="str">
        <f t="shared" si="6"/>
        <v>列队出征，击溃敌人！</v>
      </c>
      <c r="AU145" s="53" t="s">
        <v>538</v>
      </c>
    </row>
    <row r="146" spans="1:49" s="49" customFormat="1" ht="14">
      <c r="A146" s="49">
        <v>41030</v>
      </c>
      <c r="B146" s="49" t="s">
        <v>410</v>
      </c>
      <c r="C146" s="49">
        <v>1</v>
      </c>
      <c r="D146" s="49" t="s">
        <v>411</v>
      </c>
      <c r="E146" s="49" t="s">
        <v>412</v>
      </c>
      <c r="F146" s="20" t="str">
        <f>VLOOKUP(G146,'#TID_base_up'!B:C,2,0)</f>
        <v>尤里乌斯</v>
      </c>
      <c r="G146" s="49" t="s">
        <v>413</v>
      </c>
      <c r="H146" s="49" t="str">
        <f>VLOOKUP($G146,'#对话模型配置'!$A:$W,MATCH(对话配置表!H$2,'#对话模型配置'!$1:$1,0))</f>
        <v>altasPath</v>
      </c>
      <c r="I146" s="49" t="str">
        <f>VLOOKUP($G146,'#对话模型配置'!$A:$W,MATCH(对话配置表!I$2,'#对话模型配置'!$1:$1,0))</f>
        <v>picture</v>
      </c>
      <c r="J146" s="49" t="s">
        <v>539</v>
      </c>
      <c r="K146" s="84" t="str">
        <f t="shared" si="7"/>
        <v>剑士克制枪兵！我们有兵种优势！随我冲散他们！</v>
      </c>
      <c r="T146" s="49">
        <v>1</v>
      </c>
      <c r="U146" s="49">
        <v>4</v>
      </c>
      <c r="V146" s="49">
        <v>0</v>
      </c>
      <c r="X146" s="49">
        <v>3</v>
      </c>
      <c r="Y146" s="49" t="b">
        <v>1</v>
      </c>
      <c r="Z146" s="49" t="s">
        <v>540</v>
      </c>
      <c r="AA146" s="49" t="b">
        <v>0</v>
      </c>
      <c r="AD146" s="49">
        <v>5.2126669883728001</v>
      </c>
      <c r="AE146" s="49">
        <v>6.21</v>
      </c>
      <c r="AH146" s="49">
        <v>0.1</v>
      </c>
      <c r="AL146" s="48">
        <v>25</v>
      </c>
      <c r="AO146" s="49">
        <v>1</v>
      </c>
      <c r="AT146" s="49" t="str">
        <f t="shared" si="6"/>
        <v>剑士克制枪兵！我们有兵种优势！随我冲散他们！</v>
      </c>
      <c r="AU146" s="49" t="s">
        <v>541</v>
      </c>
    </row>
    <row r="147" spans="1:49" s="49" customFormat="1" ht="14">
      <c r="A147" s="49">
        <v>41031</v>
      </c>
      <c r="B147" s="49" t="s">
        <v>410</v>
      </c>
      <c r="C147" s="49">
        <v>1</v>
      </c>
      <c r="D147" s="49" t="s">
        <v>411</v>
      </c>
      <c r="E147" s="49" t="s">
        <v>412</v>
      </c>
      <c r="F147" s="20" t="str">
        <f>VLOOKUP(G147,'#TID_base_up'!B:C,2,0)</f>
        <v>尤里乌斯</v>
      </c>
      <c r="G147" s="49" t="s">
        <v>413</v>
      </c>
      <c r="H147" s="49" t="str">
        <f>VLOOKUP($G147,'#对话模型配置'!$A:$W,MATCH(对话配置表!H$2,'#对话模型配置'!$1:$1,0))</f>
        <v>altasPath</v>
      </c>
      <c r="I147" s="49" t="str">
        <f>VLOOKUP($G147,'#对话模型配置'!$A:$W,MATCH(对话配置表!I$2,'#对话模型配置'!$1:$1,0))</f>
        <v>picture</v>
      </c>
      <c r="J147" s="49" t="s">
        <v>542</v>
      </c>
      <c r="K147" s="84" t="str">
        <f t="shared" si="7"/>
        <v>听我号令，全军出击，碾碎他们！</v>
      </c>
      <c r="T147" s="49">
        <v>1</v>
      </c>
      <c r="U147" s="49">
        <v>4</v>
      </c>
      <c r="V147" s="49">
        <v>0</v>
      </c>
      <c r="X147" s="49">
        <v>3</v>
      </c>
      <c r="Y147" s="49" t="b">
        <v>1</v>
      </c>
      <c r="Z147" s="49" t="s">
        <v>543</v>
      </c>
      <c r="AA147" s="49" t="b">
        <v>0</v>
      </c>
      <c r="AD147" s="49">
        <v>3.9040000438690199</v>
      </c>
      <c r="AE147" s="49">
        <v>4.9000000000000004</v>
      </c>
      <c r="AH147" s="49">
        <v>0.1</v>
      </c>
      <c r="AL147" s="48">
        <v>25</v>
      </c>
      <c r="AO147" s="49">
        <v>1</v>
      </c>
      <c r="AT147" s="49" t="str">
        <f t="shared" si="6"/>
        <v>听我号令，全军出击，碾碎他们！</v>
      </c>
      <c r="AU147" s="49" t="s">
        <v>544</v>
      </c>
    </row>
    <row r="148" spans="1:49" s="49" customFormat="1" ht="14">
      <c r="A148" s="49">
        <v>41032</v>
      </c>
      <c r="B148" s="49" t="s">
        <v>410</v>
      </c>
      <c r="C148" s="49">
        <v>1</v>
      </c>
      <c r="D148" s="49" t="s">
        <v>411</v>
      </c>
      <c r="E148" s="49" t="s">
        <v>412</v>
      </c>
      <c r="F148" s="20" t="str">
        <f>VLOOKUP(G148,'#TID_base_up'!B:C,2,0)</f>
        <v>皇帝</v>
      </c>
      <c r="G148" s="49" t="s">
        <v>488</v>
      </c>
      <c r="H148" s="49" t="str">
        <f>VLOOKUP($G148,'#对话模型配置'!$A:$W,MATCH(对话配置表!H$2,'#对话模型配置'!$1:$1,0))</f>
        <v>altasPath</v>
      </c>
      <c r="I148" s="49" t="str">
        <f>VLOOKUP($G148,'#对话模型配置'!$A:$W,MATCH(对话配置表!I$2,'#对话模型配置'!$1:$1,0))</f>
        <v>picture</v>
      </c>
      <c r="J148" s="49" t="s">
        <v>545</v>
      </c>
      <c r="K148" s="84" t="str">
        <f t="shared" si="7"/>
        <v>帝国将士们…我以皇帝之名下令…撤离战场！</v>
      </c>
      <c r="T148" s="49">
        <v>1</v>
      </c>
      <c r="U148" s="49">
        <v>4</v>
      </c>
      <c r="V148" s="49">
        <v>0</v>
      </c>
      <c r="X148" s="49">
        <v>3</v>
      </c>
      <c r="Y148" s="49" t="b">
        <v>1</v>
      </c>
      <c r="Z148" s="49" t="s">
        <v>546</v>
      </c>
      <c r="AA148" s="49" t="b">
        <v>0</v>
      </c>
      <c r="AD148" s="49">
        <v>6.0888328552246103</v>
      </c>
      <c r="AE148" s="49">
        <v>7.09</v>
      </c>
      <c r="AH148" s="49">
        <v>0.1</v>
      </c>
      <c r="AL148" s="48">
        <v>25</v>
      </c>
      <c r="AO148" s="49">
        <v>32</v>
      </c>
      <c r="AT148" s="49" t="str">
        <f t="shared" si="6"/>
        <v>帝国将士们…我以皇帝之名下令…撤离战场！</v>
      </c>
      <c r="AU148" s="49" t="s">
        <v>547</v>
      </c>
    </row>
    <row r="149" spans="1:49" s="48" customFormat="1" ht="28">
      <c r="A149" s="48">
        <v>41033</v>
      </c>
      <c r="B149" s="48" t="s">
        <v>410</v>
      </c>
      <c r="C149" s="48">
        <v>1</v>
      </c>
      <c r="D149" s="48" t="s">
        <v>411</v>
      </c>
      <c r="E149" s="48" t="s">
        <v>412</v>
      </c>
      <c r="F149" s="20" t="str">
        <f>VLOOKUP(G149,'#TID_base_up'!B:C,2,0)</f>
        <v>安德莉娅</v>
      </c>
      <c r="G149" s="48" t="s">
        <v>467</v>
      </c>
      <c r="H149" s="48" t="str">
        <f>VLOOKUP($G149,'#对话模型配置'!$A:$W,MATCH(对话配置表!H$2,'#对话模型配置'!$1:$1,0))</f>
        <v>altasPath</v>
      </c>
      <c r="I149" s="48" t="str">
        <f>VLOOKUP($G149,'#对话模型配置'!$A:$W,MATCH(对话配置表!I$2,'#对话模型配置'!$1:$1,0))</f>
        <v>picture</v>
      </c>
      <c r="J149" s="48" t="s">
        <v>548</v>
      </c>
      <c r="K149" s="84" t="str">
        <f t="shared" si="7"/>
        <v>领主大人，擒贼先擒王，快&lt;color=#FFCC71&gt;集合队伍&lt;/color&gt;全力进攻敌人头目！</v>
      </c>
      <c r="T149" s="48">
        <v>1</v>
      </c>
      <c r="U149" s="48">
        <v>1</v>
      </c>
      <c r="V149" s="48">
        <v>0</v>
      </c>
      <c r="X149" s="48">
        <v>3</v>
      </c>
      <c r="Y149" s="48" t="b">
        <v>1</v>
      </c>
      <c r="Z149" s="48" t="s">
        <v>549</v>
      </c>
      <c r="AA149" s="48" t="b">
        <v>0</v>
      </c>
      <c r="AC149" s="48">
        <v>20001012</v>
      </c>
      <c r="AD149" s="48">
        <v>6.0386672019958496</v>
      </c>
      <c r="AE149" s="48">
        <v>7.04</v>
      </c>
      <c r="AH149" s="48">
        <v>0.1</v>
      </c>
      <c r="AL149" s="48">
        <v>25</v>
      </c>
      <c r="AM149" s="48">
        <f>VLOOKUP($F149,'#对话模型配置'!$A:$W,MATCH(对话配置表!AM$2,'#对话模型配置'!$1:$1,0),FALSE)</f>
        <v>30001001</v>
      </c>
      <c r="AN149" s="48" t="s">
        <v>550</v>
      </c>
      <c r="AT149" s="48" t="str">
        <f t="shared" si="6"/>
        <v>领主大人，擒贼先擒王，快&lt;color=#FFCC71&gt;集合队伍&lt;/color&gt;全力进攻敌人头目！</v>
      </c>
      <c r="AU149" s="48" t="s">
        <v>551</v>
      </c>
      <c r="AW149" s="48" t="s">
        <v>552</v>
      </c>
    </row>
    <row r="150" spans="1:49" s="49" customFormat="1" ht="14">
      <c r="A150" s="49">
        <v>41034</v>
      </c>
      <c r="B150" s="49" t="s">
        <v>410</v>
      </c>
      <c r="C150" s="49">
        <v>1</v>
      </c>
      <c r="D150" s="49" t="s">
        <v>411</v>
      </c>
      <c r="E150" s="49" t="s">
        <v>412</v>
      </c>
      <c r="F150" s="20" t="str">
        <f>VLOOKUP(G150,'#TID_base_up'!B:C,2,0)</f>
        <v>尤里乌斯</v>
      </c>
      <c r="G150" s="49" t="s">
        <v>413</v>
      </c>
      <c r="H150" s="49" t="str">
        <f>VLOOKUP($G150,'#对话模型配置'!$A:$W,MATCH(对话配置表!H$2,'#对话模型配置'!$1:$1,0))</f>
        <v>altasPath</v>
      </c>
      <c r="I150" s="49" t="str">
        <f>VLOOKUP($G150,'#对话模型配置'!$A:$W,MATCH(对话配置表!I$2,'#对话模型配置'!$1:$1,0))</f>
        <v>picture</v>
      </c>
      <c r="J150" s="49" t="s">
        <v>553</v>
      </c>
      <c r="K150" s="84" t="str">
        <f t="shared" si="7"/>
        <v>守住阵线！只要我们在，帝国一定可以翻盘！</v>
      </c>
      <c r="T150" s="49">
        <v>1</v>
      </c>
      <c r="U150" s="49">
        <v>4</v>
      </c>
      <c r="V150" s="49">
        <v>0</v>
      </c>
      <c r="X150" s="49">
        <v>3</v>
      </c>
      <c r="Y150" s="49" t="b">
        <v>1</v>
      </c>
      <c r="Z150" s="49" t="s">
        <v>554</v>
      </c>
      <c r="AA150" s="49" t="b">
        <v>0</v>
      </c>
      <c r="AD150" s="49">
        <v>4.9046669006347701</v>
      </c>
      <c r="AE150" s="49">
        <v>5.9</v>
      </c>
      <c r="AH150" s="49">
        <v>0.1</v>
      </c>
      <c r="AL150" s="48">
        <v>25</v>
      </c>
      <c r="AO150" s="49">
        <v>1</v>
      </c>
      <c r="AT150" s="49" t="str">
        <f t="shared" si="6"/>
        <v>守住阵线！只要我们在，帝国一定可以翻盘！</v>
      </c>
      <c r="AU150" s="49" t="s">
        <v>555</v>
      </c>
    </row>
    <row r="151" spans="1:49" s="49" customFormat="1" ht="14">
      <c r="A151" s="49">
        <v>41035</v>
      </c>
      <c r="B151" s="49" t="s">
        <v>410</v>
      </c>
      <c r="C151" s="49">
        <v>1</v>
      </c>
      <c r="D151" s="49" t="s">
        <v>411</v>
      </c>
      <c r="E151" s="49" t="s">
        <v>412</v>
      </c>
      <c r="F151" s="20" t="str">
        <f>VLOOKUP(G151,'#TID_base_up'!B:C,2,0)</f>
        <v>安德莉娅</v>
      </c>
      <c r="G151" s="49" t="s">
        <v>467</v>
      </c>
      <c r="H151" s="49" t="str">
        <f>VLOOKUP($G151,'#对话模型配置'!$A:$W,MATCH(对话配置表!H$2,'#对话模型配置'!$1:$1,0))</f>
        <v>altasPath</v>
      </c>
      <c r="I151" s="49" t="str">
        <f>VLOOKUP($G151,'#对话模型配置'!$A:$W,MATCH(对话配置表!I$2,'#对话模型配置'!$1:$1,0))</f>
        <v>picture</v>
      </c>
      <c r="J151" s="49" t="s">
        <v>528</v>
      </c>
      <c r="K151" s="84" t="str">
        <f t="shared" si="7"/>
        <v>蛮王又准备施放技能了，快打断他！</v>
      </c>
      <c r="T151" s="49">
        <v>1</v>
      </c>
      <c r="U151" s="49">
        <v>4</v>
      </c>
      <c r="V151" s="49">
        <v>0</v>
      </c>
      <c r="X151" s="49">
        <v>3</v>
      </c>
      <c r="Y151" s="49" t="b">
        <v>1</v>
      </c>
      <c r="Z151" s="49" t="s">
        <v>529</v>
      </c>
      <c r="AA151" s="49" t="b">
        <v>1</v>
      </c>
      <c r="AD151" s="49">
        <v>3.0566670894622798</v>
      </c>
      <c r="AE151" s="49">
        <v>4.0599999999999996</v>
      </c>
      <c r="AH151" s="49">
        <v>0.1</v>
      </c>
      <c r="AL151" s="48">
        <v>25</v>
      </c>
      <c r="AO151" s="49">
        <v>17</v>
      </c>
      <c r="AT151" s="49" t="str">
        <f t="shared" si="6"/>
        <v>蛮王又准备施放技能了，快打断他！</v>
      </c>
      <c r="AU151" s="49" t="s">
        <v>530</v>
      </c>
    </row>
    <row r="152" spans="1:49" s="49" customFormat="1" ht="14">
      <c r="A152" s="68">
        <v>41036</v>
      </c>
      <c r="B152" s="49" t="s">
        <v>410</v>
      </c>
      <c r="C152" s="49">
        <v>1</v>
      </c>
      <c r="D152" s="49" t="s">
        <v>411</v>
      </c>
      <c r="E152" s="49" t="s">
        <v>412</v>
      </c>
      <c r="F152" s="20" t="str">
        <f>VLOOKUP(G152,'#TID_base_up'!B:C,2,0)</f>
        <v>蛮王</v>
      </c>
      <c r="G152" s="49" t="s">
        <v>484</v>
      </c>
      <c r="H152" s="49" t="str">
        <f>VLOOKUP($G152,'#对话模型配置'!$A:$W,MATCH(对话配置表!H$2,'#对话模型配置'!$1:$1,0))</f>
        <v>altasPath</v>
      </c>
      <c r="I152" s="49" t="str">
        <f>VLOOKUP($G152,'#对话模型配置'!$A:$W,MATCH(对话配置表!I$2,'#对话模型配置'!$1:$1,0))</f>
        <v>picture</v>
      </c>
      <c r="J152" s="49" t="s">
        <v>556</v>
      </c>
      <c r="K152" s="84" t="str">
        <f t="shared" si="7"/>
        <v>蛮族大军即将横扫整个帝国，你们无路可逃！</v>
      </c>
      <c r="T152" s="49">
        <v>1</v>
      </c>
      <c r="U152" s="49">
        <v>4</v>
      </c>
      <c r="V152" s="49">
        <v>0</v>
      </c>
      <c r="X152" s="49">
        <v>3</v>
      </c>
      <c r="Y152" s="49" t="b">
        <v>1</v>
      </c>
      <c r="Z152" s="49" t="s">
        <v>557</v>
      </c>
      <c r="AA152" s="49" t="b">
        <v>0</v>
      </c>
      <c r="AD152" s="49">
        <v>5.2593331336975098</v>
      </c>
      <c r="AE152" s="49">
        <v>6.26</v>
      </c>
      <c r="AH152" s="49">
        <v>0.1</v>
      </c>
      <c r="AL152" s="48">
        <v>25</v>
      </c>
      <c r="AO152" s="49">
        <v>23</v>
      </c>
      <c r="AT152" s="49" t="str">
        <f t="shared" si="6"/>
        <v>蛮族大军即将横扫整个帝国，你们无路可逃！</v>
      </c>
      <c r="AU152" s="49" t="s">
        <v>558</v>
      </c>
    </row>
    <row r="153" spans="1:49" s="54" customFormat="1">
      <c r="F153" s="20" t="e">
        <f>VLOOKUP(G153,'#TID_base_up'!B:C,2,0)</f>
        <v>#N/A</v>
      </c>
      <c r="K153" s="98"/>
      <c r="AA153" s="54" t="b">
        <v>0</v>
      </c>
      <c r="AT153" s="54" t="str">
        <f t="shared" si="6"/>
        <v/>
      </c>
    </row>
    <row r="154" spans="1:49" s="48" customFormat="1" ht="28">
      <c r="A154" s="48">
        <v>41101</v>
      </c>
      <c r="B154" s="48" t="s">
        <v>410</v>
      </c>
      <c r="C154" s="48">
        <v>1</v>
      </c>
      <c r="D154" s="48" t="s">
        <v>411</v>
      </c>
      <c r="E154" s="48" t="s">
        <v>559</v>
      </c>
      <c r="F154" s="20" t="str">
        <f>VLOOKUP(G154,'#TID_base_up'!B:C,2,0)</f>
        <v>凯撒</v>
      </c>
      <c r="G154" s="48" t="s">
        <v>560</v>
      </c>
      <c r="H154" s="48" t="str">
        <f>VLOOKUP($G154,'#对话模型配置'!$A:$W,MATCH(对话配置表!H$2,'#对话模型配置'!$1:$1,0))</f>
        <v>altasPath</v>
      </c>
      <c r="I154" s="48" t="str">
        <f>VLOOKUP($G154,'#对话模型配置'!$A:$W,MATCH(对话配置表!I$2,'#对话模型配置'!$1:$1,0))</f>
        <v>picture</v>
      </c>
      <c r="J154" s="48" t="s">
        <v>561</v>
      </c>
      <c r="K154" s="84" t="str">
        <f t="shared" ref="K154:K174" si="8">AT154</f>
        <v>大人，&lt;color=#FFCC71&gt;城门已被蛮族攻破&lt;/color&gt;！我们要加快些，皇帝陛下的情况已经很危急了！</v>
      </c>
      <c r="U154" s="48">
        <v>1</v>
      </c>
      <c r="V154" s="48">
        <v>0</v>
      </c>
      <c r="X154" s="48">
        <v>3</v>
      </c>
      <c r="Y154" s="48" t="b">
        <v>0</v>
      </c>
      <c r="Z154" s="48" t="s">
        <v>562</v>
      </c>
      <c r="AA154" s="48" t="b">
        <v>0</v>
      </c>
      <c r="AC154" s="48">
        <v>20001007</v>
      </c>
      <c r="AD154" s="48">
        <v>6.4186668395996103</v>
      </c>
      <c r="AE154" s="48">
        <f t="shared" ref="AE154:AE174" si="9">AD154+1</f>
        <v>7.4186668395996103</v>
      </c>
      <c r="AH154" s="48">
        <v>1.5</v>
      </c>
      <c r="AL154" s="48">
        <v>25</v>
      </c>
      <c r="AM154" s="48">
        <f>VLOOKUP($F154,'#对话模型配置'!$A:$W,MATCH(对话配置表!AM$2,'#对话模型配置'!$1:$1,0),FALSE)</f>
        <v>0</v>
      </c>
      <c r="AN154" s="48" t="s">
        <v>416</v>
      </c>
      <c r="AT154" s="48" t="str">
        <f t="shared" si="6"/>
        <v>大人，&lt;color=#FFCC71&gt;城门已被蛮族攻破&lt;/color&gt;！我们要加快些，皇帝陛下的情况已经很危急了！</v>
      </c>
      <c r="AU154" s="48" t="s">
        <v>563</v>
      </c>
      <c r="AW154" s="48" t="s">
        <v>418</v>
      </c>
    </row>
    <row r="155" spans="1:49" s="55" customFormat="1" ht="14">
      <c r="A155" s="55">
        <v>41102</v>
      </c>
      <c r="B155" s="55" t="s">
        <v>410</v>
      </c>
      <c r="C155" s="55">
        <v>1</v>
      </c>
      <c r="D155" s="55" t="s">
        <v>411</v>
      </c>
      <c r="E155" s="55" t="s">
        <v>559</v>
      </c>
      <c r="F155" s="20" t="str">
        <f>VLOOKUP(G155,'#TID_base_up'!B:C,2,0)</f>
        <v>帝国斥候</v>
      </c>
      <c r="G155" s="55" t="s">
        <v>425</v>
      </c>
      <c r="H155" s="55" t="str">
        <f>VLOOKUP($G155,'#对话模型配置'!$A:$W,MATCH(对话配置表!H$2,'#对话模型配置'!$1:$1,0))</f>
        <v>altasPath</v>
      </c>
      <c r="I155" s="55" t="str">
        <f>VLOOKUP($G155,'#对话模型配置'!$A:$W,MATCH(对话配置表!I$2,'#对话模型配置'!$1:$1,0))</f>
        <v>picture</v>
      </c>
      <c r="J155" s="55" t="s">
        <v>455</v>
      </c>
      <c r="K155" s="84" t="str">
        <f t="shared" si="8"/>
        <v>撑住！援军快要来了！</v>
      </c>
      <c r="U155" s="55">
        <v>4</v>
      </c>
      <c r="V155" s="55">
        <v>1</v>
      </c>
      <c r="X155" s="55">
        <v>3</v>
      </c>
      <c r="Y155" s="55" t="b">
        <v>0</v>
      </c>
      <c r="Z155" s="55" t="s">
        <v>564</v>
      </c>
      <c r="AA155" s="55" t="b">
        <v>0</v>
      </c>
      <c r="AD155" s="55">
        <v>2.7520000934600799</v>
      </c>
      <c r="AE155" s="48">
        <f t="shared" si="9"/>
        <v>3.7520000934600799</v>
      </c>
      <c r="AF155" s="48"/>
      <c r="AG155" s="48"/>
      <c r="AH155" s="55">
        <v>1.5</v>
      </c>
      <c r="AL155" s="55">
        <v>25</v>
      </c>
      <c r="AO155" s="55">
        <v>6</v>
      </c>
      <c r="AQ155" s="55" t="s">
        <v>428</v>
      </c>
      <c r="AT155" s="55" t="str">
        <f t="shared" si="6"/>
        <v>撑住！援军快要来了！</v>
      </c>
      <c r="AU155" s="55" t="s">
        <v>457</v>
      </c>
    </row>
    <row r="156" spans="1:49" s="49" customFormat="1" ht="14">
      <c r="A156" s="49">
        <v>41103</v>
      </c>
      <c r="B156" s="49" t="s">
        <v>410</v>
      </c>
      <c r="C156" s="49">
        <v>1</v>
      </c>
      <c r="D156" s="55" t="s">
        <v>411</v>
      </c>
      <c r="E156" s="55" t="s">
        <v>559</v>
      </c>
      <c r="F156" s="20" t="str">
        <f>VLOOKUP(G156,'#TID_base_up'!B:C,2,0)</f>
        <v>凯撒</v>
      </c>
      <c r="G156" s="49" t="s">
        <v>560</v>
      </c>
      <c r="H156" s="49" t="str">
        <f>VLOOKUP($G156,'#对话模型配置'!$A:$W,MATCH(对话配置表!H$2,'#对话模型配置'!$1:$1,0))</f>
        <v>altasPath</v>
      </c>
      <c r="I156" s="49" t="str">
        <f>VLOOKUP($G156,'#对话模型配置'!$A:$W,MATCH(对话配置表!I$2,'#对话模型配置'!$1:$1,0))</f>
        <v>picture</v>
      </c>
      <c r="J156" s="49" t="s">
        <v>565</v>
      </c>
      <c r="K156" s="84" t="str">
        <f t="shared" si="8"/>
        <v>剑士克制枪兵！利用我们的兵种优势，冲散他们！</v>
      </c>
      <c r="T156" s="55"/>
      <c r="U156" s="49">
        <v>4</v>
      </c>
      <c r="V156" s="49">
        <v>0</v>
      </c>
      <c r="X156" s="49">
        <v>3</v>
      </c>
      <c r="Y156" s="49" t="b">
        <v>1</v>
      </c>
      <c r="Z156" s="49" t="s">
        <v>566</v>
      </c>
      <c r="AA156" s="49" t="b">
        <v>0</v>
      </c>
      <c r="AD156" s="49">
        <v>5.5786671638488796</v>
      </c>
      <c r="AE156" s="48">
        <f t="shared" si="9"/>
        <v>6.5786671638488796</v>
      </c>
      <c r="AF156" s="48"/>
      <c r="AG156" s="48"/>
      <c r="AH156" s="49">
        <v>0.1</v>
      </c>
      <c r="AL156" s="55">
        <v>25</v>
      </c>
      <c r="AO156" s="49">
        <v>1</v>
      </c>
      <c r="AT156" s="49" t="str">
        <f t="shared" si="6"/>
        <v>剑士克制枪兵！利用我们的兵种优势，冲散他们！</v>
      </c>
      <c r="AU156" s="49" t="s">
        <v>567</v>
      </c>
    </row>
    <row r="157" spans="1:49" s="49" customFormat="1" ht="14">
      <c r="A157" s="49">
        <v>41104</v>
      </c>
      <c r="B157" s="49" t="s">
        <v>410</v>
      </c>
      <c r="C157" s="49">
        <v>1</v>
      </c>
      <c r="D157" s="55" t="s">
        <v>411</v>
      </c>
      <c r="E157" s="55" t="s">
        <v>559</v>
      </c>
      <c r="F157" s="20" t="str">
        <f>VLOOKUP(G157,'#TID_base_up'!B:C,2,0)</f>
        <v>帝国斥候</v>
      </c>
      <c r="G157" s="49" t="s">
        <v>425</v>
      </c>
      <c r="H157" s="49" t="str">
        <f>VLOOKUP($G157,'#对话模型配置'!$A:$W,MATCH(对话配置表!H$2,'#对话模型配置'!$1:$1,0))</f>
        <v>altasPath</v>
      </c>
      <c r="I157" s="49" t="str">
        <f>VLOOKUP($G157,'#对话模型配置'!$A:$W,MATCH(对话配置表!I$2,'#对话模型配置'!$1:$1,0))</f>
        <v>picture</v>
      </c>
      <c r="J157" s="49" t="s">
        <v>568</v>
      </c>
      <c r="K157" s="84" t="str">
        <f t="shared" si="8"/>
        <v>敌人处于残血状态！快使用[主将技能]收割他们！</v>
      </c>
      <c r="T157" s="55"/>
      <c r="U157" s="49">
        <v>4</v>
      </c>
      <c r="V157" s="49">
        <v>2</v>
      </c>
      <c r="X157" s="49">
        <v>3</v>
      </c>
      <c r="Y157" s="49" t="b">
        <v>1</v>
      </c>
      <c r="Z157" s="49" t="s">
        <v>569</v>
      </c>
      <c r="AA157" s="49" t="b">
        <v>1</v>
      </c>
      <c r="AD157" s="49">
        <v>4.0799999237060502</v>
      </c>
      <c r="AE157" s="48">
        <f t="shared" si="9"/>
        <v>5.0799999237060502</v>
      </c>
      <c r="AF157" s="48"/>
      <c r="AG157" s="48"/>
      <c r="AH157" s="49">
        <v>0.1</v>
      </c>
      <c r="AL157" s="55">
        <v>25</v>
      </c>
      <c r="AO157" s="49">
        <v>1</v>
      </c>
      <c r="AQ157" s="49" t="s">
        <v>450</v>
      </c>
      <c r="AT157" s="49" t="str">
        <f t="shared" si="6"/>
        <v>敌人处于残血状态！快使用[主将技能]收割他们！</v>
      </c>
      <c r="AU157" s="49" t="s">
        <v>570</v>
      </c>
    </row>
    <row r="158" spans="1:49" s="49" customFormat="1" ht="14">
      <c r="A158" s="49">
        <v>41105</v>
      </c>
      <c r="B158" s="49" t="s">
        <v>410</v>
      </c>
      <c r="C158" s="49">
        <v>1</v>
      </c>
      <c r="D158" s="55" t="s">
        <v>411</v>
      </c>
      <c r="E158" s="55" t="s">
        <v>559</v>
      </c>
      <c r="F158" s="20" t="str">
        <f>VLOOKUP(G158,'#TID_base_up'!B:C,2,0)</f>
        <v>安德莉娅</v>
      </c>
      <c r="G158" s="49" t="s">
        <v>467</v>
      </c>
      <c r="H158" s="49" t="str">
        <f>VLOOKUP($G158,'#对话模型配置'!$A:$W,MATCH(对话配置表!H$2,'#对话模型配置'!$1:$1,0))</f>
        <v>altasPath</v>
      </c>
      <c r="I158" s="49" t="str">
        <f>VLOOKUP($G158,'#对话模型配置'!$A:$W,MATCH(对话配置表!I$2,'#对话模型配置'!$1:$1,0))</f>
        <v>picture</v>
      </c>
      <c r="J158" s="49" t="s">
        <v>571</v>
      </c>
      <c r="K158" s="84" t="str">
        <f t="shared" si="8"/>
        <v>还以为你们有多厉害呢，原来就这点能耐吗？</v>
      </c>
      <c r="T158" s="55"/>
      <c r="U158" s="49">
        <v>4</v>
      </c>
      <c r="V158" s="49">
        <v>0</v>
      </c>
      <c r="X158" s="49">
        <v>3</v>
      </c>
      <c r="Y158" s="49" t="b">
        <v>1</v>
      </c>
      <c r="Z158" s="49" t="s">
        <v>572</v>
      </c>
      <c r="AA158" s="49" t="b">
        <v>0</v>
      </c>
      <c r="AD158" s="49">
        <v>4.2639999389648402</v>
      </c>
      <c r="AE158" s="48">
        <f t="shared" si="9"/>
        <v>5.2639999389648402</v>
      </c>
      <c r="AF158" s="48"/>
      <c r="AG158" s="48"/>
      <c r="AH158" s="49">
        <v>0.1</v>
      </c>
      <c r="AL158" s="55">
        <v>25</v>
      </c>
      <c r="AO158" s="49">
        <v>17</v>
      </c>
      <c r="AQ158" s="96" t="s">
        <v>470</v>
      </c>
      <c r="AT158" s="49" t="str">
        <f t="shared" si="6"/>
        <v>还以为你们有多厉害呢，原来就这点能耐吗？</v>
      </c>
      <c r="AU158" s="49" t="s">
        <v>573</v>
      </c>
    </row>
    <row r="159" spans="1:49" s="49" customFormat="1" ht="14">
      <c r="A159" s="49">
        <v>41106</v>
      </c>
      <c r="B159" s="49" t="s">
        <v>410</v>
      </c>
      <c r="C159" s="49">
        <v>1</v>
      </c>
      <c r="D159" s="55" t="s">
        <v>411</v>
      </c>
      <c r="E159" s="55" t="s">
        <v>559</v>
      </c>
      <c r="F159" s="20" t="str">
        <f>VLOOKUP(G159,'#TID_base_up'!B:C,2,0)</f>
        <v>蛮族前锋</v>
      </c>
      <c r="G159" s="49" t="s">
        <v>472</v>
      </c>
      <c r="H159" s="49" t="str">
        <f>VLOOKUP($G159,'#对话模型配置'!$A:$W,MATCH(对话配置表!H$2,'#对话模型配置'!$1:$1,0))</f>
        <v>altasPath</v>
      </c>
      <c r="I159" s="49" t="str">
        <f>VLOOKUP($G159,'#对话模型配置'!$A:$W,MATCH(对话配置表!I$2,'#对话模型配置'!$1:$1,0))</f>
        <v>picture</v>
      </c>
      <c r="J159" s="49" t="s">
        <v>473</v>
      </c>
      <c r="K159" s="84" t="str">
        <f t="shared" si="8"/>
        <v>牙尖嘴利，一会儿看我怎么收拾你！</v>
      </c>
      <c r="T159" s="55"/>
      <c r="U159" s="49">
        <v>4</v>
      </c>
      <c r="V159" s="49">
        <v>0</v>
      </c>
      <c r="X159" s="49">
        <v>3</v>
      </c>
      <c r="Y159" s="49" t="b">
        <v>1</v>
      </c>
      <c r="Z159" s="49" t="s">
        <v>574</v>
      </c>
      <c r="AA159" s="49" t="b">
        <v>0</v>
      </c>
      <c r="AD159" s="49">
        <v>2.31200003623962</v>
      </c>
      <c r="AE159" s="48">
        <f t="shared" si="9"/>
        <v>3.31200003623962</v>
      </c>
      <c r="AF159" s="48"/>
      <c r="AG159" s="48"/>
      <c r="AH159" s="49">
        <v>0.1</v>
      </c>
      <c r="AL159" s="55">
        <v>25</v>
      </c>
      <c r="AO159" s="49">
        <v>17</v>
      </c>
      <c r="AQ159" s="96" t="s">
        <v>475</v>
      </c>
      <c r="AT159" s="49" t="str">
        <f t="shared" si="6"/>
        <v>牙尖嘴利，一会儿看我怎么收拾你！</v>
      </c>
      <c r="AU159" s="49" t="s">
        <v>476</v>
      </c>
    </row>
    <row r="160" spans="1:49" s="49" customFormat="1" ht="14">
      <c r="A160" s="49">
        <v>41107</v>
      </c>
      <c r="B160" s="49" t="s">
        <v>410</v>
      </c>
      <c r="C160" s="49">
        <v>1</v>
      </c>
      <c r="D160" s="55" t="s">
        <v>411</v>
      </c>
      <c r="E160" s="55" t="s">
        <v>559</v>
      </c>
      <c r="F160" s="20" t="str">
        <f>VLOOKUP(G160,'#TID_base_up'!B:C,2,0)</f>
        <v>凯撒</v>
      </c>
      <c r="G160" s="49" t="s">
        <v>560</v>
      </c>
      <c r="H160" s="49" t="str">
        <f>VLOOKUP($G160,'#对话模型配置'!$A:$W,MATCH(对话配置表!H$2,'#对话模型配置'!$1:$1,0))</f>
        <v>altasPath</v>
      </c>
      <c r="I160" s="49" t="str">
        <f>VLOOKUP($G160,'#对话模型配置'!$A:$W,MATCH(对话配置表!I$2,'#对话模型配置'!$1:$1,0))</f>
        <v>picture</v>
      </c>
      <c r="J160" s="49" t="s">
        <v>575</v>
      </c>
      <c r="K160" s="84" t="str">
        <f t="shared" si="8"/>
        <v>别怕，公主殿下！有我凯撒在，他们……</v>
      </c>
      <c r="T160" s="55"/>
      <c r="U160" s="49">
        <v>4</v>
      </c>
      <c r="V160" s="49">
        <v>0</v>
      </c>
      <c r="X160" s="49">
        <v>3</v>
      </c>
      <c r="Y160" s="49" t="b">
        <v>1</v>
      </c>
      <c r="Z160" s="49" t="s">
        <v>576</v>
      </c>
      <c r="AA160" s="49" t="b">
        <v>0</v>
      </c>
      <c r="AD160" s="49">
        <v>5.1946668624877903</v>
      </c>
      <c r="AE160" s="48">
        <f t="shared" si="9"/>
        <v>6.1946668624877903</v>
      </c>
      <c r="AF160" s="48"/>
      <c r="AG160" s="48"/>
      <c r="AH160" s="49">
        <v>0.1</v>
      </c>
      <c r="AL160" s="55">
        <v>25</v>
      </c>
      <c r="AO160" s="49">
        <v>1</v>
      </c>
      <c r="AQ160" s="49" t="s">
        <v>450</v>
      </c>
      <c r="AT160" s="49" t="str">
        <f t="shared" si="6"/>
        <v>别怕，公主殿下！有我凯撒在，他们……</v>
      </c>
      <c r="AU160" s="49" t="s">
        <v>577</v>
      </c>
    </row>
    <row r="161" spans="1:50" s="49" customFormat="1" ht="14">
      <c r="A161" s="49">
        <v>41108</v>
      </c>
      <c r="B161" s="49" t="s">
        <v>410</v>
      </c>
      <c r="C161" s="49">
        <v>1</v>
      </c>
      <c r="D161" s="55" t="s">
        <v>411</v>
      </c>
      <c r="E161" s="55" t="s">
        <v>559</v>
      </c>
      <c r="F161" s="20" t="str">
        <f>VLOOKUP(G161,'#TID_base_up'!B:C,2,0)</f>
        <v>安德莉娅</v>
      </c>
      <c r="G161" s="49" t="s">
        <v>467</v>
      </c>
      <c r="H161" s="49" t="str">
        <f>VLOOKUP($G161,'#对话模型配置'!$A:$W,MATCH(对话配置表!H$2,'#对话模型配置'!$1:$1,0))</f>
        <v>altasPath</v>
      </c>
      <c r="I161" s="49" t="str">
        <f>VLOOKUP($G161,'#对话模型配置'!$A:$W,MATCH(对话配置表!I$2,'#对话模型配置'!$1:$1,0))</f>
        <v>picture</v>
      </c>
      <c r="J161" s="49" t="s">
        <v>578</v>
      </c>
      <c r="K161" s="84" t="str">
        <f t="shared" si="8"/>
        <v>别废话了，快过来帮帮我！</v>
      </c>
      <c r="T161" s="55"/>
      <c r="U161" s="49">
        <v>4</v>
      </c>
      <c r="V161" s="49">
        <v>0</v>
      </c>
      <c r="X161" s="49">
        <v>3</v>
      </c>
      <c r="Y161" s="49" t="b">
        <v>1</v>
      </c>
      <c r="Z161" s="49" t="s">
        <v>579</v>
      </c>
      <c r="AA161" s="49" t="b">
        <v>0</v>
      </c>
      <c r="AD161" s="49">
        <v>2.8053328990936302</v>
      </c>
      <c r="AE161" s="48">
        <f t="shared" si="9"/>
        <v>3.8053328990936302</v>
      </c>
      <c r="AF161" s="48"/>
      <c r="AG161" s="48"/>
      <c r="AH161" s="49">
        <v>0.1</v>
      </c>
      <c r="AL161" s="55">
        <v>25</v>
      </c>
      <c r="AO161" s="49">
        <v>17</v>
      </c>
      <c r="AQ161" s="96" t="s">
        <v>482</v>
      </c>
      <c r="AT161" s="49" t="str">
        <f t="shared" si="6"/>
        <v>别废话了，快过来帮帮我！</v>
      </c>
      <c r="AU161" s="49" t="s">
        <v>580</v>
      </c>
    </row>
    <row r="162" spans="1:50" s="49" customFormat="1" ht="14">
      <c r="A162" s="49">
        <v>41109</v>
      </c>
      <c r="B162" s="49" t="s">
        <v>410</v>
      </c>
      <c r="C162" s="49">
        <v>1</v>
      </c>
      <c r="D162" s="55" t="s">
        <v>411</v>
      </c>
      <c r="E162" s="55" t="s">
        <v>559</v>
      </c>
      <c r="F162" s="20" t="str">
        <f>VLOOKUP(G162,'#TID_base_up'!B:C,2,0)</f>
        <v>蛮王</v>
      </c>
      <c r="G162" s="49" t="s">
        <v>484</v>
      </c>
      <c r="H162" s="49" t="str">
        <f>VLOOKUP($G162,'#对话模型配置'!$A:$W,MATCH(对话配置表!H$2,'#对话模型配置'!$1:$1,0))</f>
        <v>altasPath</v>
      </c>
      <c r="I162" s="49" t="str">
        <f>VLOOKUP($G162,'#对话模型配置'!$A:$W,MATCH(对话配置表!I$2,'#对话模型配置'!$1:$1,0))</f>
        <v>picture</v>
      </c>
      <c r="J162" s="49" t="s">
        <v>581</v>
      </c>
      <c r="K162" s="84" t="str">
        <f t="shared" si="8"/>
        <v>老家伙，别做无谓的挣扎了，快投降吧！</v>
      </c>
      <c r="T162" s="55"/>
      <c r="U162" s="49">
        <v>4</v>
      </c>
      <c r="V162" s="49">
        <v>0</v>
      </c>
      <c r="X162" s="49">
        <v>3</v>
      </c>
      <c r="Y162" s="49" t="b">
        <v>1</v>
      </c>
      <c r="Z162" s="49" t="s">
        <v>582</v>
      </c>
      <c r="AA162" s="49" t="b">
        <v>0</v>
      </c>
      <c r="AD162" s="49">
        <v>5.1680002212524396</v>
      </c>
      <c r="AE162" s="48">
        <f t="shared" si="9"/>
        <v>6.1680002212524396</v>
      </c>
      <c r="AF162" s="48"/>
      <c r="AG162" s="48"/>
      <c r="AH162" s="49">
        <v>0.1</v>
      </c>
      <c r="AL162" s="55">
        <v>25</v>
      </c>
      <c r="AO162" s="49">
        <v>23</v>
      </c>
      <c r="AQ162" s="49" t="s">
        <v>450</v>
      </c>
      <c r="AT162" s="49" t="str">
        <f t="shared" si="6"/>
        <v>老家伙，别做无谓的挣扎了，快投降吧！</v>
      </c>
      <c r="AU162" s="49" t="s">
        <v>583</v>
      </c>
    </row>
    <row r="163" spans="1:50" s="49" customFormat="1" ht="14">
      <c r="A163" s="49">
        <v>41110</v>
      </c>
      <c r="B163" s="49" t="s">
        <v>410</v>
      </c>
      <c r="C163" s="49">
        <v>1</v>
      </c>
      <c r="D163" s="55" t="s">
        <v>411</v>
      </c>
      <c r="E163" s="55" t="s">
        <v>559</v>
      </c>
      <c r="F163" s="20" t="str">
        <f>VLOOKUP(G163,'#TID_base_up'!B:C,2,0)</f>
        <v>皇帝</v>
      </c>
      <c r="G163" s="49" t="s">
        <v>488</v>
      </c>
      <c r="H163" s="49" t="str">
        <f>VLOOKUP($G163,'#对话模型配置'!$A:$W,MATCH(对话配置表!H$2,'#对话模型配置'!$1:$1,0))</f>
        <v>altasPath</v>
      </c>
      <c r="I163" s="49" t="str">
        <f>VLOOKUP($G163,'#对话模型配置'!$A:$W,MATCH(对话配置表!I$2,'#对话模型配置'!$1:$1,0))</f>
        <v>picture</v>
      </c>
      <c r="J163" s="49" t="s">
        <v>489</v>
      </c>
      <c r="K163" s="84" t="str">
        <f t="shared" si="8"/>
        <v>化外蛮夷，今天就让我来教教你，什么是基本礼仪！</v>
      </c>
      <c r="T163" s="55"/>
      <c r="U163" s="49">
        <v>4</v>
      </c>
      <c r="V163" s="49">
        <v>0</v>
      </c>
      <c r="X163" s="49">
        <v>3</v>
      </c>
      <c r="Y163" s="49" t="b">
        <v>1</v>
      </c>
      <c r="Z163" s="49" t="s">
        <v>584</v>
      </c>
      <c r="AA163" s="49" t="b">
        <v>0</v>
      </c>
      <c r="AD163" s="49">
        <v>4.0373330116271999</v>
      </c>
      <c r="AE163" s="48">
        <f t="shared" si="9"/>
        <v>5.0373330116271999</v>
      </c>
      <c r="AF163" s="48"/>
      <c r="AG163" s="48"/>
      <c r="AH163" s="49">
        <v>0.1</v>
      </c>
      <c r="AL163" s="55">
        <v>25</v>
      </c>
      <c r="AO163" s="49">
        <v>32</v>
      </c>
      <c r="AQ163" s="96" t="s">
        <v>491</v>
      </c>
      <c r="AT163" s="49" t="str">
        <f t="shared" si="6"/>
        <v>化外蛮夷，今天就让我来教教你，什么是基本礼仪！</v>
      </c>
      <c r="AU163" s="49" t="s">
        <v>492</v>
      </c>
    </row>
    <row r="164" spans="1:50" s="48" customFormat="1" ht="28">
      <c r="A164" s="48">
        <v>41111</v>
      </c>
      <c r="B164" s="48" t="s">
        <v>410</v>
      </c>
      <c r="C164" s="48">
        <v>1</v>
      </c>
      <c r="D164" s="48" t="s">
        <v>411</v>
      </c>
      <c r="E164" s="48" t="s">
        <v>559</v>
      </c>
      <c r="F164" s="20" t="str">
        <f>VLOOKUP(G164,'#TID_base_up'!B:C,2,0)</f>
        <v>安德莉娅</v>
      </c>
      <c r="G164" s="48" t="s">
        <v>467</v>
      </c>
      <c r="H164" s="48" t="str">
        <f>VLOOKUP($G164,'#对话模型配置'!$A:$W,MATCH(对话配置表!H$2,'#对话模型配置'!$1:$1,0))</f>
        <v>altasPath</v>
      </c>
      <c r="I164" s="48" t="str">
        <f>VLOOKUP($G164,'#对话模型配置'!$A:$W,MATCH(对话配置表!I$2,'#对话模型配置'!$1:$1,0))</f>
        <v>picture</v>
      </c>
      <c r="J164" s="48" t="s">
        <v>548</v>
      </c>
      <c r="K164" s="84" t="str">
        <f t="shared" si="8"/>
        <v>领主大人，擒贼先擒王，快&lt;color=#FFCC71&gt;集合队伍&lt;/color&gt;全力进攻敌人头目！</v>
      </c>
      <c r="U164" s="48">
        <v>1</v>
      </c>
      <c r="V164" s="48">
        <v>0</v>
      </c>
      <c r="X164" s="48">
        <v>3</v>
      </c>
      <c r="Y164" s="48" t="b">
        <v>1</v>
      </c>
      <c r="Z164" s="48" t="s">
        <v>585</v>
      </c>
      <c r="AA164" s="48" t="b">
        <v>0</v>
      </c>
      <c r="AC164" s="48">
        <v>20001008</v>
      </c>
      <c r="AD164" s="48">
        <v>7.6853327751159703</v>
      </c>
      <c r="AE164" s="48">
        <f t="shared" si="9"/>
        <v>8.6853327751159703</v>
      </c>
      <c r="AH164" s="48">
        <v>0.1</v>
      </c>
      <c r="AL164" s="48">
        <v>25</v>
      </c>
      <c r="AM164" s="48">
        <f>VLOOKUP($F164,'#对话模型配置'!$A:$W,MATCH(对话配置表!AM$2,'#对话模型配置'!$1:$1,0),FALSE)</f>
        <v>30001001</v>
      </c>
      <c r="AN164" s="48" t="s">
        <v>550</v>
      </c>
      <c r="AT164" s="48" t="str">
        <f t="shared" si="6"/>
        <v>领主大人，擒贼先擒王，快&lt;color=#FFCC71&gt;集合队伍&lt;/color&gt;全力进攻敌人头目！</v>
      </c>
      <c r="AU164" s="48" t="s">
        <v>551</v>
      </c>
      <c r="AW164" s="48" t="s">
        <v>552</v>
      </c>
    </row>
    <row r="165" spans="1:50" s="49" customFormat="1" ht="14">
      <c r="A165" s="49">
        <v>41112</v>
      </c>
      <c r="B165" s="49" t="s">
        <v>410</v>
      </c>
      <c r="C165" s="49">
        <v>1</v>
      </c>
      <c r="D165" s="55" t="s">
        <v>411</v>
      </c>
      <c r="E165" s="55" t="s">
        <v>559</v>
      </c>
      <c r="F165" s="20" t="str">
        <f>VLOOKUP(G165,'#TID_base_up'!B:C,2,0)</f>
        <v>凯撒</v>
      </c>
      <c r="G165" s="49" t="s">
        <v>560</v>
      </c>
      <c r="H165" s="49" t="str">
        <f>VLOOKUP($G165,'#对话模型配置'!$A:$W,MATCH(对话配置表!H$2,'#对话模型配置'!$1:$1,0))</f>
        <v>altasPath</v>
      </c>
      <c r="I165" s="49" t="str">
        <f>VLOOKUP($G165,'#对话模型配置'!$A:$W,MATCH(对话配置表!I$2,'#对话模型配置'!$1:$1,0))</f>
        <v>picture</v>
      </c>
      <c r="J165" s="49" t="s">
        <v>542</v>
      </c>
      <c r="K165" s="84" t="str">
        <f t="shared" si="8"/>
        <v>听我号令，全军出击，碾碎他们！</v>
      </c>
      <c r="T165" s="55"/>
      <c r="U165" s="49">
        <v>4</v>
      </c>
      <c r="V165" s="49">
        <v>0</v>
      </c>
      <c r="X165" s="49">
        <v>3</v>
      </c>
      <c r="Y165" s="49" t="b">
        <v>1</v>
      </c>
      <c r="Z165" s="49" t="s">
        <v>586</v>
      </c>
      <c r="AA165" s="49" t="b">
        <v>0</v>
      </c>
      <c r="AD165" s="49">
        <v>2.9226670265197798</v>
      </c>
      <c r="AE165" s="48">
        <f t="shared" si="9"/>
        <v>3.9226670265197798</v>
      </c>
      <c r="AF165" s="48"/>
      <c r="AG165" s="48"/>
      <c r="AH165" s="49">
        <v>0.1</v>
      </c>
      <c r="AL165" s="49">
        <v>25</v>
      </c>
      <c r="AO165" s="49">
        <v>1</v>
      </c>
      <c r="AT165" s="49" t="str">
        <f t="shared" si="6"/>
        <v>听我号令，全军出击，碾碎他们！</v>
      </c>
      <c r="AU165" s="49" t="s">
        <v>544</v>
      </c>
    </row>
    <row r="166" spans="1:50" s="49" customFormat="1" ht="14">
      <c r="A166" s="49">
        <v>41113</v>
      </c>
      <c r="B166" s="49" t="s">
        <v>410</v>
      </c>
      <c r="C166" s="49">
        <v>1</v>
      </c>
      <c r="D166" s="55" t="s">
        <v>411</v>
      </c>
      <c r="E166" s="55" t="s">
        <v>559</v>
      </c>
      <c r="F166" s="20" t="str">
        <f>VLOOKUP(G166,'#TID_base_up'!B:C,2,0)</f>
        <v>皇帝</v>
      </c>
      <c r="G166" s="49" t="s">
        <v>488</v>
      </c>
      <c r="H166" s="49" t="str">
        <f>VLOOKUP($G166,'#对话模型配置'!$A:$W,MATCH(对话配置表!H$2,'#对话模型配置'!$1:$1,0))</f>
        <v>altasPath</v>
      </c>
      <c r="I166" s="49" t="str">
        <f>VLOOKUP($G166,'#对话模型配置'!$A:$W,MATCH(对话配置表!I$2,'#对话模型配置'!$1:$1,0))</f>
        <v>picture</v>
      </c>
      <c r="J166" s="49" t="s">
        <v>495</v>
      </c>
      <c r="K166" s="84" t="str">
        <f t="shared" si="8"/>
        <v>想不到，最后竟然只有你来陪我打这一场仗！</v>
      </c>
      <c r="T166" s="55"/>
      <c r="U166" s="49">
        <v>4</v>
      </c>
      <c r="V166" s="49">
        <v>0</v>
      </c>
      <c r="X166" s="49">
        <v>3</v>
      </c>
      <c r="Y166" s="49" t="b">
        <v>1</v>
      </c>
      <c r="Z166" s="49" t="s">
        <v>587</v>
      </c>
      <c r="AA166" s="49" t="b">
        <v>0</v>
      </c>
      <c r="AD166" s="49">
        <v>4.5493330955505398</v>
      </c>
      <c r="AE166" s="48">
        <f t="shared" si="9"/>
        <v>5.5493330955505398</v>
      </c>
      <c r="AF166" s="48"/>
      <c r="AG166" s="48"/>
      <c r="AH166" s="49">
        <v>0.1</v>
      </c>
      <c r="AL166" s="49">
        <v>25</v>
      </c>
      <c r="AO166" s="49">
        <v>32</v>
      </c>
      <c r="AQ166" s="96" t="s">
        <v>497</v>
      </c>
      <c r="AT166" s="49" t="str">
        <f t="shared" si="6"/>
        <v>想不到，最后竟然只有你来陪我打这一场仗！</v>
      </c>
      <c r="AU166" s="49" t="s">
        <v>498</v>
      </c>
    </row>
    <row r="167" spans="1:50" s="49" customFormat="1" ht="14">
      <c r="A167" s="49">
        <v>41114</v>
      </c>
      <c r="B167" s="49" t="s">
        <v>410</v>
      </c>
      <c r="C167" s="49">
        <v>1</v>
      </c>
      <c r="D167" s="55" t="s">
        <v>411</v>
      </c>
      <c r="E167" s="55" t="s">
        <v>559</v>
      </c>
      <c r="F167" s="20" t="str">
        <f>VLOOKUP(G167,'#TID_base_up'!B:C,2,0)</f>
        <v>蛮王</v>
      </c>
      <c r="G167" s="49" t="s">
        <v>484</v>
      </c>
      <c r="H167" s="49" t="str">
        <f>VLOOKUP($G167,'#对话模型配置'!$A:$W,MATCH(对话配置表!H$2,'#对话模型配置'!$1:$1,0))</f>
        <v>altasPath</v>
      </c>
      <c r="I167" s="49" t="str">
        <f>VLOOKUP($G167,'#对话模型配置'!$A:$W,MATCH(对话配置表!I$2,'#对话模型配置'!$1:$1,0))</f>
        <v>picture</v>
      </c>
      <c r="J167" s="49" t="s">
        <v>588</v>
      </c>
      <c r="K167" s="84" t="str">
        <f t="shared" si="8"/>
        <v>可笑，见过逃跑的，还没见过赶着送死的！</v>
      </c>
      <c r="T167" s="55"/>
      <c r="U167" s="49">
        <v>4</v>
      </c>
      <c r="V167" s="49">
        <v>0</v>
      </c>
      <c r="X167" s="49">
        <v>3</v>
      </c>
      <c r="Y167" s="49" t="b">
        <v>1</v>
      </c>
      <c r="Z167" s="49" t="s">
        <v>589</v>
      </c>
      <c r="AA167" s="49" t="b">
        <v>0</v>
      </c>
      <c r="AD167" s="49">
        <v>5.1973328590393102</v>
      </c>
      <c r="AE167" s="48">
        <f t="shared" si="9"/>
        <v>6.1973328590393102</v>
      </c>
      <c r="AF167" s="48"/>
      <c r="AG167" s="48"/>
      <c r="AH167" s="49">
        <v>0.1</v>
      </c>
      <c r="AL167" s="49">
        <v>25</v>
      </c>
      <c r="AO167" s="49">
        <v>23</v>
      </c>
      <c r="AQ167" s="96" t="s">
        <v>501</v>
      </c>
      <c r="AT167" s="49" t="str">
        <f t="shared" si="6"/>
        <v>可笑，见过逃跑的，还没见过赶着送死的！</v>
      </c>
      <c r="AU167" s="49" t="s">
        <v>590</v>
      </c>
    </row>
    <row r="168" spans="1:50" s="49" customFormat="1" ht="14">
      <c r="A168" s="49">
        <v>41115</v>
      </c>
      <c r="B168" s="49" t="s">
        <v>410</v>
      </c>
      <c r="C168" s="49">
        <v>1</v>
      </c>
      <c r="D168" s="55" t="s">
        <v>411</v>
      </c>
      <c r="E168" s="55" t="s">
        <v>559</v>
      </c>
      <c r="F168" s="20" t="str">
        <f>VLOOKUP(G168,'#TID_base_up'!B:C,2,0)</f>
        <v>安德莉娅</v>
      </c>
      <c r="G168" s="49" t="s">
        <v>467</v>
      </c>
      <c r="H168" s="49" t="str">
        <f>VLOOKUP($G168,'#对话模型配置'!$A:$W,MATCH(对话配置表!H$2,'#对话模型配置'!$1:$1,0))</f>
        <v>altasPath</v>
      </c>
      <c r="I168" s="49" t="str">
        <f>VLOOKUP($G168,'#对话模型配置'!$A:$W,MATCH(对话配置表!I$2,'#对话模型配置'!$1:$1,0))</f>
        <v>picture</v>
      </c>
      <c r="J168" s="49" t="s">
        <v>528</v>
      </c>
      <c r="K168" s="84" t="str">
        <f t="shared" si="8"/>
        <v>蛮王又准备施放技能了，快打断他！</v>
      </c>
      <c r="T168" s="55"/>
      <c r="U168" s="49">
        <v>4</v>
      </c>
      <c r="V168" s="49">
        <v>0</v>
      </c>
      <c r="X168" s="49">
        <v>3</v>
      </c>
      <c r="Y168" s="49" t="b">
        <v>1</v>
      </c>
      <c r="Z168" s="49" t="s">
        <v>591</v>
      </c>
      <c r="AA168" s="49" t="b">
        <v>1</v>
      </c>
      <c r="AD168" s="49">
        <v>4.2026672363281197</v>
      </c>
      <c r="AE168" s="48">
        <f t="shared" si="9"/>
        <v>5.2026672363281197</v>
      </c>
      <c r="AF168" s="48"/>
      <c r="AG168" s="48"/>
      <c r="AH168" s="49">
        <v>0.1</v>
      </c>
      <c r="AL168" s="49">
        <v>25</v>
      </c>
      <c r="AO168" s="49">
        <v>17</v>
      </c>
      <c r="AT168" s="49" t="str">
        <f t="shared" si="6"/>
        <v>蛮王又准备施放技能了，快打断他！</v>
      </c>
      <c r="AU168" s="49" t="s">
        <v>530</v>
      </c>
    </row>
    <row r="169" spans="1:50" s="49" customFormat="1" ht="14">
      <c r="A169" s="49">
        <v>41116</v>
      </c>
      <c r="B169" s="49" t="s">
        <v>410</v>
      </c>
      <c r="C169" s="49">
        <v>1</v>
      </c>
      <c r="D169" s="55" t="s">
        <v>411</v>
      </c>
      <c r="E169" s="55" t="s">
        <v>559</v>
      </c>
      <c r="F169" s="20" t="str">
        <f>VLOOKUP(G169,'#TID_base_up'!B:C,2,0)</f>
        <v>凯撒</v>
      </c>
      <c r="G169" s="49" t="s">
        <v>560</v>
      </c>
      <c r="H169" s="49" t="str">
        <f>VLOOKUP($G169,'#对话模型配置'!$A:$W,MATCH(对话配置表!H$2,'#对话模型配置'!$1:$1,0))</f>
        <v>altasPath</v>
      </c>
      <c r="I169" s="49" t="str">
        <f>VLOOKUP($G169,'#对话模型配置'!$A:$W,MATCH(对话配置表!I$2,'#对话模型配置'!$1:$1,0))</f>
        <v>picture</v>
      </c>
      <c r="J169" s="49" t="s">
        <v>592</v>
      </c>
      <c r="K169" s="84" t="str">
        <f t="shared" si="8"/>
        <v>让我来，再多枪兵也都是我剑下炮灰！</v>
      </c>
      <c r="T169" s="55"/>
      <c r="U169" s="49">
        <v>4</v>
      </c>
      <c r="V169" s="49">
        <v>0</v>
      </c>
      <c r="X169" s="49">
        <v>3</v>
      </c>
      <c r="Y169" s="49" t="b">
        <v>1</v>
      </c>
      <c r="Z169" s="49" t="s">
        <v>593</v>
      </c>
      <c r="AA169" s="49" t="b">
        <v>0</v>
      </c>
      <c r="AD169" s="49">
        <v>4.2253332138061497</v>
      </c>
      <c r="AE169" s="48">
        <f t="shared" si="9"/>
        <v>5.2253332138061497</v>
      </c>
      <c r="AF169" s="48"/>
      <c r="AG169" s="48"/>
      <c r="AH169" s="49">
        <v>0.1</v>
      </c>
      <c r="AL169" s="49">
        <v>25</v>
      </c>
      <c r="AO169" s="49">
        <v>1</v>
      </c>
      <c r="AT169" s="49" t="str">
        <f t="shared" si="6"/>
        <v>让我来，再多枪兵也都是我剑下炮灰！</v>
      </c>
      <c r="AU169" s="49" t="s">
        <v>594</v>
      </c>
    </row>
    <row r="170" spans="1:50" s="49" customFormat="1" ht="14">
      <c r="A170" s="49">
        <v>41117</v>
      </c>
      <c r="B170" s="49" t="s">
        <v>410</v>
      </c>
      <c r="C170" s="49">
        <v>1</v>
      </c>
      <c r="D170" s="55" t="s">
        <v>411</v>
      </c>
      <c r="E170" s="55" t="s">
        <v>559</v>
      </c>
      <c r="F170" s="20" t="str">
        <f>VLOOKUP(G170,'#TID_base_up'!B:C,2,0)</f>
        <v>蛮王</v>
      </c>
      <c r="G170" s="49" t="s">
        <v>484</v>
      </c>
      <c r="H170" s="49" t="str">
        <f>VLOOKUP($G170,'#对话模型配置'!$A:$W,MATCH(对话配置表!H$2,'#对话模型配置'!$1:$1,0))</f>
        <v>altasPath</v>
      </c>
      <c r="I170" s="49" t="str">
        <f>VLOOKUP($G170,'#对话模型配置'!$A:$W,MATCH(对话配置表!I$2,'#对话模型配置'!$1:$1,0))</f>
        <v>picture</v>
      </c>
      <c r="J170" s="49" t="s">
        <v>595</v>
      </c>
      <c r="K170" s="84" t="str">
        <f t="shared" si="8"/>
        <v>哼，这老家伙就算让你带走又如何！</v>
      </c>
      <c r="T170" s="55"/>
      <c r="U170" s="49">
        <v>4</v>
      </c>
      <c r="V170" s="49">
        <v>0</v>
      </c>
      <c r="X170" s="49">
        <v>3</v>
      </c>
      <c r="Y170" s="49" t="b">
        <v>1</v>
      </c>
      <c r="Z170" s="49" t="s">
        <v>596</v>
      </c>
      <c r="AA170" s="49" t="b">
        <v>0</v>
      </c>
      <c r="AD170" s="49">
        <v>3.7613329887390101</v>
      </c>
      <c r="AE170" s="48">
        <f t="shared" si="9"/>
        <v>4.7613329887390101</v>
      </c>
      <c r="AF170" s="48"/>
      <c r="AG170" s="48"/>
      <c r="AH170" s="49">
        <v>0.1</v>
      </c>
      <c r="AL170" s="49">
        <v>25</v>
      </c>
      <c r="AO170" s="49">
        <v>23</v>
      </c>
      <c r="AT170" s="49" t="str">
        <f t="shared" si="6"/>
        <v>哼，这老家伙就算让你带走又如何！</v>
      </c>
      <c r="AU170" s="49" t="s">
        <v>597</v>
      </c>
    </row>
    <row r="171" spans="1:50" s="49" customFormat="1" ht="14">
      <c r="A171" s="49">
        <v>41118</v>
      </c>
      <c r="B171" s="49" t="s">
        <v>410</v>
      </c>
      <c r="C171" s="49">
        <v>1</v>
      </c>
      <c r="D171" s="55" t="s">
        <v>411</v>
      </c>
      <c r="E171" s="55" t="s">
        <v>559</v>
      </c>
      <c r="F171" s="20" t="str">
        <f>VLOOKUP(G171,'#TID_base_up'!B:C,2,0)</f>
        <v>蛮王</v>
      </c>
      <c r="G171" s="49" t="s">
        <v>484</v>
      </c>
      <c r="H171" s="49" t="str">
        <f>VLOOKUP($G171,'#对话模型配置'!$A:$W,MATCH(对话配置表!H$2,'#对话模型配置'!$1:$1,0))</f>
        <v>altasPath</v>
      </c>
      <c r="I171" s="49" t="str">
        <f>VLOOKUP($G171,'#对话模型配置'!$A:$W,MATCH(对话配置表!I$2,'#对话模型配置'!$1:$1,0))</f>
        <v>picture</v>
      </c>
      <c r="J171" s="49" t="s">
        <v>598</v>
      </c>
      <c r="K171" s="84" t="str">
        <f t="shared" si="8"/>
        <v>帝国即将被我军征服，你们无处可逃！</v>
      </c>
      <c r="T171" s="55"/>
      <c r="U171" s="49">
        <v>4</v>
      </c>
      <c r="V171" s="49">
        <v>0</v>
      </c>
      <c r="X171" s="49">
        <v>3</v>
      </c>
      <c r="Y171" s="49" t="b">
        <v>1</v>
      </c>
      <c r="Z171" s="49" t="s">
        <v>599</v>
      </c>
      <c r="AA171" s="49" t="b">
        <v>0</v>
      </c>
      <c r="AD171" s="49">
        <v>4.4320001602172896</v>
      </c>
      <c r="AE171" s="48">
        <f t="shared" si="9"/>
        <v>5.4320001602172896</v>
      </c>
      <c r="AF171" s="48"/>
      <c r="AG171" s="48"/>
      <c r="AH171" s="49">
        <v>0.1</v>
      </c>
      <c r="AL171" s="49">
        <v>25</v>
      </c>
      <c r="AO171" s="49">
        <v>23</v>
      </c>
      <c r="AT171" s="49" t="str">
        <f t="shared" si="6"/>
        <v>帝国即将被我军征服，你们无处可逃！</v>
      </c>
      <c r="AU171" s="49" t="s">
        <v>600</v>
      </c>
    </row>
    <row r="172" spans="1:50" s="49" customFormat="1" ht="14">
      <c r="A172" s="49">
        <v>41119</v>
      </c>
      <c r="B172" s="49" t="s">
        <v>410</v>
      </c>
      <c r="C172" s="49">
        <v>1</v>
      </c>
      <c r="D172" s="55" t="s">
        <v>411</v>
      </c>
      <c r="E172" s="55" t="s">
        <v>559</v>
      </c>
      <c r="F172" s="20" t="str">
        <f>VLOOKUP(G172,'#TID_base_up'!B:C,2,0)</f>
        <v>安德莉娅</v>
      </c>
      <c r="G172" s="49" t="s">
        <v>467</v>
      </c>
      <c r="H172" s="49" t="str">
        <f>VLOOKUP($G172,'#对话模型配置'!$A:$W,MATCH(对话配置表!H$2,'#对话模型配置'!$1:$1,0))</f>
        <v>altasPath</v>
      </c>
      <c r="I172" s="49" t="str">
        <f>VLOOKUP($G172,'#对话模型配置'!$A:$W,MATCH(对话配置表!I$2,'#对话模型配置'!$1:$1,0))</f>
        <v>picture</v>
      </c>
      <c r="J172" s="49" t="s">
        <v>506</v>
      </c>
      <c r="K172" s="84" t="str">
        <f t="shared" si="8"/>
        <v>糟糕糟糕！蛮族又冲过来了！快掩护陛下撤退！</v>
      </c>
      <c r="T172" s="55"/>
      <c r="U172" s="49">
        <v>4</v>
      </c>
      <c r="V172" s="49">
        <v>0</v>
      </c>
      <c r="X172" s="49">
        <v>3</v>
      </c>
      <c r="Y172" s="49" t="b">
        <v>1</v>
      </c>
      <c r="Z172" s="49" t="s">
        <v>601</v>
      </c>
      <c r="AA172" s="49" t="b">
        <v>0</v>
      </c>
      <c r="AD172" s="49">
        <v>5.1893329620361301</v>
      </c>
      <c r="AE172" s="48">
        <f t="shared" si="9"/>
        <v>6.1893329620361301</v>
      </c>
      <c r="AF172" s="48"/>
      <c r="AG172" s="48"/>
      <c r="AH172" s="49">
        <v>0.1</v>
      </c>
      <c r="AL172" s="49">
        <v>25</v>
      </c>
      <c r="AO172" s="49">
        <v>17</v>
      </c>
      <c r="AQ172" s="49" t="s">
        <v>428</v>
      </c>
      <c r="AT172" s="49" t="str">
        <f t="shared" si="6"/>
        <v>糟糕糟糕！蛮族又冲过来了！快掩护陛下撤退！</v>
      </c>
      <c r="AU172" s="49" t="s">
        <v>508</v>
      </c>
    </row>
    <row r="173" spans="1:50" s="49" customFormat="1" ht="14">
      <c r="A173" s="49">
        <v>41120</v>
      </c>
      <c r="B173" s="49" t="s">
        <v>410</v>
      </c>
      <c r="C173" s="49">
        <v>1</v>
      </c>
      <c r="D173" s="55" t="s">
        <v>411</v>
      </c>
      <c r="E173" s="55" t="s">
        <v>559</v>
      </c>
      <c r="F173" s="20" t="str">
        <f>VLOOKUP(G173,'#TID_base_up'!B:C,2,0)</f>
        <v>皇帝</v>
      </c>
      <c r="G173" s="49" t="s">
        <v>488</v>
      </c>
      <c r="H173" s="49" t="str">
        <f>VLOOKUP($G173,'#对话模型配置'!$A:$W,MATCH(对话配置表!H$2,'#对话模型配置'!$1:$1,0))</f>
        <v>altasPath</v>
      </c>
      <c r="I173" s="49" t="str">
        <f>VLOOKUP($G173,'#对话模型配置'!$A:$W,MATCH(对话配置表!I$2,'#对话模型配置'!$1:$1,0))</f>
        <v>picture</v>
      </c>
      <c r="J173" s="49" t="s">
        <v>545</v>
      </c>
      <c r="K173" s="84" t="str">
        <f t="shared" si="8"/>
        <v>帝国将士们…我以皇帝之名下令…撤离战场！</v>
      </c>
      <c r="T173" s="55"/>
      <c r="U173" s="49">
        <v>4</v>
      </c>
      <c r="V173" s="49">
        <v>0</v>
      </c>
      <c r="X173" s="49">
        <v>3</v>
      </c>
      <c r="Y173" s="49" t="b">
        <v>1</v>
      </c>
      <c r="Z173" s="49" t="s">
        <v>602</v>
      </c>
      <c r="AA173" s="49" t="b">
        <v>0</v>
      </c>
      <c r="AD173" s="49">
        <v>6.6986670494079599</v>
      </c>
      <c r="AE173" s="48">
        <f t="shared" si="9"/>
        <v>7.6986670494079599</v>
      </c>
      <c r="AF173" s="48"/>
      <c r="AG173" s="48"/>
      <c r="AH173" s="49">
        <v>0.1</v>
      </c>
      <c r="AL173" s="49">
        <v>25</v>
      </c>
      <c r="AO173" s="49">
        <v>32</v>
      </c>
      <c r="AT173" s="49" t="str">
        <f t="shared" si="6"/>
        <v>帝国将士们…我以皇帝之名下令…撤离战场！</v>
      </c>
      <c r="AU173" s="49" t="s">
        <v>547</v>
      </c>
    </row>
    <row r="174" spans="1:50" s="49" customFormat="1" ht="14">
      <c r="A174" s="49">
        <v>41121</v>
      </c>
      <c r="B174" s="49" t="s">
        <v>410</v>
      </c>
      <c r="C174" s="49">
        <v>1</v>
      </c>
      <c r="D174" s="55" t="s">
        <v>411</v>
      </c>
      <c r="E174" s="55" t="s">
        <v>559</v>
      </c>
      <c r="F174" s="20" t="str">
        <f>VLOOKUP(G174,'#TID_base_up'!B:C,2,0)</f>
        <v>凯撒</v>
      </c>
      <c r="G174" s="49" t="s">
        <v>560</v>
      </c>
      <c r="H174" s="49" t="str">
        <f>VLOOKUP($G174,'#对话模型配置'!$A:$W,MATCH(对话配置表!H$2,'#对话模型配置'!$1:$1,0))</f>
        <v>altasPath</v>
      </c>
      <c r="I174" s="49" t="str">
        <f>VLOOKUP($G174,'#对话模型配置'!$A:$W,MATCH(对话配置表!I$2,'#对话模型配置'!$1:$1,0))</f>
        <v>picture</v>
      </c>
      <c r="J174" s="49" t="s">
        <v>603</v>
      </c>
      <c r="K174" s="84" t="str">
        <f t="shared" si="8"/>
        <v>守住阵线！只要我们在，帝国就有胜利的希望！</v>
      </c>
      <c r="T174" s="55"/>
      <c r="U174" s="49">
        <v>4</v>
      </c>
      <c r="V174" s="49">
        <v>0</v>
      </c>
      <c r="X174" s="49">
        <v>3</v>
      </c>
      <c r="Y174" s="49" t="b">
        <v>1</v>
      </c>
      <c r="Z174" s="49" t="s">
        <v>604</v>
      </c>
      <c r="AA174" s="49" t="b">
        <v>0</v>
      </c>
      <c r="AD174" s="49">
        <v>4.5306668281555202</v>
      </c>
      <c r="AE174" s="48">
        <f t="shared" si="9"/>
        <v>5.5306668281555202</v>
      </c>
      <c r="AF174" s="48"/>
      <c r="AG174" s="48"/>
      <c r="AH174" s="49">
        <v>0.1</v>
      </c>
      <c r="AL174" s="49">
        <v>25</v>
      </c>
      <c r="AO174" s="49">
        <v>1</v>
      </c>
      <c r="AT174" s="49" t="str">
        <f t="shared" si="6"/>
        <v>守住阵线！只要我们在，帝国就有胜利的希望！</v>
      </c>
      <c r="AU174" s="49" t="s">
        <v>605</v>
      </c>
    </row>
    <row r="175" spans="1:50" s="54" customFormat="1">
      <c r="F175" s="20" t="e">
        <f>VLOOKUP(G175,'#TID_base_up'!B:C,2,0)</f>
        <v>#N/A</v>
      </c>
      <c r="K175" s="98"/>
      <c r="AA175" s="54" t="b">
        <v>0</v>
      </c>
      <c r="AT175" s="54" t="str">
        <f t="shared" si="6"/>
        <v/>
      </c>
    </row>
    <row r="176" spans="1:50" s="48" customFormat="1" ht="28">
      <c r="A176" s="48">
        <f>IF(B176=B153,IF(C176&gt;1,A153,A153+1),50000+SUBSTITUTE(SUBSTITUTE(B176,"第",""),"章","")*100+1)</f>
        <v>50001</v>
      </c>
      <c r="B176" s="48" t="s">
        <v>606</v>
      </c>
      <c r="C176" s="48">
        <v>1</v>
      </c>
      <c r="D176" s="48" t="s">
        <v>607</v>
      </c>
      <c r="E176" s="48" t="s">
        <v>412</v>
      </c>
      <c r="F176" s="20" t="str">
        <f>VLOOKUP(G176,'#TID_base_up'!B:C,2,0)</f>
        <v>皇帝</v>
      </c>
      <c r="G176" s="48" t="s">
        <v>488</v>
      </c>
      <c r="H176" s="48" t="str">
        <f>VLOOKUP($F176,'#对话模型配置'!$A:$W,MATCH(对话配置表!H$2,'#对话模型配置'!$1:$1,0),FALSE)</f>
        <v>icon_guidechara.smash</v>
      </c>
      <c r="I176" s="48" t="str">
        <f>VLOOKUP($F176,'#对话模型配置'!$A:$W,MATCH(对话配置表!I$2,'#对话模型配置'!$1:$1,0),FALSE)</f>
        <v>frame_s_xsdh_002</v>
      </c>
      <c r="J176" s="48" t="s">
        <v>608</v>
      </c>
      <c r="K176" s="84" t="str">
        <f t="shared" ref="K176:K207" si="10">AT176</f>
        <v>这次勤王，你是第一功臣，也是&lt;color=#FFCC71&gt;我们的希望&lt;/color&gt;，&lt;color=#FFCC71&gt;帝国的未来&lt;/color&gt;就交给你了！</v>
      </c>
      <c r="T176" s="48">
        <v>1</v>
      </c>
      <c r="U176" s="48">
        <v>1</v>
      </c>
      <c r="V176" s="48">
        <v>0</v>
      </c>
      <c r="X176" s="48">
        <v>0</v>
      </c>
      <c r="Y176" s="48" t="b">
        <v>0</v>
      </c>
      <c r="Z176" s="48" t="s">
        <v>609</v>
      </c>
      <c r="AA176" s="48" t="b">
        <v>0</v>
      </c>
      <c r="AC176" s="48">
        <v>20001013</v>
      </c>
      <c r="AD176" s="48">
        <v>7.5156660079956099</v>
      </c>
      <c r="AE176" s="48">
        <v>10.58</v>
      </c>
      <c r="AH176" s="48">
        <v>0.1</v>
      </c>
      <c r="AL176" s="48">
        <v>10</v>
      </c>
      <c r="AM176" s="48">
        <f>VLOOKUP($F176,'#对话模型配置'!$A:$W,MATCH(对话配置表!AM$2,'#对话模型配置'!$1:$1,0),FALSE)</f>
        <v>20001006</v>
      </c>
      <c r="AN176" s="48" t="s">
        <v>610</v>
      </c>
      <c r="AT176" s="48" t="str">
        <f t="shared" si="6"/>
        <v>这次勤王，你是第一功臣，也是&lt;color=#FFCC71&gt;我们的希望&lt;/color&gt;，&lt;color=#FFCC71&gt;帝国的未来&lt;/color&gt;就交给你了！</v>
      </c>
      <c r="AU176" s="48" t="s">
        <v>611</v>
      </c>
      <c r="AV176" s="48">
        <f t="shared" ref="AV176:AV207" si="11">A176</f>
        <v>50001</v>
      </c>
      <c r="AW176" s="48" t="s">
        <v>612</v>
      </c>
      <c r="AX176" s="48" t="s">
        <v>613</v>
      </c>
    </row>
    <row r="177" spans="1:51" s="48" customFormat="1" ht="56">
      <c r="A177" s="48">
        <f t="shared" ref="A177:A208" si="12">IF(B177=B176,IF(C177&gt;1,A176,A176+1),50000+SUBSTITUTE(SUBSTITUTE(B177,"第",""),"章","")*100+1)</f>
        <v>50001</v>
      </c>
      <c r="B177" s="48" t="s">
        <v>606</v>
      </c>
      <c r="C177" s="48">
        <v>2</v>
      </c>
      <c r="D177" s="48" t="s">
        <v>607</v>
      </c>
      <c r="E177" s="48" t="s">
        <v>412</v>
      </c>
      <c r="F177" s="20" t="str">
        <f>VLOOKUP(G177,'#TID_base_up'!B:C,2,0)</f>
        <v>皇帝</v>
      </c>
      <c r="G177" s="48" t="s">
        <v>488</v>
      </c>
      <c r="H177" s="48" t="str">
        <f>VLOOKUP($F177,'#对话模型配置'!$A:$W,MATCH(对话配置表!H$2,'#对话模型配置'!$1:$1,0),FALSE)</f>
        <v>icon_guidechara.smash</v>
      </c>
      <c r="I177" s="48" t="str">
        <f>VLOOKUP($F177,'#对话模型配置'!$A:$W,MATCH(对话配置表!I$2,'#对话模型配置'!$1:$1,0),FALSE)</f>
        <v>frame_s_xsdh_002</v>
      </c>
      <c r="J177" s="48" t="s">
        <v>614</v>
      </c>
      <c r="K177" s="84" t="str">
        <f t="shared" si="10"/>
        <v>这将是我给你的最后封赏，你可以&lt;color=#FFCC71&gt;选择一个洲&lt;/color&gt;，在那里我会给你&lt;color=#FFCC71&gt;准备一座城池&lt;/color&gt;，让你&lt;color=#FFCC71&gt;重整旗鼓&lt;/color&gt;，进而由外向内，消灭蛮族。</v>
      </c>
      <c r="T177" s="48">
        <v>1</v>
      </c>
      <c r="U177" s="48">
        <v>1</v>
      </c>
      <c r="V177" s="48">
        <v>0</v>
      </c>
      <c r="X177" s="48">
        <v>0</v>
      </c>
      <c r="Y177" s="48" t="b">
        <v>0</v>
      </c>
      <c r="Z177" s="48" t="s">
        <v>615</v>
      </c>
      <c r="AA177" s="48" t="b">
        <v>1</v>
      </c>
      <c r="AC177" s="48">
        <v>20001014</v>
      </c>
      <c r="AD177" s="48">
        <v>13.0666666030884</v>
      </c>
      <c r="AE177" s="48">
        <v>14.07</v>
      </c>
      <c r="AH177" s="48">
        <v>0.1</v>
      </c>
      <c r="AL177" s="48">
        <v>10</v>
      </c>
      <c r="AM177" s="48">
        <f>VLOOKUP($F177,'#对话模型配置'!$A:$W,MATCH(对话配置表!AM$2,'#对话模型配置'!$1:$1,0),FALSE)</f>
        <v>20001006</v>
      </c>
      <c r="AN177" s="48" t="s">
        <v>616</v>
      </c>
      <c r="AT177" s="48" t="str">
        <f t="shared" si="6"/>
        <v>这将是我给你的最后封赏，你可以&lt;color=#FFCC71&gt;选择一个洲&lt;/color&gt;，在那里我会给你&lt;color=#FFCC71&gt;准备一座城池&lt;/color&gt;，让你&lt;color=#FFCC71&gt;重整旗鼓&lt;/color&gt;，进而由外向内，消灭蛮族。</v>
      </c>
      <c r="AU177" s="48" t="s">
        <v>617</v>
      </c>
      <c r="AV177" s="48">
        <f t="shared" si="11"/>
        <v>50001</v>
      </c>
      <c r="AW177" s="48" t="s">
        <v>618</v>
      </c>
      <c r="AX177" s="48" t="s">
        <v>619</v>
      </c>
      <c r="AY177" s="48" t="s">
        <v>620</v>
      </c>
    </row>
    <row r="178" spans="1:51" s="48" customFormat="1" ht="42">
      <c r="A178" s="48">
        <f t="shared" si="12"/>
        <v>50101</v>
      </c>
      <c r="B178" s="48" t="s">
        <v>621</v>
      </c>
      <c r="C178" s="48">
        <v>1</v>
      </c>
      <c r="D178" s="48" t="s">
        <v>622</v>
      </c>
      <c r="E178" s="48" t="s">
        <v>412</v>
      </c>
      <c r="F178" s="20" t="str">
        <f>VLOOKUP(G178,'#TID_base_up'!B:C,2,0)</f>
        <v>安德莉娅</v>
      </c>
      <c r="G178" s="48" t="s">
        <v>467</v>
      </c>
      <c r="H178" s="48" t="str">
        <f>VLOOKUP($F178,'#对话模型配置'!$A:$W,MATCH(对话配置表!H$2,'#对话模型配置'!$1:$1,0),FALSE)</f>
        <v>icon_guidechara.smash</v>
      </c>
      <c r="I178" s="48" t="str">
        <f>VLOOKUP($F178,'#对话模型配置'!$A:$W,MATCH(对话配置表!I$2,'#对话模型配置'!$1:$1,0),FALSE)</f>
        <v>frame_s_xsdh_002</v>
      </c>
      <c r="J178" s="48" t="s">
        <v>623</v>
      </c>
      <c r="K178" s="84" t="str">
        <f t="shared" si="10"/>
        <v>嗯？这是陛下封赏的城池？小了点，但在大人手上一定可以&lt;color=#FFCC71&gt;做大做强&lt;/color&gt;，毕竟&lt;color=#FFCC71&gt;大人最懂内政&lt;/color&gt;。</v>
      </c>
      <c r="T178" s="48">
        <v>1</v>
      </c>
      <c r="U178" s="48">
        <v>1</v>
      </c>
      <c r="V178" s="48">
        <v>0</v>
      </c>
      <c r="X178" s="48">
        <v>0</v>
      </c>
      <c r="Y178" s="48" t="b">
        <v>0</v>
      </c>
      <c r="Z178" s="48" t="s">
        <v>624</v>
      </c>
      <c r="AA178" s="48" t="b">
        <v>0</v>
      </c>
      <c r="AC178" s="48">
        <v>20001015</v>
      </c>
      <c r="AD178" s="48">
        <v>10.8079996109009</v>
      </c>
      <c r="AE178" s="48">
        <v>11.81</v>
      </c>
      <c r="AH178" s="48">
        <v>0.1</v>
      </c>
      <c r="AL178" s="48">
        <v>10</v>
      </c>
      <c r="AM178" s="48">
        <f>VLOOKUP($F178,'#对话模型配置'!$A:$W,MATCH(对话配置表!AM$2,'#对话模型配置'!$1:$1,0),FALSE)</f>
        <v>30001001</v>
      </c>
      <c r="AN178" s="48" t="s">
        <v>625</v>
      </c>
      <c r="AT178" s="48" t="str">
        <f t="shared" si="6"/>
        <v>嗯？这是陛下封赏的城池？小了点，但在大人手上一定可以&lt;color=#FFCC71&gt;做大做强&lt;/color&gt;，毕竟&lt;color=#FFCC71&gt;大人最懂内政&lt;/color&gt;。</v>
      </c>
      <c r="AU178" s="48" t="s">
        <v>626</v>
      </c>
      <c r="AV178" s="48">
        <f t="shared" si="11"/>
        <v>50101</v>
      </c>
      <c r="AW178" s="48" t="s">
        <v>627</v>
      </c>
      <c r="AX178" s="48" t="s">
        <v>628</v>
      </c>
    </row>
    <row r="179" spans="1:51" s="48" customFormat="1" ht="42">
      <c r="A179" s="48">
        <f t="shared" si="12"/>
        <v>50101</v>
      </c>
      <c r="B179" s="48" t="s">
        <v>621</v>
      </c>
      <c r="C179" s="48">
        <v>2</v>
      </c>
      <c r="D179" s="48" t="s">
        <v>622</v>
      </c>
      <c r="E179" s="48" t="s">
        <v>412</v>
      </c>
      <c r="F179" s="20" t="str">
        <f>VLOOKUP(G179,'#TID_base_up'!B:C,2,0)</f>
        <v>尤里乌斯</v>
      </c>
      <c r="G179" s="48" t="s">
        <v>413</v>
      </c>
      <c r="H179" s="48" t="str">
        <f>VLOOKUP($F179,'#对话模型配置'!$A:$W,MATCH(对话配置表!H$2,'#对话模型配置'!$1:$1,0),FALSE)</f>
        <v>icon_guidechara.smash</v>
      </c>
      <c r="I179" s="48" t="str">
        <f>VLOOKUP($F179,'#对话模型配置'!$A:$W,MATCH(对话配置表!I$2,'#对话模型配置'!$1:$1,0),FALSE)</f>
        <v>frame_s_xsdh_002</v>
      </c>
      <c r="J179" s="48" t="s">
        <v>629</v>
      </c>
      <c r="K179" s="84" t="str">
        <f t="shared" si="10"/>
        <v>能跟大人并肩作战实在荣幸！在下也要返回领地&lt;color=#FFCC71&gt;重振旗鼓&lt;/color&gt;了，离开之前，请允许我&lt;color=#FFCC71&gt;为您推荐一位名将&lt;/color&gt;！</v>
      </c>
      <c r="T179" s="48">
        <v>1</v>
      </c>
      <c r="U179" s="48">
        <v>1</v>
      </c>
      <c r="V179" s="48">
        <v>0</v>
      </c>
      <c r="X179" s="48">
        <v>0</v>
      </c>
      <c r="Y179" s="48" t="b">
        <v>0</v>
      </c>
      <c r="Z179" s="48" t="s">
        <v>630</v>
      </c>
      <c r="AA179" s="48" t="b">
        <v>1</v>
      </c>
      <c r="AC179" s="48">
        <v>20001016</v>
      </c>
      <c r="AD179" s="48">
        <v>10.737999916076699</v>
      </c>
      <c r="AE179" s="48">
        <v>11.74</v>
      </c>
      <c r="AH179" s="48">
        <v>0.1</v>
      </c>
      <c r="AL179" s="48">
        <v>10</v>
      </c>
      <c r="AM179" s="48">
        <f>VLOOKUP($F179,'#对话模型配置'!$A:$W,MATCH(对话配置表!AM$2,'#对话模型配置'!$1:$1,0),FALSE)</f>
        <v>20001003</v>
      </c>
      <c r="AN179" s="48" t="s">
        <v>631</v>
      </c>
      <c r="AT179" s="48" t="str">
        <f t="shared" si="6"/>
        <v>能跟大人并肩作战实在荣幸！在下也要返回领地&lt;color=#FFCC71&gt;重振旗鼓&lt;/color&gt;了，离开之前，请允许我&lt;color=#FFCC71&gt;为您推荐一位名将&lt;/color&gt;！</v>
      </c>
      <c r="AU179" s="48" t="s">
        <v>632</v>
      </c>
      <c r="AV179" s="48">
        <f t="shared" si="11"/>
        <v>50101</v>
      </c>
      <c r="AW179" s="48" t="s">
        <v>633</v>
      </c>
      <c r="AX179" s="48" t="s">
        <v>634</v>
      </c>
    </row>
    <row r="180" spans="1:51" s="48" customFormat="1" ht="42">
      <c r="A180" s="48">
        <f t="shared" si="12"/>
        <v>50102</v>
      </c>
      <c r="B180" s="48" t="s">
        <v>621</v>
      </c>
      <c r="C180" s="48">
        <v>1</v>
      </c>
      <c r="D180" s="48" t="s">
        <v>635</v>
      </c>
      <c r="E180" s="48" t="s">
        <v>412</v>
      </c>
      <c r="F180" s="20" t="str">
        <f>VLOOKUP(G180,'#TID_base_up'!B:C,2,0)</f>
        <v>尤里乌斯</v>
      </c>
      <c r="G180" s="48" t="s">
        <v>413</v>
      </c>
      <c r="H180" s="48" t="str">
        <f>VLOOKUP($F180,'#对话模型配置'!$A:$W,MATCH(对话配置表!H$2,'#对话模型配置'!$1:$1,0),FALSE)</f>
        <v>icon_guidechara.smash</v>
      </c>
      <c r="I180" s="48" t="str">
        <f>VLOOKUP($F180,'#对话模型配置'!$A:$W,MATCH(对话配置表!I$2,'#对话模型配置'!$1:$1,0),FALSE)</f>
        <v>frame_s_xsdh_002</v>
      </c>
      <c r="J180" s="48" t="s">
        <v>636</v>
      </c>
      <c r="K180" s="84" t="str">
        <f t="shared" si="10"/>
        <v>通过【点将台】可以&lt;color=#FFCC71&gt;招募许多强力的英雄&lt;/color&gt;，这些英雄会为您军队的战斗力带来巨大的提升，大人，来点个将试试吧！</v>
      </c>
      <c r="T180" s="48">
        <v>1</v>
      </c>
      <c r="U180" s="48">
        <v>1</v>
      </c>
      <c r="V180" s="48">
        <v>0</v>
      </c>
      <c r="X180" s="48">
        <v>0</v>
      </c>
      <c r="Y180" s="48" t="b">
        <v>0</v>
      </c>
      <c r="Z180" s="48" t="s">
        <v>637</v>
      </c>
      <c r="AA180" s="48" t="b">
        <v>0</v>
      </c>
      <c r="AC180" s="48">
        <v>20001017</v>
      </c>
      <c r="AD180" s="48">
        <v>10.958499908447299</v>
      </c>
      <c r="AE180" s="48">
        <v>11.96</v>
      </c>
      <c r="AH180" s="48">
        <v>0.1</v>
      </c>
      <c r="AL180" s="48">
        <v>10</v>
      </c>
      <c r="AM180" s="48">
        <f>VLOOKUP($F180,'#对话模型配置'!$A:$W,MATCH(对话配置表!AM$2,'#对话模型配置'!$1:$1,0),FALSE)</f>
        <v>20001003</v>
      </c>
      <c r="AN180" s="48" t="s">
        <v>638</v>
      </c>
      <c r="AT180" s="48" t="str">
        <f t="shared" si="6"/>
        <v>通过【点将台】可以&lt;color=#FFCC71&gt;招募许多强力的英雄&lt;/color&gt;，这些英雄会为您军队的战斗力带来巨大的提升，大人，来点个将试试吧！</v>
      </c>
      <c r="AU180" s="48" t="s">
        <v>639</v>
      </c>
      <c r="AV180" s="48">
        <f t="shared" si="11"/>
        <v>50102</v>
      </c>
      <c r="AW180" s="48" t="s">
        <v>640</v>
      </c>
    </row>
    <row r="181" spans="1:51" s="48" customFormat="1" ht="28">
      <c r="A181" s="48">
        <f t="shared" si="12"/>
        <v>50103</v>
      </c>
      <c r="B181" s="48" t="s">
        <v>621</v>
      </c>
      <c r="C181" s="48">
        <v>1</v>
      </c>
      <c r="D181" s="48" t="s">
        <v>635</v>
      </c>
      <c r="E181" s="48" t="s">
        <v>412</v>
      </c>
      <c r="F181" s="20" t="str">
        <f>VLOOKUP(G181,'#TID_base_up'!B:C,2,0)</f>
        <v>魏兰</v>
      </c>
      <c r="G181" s="48" t="s">
        <v>129</v>
      </c>
      <c r="H181" s="48" t="str">
        <f>VLOOKUP($F181,'#对话模型配置'!$A:$W,MATCH(对话配置表!H$2,'#对话模型配置'!$1:$1,0),FALSE)</f>
        <v>icon_guidechara.smash</v>
      </c>
      <c r="I181" s="48" t="str">
        <f>VLOOKUP($F181,'#对话模型配置'!$A:$W,MATCH(对话配置表!I$2,'#对话模型配置'!$1:$1,0),FALSE)</f>
        <v>frame_s_xsdh_002</v>
      </c>
      <c r="J181" s="48" t="s">
        <v>641</v>
      </c>
      <c r="K181" s="84" t="str">
        <f t="shared" si="10"/>
        <v>谁说女子不如男！&lt;color=#FFCC71&gt;「巾帼孝烈」魏兰&lt;/color&gt;愿为阁下亲效犬马之劳，扫除蛮族！</v>
      </c>
      <c r="T181" s="48">
        <v>1</v>
      </c>
      <c r="U181" s="48">
        <v>1</v>
      </c>
      <c r="V181" s="48">
        <v>0</v>
      </c>
      <c r="X181" s="48">
        <v>0</v>
      </c>
      <c r="Y181" s="48" t="b">
        <v>0</v>
      </c>
      <c r="Z181" s="48" t="s">
        <v>642</v>
      </c>
      <c r="AA181" s="48" t="b">
        <v>0</v>
      </c>
      <c r="AC181" s="48">
        <v>20001018</v>
      </c>
      <c r="AD181" s="48">
        <v>7.7011671066284197</v>
      </c>
      <c r="AE181" s="48">
        <v>8.6999999999999993</v>
      </c>
      <c r="AH181" s="48">
        <v>0.1</v>
      </c>
      <c r="AL181" s="48">
        <v>10</v>
      </c>
      <c r="AM181" s="48">
        <f>VLOOKUP($F181,'#对话模型配置'!$A:$W,MATCH(对话配置表!AM$2,'#对话模型配置'!$1:$1,0),FALSE)</f>
        <v>20001005</v>
      </c>
      <c r="AN181" s="48" t="s">
        <v>643</v>
      </c>
      <c r="AT181" s="48" t="str">
        <f t="shared" si="6"/>
        <v>谁说女子不如男！&lt;color=#FFCC71&gt;「巾帼孝烈」魏兰&lt;/color&gt;愿为阁下亲效犬马之劳，扫除蛮族！</v>
      </c>
      <c r="AU181" s="48" t="s">
        <v>644</v>
      </c>
      <c r="AV181" s="48">
        <f t="shared" si="11"/>
        <v>50103</v>
      </c>
      <c r="AW181" s="48" t="s">
        <v>645</v>
      </c>
    </row>
    <row r="182" spans="1:51" s="48" customFormat="1" ht="42">
      <c r="A182" s="48">
        <f t="shared" si="12"/>
        <v>50104</v>
      </c>
      <c r="B182" s="48" t="s">
        <v>621</v>
      </c>
      <c r="C182" s="48">
        <v>1</v>
      </c>
      <c r="D182" s="48" t="s">
        <v>646</v>
      </c>
      <c r="E182" s="48" t="s">
        <v>412</v>
      </c>
      <c r="F182" s="20" t="str">
        <f>VLOOKUP(G182,'#TID_base_up'!B:C,2,0)</f>
        <v>安德莉娅</v>
      </c>
      <c r="G182" s="48" t="s">
        <v>467</v>
      </c>
      <c r="H182" s="48" t="str">
        <f>VLOOKUP($F182,'#对话模型配置'!$A:$W,MATCH(对话配置表!H$2,'#对话模型配置'!$1:$1,0),FALSE)</f>
        <v>icon_guidechara.smash</v>
      </c>
      <c r="I182" s="48" t="str">
        <f>VLOOKUP($F182,'#对话模型配置'!$A:$W,MATCH(对话配置表!I$2,'#对话模型配置'!$1:$1,0),FALSE)</f>
        <v>frame_s_xsdh_002</v>
      </c>
      <c r="J182" s="48" t="s">
        <v>647</v>
      </c>
      <c r="K182" s="84" t="str">
        <f t="shared" si="10"/>
        <v>大人，探子来报，似乎在&lt;color=#FFCC71&gt;城外资源点&lt;/color&gt;发现了&lt;color=#FFCC71&gt;蛮族的踪迹&lt;/color&gt;，真是阴魂不散啊！</v>
      </c>
      <c r="T182" s="48">
        <v>1</v>
      </c>
      <c r="U182" s="48">
        <v>1</v>
      </c>
      <c r="V182" s="48">
        <v>0</v>
      </c>
      <c r="X182" s="48">
        <v>0</v>
      </c>
      <c r="Y182" s="48" t="b">
        <v>0</v>
      </c>
      <c r="Z182" s="48" t="s">
        <v>648</v>
      </c>
      <c r="AA182" s="48" t="b">
        <v>0</v>
      </c>
      <c r="AC182" s="48">
        <v>20001019</v>
      </c>
      <c r="AD182" s="48">
        <v>6.7946667671203604</v>
      </c>
      <c r="AE182" s="48">
        <v>7.79</v>
      </c>
      <c r="AH182" s="48">
        <v>0.1</v>
      </c>
      <c r="AL182" s="48">
        <v>10</v>
      </c>
      <c r="AM182" s="48">
        <f>VLOOKUP($F182,'#对话模型配置'!$A:$W,MATCH(对话配置表!AM$2,'#对话模型配置'!$1:$1,0),FALSE)</f>
        <v>30001001</v>
      </c>
      <c r="AN182" s="48" t="s">
        <v>649</v>
      </c>
      <c r="AT182" s="48" t="str">
        <f t="shared" si="6"/>
        <v>大人，探子来报，似乎在&lt;color=#FFCC71&gt;城外资源点&lt;/color&gt;发现了&lt;color=#FFCC71&gt;蛮族的踪迹&lt;/color&gt;，真是阴魂不散啊！</v>
      </c>
      <c r="AU182" s="48" t="s">
        <v>650</v>
      </c>
      <c r="AV182" s="48">
        <f t="shared" si="11"/>
        <v>50104</v>
      </c>
      <c r="AW182" s="48" t="s">
        <v>651</v>
      </c>
      <c r="AX182" s="48" t="s">
        <v>652</v>
      </c>
    </row>
    <row r="183" spans="1:51" s="48" customFormat="1" ht="42">
      <c r="A183" s="48">
        <f t="shared" si="12"/>
        <v>50105</v>
      </c>
      <c r="B183" s="48" t="s">
        <v>621</v>
      </c>
      <c r="C183" s="48">
        <v>1</v>
      </c>
      <c r="D183" s="48" t="s">
        <v>646</v>
      </c>
      <c r="E183" s="48" t="s">
        <v>412</v>
      </c>
      <c r="F183" s="20" t="str">
        <f>VLOOKUP(G183,'#TID_base_up'!B:C,2,0)</f>
        <v>魏兰</v>
      </c>
      <c r="G183" s="48" t="s">
        <v>129</v>
      </c>
      <c r="H183" s="48" t="str">
        <f>VLOOKUP($F183,'#对话模型配置'!$A:$W,MATCH(对话配置表!H$2,'#对话模型配置'!$1:$1,0),FALSE)</f>
        <v>icon_guidechara.smash</v>
      </c>
      <c r="I183" s="48" t="str">
        <f>VLOOKUP($F183,'#对话模型配置'!$A:$W,MATCH(对话配置表!I$2,'#对话模型配置'!$1:$1,0),FALSE)</f>
        <v>frame_s_xsdh_002</v>
      </c>
      <c r="J183" s="48" t="s">
        <v>653</v>
      </c>
      <c r="K183" s="84" t="str">
        <f t="shared" si="10"/>
        <v>带兵打仗是将领的天职，领主大人，只要&lt;color=#FFCC71&gt;给我一点人马&lt;/color&gt;，我魏兰&lt;color=#FFCC71&gt;保你城池坚不可摧&lt;/color&gt;。</v>
      </c>
      <c r="T183" s="48">
        <v>1</v>
      </c>
      <c r="U183" s="48">
        <v>1</v>
      </c>
      <c r="V183" s="48">
        <v>0</v>
      </c>
      <c r="X183" s="48">
        <v>0</v>
      </c>
      <c r="Y183" s="48" t="b">
        <v>0</v>
      </c>
      <c r="Z183" s="48" t="s">
        <v>654</v>
      </c>
      <c r="AA183" s="48" t="b">
        <v>0</v>
      </c>
      <c r="AC183" s="48">
        <v>20001020</v>
      </c>
      <c r="AD183" s="48">
        <v>8.6111669540405291</v>
      </c>
      <c r="AE183" s="48">
        <v>9.61</v>
      </c>
      <c r="AH183" s="48">
        <v>0.1</v>
      </c>
      <c r="AL183" s="48">
        <v>10</v>
      </c>
      <c r="AM183" s="48">
        <f>VLOOKUP($F183,'#对话模型配置'!$A:$W,MATCH(对话配置表!AM$2,'#对话模型配置'!$1:$1,0),FALSE)</f>
        <v>20001005</v>
      </c>
      <c r="AN183" s="48" t="s">
        <v>655</v>
      </c>
      <c r="AT183" s="48" t="str">
        <f t="shared" si="6"/>
        <v>带兵打仗是将领的天职，领主大人，只要&lt;color=#FFCC71&gt;给我一点人马&lt;/color&gt;，我魏兰&lt;color=#FFCC71&gt;保你城池坚不可摧&lt;/color&gt;。</v>
      </c>
      <c r="AU183" s="48" t="s">
        <v>656</v>
      </c>
      <c r="AV183" s="48">
        <f t="shared" si="11"/>
        <v>50105</v>
      </c>
      <c r="AW183" s="48" t="s">
        <v>657</v>
      </c>
      <c r="AX183" s="48" t="s">
        <v>658</v>
      </c>
    </row>
    <row r="184" spans="1:51" s="48" customFormat="1" ht="42">
      <c r="A184" s="48">
        <f t="shared" si="12"/>
        <v>50106</v>
      </c>
      <c r="B184" s="48" t="s">
        <v>621</v>
      </c>
      <c r="C184" s="48">
        <v>1</v>
      </c>
      <c r="D184" s="48" t="s">
        <v>659</v>
      </c>
      <c r="E184" s="48" t="s">
        <v>412</v>
      </c>
      <c r="F184" s="20" t="str">
        <f>VLOOKUP(G184,'#TID_base_up'!B:C,2,0)</f>
        <v>魏兰</v>
      </c>
      <c r="G184" s="48" t="s">
        <v>129</v>
      </c>
      <c r="H184" s="48" t="str">
        <f>VLOOKUP($F184,'#对话模型配置'!$A:$W,MATCH(对话配置表!H$2,'#对话模型配置'!$1:$1,0),FALSE)</f>
        <v>icon_guidechara.smash</v>
      </c>
      <c r="I184" s="48" t="str">
        <f>VLOOKUP($F184,'#对话模型配置'!$A:$W,MATCH(对话配置表!I$2,'#对话模型配置'!$1:$1,0),FALSE)</f>
        <v>frame_s_xsdh_002</v>
      </c>
      <c r="J184" s="48" t="s">
        <v>660</v>
      </c>
      <c r="K184" s="84" t="str">
        <f t="shared" si="10"/>
        <v>我有个办法可以&lt;color=#FFCC71&gt;快速定位那些蛮子&lt;/color&gt;，大人，来跟我操作，通过&lt;color=#FFCC71&gt;搜索资源点&lt;/color&gt;就能搞定。</v>
      </c>
      <c r="T184" s="48">
        <v>1</v>
      </c>
      <c r="U184" s="48">
        <v>1</v>
      </c>
      <c r="V184" s="48">
        <v>0</v>
      </c>
      <c r="X184" s="48">
        <v>0</v>
      </c>
      <c r="Y184" s="48" t="b">
        <v>0</v>
      </c>
      <c r="Z184" s="48" t="s">
        <v>661</v>
      </c>
      <c r="AA184" s="48" t="b">
        <v>0</v>
      </c>
      <c r="AC184" s="48">
        <v>20001021</v>
      </c>
      <c r="AD184" s="48">
        <v>7.2496671676635698</v>
      </c>
      <c r="AE184" s="48">
        <v>8.25</v>
      </c>
      <c r="AH184" s="48">
        <v>0.1</v>
      </c>
      <c r="AL184" s="48">
        <v>10</v>
      </c>
      <c r="AM184" s="48">
        <f>VLOOKUP($F184,'#对话模型配置'!$A:$W,MATCH(对话配置表!AM$2,'#对话模型配置'!$1:$1,0),FALSE)</f>
        <v>20001005</v>
      </c>
      <c r="AN184" s="48" t="s">
        <v>662</v>
      </c>
      <c r="AT184" s="48" t="str">
        <f t="shared" si="6"/>
        <v>我有个办法可以&lt;color=#FFCC71&gt;快速定位那些蛮子&lt;/color&gt;，大人，来跟我操作，通过&lt;color=#FFCC71&gt;搜索资源点&lt;/color&gt;就能搞定。</v>
      </c>
      <c r="AU184" s="48" t="s">
        <v>663</v>
      </c>
      <c r="AV184" s="48">
        <f t="shared" si="11"/>
        <v>50106</v>
      </c>
      <c r="AW184" s="48" t="s">
        <v>664</v>
      </c>
      <c r="AX184" s="48" t="s">
        <v>665</v>
      </c>
    </row>
    <row r="185" spans="1:51" s="48" customFormat="1" ht="42">
      <c r="A185" s="48">
        <f t="shared" si="12"/>
        <v>50107</v>
      </c>
      <c r="B185" s="48" t="s">
        <v>621</v>
      </c>
      <c r="C185" s="48">
        <v>1</v>
      </c>
      <c r="D185" s="48" t="s">
        <v>666</v>
      </c>
      <c r="E185" s="48" t="s">
        <v>412</v>
      </c>
      <c r="F185" s="20" t="str">
        <f>VLOOKUP(G185,'#TID_base_up'!B:C,2,0)</f>
        <v>魏兰</v>
      </c>
      <c r="G185" s="48" t="s">
        <v>129</v>
      </c>
      <c r="H185" s="48" t="str">
        <f>VLOOKUP($F185,'#对话模型配置'!$A:$W,MATCH(对话配置表!H$2,'#对话模型配置'!$1:$1,0),FALSE)</f>
        <v>icon_guidechara.smash</v>
      </c>
      <c r="I185" s="48" t="str">
        <f>VLOOKUP($F185,'#对话模型配置'!$A:$W,MATCH(对话配置表!I$2,'#对话模型配置'!$1:$1,0),FALSE)</f>
        <v>frame_s_xsdh_002</v>
      </c>
      <c r="J185" s="48" t="s">
        <v>667</v>
      </c>
      <c r="K185" s="84" t="str">
        <f t="shared" si="10"/>
        <v>只有&lt;color=#FFCC71&gt;击败&lt;/color&gt;盘踞在这的&lt;color=#FFCC71&gt;蛮族&lt;/color&gt;才能&lt;color=#FFCC71&gt;拿回资源点&lt;/color&gt;，大人，别犹豫，他们就是一盘散沙，不足为惧！</v>
      </c>
      <c r="T185" s="48">
        <v>1</v>
      </c>
      <c r="U185" s="48">
        <v>1</v>
      </c>
      <c r="V185" s="48">
        <v>0</v>
      </c>
      <c r="X185" s="48">
        <v>0</v>
      </c>
      <c r="Y185" s="48" t="b">
        <v>0</v>
      </c>
      <c r="Z185" s="48" t="s">
        <v>668</v>
      </c>
      <c r="AA185" s="48" t="b">
        <v>0</v>
      </c>
      <c r="AC185" s="48">
        <v>20001022</v>
      </c>
      <c r="AD185" s="48">
        <v>9.2248325347900408</v>
      </c>
      <c r="AE185" s="48">
        <v>10.220000000000001</v>
      </c>
      <c r="AH185" s="48">
        <v>0.1</v>
      </c>
      <c r="AL185" s="48">
        <v>10</v>
      </c>
      <c r="AM185" s="48">
        <f>VLOOKUP($F185,'#对话模型配置'!$A:$W,MATCH(对话配置表!AM$2,'#对话模型配置'!$1:$1,0),FALSE)</f>
        <v>20001005</v>
      </c>
      <c r="AN185" s="48" t="s">
        <v>669</v>
      </c>
      <c r="AT185" s="48" t="str">
        <f t="shared" si="6"/>
        <v>只有&lt;color=#FFCC71&gt;击败&lt;/color&gt;盘踞在这的&lt;color=#FFCC71&gt;蛮族&lt;/color&gt;才能&lt;color=#FFCC71&gt;拿回资源点&lt;/color&gt;，大人，别犹豫，他们就是一盘散沙，不足为惧！</v>
      </c>
      <c r="AU185" s="48" t="s">
        <v>670</v>
      </c>
      <c r="AV185" s="48">
        <f t="shared" si="11"/>
        <v>50107</v>
      </c>
      <c r="AW185" s="48" t="s">
        <v>671</v>
      </c>
      <c r="AX185" s="48" t="s">
        <v>672</v>
      </c>
      <c r="AY185" s="48" t="s">
        <v>673</v>
      </c>
    </row>
    <row r="186" spans="1:51" s="48" customFormat="1" ht="28">
      <c r="A186" s="48">
        <f t="shared" si="12"/>
        <v>50108</v>
      </c>
      <c r="B186" s="48" t="s">
        <v>621</v>
      </c>
      <c r="C186" s="48">
        <v>1</v>
      </c>
      <c r="D186" s="48" t="s">
        <v>666</v>
      </c>
      <c r="E186" s="48" t="s">
        <v>412</v>
      </c>
      <c r="F186" s="20" t="str">
        <f>VLOOKUP(G186,'#TID_base_up'!B:C,2,0)</f>
        <v>魏兰</v>
      </c>
      <c r="G186" s="48" t="s">
        <v>129</v>
      </c>
      <c r="H186" s="48" t="str">
        <f>VLOOKUP($F186,'#对话模型配置'!$A:$W,MATCH(对话配置表!H$2,'#对话模型配置'!$1:$1,0),FALSE)</f>
        <v>icon_guidechara.smash</v>
      </c>
      <c r="I186" s="48" t="str">
        <f>VLOOKUP($F186,'#对话模型配置'!$A:$W,MATCH(对话配置表!I$2,'#对话模型配置'!$1:$1,0),FALSE)</f>
        <v>frame_s_xsdh_002</v>
      </c>
      <c r="J186" s="48" t="s">
        <v>674</v>
      </c>
      <c r="K186" s="84" t="str">
        <f t="shared" si="10"/>
        <v>这可真是一场&lt;color=#FFCC71&gt;教科书般的胜利&lt;/color&gt;，那我就放心了，领主大人，接下来就看你的表演了。</v>
      </c>
      <c r="T186" s="48">
        <v>1</v>
      </c>
      <c r="U186" s="48">
        <v>1</v>
      </c>
      <c r="V186" s="48">
        <v>0</v>
      </c>
      <c r="X186" s="48">
        <v>0</v>
      </c>
      <c r="Y186" s="48" t="b">
        <v>0</v>
      </c>
      <c r="Z186" s="48" t="s">
        <v>675</v>
      </c>
      <c r="AA186" s="48" t="b">
        <v>0</v>
      </c>
      <c r="AC186" s="48">
        <v>20001023</v>
      </c>
      <c r="AD186" s="48">
        <v>7.6311659812927202</v>
      </c>
      <c r="AE186" s="48">
        <v>8.6300000000000008</v>
      </c>
      <c r="AH186" s="48">
        <v>0.1</v>
      </c>
      <c r="AL186" s="48">
        <v>10</v>
      </c>
      <c r="AM186" s="48">
        <f>VLOOKUP($F186,'#对话模型配置'!$A:$W,MATCH(对话配置表!AM$2,'#对话模型配置'!$1:$1,0),FALSE)</f>
        <v>20001005</v>
      </c>
      <c r="AN186" s="48" t="s">
        <v>676</v>
      </c>
      <c r="AT186" s="48" t="str">
        <f t="shared" si="6"/>
        <v>这可真是一场&lt;color=#FFCC71&gt;教科书般的胜利&lt;/color&gt;，那我就放心了，领主大人，接下来就看你的表演了。</v>
      </c>
      <c r="AU186" s="48" t="s">
        <v>677</v>
      </c>
      <c r="AV186" s="48">
        <f t="shared" si="11"/>
        <v>50108</v>
      </c>
      <c r="AW186" s="48" t="s">
        <v>678</v>
      </c>
    </row>
    <row r="187" spans="1:51" s="48" customFormat="1" ht="42">
      <c r="A187" s="48">
        <f t="shared" si="12"/>
        <v>50201</v>
      </c>
      <c r="B187" s="48" t="s">
        <v>679</v>
      </c>
      <c r="C187" s="48">
        <v>1</v>
      </c>
      <c r="D187" s="48" t="s">
        <v>622</v>
      </c>
      <c r="E187" s="48" t="s">
        <v>412</v>
      </c>
      <c r="F187" s="20" t="str">
        <f>VLOOKUP(G187,'#TID_base_up'!B:C,2,0)</f>
        <v>魏兰</v>
      </c>
      <c r="G187" s="48" t="s">
        <v>129</v>
      </c>
      <c r="H187" s="48" t="str">
        <f>VLOOKUP($F187,'#对话模型配置'!$A:$W,MATCH(对话配置表!H$2,'#对话模型配置'!$1:$1,0),FALSE)</f>
        <v>icon_guidechara.smash</v>
      </c>
      <c r="I187" s="48" t="str">
        <f>VLOOKUP($F187,'#对话模型配置'!$A:$W,MATCH(对话配置表!I$2,'#对话模型配置'!$1:$1,0),FALSE)</f>
        <v>frame_s_xsdh_002</v>
      </c>
      <c r="J187" s="48" t="s">
        <v>680</v>
      </c>
      <c r="K187" s="84" t="str">
        <f t="shared" si="10"/>
        <v>我们&lt;color=#FFCC71&gt;真正的敌人&lt;/color&gt;远比这些散装蛮子要强大的多，要想取胜并非一朝一夕，&lt;color=#FFCC71&gt;大人得先稳住&lt;/color&gt;。</v>
      </c>
      <c r="T187" s="48">
        <v>1</v>
      </c>
      <c r="U187" s="48">
        <v>1</v>
      </c>
      <c r="V187" s="48">
        <v>0</v>
      </c>
      <c r="X187" s="48">
        <v>0</v>
      </c>
      <c r="Y187" s="48" t="b">
        <v>0</v>
      </c>
      <c r="Z187" s="48" t="s">
        <v>681</v>
      </c>
      <c r="AA187" s="48" t="b">
        <v>0</v>
      </c>
      <c r="AC187" s="48">
        <v>20001024</v>
      </c>
      <c r="AD187" s="48">
        <v>8.4163331985473597</v>
      </c>
      <c r="AE187" s="48">
        <v>9.42</v>
      </c>
      <c r="AH187" s="48">
        <v>0.1</v>
      </c>
      <c r="AL187" s="48">
        <v>10</v>
      </c>
      <c r="AM187" s="48">
        <f>VLOOKUP($F187,'#对话模型配置'!$A:$W,MATCH(对话配置表!AM$2,'#对话模型配置'!$1:$1,0),FALSE)</f>
        <v>20001005</v>
      </c>
      <c r="AN187" s="48" t="s">
        <v>662</v>
      </c>
      <c r="AT187" s="48" t="str">
        <f t="shared" si="6"/>
        <v>我们&lt;color=#FFCC71&gt;真正的敌人&lt;/color&gt;远比这些散装蛮子要强大的多，要想取胜并非一朝一夕，&lt;color=#FFCC71&gt;大人得先稳住&lt;/color&gt;。</v>
      </c>
      <c r="AU187" s="48" t="s">
        <v>682</v>
      </c>
      <c r="AV187" s="48">
        <f t="shared" si="11"/>
        <v>50201</v>
      </c>
      <c r="AW187" s="48" t="s">
        <v>683</v>
      </c>
      <c r="AX187" s="48" t="s">
        <v>684</v>
      </c>
    </row>
    <row r="188" spans="1:51" s="48" customFormat="1" ht="28">
      <c r="A188" s="48">
        <f t="shared" si="12"/>
        <v>50201</v>
      </c>
      <c r="B188" s="48" t="s">
        <v>679</v>
      </c>
      <c r="C188" s="48">
        <v>2</v>
      </c>
      <c r="D188" s="48" t="s">
        <v>622</v>
      </c>
      <c r="E188" s="48" t="s">
        <v>412</v>
      </c>
      <c r="F188" s="20" t="str">
        <f>VLOOKUP(G188,'#TID_base_up'!B:C,2,0)</f>
        <v>安德莉娅</v>
      </c>
      <c r="G188" s="48" t="s">
        <v>467</v>
      </c>
      <c r="H188" s="48" t="str">
        <f>VLOOKUP($F188,'#对话模型配置'!$A:$W,MATCH(对话配置表!H$2,'#对话模型配置'!$1:$1,0),FALSE)</f>
        <v>icon_guidechara.smash</v>
      </c>
      <c r="I188" s="48" t="str">
        <f>VLOOKUP($F188,'#对话模型配置'!$A:$W,MATCH(对话配置表!I$2,'#对话模型配置'!$1:$1,0),FALSE)</f>
        <v>frame_s_xsdh_002</v>
      </c>
      <c r="J188" s="48" t="s">
        <v>685</v>
      </c>
      <c r="K188" s="84" t="str">
        <f t="shared" si="10"/>
        <v>大人，不如先从&lt;color=#FFCC71&gt;内城的建设&lt;/color&gt;开始着手吧，毕竟腰包鼓了，才能撑起更大的队伍。</v>
      </c>
      <c r="T188" s="48">
        <v>1</v>
      </c>
      <c r="U188" s="48">
        <v>1</v>
      </c>
      <c r="V188" s="48">
        <v>0</v>
      </c>
      <c r="X188" s="48">
        <v>0</v>
      </c>
      <c r="Y188" s="48" t="b">
        <v>0</v>
      </c>
      <c r="Z188" s="48" t="s">
        <v>686</v>
      </c>
      <c r="AA188" s="48" t="b">
        <v>1</v>
      </c>
      <c r="AC188" s="48">
        <v>20001025</v>
      </c>
      <c r="AD188" s="48">
        <v>8.1759996414184606</v>
      </c>
      <c r="AE188" s="48">
        <v>9.18</v>
      </c>
      <c r="AH188" s="48">
        <v>0.1</v>
      </c>
      <c r="AL188" s="48">
        <v>10</v>
      </c>
      <c r="AM188" s="48">
        <f>VLOOKUP($F188,'#对话模型配置'!$A:$W,MATCH(对话配置表!AM$2,'#对话模型配置'!$1:$1,0),FALSE)</f>
        <v>30001001</v>
      </c>
      <c r="AN188" s="48" t="s">
        <v>687</v>
      </c>
      <c r="AT188" s="48" t="str">
        <f t="shared" si="6"/>
        <v>大人，不如先从&lt;color=#FFCC71&gt;内城的建设&lt;/color&gt;开始着手吧，毕竟腰包鼓了，才能撑起更大的队伍。</v>
      </c>
      <c r="AU188" s="48" t="s">
        <v>688</v>
      </c>
      <c r="AV188" s="48">
        <f t="shared" si="11"/>
        <v>50201</v>
      </c>
      <c r="AW188" s="48" t="s">
        <v>689</v>
      </c>
    </row>
    <row r="189" spans="1:51" s="48" customFormat="1" ht="28">
      <c r="A189" s="48">
        <f t="shared" si="12"/>
        <v>50202</v>
      </c>
      <c r="B189" s="48" t="s">
        <v>679</v>
      </c>
      <c r="C189" s="48">
        <v>1</v>
      </c>
      <c r="D189" s="48" t="s">
        <v>690</v>
      </c>
      <c r="E189" s="48" t="s">
        <v>412</v>
      </c>
      <c r="F189" s="20" t="str">
        <f>VLOOKUP(G189,'#TID_base_up'!B:C,2,0)</f>
        <v>安德莉娅</v>
      </c>
      <c r="G189" s="48" t="s">
        <v>467</v>
      </c>
      <c r="H189" s="48" t="str">
        <f>VLOOKUP($F189,'#对话模型配置'!$A:$W,MATCH(对话配置表!H$2,'#对话模型配置'!$1:$1,0),FALSE)</f>
        <v>icon_guidechara.smash</v>
      </c>
      <c r="I189" s="48" t="str">
        <f>VLOOKUP($F189,'#对话模型配置'!$A:$W,MATCH(对话配置表!I$2,'#对话模型配置'!$1:$1,0),FALSE)</f>
        <v>frame_s_xsdh_002</v>
      </c>
      <c r="J189" s="48" t="s">
        <v>691</v>
      </c>
      <c r="K189" s="84" t="str">
        <f t="shared" si="10"/>
        <v>领主大人，有了磨坊，我们才能在&lt;color=#FFCC71&gt;城内生产粮食&lt;/color&gt;，还请先&lt;color=#FFCC71&gt;建造一些磨坊&lt;/color&gt;。</v>
      </c>
      <c r="T189" s="48">
        <v>1</v>
      </c>
      <c r="U189" s="48">
        <v>1</v>
      </c>
      <c r="V189" s="48">
        <v>0</v>
      </c>
      <c r="X189" s="48">
        <v>0</v>
      </c>
      <c r="Y189" s="48" t="b">
        <v>0</v>
      </c>
      <c r="Z189" s="48" t="s">
        <v>692</v>
      </c>
      <c r="AA189" s="48" t="b">
        <v>0</v>
      </c>
      <c r="AC189" s="48">
        <v>20001026</v>
      </c>
      <c r="AD189" s="48">
        <v>7.9800000190734899</v>
      </c>
      <c r="AE189" s="48">
        <v>8.98</v>
      </c>
      <c r="AH189" s="48">
        <v>0.1</v>
      </c>
      <c r="AL189" s="48">
        <v>10</v>
      </c>
      <c r="AM189" s="48">
        <f>VLOOKUP($F189,'#对话模型配置'!$A:$W,MATCH(对话配置表!AM$2,'#对话模型配置'!$1:$1,0),FALSE)</f>
        <v>30001001</v>
      </c>
      <c r="AN189" s="48" t="s">
        <v>693</v>
      </c>
      <c r="AT189" s="48" t="str">
        <f t="shared" si="6"/>
        <v>领主大人，有了磨坊，我们才能在&lt;color=#FFCC71&gt;城内生产粮食&lt;/color&gt;，还请先&lt;color=#FFCC71&gt;建造一些磨坊&lt;/color&gt;。</v>
      </c>
      <c r="AU189" s="48" t="s">
        <v>694</v>
      </c>
      <c r="AV189" s="48">
        <f t="shared" si="11"/>
        <v>50202</v>
      </c>
      <c r="AW189" s="48" t="s">
        <v>695</v>
      </c>
      <c r="AX189" s="48" t="s">
        <v>696</v>
      </c>
    </row>
    <row r="190" spans="1:51" s="48" customFormat="1" ht="28">
      <c r="A190" s="48">
        <f t="shared" si="12"/>
        <v>50203</v>
      </c>
      <c r="B190" s="48" t="s">
        <v>679</v>
      </c>
      <c r="C190" s="48">
        <v>1</v>
      </c>
      <c r="D190" s="48" t="s">
        <v>697</v>
      </c>
      <c r="E190" s="48" t="s">
        <v>412</v>
      </c>
      <c r="F190" s="20" t="str">
        <f>VLOOKUP(G190,'#TID_base_up'!B:C,2,0)</f>
        <v>安德莉娅</v>
      </c>
      <c r="G190" s="48" t="s">
        <v>467</v>
      </c>
      <c r="H190" s="48" t="str">
        <f>VLOOKUP($F190,'#对话模型配置'!$A:$W,MATCH(对话配置表!H$2,'#对话模型配置'!$1:$1,0),FALSE)</f>
        <v>icon_guidechara.smash</v>
      </c>
      <c r="I190" s="48" t="str">
        <f>VLOOKUP($F190,'#对话模型配置'!$A:$W,MATCH(对话配置表!I$2,'#对话模型配置'!$1:$1,0),FALSE)</f>
        <v>frame_s_xsdh_002</v>
      </c>
      <c r="J190" s="48" t="s">
        <v>698</v>
      </c>
      <c r="K190" s="84" t="str">
        <f t="shared" si="10"/>
        <v>请在磨坊附近&lt;color=#FFCC71&gt;开垦几块农田&lt;/color&gt;，这样我们的村民就不用天天吃浆果了。</v>
      </c>
      <c r="T190" s="48">
        <v>1</v>
      </c>
      <c r="U190" s="48">
        <v>1</v>
      </c>
      <c r="V190" s="48">
        <v>0</v>
      </c>
      <c r="X190" s="48">
        <v>0</v>
      </c>
      <c r="Y190" s="48" t="b">
        <v>0</v>
      </c>
      <c r="Z190" s="48" t="s">
        <v>699</v>
      </c>
      <c r="AA190" s="48" t="b">
        <v>0</v>
      </c>
      <c r="AC190" s="48">
        <v>20001027</v>
      </c>
      <c r="AD190" s="48">
        <v>6.6079998016357404</v>
      </c>
      <c r="AE190" s="48">
        <v>7.61</v>
      </c>
      <c r="AH190" s="48">
        <v>0.1</v>
      </c>
      <c r="AL190" s="48">
        <v>10</v>
      </c>
      <c r="AM190" s="48">
        <f>VLOOKUP($F190,'#对话模型配置'!$A:$W,MATCH(对话配置表!AM$2,'#对话模型配置'!$1:$1,0),FALSE)</f>
        <v>30001001</v>
      </c>
      <c r="AN190" s="48" t="s">
        <v>700</v>
      </c>
      <c r="AT190" s="48" t="str">
        <f t="shared" si="6"/>
        <v>请在磨坊附近&lt;color=#FFCC71&gt;开垦几块农田&lt;/color&gt;，这样我们的村民就不用天天吃浆果了。</v>
      </c>
      <c r="AU190" s="48" t="s">
        <v>701</v>
      </c>
      <c r="AV190" s="48">
        <f t="shared" si="11"/>
        <v>50203</v>
      </c>
      <c r="AW190" s="48" t="s">
        <v>702</v>
      </c>
    </row>
    <row r="191" spans="1:51" s="48" customFormat="1" ht="42">
      <c r="A191" s="48">
        <f t="shared" si="12"/>
        <v>50204</v>
      </c>
      <c r="B191" s="48" t="s">
        <v>679</v>
      </c>
      <c r="C191" s="48">
        <v>1</v>
      </c>
      <c r="D191" s="48" t="s">
        <v>703</v>
      </c>
      <c r="E191" s="48" t="s">
        <v>412</v>
      </c>
      <c r="F191" s="20" t="str">
        <f>VLOOKUP(G191,'#TID_base_up'!B:C,2,0)</f>
        <v>安德莉娅</v>
      </c>
      <c r="G191" s="48" t="s">
        <v>467</v>
      </c>
      <c r="H191" s="48" t="str">
        <f>VLOOKUP($F191,'#对话模型配置'!$A:$W,MATCH(对话配置表!H$2,'#对话模型配置'!$1:$1,0),FALSE)</f>
        <v>icon_guidechara.smash</v>
      </c>
      <c r="I191" s="48" t="str">
        <f>VLOOKUP($F191,'#对话模型配置'!$A:$W,MATCH(对话配置表!I$2,'#对话模型配置'!$1:$1,0),FALSE)</f>
        <v>frame_s_xsdh_002</v>
      </c>
      <c r="J191" s="48" t="s">
        <v>704</v>
      </c>
      <c r="K191" s="84" t="str">
        <f t="shared" si="10"/>
        <v>是时候&lt;color=#FFCC71&gt;升级&lt;/color&gt;我们的&lt;color=#FFCC71&gt;城镇中心&lt;/color&gt;了，这样一来便可以建造更多不同用途的建筑了。</v>
      </c>
      <c r="T191" s="48">
        <v>1</v>
      </c>
      <c r="U191" s="48">
        <v>1</v>
      </c>
      <c r="V191" s="48">
        <v>0</v>
      </c>
      <c r="X191" s="48">
        <v>0</v>
      </c>
      <c r="Y191" s="48" t="b">
        <v>0</v>
      </c>
      <c r="Z191" s="48" t="s">
        <v>705</v>
      </c>
      <c r="AA191" s="48" t="b">
        <v>0</v>
      </c>
      <c r="AC191" s="48">
        <v>20001028</v>
      </c>
      <c r="AD191" s="48">
        <v>7.0093331336975098</v>
      </c>
      <c r="AE191" s="48">
        <v>8.01</v>
      </c>
      <c r="AH191" s="48">
        <v>0.1</v>
      </c>
      <c r="AL191" s="48">
        <v>10</v>
      </c>
      <c r="AM191" s="48">
        <f>VLOOKUP($F191,'#对话模型配置'!$A:$W,MATCH(对话配置表!AM$2,'#对话模型配置'!$1:$1,0),FALSE)</f>
        <v>30001001</v>
      </c>
      <c r="AN191" s="48" t="s">
        <v>706</v>
      </c>
      <c r="AT191" s="48" t="str">
        <f t="shared" si="6"/>
        <v>是时候&lt;color=#FFCC71&gt;升级&lt;/color&gt;我们的&lt;color=#FFCC71&gt;城镇中心&lt;/color&gt;了，这样一来便可以建造更多不同用途的建筑了。</v>
      </c>
      <c r="AU191" s="48" t="s">
        <v>707</v>
      </c>
      <c r="AV191" s="48">
        <f t="shared" si="11"/>
        <v>50204</v>
      </c>
      <c r="AW191" s="48" t="s">
        <v>708</v>
      </c>
      <c r="AX191" s="48" t="s">
        <v>709</v>
      </c>
    </row>
    <row r="192" spans="1:51" s="48" customFormat="1" ht="42">
      <c r="A192" s="48">
        <f t="shared" si="12"/>
        <v>50205</v>
      </c>
      <c r="B192" s="48" t="s">
        <v>679</v>
      </c>
      <c r="C192" s="48">
        <v>1</v>
      </c>
      <c r="D192" s="48" t="s">
        <v>710</v>
      </c>
      <c r="E192" s="48" t="s">
        <v>412</v>
      </c>
      <c r="F192" s="20" t="str">
        <f>VLOOKUP(G192,'#TID_base_up'!B:C,2,0)</f>
        <v>安德莉娅</v>
      </c>
      <c r="G192" s="48" t="s">
        <v>467</v>
      </c>
      <c r="H192" s="48" t="str">
        <f>VLOOKUP($F192,'#对话模型配置'!$A:$W,MATCH(对话配置表!H$2,'#对话模型配置'!$1:$1,0),FALSE)</f>
        <v>icon_guidechara.smash</v>
      </c>
      <c r="I192" s="48" t="str">
        <f>VLOOKUP($F192,'#对话模型配置'!$A:$W,MATCH(对话配置表!I$2,'#对话模型配置'!$1:$1,0),FALSE)</f>
        <v>frame_s_xsdh_002</v>
      </c>
      <c r="J192" s="48" t="s">
        <v>711</v>
      </c>
      <c r="K192" s="84" t="str">
        <f t="shared" si="10"/>
        <v>大人，必须&lt;color=#FFCC71&gt;建造&lt;/color&gt;多一些&lt;color=#FFCC71&gt;居民房舍&lt;/color&gt;，才能让城镇容下更多的村民。</v>
      </c>
      <c r="T192" s="48">
        <v>1</v>
      </c>
      <c r="U192" s="48">
        <v>1</v>
      </c>
      <c r="V192" s="48">
        <v>0</v>
      </c>
      <c r="X192" s="48">
        <v>0</v>
      </c>
      <c r="Y192" s="48" t="b">
        <v>0</v>
      </c>
      <c r="Z192" s="48" t="s">
        <v>712</v>
      </c>
      <c r="AA192" s="48" t="b">
        <v>0</v>
      </c>
      <c r="AC192" s="48">
        <v>20001029</v>
      </c>
      <c r="AD192" s="48">
        <v>7.1773328781127903</v>
      </c>
      <c r="AE192" s="48">
        <v>8.18</v>
      </c>
      <c r="AH192" s="48">
        <v>0.1</v>
      </c>
      <c r="AL192" s="48">
        <v>10</v>
      </c>
      <c r="AM192" s="48">
        <f>VLOOKUP($F192,'#对话模型配置'!$A:$W,MATCH(对话配置表!AM$2,'#对话模型配置'!$1:$1,0),FALSE)</f>
        <v>30001001</v>
      </c>
      <c r="AN192" s="48" t="s">
        <v>700</v>
      </c>
      <c r="AT192" s="48" t="str">
        <f t="shared" si="6"/>
        <v>大人，必须&lt;color=#FFCC71&gt;建造&lt;/color&gt;多一些&lt;color=#FFCC71&gt;居民房舍&lt;/color&gt;，才能让城镇容下更多的村民。</v>
      </c>
      <c r="AU192" s="48" t="s">
        <v>713</v>
      </c>
      <c r="AV192" s="48">
        <f t="shared" si="11"/>
        <v>50205</v>
      </c>
      <c r="AW192" s="48" t="s">
        <v>714</v>
      </c>
      <c r="AX192" s="48" t="s">
        <v>715</v>
      </c>
    </row>
    <row r="193" spans="1:51" s="48" customFormat="1" ht="28">
      <c r="A193" s="48">
        <f t="shared" si="12"/>
        <v>50206</v>
      </c>
      <c r="B193" s="48" t="s">
        <v>679</v>
      </c>
      <c r="C193" s="48">
        <v>1</v>
      </c>
      <c r="D193" s="48" t="s">
        <v>716</v>
      </c>
      <c r="E193" s="48" t="s">
        <v>412</v>
      </c>
      <c r="F193" s="20" t="str">
        <f>VLOOKUP(G193,'#TID_base_up'!B:C,2,0)</f>
        <v>安德莉娅</v>
      </c>
      <c r="G193" s="48" t="s">
        <v>467</v>
      </c>
      <c r="H193" s="48" t="str">
        <f>VLOOKUP($F193,'#对话模型配置'!$A:$W,MATCH(对话配置表!H$2,'#对话模型配置'!$1:$1,0),FALSE)</f>
        <v>icon_guidechara.smash</v>
      </c>
      <c r="I193" s="48" t="str">
        <f>VLOOKUP($F193,'#对话模型配置'!$A:$W,MATCH(对话配置表!I$2,'#对话模型配置'!$1:$1,0),FALSE)</f>
        <v>frame_s_xsdh_002</v>
      </c>
      <c r="J193" s="48" t="s">
        <v>717</v>
      </c>
      <c r="K193" s="84" t="str">
        <f t="shared" si="10"/>
        <v>城内资源生产人手有些不足，请大人在城镇中心&lt;color=#FFCC71&gt;训练一批村民&lt;/color&gt;吧。</v>
      </c>
      <c r="T193" s="48">
        <v>1</v>
      </c>
      <c r="U193" s="48">
        <v>1</v>
      </c>
      <c r="V193" s="48">
        <v>0</v>
      </c>
      <c r="X193" s="48">
        <v>0</v>
      </c>
      <c r="Y193" s="48" t="b">
        <v>0</v>
      </c>
      <c r="Z193" s="48" t="s">
        <v>718</v>
      </c>
      <c r="AA193" s="48" t="b">
        <v>0</v>
      </c>
      <c r="AC193" s="48">
        <v>20001030</v>
      </c>
      <c r="AD193" s="48">
        <v>6.0026659965515101</v>
      </c>
      <c r="AE193" s="48">
        <v>7</v>
      </c>
      <c r="AH193" s="48">
        <v>0.1</v>
      </c>
      <c r="AL193" s="48">
        <v>10</v>
      </c>
      <c r="AM193" s="48">
        <f>VLOOKUP($F193,'#对话模型配置'!$A:$W,MATCH(对话配置表!AM$2,'#对话模型配置'!$1:$1,0),FALSE)</f>
        <v>30001001</v>
      </c>
      <c r="AN193" s="48" t="s">
        <v>693</v>
      </c>
      <c r="AT193" s="48" t="str">
        <f t="shared" si="6"/>
        <v>城内资源生产人手有些不足，请大人在城镇中心&lt;color=#FFCC71&gt;训练一批村民&lt;/color&gt;吧。</v>
      </c>
      <c r="AU193" s="48" t="s">
        <v>719</v>
      </c>
      <c r="AV193" s="48">
        <f t="shared" si="11"/>
        <v>50206</v>
      </c>
      <c r="AW193" s="48" t="s">
        <v>720</v>
      </c>
    </row>
    <row r="194" spans="1:51" s="48" customFormat="1" ht="28">
      <c r="A194" s="48">
        <f t="shared" si="12"/>
        <v>50207</v>
      </c>
      <c r="B194" s="48" t="s">
        <v>679</v>
      </c>
      <c r="C194" s="48">
        <v>1</v>
      </c>
      <c r="D194" s="48" t="s">
        <v>721</v>
      </c>
      <c r="E194" s="48" t="s">
        <v>412</v>
      </c>
      <c r="F194" s="20" t="str">
        <f>VLOOKUP(G194,'#TID_base_up'!B:C,2,0)</f>
        <v>安德莉娅</v>
      </c>
      <c r="G194" s="48" t="s">
        <v>467</v>
      </c>
      <c r="H194" s="48" t="str">
        <f>VLOOKUP($F194,'#对话模型配置'!$A:$W,MATCH(对话配置表!H$2,'#对话模型配置'!$1:$1,0),FALSE)</f>
        <v>icon_guidechara.smash</v>
      </c>
      <c r="I194" s="48" t="str">
        <f>VLOOKUP($F194,'#对话模型配置'!$A:$W,MATCH(对话配置表!I$2,'#对话模型配置'!$1:$1,0),FALSE)</f>
        <v>frame_s_xsdh_002</v>
      </c>
      <c r="J194" s="48" t="s">
        <v>722</v>
      </c>
      <c r="K194" s="84" t="str">
        <f t="shared" si="10"/>
        <v>作为领地的主人，您可以根据需要&lt;color=#FFCC71&gt;自由调配村民&lt;/color&gt;的生产方案，厉害吧。</v>
      </c>
      <c r="T194" s="48">
        <v>1</v>
      </c>
      <c r="U194" s="48">
        <v>1</v>
      </c>
      <c r="V194" s="48">
        <v>0</v>
      </c>
      <c r="X194" s="48">
        <v>0</v>
      </c>
      <c r="Y194" s="48" t="b">
        <v>0</v>
      </c>
      <c r="Z194" s="48" t="s">
        <v>723</v>
      </c>
      <c r="AA194" s="48" t="b">
        <v>0</v>
      </c>
      <c r="AC194" s="48">
        <v>20001031</v>
      </c>
      <c r="AD194" s="48">
        <v>6.1826667785644496</v>
      </c>
      <c r="AE194" s="48">
        <v>7.18</v>
      </c>
      <c r="AH194" s="48">
        <v>0.1</v>
      </c>
      <c r="AL194" s="48">
        <v>10</v>
      </c>
      <c r="AM194" s="48">
        <f>VLOOKUP($F194,'#对话模型配置'!$A:$W,MATCH(对话配置表!AM$2,'#对话模型配置'!$1:$1,0),FALSE)</f>
        <v>30001001</v>
      </c>
      <c r="AN194" s="48" t="s">
        <v>724</v>
      </c>
      <c r="AT194" s="48" t="str">
        <f t="shared" si="6"/>
        <v>作为领地的主人，您可以根据需要&lt;color=#FFCC71&gt;自由调配村民&lt;/color&gt;的生产方案，厉害吧。</v>
      </c>
      <c r="AU194" s="48" t="s">
        <v>725</v>
      </c>
      <c r="AV194" s="48">
        <f t="shared" si="11"/>
        <v>50207</v>
      </c>
      <c r="AW194" s="48" t="s">
        <v>726</v>
      </c>
    </row>
    <row r="195" spans="1:51" s="48" customFormat="1" ht="42">
      <c r="A195" s="48">
        <f t="shared" si="12"/>
        <v>50208</v>
      </c>
      <c r="B195" s="48" t="s">
        <v>679</v>
      </c>
      <c r="C195" s="48">
        <v>1</v>
      </c>
      <c r="D195" s="48" t="s">
        <v>727</v>
      </c>
      <c r="E195" s="48" t="s">
        <v>412</v>
      </c>
      <c r="F195" s="20" t="str">
        <f>VLOOKUP(G195,'#TID_base_up'!B:C,2,0)</f>
        <v>魏兰</v>
      </c>
      <c r="G195" s="48" t="s">
        <v>129</v>
      </c>
      <c r="H195" s="48" t="str">
        <f>VLOOKUP($F195,'#对话模型配置'!$A:$W,MATCH(对话配置表!H$2,'#对话模型配置'!$1:$1,0),FALSE)</f>
        <v>icon_guidechara.smash</v>
      </c>
      <c r="I195" s="48" t="str">
        <f>VLOOKUP($F195,'#对话模型配置'!$A:$W,MATCH(对话配置表!I$2,'#对话模型配置'!$1:$1,0),FALSE)</f>
        <v>frame_s_xsdh_002</v>
      </c>
      <c r="J195" s="48" t="s">
        <v>728</v>
      </c>
      <c r="K195" s="84" t="str">
        <f t="shared" si="10"/>
        <v>随着领地建设的深入，各种资源的需求会越来越大，大人不妨提前&lt;color=#FFCC71&gt;占领&lt;/color&gt;一些&lt;color=#FFCC71&gt;高级的资源点&lt;/color&gt;。</v>
      </c>
      <c r="T195" s="48">
        <v>1</v>
      </c>
      <c r="U195" s="48">
        <v>1</v>
      </c>
      <c r="V195" s="48">
        <v>0</v>
      </c>
      <c r="X195" s="48">
        <v>0</v>
      </c>
      <c r="Y195" s="48" t="b">
        <v>0</v>
      </c>
      <c r="Z195" s="48" t="s">
        <v>729</v>
      </c>
      <c r="AA195" s="48" t="b">
        <v>0</v>
      </c>
      <c r="AC195" s="48">
        <v>20001032</v>
      </c>
      <c r="AD195" s="48">
        <v>7.8853340148925799</v>
      </c>
      <c r="AE195" s="48">
        <v>8.89</v>
      </c>
      <c r="AH195" s="48">
        <v>0.1</v>
      </c>
      <c r="AL195" s="48">
        <v>10</v>
      </c>
      <c r="AM195" s="48">
        <f>VLOOKUP($F195,'#对话模型配置'!$A:$W,MATCH(对话配置表!AM$2,'#对话模型配置'!$1:$1,0),FALSE)</f>
        <v>20001005</v>
      </c>
      <c r="AN195" s="48" t="s">
        <v>676</v>
      </c>
      <c r="AT195" s="48" t="str">
        <f t="shared" si="6"/>
        <v>随着领地建设的深入，各种资源的需求会越来越大，大人不妨提前&lt;color=#FFCC71&gt;占领&lt;/color&gt;一些&lt;color=#FFCC71&gt;高级的资源点&lt;/color&gt;。</v>
      </c>
      <c r="AU195" s="48" t="s">
        <v>730</v>
      </c>
      <c r="AV195" s="48">
        <f t="shared" si="11"/>
        <v>50208</v>
      </c>
      <c r="AW195" s="48" t="s">
        <v>731</v>
      </c>
      <c r="AX195" s="48" t="s">
        <v>732</v>
      </c>
    </row>
    <row r="196" spans="1:51" s="48" customFormat="1" ht="42">
      <c r="A196" s="48">
        <f t="shared" si="12"/>
        <v>50301</v>
      </c>
      <c r="B196" s="48" t="s">
        <v>733</v>
      </c>
      <c r="C196" s="48">
        <v>1</v>
      </c>
      <c r="D196" s="48" t="s">
        <v>622</v>
      </c>
      <c r="E196" s="48" t="s">
        <v>412</v>
      </c>
      <c r="F196" s="20" t="str">
        <f>VLOOKUP(G196,'#TID_base_up'!B:C,2,0)</f>
        <v>魏兰</v>
      </c>
      <c r="G196" s="48" t="s">
        <v>129</v>
      </c>
      <c r="H196" s="48" t="str">
        <f>VLOOKUP($F196,'#对话模型配置'!$A:$W,MATCH(对话配置表!H$2,'#对话模型配置'!$1:$1,0),FALSE)</f>
        <v>icon_guidechara.smash</v>
      </c>
      <c r="I196" s="48" t="str">
        <f>VLOOKUP($F196,'#对话模型配置'!$A:$W,MATCH(对话配置表!I$2,'#对话模型配置'!$1:$1,0),FALSE)</f>
        <v>frame_s_xsdh_002</v>
      </c>
      <c r="J196" s="48" t="s">
        <v>734</v>
      </c>
      <c r="K196" s="84" t="str">
        <f t="shared" si="10"/>
        <v>在大人的勤奋治理下，&lt;color=#FFCC71&gt;领地发展&lt;/color&gt;已经逐渐走上了正轨，果然，没有人比&lt;color=#FFCC71&gt;大人更懂内政&lt;/color&gt;了。</v>
      </c>
      <c r="T196" s="48">
        <v>1</v>
      </c>
      <c r="U196" s="48">
        <v>1</v>
      </c>
      <c r="V196" s="48">
        <v>0</v>
      </c>
      <c r="X196" s="48">
        <v>0</v>
      </c>
      <c r="Y196" s="48" t="b">
        <v>0</v>
      </c>
      <c r="Z196" s="48" t="s">
        <v>735</v>
      </c>
      <c r="AA196" s="48" t="b">
        <v>0</v>
      </c>
      <c r="AC196" s="48">
        <v>20001033</v>
      </c>
      <c r="AD196" s="48">
        <v>8.3183336257934606</v>
      </c>
      <c r="AE196" s="48">
        <v>9.32</v>
      </c>
      <c r="AH196" s="48">
        <v>0.1</v>
      </c>
      <c r="AL196" s="48">
        <v>10</v>
      </c>
      <c r="AM196" s="48">
        <f>VLOOKUP($F196,'#对话模型配置'!$A:$W,MATCH(对话配置表!AM$2,'#对话模型配置'!$1:$1,0),FALSE)</f>
        <v>20001005</v>
      </c>
      <c r="AN196" s="48" t="s">
        <v>676</v>
      </c>
      <c r="AT196" s="48" t="str">
        <f t="shared" ref="AT196:AT259" si="13">IF($AU196="","",SUBSTITUTE(SUBSTITUTE(SUBSTITUTE(SUBSTITUTE($AU196,IF($AW196="","",$AW196),IF($AW196="","",CONCATENATE("&lt;color=#FFCC71&gt;",$AW196,"&lt;/color&gt;"))),IF($AX196="","",$AX196),IF($AX196="","",CONCATENATE("&lt;color=#FFCC71&gt;",$AX196,"&lt;/color&gt;"))),IF($AY196="","",$AY196),IF($AY196="","",CONCATENATE("&lt;color=#FFCC71&gt;",$AY196,"&lt;/color&gt;"))),IF($AZ196="","",$AZ196),IF($AZ196="","",CONCATENATE("&lt;color=#FFCC71&gt;",$AZ196,"&lt;/color&gt;"))))</f>
        <v>在大人的勤奋治理下，&lt;color=#FFCC71&gt;领地发展&lt;/color&gt;已经逐渐走上了正轨，果然，没有人比&lt;color=#FFCC71&gt;大人更懂内政&lt;/color&gt;了。</v>
      </c>
      <c r="AU196" s="48" t="s">
        <v>736</v>
      </c>
      <c r="AV196" s="48">
        <f t="shared" si="11"/>
        <v>50301</v>
      </c>
      <c r="AW196" s="48" t="s">
        <v>737</v>
      </c>
      <c r="AX196" s="48" t="s">
        <v>738</v>
      </c>
    </row>
    <row r="197" spans="1:51" s="48" customFormat="1" ht="28">
      <c r="A197" s="48">
        <f t="shared" si="12"/>
        <v>50301</v>
      </c>
      <c r="B197" s="48" t="s">
        <v>733</v>
      </c>
      <c r="C197" s="48">
        <v>2</v>
      </c>
      <c r="D197" s="48" t="s">
        <v>622</v>
      </c>
      <c r="E197" s="48" t="s">
        <v>412</v>
      </c>
      <c r="F197" s="20" t="str">
        <f>VLOOKUP(G197,'#TID_base_up'!B:C,2,0)</f>
        <v>安德莉娅</v>
      </c>
      <c r="G197" s="48" t="s">
        <v>467</v>
      </c>
      <c r="H197" s="48" t="str">
        <f>VLOOKUP($F197,'#对话模型配置'!$A:$W,MATCH(对话配置表!H$2,'#对话模型配置'!$1:$1,0),FALSE)</f>
        <v>icon_guidechara.smash</v>
      </c>
      <c r="I197" s="48" t="str">
        <f>VLOOKUP($F197,'#对话模型配置'!$A:$W,MATCH(对话配置表!I$2,'#对话模型配置'!$1:$1,0),FALSE)</f>
        <v>frame_s_xsdh_002</v>
      </c>
      <c r="J197" s="48" t="s">
        <v>739</v>
      </c>
      <c r="K197" s="84" t="str">
        <f t="shared" si="10"/>
        <v>打铁要趁热，想要&lt;color=#FFCC71&gt;进一步强大&lt;/color&gt;，&lt;color=#FFCC71&gt;军事发展&lt;/color&gt;也不能落下呀。</v>
      </c>
      <c r="T197" s="48">
        <v>1</v>
      </c>
      <c r="U197" s="48">
        <v>1</v>
      </c>
      <c r="V197" s="48">
        <v>0</v>
      </c>
      <c r="X197" s="48">
        <v>0</v>
      </c>
      <c r="Y197" s="48" t="b">
        <v>0</v>
      </c>
      <c r="Z197" s="48" t="s">
        <v>740</v>
      </c>
      <c r="AA197" s="48" t="b">
        <v>1</v>
      </c>
      <c r="AC197" s="48">
        <v>20001034</v>
      </c>
      <c r="AD197" s="48">
        <v>5.7960000038146999</v>
      </c>
      <c r="AE197" s="48">
        <v>6.8</v>
      </c>
      <c r="AH197" s="48">
        <v>0.1</v>
      </c>
      <c r="AL197" s="48">
        <v>10</v>
      </c>
      <c r="AM197" s="48">
        <f>VLOOKUP($F197,'#对话模型配置'!$A:$W,MATCH(对话配置表!AM$2,'#对话模型配置'!$1:$1,0),FALSE)</f>
        <v>30001001</v>
      </c>
      <c r="AN197" s="48" t="s">
        <v>550</v>
      </c>
      <c r="AT197" s="48" t="str">
        <f t="shared" si="13"/>
        <v>打铁要趁热，想要&lt;color=#FFCC71&gt;进一步强大&lt;/color&gt;，&lt;color=#FFCC71&gt;军事发展&lt;/color&gt;也不能落下呀。</v>
      </c>
      <c r="AU197" s="48" t="s">
        <v>741</v>
      </c>
      <c r="AV197" s="48">
        <f t="shared" si="11"/>
        <v>50301</v>
      </c>
      <c r="AW197" s="48" t="s">
        <v>742</v>
      </c>
      <c r="AX197" s="48" t="s">
        <v>743</v>
      </c>
    </row>
    <row r="198" spans="1:51" s="48" customFormat="1" ht="42">
      <c r="A198" s="48">
        <f t="shared" si="12"/>
        <v>50302</v>
      </c>
      <c r="B198" s="48" t="s">
        <v>733</v>
      </c>
      <c r="C198" s="48">
        <v>1</v>
      </c>
      <c r="D198" s="48" t="s">
        <v>744</v>
      </c>
      <c r="E198" s="48" t="s">
        <v>412</v>
      </c>
      <c r="F198" s="20" t="str">
        <f>VLOOKUP(G198,'#TID_base_up'!B:C,2,0)</f>
        <v>安德莉娅</v>
      </c>
      <c r="G198" s="48" t="s">
        <v>467</v>
      </c>
      <c r="H198" s="48" t="str">
        <f>VLOOKUP($F198,'#对话模型配置'!$A:$W,MATCH(对话配置表!H$2,'#对话模型配置'!$1:$1,0),FALSE)</f>
        <v>icon_guidechara.smash</v>
      </c>
      <c r="I198" s="48" t="str">
        <f>VLOOKUP($F198,'#对话模型配置'!$A:$W,MATCH(对话配置表!I$2,'#对话模型配置'!$1:$1,0),FALSE)</f>
        <v>frame_s_xsdh_002</v>
      </c>
      <c r="J198" s="48" t="s">
        <v>745</v>
      </c>
      <c r="K198" s="84" t="str">
        <f t="shared" si="10"/>
        <v>想要招募出&lt;color=#FFCC71&gt;心仪的英雄&lt;/color&gt;，肯定需要一点点运气的啦，&lt;color=#FFCC71&gt;多抽几次&lt;/color&gt;，总是会有惊喜的。</v>
      </c>
      <c r="T198" s="48">
        <v>1</v>
      </c>
      <c r="U198" s="48">
        <v>1</v>
      </c>
      <c r="V198" s="48">
        <v>0</v>
      </c>
      <c r="X198" s="48">
        <v>0</v>
      </c>
      <c r="Y198" s="48" t="b">
        <v>0</v>
      </c>
      <c r="Z198" s="48" t="s">
        <v>746</v>
      </c>
      <c r="AA198" s="48" t="b">
        <v>0</v>
      </c>
      <c r="AC198" s="48">
        <v>20001035</v>
      </c>
      <c r="AD198" s="48">
        <v>8.0546674728393608</v>
      </c>
      <c r="AE198" s="48">
        <v>9.0500000000000007</v>
      </c>
      <c r="AH198" s="48">
        <v>0.1</v>
      </c>
      <c r="AL198" s="48">
        <v>10</v>
      </c>
      <c r="AM198" s="48">
        <f>VLOOKUP($F198,'#对话模型配置'!$A:$W,MATCH(对话配置表!AM$2,'#对话模型配置'!$1:$1,0),FALSE)</f>
        <v>30001001</v>
      </c>
      <c r="AN198" s="48" t="s">
        <v>687</v>
      </c>
      <c r="AT198" s="48" t="str">
        <f t="shared" si="13"/>
        <v>想要招募出&lt;color=#FFCC71&gt;心仪的英雄&lt;/color&gt;，肯定需要一点点运气的啦，&lt;color=#FFCC71&gt;多抽几次&lt;/color&gt;，总是会有惊喜的。</v>
      </c>
      <c r="AU198" s="48" t="s">
        <v>747</v>
      </c>
      <c r="AV198" s="48">
        <f t="shared" si="11"/>
        <v>50302</v>
      </c>
      <c r="AW198" s="48" t="s">
        <v>748</v>
      </c>
      <c r="AX198" s="48" t="s">
        <v>749</v>
      </c>
    </row>
    <row r="199" spans="1:51" s="48" customFormat="1" ht="28">
      <c r="A199" s="48">
        <f t="shared" si="12"/>
        <v>50303</v>
      </c>
      <c r="B199" s="48" t="s">
        <v>733</v>
      </c>
      <c r="C199" s="48">
        <v>1</v>
      </c>
      <c r="D199" s="48" t="s">
        <v>750</v>
      </c>
      <c r="E199" s="48" t="s">
        <v>412</v>
      </c>
      <c r="F199" s="20" t="str">
        <f>VLOOKUP(G199,'#TID_base_up'!B:C,2,0)</f>
        <v>安德莉娅</v>
      </c>
      <c r="G199" s="48" t="s">
        <v>467</v>
      </c>
      <c r="H199" s="48" t="str">
        <f>VLOOKUP($F199,'#对话模型配置'!$A:$W,MATCH(对话配置表!H$2,'#对话模型配置'!$1:$1,0),FALSE)</f>
        <v>icon_guidechara.smash</v>
      </c>
      <c r="I199" s="48" t="str">
        <f>VLOOKUP($F199,'#对话模型配置'!$A:$W,MATCH(对话配置表!I$2,'#对话模型配置'!$1:$1,0),FALSE)</f>
        <v>frame_s_xsdh_002</v>
      </c>
      <c r="J199" s="48" t="s">
        <v>751</v>
      </c>
      <c r="K199" s="84" t="str">
        <f t="shared" si="10"/>
        <v>持续&lt;color=#FFCC71&gt;升级城镇中心&lt;/color&gt;，才能保证领地的&lt;color=#FFCC71&gt;持续发展&lt;/color&gt;。</v>
      </c>
      <c r="T199" s="48">
        <v>1</v>
      </c>
      <c r="U199" s="48">
        <v>1</v>
      </c>
      <c r="V199" s="48">
        <v>0</v>
      </c>
      <c r="X199" s="48">
        <v>0</v>
      </c>
      <c r="Y199" s="48" t="b">
        <v>0</v>
      </c>
      <c r="Z199" s="48" t="s">
        <v>752</v>
      </c>
      <c r="AA199" s="48" t="b">
        <v>0</v>
      </c>
      <c r="AC199" s="48">
        <v>20001036</v>
      </c>
      <c r="AD199" s="48">
        <v>5.3200001716613796</v>
      </c>
      <c r="AE199" s="48">
        <v>6.32</v>
      </c>
      <c r="AH199" s="48">
        <v>0.1</v>
      </c>
      <c r="AL199" s="48">
        <v>10</v>
      </c>
      <c r="AM199" s="48">
        <f>VLOOKUP($F199,'#对话模型配置'!$A:$W,MATCH(对话配置表!AM$2,'#对话模型配置'!$1:$1,0),FALSE)</f>
        <v>30001001</v>
      </c>
      <c r="AN199" s="48" t="s">
        <v>753</v>
      </c>
      <c r="AT199" s="48" t="str">
        <f t="shared" si="13"/>
        <v>持续&lt;color=#FFCC71&gt;升级城镇中心&lt;/color&gt;，才能保证领地的&lt;color=#FFCC71&gt;持续发展&lt;/color&gt;。</v>
      </c>
      <c r="AU199" s="48" t="s">
        <v>754</v>
      </c>
      <c r="AV199" s="48">
        <f t="shared" si="11"/>
        <v>50303</v>
      </c>
      <c r="AW199" s="48" t="s">
        <v>755</v>
      </c>
      <c r="AX199" s="48" t="s">
        <v>756</v>
      </c>
    </row>
    <row r="200" spans="1:51" s="48" customFormat="1" ht="42">
      <c r="A200" s="48">
        <f t="shared" si="12"/>
        <v>50304</v>
      </c>
      <c r="B200" s="48" t="s">
        <v>733</v>
      </c>
      <c r="C200" s="48">
        <v>1</v>
      </c>
      <c r="D200" s="48" t="s">
        <v>750</v>
      </c>
      <c r="E200" s="48" t="s">
        <v>412</v>
      </c>
      <c r="F200" s="20" t="str">
        <f>VLOOKUP(G200,'#TID_base_up'!B:C,2,0)</f>
        <v>安德莉娅</v>
      </c>
      <c r="G200" s="48" t="s">
        <v>467</v>
      </c>
      <c r="H200" s="48" t="str">
        <f>VLOOKUP($F200,'#对话模型配置'!$A:$W,MATCH(对话配置表!H$2,'#对话模型配置'!$1:$1,0),FALSE)</f>
        <v>icon_guidechara.smash</v>
      </c>
      <c r="I200" s="48" t="str">
        <f>VLOOKUP($F200,'#对话模型配置'!$A:$W,MATCH(对话配置表!I$2,'#对话模型配置'!$1:$1,0),FALSE)</f>
        <v>frame_s_xsdh_002</v>
      </c>
      <c r="J200" s="48" t="s">
        <v>757</v>
      </c>
      <c r="K200" s="84" t="str">
        <f t="shared" si="10"/>
        <v>建筑可以&lt;color=#FFCC71&gt;免费升级&lt;/color&gt;时，一定要&lt;color=#FFCC71&gt;立即秒掉&lt;/color&gt;，肯定没有比这个更划算的了。</v>
      </c>
      <c r="T200" s="48">
        <v>1</v>
      </c>
      <c r="U200" s="48">
        <v>1</v>
      </c>
      <c r="V200" s="48">
        <v>0</v>
      </c>
      <c r="X200" s="48">
        <v>0</v>
      </c>
      <c r="Y200" s="48" t="b">
        <v>0</v>
      </c>
      <c r="Z200" s="48" t="s">
        <v>758</v>
      </c>
      <c r="AA200" s="48" t="b">
        <v>0</v>
      </c>
      <c r="AC200" s="48">
        <v>20001037</v>
      </c>
      <c r="AD200" s="48">
        <v>6.1413331031799299</v>
      </c>
      <c r="AE200" s="48">
        <v>7.14</v>
      </c>
      <c r="AH200" s="48">
        <v>0.1</v>
      </c>
      <c r="AL200" s="48">
        <v>10</v>
      </c>
      <c r="AM200" s="48">
        <f>VLOOKUP($F200,'#对话模型配置'!$A:$W,MATCH(对话配置表!AM$2,'#对话模型配置'!$1:$1,0),FALSE)</f>
        <v>30001001</v>
      </c>
      <c r="AN200" s="48" t="s">
        <v>724</v>
      </c>
      <c r="AT200" s="48" t="str">
        <f t="shared" si="13"/>
        <v>建筑可以&lt;color=#FFCC71&gt;免费升级&lt;/color&gt;时，一定要&lt;color=#FFCC71&gt;立即秒掉&lt;/color&gt;，肯定没有比这个更划算的了。</v>
      </c>
      <c r="AU200" s="48" t="s">
        <v>759</v>
      </c>
      <c r="AV200" s="48">
        <f t="shared" si="11"/>
        <v>50304</v>
      </c>
      <c r="AW200" s="48" t="s">
        <v>760</v>
      </c>
      <c r="AX200" s="48" t="s">
        <v>761</v>
      </c>
    </row>
    <row r="201" spans="1:51" s="48" customFormat="1" ht="42">
      <c r="A201" s="48">
        <f t="shared" si="12"/>
        <v>50305</v>
      </c>
      <c r="B201" s="48" t="s">
        <v>733</v>
      </c>
      <c r="C201" s="48">
        <v>1</v>
      </c>
      <c r="D201" s="48" t="s">
        <v>762</v>
      </c>
      <c r="E201" s="48" t="s">
        <v>412</v>
      </c>
      <c r="F201" s="20" t="str">
        <f>VLOOKUP(G201,'#TID_base_up'!B:C,2,0)</f>
        <v>安德莉娅</v>
      </c>
      <c r="G201" s="48" t="s">
        <v>467</v>
      </c>
      <c r="H201" s="48" t="str">
        <f>VLOOKUP($F201,'#对话模型配置'!$A:$W,MATCH(对话配置表!H$2,'#对话模型配置'!$1:$1,0),FALSE)</f>
        <v>icon_guidechara.smash</v>
      </c>
      <c r="I201" s="48" t="str">
        <f>VLOOKUP($F201,'#对话模型配置'!$A:$W,MATCH(对话配置表!I$2,'#对话模型配置'!$1:$1,0),FALSE)</f>
        <v>frame_s_xsdh_002</v>
      </c>
      <c r="J201" s="48" t="s">
        <v>763</v>
      </c>
      <c r="K201" s="84" t="str">
        <f t="shared" si="10"/>
        <v>还请您&lt;color=#FFCC71&gt;升级这些居民房舍&lt;/color&gt;，让一间房能&lt;color=#FFCC71&gt;容纳更多村民&lt;/color&gt;，毕竟打工人越多越好。</v>
      </c>
      <c r="T201" s="48">
        <v>1</v>
      </c>
      <c r="U201" s="48">
        <v>1</v>
      </c>
      <c r="V201" s="48">
        <v>0</v>
      </c>
      <c r="X201" s="48">
        <v>0</v>
      </c>
      <c r="Y201" s="48" t="b">
        <v>0</v>
      </c>
      <c r="Z201" s="48" t="s">
        <v>764</v>
      </c>
      <c r="AA201" s="48" t="b">
        <v>0</v>
      </c>
      <c r="AC201" s="48">
        <v>20001038</v>
      </c>
      <c r="AD201" s="48">
        <v>7.9893331527709996</v>
      </c>
      <c r="AE201" s="48">
        <v>8.99</v>
      </c>
      <c r="AH201" s="48">
        <v>0.1</v>
      </c>
      <c r="AL201" s="48">
        <v>10</v>
      </c>
      <c r="AM201" s="48">
        <f>VLOOKUP($F201,'#对话模型配置'!$A:$W,MATCH(对话配置表!AM$2,'#对话模型配置'!$1:$1,0),FALSE)</f>
        <v>30001001</v>
      </c>
      <c r="AN201" s="48" t="s">
        <v>765</v>
      </c>
      <c r="AT201" s="48" t="str">
        <f t="shared" si="13"/>
        <v>还请您&lt;color=#FFCC71&gt;升级这些居民房舍&lt;/color&gt;，让一间房能&lt;color=#FFCC71&gt;容纳更多村民&lt;/color&gt;，毕竟打工人越多越好。</v>
      </c>
      <c r="AU201" s="48" t="s">
        <v>766</v>
      </c>
      <c r="AV201" s="48">
        <f t="shared" si="11"/>
        <v>50305</v>
      </c>
      <c r="AW201" s="48" t="s">
        <v>767</v>
      </c>
      <c r="AX201" s="48" t="s">
        <v>768</v>
      </c>
    </row>
    <row r="202" spans="1:51" s="48" customFormat="1" ht="28">
      <c r="A202" s="48">
        <f t="shared" si="12"/>
        <v>50306</v>
      </c>
      <c r="B202" s="48" t="s">
        <v>733</v>
      </c>
      <c r="C202" s="48">
        <v>1</v>
      </c>
      <c r="D202" s="48" t="s">
        <v>769</v>
      </c>
      <c r="E202" s="48" t="s">
        <v>412</v>
      </c>
      <c r="F202" s="20" t="str">
        <f>VLOOKUP(G202,'#TID_base_up'!B:C,2,0)</f>
        <v>魏兰</v>
      </c>
      <c r="G202" s="48" t="s">
        <v>129</v>
      </c>
      <c r="H202" s="48" t="str">
        <f>VLOOKUP($F202,'#对话模型配置'!$A:$W,MATCH(对话配置表!H$2,'#对话模型配置'!$1:$1,0),FALSE)</f>
        <v>icon_guidechara.smash</v>
      </c>
      <c r="I202" s="48" t="str">
        <f>VLOOKUP($F202,'#对话模型配置'!$A:$W,MATCH(对话配置表!I$2,'#对话模型配置'!$1:$1,0),FALSE)</f>
        <v>frame_s_xsdh_002</v>
      </c>
      <c r="J202" s="48" t="s">
        <v>770</v>
      </c>
      <c r="K202" s="84" t="str">
        <f t="shared" si="10"/>
        <v>我们得先把&lt;color=#FFCC71&gt;兵营修整&lt;/color&gt;一下，之后就可以&lt;color=#FFCC71&gt;大规模爆兵&lt;/color&gt;了。</v>
      </c>
      <c r="T202" s="48">
        <v>1</v>
      </c>
      <c r="U202" s="48">
        <v>1</v>
      </c>
      <c r="V202" s="48">
        <v>0</v>
      </c>
      <c r="X202" s="48">
        <v>0</v>
      </c>
      <c r="Y202" s="48" t="b">
        <v>0</v>
      </c>
      <c r="Z202" s="48" t="s">
        <v>771</v>
      </c>
      <c r="AA202" s="48" t="b">
        <v>0</v>
      </c>
      <c r="AC202" s="48">
        <v>20001039</v>
      </c>
      <c r="AD202" s="48">
        <v>4.81599998474121</v>
      </c>
      <c r="AE202" s="48">
        <v>5.82</v>
      </c>
      <c r="AH202" s="48">
        <v>0.1</v>
      </c>
      <c r="AL202" s="48">
        <v>10</v>
      </c>
      <c r="AM202" s="48">
        <f>VLOOKUP($F202,'#对话模型配置'!$A:$W,MATCH(对话配置表!AM$2,'#对话模型配置'!$1:$1,0),FALSE)</f>
        <v>20001005</v>
      </c>
      <c r="AN202" s="48" t="s">
        <v>655</v>
      </c>
      <c r="AT202" s="48" t="str">
        <f t="shared" si="13"/>
        <v>我们得先把&lt;color=#FFCC71&gt;兵营修整&lt;/color&gt;一下，之后就可以&lt;color=#FFCC71&gt;大规模爆兵&lt;/color&gt;了。</v>
      </c>
      <c r="AU202" s="48" t="s">
        <v>772</v>
      </c>
      <c r="AV202" s="48">
        <f t="shared" si="11"/>
        <v>50306</v>
      </c>
      <c r="AW202" s="48" t="s">
        <v>773</v>
      </c>
      <c r="AX202" s="48" t="s">
        <v>774</v>
      </c>
    </row>
    <row r="203" spans="1:51" s="48" customFormat="1" ht="42">
      <c r="A203" s="48">
        <f t="shared" si="12"/>
        <v>50307</v>
      </c>
      <c r="B203" s="48" t="s">
        <v>733</v>
      </c>
      <c r="C203" s="48">
        <v>1</v>
      </c>
      <c r="D203" s="48" t="s">
        <v>775</v>
      </c>
      <c r="E203" s="48" t="s">
        <v>412</v>
      </c>
      <c r="F203" s="20" t="str">
        <f>VLOOKUP(G203,'#TID_base_up'!B:C,2,0)</f>
        <v>魏兰</v>
      </c>
      <c r="G203" s="48" t="s">
        <v>129</v>
      </c>
      <c r="H203" s="48" t="str">
        <f>VLOOKUP($F203,'#对话模型配置'!$A:$W,MATCH(对话配置表!H$2,'#对话模型配置'!$1:$1,0),FALSE)</f>
        <v>icon_guidechara.smash</v>
      </c>
      <c r="I203" s="48" t="str">
        <f>VLOOKUP($F203,'#对话模型配置'!$A:$W,MATCH(对话配置表!I$2,'#对话模型配置'!$1:$1,0),FALSE)</f>
        <v>frame_s_xsdh_002</v>
      </c>
      <c r="J203" s="48" t="s">
        <v>776</v>
      </c>
      <c r="K203" s="84" t="str">
        <f t="shared" si="10"/>
        <v>&lt;color=#FFCC71&gt;扩大地盘&lt;/color&gt;，&lt;color=#FFCC71&gt;提升实力&lt;/color&gt;，都离不开一个最基本的条件，那就是要有&lt;color=#FFCC71&gt;足够多的士兵&lt;/color&gt;！</v>
      </c>
      <c r="T203" s="48">
        <v>1</v>
      </c>
      <c r="U203" s="48">
        <v>1</v>
      </c>
      <c r="V203" s="48">
        <v>0</v>
      </c>
      <c r="X203" s="48">
        <v>0</v>
      </c>
      <c r="Y203" s="48" t="b">
        <v>0</v>
      </c>
      <c r="Z203" s="48" t="s">
        <v>777</v>
      </c>
      <c r="AA203" s="48" t="b">
        <v>0</v>
      </c>
      <c r="AC203" s="48">
        <v>20001040</v>
      </c>
      <c r="AD203" s="48">
        <v>7.4713339805603001</v>
      </c>
      <c r="AE203" s="48">
        <v>8.4700000000000006</v>
      </c>
      <c r="AH203" s="48">
        <v>0.1</v>
      </c>
      <c r="AL203" s="48">
        <v>10</v>
      </c>
      <c r="AM203" s="48">
        <f>VLOOKUP($F203,'#对话模型配置'!$A:$W,MATCH(对话配置表!AM$2,'#对话模型配置'!$1:$1,0),FALSE)</f>
        <v>20001005</v>
      </c>
      <c r="AN203" s="48" t="s">
        <v>676</v>
      </c>
      <c r="AT203" s="48" t="str">
        <f t="shared" si="13"/>
        <v>&lt;color=#FFCC71&gt;扩大地盘&lt;/color&gt;，&lt;color=#FFCC71&gt;提升实力&lt;/color&gt;，都离不开一个最基本的条件，那就是要有&lt;color=#FFCC71&gt;足够多的士兵&lt;/color&gt;！</v>
      </c>
      <c r="AU203" s="48" t="s">
        <v>778</v>
      </c>
      <c r="AV203" s="48">
        <f t="shared" si="11"/>
        <v>50307</v>
      </c>
      <c r="AW203" s="48" t="s">
        <v>779</v>
      </c>
      <c r="AX203" s="48" t="s">
        <v>780</v>
      </c>
      <c r="AY203" s="48" t="s">
        <v>781</v>
      </c>
    </row>
    <row r="204" spans="1:51" s="48" customFormat="1" ht="28">
      <c r="A204" s="48">
        <f t="shared" si="12"/>
        <v>50308</v>
      </c>
      <c r="B204" s="48" t="s">
        <v>733</v>
      </c>
      <c r="C204" s="48">
        <v>1</v>
      </c>
      <c r="D204" s="48" t="s">
        <v>775</v>
      </c>
      <c r="E204" s="48" t="s">
        <v>412</v>
      </c>
      <c r="F204" s="20" t="str">
        <f>VLOOKUP(G204,'#TID_base_up'!B:C,2,0)</f>
        <v>魏兰</v>
      </c>
      <c r="G204" s="48" t="s">
        <v>129</v>
      </c>
      <c r="H204" s="48" t="str">
        <f>VLOOKUP($F204,'#对话模型配置'!$A:$W,MATCH(对话配置表!H$2,'#对话模型配置'!$1:$1,0),FALSE)</f>
        <v>icon_guidechara.smash</v>
      </c>
      <c r="I204" s="48" t="str">
        <f>VLOOKUP($F204,'#对话模型配置'!$A:$W,MATCH(对话配置表!I$2,'#对话模型配置'!$1:$1,0),FALSE)</f>
        <v>frame_s_xsdh_002</v>
      </c>
      <c r="J204" s="48" t="s">
        <v>782</v>
      </c>
      <c r="K204" s="84" t="str">
        <f t="shared" si="10"/>
        <v>士兵按时完成训练固然不错，在面对紧急情况，该&lt;color=#FFCC71&gt;加速训练&lt;/color&gt;还是得加速。</v>
      </c>
      <c r="T204" s="48">
        <v>1</v>
      </c>
      <c r="U204" s="48">
        <v>1</v>
      </c>
      <c r="V204" s="48">
        <v>0</v>
      </c>
      <c r="X204" s="48">
        <v>0</v>
      </c>
      <c r="Y204" s="48" t="b">
        <v>0</v>
      </c>
      <c r="Z204" s="48" t="s">
        <v>783</v>
      </c>
      <c r="AA204" s="48" t="b">
        <v>0</v>
      </c>
      <c r="AC204" s="48">
        <v>20001041</v>
      </c>
      <c r="AD204" s="48">
        <v>6.7550001144409197</v>
      </c>
      <c r="AE204" s="48">
        <v>7.76</v>
      </c>
      <c r="AH204" s="48">
        <v>0.1</v>
      </c>
      <c r="AL204" s="48">
        <v>10</v>
      </c>
      <c r="AM204" s="48">
        <f>VLOOKUP($F204,'#对话模型配置'!$A:$W,MATCH(对话配置表!AM$2,'#对话模型配置'!$1:$1,0),FALSE)</f>
        <v>20001005</v>
      </c>
      <c r="AN204" s="48" t="s">
        <v>643</v>
      </c>
      <c r="AT204" s="48" t="str">
        <f t="shared" si="13"/>
        <v>士兵按时完成训练固然不错，在面对紧急情况，该&lt;color=#FFCC71&gt;加速训练&lt;/color&gt;还是得加速。</v>
      </c>
      <c r="AU204" s="48" t="s">
        <v>784</v>
      </c>
      <c r="AV204" s="48">
        <f t="shared" si="11"/>
        <v>50308</v>
      </c>
      <c r="AW204" s="48" t="s">
        <v>785</v>
      </c>
    </row>
    <row r="205" spans="1:51" s="48" customFormat="1" ht="28">
      <c r="A205" s="48">
        <f t="shared" si="12"/>
        <v>50309</v>
      </c>
      <c r="B205" s="48" t="s">
        <v>733</v>
      </c>
      <c r="C205" s="48">
        <v>1</v>
      </c>
      <c r="D205" s="48" t="s">
        <v>786</v>
      </c>
      <c r="E205" s="48" t="s">
        <v>412</v>
      </c>
      <c r="F205" s="20" t="str">
        <f>VLOOKUP(G205,'#TID_base_up'!B:C,2,0)</f>
        <v>魏兰</v>
      </c>
      <c r="G205" s="48" t="s">
        <v>129</v>
      </c>
      <c r="H205" s="48" t="str">
        <f>VLOOKUP($F205,'#对话模型配置'!$A:$W,MATCH(对话配置表!H$2,'#对话模型配置'!$1:$1,0),FALSE)</f>
        <v>icon_guidechara.smash</v>
      </c>
      <c r="I205" s="48" t="str">
        <f>VLOOKUP($F205,'#对话模型配置'!$A:$W,MATCH(对话配置表!I$2,'#对话模型配置'!$1:$1,0),FALSE)</f>
        <v>frame_s_xsdh_002</v>
      </c>
      <c r="J205" s="48" t="s">
        <v>787</v>
      </c>
      <c r="K205" s="84" t="str">
        <f t="shared" si="10"/>
        <v>养兵千日用在一时，是时候让那些&lt;color=#FFCC71&gt;侵占良田的蛮族&lt;/color&gt;付出更大的代价了！</v>
      </c>
      <c r="T205" s="48">
        <v>1</v>
      </c>
      <c r="U205" s="48">
        <v>1</v>
      </c>
      <c r="V205" s="48">
        <v>0</v>
      </c>
      <c r="X205" s="48">
        <v>0</v>
      </c>
      <c r="Y205" s="48" t="b">
        <v>0</v>
      </c>
      <c r="Z205" s="48" t="s">
        <v>788</v>
      </c>
      <c r="AA205" s="48" t="b">
        <v>0</v>
      </c>
      <c r="AC205" s="48">
        <v>20001042</v>
      </c>
      <c r="AD205" s="48">
        <v>7.5623331069946298</v>
      </c>
      <c r="AE205" s="48">
        <v>8.56</v>
      </c>
      <c r="AH205" s="48">
        <v>0.1</v>
      </c>
      <c r="AL205" s="48">
        <v>10</v>
      </c>
      <c r="AM205" s="48">
        <f>VLOOKUP($F205,'#对话模型配置'!$A:$W,MATCH(对话配置表!AM$2,'#对话模型配置'!$1:$1,0),FALSE)</f>
        <v>20001005</v>
      </c>
      <c r="AN205" s="48" t="s">
        <v>655</v>
      </c>
      <c r="AT205" s="48" t="str">
        <f t="shared" si="13"/>
        <v>养兵千日用在一时，是时候让那些&lt;color=#FFCC71&gt;侵占良田的蛮族&lt;/color&gt;付出更大的代价了！</v>
      </c>
      <c r="AU205" s="48" t="s">
        <v>789</v>
      </c>
      <c r="AV205" s="48">
        <f t="shared" si="11"/>
        <v>50309</v>
      </c>
      <c r="AW205" s="48" t="s">
        <v>790</v>
      </c>
    </row>
    <row r="206" spans="1:51" s="48" customFormat="1" ht="42">
      <c r="A206" s="48">
        <f t="shared" si="12"/>
        <v>50401</v>
      </c>
      <c r="B206" s="48" t="s">
        <v>791</v>
      </c>
      <c r="C206" s="48">
        <v>1</v>
      </c>
      <c r="D206" s="48" t="s">
        <v>622</v>
      </c>
      <c r="E206" s="48" t="s">
        <v>412</v>
      </c>
      <c r="F206" s="20" t="str">
        <f>VLOOKUP(G206,'#TID_base_up'!B:C,2,0)</f>
        <v>关羽</v>
      </c>
      <c r="G206" s="48" t="s">
        <v>792</v>
      </c>
      <c r="H206" s="48" t="str">
        <f>VLOOKUP($F206,'#对话模型配置'!$A:$W,MATCH(对话配置表!H$2,'#对话模型配置'!$1:$1,0),FALSE)</f>
        <v>icon_guidechara.smash</v>
      </c>
      <c r="I206" s="48" t="str">
        <f>VLOOKUP($F206,'#对话模型配置'!$A:$W,MATCH(对话配置表!I$2,'#对话模型配置'!$1:$1,0),FALSE)</f>
        <v>frame_s_xsdh_002</v>
      </c>
      <c r="J206" s="48" t="s">
        <v>793</v>
      </c>
      <c r="K206" s="84" t="str">
        <f t="shared" si="10"/>
        <v>在下周游至此，听闻领主大人&lt;color=#FFCC71&gt;皇城一役&lt;/color&gt;，&lt;color=#FFCC71&gt;孤军救主&lt;/color&gt;，以一己之力抗衡百万蛮军，如此胆识颇有老夫当年之勇。</v>
      </c>
      <c r="T206" s="48">
        <v>1</v>
      </c>
      <c r="U206" s="48">
        <v>1</v>
      </c>
      <c r="V206" s="48">
        <v>0</v>
      </c>
      <c r="X206" s="48">
        <v>0</v>
      </c>
      <c r="Y206" s="48" t="b">
        <v>0</v>
      </c>
      <c r="Z206" s="48" t="s">
        <v>794</v>
      </c>
      <c r="AA206" s="48" t="b">
        <v>0</v>
      </c>
      <c r="AC206" s="48">
        <v>20001043</v>
      </c>
      <c r="AD206" s="48">
        <v>12.4958333969116</v>
      </c>
      <c r="AE206" s="48">
        <v>13.5</v>
      </c>
      <c r="AH206" s="48">
        <v>0.1</v>
      </c>
      <c r="AL206" s="48">
        <v>10</v>
      </c>
      <c r="AM206" s="48">
        <f>VLOOKUP($F206,'#对话模型配置'!$A:$W,MATCH(对话配置表!AM$2,'#对话模型配置'!$1:$1,0),FALSE)</f>
        <v>20001004</v>
      </c>
      <c r="AN206" s="48" t="s">
        <v>795</v>
      </c>
      <c r="AT206" s="48" t="str">
        <f t="shared" si="13"/>
        <v>在下周游至此，听闻领主大人&lt;color=#FFCC71&gt;皇城一役&lt;/color&gt;，&lt;color=#FFCC71&gt;孤军救主&lt;/color&gt;，以一己之力抗衡百万蛮军，如此胆识颇有老夫当年之勇。</v>
      </c>
      <c r="AU206" s="48" t="s">
        <v>796</v>
      </c>
      <c r="AV206" s="48">
        <f t="shared" si="11"/>
        <v>50401</v>
      </c>
      <c r="AW206" s="48" t="s">
        <v>797</v>
      </c>
      <c r="AX206" s="48" t="s">
        <v>798</v>
      </c>
    </row>
    <row r="207" spans="1:51" s="48" customFormat="1" ht="28">
      <c r="A207" s="48">
        <f t="shared" si="12"/>
        <v>50401</v>
      </c>
      <c r="B207" s="48" t="s">
        <v>791</v>
      </c>
      <c r="C207" s="48">
        <v>2</v>
      </c>
      <c r="D207" s="48" t="s">
        <v>622</v>
      </c>
      <c r="E207" s="48" t="s">
        <v>412</v>
      </c>
      <c r="F207" s="20" t="str">
        <f>VLOOKUP(G207,'#TID_base_up'!B:C,2,0)</f>
        <v>关羽</v>
      </c>
      <c r="G207" s="48" t="s">
        <v>792</v>
      </c>
      <c r="H207" s="48" t="str">
        <f>VLOOKUP($F207,'#对话模型配置'!$A:$W,MATCH(对话配置表!H$2,'#对话模型配置'!$1:$1,0),FALSE)</f>
        <v>icon_guidechara.smash</v>
      </c>
      <c r="I207" s="48" t="str">
        <f>VLOOKUP($F207,'#对话模型配置'!$A:$W,MATCH(对话配置表!I$2,'#对话模型配置'!$1:$1,0),FALSE)</f>
        <v>frame_s_xsdh_002</v>
      </c>
      <c r="J207" s="48" t="s">
        <v>799</v>
      </c>
      <c r="K207" s="84" t="str">
        <f t="shared" si="10"/>
        <v>便由在下来协助领主大人熟悉一下&lt;color=#FFCC71&gt;英雄培养&lt;/color&gt;的相关事宜。</v>
      </c>
      <c r="T207" s="48">
        <v>1</v>
      </c>
      <c r="U207" s="48">
        <v>1</v>
      </c>
      <c r="V207" s="48">
        <v>0</v>
      </c>
      <c r="X207" s="48">
        <v>0</v>
      </c>
      <c r="Y207" s="48" t="b">
        <v>0</v>
      </c>
      <c r="Z207" s="48" t="s">
        <v>800</v>
      </c>
      <c r="AA207" s="48" t="b">
        <v>1</v>
      </c>
      <c r="AC207" s="48">
        <v>20001044</v>
      </c>
      <c r="AD207" s="48">
        <v>5.9143328666687003</v>
      </c>
      <c r="AE207" s="48">
        <v>6.91</v>
      </c>
      <c r="AH207" s="48">
        <v>0.1</v>
      </c>
      <c r="AL207" s="48">
        <v>10</v>
      </c>
      <c r="AM207" s="48">
        <f>VLOOKUP($F207,'#对话模型配置'!$A:$W,MATCH(对话配置表!AM$2,'#对话模型配置'!$1:$1,0),FALSE)</f>
        <v>20001004</v>
      </c>
      <c r="AN207" s="48" t="s">
        <v>801</v>
      </c>
      <c r="AT207" s="48" t="str">
        <f t="shared" si="13"/>
        <v>便由在下来协助领主大人熟悉一下&lt;color=#FFCC71&gt;英雄培养&lt;/color&gt;的相关事宜。</v>
      </c>
      <c r="AU207" s="48" t="s">
        <v>802</v>
      </c>
      <c r="AV207" s="48">
        <f t="shared" si="11"/>
        <v>50401</v>
      </c>
      <c r="AW207" s="48" t="s">
        <v>803</v>
      </c>
    </row>
    <row r="208" spans="1:51" s="48" customFormat="1" ht="28">
      <c r="A208" s="48">
        <f t="shared" si="12"/>
        <v>50402</v>
      </c>
      <c r="B208" s="48" t="s">
        <v>791</v>
      </c>
      <c r="C208" s="48">
        <v>1</v>
      </c>
      <c r="D208" s="48" t="s">
        <v>804</v>
      </c>
      <c r="E208" s="48" t="s">
        <v>412</v>
      </c>
      <c r="F208" s="20" t="str">
        <f>VLOOKUP(G208,'#TID_base_up'!B:C,2,0)</f>
        <v>魏兰</v>
      </c>
      <c r="G208" s="48" t="s">
        <v>129</v>
      </c>
      <c r="H208" s="48" t="str">
        <f>VLOOKUP($F208,'#对话模型配置'!$A:$W,MATCH(对话配置表!H$2,'#对话模型配置'!$1:$1,0),FALSE)</f>
        <v>icon_guidechara.smash</v>
      </c>
      <c r="I208" s="48" t="str">
        <f>VLOOKUP($F208,'#对话模型配置'!$A:$W,MATCH(对话配置表!I$2,'#对话模型配置'!$1:$1,0),FALSE)</f>
        <v>frame_s_xsdh_002</v>
      </c>
      <c r="J208" s="48" t="s">
        <v>805</v>
      </c>
      <c r="K208" s="84" t="str">
        <f t="shared" ref="K208:K239" si="14">AT208</f>
        <v>大人，您现在兵力不足，请&lt;color=#FFCC71&gt;训练更多士兵&lt;/color&gt;方能补足部队。</v>
      </c>
      <c r="T208" s="48">
        <v>1</v>
      </c>
      <c r="U208" s="48">
        <v>1</v>
      </c>
      <c r="V208" s="48">
        <v>0</v>
      </c>
      <c r="X208" s="48">
        <v>0</v>
      </c>
      <c r="Y208" s="48" t="b">
        <v>0</v>
      </c>
      <c r="Z208" s="48" t="s">
        <v>806</v>
      </c>
      <c r="AA208" s="48" t="b">
        <v>0</v>
      </c>
      <c r="AC208" s="48">
        <v>20001045</v>
      </c>
      <c r="AD208" s="48">
        <v>5.4483327865600604</v>
      </c>
      <c r="AE208" s="48">
        <v>6.45</v>
      </c>
      <c r="AH208" s="48">
        <v>0.1</v>
      </c>
      <c r="AL208" s="48">
        <v>10</v>
      </c>
      <c r="AM208" s="48">
        <f>VLOOKUP($F208,'#对话模型配置'!$A:$W,MATCH(对话配置表!AM$2,'#对话模型配置'!$1:$1,0),FALSE)</f>
        <v>20001005</v>
      </c>
      <c r="AN208" s="48" t="s">
        <v>643</v>
      </c>
      <c r="AT208" s="48" t="str">
        <f t="shared" si="13"/>
        <v>大人，您现在兵力不足，请&lt;color=#FFCC71&gt;训练更多士兵&lt;/color&gt;方能补足部队。</v>
      </c>
      <c r="AU208" s="48" t="s">
        <v>807</v>
      </c>
      <c r="AV208" s="48">
        <f t="shared" ref="AV208:AV239" si="15">A208</f>
        <v>50402</v>
      </c>
      <c r="AW208" s="48" t="s">
        <v>808</v>
      </c>
    </row>
    <row r="209" spans="1:51" s="48" customFormat="1" ht="28">
      <c r="A209" s="48">
        <f t="shared" ref="A209:A240" si="16">IF(B209=B208,IF(C209&gt;1,A208,A208+1),50000+SUBSTITUTE(SUBSTITUTE(B209,"第",""),"章","")*100+1)</f>
        <v>50403</v>
      </c>
      <c r="B209" s="48" t="s">
        <v>791</v>
      </c>
      <c r="C209" s="48">
        <v>1</v>
      </c>
      <c r="D209" s="48" t="s">
        <v>804</v>
      </c>
      <c r="E209" s="48" t="s">
        <v>412</v>
      </c>
      <c r="F209" s="20" t="str">
        <f>VLOOKUP(G209,'#TID_base_up'!B:C,2,0)</f>
        <v>魏兰</v>
      </c>
      <c r="G209" s="48" t="s">
        <v>129</v>
      </c>
      <c r="H209" s="48" t="str">
        <f>VLOOKUP($F209,'#对话模型配置'!$A:$W,MATCH(对话配置表!H$2,'#对话模型配置'!$1:$1,0),FALSE)</f>
        <v>icon_guidechara.smash</v>
      </c>
      <c r="I209" s="48" t="str">
        <f>VLOOKUP($F209,'#对话模型配置'!$A:$W,MATCH(对话配置表!I$2,'#对话模型配置'!$1:$1,0),FALSE)</f>
        <v>frame_s_xsdh_002</v>
      </c>
      <c r="J209" s="48" t="s">
        <v>809</v>
      </c>
      <c r="K209" s="84" t="str">
        <f t="shared" si="14"/>
        <v>如果有训练好的士兵，首先得将他们&lt;color=#FFCC71&gt;补充至部队之中&lt;/color&gt;。</v>
      </c>
      <c r="T209" s="48">
        <v>1</v>
      </c>
      <c r="U209" s="48">
        <v>1</v>
      </c>
      <c r="V209" s="48">
        <v>0</v>
      </c>
      <c r="X209" s="48">
        <v>0</v>
      </c>
      <c r="Y209" s="48" t="b">
        <v>0</v>
      </c>
      <c r="Z209" s="48" t="s">
        <v>810</v>
      </c>
      <c r="AA209" s="48" t="b">
        <v>0</v>
      </c>
      <c r="AC209" s="48">
        <v>20001046</v>
      </c>
      <c r="AD209" s="48">
        <v>4.5733327865600604</v>
      </c>
      <c r="AE209" s="48">
        <v>5.57</v>
      </c>
      <c r="AH209" s="48">
        <v>0.1</v>
      </c>
      <c r="AL209" s="48">
        <v>10</v>
      </c>
      <c r="AM209" s="48">
        <f>VLOOKUP($F209,'#对话模型配置'!$A:$W,MATCH(对话配置表!AM$2,'#对话模型配置'!$1:$1,0),FALSE)</f>
        <v>20001005</v>
      </c>
      <c r="AN209" s="48" t="s">
        <v>811</v>
      </c>
      <c r="AT209" s="48" t="str">
        <f t="shared" si="13"/>
        <v>如果有训练好的士兵，首先得将他们&lt;color=#FFCC71&gt;补充至部队之中&lt;/color&gt;。</v>
      </c>
      <c r="AU209" s="48" t="s">
        <v>812</v>
      </c>
      <c r="AV209" s="48">
        <f t="shared" si="15"/>
        <v>50403</v>
      </c>
      <c r="AW209" s="48" t="s">
        <v>813</v>
      </c>
    </row>
    <row r="210" spans="1:51" s="48" customFormat="1" ht="42">
      <c r="A210" s="48">
        <f t="shared" si="16"/>
        <v>50404</v>
      </c>
      <c r="B210" s="48" t="s">
        <v>791</v>
      </c>
      <c r="C210" s="48">
        <v>1</v>
      </c>
      <c r="D210" s="48" t="s">
        <v>804</v>
      </c>
      <c r="E210" s="48" t="s">
        <v>412</v>
      </c>
      <c r="F210" s="20" t="str">
        <f>VLOOKUP(G210,'#TID_base_up'!B:C,2,0)</f>
        <v>魏兰</v>
      </c>
      <c r="G210" s="48" t="s">
        <v>129</v>
      </c>
      <c r="H210" s="48" t="str">
        <f>VLOOKUP($F210,'#对话模型配置'!$A:$W,MATCH(对话配置表!H$2,'#对话模型配置'!$1:$1,0),FALSE)</f>
        <v>icon_guidechara.smash</v>
      </c>
      <c r="I210" s="48" t="str">
        <f>VLOOKUP($F210,'#对话模型配置'!$A:$W,MATCH(对话配置表!I$2,'#对话模型配置'!$1:$1,0),FALSE)</f>
        <v>frame_s_xsdh_002</v>
      </c>
      <c r="J210" s="48" t="s">
        <v>814</v>
      </c>
      <c r="K210" s="84" t="str">
        <f t="shared" si="14"/>
        <v>将帅乃三军之胆，&lt;color=#FFCC71&gt;提升英雄等级&lt;/color&gt;！这样可&lt;color=#FFCC71&gt;增加部队士兵上限&lt;/color&gt;，战斗力当然也会更强。</v>
      </c>
      <c r="T210" s="48">
        <v>1</v>
      </c>
      <c r="U210" s="48">
        <v>1</v>
      </c>
      <c r="V210" s="48">
        <v>0</v>
      </c>
      <c r="X210" s="48">
        <v>0</v>
      </c>
      <c r="Y210" s="48" t="b">
        <v>0</v>
      </c>
      <c r="Z210" s="48" t="s">
        <v>815</v>
      </c>
      <c r="AA210" s="48" t="b">
        <v>0</v>
      </c>
      <c r="AC210" s="48">
        <v>20001047</v>
      </c>
      <c r="AD210" s="48">
        <v>8.7290000915527308</v>
      </c>
      <c r="AE210" s="48">
        <v>9.73</v>
      </c>
      <c r="AH210" s="48">
        <v>0.1</v>
      </c>
      <c r="AL210" s="48">
        <v>10</v>
      </c>
      <c r="AM210" s="48">
        <f>VLOOKUP($F210,'#对话模型配置'!$A:$W,MATCH(对话配置表!AM$2,'#对话模型配置'!$1:$1,0),FALSE)</f>
        <v>20001005</v>
      </c>
      <c r="AN210" s="48" t="s">
        <v>676</v>
      </c>
      <c r="AT210" s="48" t="str">
        <f t="shared" si="13"/>
        <v>将帅乃三军之胆，&lt;color=#FFCC71&gt;提升英雄等级&lt;/color&gt;！这样可&lt;color=#FFCC71&gt;增加部队士兵上限&lt;/color&gt;，战斗力当然也会更强。</v>
      </c>
      <c r="AU210" s="48" t="s">
        <v>816</v>
      </c>
      <c r="AV210" s="48">
        <f t="shared" si="15"/>
        <v>50404</v>
      </c>
      <c r="AW210" s="48" t="s">
        <v>817</v>
      </c>
      <c r="AX210" s="48" t="s">
        <v>818</v>
      </c>
    </row>
    <row r="211" spans="1:51" s="48" customFormat="1" ht="42">
      <c r="A211" s="48">
        <f t="shared" si="16"/>
        <v>50405</v>
      </c>
      <c r="B211" s="48" t="s">
        <v>791</v>
      </c>
      <c r="C211" s="48">
        <v>1</v>
      </c>
      <c r="D211" s="48" t="s">
        <v>819</v>
      </c>
      <c r="E211" s="48" t="s">
        <v>412</v>
      </c>
      <c r="F211" s="20" t="str">
        <f>VLOOKUP(G211,'#TID_base_up'!B:C,2,0)</f>
        <v>关羽</v>
      </c>
      <c r="G211" s="48" t="s">
        <v>792</v>
      </c>
      <c r="H211" s="48" t="str">
        <f>VLOOKUP($F211,'#对话模型配置'!$A:$W,MATCH(对话配置表!H$2,'#对话模型配置'!$1:$1,0),FALSE)</f>
        <v>icon_guidechara.smash</v>
      </c>
      <c r="I211" s="48" t="str">
        <f>VLOOKUP($F211,'#对话模型配置'!$A:$W,MATCH(对话配置表!I$2,'#对话模型配置'!$1:$1,0),FALSE)</f>
        <v>frame_s_xsdh_002</v>
      </c>
      <c r="J211" s="48" t="s">
        <v>820</v>
      </c>
      <c r="K211" s="84" t="str">
        <f t="shared" si="14"/>
        <v>&lt;color=#FFCC71&gt;英雄&lt;/color&gt;之所以为&lt;color=#FFCC71&gt;英雄&lt;/color&gt;，是因为他们有着&lt;color=#FFCC71&gt;常人所不具备的能力&lt;/color&gt;，但能力并非天生，而是需要后天的努力学习。</v>
      </c>
      <c r="T211" s="48">
        <v>1</v>
      </c>
      <c r="U211" s="48">
        <v>1</v>
      </c>
      <c r="V211" s="48">
        <v>0</v>
      </c>
      <c r="X211" s="48">
        <v>0</v>
      </c>
      <c r="Y211" s="48" t="b">
        <v>0</v>
      </c>
      <c r="Z211" s="48" t="s">
        <v>821</v>
      </c>
      <c r="AA211" s="48" t="b">
        <v>0</v>
      </c>
      <c r="AC211" s="48">
        <v>20001048</v>
      </c>
      <c r="AD211" s="48">
        <v>11.0091667175293</v>
      </c>
      <c r="AE211" s="48">
        <v>12.01</v>
      </c>
      <c r="AH211" s="48">
        <v>0.1</v>
      </c>
      <c r="AL211" s="48">
        <v>10</v>
      </c>
      <c r="AM211" s="48">
        <f>VLOOKUP($F211,'#对话模型配置'!$A:$W,MATCH(对话配置表!AM$2,'#对话模型配置'!$1:$1,0),FALSE)</f>
        <v>20001004</v>
      </c>
      <c r="AN211" s="48" t="s">
        <v>822</v>
      </c>
      <c r="AT211" s="48" t="str">
        <f t="shared" si="13"/>
        <v>&lt;color=#FFCC71&gt;英雄&lt;/color&gt;之所以为&lt;color=#FFCC71&gt;英雄&lt;/color&gt;，是因为他们有着&lt;color=#FFCC71&gt;常人所不具备的能力&lt;/color&gt;，但能力并非天生，而是需要后天的努力学习。</v>
      </c>
      <c r="AU211" s="48" t="s">
        <v>823</v>
      </c>
      <c r="AV211" s="48">
        <f t="shared" si="15"/>
        <v>50405</v>
      </c>
      <c r="AW211" s="48" t="s">
        <v>824</v>
      </c>
      <c r="AX211" s="48" t="s">
        <v>825</v>
      </c>
    </row>
    <row r="212" spans="1:51" s="48" customFormat="1" ht="42">
      <c r="A212" s="48">
        <f t="shared" si="16"/>
        <v>50406</v>
      </c>
      <c r="B212" s="48" t="s">
        <v>791</v>
      </c>
      <c r="C212" s="48">
        <v>1</v>
      </c>
      <c r="D212" s="48" t="s">
        <v>826</v>
      </c>
      <c r="E212" s="48" t="s">
        <v>412</v>
      </c>
      <c r="F212" s="20" t="str">
        <f>VLOOKUP(G212,'#TID_base_up'!B:C,2,0)</f>
        <v>关羽</v>
      </c>
      <c r="G212" s="48" t="s">
        <v>792</v>
      </c>
      <c r="H212" s="48" t="str">
        <f>VLOOKUP($F212,'#对话模型配置'!$A:$W,MATCH(对话配置表!H$2,'#对话模型配置'!$1:$1,0),FALSE)</f>
        <v>icon_guidechara.smash</v>
      </c>
      <c r="I212" s="48" t="str">
        <f>VLOOKUP($F212,'#对话模型配置'!$A:$W,MATCH(对话配置表!I$2,'#对话模型配置'!$1:$1,0),FALSE)</f>
        <v>frame_s_xsdh_002</v>
      </c>
      <c r="J212" s="48" t="s">
        <v>827</v>
      </c>
      <c r="K212" s="84" t="str">
        <f t="shared" si="14"/>
        <v>英雄&lt;color=#FFCC71&gt;固有技能&lt;/color&gt;都是他们的看家本领，请您务必注意&lt;color=#FFCC71&gt;首先升级&lt;/color&gt;，当然升级还&lt;color=#FFCC71&gt;需要一些技能点&lt;/color&gt;。</v>
      </c>
      <c r="T212" s="48">
        <v>1</v>
      </c>
      <c r="U212" s="48">
        <v>1</v>
      </c>
      <c r="V212" s="48">
        <v>0</v>
      </c>
      <c r="X212" s="48">
        <v>0</v>
      </c>
      <c r="Y212" s="48" t="b">
        <v>0</v>
      </c>
      <c r="Z212" s="48" t="s">
        <v>828</v>
      </c>
      <c r="AA212" s="48" t="b">
        <v>0</v>
      </c>
      <c r="AC212" s="48">
        <v>20001049</v>
      </c>
      <c r="AD212" s="48">
        <v>9.8443336486816406</v>
      </c>
      <c r="AE212" s="48">
        <v>10.84</v>
      </c>
      <c r="AH212" s="48">
        <v>0.1</v>
      </c>
      <c r="AL212" s="48">
        <v>10</v>
      </c>
      <c r="AM212" s="48">
        <f>VLOOKUP($F212,'#对话模型配置'!$A:$W,MATCH(对话配置表!AM$2,'#对话模型配置'!$1:$1,0),FALSE)</f>
        <v>20001004</v>
      </c>
      <c r="AN212" s="48" t="s">
        <v>829</v>
      </c>
      <c r="AT212" s="48" t="str">
        <f t="shared" si="13"/>
        <v>英雄&lt;color=#FFCC71&gt;固有技能&lt;/color&gt;都是他们的看家本领，请您务必注意&lt;color=#FFCC71&gt;首先升级&lt;/color&gt;，当然升级还&lt;color=#FFCC71&gt;需要一些技能点&lt;/color&gt;。</v>
      </c>
      <c r="AU212" s="48" t="s">
        <v>830</v>
      </c>
      <c r="AV212" s="48">
        <f t="shared" si="15"/>
        <v>50406</v>
      </c>
      <c r="AW212" s="48" t="s">
        <v>831</v>
      </c>
      <c r="AX212" s="48" t="s">
        <v>832</v>
      </c>
      <c r="AY212" s="48" t="s">
        <v>833</v>
      </c>
    </row>
    <row r="213" spans="1:51" s="48" customFormat="1" ht="28">
      <c r="A213" s="48">
        <f t="shared" si="16"/>
        <v>50407</v>
      </c>
      <c r="B213" s="48" t="s">
        <v>791</v>
      </c>
      <c r="C213" s="48">
        <v>1</v>
      </c>
      <c r="D213" s="48" t="s">
        <v>834</v>
      </c>
      <c r="E213" s="48" t="s">
        <v>412</v>
      </c>
      <c r="F213" s="20" t="str">
        <f>VLOOKUP(G213,'#TID_base_up'!B:C,2,0)</f>
        <v>关羽</v>
      </c>
      <c r="G213" s="48" t="s">
        <v>792</v>
      </c>
      <c r="H213" s="48" t="str">
        <f>VLOOKUP($F213,'#对话模型配置'!$A:$W,MATCH(对话配置表!H$2,'#对话模型配置'!$1:$1,0),FALSE)</f>
        <v>icon_guidechara.smash</v>
      </c>
      <c r="I213" s="48" t="str">
        <f>VLOOKUP($F213,'#对话模型配置'!$A:$W,MATCH(对话配置表!I$2,'#对话模型配置'!$1:$1,0),FALSE)</f>
        <v>frame_s_xsdh_002</v>
      </c>
      <c r="J213" s="48" t="s">
        <v>835</v>
      </c>
      <c r="K213" s="84" t="str">
        <f t="shared" si="14"/>
        <v>依在下看，敌人不过是一群乌合之众，我们&lt;color=#FFCC71&gt;既有精兵也有良将&lt;/color&gt;，取胜便如探囊取物，大人请下令吧。</v>
      </c>
      <c r="T213" s="48">
        <v>1</v>
      </c>
      <c r="U213" s="48">
        <v>1</v>
      </c>
      <c r="V213" s="48">
        <v>0</v>
      </c>
      <c r="X213" s="48">
        <v>0</v>
      </c>
      <c r="Y213" s="48" t="b">
        <v>1</v>
      </c>
      <c r="Z213" s="48" t="s">
        <v>836</v>
      </c>
      <c r="AA213" s="48" t="b">
        <v>0</v>
      </c>
      <c r="AC213" s="48">
        <v>20001050</v>
      </c>
      <c r="AD213" s="48">
        <v>11.1219997406006</v>
      </c>
      <c r="AE213" s="48">
        <v>12.12</v>
      </c>
      <c r="AH213" s="48">
        <v>0.1</v>
      </c>
      <c r="AL213" s="48">
        <v>10</v>
      </c>
      <c r="AM213" s="48">
        <f>VLOOKUP($F213,'#对话模型配置'!$A:$W,MATCH(对话配置表!AM$2,'#对话模型配置'!$1:$1,0),FALSE)</f>
        <v>20001004</v>
      </c>
      <c r="AN213" s="48" t="s">
        <v>837</v>
      </c>
      <c r="AT213" s="48" t="str">
        <f t="shared" si="13"/>
        <v>依在下看，敌人不过是一群乌合之众，我们&lt;color=#FFCC71&gt;既有精兵也有良将&lt;/color&gt;，取胜便如探囊取物，大人请下令吧。</v>
      </c>
      <c r="AU213" s="48" t="s">
        <v>838</v>
      </c>
      <c r="AV213" s="48">
        <f t="shared" si="15"/>
        <v>50407</v>
      </c>
      <c r="AW213" s="48" t="s">
        <v>839</v>
      </c>
    </row>
    <row r="214" spans="1:51" s="48" customFormat="1" ht="28">
      <c r="A214" s="48">
        <f t="shared" si="16"/>
        <v>50501</v>
      </c>
      <c r="B214" s="48" t="s">
        <v>840</v>
      </c>
      <c r="C214" s="48">
        <v>1</v>
      </c>
      <c r="D214" s="48" t="s">
        <v>622</v>
      </c>
      <c r="E214" s="48" t="s">
        <v>412</v>
      </c>
      <c r="F214" s="20" t="str">
        <f>VLOOKUP(G214,'#TID_base_up'!B:C,2,0)</f>
        <v>魏兰</v>
      </c>
      <c r="G214" s="48" t="s">
        <v>129</v>
      </c>
      <c r="H214" s="48" t="str">
        <f>VLOOKUP($F214,'#对话模型配置'!$A:$W,MATCH(对话配置表!H$2,'#对话模型配置'!$1:$1,0),FALSE)</f>
        <v>icon_guidechara.smash</v>
      </c>
      <c r="I214" s="48" t="str">
        <f>VLOOKUP($F214,'#对话模型配置'!$A:$W,MATCH(对话配置表!I$2,'#对话模型配置'!$1:$1,0),FALSE)</f>
        <v>frame_s_xsdh_002</v>
      </c>
      <c r="J214" s="48" t="s">
        <v>841</v>
      </c>
      <c r="K214" s="84" t="str">
        <f t="shared" si="14"/>
        <v>虽然目前局势一片大好，但是大人必须要&lt;color=#FFCC71&gt;保持清醒&lt;/color&gt;，不能被眼前的胜利冲昏了头脑。</v>
      </c>
      <c r="T214" s="48">
        <v>1</v>
      </c>
      <c r="U214" s="48">
        <v>1</v>
      </c>
      <c r="V214" s="48">
        <v>0</v>
      </c>
      <c r="X214" s="48">
        <v>0</v>
      </c>
      <c r="Y214" s="48" t="b">
        <v>0</v>
      </c>
      <c r="Z214" s="48" t="s">
        <v>842</v>
      </c>
      <c r="AA214" s="48" t="b">
        <v>0</v>
      </c>
      <c r="AC214" s="48">
        <v>20001051</v>
      </c>
      <c r="AD214" s="48">
        <v>7.22399997711182</v>
      </c>
      <c r="AE214" s="48">
        <v>8.2200000000000006</v>
      </c>
      <c r="AH214" s="48">
        <v>0.1</v>
      </c>
      <c r="AL214" s="48">
        <v>10</v>
      </c>
      <c r="AM214" s="48">
        <f>VLOOKUP($F214,'#对话模型配置'!$A:$W,MATCH(对话配置表!AM$2,'#对话模型配置'!$1:$1,0),FALSE)</f>
        <v>20001005</v>
      </c>
      <c r="AN214" s="48" t="s">
        <v>662</v>
      </c>
      <c r="AT214" s="48" t="str">
        <f t="shared" si="13"/>
        <v>虽然目前局势一片大好，但是大人必须要&lt;color=#FFCC71&gt;保持清醒&lt;/color&gt;，不能被眼前的胜利冲昏了头脑。</v>
      </c>
      <c r="AU214" s="48" t="s">
        <v>843</v>
      </c>
      <c r="AV214" s="48">
        <f t="shared" si="15"/>
        <v>50501</v>
      </c>
      <c r="AW214" s="48" t="s">
        <v>844</v>
      </c>
    </row>
    <row r="215" spans="1:51" s="48" customFormat="1" ht="42">
      <c r="A215" s="48">
        <f t="shared" si="16"/>
        <v>50501</v>
      </c>
      <c r="B215" s="48" t="s">
        <v>840</v>
      </c>
      <c r="C215" s="48">
        <v>2</v>
      </c>
      <c r="D215" s="48" t="s">
        <v>622</v>
      </c>
      <c r="E215" s="48" t="s">
        <v>412</v>
      </c>
      <c r="F215" s="20" t="str">
        <f>VLOOKUP(G215,'#TID_base_up'!B:C,2,0)</f>
        <v>关羽</v>
      </c>
      <c r="G215" s="48" t="s">
        <v>792</v>
      </c>
      <c r="H215" s="48" t="str">
        <f>VLOOKUP($F215,'#对话模型配置'!$A:$W,MATCH(对话配置表!H$2,'#对话模型配置'!$1:$1,0),FALSE)</f>
        <v>icon_guidechara.smash</v>
      </c>
      <c r="I215" s="48" t="str">
        <f>VLOOKUP($F215,'#对话模型配置'!$A:$W,MATCH(对话配置表!I$2,'#对话模型配置'!$1:$1,0),FALSE)</f>
        <v>frame_s_xsdh_002</v>
      </c>
      <c r="J215" s="48" t="s">
        <v>845</v>
      </c>
      <c r="K215" s="84" t="str">
        <f t="shared" si="14"/>
        <v>&lt;color=#FFCC71&gt;未来发展&lt;/color&gt;的道路方向得要有&lt;color=#FFCC71&gt;进一步的规划&lt;/color&gt;，切不可急功冒进。格局，关键是得要有格局。</v>
      </c>
      <c r="T215" s="48">
        <v>1</v>
      </c>
      <c r="U215" s="48">
        <v>1</v>
      </c>
      <c r="V215" s="48">
        <v>0</v>
      </c>
      <c r="X215" s="48">
        <v>0</v>
      </c>
      <c r="Y215" s="48" t="b">
        <v>0</v>
      </c>
      <c r="Z215" s="48" t="s">
        <v>846</v>
      </c>
      <c r="AA215" s="48" t="b">
        <v>1</v>
      </c>
      <c r="AC215" s="48">
        <v>20001052</v>
      </c>
      <c r="AD215" s="48">
        <v>9.8809995651245099</v>
      </c>
      <c r="AE215" s="48">
        <v>10.88</v>
      </c>
      <c r="AH215" s="48">
        <v>0.1</v>
      </c>
      <c r="AL215" s="48">
        <v>10</v>
      </c>
      <c r="AM215" s="48">
        <f>VLOOKUP($F215,'#对话模型配置'!$A:$W,MATCH(对话配置表!AM$2,'#对话模型配置'!$1:$1,0),FALSE)</f>
        <v>20001004</v>
      </c>
      <c r="AN215" s="48" t="s">
        <v>829</v>
      </c>
      <c r="AT215" s="48" t="str">
        <f t="shared" si="13"/>
        <v>&lt;color=#FFCC71&gt;未来发展&lt;/color&gt;的道路方向得要有&lt;color=#FFCC71&gt;进一步的规划&lt;/color&gt;，切不可急功冒进。格局，关键是得要有格局。</v>
      </c>
      <c r="AU215" s="48" t="s">
        <v>847</v>
      </c>
      <c r="AV215" s="48">
        <f t="shared" si="15"/>
        <v>50501</v>
      </c>
      <c r="AW215" s="48" t="s">
        <v>848</v>
      </c>
      <c r="AX215" s="48" t="s">
        <v>849</v>
      </c>
    </row>
    <row r="216" spans="1:51" s="48" customFormat="1" ht="42">
      <c r="A216" s="48">
        <f t="shared" si="16"/>
        <v>50502</v>
      </c>
      <c r="B216" s="48" t="s">
        <v>840</v>
      </c>
      <c r="C216" s="48">
        <v>1</v>
      </c>
      <c r="D216" s="48" t="s">
        <v>850</v>
      </c>
      <c r="E216" s="48" t="s">
        <v>412</v>
      </c>
      <c r="F216" s="20" t="str">
        <f>VLOOKUP(G216,'#TID_base_up'!B:C,2,0)</f>
        <v>安德莉娅</v>
      </c>
      <c r="G216" s="48" t="s">
        <v>467</v>
      </c>
      <c r="H216" s="48" t="str">
        <f>VLOOKUP($F216,'#对话模型配置'!$A:$W,MATCH(对话配置表!H$2,'#对话模型配置'!$1:$1,0),FALSE)</f>
        <v>icon_guidechara.smash</v>
      </c>
      <c r="I216" s="48" t="str">
        <f>VLOOKUP($F216,'#对话模型配置'!$A:$W,MATCH(对话配置表!I$2,'#对话模型配置'!$1:$1,0),FALSE)</f>
        <v>frame_s_xsdh_002</v>
      </c>
      <c r="J216" s="48" t="s">
        <v>851</v>
      </c>
      <c r="K216" s="84" t="str">
        <f t="shared" si="14"/>
        <v>人多力量大，加入一个&lt;color=#FFCC71&gt;强大的联盟&lt;/color&gt;，就等于有了个&lt;color=#FFCC71&gt;够硬的靠山&lt;/color&gt;，大人抓紧机会吧！</v>
      </c>
      <c r="T216" s="48">
        <v>1</v>
      </c>
      <c r="U216" s="48">
        <v>1</v>
      </c>
      <c r="V216" s="48">
        <v>0</v>
      </c>
      <c r="X216" s="48">
        <v>0</v>
      </c>
      <c r="Y216" s="48" t="b">
        <v>0</v>
      </c>
      <c r="Z216" s="48" t="s">
        <v>852</v>
      </c>
      <c r="AA216" s="48" t="b">
        <v>0</v>
      </c>
      <c r="AC216" s="48">
        <v>20001080</v>
      </c>
      <c r="AD216" s="48">
        <v>8.1199998855590803</v>
      </c>
      <c r="AE216" s="48">
        <v>9.1199999999999992</v>
      </c>
      <c r="AH216" s="48">
        <v>0.1</v>
      </c>
      <c r="AL216" s="48">
        <v>10</v>
      </c>
      <c r="AM216" s="48">
        <f>VLOOKUP($F216,'#对话模型配置'!$A:$W,MATCH(对话配置表!AM$2,'#对话模型配置'!$1:$1,0),FALSE)</f>
        <v>30001001</v>
      </c>
      <c r="AN216" s="48" t="s">
        <v>687</v>
      </c>
      <c r="AT216" s="48" t="str">
        <f t="shared" si="13"/>
        <v>人多力量大，加入一个&lt;color=#FFCC71&gt;强大的联盟&lt;/color&gt;，就等于有了个&lt;color=#FFCC71&gt;够硬的靠山&lt;/color&gt;，大人抓紧机会吧！</v>
      </c>
      <c r="AU216" s="48" t="s">
        <v>853</v>
      </c>
      <c r="AV216" s="48">
        <f t="shared" si="15"/>
        <v>50502</v>
      </c>
      <c r="AW216" s="48" t="s">
        <v>854</v>
      </c>
      <c r="AX216" s="48" t="s">
        <v>855</v>
      </c>
    </row>
    <row r="217" spans="1:51" s="48" customFormat="1" ht="42">
      <c r="A217" s="48">
        <f t="shared" si="16"/>
        <v>50503</v>
      </c>
      <c r="B217" s="48" t="s">
        <v>840</v>
      </c>
      <c r="C217" s="48">
        <v>1</v>
      </c>
      <c r="D217" s="48" t="s">
        <v>850</v>
      </c>
      <c r="E217" s="48" t="s">
        <v>412</v>
      </c>
      <c r="F217" s="20" t="str">
        <f>VLOOKUP(G217,'#TID_base_up'!B:C,2,0)</f>
        <v>魏兰</v>
      </c>
      <c r="G217" s="48" t="s">
        <v>129</v>
      </c>
      <c r="H217" s="48" t="str">
        <f>VLOOKUP($F217,'#对话模型配置'!$A:$W,MATCH(对话配置表!H$2,'#对话模型配置'!$1:$1,0),FALSE)</f>
        <v>icon_guidechara.smash</v>
      </c>
      <c r="I217" s="48" t="str">
        <f>VLOOKUP($F217,'#对话模型配置'!$A:$W,MATCH(对话配置表!I$2,'#对话模型配置'!$1:$1,0),FALSE)</f>
        <v>frame_s_xsdh_002</v>
      </c>
      <c r="J217" s="48" t="s">
        <v>856</v>
      </c>
      <c r="K217" s="84" t="str">
        <f t="shared" si="14"/>
        <v>周边的&lt;color=#FFCC71&gt;蛮族部队&lt;/color&gt;又在&lt;color=#FFCC71&gt;蠢蠢欲动&lt;/color&gt;，我们养精蓄锐也有一阵子了，正好可以&lt;color=#FFCC71&gt;拿他们练练兵&lt;/color&gt;。</v>
      </c>
      <c r="T217" s="48">
        <v>1</v>
      </c>
      <c r="U217" s="48">
        <v>1</v>
      </c>
      <c r="V217" s="48">
        <v>0</v>
      </c>
      <c r="X217" s="48">
        <v>0</v>
      </c>
      <c r="Y217" s="48" t="b">
        <v>0</v>
      </c>
      <c r="Z217" s="48" t="s">
        <v>857</v>
      </c>
      <c r="AA217" s="48" t="b">
        <v>0</v>
      </c>
      <c r="AC217" s="48">
        <v>20001053</v>
      </c>
      <c r="AD217" s="48">
        <v>7.6440000534057599</v>
      </c>
      <c r="AE217" s="48">
        <v>8.64</v>
      </c>
      <c r="AH217" s="48">
        <v>0.1</v>
      </c>
      <c r="AL217" s="48">
        <v>10</v>
      </c>
      <c r="AM217" s="48">
        <f>VLOOKUP($F217,'#对话模型配置'!$A:$W,MATCH(对话配置表!AM$2,'#对话模型配置'!$1:$1,0),FALSE)</f>
        <v>20001005</v>
      </c>
      <c r="AN217" s="48" t="s">
        <v>676</v>
      </c>
      <c r="AT217" s="48" t="str">
        <f t="shared" si="13"/>
        <v>周边的&lt;color=#FFCC71&gt;蛮族部队&lt;/color&gt;又在&lt;color=#FFCC71&gt;蠢蠢欲动&lt;/color&gt;，我们养精蓄锐也有一阵子了，正好可以&lt;color=#FFCC71&gt;拿他们练练兵&lt;/color&gt;。</v>
      </c>
      <c r="AU217" s="48" t="s">
        <v>858</v>
      </c>
      <c r="AV217" s="48">
        <f t="shared" si="15"/>
        <v>50503</v>
      </c>
      <c r="AW217" s="48" t="s">
        <v>859</v>
      </c>
      <c r="AX217" s="48" t="s">
        <v>860</v>
      </c>
      <c r="AY217" s="48" t="s">
        <v>861</v>
      </c>
    </row>
    <row r="218" spans="1:51" s="48" customFormat="1" ht="42">
      <c r="A218" s="48">
        <f t="shared" si="16"/>
        <v>50504</v>
      </c>
      <c r="B218" s="48" t="s">
        <v>840</v>
      </c>
      <c r="C218" s="48">
        <v>1</v>
      </c>
      <c r="D218" s="48" t="s">
        <v>862</v>
      </c>
      <c r="E218" s="48" t="s">
        <v>412</v>
      </c>
      <c r="F218" s="20" t="str">
        <f>VLOOKUP(G218,'#TID_base_up'!B:C,2,0)</f>
        <v>关羽</v>
      </c>
      <c r="G218" s="48" t="s">
        <v>792</v>
      </c>
      <c r="H218" s="48" t="str">
        <f>VLOOKUP($F218,'#对话模型配置'!$A:$W,MATCH(对话配置表!H$2,'#对话模型配置'!$1:$1,0),FALSE)</f>
        <v>icon_guidechara.smash</v>
      </c>
      <c r="I218" s="48" t="str">
        <f>VLOOKUP($F218,'#对话模型配置'!$A:$W,MATCH(对话配置表!I$2,'#对话模型配置'!$1:$1,0),FALSE)</f>
        <v>frame_s_xsdh_002</v>
      </c>
      <c r="J218" s="48" t="s">
        <v>863</v>
      </c>
      <c r="K218" s="84" t="str">
        <f t="shared" si="14"/>
        <v>&lt;color=#FFCC71&gt;攻打蛮族部队&lt;/color&gt;可以&lt;color=#FFCC71&gt;获得发展方略点数&lt;/color&gt;，积累一定点数可以制定新的发展方略。</v>
      </c>
      <c r="T218" s="48">
        <v>1</v>
      </c>
      <c r="U218" s="48">
        <v>1</v>
      </c>
      <c r="V218" s="48">
        <v>0</v>
      </c>
      <c r="X218" s="48">
        <v>0</v>
      </c>
      <c r="Y218" s="48" t="b">
        <v>0</v>
      </c>
      <c r="Z218" s="48" t="s">
        <v>864</v>
      </c>
      <c r="AA218" s="48" t="b">
        <v>0</v>
      </c>
      <c r="AC218" s="48">
        <v>20001054</v>
      </c>
      <c r="AD218" s="48">
        <v>8.4693336486816406</v>
      </c>
      <c r="AE218" s="48">
        <v>9.4700000000000006</v>
      </c>
      <c r="AH218" s="48">
        <v>0.1</v>
      </c>
      <c r="AL218" s="48">
        <v>10</v>
      </c>
      <c r="AM218" s="48">
        <f>VLOOKUP($F218,'#对话模型配置'!$A:$W,MATCH(对话配置表!AM$2,'#对话模型配置'!$1:$1,0),FALSE)</f>
        <v>20001004</v>
      </c>
      <c r="AN218" s="48" t="s">
        <v>865</v>
      </c>
      <c r="AT218" s="48" t="str">
        <f t="shared" si="13"/>
        <v>&lt;color=#FFCC71&gt;攻打蛮族部队&lt;/color&gt;可以&lt;color=#FFCC71&gt;获得发展方略点数&lt;/color&gt;，积累一定点数可以制定新的发展方略。</v>
      </c>
      <c r="AU218" s="48" t="s">
        <v>866</v>
      </c>
      <c r="AV218" s="48">
        <f t="shared" si="15"/>
        <v>50504</v>
      </c>
      <c r="AW218" s="48" t="s">
        <v>867</v>
      </c>
      <c r="AX218" s="48" t="s">
        <v>868</v>
      </c>
    </row>
    <row r="219" spans="1:51" s="48" customFormat="1" ht="28">
      <c r="A219" s="48">
        <f t="shared" si="16"/>
        <v>50505</v>
      </c>
      <c r="B219" s="48" t="s">
        <v>840</v>
      </c>
      <c r="C219" s="48">
        <v>1</v>
      </c>
      <c r="D219" s="48" t="s">
        <v>869</v>
      </c>
      <c r="E219" s="48" t="s">
        <v>412</v>
      </c>
      <c r="F219" s="20" t="str">
        <f>VLOOKUP(G219,'#TID_base_up'!B:C,2,0)</f>
        <v>关羽</v>
      </c>
      <c r="G219" s="48" t="s">
        <v>792</v>
      </c>
      <c r="H219" s="48" t="str">
        <f>VLOOKUP($F219,'#对话模型配置'!$A:$W,MATCH(对话配置表!H$2,'#对话模型配置'!$1:$1,0),FALSE)</f>
        <v>icon_guidechara.smash</v>
      </c>
      <c r="I219" s="48" t="str">
        <f>VLOOKUP($F219,'#对话模型配置'!$A:$W,MATCH(对话配置表!I$2,'#对话模型配置'!$1:$1,0),FALSE)</f>
        <v>frame_s_xsdh_002</v>
      </c>
      <c r="J219" s="48" t="s">
        <v>870</v>
      </c>
      <c r="K219" s="84" t="str">
        <f t="shared" si="14"/>
        <v>展现格局的时候到了，大人，请&lt;color=#FFCC71&gt;制定您的发展方略&lt;/color&gt;。</v>
      </c>
      <c r="T219" s="48">
        <v>1</v>
      </c>
      <c r="U219" s="48">
        <v>1</v>
      </c>
      <c r="V219" s="48">
        <v>0</v>
      </c>
      <c r="X219" s="48">
        <v>0</v>
      </c>
      <c r="Y219" s="48" t="b">
        <v>0</v>
      </c>
      <c r="Z219" s="48" t="s">
        <v>871</v>
      </c>
      <c r="AA219" s="48" t="b">
        <v>0</v>
      </c>
      <c r="AC219" s="48">
        <v>20001055</v>
      </c>
      <c r="AD219" s="48">
        <v>5.0003328323364302</v>
      </c>
      <c r="AE219" s="48">
        <v>6</v>
      </c>
      <c r="AH219" s="48">
        <v>0.1</v>
      </c>
      <c r="AL219" s="48">
        <v>10</v>
      </c>
      <c r="AM219" s="48">
        <f>VLOOKUP($F219,'#对话模型配置'!$A:$W,MATCH(对话配置表!AM$2,'#对话模型配置'!$1:$1,0),FALSE)</f>
        <v>20001004</v>
      </c>
      <c r="AN219" s="48" t="s">
        <v>801</v>
      </c>
      <c r="AT219" s="48" t="str">
        <f t="shared" si="13"/>
        <v>展现格局的时候到了，大人，请&lt;color=#FFCC71&gt;制定您的发展方略&lt;/color&gt;。</v>
      </c>
      <c r="AU219" s="48" t="s">
        <v>872</v>
      </c>
      <c r="AV219" s="48">
        <f t="shared" si="15"/>
        <v>50505</v>
      </c>
      <c r="AW219" s="48" t="s">
        <v>873</v>
      </c>
    </row>
    <row r="220" spans="1:51" s="48" customFormat="1" ht="42">
      <c r="A220" s="48">
        <f t="shared" si="16"/>
        <v>50506</v>
      </c>
      <c r="B220" s="48" t="s">
        <v>840</v>
      </c>
      <c r="C220" s="48">
        <v>1</v>
      </c>
      <c r="D220" s="48" t="s">
        <v>874</v>
      </c>
      <c r="E220" s="48" t="s">
        <v>412</v>
      </c>
      <c r="F220" s="20" t="str">
        <f>VLOOKUP(G220,'#TID_base_up'!B:C,2,0)</f>
        <v>魏兰</v>
      </c>
      <c r="G220" s="48" t="s">
        <v>129</v>
      </c>
      <c r="H220" s="48" t="str">
        <f>VLOOKUP($F220,'#对话模型配置'!$A:$W,MATCH(对话配置表!H$2,'#对话模型配置'!$1:$1,0),FALSE)</f>
        <v>icon_guidechara.smash</v>
      </c>
      <c r="I220" s="48" t="str">
        <f>VLOOKUP($F220,'#对话模型配置'!$A:$W,MATCH(对话配置表!I$2,'#对话模型配置'!$1:$1,0),FALSE)</f>
        <v>frame_s_xsdh_002</v>
      </c>
      <c r="J220" s="48" t="s">
        <v>875</v>
      </c>
      <c r="K220" s="84" t="str">
        <f t="shared" si="14"/>
        <v>大人英明，&lt;color=#FFCC71&gt;发展方略提升了我军战斗力&lt;/color&gt;，内城建设需要消耗大量的木材，这时候就需要攻占一些木材资源点。</v>
      </c>
      <c r="T220" s="48">
        <v>1</v>
      </c>
      <c r="U220" s="48">
        <v>1</v>
      </c>
      <c r="V220" s="48">
        <v>0</v>
      </c>
      <c r="X220" s="48">
        <v>0</v>
      </c>
      <c r="Y220" s="48" t="b">
        <v>0</v>
      </c>
      <c r="Z220" s="48" t="s">
        <v>876</v>
      </c>
      <c r="AA220" s="48" t="b">
        <v>0</v>
      </c>
      <c r="AC220" s="48">
        <v>20001056</v>
      </c>
      <c r="AD220" s="48">
        <v>10.6761665344238</v>
      </c>
      <c r="AE220" s="48">
        <v>11.68</v>
      </c>
      <c r="AH220" s="48">
        <v>0.1</v>
      </c>
      <c r="AL220" s="48">
        <v>10</v>
      </c>
      <c r="AM220" s="48">
        <f>VLOOKUP($F220,'#对话模型配置'!$A:$W,MATCH(对话配置表!AM$2,'#对话模型配置'!$1:$1,0),FALSE)</f>
        <v>20001005</v>
      </c>
      <c r="AN220" s="48" t="s">
        <v>811</v>
      </c>
      <c r="AT220" s="48" t="str">
        <f t="shared" si="13"/>
        <v>大人英明，&lt;color=#FFCC71&gt;发展方略提升了我军战斗力&lt;/color&gt;，内城建设需要消耗大量的木材，这时候就需要攻占一些木材资源点。</v>
      </c>
      <c r="AU220" s="48" t="s">
        <v>877</v>
      </c>
      <c r="AV220" s="48">
        <f t="shared" si="15"/>
        <v>50506</v>
      </c>
      <c r="AW220" s="48" t="s">
        <v>878</v>
      </c>
    </row>
    <row r="221" spans="1:51" s="48" customFormat="1" ht="28">
      <c r="A221" s="48">
        <f t="shared" si="16"/>
        <v>50507</v>
      </c>
      <c r="B221" s="48" t="s">
        <v>840</v>
      </c>
      <c r="C221" s="48">
        <v>1</v>
      </c>
      <c r="D221" s="48" t="s">
        <v>879</v>
      </c>
      <c r="E221" s="48" t="s">
        <v>412</v>
      </c>
      <c r="F221" s="20" t="str">
        <f>VLOOKUP(G221,'#TID_base_up'!B:C,2,0)</f>
        <v>魏兰</v>
      </c>
      <c r="G221" s="48" t="s">
        <v>129</v>
      </c>
      <c r="H221" s="48" t="str">
        <f>VLOOKUP($F221,'#对话模型配置'!$A:$W,MATCH(对话配置表!H$2,'#对话模型配置'!$1:$1,0),FALSE)</f>
        <v>icon_guidechara.smash</v>
      </c>
      <c r="I221" s="48" t="str">
        <f>VLOOKUP($F221,'#对话模型配置'!$A:$W,MATCH(对话配置表!I$2,'#对话模型配置'!$1:$1,0),FALSE)</f>
        <v>frame_s_xsdh_002</v>
      </c>
      <c r="J221" s="48" t="s">
        <v>880</v>
      </c>
      <c r="K221" s="84" t="str">
        <f t="shared" si="14"/>
        <v>我们还得考虑一下&lt;color=#FFCC71&gt;修缮治疗房舍&lt;/color&gt;了，否则您的士兵只会越打越少。</v>
      </c>
      <c r="T221" s="48">
        <v>1</v>
      </c>
      <c r="U221" s="48">
        <v>1</v>
      </c>
      <c r="V221" s="48">
        <v>0</v>
      </c>
      <c r="X221" s="48">
        <v>0</v>
      </c>
      <c r="Y221" s="48" t="b">
        <v>0</v>
      </c>
      <c r="Z221" s="48" t="s">
        <v>881</v>
      </c>
      <c r="AA221" s="48" t="b">
        <v>0</v>
      </c>
      <c r="AC221" s="48">
        <v>20001057</v>
      </c>
      <c r="AD221" s="48">
        <v>6.0176668167114302</v>
      </c>
      <c r="AE221" s="48">
        <v>7.02</v>
      </c>
      <c r="AH221" s="48">
        <v>0.1</v>
      </c>
      <c r="AL221" s="48">
        <v>10</v>
      </c>
      <c r="AM221" s="48">
        <f>VLOOKUP($F221,'#对话模型配置'!$A:$W,MATCH(对话配置表!AM$2,'#对话模型配置'!$1:$1,0),FALSE)</f>
        <v>20001005</v>
      </c>
      <c r="AN221" s="48" t="s">
        <v>643</v>
      </c>
      <c r="AT221" s="48" t="str">
        <f t="shared" si="13"/>
        <v>我们还得考虑一下&lt;color=#FFCC71&gt;修缮治疗房舍&lt;/color&gt;了，否则您的士兵只会越打越少。</v>
      </c>
      <c r="AU221" s="48" t="s">
        <v>882</v>
      </c>
      <c r="AV221" s="48">
        <f t="shared" si="15"/>
        <v>50507</v>
      </c>
      <c r="AW221" s="48" t="s">
        <v>883</v>
      </c>
    </row>
    <row r="222" spans="1:51" s="48" customFormat="1" ht="42">
      <c r="A222" s="48">
        <f t="shared" si="16"/>
        <v>50508</v>
      </c>
      <c r="B222" s="48" t="s">
        <v>840</v>
      </c>
      <c r="C222" s="48">
        <v>1</v>
      </c>
      <c r="D222" s="48" t="s">
        <v>884</v>
      </c>
      <c r="E222" s="48" t="s">
        <v>412</v>
      </c>
      <c r="F222" s="20" t="str">
        <f>VLOOKUP(G222,'#TID_base_up'!B:C,2,0)</f>
        <v>关羽</v>
      </c>
      <c r="G222" s="48" t="s">
        <v>792</v>
      </c>
      <c r="H222" s="48" t="str">
        <f>VLOOKUP($F222,'#对话模型配置'!$A:$W,MATCH(对话配置表!H$2,'#对话模型配置'!$1:$1,0),FALSE)</f>
        <v>icon_guidechara.smash</v>
      </c>
      <c r="I222" s="48" t="str">
        <f>VLOOKUP($F222,'#对话模型配置'!$A:$W,MATCH(对话配置表!I$2,'#对话模型配置'!$1:$1,0),FALSE)</f>
        <v>frame_s_xsdh_002</v>
      </c>
      <c r="J222" s="48" t="s">
        <v>885</v>
      </c>
      <c r="K222" s="84" t="str">
        <f t="shared" si="14"/>
        <v>眼下周围局势逐渐稳定！在下也该告辞了！只要大人勤于内政，&lt;color=#FFCC71&gt;待突破瓶颈之时&lt;/color&gt;，必能登上人生巅峰！</v>
      </c>
      <c r="T222" s="48">
        <v>1</v>
      </c>
      <c r="U222" s="48">
        <v>1</v>
      </c>
      <c r="V222" s="48">
        <v>0</v>
      </c>
      <c r="X222" s="48">
        <v>0</v>
      </c>
      <c r="Y222" s="48" t="b">
        <v>0</v>
      </c>
      <c r="Z222" s="48" t="s">
        <v>886</v>
      </c>
      <c r="AA222" s="48" t="b">
        <v>0</v>
      </c>
      <c r="AC222" s="48">
        <v>20001058</v>
      </c>
      <c r="AD222" s="48">
        <v>11.4855003356934</v>
      </c>
      <c r="AE222" s="48">
        <v>12.49</v>
      </c>
      <c r="AH222" s="48">
        <v>0.1</v>
      </c>
      <c r="AL222" s="48">
        <v>10</v>
      </c>
      <c r="AM222" s="48">
        <f>VLOOKUP($F222,'#对话模型配置'!$A:$W,MATCH(对话配置表!AM$2,'#对话模型配置'!$1:$1,0),FALSE)</f>
        <v>20001004</v>
      </c>
      <c r="AN222" s="48" t="s">
        <v>822</v>
      </c>
      <c r="AT222" s="48" t="str">
        <f t="shared" si="13"/>
        <v>眼下周围局势逐渐稳定！在下也该告辞了！只要大人勤于内政，&lt;color=#FFCC71&gt;待突破瓶颈之时&lt;/color&gt;，必能登上人生巅峰！</v>
      </c>
      <c r="AU222" s="48" t="s">
        <v>887</v>
      </c>
      <c r="AV222" s="48">
        <f t="shared" si="15"/>
        <v>50508</v>
      </c>
      <c r="AW222" s="48" t="s">
        <v>888</v>
      </c>
    </row>
    <row r="223" spans="1:51" s="48" customFormat="1" ht="28">
      <c r="A223" s="48">
        <f t="shared" si="16"/>
        <v>50508</v>
      </c>
      <c r="B223" s="48" t="s">
        <v>840</v>
      </c>
      <c r="C223" s="48">
        <v>2</v>
      </c>
      <c r="D223" s="48" t="s">
        <v>884</v>
      </c>
      <c r="E223" s="48" t="s">
        <v>412</v>
      </c>
      <c r="F223" s="20" t="str">
        <f>VLOOKUP(G223,'#TID_base_up'!B:C,2,0)</f>
        <v>关羽</v>
      </c>
      <c r="G223" s="48" t="s">
        <v>792</v>
      </c>
      <c r="H223" s="48" t="str">
        <f>VLOOKUP($F223,'#对话模型配置'!$A:$W,MATCH(对话配置表!H$2,'#对话模型配置'!$1:$1,0),FALSE)</f>
        <v>icon_guidechara.smash</v>
      </c>
      <c r="I223" s="48" t="str">
        <f>VLOOKUP($F223,'#对话模型配置'!$A:$W,MATCH(对话配置表!I$2,'#对话模型配置'!$1:$1,0),FALSE)</f>
        <v>frame_s_xsdh_002</v>
      </c>
      <c r="J223" s="48" t="s">
        <v>889</v>
      </c>
      <c r="K223" s="84" t="str">
        <f t="shared" si="14"/>
        <v>离开之前，在下将为大人&lt;color=#FFCC71&gt;引荐两位英雄&lt;/color&gt;，大人可以选择一个，并将其纳入麾下！</v>
      </c>
      <c r="T223" s="48">
        <v>1</v>
      </c>
      <c r="U223" s="48">
        <v>1</v>
      </c>
      <c r="V223" s="48">
        <v>0</v>
      </c>
      <c r="X223" s="48">
        <v>0</v>
      </c>
      <c r="Y223" s="48" t="b">
        <v>0</v>
      </c>
      <c r="Z223" s="48" t="s">
        <v>890</v>
      </c>
      <c r="AA223" s="48" t="b">
        <v>0</v>
      </c>
      <c r="AC223" s="48">
        <v>20001059</v>
      </c>
      <c r="AD223" s="48">
        <v>12.46399974823</v>
      </c>
      <c r="AE223" s="48">
        <v>12.49</v>
      </c>
      <c r="AH223" s="48">
        <v>0.1</v>
      </c>
      <c r="AL223" s="48">
        <v>10</v>
      </c>
      <c r="AM223" s="48">
        <f>VLOOKUP($F223,'#对话模型配置'!$A:$W,MATCH(对话配置表!AM$2,'#对话模型配置'!$1:$1,0),FALSE)</f>
        <v>20001004</v>
      </c>
      <c r="AN223" s="48" t="s">
        <v>865</v>
      </c>
      <c r="AT223" s="48" t="str">
        <f t="shared" si="13"/>
        <v>离开之前，在下将为大人&lt;color=#FFCC71&gt;引荐两位英雄&lt;/color&gt;，大人可以选择一个，并将其纳入麾下！</v>
      </c>
      <c r="AU223" s="48" t="s">
        <v>891</v>
      </c>
      <c r="AV223" s="48">
        <f t="shared" si="15"/>
        <v>50508</v>
      </c>
      <c r="AW223" s="48" t="s">
        <v>892</v>
      </c>
    </row>
    <row r="224" spans="1:51" s="48" customFormat="1" ht="28">
      <c r="A224" s="48">
        <f t="shared" si="16"/>
        <v>50509</v>
      </c>
      <c r="B224" s="48" t="s">
        <v>840</v>
      </c>
      <c r="C224" s="48">
        <v>1</v>
      </c>
      <c r="D224" s="48" t="s">
        <v>884</v>
      </c>
      <c r="E224" s="48" t="s">
        <v>412</v>
      </c>
      <c r="F224" s="20" t="str">
        <f>VLOOKUP(G224,'#TID_base_up'!B:C,2,0)</f>
        <v>魏兰</v>
      </c>
      <c r="G224" s="48" t="s">
        <v>129</v>
      </c>
      <c r="H224" s="48" t="str">
        <f>VLOOKUP($F224,'#对话模型配置'!$A:$W,MATCH(对话配置表!H$2,'#对话模型配置'!$1:$1,0),FALSE)</f>
        <v>icon_guidechara.smash</v>
      </c>
      <c r="I224" s="48" t="str">
        <f>VLOOKUP($F224,'#对话模型配置'!$A:$W,MATCH(对话配置表!I$2,'#对话模型配置'!$1:$1,0),FALSE)</f>
        <v>frame_s_xsdh_002</v>
      </c>
      <c r="J224" s="48" t="s">
        <v>893</v>
      </c>
      <c r="K224" s="84" t="str">
        <f t="shared" si="14"/>
        <v>一部分伤兵已被&lt;color=#FFCC71&gt;提前治愈&lt;/color&gt;，大人，您现在可&lt;color=#FFCC71&gt;收取士兵&lt;/color&gt;。</v>
      </c>
      <c r="T224" s="48">
        <v>1</v>
      </c>
      <c r="U224" s="48">
        <v>1</v>
      </c>
      <c r="V224" s="48">
        <v>0</v>
      </c>
      <c r="X224" s="48">
        <v>0</v>
      </c>
      <c r="Y224" s="48" t="b">
        <v>0</v>
      </c>
      <c r="Z224" s="48" t="s">
        <v>894</v>
      </c>
      <c r="AA224" s="48" t="b">
        <v>0</v>
      </c>
      <c r="AC224" s="48">
        <v>20001060</v>
      </c>
      <c r="AD224" s="48">
        <v>5.53466701507568</v>
      </c>
      <c r="AE224" s="48">
        <v>6.53</v>
      </c>
      <c r="AH224" s="48">
        <v>0.1</v>
      </c>
      <c r="AL224" s="48">
        <v>10</v>
      </c>
      <c r="AM224" s="48">
        <f>VLOOKUP($F224,'#对话模型配置'!$A:$W,MATCH(对话配置表!AM$2,'#对话模型配置'!$1:$1,0),FALSE)</f>
        <v>20001005</v>
      </c>
      <c r="AN224" s="48" t="s">
        <v>655</v>
      </c>
      <c r="AT224" s="48" t="str">
        <f t="shared" si="13"/>
        <v>一部分伤兵已被&lt;color=#FFCC71&gt;提前治愈&lt;/color&gt;，大人，您现在可&lt;color=#FFCC71&gt;收取士兵&lt;/color&gt;。</v>
      </c>
      <c r="AU224" s="48" t="s">
        <v>895</v>
      </c>
      <c r="AV224" s="48">
        <f t="shared" si="15"/>
        <v>50509</v>
      </c>
      <c r="AW224" s="48" t="s">
        <v>896</v>
      </c>
      <c r="AX224" s="48" t="s">
        <v>897</v>
      </c>
    </row>
    <row r="225" spans="1:51" s="48" customFormat="1" ht="42">
      <c r="A225" s="48">
        <f t="shared" si="16"/>
        <v>50510</v>
      </c>
      <c r="B225" s="48" t="s">
        <v>840</v>
      </c>
      <c r="C225" s="48">
        <v>1</v>
      </c>
      <c r="D225" s="48" t="s">
        <v>898</v>
      </c>
      <c r="E225" s="48" t="s">
        <v>412</v>
      </c>
      <c r="F225" s="20" t="str">
        <f>VLOOKUP(G225,'#TID_base_up'!B:C,2,0)</f>
        <v>安德莉娅</v>
      </c>
      <c r="G225" s="48" t="s">
        <v>467</v>
      </c>
      <c r="H225" s="48" t="str">
        <f>VLOOKUP($F225,'#对话模型配置'!$A:$W,MATCH(对话配置表!H$2,'#对话模型配置'!$1:$1,0),FALSE)</f>
        <v>icon_guidechara.smash</v>
      </c>
      <c r="I225" s="48" t="str">
        <f>VLOOKUP($F225,'#对话模型配置'!$A:$W,MATCH(对话配置表!I$2,'#对话模型配置'!$1:$1,0),FALSE)</f>
        <v>frame_s_xsdh_002</v>
      </c>
      <c r="J225" s="48" t="s">
        <v>899</v>
      </c>
      <c r="K225" s="84" t="str">
        <f t="shared" si="14"/>
        <v>任何时候都不能忘记：&lt;color=#FFCC71&gt;城镇中心&lt;/color&gt;是领地发展的&lt;color=#FFCC71&gt;先决条件&lt;/color&gt;，请大人尽快着手升级。</v>
      </c>
      <c r="T225" s="48">
        <v>1</v>
      </c>
      <c r="U225" s="48">
        <v>1</v>
      </c>
      <c r="V225" s="48">
        <v>0</v>
      </c>
      <c r="X225" s="48">
        <v>0</v>
      </c>
      <c r="Y225" s="48" t="b">
        <v>0</v>
      </c>
      <c r="Z225" s="48" t="s">
        <v>900</v>
      </c>
      <c r="AA225" s="48" t="b">
        <v>0</v>
      </c>
      <c r="AC225" s="48">
        <v>20001061</v>
      </c>
      <c r="AD225" s="48">
        <v>9.5013332366943395</v>
      </c>
      <c r="AE225" s="48">
        <v>10.5</v>
      </c>
      <c r="AH225" s="48">
        <v>0.1</v>
      </c>
      <c r="AL225" s="48">
        <v>10</v>
      </c>
      <c r="AM225" s="48">
        <f>VLOOKUP($F225,'#对话模型配置'!$A:$W,MATCH(对话配置表!AM$2,'#对话模型配置'!$1:$1,0),FALSE)</f>
        <v>30001001</v>
      </c>
      <c r="AN225" s="48" t="s">
        <v>687</v>
      </c>
      <c r="AT225" s="48" t="str">
        <f t="shared" si="13"/>
        <v>任何时候都不能忘记：&lt;color=#FFCC71&gt;城镇中心&lt;/color&gt;是领地发展的&lt;color=#FFCC71&gt;先决条件&lt;/color&gt;，请大人尽快着手升级。</v>
      </c>
      <c r="AU225" s="48" t="s">
        <v>901</v>
      </c>
      <c r="AV225" s="48">
        <f t="shared" si="15"/>
        <v>50510</v>
      </c>
      <c r="AW225" s="48" t="s">
        <v>709</v>
      </c>
      <c r="AX225" s="48" t="s">
        <v>902</v>
      </c>
    </row>
    <row r="226" spans="1:51" s="48" customFormat="1" ht="42">
      <c r="A226" s="48">
        <f t="shared" si="16"/>
        <v>50511</v>
      </c>
      <c r="B226" s="48" t="s">
        <v>840</v>
      </c>
      <c r="C226" s="48">
        <v>1</v>
      </c>
      <c r="D226" s="48" t="s">
        <v>898</v>
      </c>
      <c r="E226" s="48" t="s">
        <v>412</v>
      </c>
      <c r="F226" s="20" t="str">
        <f>VLOOKUP(G226,'#TID_base_up'!B:C,2,0)</f>
        <v>安德莉娅</v>
      </c>
      <c r="G226" s="48" t="s">
        <v>467</v>
      </c>
      <c r="H226" s="48" t="str">
        <f>VLOOKUP($F226,'#对话模型配置'!$A:$W,MATCH(对话配置表!H$2,'#对话模型配置'!$1:$1,0),FALSE)</f>
        <v>icon_guidechara.smash</v>
      </c>
      <c r="I226" s="48" t="str">
        <f>VLOOKUP($F226,'#对话模型配置'!$A:$W,MATCH(对话配置表!I$2,'#对话模型配置'!$1:$1,0),FALSE)</f>
        <v>frame_s_xsdh_002</v>
      </c>
      <c r="J226" s="48" t="s">
        <v>903</v>
      </c>
      <c r="K226" s="84" t="str">
        <f t="shared" si="14"/>
        <v>建造领地只争朝夕，不要让&lt;color=#FFCC71&gt;过长升级时间&lt;/color&gt;成为您升级绊脚石，请您继续使用&lt;color=#FFCC71&gt;【立即升级】&lt;/color&gt;。</v>
      </c>
      <c r="T226" s="48">
        <v>1</v>
      </c>
      <c r="U226" s="48">
        <v>1</v>
      </c>
      <c r="V226" s="48">
        <v>0</v>
      </c>
      <c r="X226" s="48">
        <v>0</v>
      </c>
      <c r="Y226" s="48" t="b">
        <v>0</v>
      </c>
      <c r="Z226" s="48" t="s">
        <v>904</v>
      </c>
      <c r="AA226" s="48" t="b">
        <v>0</v>
      </c>
      <c r="AC226" s="48">
        <v>20001062</v>
      </c>
      <c r="AD226" s="48">
        <v>9.8559999465942401</v>
      </c>
      <c r="AE226" s="48">
        <v>10.86</v>
      </c>
      <c r="AH226" s="48">
        <v>0.1</v>
      </c>
      <c r="AL226" s="48">
        <v>10</v>
      </c>
      <c r="AM226" s="48">
        <f>VLOOKUP($F226,'#对话模型配置'!$A:$W,MATCH(对话配置表!AM$2,'#对话模型配置'!$1:$1,0),FALSE)</f>
        <v>30001001</v>
      </c>
      <c r="AN226" s="48" t="s">
        <v>905</v>
      </c>
      <c r="AT226" s="48" t="str">
        <f t="shared" si="13"/>
        <v>建造领地只争朝夕，不要让&lt;color=#FFCC71&gt;过长升级时间&lt;/color&gt;成为您升级绊脚石，请您继续使用&lt;color=#FFCC71&gt;【立即升级】&lt;/color&gt;。</v>
      </c>
      <c r="AU226" s="48" t="s">
        <v>906</v>
      </c>
      <c r="AV226" s="48">
        <f t="shared" si="15"/>
        <v>50511</v>
      </c>
      <c r="AW226" s="48" t="s">
        <v>907</v>
      </c>
      <c r="AX226" s="48" t="s">
        <v>908</v>
      </c>
    </row>
    <row r="227" spans="1:51" s="48" customFormat="1" ht="28">
      <c r="A227" s="48">
        <f t="shared" si="16"/>
        <v>50512</v>
      </c>
      <c r="B227" s="48" t="s">
        <v>840</v>
      </c>
      <c r="C227" s="48">
        <v>1</v>
      </c>
      <c r="D227" s="48" t="s">
        <v>909</v>
      </c>
      <c r="E227" s="48" t="s">
        <v>412</v>
      </c>
      <c r="F227" s="20" t="str">
        <f>VLOOKUP(G227,'#TID_base_up'!B:C,2,0)</f>
        <v>安德莉娅</v>
      </c>
      <c r="G227" s="48" t="s">
        <v>467</v>
      </c>
      <c r="H227" s="48" t="str">
        <f>VLOOKUP($F227,'#对话模型配置'!$A:$W,MATCH(对话配置表!H$2,'#对话模型配置'!$1:$1,0),FALSE)</f>
        <v>icon_guidechara.smash</v>
      </c>
      <c r="I227" s="48" t="str">
        <f>VLOOKUP($F227,'#对话模型配置'!$A:$W,MATCH(对话配置表!I$2,'#对话模型配置'!$1:$1,0),FALSE)</f>
        <v>frame_s_xsdh_002</v>
      </c>
      <c r="J227" s="48" t="s">
        <v>910</v>
      </c>
      <c r="K227" s="84" t="str">
        <f t="shared" si="14"/>
        <v>领地建设仍&lt;color=#FFCC71&gt;需要大量木材&lt;/color&gt;，不如多&lt;color=#FFCC71&gt;修建几个伐木场&lt;/color&gt;，多多益善。</v>
      </c>
      <c r="T227" s="48">
        <v>1</v>
      </c>
      <c r="U227" s="48">
        <v>1</v>
      </c>
      <c r="V227" s="48">
        <v>0</v>
      </c>
      <c r="X227" s="48">
        <v>0</v>
      </c>
      <c r="Y227" s="48" t="b">
        <v>0</v>
      </c>
      <c r="Z227" s="48" t="s">
        <v>911</v>
      </c>
      <c r="AA227" s="48" t="b">
        <v>0</v>
      </c>
      <c r="AC227" s="48">
        <v>20001063</v>
      </c>
      <c r="AD227" s="48">
        <v>6.47733402252197</v>
      </c>
      <c r="AE227" s="48">
        <v>7.48</v>
      </c>
      <c r="AH227" s="48">
        <v>0.1</v>
      </c>
      <c r="AL227" s="48">
        <v>10</v>
      </c>
      <c r="AM227" s="48">
        <f>VLOOKUP($F227,'#对话模型配置'!$A:$W,MATCH(对话配置表!AM$2,'#对话模型配置'!$1:$1,0),FALSE)</f>
        <v>30001001</v>
      </c>
      <c r="AN227" s="48" t="s">
        <v>700</v>
      </c>
      <c r="AT227" s="48" t="str">
        <f t="shared" si="13"/>
        <v>领地建设仍&lt;color=#FFCC71&gt;需要大量木材&lt;/color&gt;，不如多&lt;color=#FFCC71&gt;修建几个伐木场&lt;/color&gt;，多多益善。</v>
      </c>
      <c r="AU227" s="48" t="s">
        <v>912</v>
      </c>
      <c r="AV227" s="48">
        <f t="shared" si="15"/>
        <v>50512</v>
      </c>
      <c r="AW227" s="48" t="s">
        <v>913</v>
      </c>
      <c r="AX227" s="48" t="s">
        <v>914</v>
      </c>
    </row>
    <row r="228" spans="1:51" s="48" customFormat="1" ht="28">
      <c r="A228" s="48">
        <f t="shared" si="16"/>
        <v>50601</v>
      </c>
      <c r="B228" s="48" t="s">
        <v>915</v>
      </c>
      <c r="C228" s="48">
        <v>1</v>
      </c>
      <c r="D228" s="48" t="s">
        <v>622</v>
      </c>
      <c r="E228" s="48" t="s">
        <v>412</v>
      </c>
      <c r="F228" s="20" t="str">
        <f>VLOOKUP(G228,'#TID_base_up'!B:C,2,0)</f>
        <v>魏兰</v>
      </c>
      <c r="G228" s="48" t="s">
        <v>129</v>
      </c>
      <c r="H228" s="48" t="str">
        <f>VLOOKUP($F228,'#对话模型配置'!$A:$W,MATCH(对话配置表!H$2,'#对话模型配置'!$1:$1,0),FALSE)</f>
        <v>icon_guidechara.smash</v>
      </c>
      <c r="I228" s="48" t="str">
        <f>VLOOKUP($F228,'#对话模型配置'!$A:$W,MATCH(对话配置表!I$2,'#对话模型配置'!$1:$1,0),FALSE)</f>
        <v>frame_s_xsdh_002</v>
      </c>
      <c r="J228" s="48" t="s">
        <v>916</v>
      </c>
      <c r="K228" s="84" t="str">
        <f t="shared" si="14"/>
        <v>武圣大人所说的&lt;color=#FFCC71&gt;【突破瓶颈之时】&lt;/color&gt;到底指的是什么？</v>
      </c>
      <c r="T228" s="48">
        <v>1</v>
      </c>
      <c r="U228" s="48">
        <v>1</v>
      </c>
      <c r="V228" s="48">
        <v>0</v>
      </c>
      <c r="X228" s="48">
        <v>0</v>
      </c>
      <c r="Y228" s="48" t="b">
        <v>0</v>
      </c>
      <c r="Z228" s="48" t="s">
        <v>917</v>
      </c>
      <c r="AA228" s="48" t="b">
        <v>0</v>
      </c>
      <c r="AC228" s="48">
        <v>20001064</v>
      </c>
      <c r="AD228" s="48">
        <v>5.1279997825622603</v>
      </c>
      <c r="AE228" s="48">
        <v>6.13</v>
      </c>
      <c r="AH228" s="48">
        <v>0.1</v>
      </c>
      <c r="AL228" s="48">
        <v>10</v>
      </c>
      <c r="AM228" s="48">
        <f>VLOOKUP($F228,'#对话模型配置'!$A:$W,MATCH(对话配置表!AM$2,'#对话模型配置'!$1:$1,0),FALSE)</f>
        <v>20001005</v>
      </c>
      <c r="AN228" s="48" t="s">
        <v>643</v>
      </c>
      <c r="AT228" s="48" t="str">
        <f t="shared" si="13"/>
        <v>武圣大人所说的&lt;color=#FFCC71&gt;【突破瓶颈之时】&lt;/color&gt;到底指的是什么？</v>
      </c>
      <c r="AU228" s="48" t="s">
        <v>918</v>
      </c>
      <c r="AV228" s="48">
        <f t="shared" si="15"/>
        <v>50601</v>
      </c>
      <c r="AW228" s="48" t="s">
        <v>919</v>
      </c>
    </row>
    <row r="229" spans="1:51" s="48" customFormat="1" ht="42">
      <c r="A229" s="48">
        <f t="shared" si="16"/>
        <v>50601</v>
      </c>
      <c r="B229" s="48" t="s">
        <v>915</v>
      </c>
      <c r="C229" s="48">
        <v>2</v>
      </c>
      <c r="D229" s="48" t="s">
        <v>622</v>
      </c>
      <c r="E229" s="48" t="s">
        <v>412</v>
      </c>
      <c r="F229" s="20" t="str">
        <f>VLOOKUP(G229,'#TID_base_up'!B:C,2,0)</f>
        <v>安德莉娅</v>
      </c>
      <c r="G229" s="48" t="s">
        <v>467</v>
      </c>
      <c r="H229" s="48" t="str">
        <f>VLOOKUP($F229,'#对话模型配置'!$A:$W,MATCH(对话配置表!H$2,'#对话模型配置'!$1:$1,0),FALSE)</f>
        <v>icon_guidechara.smash</v>
      </c>
      <c r="I229" s="48" t="str">
        <f>VLOOKUP($F229,'#对话模型配置'!$A:$W,MATCH(对话配置表!I$2,'#对话模型配置'!$1:$1,0),FALSE)</f>
        <v>frame_s_xsdh_002</v>
      </c>
      <c r="J229" s="48" t="s">
        <v>920</v>
      </c>
      <c r="K229" s="84" t="str">
        <f t="shared" si="14"/>
        <v>我曾听说每个强大文明通过&lt;color=#FFCC71&gt;时代升级&lt;/color&gt;便能掌握一大堆&lt;color=#FFCC71&gt;核心科技&lt;/color&gt;，大人或许可以尝试尝试。</v>
      </c>
      <c r="T229" s="48">
        <v>1</v>
      </c>
      <c r="U229" s="48">
        <v>1</v>
      </c>
      <c r="V229" s="48">
        <v>0</v>
      </c>
      <c r="X229" s="48">
        <v>0</v>
      </c>
      <c r="Y229" s="48" t="b">
        <v>0</v>
      </c>
      <c r="Z229" s="48" t="s">
        <v>921</v>
      </c>
      <c r="AA229" s="48" t="b">
        <v>1</v>
      </c>
      <c r="AC229" s="48">
        <v>20001065</v>
      </c>
      <c r="AD229" s="48">
        <v>8.7826662063598597</v>
      </c>
      <c r="AE229" s="48">
        <v>9.7799999999999994</v>
      </c>
      <c r="AH229" s="48">
        <v>0.1</v>
      </c>
      <c r="AL229" s="48">
        <v>10</v>
      </c>
      <c r="AM229" s="48">
        <f>VLOOKUP($F229,'#对话模型配置'!$A:$W,MATCH(对话配置表!AM$2,'#对话模型配置'!$1:$1,0),FALSE)</f>
        <v>30001001</v>
      </c>
      <c r="AN229" s="48" t="s">
        <v>922</v>
      </c>
      <c r="AT229" s="48" t="str">
        <f t="shared" si="13"/>
        <v>我曾听说每个强大文明通过&lt;color=#FFCC71&gt;时代升级&lt;/color&gt;便能掌握一大堆&lt;color=#FFCC71&gt;核心科技&lt;/color&gt;，大人或许可以尝试尝试。</v>
      </c>
      <c r="AU229" s="48" t="s">
        <v>923</v>
      </c>
      <c r="AV229" s="48">
        <f t="shared" si="15"/>
        <v>50601</v>
      </c>
      <c r="AW229" s="48" t="s">
        <v>924</v>
      </c>
      <c r="AX229" s="48" t="s">
        <v>925</v>
      </c>
    </row>
    <row r="230" spans="1:51" s="48" customFormat="1" ht="28">
      <c r="A230" s="48">
        <f t="shared" si="16"/>
        <v>50602</v>
      </c>
      <c r="B230" s="48" t="s">
        <v>915</v>
      </c>
      <c r="C230" s="48">
        <v>1</v>
      </c>
      <c r="D230" s="48" t="s">
        <v>926</v>
      </c>
      <c r="E230" s="48" t="s">
        <v>412</v>
      </c>
      <c r="F230" s="20" t="str">
        <f>VLOOKUP(G230,'#TID_base_up'!B:C,2,0)</f>
        <v>安德莉娅</v>
      </c>
      <c r="G230" s="48" t="s">
        <v>467</v>
      </c>
      <c r="H230" s="48" t="str">
        <f>VLOOKUP($F230,'#对话模型配置'!$A:$W,MATCH(对话配置表!H$2,'#对话模型配置'!$1:$1,0),FALSE)</f>
        <v>icon_guidechara.smash</v>
      </c>
      <c r="I230" s="48" t="str">
        <f>VLOOKUP($F230,'#对话模型配置'!$A:$W,MATCH(对话配置表!I$2,'#对话模型配置'!$1:$1,0),FALSE)</f>
        <v>frame_s_xsdh_002</v>
      </c>
      <c r="J230" s="48" t="s">
        <v>927</v>
      </c>
      <c r="K230" s="84" t="str">
        <f t="shared" si="14"/>
        <v>&lt;color=#FFCC71&gt;繁荣度&lt;/color&gt;是&lt;color=#FFCC71&gt;突破实力瓶颈&lt;/color&gt;的关键所在，大人，我们先来定个小目标吧。</v>
      </c>
      <c r="T230" s="48">
        <v>1</v>
      </c>
      <c r="U230" s="48">
        <v>1</v>
      </c>
      <c r="V230" s="48">
        <v>0</v>
      </c>
      <c r="X230" s="48">
        <v>0</v>
      </c>
      <c r="Y230" s="48" t="b">
        <v>0</v>
      </c>
      <c r="Z230" s="48" t="s">
        <v>928</v>
      </c>
      <c r="AA230" s="48" t="b">
        <v>0</v>
      </c>
      <c r="AC230" s="48">
        <v>20001066</v>
      </c>
      <c r="AD230" s="48">
        <v>7.0653328895568803</v>
      </c>
      <c r="AE230" s="48">
        <v>8.07</v>
      </c>
      <c r="AH230" s="48">
        <v>0.1</v>
      </c>
      <c r="AL230" s="48">
        <v>10</v>
      </c>
      <c r="AM230" s="48">
        <f>VLOOKUP($F230,'#对话模型配置'!$A:$W,MATCH(对话配置表!AM$2,'#对话模型配置'!$1:$1,0),FALSE)</f>
        <v>30001001</v>
      </c>
      <c r="AN230" s="48" t="s">
        <v>724</v>
      </c>
      <c r="AT230" s="48" t="str">
        <f t="shared" si="13"/>
        <v>&lt;color=#FFCC71&gt;繁荣度&lt;/color&gt;是&lt;color=#FFCC71&gt;突破实力瓶颈&lt;/color&gt;的关键所在，大人，我们先来定个小目标吧。</v>
      </c>
      <c r="AU230" s="48" t="s">
        <v>929</v>
      </c>
      <c r="AV230" s="48">
        <f t="shared" si="15"/>
        <v>50602</v>
      </c>
      <c r="AW230" s="48" t="s">
        <v>930</v>
      </c>
      <c r="AX230" s="48" t="s">
        <v>931</v>
      </c>
    </row>
    <row r="231" spans="1:51" s="48" customFormat="1" ht="42">
      <c r="A231" s="48">
        <f t="shared" si="16"/>
        <v>50603</v>
      </c>
      <c r="B231" s="48" t="s">
        <v>915</v>
      </c>
      <c r="C231" s="48">
        <v>1</v>
      </c>
      <c r="D231" s="48" t="s">
        <v>932</v>
      </c>
      <c r="E231" s="48" t="s">
        <v>412</v>
      </c>
      <c r="F231" s="20" t="str">
        <f>VLOOKUP(G231,'#TID_base_up'!B:C,2,0)</f>
        <v>安德莉娅</v>
      </c>
      <c r="G231" s="48" t="s">
        <v>467</v>
      </c>
      <c r="H231" s="48" t="str">
        <f>VLOOKUP($F231,'#对话模型配置'!$A:$W,MATCH(对话配置表!H$2,'#对话模型配置'!$1:$1,0),FALSE)</f>
        <v>icon_guidechara.smash</v>
      </c>
      <c r="I231" s="48" t="str">
        <f>VLOOKUP($F231,'#对话模型配置'!$A:$W,MATCH(对话配置表!I$2,'#对话模型配置'!$1:$1,0),FALSE)</f>
        <v>frame_s_xsdh_002</v>
      </c>
      <c r="J231" s="48" t="s">
        <v>933</v>
      </c>
      <c r="K231" s="84" t="str">
        <f t="shared" si="14"/>
        <v>&lt;color=#FFCC71&gt;时代升级&lt;/color&gt;仅一步之遥，还请大人&lt;color=#FFCC71&gt;加速升级城镇中心&lt;/color&gt;，迎接激动人心的时刻！</v>
      </c>
      <c r="T231" s="48">
        <v>1</v>
      </c>
      <c r="U231" s="48">
        <v>1</v>
      </c>
      <c r="V231" s="48">
        <v>0</v>
      </c>
      <c r="X231" s="48">
        <v>0</v>
      </c>
      <c r="Y231" s="48" t="b">
        <v>0</v>
      </c>
      <c r="Z231" s="48" t="s">
        <v>934</v>
      </c>
      <c r="AA231" s="48" t="b">
        <v>0</v>
      </c>
      <c r="AC231" s="48">
        <v>20001067</v>
      </c>
      <c r="AD231" s="48">
        <v>7.1026668548584002</v>
      </c>
      <c r="AE231" s="48">
        <v>8.1</v>
      </c>
      <c r="AH231" s="48">
        <v>0.1</v>
      </c>
      <c r="AL231" s="48">
        <v>10</v>
      </c>
      <c r="AM231" s="48">
        <f>VLOOKUP($F231,'#对话模型配置'!$A:$W,MATCH(对话配置表!AM$2,'#对话模型配置'!$1:$1,0),FALSE)</f>
        <v>30001001</v>
      </c>
      <c r="AN231" s="48" t="s">
        <v>687</v>
      </c>
      <c r="AT231" s="48" t="str">
        <f t="shared" si="13"/>
        <v>&lt;color=#FFCC71&gt;时代升级&lt;/color&gt;仅一步之遥，还请大人&lt;color=#FFCC71&gt;加速升级城镇中心&lt;/color&gt;，迎接激动人心的时刻！</v>
      </c>
      <c r="AU231" s="48" t="s">
        <v>935</v>
      </c>
      <c r="AV231" s="48">
        <f t="shared" si="15"/>
        <v>50603</v>
      </c>
      <c r="AW231" s="48" t="s">
        <v>924</v>
      </c>
      <c r="AX231" s="48" t="s">
        <v>936</v>
      </c>
    </row>
    <row r="232" spans="1:51" s="48" customFormat="1" ht="28">
      <c r="A232" s="48">
        <f t="shared" si="16"/>
        <v>50604</v>
      </c>
      <c r="B232" s="48" t="s">
        <v>915</v>
      </c>
      <c r="C232" s="48">
        <v>1</v>
      </c>
      <c r="D232" s="48" t="s">
        <v>932</v>
      </c>
      <c r="E232" s="48" t="s">
        <v>412</v>
      </c>
      <c r="F232" s="20" t="str">
        <f>VLOOKUP(G232,'#TID_base_up'!B:C,2,0)</f>
        <v>安德莉娅</v>
      </c>
      <c r="G232" s="48" t="s">
        <v>467</v>
      </c>
      <c r="H232" s="48" t="str">
        <f>VLOOKUP($F232,'#对话模型配置'!$A:$W,MATCH(对话配置表!H$2,'#对话模型配置'!$1:$1,0),FALSE)</f>
        <v>icon_guidechara.smash</v>
      </c>
      <c r="I232" s="48" t="str">
        <f>VLOOKUP($F232,'#对话模型配置'!$A:$W,MATCH(对话配置表!I$2,'#对话模型配置'!$1:$1,0),FALSE)</f>
        <v>frame_s_xsdh_002</v>
      </c>
      <c r="J232" s="48" t="s">
        <v>937</v>
      </c>
      <c r="K232" s="84" t="str">
        <f t="shared" si="14"/>
        <v>繁荣度已足够，请您&lt;color=#FFCC71&gt;升级城镇中心&lt;/color&gt;，为&lt;color=#FFCC71&gt;升级时代&lt;/color&gt;做好准备。</v>
      </c>
      <c r="T232" s="48">
        <v>1</v>
      </c>
      <c r="U232" s="48">
        <v>1</v>
      </c>
      <c r="V232" s="48">
        <v>0</v>
      </c>
      <c r="X232" s="48">
        <v>0</v>
      </c>
      <c r="Y232" s="48" t="b">
        <v>0</v>
      </c>
      <c r="Z232" s="48" t="s">
        <v>938</v>
      </c>
      <c r="AA232" s="48" t="b">
        <v>0</v>
      </c>
      <c r="AC232" s="48">
        <v>20001068</v>
      </c>
      <c r="AD232" s="48">
        <v>5.7960000038146999</v>
      </c>
      <c r="AE232" s="48">
        <v>6.8</v>
      </c>
      <c r="AH232" s="48">
        <v>0.1</v>
      </c>
      <c r="AL232" s="48">
        <v>10</v>
      </c>
      <c r="AM232" s="48">
        <f>VLOOKUP($F232,'#对话模型配置'!$A:$W,MATCH(对话配置表!AM$2,'#对话模型配置'!$1:$1,0),FALSE)</f>
        <v>30001001</v>
      </c>
      <c r="AN232" s="48" t="s">
        <v>706</v>
      </c>
      <c r="AT232" s="48" t="str">
        <f t="shared" si="13"/>
        <v>繁荣度已足够，请您&lt;color=#FFCC71&gt;升级城镇中心&lt;/color&gt;，为&lt;color=#FFCC71&gt;升级时代&lt;/color&gt;做好准备。</v>
      </c>
      <c r="AU232" s="48" t="s">
        <v>939</v>
      </c>
      <c r="AV232" s="48">
        <f t="shared" si="15"/>
        <v>50604</v>
      </c>
      <c r="AW232" s="48" t="s">
        <v>755</v>
      </c>
      <c r="AX232" s="48" t="s">
        <v>940</v>
      </c>
    </row>
    <row r="233" spans="1:51" s="48" customFormat="1" ht="28">
      <c r="A233" s="48">
        <f t="shared" si="16"/>
        <v>50605</v>
      </c>
      <c r="B233" s="48" t="s">
        <v>915</v>
      </c>
      <c r="C233" s="48">
        <v>1</v>
      </c>
      <c r="D233" s="48" t="s">
        <v>941</v>
      </c>
      <c r="E233" s="48" t="s">
        <v>412</v>
      </c>
      <c r="F233" s="20" t="str">
        <f>VLOOKUP(G233,'#TID_base_up'!B:C,2,0)</f>
        <v>安德莉娅</v>
      </c>
      <c r="G233" s="48" t="s">
        <v>467</v>
      </c>
      <c r="H233" s="48" t="str">
        <f>VLOOKUP($F233,'#对话模型配置'!$A:$W,MATCH(对话配置表!H$2,'#对话模型配置'!$1:$1,0),FALSE)</f>
        <v>icon_guidechara.smash</v>
      </c>
      <c r="I233" s="48" t="str">
        <f>VLOOKUP($F233,'#对话模型配置'!$A:$W,MATCH(对话配置表!I$2,'#对话模型配置'!$1:$1,0),FALSE)</f>
        <v>frame_s_xsdh_002</v>
      </c>
      <c r="J233" s="48" t="s">
        <v>942</v>
      </c>
      <c r="K233" s="84" t="str">
        <f t="shared" si="14"/>
        <v>领主大人，&lt;color=#FFCC71&gt;城镇中心升级完成&lt;/color&gt;，万事俱备，请您&lt;color=#FFCC71&gt;迎接中古时代&lt;/color&gt;的到来吧！</v>
      </c>
      <c r="T233" s="48">
        <v>1</v>
      </c>
      <c r="U233" s="48">
        <v>1</v>
      </c>
      <c r="V233" s="48">
        <v>0</v>
      </c>
      <c r="X233" s="48">
        <v>0</v>
      </c>
      <c r="Y233" s="48" t="b">
        <v>0</v>
      </c>
      <c r="Z233" s="48" t="s">
        <v>943</v>
      </c>
      <c r="AA233" s="48" t="b">
        <v>0</v>
      </c>
      <c r="AC233" s="48">
        <v>20001069</v>
      </c>
      <c r="AD233" s="48">
        <v>7.0419998168945304</v>
      </c>
      <c r="AE233" s="48">
        <v>8.0399999999999991</v>
      </c>
      <c r="AH233" s="48">
        <v>0.1</v>
      </c>
      <c r="AL233" s="48">
        <v>10</v>
      </c>
      <c r="AM233" s="48">
        <f>VLOOKUP($F233,'#对话模型配置'!$A:$W,MATCH(对话配置表!AM$2,'#对话模型配置'!$1:$1,0),FALSE)</f>
        <v>30001001</v>
      </c>
      <c r="AN233" s="48" t="s">
        <v>922</v>
      </c>
      <c r="AT233" s="48" t="str">
        <f t="shared" si="13"/>
        <v>领主大人，&lt;color=#FFCC71&gt;城镇中心升级完成&lt;/color&gt;，万事俱备，请您&lt;color=#FFCC71&gt;迎接中古时代&lt;/color&gt;的到来吧！</v>
      </c>
      <c r="AU233" s="48" t="s">
        <v>944</v>
      </c>
      <c r="AV233" s="48">
        <f t="shared" si="15"/>
        <v>50605</v>
      </c>
      <c r="AW233" s="48" t="s">
        <v>945</v>
      </c>
      <c r="AX233" s="48" t="s">
        <v>946</v>
      </c>
    </row>
    <row r="234" spans="1:51" s="48" customFormat="1" ht="42">
      <c r="A234" s="48">
        <f t="shared" si="16"/>
        <v>50606</v>
      </c>
      <c r="B234" s="48" t="s">
        <v>915</v>
      </c>
      <c r="C234" s="48">
        <v>1</v>
      </c>
      <c r="D234" s="48" t="s">
        <v>941</v>
      </c>
      <c r="E234" s="48" t="s">
        <v>412</v>
      </c>
      <c r="F234" s="20" t="str">
        <f>VLOOKUP(G234,'#TID_base_up'!B:C,2,0)</f>
        <v>安德莉娅</v>
      </c>
      <c r="G234" s="48" t="s">
        <v>467</v>
      </c>
      <c r="H234" s="48" t="str">
        <f>VLOOKUP($F234,'#对话模型配置'!$A:$W,MATCH(对话配置表!H$2,'#对话模型配置'!$1:$1,0),FALSE)</f>
        <v>icon_guidechara.smash</v>
      </c>
      <c r="I234" s="48" t="str">
        <f>VLOOKUP($F234,'#对话模型配置'!$A:$W,MATCH(对话配置表!I$2,'#对话模型配置'!$1:$1,0),FALSE)</f>
        <v>frame_s_xsdh_002</v>
      </c>
      <c r="J234" s="48" t="s">
        <v>947</v>
      </c>
      <c r="K234" s="84" t="str">
        <f t="shared" si="14"/>
        <v>&lt;color=#FFCC71&gt;城市风格&lt;/color&gt;活动已开启，时代升级后，您可在&lt;color=#FFCC71&gt;活动中心&lt;/color&gt;更换各种不同的&lt;color=#FFCC71&gt;城市风格&lt;/color&gt;。</v>
      </c>
      <c r="T234" s="48">
        <v>1</v>
      </c>
      <c r="U234" s="48">
        <v>1</v>
      </c>
      <c r="V234" s="48">
        <v>0</v>
      </c>
      <c r="X234" s="48">
        <v>0</v>
      </c>
      <c r="Y234" s="48" t="b">
        <v>0</v>
      </c>
      <c r="Z234" s="48" t="s">
        <v>948</v>
      </c>
      <c r="AA234" s="48" t="b">
        <v>0</v>
      </c>
      <c r="AC234" s="48">
        <v>20001070</v>
      </c>
      <c r="AD234" s="48">
        <v>7.4573340415954599</v>
      </c>
      <c r="AE234" s="48">
        <v>8.4600000000000009</v>
      </c>
      <c r="AH234" s="48">
        <v>0.1</v>
      </c>
      <c r="AL234" s="48">
        <v>10</v>
      </c>
      <c r="AM234" s="48">
        <f>VLOOKUP($F234,'#对话模型配置'!$A:$W,MATCH(对话配置表!AM$2,'#对话模型配置'!$1:$1,0),FALSE)</f>
        <v>30001001</v>
      </c>
      <c r="AN234" s="48" t="s">
        <v>687</v>
      </c>
      <c r="AT234" s="48" t="str">
        <f t="shared" si="13"/>
        <v>&lt;color=#FFCC71&gt;城市风格&lt;/color&gt;活动已开启，时代升级后，您可在&lt;color=#FFCC71&gt;活动中心&lt;/color&gt;更换各种不同的&lt;color=#FFCC71&gt;城市风格&lt;/color&gt;。</v>
      </c>
      <c r="AU234" s="48" t="s">
        <v>949</v>
      </c>
      <c r="AV234" s="48">
        <f t="shared" si="15"/>
        <v>50606</v>
      </c>
      <c r="AW234" s="48" t="s">
        <v>950</v>
      </c>
      <c r="AX234" s="48" t="s">
        <v>951</v>
      </c>
    </row>
    <row r="235" spans="1:51" s="48" customFormat="1" ht="42">
      <c r="A235" s="48">
        <f t="shared" si="16"/>
        <v>50607</v>
      </c>
      <c r="B235" s="48" t="s">
        <v>915</v>
      </c>
      <c r="C235" s="48">
        <v>1</v>
      </c>
      <c r="D235" s="48" t="s">
        <v>952</v>
      </c>
      <c r="E235" s="48" t="s">
        <v>412</v>
      </c>
      <c r="F235" s="20" t="str">
        <f>VLOOKUP(G235,'#TID_base_up'!B:C,2,0)</f>
        <v>魏兰</v>
      </c>
      <c r="G235" s="48" t="s">
        <v>129</v>
      </c>
      <c r="H235" s="48" t="str">
        <f>VLOOKUP($F235,'#对话模型配置'!$A:$W,MATCH(对话配置表!H$2,'#对话模型配置'!$1:$1,0),FALSE)</f>
        <v>icon_guidechara.smash</v>
      </c>
      <c r="I235" s="48" t="str">
        <f>VLOOKUP($F235,'#对话模型配置'!$A:$W,MATCH(对话配置表!I$2,'#对话模型配置'!$1:$1,0),FALSE)</f>
        <v>frame_s_xsdh_002</v>
      </c>
      <c r="J235" s="48" t="s">
        <v>953</v>
      </c>
      <c r="K235" s="84" t="str">
        <f t="shared" si="14"/>
        <v>领主大人，欢迎来到&lt;color=#FFCC71&gt;中古时代&lt;/color&gt;！时代升级解锁了部队中&lt;color=#FFCC71&gt;第2个英雄的位置&lt;/color&gt;，不知道大人这次派谁上阵呢？</v>
      </c>
      <c r="T235" s="48">
        <v>1</v>
      </c>
      <c r="U235" s="48">
        <v>1</v>
      </c>
      <c r="V235" s="48">
        <v>0</v>
      </c>
      <c r="X235" s="48">
        <v>0</v>
      </c>
      <c r="Y235" s="48" t="b">
        <v>0</v>
      </c>
      <c r="Z235" s="48" t="s">
        <v>954</v>
      </c>
      <c r="AA235" s="48" t="b">
        <v>0</v>
      </c>
      <c r="AC235" s="48">
        <v>20001071</v>
      </c>
      <c r="AD235" s="48">
        <v>10.2363328933716</v>
      </c>
      <c r="AE235" s="48">
        <v>11.24</v>
      </c>
      <c r="AH235" s="48">
        <v>0.1</v>
      </c>
      <c r="AL235" s="48">
        <v>10</v>
      </c>
      <c r="AM235" s="48">
        <f>VLOOKUP($F235,'#对话模型配置'!$A:$W,MATCH(对话配置表!AM$2,'#对话模型配置'!$1:$1,0),FALSE)</f>
        <v>20001005</v>
      </c>
      <c r="AN235" s="48" t="s">
        <v>811</v>
      </c>
      <c r="AT235" s="48" t="str">
        <f t="shared" si="13"/>
        <v>领主大人，欢迎来到&lt;color=#FFCC71&gt;中古时代&lt;/color&gt;！时代升级解锁了部队中&lt;color=#FFCC71&gt;第2个英雄的位置&lt;/color&gt;，不知道大人这次派谁上阵呢？</v>
      </c>
      <c r="AU235" s="48" t="s">
        <v>955</v>
      </c>
      <c r="AV235" s="48">
        <f t="shared" si="15"/>
        <v>50607</v>
      </c>
      <c r="AW235" s="48" t="s">
        <v>956</v>
      </c>
      <c r="AX235" s="48" t="s">
        <v>957</v>
      </c>
    </row>
    <row r="236" spans="1:51" s="48" customFormat="1" ht="56">
      <c r="A236" s="48">
        <f t="shared" si="16"/>
        <v>50608</v>
      </c>
      <c r="B236" s="48" t="s">
        <v>915</v>
      </c>
      <c r="C236" s="48">
        <v>1</v>
      </c>
      <c r="D236" s="48" t="s">
        <v>958</v>
      </c>
      <c r="E236" s="48" t="s">
        <v>412</v>
      </c>
      <c r="F236" s="20" t="str">
        <f>VLOOKUP(G236,'#TID_base_up'!B:C,2,0)</f>
        <v>魏兰</v>
      </c>
      <c r="G236" s="48" t="s">
        <v>129</v>
      </c>
      <c r="H236" s="48" t="str">
        <f>VLOOKUP($F236,'#对话模型配置'!$A:$W,MATCH(对话配置表!H$2,'#对话模型配置'!$1:$1,0),FALSE)</f>
        <v>icon_guidechara.smash</v>
      </c>
      <c r="I236" s="48" t="str">
        <f>VLOOKUP($F236,'#对话模型配置'!$A:$W,MATCH(对话配置表!I$2,'#对话模型配置'!$1:$1,0),FALSE)</f>
        <v>frame_s_xsdh_002</v>
      </c>
      <c r="J236" s="48" t="s">
        <v>959</v>
      </c>
      <c r="K236" s="84" t="str">
        <f t="shared" si="14"/>
        <v>&lt;color=#FFCC71&gt;时代升级&lt;/color&gt;后我们掌握了开发&lt;color=#FFCC71&gt;高级兵种&lt;/color&gt;的能力，先升级兵营就能&lt;color=#FFCC71&gt;训练2级士兵&lt;/color&gt;了！\n&lt;color=#2AB81E&gt;兵营升级后，兵营里所有士兵将自动晋升等级。&lt;/color&gt;</v>
      </c>
      <c r="T236" s="48">
        <v>1</v>
      </c>
      <c r="U236" s="48">
        <v>1</v>
      </c>
      <c r="V236" s="48">
        <v>0</v>
      </c>
      <c r="X236" s="48">
        <v>0</v>
      </c>
      <c r="Y236" s="48" t="b">
        <v>0</v>
      </c>
      <c r="Z236" s="48" t="s">
        <v>960</v>
      </c>
      <c r="AA236" s="48" t="b">
        <v>0</v>
      </c>
      <c r="AC236" s="48">
        <v>20001072</v>
      </c>
      <c r="AD236" s="48">
        <v>8.0103330612182599</v>
      </c>
      <c r="AE236" s="48">
        <v>9.01</v>
      </c>
      <c r="AH236" s="48">
        <v>0.1</v>
      </c>
      <c r="AL236" s="48">
        <v>10</v>
      </c>
      <c r="AM236" s="48">
        <f>VLOOKUP($F236,'#对话模型配置'!$A:$W,MATCH(对话配置表!AM$2,'#对话模型配置'!$1:$1,0),FALSE)</f>
        <v>20001005</v>
      </c>
      <c r="AN236" s="48" t="s">
        <v>662</v>
      </c>
      <c r="AT236" s="48" t="str">
        <f t="shared" si="13"/>
        <v>&lt;color=#FFCC71&gt;时代升级&lt;/color&gt;后我们掌握了开发&lt;color=#FFCC71&gt;高级兵种&lt;/color&gt;的能力，先升级兵营就能&lt;color=#FFCC71&gt;训练2级士兵&lt;/color&gt;了！\n&lt;color=#2AB81E&gt;兵营升级后，兵营里所有士兵将自动晋升等级。&lt;/color&gt;</v>
      </c>
      <c r="AU236" s="48" t="s">
        <v>961</v>
      </c>
      <c r="AV236" s="48">
        <f t="shared" si="15"/>
        <v>50608</v>
      </c>
      <c r="AW236" s="48" t="s">
        <v>924</v>
      </c>
      <c r="AX236" s="48" t="s">
        <v>962</v>
      </c>
      <c r="AY236" s="48" t="s">
        <v>963</v>
      </c>
    </row>
    <row r="237" spans="1:51" s="48" customFormat="1" ht="28">
      <c r="A237" s="48">
        <f t="shared" si="16"/>
        <v>50609</v>
      </c>
      <c r="B237" s="48" t="s">
        <v>915</v>
      </c>
      <c r="C237" s="48">
        <v>1</v>
      </c>
      <c r="D237" s="48" t="s">
        <v>964</v>
      </c>
      <c r="E237" s="48" t="s">
        <v>412</v>
      </c>
      <c r="F237" s="20" t="str">
        <f>VLOOKUP(G237,'#TID_base_up'!B:C,2,0)</f>
        <v>魏兰</v>
      </c>
      <c r="G237" s="48" t="s">
        <v>129</v>
      </c>
      <c r="H237" s="48" t="str">
        <f>VLOOKUP($F237,'#对话模型配置'!$A:$W,MATCH(对话配置表!H$2,'#对话模型配置'!$1:$1,0),FALSE)</f>
        <v>icon_guidechara.smash</v>
      </c>
      <c r="I237" s="48" t="str">
        <f>VLOOKUP($F237,'#对话模型配置'!$A:$W,MATCH(对话配置表!I$2,'#对话模型配置'!$1:$1,0),FALSE)</f>
        <v>frame_s_xsdh_002</v>
      </c>
      <c r="J237" s="48" t="s">
        <v>965</v>
      </c>
      <c r="K237" s="84" t="str">
        <f t="shared" si="14"/>
        <v>&lt;color=#FFCC71&gt;双英雄和高级兵种&lt;/color&gt;具有可怕战斗力，&lt;color=#FFCC71&gt;开疆扩土&lt;/color&gt;之时必然会更加得心应手。</v>
      </c>
      <c r="T237" s="48">
        <v>1</v>
      </c>
      <c r="U237" s="48">
        <v>1</v>
      </c>
      <c r="V237" s="48">
        <v>0</v>
      </c>
      <c r="X237" s="48">
        <v>0</v>
      </c>
      <c r="Y237" s="48" t="b">
        <v>0</v>
      </c>
      <c r="Z237" s="48" t="s">
        <v>966</v>
      </c>
      <c r="AA237" s="48" t="b">
        <v>0</v>
      </c>
      <c r="AC237" s="48">
        <v>20001073</v>
      </c>
      <c r="AD237" s="48">
        <v>7.6953330039978001</v>
      </c>
      <c r="AE237" s="48">
        <v>8.6999999999999993</v>
      </c>
      <c r="AH237" s="48">
        <v>0.1</v>
      </c>
      <c r="AL237" s="48">
        <v>10</v>
      </c>
      <c r="AM237" s="48">
        <f>VLOOKUP($F237,'#对话模型配置'!$A:$W,MATCH(对话配置表!AM$2,'#对话模型配置'!$1:$1,0),FALSE)</f>
        <v>20001005</v>
      </c>
      <c r="AN237" s="48" t="s">
        <v>643</v>
      </c>
      <c r="AT237" s="48" t="str">
        <f t="shared" si="13"/>
        <v>&lt;color=#FFCC71&gt;双英雄和高级兵种&lt;/color&gt;具有可怕战斗力，&lt;color=#FFCC71&gt;开疆扩土&lt;/color&gt;之时必然会更加得心应手。</v>
      </c>
      <c r="AU237" s="48" t="s">
        <v>967</v>
      </c>
      <c r="AV237" s="48">
        <f t="shared" si="15"/>
        <v>50609</v>
      </c>
      <c r="AW237" s="48" t="s">
        <v>968</v>
      </c>
      <c r="AX237" s="48" t="s">
        <v>969</v>
      </c>
    </row>
    <row r="238" spans="1:51" s="48" customFormat="1" ht="42">
      <c r="A238" s="48">
        <f t="shared" si="16"/>
        <v>50701</v>
      </c>
      <c r="B238" s="48" t="s">
        <v>970</v>
      </c>
      <c r="C238" s="48">
        <v>1</v>
      </c>
      <c r="D238" s="48" t="s">
        <v>971</v>
      </c>
      <c r="E238" s="48" t="s">
        <v>412</v>
      </c>
      <c r="F238" s="20" t="str">
        <f>VLOOKUP(G238,'#TID_base_up'!B:C,2,0)</f>
        <v>魏兰</v>
      </c>
      <c r="G238" s="48" t="s">
        <v>129</v>
      </c>
      <c r="H238" s="48" t="str">
        <f>VLOOKUP($F238,'#对话模型配置'!$A:$W,MATCH(对话配置表!H$2,'#对话模型配置'!$1:$1,0),FALSE)</f>
        <v>icon_guidechara.smash</v>
      </c>
      <c r="I238" s="48" t="str">
        <f>VLOOKUP($F238,'#对话模型配置'!$A:$W,MATCH(对话配置表!I$2,'#对话模型配置'!$1:$1,0),FALSE)</f>
        <v>frame_s_xsdh_002</v>
      </c>
      <c r="J238" s="48" t="s">
        <v>972</v>
      </c>
      <c r="K238" s="84" t="str">
        <f t="shared" si="14"/>
        <v>大规模的&lt;color=#FFCC71&gt;战斗会产生伤兵&lt;/color&gt;，必须要有足够的治疗房舍来保住有生力量，还请大人&lt;color=#FFCC71&gt;升级一些治疗房舍&lt;/color&gt;。</v>
      </c>
      <c r="T238" s="48">
        <v>1</v>
      </c>
      <c r="U238" s="48">
        <v>1</v>
      </c>
      <c r="V238" s="48">
        <v>0</v>
      </c>
      <c r="X238" s="48">
        <v>0</v>
      </c>
      <c r="Y238" s="48" t="b">
        <v>0</v>
      </c>
      <c r="Z238" s="48" t="s">
        <v>973</v>
      </c>
      <c r="AA238" s="48" t="b">
        <v>0</v>
      </c>
      <c r="AC238" s="48">
        <v>20001074</v>
      </c>
      <c r="AD238" s="48">
        <v>9.8186664581298793</v>
      </c>
      <c r="AE238" s="48">
        <v>10.82</v>
      </c>
      <c r="AH238" s="48">
        <v>0.1</v>
      </c>
      <c r="AL238" s="48">
        <v>10</v>
      </c>
      <c r="AM238" s="48">
        <f>VLOOKUP($F238,'#对话模型配置'!$A:$W,MATCH(对话配置表!AM$2,'#对话模型配置'!$1:$1,0),FALSE)</f>
        <v>20001005</v>
      </c>
      <c r="AN238" s="48" t="s">
        <v>811</v>
      </c>
      <c r="AT238" s="48" t="str">
        <f t="shared" si="13"/>
        <v>大规模的&lt;color=#FFCC71&gt;战斗会产生伤兵&lt;/color&gt;，必须要有足够的治疗房舍来保住有生力量，还请大人&lt;color=#FFCC71&gt;升级一些治疗房舍&lt;/color&gt;。</v>
      </c>
      <c r="AU238" s="48" t="s">
        <v>974</v>
      </c>
      <c r="AV238" s="48">
        <f t="shared" si="15"/>
        <v>50701</v>
      </c>
      <c r="AW238" s="48" t="s">
        <v>975</v>
      </c>
      <c r="AX238" s="48" t="s">
        <v>976</v>
      </c>
    </row>
    <row r="239" spans="1:51" s="48" customFormat="1" ht="42">
      <c r="A239" s="48">
        <f t="shared" si="16"/>
        <v>50702</v>
      </c>
      <c r="B239" s="48" t="s">
        <v>970</v>
      </c>
      <c r="C239" s="48">
        <v>1</v>
      </c>
      <c r="D239" s="48" t="s">
        <v>977</v>
      </c>
      <c r="E239" s="48" t="s">
        <v>412</v>
      </c>
      <c r="F239" s="20" t="str">
        <f>VLOOKUP(G239,'#TID_base_up'!B:C,2,0)</f>
        <v>魏兰</v>
      </c>
      <c r="G239" s="48" t="s">
        <v>129</v>
      </c>
      <c r="H239" s="48" t="str">
        <f>VLOOKUP($F239,'#对话模型配置'!$A:$W,MATCH(对话配置表!H$2,'#对话模型配置'!$1:$1,0),FALSE)</f>
        <v>icon_guidechara.smash</v>
      </c>
      <c r="I239" s="48" t="str">
        <f>VLOOKUP($F239,'#对话模型配置'!$A:$W,MATCH(对话配置表!I$2,'#对话模型配置'!$1:$1,0),FALSE)</f>
        <v>frame_s_xsdh_002</v>
      </c>
      <c r="J239" s="48" t="s">
        <v>978</v>
      </c>
      <c r="K239" s="84" t="str">
        <f t="shared" si="14"/>
        <v>&lt;color=#FFCC71&gt;利用兵种克制&lt;/color&gt;攻打资源点，可以大幅&lt;color=#FFCC71&gt;减少我军损耗&lt;/color&gt;，知己知彼，百战百胜。</v>
      </c>
      <c r="T239" s="48">
        <v>1</v>
      </c>
      <c r="U239" s="48">
        <v>1</v>
      </c>
      <c r="V239" s="48">
        <v>0</v>
      </c>
      <c r="X239" s="48">
        <v>0</v>
      </c>
      <c r="Y239" s="48" t="b">
        <v>0</v>
      </c>
      <c r="Z239" s="48" t="s">
        <v>979</v>
      </c>
      <c r="AA239" s="48" t="b">
        <v>0</v>
      </c>
      <c r="AC239" s="48">
        <v>20001075</v>
      </c>
      <c r="AD239" s="48">
        <v>7.46433401107788</v>
      </c>
      <c r="AE239" s="48">
        <v>8.4600000000000009</v>
      </c>
      <c r="AH239" s="48">
        <v>0.1</v>
      </c>
      <c r="AL239" s="48">
        <v>10</v>
      </c>
      <c r="AM239" s="48">
        <f>VLOOKUP($F239,'#对话模型配置'!$A:$W,MATCH(对话配置表!AM$2,'#对话模型配置'!$1:$1,0),FALSE)</f>
        <v>20001005</v>
      </c>
      <c r="AN239" s="48" t="s">
        <v>643</v>
      </c>
      <c r="AT239" s="48" t="str">
        <f t="shared" si="13"/>
        <v>&lt;color=#FFCC71&gt;利用兵种克制&lt;/color&gt;攻打资源点，可以大幅&lt;color=#FFCC71&gt;减少我军损耗&lt;/color&gt;，知己知彼，百战百胜。</v>
      </c>
      <c r="AU239" s="48" t="s">
        <v>980</v>
      </c>
      <c r="AV239" s="48">
        <f t="shared" si="15"/>
        <v>50702</v>
      </c>
      <c r="AW239" s="48" t="s">
        <v>981</v>
      </c>
      <c r="AX239" s="48" t="s">
        <v>982</v>
      </c>
    </row>
    <row r="240" spans="1:51" s="48" customFormat="1" ht="42">
      <c r="A240" s="48">
        <f t="shared" si="16"/>
        <v>50703</v>
      </c>
      <c r="B240" s="48" t="s">
        <v>970</v>
      </c>
      <c r="C240" s="48">
        <v>1</v>
      </c>
      <c r="D240" s="48" t="s">
        <v>983</v>
      </c>
      <c r="E240" s="48" t="s">
        <v>412</v>
      </c>
      <c r="F240" s="20" t="str">
        <f>VLOOKUP(G240,'#TID_base_up'!B:C,2,0)</f>
        <v>魏兰</v>
      </c>
      <c r="G240" s="48" t="s">
        <v>129</v>
      </c>
      <c r="H240" s="48" t="str">
        <f>VLOOKUP($F240,'#对话模型配置'!$A:$W,MATCH(对话配置表!H$2,'#对话模型配置'!$1:$1,0),FALSE)</f>
        <v>icon_guidechara.smash</v>
      </c>
      <c r="I240" s="48" t="str">
        <f>VLOOKUP($F240,'#对话模型配置'!$A:$W,MATCH(对话配置表!I$2,'#对话模型配置'!$1:$1,0),FALSE)</f>
        <v>frame_s_xsdh_002</v>
      </c>
      <c r="J240" s="48" t="s">
        <v>984</v>
      </c>
      <c r="K240" s="84" t="str">
        <f t="shared" ref="K240:K261" si="17">AT240</f>
        <v>您可从邮件中的&lt;color=#FFCC71&gt;侦察报告&lt;/color&gt;获知敌军详情，使用相应兵种&lt;color=#FFCC71&gt;克制敌军&lt;/color&gt;，事半功倍。</v>
      </c>
      <c r="T240" s="48">
        <v>1</v>
      </c>
      <c r="U240" s="48">
        <v>1</v>
      </c>
      <c r="V240" s="48">
        <v>0</v>
      </c>
      <c r="X240" s="48">
        <v>0</v>
      </c>
      <c r="Y240" s="48" t="b">
        <v>0</v>
      </c>
      <c r="Z240" s="48" t="s">
        <v>985</v>
      </c>
      <c r="AA240" s="48" t="b">
        <v>0</v>
      </c>
      <c r="AC240" s="48">
        <v>20001076</v>
      </c>
      <c r="AD240" s="48">
        <v>7.4759998321533203</v>
      </c>
      <c r="AE240" s="48">
        <v>8.48</v>
      </c>
      <c r="AH240" s="48">
        <v>0.1</v>
      </c>
      <c r="AL240" s="48">
        <v>10</v>
      </c>
      <c r="AM240" s="48">
        <f>VLOOKUP($F240,'#对话模型配置'!$A:$W,MATCH(对话配置表!AM$2,'#对话模型配置'!$1:$1,0),FALSE)</f>
        <v>20001005</v>
      </c>
      <c r="AN240" s="48" t="s">
        <v>655</v>
      </c>
      <c r="AT240" s="48" t="str">
        <f t="shared" si="13"/>
        <v>您可从邮件中的&lt;color=#FFCC71&gt;侦察报告&lt;/color&gt;获知敌军详情，使用相应兵种&lt;color=#FFCC71&gt;克制敌军&lt;/color&gt;，事半功倍。</v>
      </c>
      <c r="AU240" s="48" t="s">
        <v>986</v>
      </c>
      <c r="AV240" s="48">
        <f t="shared" ref="AV240:AV261" si="18">A240</f>
        <v>50703</v>
      </c>
      <c r="AW240" s="48" t="s">
        <v>987</v>
      </c>
      <c r="AX240" s="48" t="s">
        <v>988</v>
      </c>
    </row>
    <row r="241" spans="1:51" s="48" customFormat="1" ht="28">
      <c r="A241" s="48">
        <f t="shared" ref="A241:A261" si="19">IF(B241=B240,IF(C241&gt;1,A240,A240+1),50000+SUBSTITUTE(SUBSTITUTE(B241,"第",""),"章","")*100+1)</f>
        <v>50801</v>
      </c>
      <c r="B241" s="48" t="s">
        <v>989</v>
      </c>
      <c r="C241" s="48">
        <v>1</v>
      </c>
      <c r="D241" s="48" t="s">
        <v>990</v>
      </c>
      <c r="E241" s="48" t="s">
        <v>412</v>
      </c>
      <c r="F241" s="20" t="str">
        <f>VLOOKUP(G241,'#TID_base_up'!B:C,2,0)</f>
        <v>安德莉娅</v>
      </c>
      <c r="G241" s="48" t="s">
        <v>467</v>
      </c>
      <c r="H241" s="48" t="str">
        <f>VLOOKUP($F241,'#对话模型配置'!$A:$W,MATCH(对话配置表!H$2,'#对话模型配置'!$1:$1,0),FALSE)</f>
        <v>icon_guidechara.smash</v>
      </c>
      <c r="I241" s="48" t="str">
        <f>VLOOKUP($F241,'#对话模型配置'!$A:$W,MATCH(对话配置表!I$2,'#对话模型配置'!$1:$1,0),FALSE)</f>
        <v>frame_s_xsdh_002</v>
      </c>
      <c r="J241" s="48" t="s">
        <v>991</v>
      </c>
      <c r="K241" s="84" t="str">
        <f t="shared" si="17"/>
        <v>中古时代的建设需要&lt;color=#FFCC71&gt;消耗大量石头&lt;/color&gt;，&lt;color=#FFCC71&gt;多造一些石矿场&lt;/color&gt;，准没错。</v>
      </c>
      <c r="T241" s="48">
        <v>1</v>
      </c>
      <c r="U241" s="48">
        <v>1</v>
      </c>
      <c r="V241" s="48">
        <v>0</v>
      </c>
      <c r="X241" s="48">
        <v>0</v>
      </c>
      <c r="Y241" s="48" t="b">
        <v>0</v>
      </c>
      <c r="Z241" s="48" t="s">
        <v>992</v>
      </c>
      <c r="AA241" s="48" t="b">
        <v>0</v>
      </c>
      <c r="AC241" s="48">
        <v>20001077</v>
      </c>
      <c r="AD241" s="48">
        <v>6.6079998016357404</v>
      </c>
      <c r="AE241" s="48">
        <v>7.61</v>
      </c>
      <c r="AH241" s="48">
        <v>0.1</v>
      </c>
      <c r="AL241" s="48">
        <v>10</v>
      </c>
      <c r="AM241" s="48">
        <f>VLOOKUP($F241,'#对话模型配置'!$A:$W,MATCH(对话配置表!AM$2,'#对话模型配置'!$1:$1,0),FALSE)</f>
        <v>30001001</v>
      </c>
      <c r="AN241" s="48" t="s">
        <v>700</v>
      </c>
      <c r="AT241" s="48" t="str">
        <f t="shared" si="13"/>
        <v>中古时代的建设需要&lt;color=#FFCC71&gt;消耗大量石头&lt;/color&gt;，&lt;color=#FFCC71&gt;多造一些石矿场&lt;/color&gt;，准没错。</v>
      </c>
      <c r="AU241" s="48" t="s">
        <v>993</v>
      </c>
      <c r="AV241" s="48">
        <f t="shared" si="18"/>
        <v>50801</v>
      </c>
      <c r="AW241" s="48" t="s">
        <v>994</v>
      </c>
      <c r="AX241" s="48" t="s">
        <v>995</v>
      </c>
    </row>
    <row r="242" spans="1:51" s="48" customFormat="1" ht="28">
      <c r="A242" s="48">
        <f t="shared" si="19"/>
        <v>50802</v>
      </c>
      <c r="B242" s="48" t="s">
        <v>989</v>
      </c>
      <c r="C242" s="48">
        <v>1</v>
      </c>
      <c r="D242" s="48" t="s">
        <v>996</v>
      </c>
      <c r="E242" s="48" t="s">
        <v>412</v>
      </c>
      <c r="F242" s="20" t="str">
        <f>VLOOKUP(G242,'#TID_base_up'!B:C,2,0)</f>
        <v>安德莉娅</v>
      </c>
      <c r="G242" s="48" t="s">
        <v>467</v>
      </c>
      <c r="H242" s="48" t="str">
        <f>VLOOKUP($F242,'#对话模型配置'!$A:$W,MATCH(对话配置表!H$2,'#对话模型配置'!$1:$1,0),FALSE)</f>
        <v>icon_guidechara.smash</v>
      </c>
      <c r="I242" s="48" t="str">
        <f>VLOOKUP($F242,'#对话模型配置'!$A:$W,MATCH(对话配置表!I$2,'#对话模型配置'!$1:$1,0),FALSE)</f>
        <v>frame_s_xsdh_002</v>
      </c>
      <c r="J242" s="48" t="s">
        <v>997</v>
      </c>
      <c r="K242" s="84" t="str">
        <f t="shared" si="17"/>
        <v>大人，请让我们的村民去&lt;color=#FFCC71&gt;采集一些木材&lt;/color&gt;吧，充当大自然的搬运工也是不错的选择。</v>
      </c>
      <c r="T242" s="48">
        <v>1</v>
      </c>
      <c r="U242" s="48">
        <v>1</v>
      </c>
      <c r="V242" s="48">
        <v>0</v>
      </c>
      <c r="X242" s="48">
        <v>0</v>
      </c>
      <c r="Y242" s="48" t="b">
        <v>0</v>
      </c>
      <c r="Z242" s="48" t="s">
        <v>998</v>
      </c>
      <c r="AA242" s="48" t="b">
        <v>0</v>
      </c>
      <c r="AC242" s="48">
        <v>20001078</v>
      </c>
      <c r="AD242" s="48">
        <v>8.0266666412353498</v>
      </c>
      <c r="AE242" s="48">
        <v>9.0299999999999994</v>
      </c>
      <c r="AH242" s="48">
        <v>0.1</v>
      </c>
      <c r="AL242" s="48">
        <v>10</v>
      </c>
      <c r="AM242" s="48">
        <f>VLOOKUP($F242,'#对话模型配置'!$A:$W,MATCH(对话配置表!AM$2,'#对话模型配置'!$1:$1,0),FALSE)</f>
        <v>30001001</v>
      </c>
      <c r="AN242" s="48" t="s">
        <v>687</v>
      </c>
      <c r="AT242" s="48" t="str">
        <f t="shared" si="13"/>
        <v>大人，请让我们的村民去&lt;color=#FFCC71&gt;采集一些木材&lt;/color&gt;吧，充当大自然的搬运工也是不错的选择。</v>
      </c>
      <c r="AU242" s="48" t="s">
        <v>999</v>
      </c>
      <c r="AV242" s="48">
        <f t="shared" si="18"/>
        <v>50802</v>
      </c>
      <c r="AW242" s="48" t="s">
        <v>1000</v>
      </c>
    </row>
    <row r="243" spans="1:51" s="48" customFormat="1" ht="42">
      <c r="A243" s="48">
        <f t="shared" si="19"/>
        <v>50803</v>
      </c>
      <c r="B243" s="48" t="s">
        <v>989</v>
      </c>
      <c r="C243" s="48">
        <v>1</v>
      </c>
      <c r="D243" s="48" t="s">
        <v>1001</v>
      </c>
      <c r="E243" s="48" t="s">
        <v>412</v>
      </c>
      <c r="F243" s="20" t="str">
        <f>VLOOKUP(G243,'#TID_base_up'!B:C,2,0)</f>
        <v>安德莉娅</v>
      </c>
      <c r="G243" s="48" t="s">
        <v>467</v>
      </c>
      <c r="H243" s="48" t="str">
        <f>VLOOKUP($F243,'#对话模型配置'!$A:$W,MATCH(对话配置表!H$2,'#对话模型配置'!$1:$1,0),FALSE)</f>
        <v>icon_guidechara.smash</v>
      </c>
      <c r="I243" s="48" t="str">
        <f>VLOOKUP($F243,'#对话模型配置'!$A:$W,MATCH(对话配置表!I$2,'#对话模型配置'!$1:$1,0),FALSE)</f>
        <v>frame_s_xsdh_002</v>
      </c>
      <c r="J243" s="48" t="s">
        <v>1002</v>
      </c>
      <c r="K243" s="84" t="str">
        <f t="shared" si="17"/>
        <v>帝国历史上有无数光辉灿烂的&lt;color=#FFCC71&gt;英雄传说&lt;/color&gt;，您可以通过&lt;color=#FFCC71&gt;【战役】&lt;/color&gt;来体验不同英雄的精彩人生。</v>
      </c>
      <c r="T243" s="48">
        <v>1</v>
      </c>
      <c r="U243" s="48">
        <v>1</v>
      </c>
      <c r="V243" s="48">
        <v>0</v>
      </c>
      <c r="X243" s="48">
        <v>0</v>
      </c>
      <c r="Y243" s="48" t="b">
        <v>0</v>
      </c>
      <c r="Z243" s="48" t="s">
        <v>1003</v>
      </c>
      <c r="AA243" s="48" t="b">
        <v>0</v>
      </c>
      <c r="AC243" s="48">
        <v>20001079</v>
      </c>
      <c r="AD243" s="48">
        <v>7.8493328094482404</v>
      </c>
      <c r="AE243" s="48">
        <v>8.85</v>
      </c>
      <c r="AH243" s="48">
        <v>0.1</v>
      </c>
      <c r="AL243" s="48">
        <v>10</v>
      </c>
      <c r="AM243" s="48">
        <f>VLOOKUP($F243,'#对话模型配置'!$A:$W,MATCH(对话配置表!AM$2,'#对话模型配置'!$1:$1,0),FALSE)</f>
        <v>30001001</v>
      </c>
      <c r="AN243" s="48" t="s">
        <v>922</v>
      </c>
      <c r="AT243" s="48" t="str">
        <f t="shared" si="13"/>
        <v>帝国历史上有无数光辉灿烂的&lt;color=#FFCC71&gt;英雄传说&lt;/color&gt;，您可以通过&lt;color=#FFCC71&gt;【战役】&lt;/color&gt;来体验不同英雄的精彩人生。</v>
      </c>
      <c r="AU243" s="48" t="s">
        <v>1004</v>
      </c>
      <c r="AV243" s="48">
        <f t="shared" si="18"/>
        <v>50803</v>
      </c>
      <c r="AW243" s="48" t="s">
        <v>1005</v>
      </c>
      <c r="AX243" s="48" t="s">
        <v>1006</v>
      </c>
    </row>
    <row r="244" spans="1:51" s="48" customFormat="1" ht="42">
      <c r="A244" s="48">
        <f t="shared" si="19"/>
        <v>50901</v>
      </c>
      <c r="B244" s="48" t="s">
        <v>1007</v>
      </c>
      <c r="C244" s="48">
        <v>1</v>
      </c>
      <c r="D244" s="48" t="s">
        <v>1008</v>
      </c>
      <c r="E244" s="48" t="s">
        <v>412</v>
      </c>
      <c r="F244" s="20" t="str">
        <f>VLOOKUP(G244,'#TID_base_up'!B:C,2,0)</f>
        <v>安德莉娅</v>
      </c>
      <c r="G244" s="48" t="s">
        <v>467</v>
      </c>
      <c r="H244" s="48" t="str">
        <f>VLOOKUP($F244,'#对话模型配置'!$A:$W,MATCH(对话配置表!H$2,'#对话模型配置'!$1:$1,0),FALSE)</f>
        <v>icon_guidechara.smash</v>
      </c>
      <c r="I244" s="48" t="str">
        <f>VLOOKUP($F244,'#对话模型配置'!$A:$W,MATCH(对话配置表!I$2,'#对话模型配置'!$1:$1,0),FALSE)</f>
        <v>frame_s_xsdh_002</v>
      </c>
      <c r="J244" s="48" t="s">
        <v>1009</v>
      </c>
      <c r="K244" s="84" t="str">
        <f t="shared" si="17"/>
        <v>拥有大使馆不仅可以让&lt;color=#FFCC71&gt;盟友帮忙加速建造&lt;/color&gt;，还能接受&lt;color=#FFCC71&gt;援军保护您的城市&lt;/color&gt;，大使馆等级越高，好处就越多。</v>
      </c>
      <c r="T244" s="48">
        <v>1</v>
      </c>
      <c r="U244" s="48">
        <v>1</v>
      </c>
      <c r="V244" s="48">
        <v>0</v>
      </c>
      <c r="X244" s="48">
        <v>0</v>
      </c>
      <c r="Y244" s="48" t="b">
        <v>0</v>
      </c>
      <c r="Z244" s="48" t="s">
        <v>1010</v>
      </c>
      <c r="AA244" s="48" t="b">
        <v>0</v>
      </c>
      <c r="AC244" s="48">
        <v>20001081</v>
      </c>
      <c r="AD244" s="48">
        <v>9.5760002136230504</v>
      </c>
      <c r="AE244" s="48">
        <v>10.58</v>
      </c>
      <c r="AH244" s="48">
        <v>0.1</v>
      </c>
      <c r="AL244" s="48">
        <v>10</v>
      </c>
      <c r="AM244" s="48">
        <f>VLOOKUP($F244,'#对话模型配置'!$A:$W,MATCH(对话配置表!AM$2,'#对话模型配置'!$1:$1,0),FALSE)</f>
        <v>30001001</v>
      </c>
      <c r="AN244" s="48" t="s">
        <v>625</v>
      </c>
      <c r="AT244" s="48" t="str">
        <f t="shared" si="13"/>
        <v>拥有大使馆不仅可以让&lt;color=#FFCC71&gt;盟友帮忙加速建造&lt;/color&gt;，还能接受&lt;color=#FFCC71&gt;援军保护您的城市&lt;/color&gt;，大使馆等级越高，好处就越多。</v>
      </c>
      <c r="AU244" s="48" t="s">
        <v>1011</v>
      </c>
      <c r="AV244" s="48">
        <f t="shared" si="18"/>
        <v>50901</v>
      </c>
      <c r="AW244" s="48" t="s">
        <v>1012</v>
      </c>
      <c r="AX244" s="48" t="s">
        <v>1013</v>
      </c>
    </row>
    <row r="245" spans="1:51" s="48" customFormat="1" ht="42">
      <c r="A245" s="48">
        <f t="shared" si="19"/>
        <v>50902</v>
      </c>
      <c r="B245" s="48" t="s">
        <v>1007</v>
      </c>
      <c r="C245" s="48">
        <v>1</v>
      </c>
      <c r="D245" s="48" t="s">
        <v>1014</v>
      </c>
      <c r="E245" s="48" t="s">
        <v>412</v>
      </c>
      <c r="F245" s="20" t="str">
        <f>VLOOKUP(G245,'#TID_base_up'!B:C,2,0)</f>
        <v>安德莉娅</v>
      </c>
      <c r="G245" s="48" t="s">
        <v>467</v>
      </c>
      <c r="H245" s="48" t="str">
        <f>VLOOKUP($F245,'#对话模型配置'!$A:$W,MATCH(对话配置表!H$2,'#对话模型配置'!$1:$1,0),FALSE)</f>
        <v>icon_guidechara.smash</v>
      </c>
      <c r="I245" s="48" t="str">
        <f>VLOOKUP($F245,'#对话模型配置'!$A:$W,MATCH(对话配置表!I$2,'#对话模型配置'!$1:$1,0),FALSE)</f>
        <v>frame_s_xsdh_002</v>
      </c>
      <c r="J245" s="48" t="s">
        <v>1015</v>
      </c>
      <c r="K245" s="84" t="str">
        <f t="shared" si="17"/>
        <v>帝国的&lt;color=#FFCC71&gt;捕鱼&lt;/color&gt;还有印象吗？快修建一个码头，把渔网撒出去，就能&lt;color=#FFCC71&gt;收获大量食物&lt;/color&gt;。</v>
      </c>
      <c r="T245" s="48">
        <v>1</v>
      </c>
      <c r="U245" s="48">
        <v>1</v>
      </c>
      <c r="V245" s="48">
        <v>0</v>
      </c>
      <c r="X245" s="48">
        <v>0</v>
      </c>
      <c r="Y245" s="48" t="b">
        <v>0</v>
      </c>
      <c r="Z245" s="48" t="s">
        <v>1016</v>
      </c>
      <c r="AA245" s="48" t="b">
        <v>0</v>
      </c>
      <c r="AC245" s="48">
        <v>20001082</v>
      </c>
      <c r="AD245" s="48">
        <v>7.6906671524047896</v>
      </c>
      <c r="AE245" s="48">
        <v>8.69</v>
      </c>
      <c r="AH245" s="48">
        <v>0.1</v>
      </c>
      <c r="AL245" s="48">
        <v>10</v>
      </c>
      <c r="AM245" s="48">
        <f>VLOOKUP($F245,'#对话模型配置'!$A:$W,MATCH(对话配置表!AM$2,'#对话模型配置'!$1:$1,0),FALSE)</f>
        <v>30001001</v>
      </c>
      <c r="AN245" s="48" t="s">
        <v>706</v>
      </c>
      <c r="AT245" s="48" t="str">
        <f t="shared" si="13"/>
        <v>帝国的&lt;color=#FFCC71&gt;捕鱼&lt;/color&gt;还有印象吗？快修建一个码头，把渔网撒出去，就能&lt;color=#FFCC71&gt;收获大量食物&lt;/color&gt;。</v>
      </c>
      <c r="AU245" s="48" t="s">
        <v>1017</v>
      </c>
      <c r="AV245" s="48">
        <f t="shared" si="18"/>
        <v>50902</v>
      </c>
      <c r="AW245" s="48" t="s">
        <v>1018</v>
      </c>
      <c r="AX245" s="48" t="s">
        <v>1019</v>
      </c>
    </row>
    <row r="246" spans="1:51" s="48" customFormat="1" ht="42">
      <c r="A246" s="48">
        <f t="shared" si="19"/>
        <v>50903</v>
      </c>
      <c r="B246" s="48" t="s">
        <v>1007</v>
      </c>
      <c r="C246" s="48">
        <v>1</v>
      </c>
      <c r="D246" s="48" t="s">
        <v>1020</v>
      </c>
      <c r="E246" s="48" t="s">
        <v>412</v>
      </c>
      <c r="F246" s="20" t="str">
        <f>VLOOKUP(G246,'#TID_base_up'!B:C,2,0)</f>
        <v>魏兰</v>
      </c>
      <c r="G246" s="48" t="s">
        <v>129</v>
      </c>
      <c r="H246" s="48" t="str">
        <f>VLOOKUP($F246,'#对话模型配置'!$A:$W,MATCH(对话配置表!H$2,'#对话模型配置'!$1:$1,0),FALSE)</f>
        <v>icon_guidechara.smash</v>
      </c>
      <c r="I246" s="48" t="str">
        <f>VLOOKUP($F246,'#对话模型配置'!$A:$W,MATCH(对话配置表!I$2,'#对话模型配置'!$1:$1,0),FALSE)</f>
        <v>frame_s_xsdh_002</v>
      </c>
      <c r="J246" s="48" t="s">
        <v>1021</v>
      </c>
      <c r="K246" s="84" t="str">
        <f t="shared" si="17"/>
        <v>当您所拥有的&lt;color=#FFCC71&gt;资源点数量接近上限时&lt;/color&gt;，可以战略性&lt;color=#FFCC71&gt;放弃一些低等级的资源点&lt;/color&gt;。</v>
      </c>
      <c r="T246" s="48">
        <v>1</v>
      </c>
      <c r="U246" s="48">
        <v>1</v>
      </c>
      <c r="V246" s="48">
        <v>0</v>
      </c>
      <c r="X246" s="48">
        <v>0</v>
      </c>
      <c r="Y246" s="48" t="b">
        <v>0</v>
      </c>
      <c r="Z246" s="48" t="s">
        <v>1022</v>
      </c>
      <c r="AA246" s="48" t="b">
        <v>0</v>
      </c>
      <c r="AC246" s="48">
        <v>20001083</v>
      </c>
      <c r="AD246" s="48">
        <v>7.7046670913696298</v>
      </c>
      <c r="AE246" s="48">
        <v>8.6999999999999993</v>
      </c>
      <c r="AH246" s="48">
        <v>0.1</v>
      </c>
      <c r="AL246" s="48">
        <v>10</v>
      </c>
      <c r="AM246" s="48">
        <f>VLOOKUP($F246,'#对话模型配置'!$A:$W,MATCH(对话配置表!AM$2,'#对话模型配置'!$1:$1,0),FALSE)</f>
        <v>20001005</v>
      </c>
      <c r="AN246" s="48" t="s">
        <v>643</v>
      </c>
      <c r="AT246" s="48" t="str">
        <f t="shared" si="13"/>
        <v>当您所拥有的&lt;color=#FFCC71&gt;资源点数量接近上限时&lt;/color&gt;，可以战略性&lt;color=#FFCC71&gt;放弃一些低等级的资源点&lt;/color&gt;。</v>
      </c>
      <c r="AU246" s="48" t="s">
        <v>1023</v>
      </c>
      <c r="AV246" s="48">
        <f t="shared" si="18"/>
        <v>50903</v>
      </c>
      <c r="AW246" s="48" t="s">
        <v>1024</v>
      </c>
      <c r="AX246" s="48" t="s">
        <v>1025</v>
      </c>
    </row>
    <row r="247" spans="1:51" s="48" customFormat="1" ht="42">
      <c r="A247" s="48">
        <f t="shared" si="19"/>
        <v>51001</v>
      </c>
      <c r="B247" s="48" t="s">
        <v>1026</v>
      </c>
      <c r="C247" s="48">
        <v>1</v>
      </c>
      <c r="D247" s="48" t="s">
        <v>1027</v>
      </c>
      <c r="E247" s="48" t="s">
        <v>412</v>
      </c>
      <c r="F247" s="20" t="str">
        <f>VLOOKUP(G247,'#TID_base_up'!B:C,2,0)</f>
        <v>安德莉娅</v>
      </c>
      <c r="G247" s="48" t="s">
        <v>467</v>
      </c>
      <c r="H247" s="48" t="str">
        <f>VLOOKUP($F247,'#对话模型配置'!$A:$W,MATCH(对话配置表!H$2,'#对话模型配置'!$1:$1,0),FALSE)</f>
        <v>icon_guidechara.smash</v>
      </c>
      <c r="I247" s="48" t="str">
        <f>VLOOKUP($F247,'#对话模型配置'!$A:$W,MATCH(对话配置表!I$2,'#对话模型配置'!$1:$1,0),FALSE)</f>
        <v>frame_s_xsdh_002</v>
      </c>
      <c r="J247" s="48" t="s">
        <v>1028</v>
      </c>
      <c r="K247" s="84" t="str">
        <f t="shared" si="17"/>
        <v>领主大人，学院中的&lt;color=#FFCC71&gt;各种科技&lt;/color&gt;可以让我们的&lt;color=#FFCC71&gt;实力更上一层楼&lt;/color&gt;，毕竟知识就是力量。</v>
      </c>
      <c r="T247" s="48">
        <v>1</v>
      </c>
      <c r="U247" s="48">
        <v>1</v>
      </c>
      <c r="V247" s="48">
        <v>0</v>
      </c>
      <c r="X247" s="48">
        <v>0</v>
      </c>
      <c r="Y247" s="48" t="b">
        <v>0</v>
      </c>
      <c r="Z247" s="48" t="s">
        <v>1029</v>
      </c>
      <c r="AA247" s="48" t="b">
        <v>0</v>
      </c>
      <c r="AC247" s="48">
        <v>20001084</v>
      </c>
      <c r="AD247" s="48">
        <v>8.1106662750244105</v>
      </c>
      <c r="AE247" s="48">
        <v>9.11</v>
      </c>
      <c r="AH247" s="48">
        <v>0.1</v>
      </c>
      <c r="AL247" s="48">
        <v>10</v>
      </c>
      <c r="AM247" s="48">
        <f>VLOOKUP($F247,'#对话模型配置'!$A:$W,MATCH(对话配置表!AM$2,'#对话模型配置'!$1:$1,0),FALSE)</f>
        <v>30001001</v>
      </c>
      <c r="AN247" s="48" t="s">
        <v>687</v>
      </c>
      <c r="AT247" s="48" t="str">
        <f t="shared" si="13"/>
        <v>领主大人，学院中的&lt;color=#FFCC71&gt;各种科技&lt;/color&gt;可以让我们的&lt;color=#FFCC71&gt;实力更上一层楼&lt;/color&gt;，毕竟知识就是力量。</v>
      </c>
      <c r="AU247" s="48" t="s">
        <v>1030</v>
      </c>
      <c r="AV247" s="48">
        <f t="shared" si="18"/>
        <v>51001</v>
      </c>
      <c r="AW247" s="48" t="s">
        <v>1031</v>
      </c>
      <c r="AX247" s="48" t="s">
        <v>1032</v>
      </c>
    </row>
    <row r="248" spans="1:51" s="48" customFormat="1" ht="42">
      <c r="A248" s="48">
        <f t="shared" si="19"/>
        <v>51002</v>
      </c>
      <c r="B248" s="48" t="s">
        <v>1026</v>
      </c>
      <c r="C248" s="48">
        <v>1</v>
      </c>
      <c r="D248" s="48" t="s">
        <v>1033</v>
      </c>
      <c r="E248" s="48" t="s">
        <v>412</v>
      </c>
      <c r="F248" s="20" t="str">
        <f>VLOOKUP(G248,'#TID_base_up'!B:C,2,0)</f>
        <v>魏兰</v>
      </c>
      <c r="G248" s="48" t="s">
        <v>129</v>
      </c>
      <c r="H248" s="48" t="str">
        <f>VLOOKUP($F248,'#对话模型配置'!$A:$W,MATCH(对话配置表!H$2,'#对话模型配置'!$1:$1,0),FALSE)</f>
        <v>icon_guidechara.smash</v>
      </c>
      <c r="I248" s="48" t="str">
        <f>VLOOKUP($F248,'#对话模型配置'!$A:$W,MATCH(对话配置表!I$2,'#对话模型配置'!$1:$1,0),FALSE)</f>
        <v>frame_s_xsdh_002</v>
      </c>
      <c r="J248" s="48" t="s">
        <v>1034</v>
      </c>
      <c r="K248" s="84" t="str">
        <f t="shared" si="17"/>
        <v>那些更强大的蛮族往往掠夺了帝国的知识，只要讨伐了他们便可以&lt;color=#FFCC71&gt;获得知识卷轴&lt;/color&gt;，从而&lt;color=#FFCC71&gt;研发更多科技&lt;/color&gt;。</v>
      </c>
      <c r="T248" s="48">
        <v>1</v>
      </c>
      <c r="U248" s="48">
        <v>1</v>
      </c>
      <c r="V248" s="48">
        <v>0</v>
      </c>
      <c r="X248" s="48">
        <v>0</v>
      </c>
      <c r="Y248" s="48" t="b">
        <v>0</v>
      </c>
      <c r="Z248" s="48" t="s">
        <v>1035</v>
      </c>
      <c r="AA248" s="48" t="b">
        <v>0</v>
      </c>
      <c r="AC248" s="48">
        <v>20001085</v>
      </c>
      <c r="AD248" s="48">
        <v>9.5363330841064506</v>
      </c>
      <c r="AE248" s="48">
        <v>10.54</v>
      </c>
      <c r="AH248" s="48">
        <v>0.1</v>
      </c>
      <c r="AL248" s="48">
        <v>10</v>
      </c>
      <c r="AM248" s="48">
        <f>VLOOKUP($F248,'#对话模型配置'!$A:$W,MATCH(对话配置表!AM$2,'#对话模型配置'!$1:$1,0),FALSE)</f>
        <v>20001005</v>
      </c>
      <c r="AN248" s="48" t="s">
        <v>811</v>
      </c>
      <c r="AT248" s="48" t="str">
        <f t="shared" si="13"/>
        <v>那些更强大的蛮族往往掠夺了帝国的知识，只要讨伐了他们便可以&lt;color=#FFCC71&gt;获得知识卷轴&lt;/color&gt;，从而&lt;color=#FFCC71&gt;研发更多科技&lt;/color&gt;。</v>
      </c>
      <c r="AU248" s="48" t="s">
        <v>1036</v>
      </c>
      <c r="AV248" s="48">
        <f t="shared" si="18"/>
        <v>51002</v>
      </c>
      <c r="AW248" s="48" t="s">
        <v>1037</v>
      </c>
      <c r="AX248" s="48" t="s">
        <v>1038</v>
      </c>
    </row>
    <row r="249" spans="1:51" s="48" customFormat="1" ht="56">
      <c r="A249" s="48">
        <f t="shared" si="19"/>
        <v>51101</v>
      </c>
      <c r="B249" s="48" t="s">
        <v>1039</v>
      </c>
      <c r="C249" s="48">
        <v>1</v>
      </c>
      <c r="D249" s="48" t="s">
        <v>1040</v>
      </c>
      <c r="E249" s="48" t="s">
        <v>412</v>
      </c>
      <c r="F249" s="20" t="str">
        <f>VLOOKUP(G249,'#TID_base_up'!B:C,2,0)</f>
        <v>安德莉娅</v>
      </c>
      <c r="G249" s="48" t="s">
        <v>467</v>
      </c>
      <c r="H249" s="48" t="str">
        <f>VLOOKUP($F249,'#对话模型配置'!$A:$W,MATCH(对话配置表!H$2,'#对话模型配置'!$1:$1,0),FALSE)</f>
        <v>icon_guidechara.smash</v>
      </c>
      <c r="I249" s="48" t="str">
        <f>VLOOKUP($F249,'#对话模型配置'!$A:$W,MATCH(对话配置表!I$2,'#对话模型配置'!$1:$1,0),FALSE)</f>
        <v>frame_s_xsdh_002</v>
      </c>
      <c r="J249" s="48" t="s">
        <v>1041</v>
      </c>
      <c r="K249" s="84" t="str">
        <f t="shared" si="17"/>
        <v>大人，听说了吗？全新&lt;color=#FFCC71&gt;内政官活动&lt;/color&gt;开启了，您可以&lt;color=#FFCC71&gt;建造酒馆&lt;/color&gt;，在酒馆中可以将合意的人才招募为内政官，还可以派遣内政官进行探险！活动限时开启，我们一起去看看吧！</v>
      </c>
      <c r="T249" s="48">
        <v>1</v>
      </c>
      <c r="U249" s="48">
        <v>1</v>
      </c>
      <c r="V249" s="48">
        <v>0</v>
      </c>
      <c r="X249" s="48">
        <v>0</v>
      </c>
      <c r="Y249" s="48" t="b">
        <v>0</v>
      </c>
      <c r="Z249" s="48" t="s">
        <v>1042</v>
      </c>
      <c r="AA249" s="48" t="b">
        <v>0</v>
      </c>
      <c r="AC249" s="48">
        <v>20001086</v>
      </c>
      <c r="AD249" s="48">
        <v>15.941333770751999</v>
      </c>
      <c r="AE249" s="48">
        <v>16.940000000000001</v>
      </c>
      <c r="AH249" s="48">
        <v>0.1</v>
      </c>
      <c r="AL249" s="48">
        <v>10</v>
      </c>
      <c r="AM249" s="48">
        <f>VLOOKUP($F249,'#对话模型配置'!$A:$W,MATCH(对话配置表!AM$2,'#对话模型配置'!$1:$1,0),FALSE)</f>
        <v>30001001</v>
      </c>
      <c r="AN249" s="48" t="s">
        <v>625</v>
      </c>
      <c r="AT249" s="48" t="str">
        <f t="shared" si="13"/>
        <v>大人，听说了吗？全新&lt;color=#FFCC71&gt;内政官活动&lt;/color&gt;开启了，您可以&lt;color=#FFCC71&gt;建造酒馆&lt;/color&gt;，在酒馆中可以将合意的人才招募为内政官，还可以派遣内政官进行探险！活动限时开启，我们一起去看看吧！</v>
      </c>
      <c r="AU249" s="48" t="s">
        <v>1043</v>
      </c>
      <c r="AV249" s="48">
        <f t="shared" si="18"/>
        <v>51101</v>
      </c>
      <c r="AW249" s="48" t="s">
        <v>1044</v>
      </c>
      <c r="AX249" s="48" t="s">
        <v>1045</v>
      </c>
    </row>
    <row r="250" spans="1:51" s="48" customFormat="1" ht="42">
      <c r="A250" s="48">
        <f t="shared" si="19"/>
        <v>51102</v>
      </c>
      <c r="B250" s="48" t="s">
        <v>1039</v>
      </c>
      <c r="C250" s="48">
        <v>1</v>
      </c>
      <c r="D250" s="48" t="s">
        <v>1046</v>
      </c>
      <c r="E250" s="48" t="s">
        <v>412</v>
      </c>
      <c r="F250" s="20" t="str">
        <f>VLOOKUP(G250,'#TID_base_up'!B:C,2,0)</f>
        <v>安德莉娅</v>
      </c>
      <c r="G250" s="48" t="s">
        <v>467</v>
      </c>
      <c r="H250" s="48" t="str">
        <f>VLOOKUP($F250,'#对话模型配置'!$A:$W,MATCH(对话配置表!H$2,'#对话模型配置'!$1:$1,0),FALSE)</f>
        <v>icon_guidechara.smash</v>
      </c>
      <c r="I250" s="48" t="str">
        <f>VLOOKUP($F250,'#对话模型配置'!$A:$W,MATCH(对话配置表!I$2,'#对话模型配置'!$1:$1,0),FALSE)</f>
        <v>frame_s_xsdh_002</v>
      </c>
      <c r="J250" s="48" t="s">
        <v>1047</v>
      </c>
      <c r="K250" s="84" t="str">
        <f t="shared" si="17"/>
        <v>&lt;color=#FFCC71&gt;内政官&lt;/color&gt;与英雄最大的区别在于：他们不能领兵打仗，但&lt;color=#FFCC71&gt;精于内政管理&lt;/color&gt;，请您务必善加利用。</v>
      </c>
      <c r="T250" s="48">
        <v>1</v>
      </c>
      <c r="U250" s="48">
        <v>1</v>
      </c>
      <c r="V250" s="48">
        <v>0</v>
      </c>
      <c r="X250" s="48">
        <v>0</v>
      </c>
      <c r="Y250" s="48" t="b">
        <v>0</v>
      </c>
      <c r="Z250" s="48" t="s">
        <v>1048</v>
      </c>
      <c r="AA250" s="48" t="b">
        <v>0</v>
      </c>
      <c r="AC250" s="48">
        <v>20001087</v>
      </c>
      <c r="AD250" s="48">
        <v>8.4186668395996094</v>
      </c>
      <c r="AE250" s="48">
        <v>9.42</v>
      </c>
      <c r="AH250" s="48">
        <v>0.1</v>
      </c>
      <c r="AL250" s="48">
        <v>10</v>
      </c>
      <c r="AM250" s="48">
        <f>VLOOKUP($F250,'#对话模型配置'!$A:$W,MATCH(对话配置表!AM$2,'#对话模型配置'!$1:$1,0),FALSE)</f>
        <v>30001001</v>
      </c>
      <c r="AN250" s="48" t="s">
        <v>922</v>
      </c>
      <c r="AT250" s="48" t="str">
        <f t="shared" si="13"/>
        <v>&lt;color=#FFCC71&gt;内政官&lt;/color&gt;与英雄最大的区别在于：他们不能领兵打仗，但&lt;color=#FFCC71&gt;精于内政管理&lt;/color&gt;，请您务必善加利用。</v>
      </c>
      <c r="AU250" s="48" t="s">
        <v>1049</v>
      </c>
      <c r="AV250" s="48">
        <f t="shared" si="18"/>
        <v>51102</v>
      </c>
      <c r="AW250" s="48" t="s">
        <v>1050</v>
      </c>
      <c r="AX250" s="48" t="s">
        <v>1051</v>
      </c>
    </row>
    <row r="251" spans="1:51" s="48" customFormat="1" ht="42">
      <c r="A251" s="48">
        <f t="shared" si="19"/>
        <v>51103</v>
      </c>
      <c r="B251" s="48" t="s">
        <v>1039</v>
      </c>
      <c r="C251" s="48">
        <v>1</v>
      </c>
      <c r="D251" s="48" t="s">
        <v>1052</v>
      </c>
      <c r="E251" s="48" t="s">
        <v>412</v>
      </c>
      <c r="F251" s="20" t="str">
        <f>VLOOKUP(G251,'#TID_base_up'!B:C,2,0)</f>
        <v>安德莉娅</v>
      </c>
      <c r="G251" s="48" t="s">
        <v>467</v>
      </c>
      <c r="H251" s="48" t="str">
        <f>VLOOKUP($F251,'#对话模型配置'!$A:$W,MATCH(对话配置表!H$2,'#对话模型配置'!$1:$1,0),FALSE)</f>
        <v>icon_guidechara.smash</v>
      </c>
      <c r="I251" s="48" t="str">
        <f>VLOOKUP($F251,'#对话模型配置'!$A:$W,MATCH(对话配置表!I$2,'#对话模型配置'!$1:$1,0),FALSE)</f>
        <v>frame_s_xsdh_002</v>
      </c>
      <c r="J251" s="48" t="s">
        <v>1053</v>
      </c>
      <c r="K251" s="84" t="str">
        <f t="shared" si="17"/>
        <v>除了内政管理外，&lt;color=#FFCC71&gt;内政官&lt;/color&gt;还可以&lt;color=#FFCC71&gt;外出探险&lt;/color&gt;，完成各种探险事件，获得&lt;color=#FFCC71&gt;内城发展所需的资源&lt;/color&gt;。</v>
      </c>
      <c r="T251" s="48">
        <v>1</v>
      </c>
      <c r="U251" s="48">
        <v>1</v>
      </c>
      <c r="V251" s="48">
        <v>0</v>
      </c>
      <c r="X251" s="48">
        <v>0</v>
      </c>
      <c r="Y251" s="48" t="b">
        <v>0</v>
      </c>
      <c r="Z251" s="48" t="s">
        <v>1054</v>
      </c>
      <c r="AA251" s="48" t="b">
        <v>0</v>
      </c>
      <c r="AC251" s="48">
        <v>20001088</v>
      </c>
      <c r="AD251" s="48">
        <v>8.2786655426025408</v>
      </c>
      <c r="AE251" s="48">
        <v>9.2799999999999994</v>
      </c>
      <c r="AH251" s="48">
        <v>0.1</v>
      </c>
      <c r="AL251" s="48">
        <v>10</v>
      </c>
      <c r="AM251" s="48">
        <f>VLOOKUP($F251,'#对话模型配置'!$A:$W,MATCH(对话配置表!AM$2,'#对话模型配置'!$1:$1,0),FALSE)</f>
        <v>30001001</v>
      </c>
      <c r="AN251" s="48" t="s">
        <v>625</v>
      </c>
      <c r="AT251" s="48" t="str">
        <f t="shared" si="13"/>
        <v>除了内政管理外，&lt;color=#FFCC71&gt;内政官&lt;/color&gt;还可以&lt;color=#FFCC71&gt;外出探险&lt;/color&gt;，完成各种探险事件，获得&lt;color=#FFCC71&gt;内城发展所需的资源&lt;/color&gt;。</v>
      </c>
      <c r="AU251" s="48" t="s">
        <v>1055</v>
      </c>
      <c r="AV251" s="48">
        <f t="shared" si="18"/>
        <v>51103</v>
      </c>
      <c r="AW251" s="48" t="s">
        <v>1050</v>
      </c>
      <c r="AX251" s="48" t="s">
        <v>1056</v>
      </c>
      <c r="AY251" s="48" t="s">
        <v>1057</v>
      </c>
    </row>
    <row r="252" spans="1:51" s="48" customFormat="1" ht="28">
      <c r="A252" s="48">
        <f t="shared" si="19"/>
        <v>51104</v>
      </c>
      <c r="B252" s="48" t="s">
        <v>1039</v>
      </c>
      <c r="C252" s="48">
        <v>1</v>
      </c>
      <c r="D252" s="48" t="s">
        <v>1058</v>
      </c>
      <c r="E252" s="48" t="s">
        <v>412</v>
      </c>
      <c r="F252" s="20" t="str">
        <f>VLOOKUP(G252,'#TID_base_up'!B:C,2,0)</f>
        <v>安德莉娅</v>
      </c>
      <c r="G252" s="48" t="s">
        <v>467</v>
      </c>
      <c r="H252" s="48" t="str">
        <f>VLOOKUP($F252,'#对话模型配置'!$A:$W,MATCH(对话配置表!H$2,'#对话模型配置'!$1:$1,0),FALSE)</f>
        <v>icon_guidechara.smash</v>
      </c>
      <c r="I252" s="48" t="str">
        <f>VLOOKUP($F252,'#对话模型配置'!$A:$W,MATCH(对话配置表!I$2,'#对话模型配置'!$1:$1,0),FALSE)</f>
        <v>frame_s_xsdh_002</v>
      </c>
      <c r="J252" s="48" t="s">
        <v>1059</v>
      </c>
      <c r="K252" s="84" t="str">
        <f t="shared" si="17"/>
        <v>如果您某种&lt;color=#FFCC71&gt;资源还有富余&lt;/color&gt;，可以考虑在&lt;color=#FFCC71&gt;市集兑换&lt;/color&gt;成其他类型的资源。</v>
      </c>
      <c r="T252" s="48">
        <v>1</v>
      </c>
      <c r="U252" s="48">
        <v>1</v>
      </c>
      <c r="V252" s="48">
        <v>0</v>
      </c>
      <c r="X252" s="48">
        <v>0</v>
      </c>
      <c r="Y252" s="48" t="b">
        <v>0</v>
      </c>
      <c r="Z252" s="48" t="s">
        <v>1060</v>
      </c>
      <c r="AA252" s="48" t="b">
        <v>0</v>
      </c>
      <c r="AC252" s="48">
        <v>20001089</v>
      </c>
      <c r="AD252" s="48">
        <v>6.09466600418091</v>
      </c>
      <c r="AE252" s="48">
        <v>7.09</v>
      </c>
      <c r="AH252" s="48">
        <v>0.1</v>
      </c>
      <c r="AL252" s="48">
        <v>10</v>
      </c>
      <c r="AM252" s="48">
        <f>VLOOKUP($F252,'#对话模型配置'!$A:$W,MATCH(对话配置表!AM$2,'#对话模型配置'!$1:$1,0),FALSE)</f>
        <v>30001001</v>
      </c>
      <c r="AN252" s="48" t="s">
        <v>724</v>
      </c>
      <c r="AT252" s="48" t="str">
        <f t="shared" si="13"/>
        <v>如果您某种&lt;color=#FFCC71&gt;资源还有富余&lt;/color&gt;，可以考虑在&lt;color=#FFCC71&gt;市集兑换&lt;/color&gt;成其他类型的资源。</v>
      </c>
      <c r="AU252" s="48" t="s">
        <v>1061</v>
      </c>
      <c r="AV252" s="48">
        <f t="shared" si="18"/>
        <v>51104</v>
      </c>
      <c r="AW252" s="48" t="s">
        <v>1062</v>
      </c>
      <c r="AX252" s="48" t="s">
        <v>1063</v>
      </c>
    </row>
    <row r="253" spans="1:51" s="48" customFormat="1" ht="28">
      <c r="A253" s="48">
        <f t="shared" si="19"/>
        <v>51201</v>
      </c>
      <c r="B253" s="48" t="s">
        <v>1064</v>
      </c>
      <c r="C253" s="48">
        <v>1</v>
      </c>
      <c r="D253" s="48" t="s">
        <v>1065</v>
      </c>
      <c r="E253" s="48" t="s">
        <v>412</v>
      </c>
      <c r="F253" s="20" t="str">
        <f>VLOOKUP(G253,'#TID_base_up'!B:C,2,0)</f>
        <v>安德莉娅</v>
      </c>
      <c r="G253" s="48" t="s">
        <v>467</v>
      </c>
      <c r="H253" s="48" t="str">
        <f>VLOOKUP($F253,'#对话模型配置'!$A:$W,MATCH(对话配置表!H$2,'#对话模型配置'!$1:$1,0),FALSE)</f>
        <v>icon_guidechara.smash</v>
      </c>
      <c r="I253" s="48" t="str">
        <f>VLOOKUP($F253,'#对话模型配置'!$A:$W,MATCH(对话配置表!I$2,'#对话模型配置'!$1:$1,0),FALSE)</f>
        <v>frame_s_xsdh_002</v>
      </c>
      <c r="J253" s="48" t="s">
        <v>1066</v>
      </c>
      <c r="K253" s="84" t="str">
        <f t="shared" si="17"/>
        <v>培养英雄技能需要大量&lt;color=#FFCC71&gt;铜钱&lt;/color&gt;，每天的&lt;color=#FFCC71&gt;征税&lt;/color&gt;，大人不要错过哦！</v>
      </c>
      <c r="T253" s="48">
        <v>1</v>
      </c>
      <c r="U253" s="48">
        <v>1</v>
      </c>
      <c r="V253" s="48">
        <v>0</v>
      </c>
      <c r="X253" s="48">
        <v>0</v>
      </c>
      <c r="Y253" s="48" t="b">
        <v>0</v>
      </c>
      <c r="Z253" s="48" t="s">
        <v>1067</v>
      </c>
      <c r="AA253" s="48" t="b">
        <v>0</v>
      </c>
      <c r="AC253" s="48">
        <v>20001090</v>
      </c>
      <c r="AD253" s="48">
        <v>5.5988340377807599</v>
      </c>
      <c r="AE253" s="48">
        <v>6.6</v>
      </c>
      <c r="AH253" s="48">
        <v>0.1</v>
      </c>
      <c r="AL253" s="48">
        <v>10</v>
      </c>
      <c r="AM253" s="48">
        <f>VLOOKUP($F253,'#对话模型配置'!$A:$W,MATCH(对话配置表!AM$2,'#对话模型配置'!$1:$1,0),FALSE)</f>
        <v>30001001</v>
      </c>
      <c r="AN253" s="48" t="s">
        <v>706</v>
      </c>
      <c r="AT253" s="48" t="str">
        <f t="shared" si="13"/>
        <v>培养英雄技能需要大量&lt;color=#FFCC71&gt;铜钱&lt;/color&gt;，每天的&lt;color=#FFCC71&gt;征税&lt;/color&gt;，大人不要错过哦！</v>
      </c>
      <c r="AU253" s="48" t="s">
        <v>1068</v>
      </c>
      <c r="AV253" s="48">
        <f t="shared" si="18"/>
        <v>51201</v>
      </c>
      <c r="AW253" s="48" t="s">
        <v>1069</v>
      </c>
      <c r="AX253" s="48" t="s">
        <v>1070</v>
      </c>
    </row>
    <row r="254" spans="1:51" s="48" customFormat="1" ht="28">
      <c r="A254" s="48">
        <f t="shared" si="19"/>
        <v>51202</v>
      </c>
      <c r="B254" s="48" t="s">
        <v>1064</v>
      </c>
      <c r="C254" s="48">
        <v>1</v>
      </c>
      <c r="D254" s="48" t="s">
        <v>1071</v>
      </c>
      <c r="E254" s="48" t="s">
        <v>412</v>
      </c>
      <c r="F254" s="20" t="str">
        <f>VLOOKUP(G254,'#TID_base_up'!B:C,2,0)</f>
        <v>魏兰</v>
      </c>
      <c r="G254" s="48" t="s">
        <v>129</v>
      </c>
      <c r="H254" s="48" t="str">
        <f>VLOOKUP($F254,'#对话模型配置'!$A:$W,MATCH(对话配置表!H$2,'#对话模型配置'!$1:$1,0),FALSE)</f>
        <v>icon_guidechara.smash</v>
      </c>
      <c r="I254" s="48" t="str">
        <f>VLOOKUP($F254,'#对话模型配置'!$A:$W,MATCH(对话配置表!I$2,'#对话模型配置'!$1:$1,0),FALSE)</f>
        <v>frame_s_xsdh_002</v>
      </c>
      <c r="J254" s="48" t="s">
        <v>1072</v>
      </c>
      <c r="K254" s="84" t="str">
        <f t="shared" si="17"/>
        <v>领主大人，&lt;color=#FFCC71&gt;派驻城墙的英雄&lt;/color&gt;若是最强战力，就算您不出兵都能威慑敌人。</v>
      </c>
      <c r="T254" s="48">
        <v>1</v>
      </c>
      <c r="U254" s="48">
        <v>1</v>
      </c>
      <c r="V254" s="48">
        <v>0</v>
      </c>
      <c r="X254" s="48">
        <v>0</v>
      </c>
      <c r="Y254" s="48" t="b">
        <v>0</v>
      </c>
      <c r="Z254" s="48" t="s">
        <v>1073</v>
      </c>
      <c r="AA254" s="48" t="b">
        <v>0</v>
      </c>
      <c r="AC254" s="48">
        <v>20001091</v>
      </c>
      <c r="AD254" s="48">
        <v>7.3581671714782697</v>
      </c>
      <c r="AE254" s="48">
        <v>8.36</v>
      </c>
      <c r="AH254" s="48">
        <v>0.1</v>
      </c>
      <c r="AL254" s="48">
        <v>10</v>
      </c>
      <c r="AM254" s="48">
        <f>VLOOKUP($F254,'#对话模型配置'!$A:$W,MATCH(对话配置表!AM$2,'#对话模型配置'!$1:$1,0),FALSE)</f>
        <v>20001005</v>
      </c>
      <c r="AN254" s="48" t="s">
        <v>1074</v>
      </c>
      <c r="AT254" s="48" t="str">
        <f t="shared" si="13"/>
        <v>领主大人，&lt;color=#FFCC71&gt;派驻城墙的英雄&lt;/color&gt;若是最强战力，就算您不出兵都能威慑敌人。</v>
      </c>
      <c r="AU254" s="48" t="s">
        <v>1075</v>
      </c>
      <c r="AV254" s="48">
        <f t="shared" si="18"/>
        <v>51202</v>
      </c>
      <c r="AW254" s="48" t="s">
        <v>1076</v>
      </c>
    </row>
    <row r="255" spans="1:51" s="48" customFormat="1" ht="42">
      <c r="A255" s="48">
        <f t="shared" si="19"/>
        <v>51301</v>
      </c>
      <c r="B255" s="48" t="s">
        <v>1077</v>
      </c>
      <c r="C255" s="48">
        <v>1</v>
      </c>
      <c r="D255" s="48" t="s">
        <v>1078</v>
      </c>
      <c r="E255" s="48" t="s">
        <v>412</v>
      </c>
      <c r="F255" s="20" t="str">
        <f>VLOOKUP(G255,'#TID_base_up'!B:C,2,0)</f>
        <v>魏兰</v>
      </c>
      <c r="G255" s="48" t="s">
        <v>129</v>
      </c>
      <c r="H255" s="48" t="str">
        <f>VLOOKUP($F255,'#对话模型配置'!$A:$W,MATCH(对话配置表!H$2,'#对话模型配置'!$1:$1,0),FALSE)</f>
        <v>icon_guidechara.smash</v>
      </c>
      <c r="I255" s="48" t="str">
        <f>VLOOKUP($F255,'#对话模型配置'!$A:$W,MATCH(对话配置表!I$2,'#对话模型配置'!$1:$1,0),FALSE)</f>
        <v>frame_s_xsdh_002</v>
      </c>
      <c r="J255" s="48" t="s">
        <v>1079</v>
      </c>
      <c r="K255" s="84" t="str">
        <f t="shared" si="17"/>
        <v>&lt;color=#FFCC71&gt;时代升级解锁&lt;/color&gt;了部队中&lt;color=#FFCC71&gt;第3个上阵英雄的位置&lt;/color&gt;，能征善战的英雄肯定是越多越好！</v>
      </c>
      <c r="T255" s="48">
        <v>1</v>
      </c>
      <c r="U255" s="48">
        <v>1</v>
      </c>
      <c r="V255" s="48">
        <v>0</v>
      </c>
      <c r="X255" s="48">
        <v>0</v>
      </c>
      <c r="Y255" s="48" t="b">
        <v>0</v>
      </c>
      <c r="Z255" s="48" t="s">
        <v>1080</v>
      </c>
      <c r="AA255" s="48" t="b">
        <v>0</v>
      </c>
      <c r="AC255" s="48">
        <v>20001092</v>
      </c>
      <c r="AD255" s="48">
        <v>7.4130001068115199</v>
      </c>
      <c r="AE255" s="48">
        <v>8.41</v>
      </c>
      <c r="AH255" s="48">
        <v>0.1</v>
      </c>
      <c r="AL255" s="48">
        <v>10</v>
      </c>
      <c r="AM255" s="48">
        <f>VLOOKUP($F255,'#对话模型配置'!$A:$W,MATCH(对话配置表!AM$2,'#对话模型配置'!$1:$1,0),FALSE)</f>
        <v>20001005</v>
      </c>
      <c r="AN255" s="48" t="s">
        <v>676</v>
      </c>
      <c r="AT255" s="48" t="str">
        <f t="shared" si="13"/>
        <v>&lt;color=#FFCC71&gt;时代升级解锁&lt;/color&gt;了部队中&lt;color=#FFCC71&gt;第3个上阵英雄的位置&lt;/color&gt;，能征善战的英雄肯定是越多越好！</v>
      </c>
      <c r="AU255" s="48" t="s">
        <v>1081</v>
      </c>
      <c r="AV255" s="48">
        <f t="shared" si="18"/>
        <v>51301</v>
      </c>
      <c r="AW255" s="48" t="s">
        <v>1082</v>
      </c>
      <c r="AX255" s="48" t="s">
        <v>1083</v>
      </c>
    </row>
    <row r="256" spans="1:51" s="48" customFormat="1" ht="42">
      <c r="A256" s="48">
        <f t="shared" si="19"/>
        <v>51302</v>
      </c>
      <c r="B256" s="48" t="s">
        <v>1077</v>
      </c>
      <c r="C256" s="48">
        <v>1</v>
      </c>
      <c r="D256" s="48" t="s">
        <v>1084</v>
      </c>
      <c r="E256" s="48" t="s">
        <v>412</v>
      </c>
      <c r="F256" s="20" t="str">
        <f>VLOOKUP(G256,'#TID_base_up'!B:C,2,0)</f>
        <v>魏兰</v>
      </c>
      <c r="G256" s="48" t="s">
        <v>129</v>
      </c>
      <c r="H256" s="48" t="str">
        <f>VLOOKUP($F256,'#对话模型配置'!$A:$W,MATCH(对话配置表!H$2,'#对话模型配置'!$1:$1,0),FALSE)</f>
        <v>icon_guidechara.smash</v>
      </c>
      <c r="I256" s="48" t="str">
        <f>VLOOKUP($F256,'#对话模型配置'!$A:$W,MATCH(对话配置表!I$2,'#对话模型配置'!$1:$1,0),FALSE)</f>
        <v>frame_s_xsdh_002</v>
      </c>
      <c r="J256" s="48" t="s">
        <v>1085</v>
      </c>
      <c r="K256" s="84" t="str">
        <f t="shared" si="17"/>
        <v>进入了&lt;color=#FFCC71&gt;启蒙时代&lt;/color&gt;，我们高等级的建筑升级需要&lt;color=#FFCC71&gt;消耗黄金&lt;/color&gt;，野外那些金矿也是我们必争之所。</v>
      </c>
      <c r="T256" s="48">
        <v>1</v>
      </c>
      <c r="U256" s="48">
        <v>1</v>
      </c>
      <c r="V256" s="48">
        <v>0</v>
      </c>
      <c r="X256" s="48">
        <v>0</v>
      </c>
      <c r="Y256" s="48" t="b">
        <v>0</v>
      </c>
      <c r="Z256" s="48" t="s">
        <v>1086</v>
      </c>
      <c r="AA256" s="48" t="b">
        <v>0</v>
      </c>
      <c r="AC256" s="48">
        <v>20001093</v>
      </c>
      <c r="AD256" s="48">
        <v>8.8783330917358398</v>
      </c>
      <c r="AE256" s="48">
        <v>9.8800000000000008</v>
      </c>
      <c r="AH256" s="48">
        <v>0.1</v>
      </c>
      <c r="AL256" s="48">
        <v>10</v>
      </c>
      <c r="AM256" s="48">
        <f>VLOOKUP($F256,'#对话模型配置'!$A:$W,MATCH(对话配置表!AM$2,'#对话模型配置'!$1:$1,0),FALSE)</f>
        <v>20001005</v>
      </c>
      <c r="AN256" s="48" t="s">
        <v>662</v>
      </c>
      <c r="AT256" s="48" t="str">
        <f t="shared" si="13"/>
        <v>进入了&lt;color=#FFCC71&gt;启蒙时代&lt;/color&gt;，我们高等级的建筑升级需要&lt;color=#FFCC71&gt;消耗黄金&lt;/color&gt;，野外那些金矿也是我们必争之所。</v>
      </c>
      <c r="AU256" s="48" t="s">
        <v>1087</v>
      </c>
      <c r="AV256" s="48">
        <f t="shared" si="18"/>
        <v>51302</v>
      </c>
      <c r="AW256" s="48" t="s">
        <v>1088</v>
      </c>
      <c r="AX256" s="48" t="s">
        <v>1089</v>
      </c>
    </row>
    <row r="257" spans="1:51" s="48" customFormat="1" ht="42">
      <c r="A257" s="48">
        <f t="shared" si="19"/>
        <v>51501</v>
      </c>
      <c r="B257" s="48" t="s">
        <v>1090</v>
      </c>
      <c r="C257" s="48">
        <v>1</v>
      </c>
      <c r="D257" s="48" t="s">
        <v>1091</v>
      </c>
      <c r="E257" s="48" t="s">
        <v>412</v>
      </c>
      <c r="F257" s="20" t="str">
        <f>VLOOKUP(G257,'#TID_base_up'!B:C,2,0)</f>
        <v>安德莉娅</v>
      </c>
      <c r="G257" s="48" t="s">
        <v>467</v>
      </c>
      <c r="H257" s="48" t="str">
        <f>VLOOKUP($F257,'#对话模型配置'!$A:$W,MATCH(对话配置表!H$2,'#对话模型配置'!$1:$1,0),FALSE)</f>
        <v>icon_guidechara.smash</v>
      </c>
      <c r="I257" s="48" t="str">
        <f>VLOOKUP($F257,'#对话模型配置'!$A:$W,MATCH(对话配置表!I$2,'#对话模型配置'!$1:$1,0),FALSE)</f>
        <v>frame_s_xsdh_002</v>
      </c>
      <c r="J257" s="48" t="s">
        <v>1092</v>
      </c>
      <c r="K257" s="84" t="str">
        <f t="shared" si="17"/>
        <v>&lt;color=#FFCC71&gt;黄金&lt;/color&gt;是非常宝贵的战略资源，&lt;color=#FFCC71&gt;快造些金矿场&lt;/color&gt;，领地的发展才能先人一步。</v>
      </c>
      <c r="T257" s="48">
        <v>1</v>
      </c>
      <c r="U257" s="48">
        <v>1</v>
      </c>
      <c r="V257" s="48">
        <v>0</v>
      </c>
      <c r="X257" s="48">
        <v>0</v>
      </c>
      <c r="Y257" s="48" t="b">
        <v>0</v>
      </c>
      <c r="Z257" s="48" t="s">
        <v>1093</v>
      </c>
      <c r="AA257" s="48" t="b">
        <v>0</v>
      </c>
      <c r="AC257" s="48">
        <v>20001094</v>
      </c>
      <c r="AD257" s="48">
        <v>6.9906668663024902</v>
      </c>
      <c r="AE257" s="48">
        <v>7.99</v>
      </c>
      <c r="AH257" s="48">
        <v>0.1</v>
      </c>
      <c r="AL257" s="48">
        <v>10</v>
      </c>
      <c r="AM257" s="48">
        <f>VLOOKUP($F257,'#对话模型配置'!$A:$W,MATCH(对话配置表!AM$2,'#对话模型配置'!$1:$1,0),FALSE)</f>
        <v>30001001</v>
      </c>
      <c r="AN257" s="48" t="s">
        <v>693</v>
      </c>
      <c r="AT257" s="48" t="str">
        <f t="shared" si="13"/>
        <v>&lt;color=#FFCC71&gt;黄金&lt;/color&gt;是非常宝贵的战略资源，&lt;color=#FFCC71&gt;快造些金矿场&lt;/color&gt;，领地的发展才能先人一步。</v>
      </c>
      <c r="AU257" s="48" t="s">
        <v>1094</v>
      </c>
      <c r="AV257" s="48">
        <f t="shared" si="18"/>
        <v>51501</v>
      </c>
      <c r="AW257" s="48" t="s">
        <v>1095</v>
      </c>
      <c r="AX257" s="48" t="s">
        <v>1096</v>
      </c>
    </row>
    <row r="258" spans="1:51" s="48" customFormat="1" ht="56">
      <c r="A258" s="48">
        <f t="shared" si="19"/>
        <v>51601</v>
      </c>
      <c r="B258" s="48" t="s">
        <v>1097</v>
      </c>
      <c r="C258" s="48">
        <v>1</v>
      </c>
      <c r="D258" s="48" t="s">
        <v>1098</v>
      </c>
      <c r="E258" s="48" t="s">
        <v>412</v>
      </c>
      <c r="F258" s="20" t="str">
        <f>VLOOKUP(G258,'#TID_base_up'!B:C,2,0)</f>
        <v>安德莉娅</v>
      </c>
      <c r="G258" s="48" t="s">
        <v>467</v>
      </c>
      <c r="H258" s="48" t="str">
        <f>VLOOKUP($F258,'#对话模型配置'!$A:$W,MATCH(对话配置表!H$2,'#对话模型配置'!$1:$1,0),FALSE)</f>
        <v>icon_guidechara.smash</v>
      </c>
      <c r="I258" s="48" t="str">
        <f>VLOOKUP($F258,'#对话模型配置'!$A:$W,MATCH(对话配置表!I$2,'#对话模型配置'!$1:$1,0),FALSE)</f>
        <v>frame_s_xsdh_002</v>
      </c>
      <c r="J258" s="48" t="s">
        <v>1099</v>
      </c>
      <c r="K258" s="84" t="str">
        <f t="shared" si="17"/>
        <v>还记得帝国的&lt;color=#FFCC71&gt;城堡&lt;/color&gt;吗，大人，在这里不仅可以&lt;color=#FFCC71&gt;训练特色兵种&lt;/color&gt;，还可以&lt;color=#FFCC71&gt;升级各种军事设施&lt;/color&gt;，提升部队战斗力！</v>
      </c>
      <c r="T258" s="48">
        <v>1</v>
      </c>
      <c r="U258" s="48">
        <v>1</v>
      </c>
      <c r="V258" s="48">
        <v>0</v>
      </c>
      <c r="X258" s="48">
        <v>0</v>
      </c>
      <c r="Y258" s="48" t="b">
        <v>0</v>
      </c>
      <c r="Z258" s="48" t="s">
        <v>1100</v>
      </c>
      <c r="AA258" s="48" t="b">
        <v>0</v>
      </c>
      <c r="AC258" s="48">
        <v>20001095</v>
      </c>
      <c r="AD258" s="48">
        <v>9.37066745758057</v>
      </c>
      <c r="AE258" s="48">
        <v>10.37</v>
      </c>
      <c r="AH258" s="48">
        <v>0.1</v>
      </c>
      <c r="AL258" s="48">
        <v>10</v>
      </c>
      <c r="AM258" s="48">
        <f>VLOOKUP($F258,'#对话模型配置'!$A:$W,MATCH(对话配置表!AM$2,'#对话模型配置'!$1:$1,0),FALSE)</f>
        <v>30001001</v>
      </c>
      <c r="AN258" s="48" t="s">
        <v>625</v>
      </c>
      <c r="AT258" s="48" t="str">
        <f t="shared" si="13"/>
        <v>还记得帝国的&lt;color=#FFCC71&gt;城堡&lt;/color&gt;吗，大人，在这里不仅可以&lt;color=#FFCC71&gt;训练特色兵种&lt;/color&gt;，还可以&lt;color=#FFCC71&gt;升级各种军事设施&lt;/color&gt;，提升部队战斗力！</v>
      </c>
      <c r="AU258" s="48" t="s">
        <v>1101</v>
      </c>
      <c r="AV258" s="48">
        <f t="shared" si="18"/>
        <v>51601</v>
      </c>
      <c r="AW258" s="48" t="s">
        <v>1102</v>
      </c>
      <c r="AX258" s="48" t="s">
        <v>1103</v>
      </c>
      <c r="AY258" s="48" t="s">
        <v>1104</v>
      </c>
    </row>
    <row r="259" spans="1:51" s="48" customFormat="1" ht="42">
      <c r="A259" s="48">
        <f t="shared" si="19"/>
        <v>51602</v>
      </c>
      <c r="B259" s="48" t="s">
        <v>1097</v>
      </c>
      <c r="C259" s="48">
        <v>1</v>
      </c>
      <c r="D259" s="48" t="s">
        <v>1105</v>
      </c>
      <c r="E259" s="48" t="s">
        <v>412</v>
      </c>
      <c r="F259" s="20" t="str">
        <f>VLOOKUP(G259,'#TID_base_up'!B:C,2,0)</f>
        <v>魏兰</v>
      </c>
      <c r="G259" s="48" t="s">
        <v>129</v>
      </c>
      <c r="H259" s="48" t="str">
        <f>VLOOKUP($F259,'#对话模型配置'!$A:$W,MATCH(对话配置表!H$2,'#对话模型配置'!$1:$1,0),FALSE)</f>
        <v>icon_guidechara.smash</v>
      </c>
      <c r="I259" s="48" t="str">
        <f>VLOOKUP($F259,'#对话模型配置'!$A:$W,MATCH(对话配置表!I$2,'#对话模型配置'!$1:$1,0),FALSE)</f>
        <v>frame_s_xsdh_002</v>
      </c>
      <c r="J259" s="48" t="s">
        <v>1106</v>
      </c>
      <c r="K259" s="84" t="str">
        <f t="shared" si="17"/>
        <v>&lt;color=#FFCC71&gt;城墙&lt;/color&gt;稳固，打仗不慌，大人，&lt;color=#FFCC71&gt;城墙&lt;/color&gt;需要尽快&lt;color=#FFCC71&gt;升级一下&lt;/color&gt;！</v>
      </c>
      <c r="T259" s="48">
        <v>1</v>
      </c>
      <c r="U259" s="48">
        <v>1</v>
      </c>
      <c r="V259" s="48">
        <v>0</v>
      </c>
      <c r="X259" s="48">
        <v>0</v>
      </c>
      <c r="Y259" s="48" t="b">
        <v>0</v>
      </c>
      <c r="Z259" s="48" t="s">
        <v>1107</v>
      </c>
      <c r="AA259" s="48" t="b">
        <v>0</v>
      </c>
      <c r="AC259" s="48">
        <v>20001096</v>
      </c>
      <c r="AD259" s="48">
        <v>5.3666667938232404</v>
      </c>
      <c r="AE259" s="48">
        <v>6.37</v>
      </c>
      <c r="AH259" s="48">
        <v>0.1</v>
      </c>
      <c r="AL259" s="48">
        <v>10</v>
      </c>
      <c r="AM259" s="48">
        <f>VLOOKUP($F259,'#对话模型配置'!$A:$W,MATCH(对话配置表!AM$2,'#对话模型配置'!$1:$1,0),FALSE)</f>
        <v>20001005</v>
      </c>
      <c r="AN259" s="48" t="s">
        <v>643</v>
      </c>
      <c r="AT259" s="48" t="str">
        <f t="shared" si="13"/>
        <v>&lt;color=#FFCC71&gt;城墙&lt;/color&gt;稳固，打仗不慌，大人，&lt;color=#FFCC71&gt;城墙&lt;/color&gt;需要尽快&lt;color=#FFCC71&gt;升级一下&lt;/color&gt;！</v>
      </c>
      <c r="AU259" s="48" t="s">
        <v>1108</v>
      </c>
      <c r="AV259" s="48">
        <f t="shared" si="18"/>
        <v>51602</v>
      </c>
      <c r="AW259" s="48" t="s">
        <v>1109</v>
      </c>
      <c r="AX259" s="48" t="s">
        <v>1110</v>
      </c>
    </row>
    <row r="260" spans="1:51" s="48" customFormat="1" ht="28">
      <c r="A260" s="48">
        <f t="shared" si="19"/>
        <v>51701</v>
      </c>
      <c r="B260" s="48" t="s">
        <v>1111</v>
      </c>
      <c r="C260" s="48">
        <v>1</v>
      </c>
      <c r="D260" s="48" t="s">
        <v>1112</v>
      </c>
      <c r="E260" s="48" t="s">
        <v>412</v>
      </c>
      <c r="F260" s="20" t="str">
        <f>VLOOKUP(G260,'#TID_base_up'!B:C,2,0)</f>
        <v>魏兰</v>
      </c>
      <c r="G260" s="48" t="s">
        <v>129</v>
      </c>
      <c r="H260" s="48" t="str">
        <f>VLOOKUP($F260,'#对话模型配置'!$A:$W,MATCH(对话配置表!H$2,'#对话模型配置'!$1:$1,0),FALSE)</f>
        <v>icon_guidechara.smash</v>
      </c>
      <c r="I260" s="48" t="str">
        <f>VLOOKUP($F260,'#对话模型配置'!$A:$W,MATCH(对话配置表!I$2,'#对话模型配置'!$1:$1,0),FALSE)</f>
        <v>frame_s_xsdh_002</v>
      </c>
      <c r="J260" s="48" t="s">
        <v>1113</v>
      </c>
      <c r="K260" s="84" t="str">
        <f t="shared" si="17"/>
        <v>有了&lt;color=#FFCC71&gt;战争大厅&lt;/color&gt;，就能和盟友们一起&lt;color=#FFCC71&gt;组队攻城略地&lt;/color&gt;了，想想就很带感！</v>
      </c>
      <c r="T260" s="48">
        <v>1</v>
      </c>
      <c r="U260" s="48">
        <v>1</v>
      </c>
      <c r="V260" s="48">
        <v>0</v>
      </c>
      <c r="X260" s="48">
        <v>0</v>
      </c>
      <c r="Y260" s="48" t="b">
        <v>0</v>
      </c>
      <c r="Z260" s="48" t="s">
        <v>1114</v>
      </c>
      <c r="AA260" s="48" t="b">
        <v>0</v>
      </c>
      <c r="AC260" s="48">
        <v>20001097</v>
      </c>
      <c r="AD260" s="48">
        <v>6.8716659545898402</v>
      </c>
      <c r="AE260" s="48">
        <v>7.87</v>
      </c>
      <c r="AH260" s="48">
        <v>0.1</v>
      </c>
      <c r="AL260" s="48">
        <v>10</v>
      </c>
      <c r="AM260" s="48">
        <f>VLOOKUP($F260,'#对话模型配置'!$A:$W,MATCH(对话配置表!AM$2,'#对话模型配置'!$1:$1,0),FALSE)</f>
        <v>20001005</v>
      </c>
      <c r="AN260" s="48" t="s">
        <v>676</v>
      </c>
      <c r="AT260" s="48" t="str">
        <f t="shared" ref="AT260:AT323" si="20">IF($AU260="","",SUBSTITUTE(SUBSTITUTE(SUBSTITUTE(SUBSTITUTE($AU260,IF($AW260="","",$AW260),IF($AW260="","",CONCATENATE("&lt;color=#FFCC71&gt;",$AW260,"&lt;/color&gt;"))),IF($AX260="","",$AX260),IF($AX260="","",CONCATENATE("&lt;color=#FFCC71&gt;",$AX260,"&lt;/color&gt;"))),IF($AY260="","",$AY260),IF($AY260="","",CONCATENATE("&lt;color=#FFCC71&gt;",$AY260,"&lt;/color&gt;"))),IF($AZ260="","",$AZ260),IF($AZ260="","",CONCATENATE("&lt;color=#FFCC71&gt;",$AZ260,"&lt;/color&gt;"))))</f>
        <v>有了&lt;color=#FFCC71&gt;战争大厅&lt;/color&gt;，就能和盟友们一起&lt;color=#FFCC71&gt;组队攻城略地&lt;/color&gt;了，想想就很带感！</v>
      </c>
      <c r="AU260" s="48" t="s">
        <v>1115</v>
      </c>
      <c r="AV260" s="48">
        <f t="shared" si="18"/>
        <v>51701</v>
      </c>
      <c r="AW260" s="48" t="s">
        <v>1116</v>
      </c>
      <c r="AX260" s="48" t="s">
        <v>1117</v>
      </c>
    </row>
    <row r="261" spans="1:51" s="48" customFormat="1" ht="28">
      <c r="A261" s="48">
        <f t="shared" si="19"/>
        <v>52401</v>
      </c>
      <c r="B261" s="48" t="s">
        <v>1118</v>
      </c>
      <c r="C261" s="48">
        <v>1</v>
      </c>
      <c r="D261" s="48" t="s">
        <v>1119</v>
      </c>
      <c r="E261" s="48" t="s">
        <v>412</v>
      </c>
      <c r="F261" s="20" t="str">
        <f>VLOOKUP(G261,'#TID_base_up'!B:C,2,0)</f>
        <v>安德莉娅</v>
      </c>
      <c r="G261" s="48" t="s">
        <v>467</v>
      </c>
      <c r="H261" s="48" t="str">
        <f>VLOOKUP($F261,'#对话模型配置'!$A:$W,MATCH(对话配置表!H$2,'#对话模型配置'!$1:$1,0),FALSE)</f>
        <v>icon_guidechara.smash</v>
      </c>
      <c r="I261" s="48" t="str">
        <f>VLOOKUP($F261,'#对话模型配置'!$A:$W,MATCH(对话配置表!I$2,'#对话模型配置'!$1:$1,0),FALSE)</f>
        <v>frame_s_xsdh_002</v>
      </c>
      <c r="J261" s="48" t="s">
        <v>1120</v>
      </c>
      <c r="K261" s="84" t="str">
        <f t="shared" si="17"/>
        <v>&lt;color=#FFCC71&gt;坐骑挂饰打造&lt;/color&gt;功能已开启，请领主前往查看。</v>
      </c>
      <c r="T261" s="48">
        <v>1</v>
      </c>
      <c r="U261" s="48">
        <v>1</v>
      </c>
      <c r="V261" s="48">
        <v>0</v>
      </c>
      <c r="X261" s="48">
        <v>0</v>
      </c>
      <c r="Y261" s="48" t="b">
        <v>0</v>
      </c>
      <c r="AA261" s="48" t="b">
        <v>0</v>
      </c>
      <c r="AE261" s="48">
        <v>7.87</v>
      </c>
      <c r="AH261" s="48">
        <v>0.1</v>
      </c>
      <c r="AL261" s="48">
        <v>10</v>
      </c>
      <c r="AM261" s="48">
        <f>VLOOKUP($F261,'#对话模型配置'!$A:$W,MATCH(对话配置表!AM$2,'#对话模型配置'!$1:$1,0),FALSE)</f>
        <v>30001001</v>
      </c>
      <c r="AN261" s="48" t="s">
        <v>676</v>
      </c>
      <c r="AT261" s="48" t="str">
        <f t="shared" si="20"/>
        <v>&lt;color=#FFCC71&gt;坐骑挂饰打造&lt;/color&gt;功能已开启，请领主前往查看。</v>
      </c>
      <c r="AU261" s="48" t="s">
        <v>1121</v>
      </c>
      <c r="AV261" s="48">
        <f t="shared" si="18"/>
        <v>52401</v>
      </c>
      <c r="AW261" s="48" t="s">
        <v>1122</v>
      </c>
    </row>
    <row r="262" spans="1:51" s="48" customFormat="1">
      <c r="F262" s="20" t="e">
        <f>VLOOKUP(G262,'#TID_base_up'!B:C,2,0)</f>
        <v>#N/A</v>
      </c>
      <c r="K262" s="99"/>
      <c r="AA262" s="48" t="b">
        <v>0</v>
      </c>
      <c r="AT262" s="48" t="str">
        <f t="shared" si="20"/>
        <v/>
      </c>
    </row>
    <row r="263" spans="1:51" s="56" customFormat="1" ht="28">
      <c r="A263" s="56">
        <f t="shared" ref="A263:A294" si="21">IF(B263=B262,IF(C263&gt;1,A262,A262+1),55000+SUBSTITUTE(SUBSTITUTE(B263,"第",""),"章","")*100+1)</f>
        <v>55001</v>
      </c>
      <c r="B263" s="56" t="s">
        <v>606</v>
      </c>
      <c r="C263" s="56">
        <v>1</v>
      </c>
      <c r="D263" s="56" t="s">
        <v>607</v>
      </c>
      <c r="E263" s="56" t="s">
        <v>559</v>
      </c>
      <c r="F263" s="20" t="str">
        <f>VLOOKUP(G263,'#TID_base_up'!B:C,2,0)</f>
        <v>皇帝</v>
      </c>
      <c r="G263" s="56" t="s">
        <v>488</v>
      </c>
      <c r="H263" s="48" t="str">
        <f>VLOOKUP($F263,'#对话模型配置'!$A:$W,MATCH(对话配置表!H$2,'#对话模型配置'!$1:$1,0),FALSE)</f>
        <v>icon_guidechara.smash</v>
      </c>
      <c r="I263" s="48" t="str">
        <f>VLOOKUP($F263,'#对话模型配置'!$A:$W,MATCH(对话配置表!I$2,'#对话模型配置'!$1:$1,0),FALSE)</f>
        <v>frame_s_xsdh_002</v>
      </c>
      <c r="J263" s="56" t="s">
        <v>1123</v>
      </c>
      <c r="K263" s="84" t="str">
        <f t="shared" ref="K263:K294" si="22">AT263</f>
        <v>这次危机，你是&lt;color=#FFCC71&gt;第一功臣&lt;/color&gt;，帝国的未来就交给你了！</v>
      </c>
      <c r="U263" s="56">
        <v>1</v>
      </c>
      <c r="V263" s="56">
        <v>0</v>
      </c>
      <c r="X263" s="56">
        <v>0</v>
      </c>
      <c r="Y263" s="56" t="b">
        <v>0</v>
      </c>
      <c r="Z263" s="56" t="s">
        <v>1124</v>
      </c>
      <c r="AA263" s="56" t="b">
        <v>0</v>
      </c>
      <c r="AC263" s="56">
        <v>20001009</v>
      </c>
      <c r="AD263" s="56">
        <v>4.6960000991821298</v>
      </c>
      <c r="AE263" s="48">
        <f t="shared" ref="AE263:AE294" si="23">AD263+1</f>
        <v>5.6960000991821298</v>
      </c>
      <c r="AF263" s="48"/>
      <c r="AG263" s="48"/>
      <c r="AH263" s="56">
        <v>0.1</v>
      </c>
      <c r="AL263" s="56">
        <v>25</v>
      </c>
      <c r="AM263" s="48">
        <f>VLOOKUP($F263,'#对话模型配置'!$A:$W,MATCH(对话配置表!AM$2,'#对话模型配置'!$1:$1,0),FALSE)</f>
        <v>20001006</v>
      </c>
      <c r="AN263" s="56" t="s">
        <v>610</v>
      </c>
      <c r="AT263" s="56" t="str">
        <f t="shared" si="20"/>
        <v>这次危机，你是&lt;color=#FFCC71&gt;第一功臣&lt;/color&gt;，帝国的未来就交给你了！</v>
      </c>
      <c r="AU263" s="56" t="s">
        <v>1125</v>
      </c>
      <c r="AV263" s="56">
        <f t="shared" ref="AV263:AV294" si="24">A263</f>
        <v>55001</v>
      </c>
      <c r="AW263" s="56" t="s">
        <v>1126</v>
      </c>
    </row>
    <row r="264" spans="1:51" s="56" customFormat="1" ht="28">
      <c r="A264" s="56">
        <f t="shared" si="21"/>
        <v>55001</v>
      </c>
      <c r="B264" s="56" t="s">
        <v>606</v>
      </c>
      <c r="C264" s="56">
        <v>2</v>
      </c>
      <c r="D264" s="56" t="s">
        <v>607</v>
      </c>
      <c r="E264" s="56" t="s">
        <v>559</v>
      </c>
      <c r="F264" s="20" t="str">
        <f>VLOOKUP(G264,'#TID_base_up'!B:C,2,0)</f>
        <v>皇帝</v>
      </c>
      <c r="G264" s="56" t="s">
        <v>488</v>
      </c>
      <c r="H264" s="48" t="str">
        <f>VLOOKUP($F264,'#对话模型配置'!$A:$W,MATCH(对话配置表!H$2,'#对话模型配置'!$1:$1,0),FALSE)</f>
        <v>icon_guidechara.smash</v>
      </c>
      <c r="I264" s="48" t="str">
        <f>VLOOKUP($F264,'#对话模型配置'!$A:$W,MATCH(对话配置表!I$2,'#对话模型配置'!$1:$1,0),FALSE)</f>
        <v>frame_s_xsdh_002</v>
      </c>
      <c r="J264" s="56" t="s">
        <v>1127</v>
      </c>
      <c r="K264" s="84" t="str">
        <f t="shared" si="22"/>
        <v>这将是我给你的最后封赏，希望你能&lt;color=#FFCC71&gt;让帝国重现辉煌&lt;/color&gt;。</v>
      </c>
      <c r="U264" s="56">
        <v>1</v>
      </c>
      <c r="V264" s="56">
        <v>0</v>
      </c>
      <c r="X264" s="56">
        <v>0</v>
      </c>
      <c r="Y264" s="56" t="b">
        <v>0</v>
      </c>
      <c r="Z264" s="56" t="s">
        <v>1128</v>
      </c>
      <c r="AA264" s="56" t="b">
        <v>0</v>
      </c>
      <c r="AC264" s="56">
        <v>20001010</v>
      </c>
      <c r="AD264" s="56">
        <v>5.3946671485900897</v>
      </c>
      <c r="AE264" s="48">
        <f t="shared" si="23"/>
        <v>6.3946671485900897</v>
      </c>
      <c r="AF264" s="48"/>
      <c r="AG264" s="48"/>
      <c r="AH264" s="56">
        <v>0.1</v>
      </c>
      <c r="AL264" s="56">
        <v>25</v>
      </c>
      <c r="AM264" s="48">
        <f>VLOOKUP($F264,'#对话模型配置'!$A:$W,MATCH(对话配置表!AM$2,'#对话模型配置'!$1:$1,0),FALSE)</f>
        <v>20001006</v>
      </c>
      <c r="AN264" s="56" t="s">
        <v>616</v>
      </c>
      <c r="AT264" s="56" t="str">
        <f t="shared" si="20"/>
        <v>这将是我给你的最后封赏，希望你能&lt;color=#FFCC71&gt;让帝国重现辉煌&lt;/color&gt;。</v>
      </c>
      <c r="AU264" s="56" t="s">
        <v>1129</v>
      </c>
      <c r="AV264" s="56">
        <f t="shared" si="24"/>
        <v>55001</v>
      </c>
      <c r="AW264" s="56" t="s">
        <v>1130</v>
      </c>
    </row>
    <row r="265" spans="1:51" s="56" customFormat="1" ht="42">
      <c r="A265" s="56">
        <f t="shared" si="21"/>
        <v>55001</v>
      </c>
      <c r="B265" s="56" t="s">
        <v>606</v>
      </c>
      <c r="C265" s="56">
        <v>3</v>
      </c>
      <c r="D265" s="56" t="s">
        <v>607</v>
      </c>
      <c r="E265" s="56" t="s">
        <v>559</v>
      </c>
      <c r="F265" s="20" t="str">
        <f>VLOOKUP(G265,'#TID_base_up'!B:C,2,0)</f>
        <v>皇帝</v>
      </c>
      <c r="G265" s="56" t="s">
        <v>488</v>
      </c>
      <c r="H265" s="48" t="str">
        <f>VLOOKUP($F265,'#对话模型配置'!$A:$W,MATCH(对话配置表!H$2,'#对话模型配置'!$1:$1,0),FALSE)</f>
        <v>icon_guidechara.smash</v>
      </c>
      <c r="I265" s="48" t="str">
        <f>VLOOKUP($F265,'#对话模型配置'!$A:$W,MATCH(对话配置表!I$2,'#对话模型配置'!$1:$1,0),FALSE)</f>
        <v>frame_s_xsdh_002</v>
      </c>
      <c r="J265" s="56" t="s">
        <v>1131</v>
      </c>
      <c r="K265" s="84" t="str">
        <f t="shared" si="22"/>
        <v>你可以&lt;color=#FFCC71&gt;选择一个洲&lt;/color&gt;，在那里我会给你准备一座城池，让你可以&lt;color=#FFCC71&gt;重整军队&lt;/color&gt;，从外向内&lt;color=#FFCC71&gt;夺回各个城市&lt;/color&gt;，消灭蛮族。</v>
      </c>
      <c r="U265" s="56">
        <v>1</v>
      </c>
      <c r="V265" s="56">
        <v>0</v>
      </c>
      <c r="X265" s="56">
        <v>0</v>
      </c>
      <c r="Y265" s="56" t="b">
        <v>0</v>
      </c>
      <c r="Z265" s="56" t="s">
        <v>1132</v>
      </c>
      <c r="AA265" s="56" t="b">
        <v>1</v>
      </c>
      <c r="AC265" s="56">
        <v>20001011</v>
      </c>
      <c r="AD265" s="56">
        <v>11.095999717712401</v>
      </c>
      <c r="AE265" s="48">
        <f t="shared" si="23"/>
        <v>12.095999717712401</v>
      </c>
      <c r="AF265" s="48"/>
      <c r="AG265" s="48"/>
      <c r="AH265" s="56">
        <v>0.1</v>
      </c>
      <c r="AL265" s="56">
        <v>25</v>
      </c>
      <c r="AM265" s="48">
        <f>VLOOKUP($F265,'#对话模型配置'!$A:$W,MATCH(对话配置表!AM$2,'#对话模型配置'!$1:$1,0),FALSE)</f>
        <v>20001006</v>
      </c>
      <c r="AN265" s="56" t="s">
        <v>616</v>
      </c>
      <c r="AT265" s="56" t="str">
        <f t="shared" si="20"/>
        <v>你可以&lt;color=#FFCC71&gt;选择一个洲&lt;/color&gt;，在那里我会给你准备一座城池，让你可以&lt;color=#FFCC71&gt;重整军队&lt;/color&gt;，从外向内&lt;color=#FFCC71&gt;夺回各个城市&lt;/color&gt;，消灭蛮族。</v>
      </c>
      <c r="AU265" s="56" t="s">
        <v>1133</v>
      </c>
      <c r="AV265" s="56">
        <f t="shared" si="24"/>
        <v>55001</v>
      </c>
      <c r="AW265" s="56" t="s">
        <v>618</v>
      </c>
      <c r="AX265" s="56" t="s">
        <v>1134</v>
      </c>
      <c r="AY265" s="56" t="s">
        <v>1135</v>
      </c>
    </row>
    <row r="266" spans="1:51" s="56" customFormat="1" ht="28">
      <c r="A266" s="56">
        <f t="shared" si="21"/>
        <v>55101</v>
      </c>
      <c r="B266" s="56" t="s">
        <v>621</v>
      </c>
      <c r="C266" s="56">
        <v>1</v>
      </c>
      <c r="D266" s="56" t="s">
        <v>622</v>
      </c>
      <c r="E266" s="56" t="s">
        <v>559</v>
      </c>
      <c r="F266" s="20" t="str">
        <f>VLOOKUP(G266,'#TID_base_up'!B:C,2,0)</f>
        <v>安德莉娅</v>
      </c>
      <c r="G266" s="56" t="s">
        <v>467</v>
      </c>
      <c r="H266" s="48" t="str">
        <f>VLOOKUP($F266,'#对话模型配置'!$A:$W,MATCH(对话配置表!H$2,'#对话模型配置'!$1:$1,0),FALSE)</f>
        <v>icon_guidechara.smash</v>
      </c>
      <c r="I266" s="48" t="str">
        <f>VLOOKUP($F266,'#对话模型配置'!$A:$W,MATCH(对话配置表!I$2,'#对话模型配置'!$1:$1,0),FALSE)</f>
        <v>frame_s_xsdh_002</v>
      </c>
      <c r="J266" s="56" t="s">
        <v>1136</v>
      </c>
      <c r="K266" s="84" t="str">
        <f t="shared" si="22"/>
        <v>这就是陛下封赏的城池？小了点，但大人一定能让它&lt;color=#FFCC71&gt;发展壮大&lt;/color&gt;的。</v>
      </c>
      <c r="U266" s="56">
        <v>1</v>
      </c>
      <c r="V266" s="56">
        <v>0</v>
      </c>
      <c r="X266" s="56">
        <v>0</v>
      </c>
      <c r="Y266" s="56" t="b">
        <v>0</v>
      </c>
      <c r="Z266" s="56" t="s">
        <v>1137</v>
      </c>
      <c r="AA266" s="56" t="b">
        <v>0</v>
      </c>
      <c r="AC266" s="56">
        <v>20001012</v>
      </c>
      <c r="AD266" s="56">
        <v>5.7466659545898402</v>
      </c>
      <c r="AE266" s="48">
        <f t="shared" si="23"/>
        <v>6.7466659545898402</v>
      </c>
      <c r="AF266" s="48"/>
      <c r="AG266" s="48"/>
      <c r="AH266" s="56">
        <v>0.1</v>
      </c>
      <c r="AL266" s="56">
        <v>25</v>
      </c>
      <c r="AM266" s="48">
        <f>VLOOKUP($F266,'#对话模型配置'!$A:$W,MATCH(对话配置表!AM$2,'#对话模型配置'!$1:$1,0),FALSE)</f>
        <v>30001001</v>
      </c>
      <c r="AN266" s="56" t="s">
        <v>625</v>
      </c>
      <c r="AT266" s="56" t="str">
        <f t="shared" si="20"/>
        <v>这就是陛下封赏的城池？小了点，但大人一定能让它&lt;color=#FFCC71&gt;发展壮大&lt;/color&gt;的。</v>
      </c>
      <c r="AU266" s="56" t="s">
        <v>1138</v>
      </c>
      <c r="AV266" s="56">
        <f t="shared" si="24"/>
        <v>55101</v>
      </c>
      <c r="AW266" s="56" t="s">
        <v>1139</v>
      </c>
    </row>
    <row r="267" spans="1:51" s="56" customFormat="1" ht="42">
      <c r="A267" s="56">
        <f t="shared" si="21"/>
        <v>55101</v>
      </c>
      <c r="B267" s="56" t="s">
        <v>621</v>
      </c>
      <c r="C267" s="56">
        <v>2</v>
      </c>
      <c r="D267" s="56" t="s">
        <v>622</v>
      </c>
      <c r="E267" s="56" t="s">
        <v>559</v>
      </c>
      <c r="F267" s="20" t="str">
        <f>VLOOKUP(G267,'#TID_base_up'!B:C,2,0)</f>
        <v>凯撒</v>
      </c>
      <c r="G267" s="56" t="s">
        <v>560</v>
      </c>
      <c r="H267" s="48">
        <f>VLOOKUP($F267,'#对话模型配置'!$A:$W,MATCH(对话配置表!H$2,'#对话模型配置'!$1:$1,0),FALSE)</f>
        <v>0</v>
      </c>
      <c r="I267" s="48">
        <f>VLOOKUP($F267,'#对话模型配置'!$A:$W,MATCH(对话配置表!I$2,'#对话模型配置'!$1:$1,0),FALSE)</f>
        <v>0</v>
      </c>
      <c r="J267" s="56" t="s">
        <v>1140</v>
      </c>
      <c r="K267" s="84" t="str">
        <f t="shared" si="22"/>
        <v>能跟大人并肩作战实在荣幸！在下也要返回领地重振旗鼓了，离开之前，请允许我&lt;color=#FFCC71&gt;为您推荐一位名将&lt;/color&gt;！</v>
      </c>
      <c r="U267" s="56">
        <v>1</v>
      </c>
      <c r="V267" s="56">
        <v>0</v>
      </c>
      <c r="X267" s="56">
        <v>0</v>
      </c>
      <c r="Y267" s="56" t="b">
        <v>0</v>
      </c>
      <c r="Z267" s="56" t="s">
        <v>1141</v>
      </c>
      <c r="AA267" s="56" t="b">
        <v>1</v>
      </c>
      <c r="AC267" s="56">
        <v>20001013</v>
      </c>
      <c r="AD267" s="56">
        <v>8.3760004043579102</v>
      </c>
      <c r="AE267" s="48">
        <f t="shared" si="23"/>
        <v>9.3760004043579102</v>
      </c>
      <c r="AF267" s="48"/>
      <c r="AG267" s="48"/>
      <c r="AH267" s="56">
        <v>0.1</v>
      </c>
      <c r="AL267" s="56">
        <v>25</v>
      </c>
      <c r="AM267" s="48">
        <f>VLOOKUP($F267,'#对话模型配置'!$A:$W,MATCH(对话配置表!AM$2,'#对话模型配置'!$1:$1,0),FALSE)</f>
        <v>0</v>
      </c>
      <c r="AN267" s="56" t="s">
        <v>631</v>
      </c>
      <c r="AT267" s="56" t="str">
        <f t="shared" si="20"/>
        <v>能跟大人并肩作战实在荣幸！在下也要返回领地重振旗鼓了，离开之前，请允许我&lt;color=#FFCC71&gt;为您推荐一位名将&lt;/color&gt;！</v>
      </c>
      <c r="AU267" s="56" t="s">
        <v>632</v>
      </c>
      <c r="AV267" s="56">
        <f t="shared" si="24"/>
        <v>55101</v>
      </c>
      <c r="AW267" s="56" t="s">
        <v>634</v>
      </c>
    </row>
    <row r="268" spans="1:51" s="56" customFormat="1" ht="42">
      <c r="A268" s="56">
        <f t="shared" si="21"/>
        <v>55102</v>
      </c>
      <c r="B268" s="56" t="s">
        <v>621</v>
      </c>
      <c r="C268" s="56">
        <v>1</v>
      </c>
      <c r="D268" s="56" t="s">
        <v>635</v>
      </c>
      <c r="E268" s="56" t="s">
        <v>559</v>
      </c>
      <c r="F268" s="20" t="str">
        <f>VLOOKUP(G268,'#TID_base_up'!B:C,2,0)</f>
        <v>凯撒</v>
      </c>
      <c r="G268" s="56" t="s">
        <v>560</v>
      </c>
      <c r="H268" s="48">
        <f>VLOOKUP($F268,'#对话模型配置'!$A:$W,MATCH(对话配置表!H$2,'#对话模型配置'!$1:$1,0),FALSE)</f>
        <v>0</v>
      </c>
      <c r="I268" s="48">
        <f>VLOOKUP($F268,'#对话模型配置'!$A:$W,MATCH(对话配置表!I$2,'#对话模型配置'!$1:$1,0),FALSE)</f>
        <v>0</v>
      </c>
      <c r="J268" s="56" t="s">
        <v>1142</v>
      </c>
      <c r="K268" s="84" t="str">
        <f t="shared" si="22"/>
        <v>通过&lt;color=#FFCC71&gt;【点将台】&lt;/color&gt;可以招募许多强力的英雄，这些英雄会为您军队的战斗力带来巨大的提升，大人，来点个将试试吧！</v>
      </c>
      <c r="U268" s="56">
        <v>1</v>
      </c>
      <c r="V268" s="56">
        <v>0</v>
      </c>
      <c r="X268" s="56">
        <v>0</v>
      </c>
      <c r="Y268" s="56" t="b">
        <v>0</v>
      </c>
      <c r="Z268" s="56" t="s">
        <v>1143</v>
      </c>
      <c r="AA268" s="56" t="b">
        <v>0</v>
      </c>
      <c r="AC268" s="56">
        <v>20001014</v>
      </c>
      <c r="AD268" s="56">
        <v>9.9813337326049805</v>
      </c>
      <c r="AE268" s="48">
        <f t="shared" si="23"/>
        <v>10.98133373260498</v>
      </c>
      <c r="AF268" s="48"/>
      <c r="AG268" s="48"/>
      <c r="AH268" s="56">
        <v>0.1</v>
      </c>
      <c r="AL268" s="56">
        <v>25</v>
      </c>
      <c r="AM268" s="48">
        <f>VLOOKUP($F268,'#对话模型配置'!$A:$W,MATCH(对话配置表!AM$2,'#对话模型配置'!$1:$1,0),FALSE)</f>
        <v>0</v>
      </c>
      <c r="AN268" s="56" t="s">
        <v>638</v>
      </c>
      <c r="AT268" s="56" t="str">
        <f t="shared" si="20"/>
        <v>通过&lt;color=#FFCC71&gt;【点将台】&lt;/color&gt;可以招募许多强力的英雄，这些英雄会为您军队的战斗力带来巨大的提升，大人，来点个将试试吧！</v>
      </c>
      <c r="AU268" s="56" t="s">
        <v>639</v>
      </c>
      <c r="AV268" s="56">
        <f t="shared" si="24"/>
        <v>55102</v>
      </c>
      <c r="AW268" s="56" t="s">
        <v>1144</v>
      </c>
    </row>
    <row r="269" spans="1:51" s="56" customFormat="1" ht="28">
      <c r="A269" s="56">
        <f t="shared" si="21"/>
        <v>55103</v>
      </c>
      <c r="B269" s="56" t="s">
        <v>621</v>
      </c>
      <c r="C269" s="56">
        <v>1</v>
      </c>
      <c r="D269" s="56" t="s">
        <v>635</v>
      </c>
      <c r="E269" s="56" t="s">
        <v>559</v>
      </c>
      <c r="F269" s="20" t="str">
        <f>VLOOKUP(G269,'#TID_base_up'!B:C,2,0)</f>
        <v>花木兰</v>
      </c>
      <c r="G269" s="56" t="s">
        <v>1145</v>
      </c>
      <c r="H269" s="48" t="str">
        <f>VLOOKUP($F269,'#对话模型配置'!$A:$W,MATCH(对话配置表!H$2,'#对话模型配置'!$1:$1,0),FALSE)</f>
        <v>icon_guidechara.smash</v>
      </c>
      <c r="I269" s="48" t="str">
        <f>VLOOKUP($F269,'#对话模型配置'!$A:$W,MATCH(对话配置表!I$2,'#对话模型配置'!$1:$1,0),FALSE)</f>
        <v>frame_s_xsdh_002</v>
      </c>
      <c r="J269" s="56" t="s">
        <v>1146</v>
      </c>
      <c r="K269" s="84" t="str">
        <f t="shared" si="22"/>
        <v>谁说女子不如男！&lt;color=#FFCC71&gt;花木兰&lt;/color&gt;愿为阁下亲效犬马之劳，扫除蛮族！</v>
      </c>
      <c r="U269" s="56">
        <v>1</v>
      </c>
      <c r="V269" s="56">
        <v>0</v>
      </c>
      <c r="X269" s="56">
        <v>0</v>
      </c>
      <c r="Y269" s="56" t="b">
        <v>0</v>
      </c>
      <c r="Z269" s="56" t="s">
        <v>1147</v>
      </c>
      <c r="AA269" s="56" t="b">
        <v>0</v>
      </c>
      <c r="AC269" s="56">
        <v>20001015</v>
      </c>
      <c r="AD269" s="56">
        <v>5.2133331298828098</v>
      </c>
      <c r="AE269" s="48">
        <f t="shared" si="23"/>
        <v>6.2133331298828098</v>
      </c>
      <c r="AF269" s="48"/>
      <c r="AG269" s="48"/>
      <c r="AH269" s="56">
        <v>0.1</v>
      </c>
      <c r="AL269" s="56">
        <v>25</v>
      </c>
      <c r="AM269" s="48">
        <f>VLOOKUP($F269,'#对话模型配置'!$A:$W,MATCH(对话配置表!AM$2,'#对话模型配置'!$1:$1,0),FALSE)</f>
        <v>20001005</v>
      </c>
      <c r="AN269" s="56" t="s">
        <v>643</v>
      </c>
      <c r="AT269" s="56" t="str">
        <f t="shared" si="20"/>
        <v>谁说女子不如男！&lt;color=#FFCC71&gt;花木兰&lt;/color&gt;愿为阁下亲效犬马之劳，扫除蛮族！</v>
      </c>
      <c r="AU269" s="56" t="s">
        <v>1148</v>
      </c>
      <c r="AV269" s="56">
        <f t="shared" si="24"/>
        <v>55103</v>
      </c>
      <c r="AW269" s="56" t="s">
        <v>1149</v>
      </c>
    </row>
    <row r="270" spans="1:51" s="56" customFormat="1" ht="42">
      <c r="A270" s="56">
        <f t="shared" si="21"/>
        <v>55104</v>
      </c>
      <c r="B270" s="56" t="s">
        <v>621</v>
      </c>
      <c r="C270" s="56">
        <v>1</v>
      </c>
      <c r="D270" s="56" t="s">
        <v>646</v>
      </c>
      <c r="E270" s="56" t="s">
        <v>559</v>
      </c>
      <c r="F270" s="20" t="str">
        <f>VLOOKUP(G270,'#TID_base_up'!B:C,2,0)</f>
        <v>安德莉娅</v>
      </c>
      <c r="G270" s="56" t="s">
        <v>467</v>
      </c>
      <c r="H270" s="48" t="str">
        <f>VLOOKUP($F270,'#对话模型配置'!$A:$W,MATCH(对话配置表!H$2,'#对话模型配置'!$1:$1,0),FALSE)</f>
        <v>icon_guidechara.smash</v>
      </c>
      <c r="I270" s="48" t="str">
        <f>VLOOKUP($F270,'#对话模型配置'!$A:$W,MATCH(对话配置表!I$2,'#对话模型配置'!$1:$1,0),FALSE)</f>
        <v>frame_s_xsdh_002</v>
      </c>
      <c r="J270" s="56" t="s">
        <v>1150</v>
      </c>
      <c r="K270" s="84" t="str">
        <f t="shared" si="22"/>
        <v>大人，探子在&lt;color=#FFCC71&gt;城外资源点&lt;/color&gt;发现了&lt;color=#FFCC71&gt;蛮族的踪迹&lt;/color&gt;，他们的势力竟然也渗透到了这里！</v>
      </c>
      <c r="U270" s="56">
        <v>1</v>
      </c>
      <c r="V270" s="56">
        <v>0</v>
      </c>
      <c r="X270" s="56">
        <v>0</v>
      </c>
      <c r="Y270" s="56" t="b">
        <v>0</v>
      </c>
      <c r="Z270" s="56" t="s">
        <v>1151</v>
      </c>
      <c r="AA270" s="56" t="b">
        <v>0</v>
      </c>
      <c r="AC270" s="56">
        <v>20001016</v>
      </c>
      <c r="AD270" s="56">
        <v>8.1546669006347692</v>
      </c>
      <c r="AE270" s="48">
        <f t="shared" si="23"/>
        <v>9.1546669006347692</v>
      </c>
      <c r="AF270" s="48"/>
      <c r="AG270" s="48"/>
      <c r="AH270" s="56">
        <v>0.1</v>
      </c>
      <c r="AL270" s="56">
        <v>25</v>
      </c>
      <c r="AM270" s="48">
        <f>VLOOKUP($F270,'#对话模型配置'!$A:$W,MATCH(对话配置表!AM$2,'#对话模型配置'!$1:$1,0),FALSE)</f>
        <v>30001001</v>
      </c>
      <c r="AN270" s="56" t="s">
        <v>649</v>
      </c>
      <c r="AT270" s="56" t="str">
        <f t="shared" si="20"/>
        <v>大人，探子在&lt;color=#FFCC71&gt;城外资源点&lt;/color&gt;发现了&lt;color=#FFCC71&gt;蛮族的踪迹&lt;/color&gt;，他们的势力竟然也渗透到了这里！</v>
      </c>
      <c r="AU270" s="56" t="s">
        <v>1152</v>
      </c>
      <c r="AV270" s="56">
        <f t="shared" si="24"/>
        <v>55104</v>
      </c>
      <c r="AW270" s="56" t="s">
        <v>651</v>
      </c>
      <c r="AX270" s="56" t="s">
        <v>652</v>
      </c>
    </row>
    <row r="271" spans="1:51" s="56" customFormat="1" ht="28">
      <c r="A271" s="56">
        <f t="shared" si="21"/>
        <v>55105</v>
      </c>
      <c r="B271" s="56" t="s">
        <v>621</v>
      </c>
      <c r="C271" s="56">
        <v>1</v>
      </c>
      <c r="D271" s="56" t="s">
        <v>646</v>
      </c>
      <c r="E271" s="56" t="s">
        <v>559</v>
      </c>
      <c r="F271" s="20" t="str">
        <f>VLOOKUP(G271,'#TID_base_up'!B:C,2,0)</f>
        <v>花木兰</v>
      </c>
      <c r="G271" s="56" t="s">
        <v>1145</v>
      </c>
      <c r="H271" s="48" t="str">
        <f>VLOOKUP($F271,'#对话模型配置'!$A:$W,MATCH(对话配置表!H$2,'#对话模型配置'!$1:$1,0),FALSE)</f>
        <v>icon_guidechara.smash</v>
      </c>
      <c r="I271" s="48" t="str">
        <f>VLOOKUP($F271,'#对话模型配置'!$A:$W,MATCH(对话配置表!I$2,'#对话模型配置'!$1:$1,0),FALSE)</f>
        <v>frame_s_xsdh_002</v>
      </c>
      <c r="J271" s="56" t="s">
        <v>1153</v>
      </c>
      <c r="K271" s="84" t="str">
        <f t="shared" si="22"/>
        <v>带兵打仗是将领的天职，领主大人，只要&lt;color=#FFCC71&gt;给我一点人马&lt;/color&gt;，我花木兰保你城池坚不可摧。</v>
      </c>
      <c r="U271" s="56">
        <v>1</v>
      </c>
      <c r="V271" s="56">
        <v>0</v>
      </c>
      <c r="X271" s="56">
        <v>0</v>
      </c>
      <c r="Y271" s="56" t="b">
        <v>0</v>
      </c>
      <c r="Z271" s="56" t="s">
        <v>1154</v>
      </c>
      <c r="AA271" s="56" t="b">
        <v>0</v>
      </c>
      <c r="AC271" s="56">
        <v>20001017</v>
      </c>
      <c r="AD271" s="56">
        <v>4.8893327713012704</v>
      </c>
      <c r="AE271" s="48">
        <f t="shared" si="23"/>
        <v>5.8893327713012704</v>
      </c>
      <c r="AF271" s="48"/>
      <c r="AG271" s="48"/>
      <c r="AH271" s="56">
        <v>0.1</v>
      </c>
      <c r="AL271" s="56">
        <v>25</v>
      </c>
      <c r="AM271" s="48">
        <f>VLOOKUP($F271,'#对话模型配置'!$A:$W,MATCH(对话配置表!AM$2,'#对话模型配置'!$1:$1,0),FALSE)</f>
        <v>20001005</v>
      </c>
      <c r="AN271" s="56" t="s">
        <v>655</v>
      </c>
      <c r="AT271" s="56" t="str">
        <f t="shared" si="20"/>
        <v>带兵打仗是将领的天职，领主大人，只要&lt;color=#FFCC71&gt;给我一点人马&lt;/color&gt;，我花木兰保你城池坚不可摧。</v>
      </c>
      <c r="AU271" s="56" t="s">
        <v>1155</v>
      </c>
      <c r="AV271" s="56">
        <f t="shared" si="24"/>
        <v>55105</v>
      </c>
      <c r="AW271" s="56" t="s">
        <v>657</v>
      </c>
    </row>
    <row r="272" spans="1:51" s="56" customFormat="1" ht="28">
      <c r="A272" s="56">
        <f t="shared" si="21"/>
        <v>55106</v>
      </c>
      <c r="B272" s="56" t="s">
        <v>621</v>
      </c>
      <c r="C272" s="56">
        <v>1</v>
      </c>
      <c r="D272" s="56" t="s">
        <v>659</v>
      </c>
      <c r="E272" s="56" t="s">
        <v>559</v>
      </c>
      <c r="F272" s="20" t="str">
        <f>VLOOKUP(G272,'#TID_base_up'!B:C,2,0)</f>
        <v>花木兰</v>
      </c>
      <c r="G272" s="56" t="s">
        <v>1145</v>
      </c>
      <c r="H272" s="48" t="str">
        <f>VLOOKUP($F272,'#对话模型配置'!$A:$W,MATCH(对话配置表!H$2,'#对话模型配置'!$1:$1,0),FALSE)</f>
        <v>icon_guidechara.smash</v>
      </c>
      <c r="I272" s="48" t="str">
        <f>VLOOKUP($F272,'#对话模型配置'!$A:$W,MATCH(对话配置表!I$2,'#对话模型配置'!$1:$1,0),FALSE)</f>
        <v>frame_s_xsdh_002</v>
      </c>
      <c r="J272" s="56" t="s">
        <v>1156</v>
      </c>
      <c r="K272" s="84" t="str">
        <f t="shared" si="22"/>
        <v>有个办法可以快速找到那些蛮子，大人，请跟我来&lt;color=#FFCC71&gt;搜索资源点&lt;/color&gt;。</v>
      </c>
      <c r="U272" s="56">
        <v>1</v>
      </c>
      <c r="V272" s="56">
        <v>0</v>
      </c>
      <c r="X272" s="56">
        <v>0</v>
      </c>
      <c r="Y272" s="56" t="b">
        <v>0</v>
      </c>
      <c r="Z272" s="56" t="s">
        <v>1157</v>
      </c>
      <c r="AA272" s="56" t="b">
        <v>0</v>
      </c>
      <c r="AC272" s="56">
        <v>20001018</v>
      </c>
      <c r="AD272" s="56">
        <v>2.8066670894622798</v>
      </c>
      <c r="AE272" s="48">
        <f t="shared" si="23"/>
        <v>3.8066670894622798</v>
      </c>
      <c r="AF272" s="48"/>
      <c r="AG272" s="48"/>
      <c r="AH272" s="56">
        <v>0.1</v>
      </c>
      <c r="AL272" s="56">
        <v>25</v>
      </c>
      <c r="AM272" s="48">
        <f>VLOOKUP($F272,'#对话模型配置'!$A:$W,MATCH(对话配置表!AM$2,'#对话模型配置'!$1:$1,0),FALSE)</f>
        <v>20001005</v>
      </c>
      <c r="AN272" s="56" t="s">
        <v>662</v>
      </c>
      <c r="AT272" s="56" t="str">
        <f t="shared" si="20"/>
        <v>有个办法可以快速找到那些蛮子，大人，请跟我来&lt;color=#FFCC71&gt;搜索资源点&lt;/color&gt;。</v>
      </c>
      <c r="AU272" s="56" t="s">
        <v>1158</v>
      </c>
      <c r="AV272" s="56">
        <f t="shared" si="24"/>
        <v>55106</v>
      </c>
      <c r="AW272" s="56" t="s">
        <v>665</v>
      </c>
    </row>
    <row r="273" spans="1:50" s="56" customFormat="1" ht="28">
      <c r="A273" s="56">
        <f t="shared" si="21"/>
        <v>55107</v>
      </c>
      <c r="B273" s="56" t="s">
        <v>621</v>
      </c>
      <c r="C273" s="56">
        <v>1</v>
      </c>
      <c r="D273" s="56" t="s">
        <v>666</v>
      </c>
      <c r="E273" s="56" t="s">
        <v>559</v>
      </c>
      <c r="F273" s="20" t="str">
        <f>VLOOKUP(G273,'#TID_base_up'!B:C,2,0)</f>
        <v>花木兰</v>
      </c>
      <c r="G273" s="56" t="s">
        <v>1145</v>
      </c>
      <c r="H273" s="48" t="str">
        <f>VLOOKUP($F273,'#对话模型配置'!$A:$W,MATCH(对话配置表!H$2,'#对话模型配置'!$1:$1,0),FALSE)</f>
        <v>icon_guidechara.smash</v>
      </c>
      <c r="I273" s="48" t="str">
        <f>VLOOKUP($F273,'#对话模型配置'!$A:$W,MATCH(对话配置表!I$2,'#对话模型配置'!$1:$1,0),FALSE)</f>
        <v>frame_s_xsdh_002</v>
      </c>
      <c r="J273" s="56" t="s">
        <v>1159</v>
      </c>
      <c r="K273" s="84" t="str">
        <f t="shared" si="22"/>
        <v>击败这里的蛮族才能&lt;color=#FFCC71&gt;拿回资源点&lt;/color&gt;，大人，别犹豫，他们根本不足为惧！</v>
      </c>
      <c r="U273" s="56">
        <v>1</v>
      </c>
      <c r="V273" s="56">
        <v>0</v>
      </c>
      <c r="X273" s="56">
        <v>0</v>
      </c>
      <c r="Y273" s="56" t="b">
        <v>0</v>
      </c>
      <c r="Z273" s="56" t="s">
        <v>1160</v>
      </c>
      <c r="AA273" s="56" t="b">
        <v>0</v>
      </c>
      <c r="AC273" s="56">
        <v>20001019</v>
      </c>
      <c r="AD273" s="56">
        <v>4.92799997329712</v>
      </c>
      <c r="AE273" s="48">
        <f t="shared" si="23"/>
        <v>5.92799997329712</v>
      </c>
      <c r="AF273" s="48"/>
      <c r="AG273" s="48"/>
      <c r="AH273" s="56">
        <v>0.1</v>
      </c>
      <c r="AL273" s="56">
        <v>25</v>
      </c>
      <c r="AM273" s="48">
        <f>VLOOKUP($F273,'#对话模型配置'!$A:$W,MATCH(对话配置表!AM$2,'#对话模型配置'!$1:$1,0),FALSE)</f>
        <v>20001005</v>
      </c>
      <c r="AN273" s="56" t="s">
        <v>669</v>
      </c>
      <c r="AT273" s="56" t="str">
        <f t="shared" si="20"/>
        <v>击败这里的蛮族才能&lt;color=#FFCC71&gt;拿回资源点&lt;/color&gt;，大人，别犹豫，他们根本不足为惧！</v>
      </c>
      <c r="AU273" s="56" t="s">
        <v>1161</v>
      </c>
      <c r="AV273" s="56">
        <f t="shared" si="24"/>
        <v>55107</v>
      </c>
      <c r="AW273" s="56" t="s">
        <v>673</v>
      </c>
    </row>
    <row r="274" spans="1:50" s="56" customFormat="1" ht="28">
      <c r="A274" s="56">
        <f t="shared" si="21"/>
        <v>55108</v>
      </c>
      <c r="B274" s="56" t="s">
        <v>621</v>
      </c>
      <c r="C274" s="56">
        <v>1</v>
      </c>
      <c r="D274" s="56" t="s">
        <v>666</v>
      </c>
      <c r="E274" s="56" t="s">
        <v>559</v>
      </c>
      <c r="F274" s="20" t="str">
        <f>VLOOKUP(G274,'#TID_base_up'!B:C,2,0)</f>
        <v>花木兰</v>
      </c>
      <c r="G274" s="56" t="s">
        <v>1145</v>
      </c>
      <c r="H274" s="48" t="str">
        <f>VLOOKUP($F274,'#对话模型配置'!$A:$W,MATCH(对话配置表!H$2,'#对话模型配置'!$1:$1,0),FALSE)</f>
        <v>icon_guidechara.smash</v>
      </c>
      <c r="I274" s="48" t="str">
        <f>VLOOKUP($F274,'#对话模型配置'!$A:$W,MATCH(对话配置表!I$2,'#对话模型配置'!$1:$1,0),FALSE)</f>
        <v>frame_s_xsdh_002</v>
      </c>
      <c r="J274" s="56" t="s">
        <v>1162</v>
      </c>
      <c r="K274" s="84" t="str">
        <f t="shared" si="22"/>
        <v>这真是一场&lt;color=#FFCC71&gt;伟大的胜利&lt;/color&gt;，那我就放心了，大人，接下来到您出场了。</v>
      </c>
      <c r="U274" s="56">
        <v>1</v>
      </c>
      <c r="V274" s="56">
        <v>0</v>
      </c>
      <c r="X274" s="56">
        <v>0</v>
      </c>
      <c r="Y274" s="56" t="b">
        <v>0</v>
      </c>
      <c r="Z274" s="56" t="s">
        <v>1163</v>
      </c>
      <c r="AA274" s="56" t="b">
        <v>0</v>
      </c>
      <c r="AC274" s="56">
        <v>20001020</v>
      </c>
      <c r="AD274" s="56">
        <v>5.3333330154418901</v>
      </c>
      <c r="AE274" s="48">
        <f t="shared" si="23"/>
        <v>6.3333330154418901</v>
      </c>
      <c r="AF274" s="48"/>
      <c r="AG274" s="48"/>
      <c r="AH274" s="56">
        <v>0.1</v>
      </c>
      <c r="AL274" s="56">
        <v>25</v>
      </c>
      <c r="AM274" s="48">
        <f>VLOOKUP($F274,'#对话模型配置'!$A:$W,MATCH(对话配置表!AM$2,'#对话模型配置'!$1:$1,0),FALSE)</f>
        <v>20001005</v>
      </c>
      <c r="AN274" s="56" t="s">
        <v>676</v>
      </c>
      <c r="AT274" s="56" t="str">
        <f t="shared" si="20"/>
        <v>这真是一场&lt;color=#FFCC71&gt;伟大的胜利&lt;/color&gt;，那我就放心了，大人，接下来到您出场了。</v>
      </c>
      <c r="AU274" s="56" t="s">
        <v>1164</v>
      </c>
      <c r="AV274" s="56">
        <f t="shared" si="24"/>
        <v>55108</v>
      </c>
      <c r="AW274" s="56" t="s">
        <v>1165</v>
      </c>
    </row>
    <row r="275" spans="1:50" s="56" customFormat="1" ht="28">
      <c r="A275" s="56">
        <f t="shared" si="21"/>
        <v>55201</v>
      </c>
      <c r="B275" s="56" t="s">
        <v>679</v>
      </c>
      <c r="C275" s="56">
        <v>1</v>
      </c>
      <c r="D275" s="56" t="s">
        <v>622</v>
      </c>
      <c r="E275" s="56" t="s">
        <v>559</v>
      </c>
      <c r="F275" s="20" t="str">
        <f>VLOOKUP(G275,'#TID_base_up'!B:C,2,0)</f>
        <v>花木兰</v>
      </c>
      <c r="G275" s="56" t="s">
        <v>1145</v>
      </c>
      <c r="H275" s="48" t="str">
        <f>VLOOKUP($F275,'#对话模型配置'!$A:$W,MATCH(对话配置表!H$2,'#对话模型配置'!$1:$1,0),FALSE)</f>
        <v>icon_guidechara.smash</v>
      </c>
      <c r="I275" s="48" t="str">
        <f>VLOOKUP($F275,'#对话模型配置'!$A:$W,MATCH(对话配置表!I$2,'#对话模型配置'!$1:$1,0),FALSE)</f>
        <v>frame_s_xsdh_002</v>
      </c>
      <c r="J275" s="56" t="s">
        <v>1166</v>
      </c>
      <c r="K275" s="84" t="str">
        <f t="shared" si="22"/>
        <v>我们&lt;color=#FFCC71&gt;真正的敌人&lt;/color&gt;远比这些游荡的蛮族要强大得多，要想取胜需得从长计议。</v>
      </c>
      <c r="U275" s="56">
        <v>1</v>
      </c>
      <c r="V275" s="56">
        <v>0</v>
      </c>
      <c r="X275" s="56">
        <v>0</v>
      </c>
      <c r="Y275" s="56" t="b">
        <v>0</v>
      </c>
      <c r="Z275" s="56" t="s">
        <v>1167</v>
      </c>
      <c r="AA275" s="56" t="b">
        <v>0</v>
      </c>
      <c r="AC275" s="56">
        <v>20001021</v>
      </c>
      <c r="AD275" s="56">
        <v>6.3600001335143999</v>
      </c>
      <c r="AE275" s="48">
        <f t="shared" si="23"/>
        <v>7.3600001335143999</v>
      </c>
      <c r="AF275" s="48"/>
      <c r="AG275" s="48"/>
      <c r="AH275" s="56">
        <v>0.1</v>
      </c>
      <c r="AL275" s="56">
        <v>25</v>
      </c>
      <c r="AM275" s="48">
        <f>VLOOKUP($F275,'#对话模型配置'!$A:$W,MATCH(对话配置表!AM$2,'#对话模型配置'!$1:$1,0),FALSE)</f>
        <v>20001005</v>
      </c>
      <c r="AN275" s="56" t="s">
        <v>662</v>
      </c>
      <c r="AT275" s="56" t="str">
        <f t="shared" si="20"/>
        <v>我们&lt;color=#FFCC71&gt;真正的敌人&lt;/color&gt;远比这些游荡的蛮族要强大得多，要想取胜需得从长计议。</v>
      </c>
      <c r="AU275" s="56" t="s">
        <v>1168</v>
      </c>
      <c r="AV275" s="56">
        <f t="shared" si="24"/>
        <v>55201</v>
      </c>
      <c r="AW275" s="56" t="s">
        <v>683</v>
      </c>
    </row>
    <row r="276" spans="1:50" s="56" customFormat="1" ht="42">
      <c r="A276" s="56">
        <f t="shared" si="21"/>
        <v>55201</v>
      </c>
      <c r="B276" s="56" t="s">
        <v>679</v>
      </c>
      <c r="C276" s="56">
        <v>2</v>
      </c>
      <c r="D276" s="56" t="s">
        <v>622</v>
      </c>
      <c r="E276" s="56" t="s">
        <v>559</v>
      </c>
      <c r="F276" s="20" t="str">
        <f>VLOOKUP(G276,'#TID_base_up'!B:C,2,0)</f>
        <v>安德莉娅</v>
      </c>
      <c r="G276" s="56" t="s">
        <v>467</v>
      </c>
      <c r="H276" s="48" t="str">
        <f>VLOOKUP($F276,'#对话模型配置'!$A:$W,MATCH(对话配置表!H$2,'#对话模型配置'!$1:$1,0),FALSE)</f>
        <v>icon_guidechara.smash</v>
      </c>
      <c r="I276" s="48" t="str">
        <f>VLOOKUP($F276,'#对话模型配置'!$A:$W,MATCH(对话配置表!I$2,'#对话模型配置'!$1:$1,0),FALSE)</f>
        <v>frame_s_xsdh_002</v>
      </c>
      <c r="J276" s="56" t="s">
        <v>1169</v>
      </c>
      <c r="K276" s="84" t="str">
        <f t="shared" si="22"/>
        <v>大人，不如先从&lt;color=#FFCC71&gt;城市建设&lt;/color&gt;着手吧，毕竟有了&lt;color=#FFCC71&gt;粮食和资源&lt;/color&gt;，才能支撑更强大的军队。</v>
      </c>
      <c r="U276" s="56">
        <v>1</v>
      </c>
      <c r="V276" s="56">
        <v>0</v>
      </c>
      <c r="X276" s="56">
        <v>0</v>
      </c>
      <c r="Y276" s="56" t="b">
        <v>0</v>
      </c>
      <c r="Z276" s="56" t="s">
        <v>1170</v>
      </c>
      <c r="AA276" s="56" t="b">
        <v>1</v>
      </c>
      <c r="AC276" s="56">
        <v>20001022</v>
      </c>
      <c r="AD276" s="56">
        <v>6.9466671943664604</v>
      </c>
      <c r="AE276" s="48">
        <f t="shared" si="23"/>
        <v>7.9466671943664604</v>
      </c>
      <c r="AF276" s="48"/>
      <c r="AG276" s="48"/>
      <c r="AH276" s="56">
        <v>0.1</v>
      </c>
      <c r="AL276" s="56">
        <v>25</v>
      </c>
      <c r="AM276" s="48">
        <f>VLOOKUP($F276,'#对话模型配置'!$A:$W,MATCH(对话配置表!AM$2,'#对话模型配置'!$1:$1,0),FALSE)</f>
        <v>30001001</v>
      </c>
      <c r="AN276" s="56" t="s">
        <v>687</v>
      </c>
      <c r="AT276" s="56" t="str">
        <f t="shared" si="20"/>
        <v>大人，不如先从&lt;color=#FFCC71&gt;城市建设&lt;/color&gt;着手吧，毕竟有了&lt;color=#FFCC71&gt;粮食和资源&lt;/color&gt;，才能支撑更强大的军队。</v>
      </c>
      <c r="AU276" s="56" t="s">
        <v>1171</v>
      </c>
      <c r="AV276" s="56">
        <f t="shared" si="24"/>
        <v>55201</v>
      </c>
      <c r="AW276" s="56" t="s">
        <v>1172</v>
      </c>
      <c r="AX276" s="56" t="s">
        <v>1173</v>
      </c>
    </row>
    <row r="277" spans="1:50" s="56" customFormat="1" ht="28">
      <c r="A277" s="56">
        <f t="shared" si="21"/>
        <v>55202</v>
      </c>
      <c r="B277" s="56" t="s">
        <v>679</v>
      </c>
      <c r="C277" s="56">
        <v>1</v>
      </c>
      <c r="D277" s="56" t="s">
        <v>690</v>
      </c>
      <c r="E277" s="56" t="s">
        <v>559</v>
      </c>
      <c r="F277" s="20" t="str">
        <f>VLOOKUP(G277,'#TID_base_up'!B:C,2,0)</f>
        <v>安德莉娅</v>
      </c>
      <c r="G277" s="56" t="s">
        <v>467</v>
      </c>
      <c r="H277" s="48" t="str">
        <f>VLOOKUP($F277,'#对话模型配置'!$A:$W,MATCH(对话配置表!H$2,'#对话模型配置'!$1:$1,0),FALSE)</f>
        <v>icon_guidechara.smash</v>
      </c>
      <c r="I277" s="48" t="str">
        <f>VLOOKUP($F277,'#对话模型配置'!$A:$W,MATCH(对话配置表!I$2,'#对话模型配置'!$1:$1,0),FALSE)</f>
        <v>frame_s_xsdh_002</v>
      </c>
      <c r="J277" s="56" t="s">
        <v>1174</v>
      </c>
      <c r="K277" s="84" t="str">
        <f t="shared" si="22"/>
        <v>大人，请先建造一些&lt;color=#FFCC71&gt;磨坊&lt;/color&gt;以便让居民&lt;color=#FFCC71&gt;生产粮食&lt;/color&gt;。</v>
      </c>
      <c r="U277" s="56">
        <v>1</v>
      </c>
      <c r="V277" s="56">
        <v>0</v>
      </c>
      <c r="X277" s="56">
        <v>0</v>
      </c>
      <c r="Y277" s="56" t="b">
        <v>0</v>
      </c>
      <c r="Z277" s="56" t="s">
        <v>1175</v>
      </c>
      <c r="AA277" s="56" t="b">
        <v>0</v>
      </c>
      <c r="AC277" s="56">
        <v>20001023</v>
      </c>
      <c r="AD277" s="56">
        <v>5.0640001296997097</v>
      </c>
      <c r="AE277" s="48">
        <f t="shared" si="23"/>
        <v>6.0640001296997097</v>
      </c>
      <c r="AF277" s="48"/>
      <c r="AG277" s="48"/>
      <c r="AH277" s="56">
        <v>0.1</v>
      </c>
      <c r="AL277" s="56">
        <v>25</v>
      </c>
      <c r="AM277" s="48">
        <f>VLOOKUP($F277,'#对话模型配置'!$A:$W,MATCH(对话配置表!AM$2,'#对话模型配置'!$1:$1,0),FALSE)</f>
        <v>30001001</v>
      </c>
      <c r="AN277" s="56" t="s">
        <v>693</v>
      </c>
      <c r="AT277" s="56" t="str">
        <f t="shared" si="20"/>
        <v>大人，请先建造一些&lt;color=#FFCC71&gt;磨坊&lt;/color&gt;以便让居民&lt;color=#FFCC71&gt;生产粮食&lt;/color&gt;。</v>
      </c>
      <c r="AU277" s="56" t="s">
        <v>1176</v>
      </c>
      <c r="AV277" s="56">
        <f t="shared" si="24"/>
        <v>55202</v>
      </c>
      <c r="AW277" s="56" t="s">
        <v>1177</v>
      </c>
      <c r="AX277" s="56" t="s">
        <v>1178</v>
      </c>
    </row>
    <row r="278" spans="1:50" s="56" customFormat="1" ht="28">
      <c r="A278" s="56">
        <f t="shared" si="21"/>
        <v>55203</v>
      </c>
      <c r="B278" s="56" t="s">
        <v>679</v>
      </c>
      <c r="C278" s="56">
        <v>1</v>
      </c>
      <c r="D278" s="56" t="s">
        <v>697</v>
      </c>
      <c r="E278" s="56" t="s">
        <v>559</v>
      </c>
      <c r="F278" s="20" t="str">
        <f>VLOOKUP(G278,'#TID_base_up'!B:C,2,0)</f>
        <v>安德莉娅</v>
      </c>
      <c r="G278" s="56" t="s">
        <v>467</v>
      </c>
      <c r="H278" s="48" t="str">
        <f>VLOOKUP($F278,'#对话模型配置'!$A:$W,MATCH(对话配置表!H$2,'#对话模型配置'!$1:$1,0),FALSE)</f>
        <v>icon_guidechara.smash</v>
      </c>
      <c r="I278" s="48" t="str">
        <f>VLOOKUP($F278,'#对话模型配置'!$A:$W,MATCH(对话配置表!I$2,'#对话模型配置'!$1:$1,0),FALSE)</f>
        <v>frame_s_xsdh_002</v>
      </c>
      <c r="J278" s="56" t="s">
        <v>1179</v>
      </c>
      <c r="K278" s="84" t="str">
        <f t="shared" si="22"/>
        <v>请在磨坊附近&lt;color=#FFCC71&gt;开垦几块农田&lt;/color&gt;，这样我们的居民就不用天天吃浆果了。</v>
      </c>
      <c r="U278" s="56">
        <v>1</v>
      </c>
      <c r="V278" s="56">
        <v>0</v>
      </c>
      <c r="X278" s="56">
        <v>0</v>
      </c>
      <c r="Y278" s="56" t="b">
        <v>0</v>
      </c>
      <c r="Z278" s="56" t="s">
        <v>1180</v>
      </c>
      <c r="AA278" s="56" t="b">
        <v>0</v>
      </c>
      <c r="AC278" s="56">
        <v>20001024</v>
      </c>
      <c r="AD278" s="56">
        <v>5.2666668891906703</v>
      </c>
      <c r="AE278" s="48">
        <f t="shared" si="23"/>
        <v>6.2666668891906703</v>
      </c>
      <c r="AF278" s="48"/>
      <c r="AG278" s="48"/>
      <c r="AH278" s="56">
        <v>0.1</v>
      </c>
      <c r="AL278" s="56">
        <v>25</v>
      </c>
      <c r="AM278" s="48">
        <f>VLOOKUP($F278,'#对话模型配置'!$A:$W,MATCH(对话配置表!AM$2,'#对话模型配置'!$1:$1,0),FALSE)</f>
        <v>30001001</v>
      </c>
      <c r="AN278" s="56" t="s">
        <v>700</v>
      </c>
      <c r="AT278" s="56" t="str">
        <f t="shared" si="20"/>
        <v>请在磨坊附近&lt;color=#FFCC71&gt;开垦几块农田&lt;/color&gt;，这样我们的居民就不用天天吃浆果了。</v>
      </c>
      <c r="AU278" s="56" t="s">
        <v>1181</v>
      </c>
      <c r="AV278" s="56">
        <f t="shared" si="24"/>
        <v>55203</v>
      </c>
      <c r="AW278" s="56" t="s">
        <v>702</v>
      </c>
    </row>
    <row r="279" spans="1:50" s="56" customFormat="1" ht="28">
      <c r="A279" s="56">
        <f t="shared" si="21"/>
        <v>55204</v>
      </c>
      <c r="B279" s="56" t="s">
        <v>679</v>
      </c>
      <c r="C279" s="56">
        <v>1</v>
      </c>
      <c r="D279" s="56" t="s">
        <v>703</v>
      </c>
      <c r="E279" s="56" t="s">
        <v>559</v>
      </c>
      <c r="F279" s="20" t="str">
        <f>VLOOKUP(G279,'#TID_base_up'!B:C,2,0)</f>
        <v>安德莉娅</v>
      </c>
      <c r="G279" s="56" t="s">
        <v>467</v>
      </c>
      <c r="H279" s="48" t="str">
        <f>VLOOKUP($F279,'#对话模型配置'!$A:$W,MATCH(对话配置表!H$2,'#对话模型配置'!$1:$1,0),FALSE)</f>
        <v>icon_guidechara.smash</v>
      </c>
      <c r="I279" s="48" t="str">
        <f>VLOOKUP($F279,'#对话模型配置'!$A:$W,MATCH(对话配置表!I$2,'#对话模型配置'!$1:$1,0),FALSE)</f>
        <v>frame_s_xsdh_002</v>
      </c>
      <c r="J279" s="56" t="s">
        <v>1182</v>
      </c>
      <c r="K279" s="84" t="str">
        <f t="shared" si="22"/>
        <v>请多多&lt;color=#FFCC71&gt;升级&lt;/color&gt;我们的&lt;color=#FFCC71&gt;城镇中心&lt;/color&gt;，这样可以解锁更多不同用途的建筑。</v>
      </c>
      <c r="U279" s="56">
        <v>1</v>
      </c>
      <c r="V279" s="56">
        <v>0</v>
      </c>
      <c r="X279" s="56">
        <v>0</v>
      </c>
      <c r="Y279" s="56" t="b">
        <v>0</v>
      </c>
      <c r="Z279" s="56" t="s">
        <v>1183</v>
      </c>
      <c r="AA279" s="56" t="b">
        <v>0</v>
      </c>
      <c r="AC279" s="56">
        <v>20001025</v>
      </c>
      <c r="AD279" s="56">
        <v>5.3423328399658203</v>
      </c>
      <c r="AE279" s="48">
        <f t="shared" si="23"/>
        <v>6.3423328399658203</v>
      </c>
      <c r="AF279" s="48"/>
      <c r="AG279" s="48"/>
      <c r="AH279" s="56">
        <v>0.1</v>
      </c>
      <c r="AL279" s="56">
        <v>25</v>
      </c>
      <c r="AM279" s="48">
        <f>VLOOKUP($F279,'#对话模型配置'!$A:$W,MATCH(对话配置表!AM$2,'#对话模型配置'!$1:$1,0),FALSE)</f>
        <v>30001001</v>
      </c>
      <c r="AN279" s="56" t="s">
        <v>706</v>
      </c>
      <c r="AT279" s="56" t="str">
        <f t="shared" si="20"/>
        <v>请多多&lt;color=#FFCC71&gt;升级&lt;/color&gt;我们的&lt;color=#FFCC71&gt;城镇中心&lt;/color&gt;，这样可以解锁更多不同用途的建筑。</v>
      </c>
      <c r="AU279" s="56" t="s">
        <v>1184</v>
      </c>
      <c r="AV279" s="56">
        <f t="shared" si="24"/>
        <v>55204</v>
      </c>
      <c r="AW279" s="56" t="s">
        <v>708</v>
      </c>
      <c r="AX279" s="56" t="s">
        <v>709</v>
      </c>
    </row>
    <row r="280" spans="1:50" s="56" customFormat="1" ht="42">
      <c r="A280" s="56">
        <f t="shared" si="21"/>
        <v>55205</v>
      </c>
      <c r="B280" s="56" t="s">
        <v>679</v>
      </c>
      <c r="C280" s="56">
        <v>1</v>
      </c>
      <c r="D280" s="56" t="s">
        <v>710</v>
      </c>
      <c r="E280" s="56" t="s">
        <v>559</v>
      </c>
      <c r="F280" s="20" t="str">
        <f>VLOOKUP(G280,'#TID_base_up'!B:C,2,0)</f>
        <v>安德莉娅</v>
      </c>
      <c r="G280" s="56" t="s">
        <v>467</v>
      </c>
      <c r="H280" s="48" t="str">
        <f>VLOOKUP($F280,'#对话模型配置'!$A:$W,MATCH(对话配置表!H$2,'#对话模型配置'!$1:$1,0),FALSE)</f>
        <v>icon_guidechara.smash</v>
      </c>
      <c r="I280" s="48" t="str">
        <f>VLOOKUP($F280,'#对话模型配置'!$A:$W,MATCH(对话配置表!I$2,'#对话模型配置'!$1:$1,0),FALSE)</f>
        <v>frame_s_xsdh_002</v>
      </c>
      <c r="J280" s="56" t="s">
        <v>1185</v>
      </c>
      <c r="K280" s="84" t="str">
        <f t="shared" si="22"/>
        <v>大人，请您多&lt;color=#FFCC71&gt;建造&lt;/color&gt;一些&lt;color=#FFCC71&gt;居民房舍&lt;/color&gt;，这样您的城镇才能容下更多的村民。</v>
      </c>
      <c r="U280" s="56">
        <v>1</v>
      </c>
      <c r="V280" s="56">
        <v>0</v>
      </c>
      <c r="X280" s="56">
        <v>0</v>
      </c>
      <c r="Y280" s="56" t="b">
        <v>0</v>
      </c>
      <c r="Z280" s="56" t="s">
        <v>1186</v>
      </c>
      <c r="AA280" s="56" t="b">
        <v>0</v>
      </c>
      <c r="AC280" s="56">
        <v>20001026</v>
      </c>
      <c r="AD280" s="56">
        <v>5.2253332138061497</v>
      </c>
      <c r="AE280" s="48">
        <f t="shared" si="23"/>
        <v>6.2253332138061497</v>
      </c>
      <c r="AF280" s="48"/>
      <c r="AG280" s="48"/>
      <c r="AH280" s="56">
        <v>0.1</v>
      </c>
      <c r="AL280" s="56">
        <v>25</v>
      </c>
      <c r="AM280" s="48">
        <f>VLOOKUP($F280,'#对话模型配置'!$A:$W,MATCH(对话配置表!AM$2,'#对话模型配置'!$1:$1,0),FALSE)</f>
        <v>30001001</v>
      </c>
      <c r="AN280" s="56" t="s">
        <v>700</v>
      </c>
      <c r="AT280" s="56" t="str">
        <f t="shared" si="20"/>
        <v>大人，请您多&lt;color=#FFCC71&gt;建造&lt;/color&gt;一些&lt;color=#FFCC71&gt;居民房舍&lt;/color&gt;，这样您的城镇才能容下更多的村民。</v>
      </c>
      <c r="AU280" s="56" t="s">
        <v>1187</v>
      </c>
      <c r="AV280" s="56">
        <f t="shared" si="24"/>
        <v>55205</v>
      </c>
      <c r="AW280" s="56" t="s">
        <v>714</v>
      </c>
      <c r="AX280" s="56" t="s">
        <v>715</v>
      </c>
    </row>
    <row r="281" spans="1:50" s="56" customFormat="1" ht="28">
      <c r="A281" s="56">
        <f t="shared" si="21"/>
        <v>55206</v>
      </c>
      <c r="B281" s="56" t="s">
        <v>679</v>
      </c>
      <c r="C281" s="56">
        <v>1</v>
      </c>
      <c r="D281" s="56" t="s">
        <v>716</v>
      </c>
      <c r="E281" s="56" t="s">
        <v>559</v>
      </c>
      <c r="F281" s="20" t="str">
        <f>VLOOKUP(G281,'#TID_base_up'!B:C,2,0)</f>
        <v>安德莉娅</v>
      </c>
      <c r="G281" s="56" t="s">
        <v>467</v>
      </c>
      <c r="H281" s="48" t="str">
        <f>VLOOKUP($F281,'#对话模型配置'!$A:$W,MATCH(对话配置表!H$2,'#对话模型配置'!$1:$1,0),FALSE)</f>
        <v>icon_guidechara.smash</v>
      </c>
      <c r="I281" s="48" t="str">
        <f>VLOOKUP($F281,'#对话模型配置'!$A:$W,MATCH(对话配置表!I$2,'#对话模型配置'!$1:$1,0),FALSE)</f>
        <v>frame_s_xsdh_002</v>
      </c>
      <c r="J281" s="56" t="s">
        <v>717</v>
      </c>
      <c r="K281" s="84" t="str">
        <f t="shared" si="22"/>
        <v>城内资源生产人手有些不足，请大人在城镇中心&lt;color=#FFCC71&gt;训练一批村民&lt;/color&gt;吧。</v>
      </c>
      <c r="U281" s="56">
        <v>1</v>
      </c>
      <c r="V281" s="56">
        <v>0</v>
      </c>
      <c r="X281" s="56">
        <v>0</v>
      </c>
      <c r="Y281" s="56" t="b">
        <v>0</v>
      </c>
      <c r="Z281" s="56" t="s">
        <v>1188</v>
      </c>
      <c r="AA281" s="56" t="b">
        <v>0</v>
      </c>
      <c r="AC281" s="56">
        <v>20001027</v>
      </c>
      <c r="AD281" s="56">
        <v>5.92533302307129</v>
      </c>
      <c r="AE281" s="48">
        <f t="shared" si="23"/>
        <v>6.92533302307129</v>
      </c>
      <c r="AF281" s="48"/>
      <c r="AG281" s="48"/>
      <c r="AH281" s="56">
        <v>0.1</v>
      </c>
      <c r="AL281" s="56">
        <v>25</v>
      </c>
      <c r="AM281" s="48">
        <f>VLOOKUP($F281,'#对话模型配置'!$A:$W,MATCH(对话配置表!AM$2,'#对话模型配置'!$1:$1,0),FALSE)</f>
        <v>30001001</v>
      </c>
      <c r="AN281" s="56" t="s">
        <v>693</v>
      </c>
      <c r="AT281" s="56" t="str">
        <f t="shared" si="20"/>
        <v>城内资源生产人手有些不足，请大人在城镇中心&lt;color=#FFCC71&gt;训练一批村民&lt;/color&gt;吧。</v>
      </c>
      <c r="AU281" s="56" t="s">
        <v>719</v>
      </c>
      <c r="AV281" s="56">
        <f t="shared" si="24"/>
        <v>55206</v>
      </c>
      <c r="AW281" s="56" t="s">
        <v>720</v>
      </c>
    </row>
    <row r="282" spans="1:50" s="56" customFormat="1" ht="28">
      <c r="A282" s="56">
        <f t="shared" si="21"/>
        <v>55207</v>
      </c>
      <c r="B282" s="56" t="s">
        <v>679</v>
      </c>
      <c r="C282" s="56">
        <v>1</v>
      </c>
      <c r="D282" s="56" t="s">
        <v>1189</v>
      </c>
      <c r="E282" s="56" t="s">
        <v>559</v>
      </c>
      <c r="F282" s="20" t="str">
        <f>VLOOKUP(G282,'#TID_base_up'!B:C,2,0)</f>
        <v>安德莉娅</v>
      </c>
      <c r="G282" s="56" t="s">
        <v>467</v>
      </c>
      <c r="H282" s="48" t="str">
        <f>VLOOKUP($F282,'#对话模型配置'!$A:$W,MATCH(对话配置表!H$2,'#对话模型配置'!$1:$1,0),FALSE)</f>
        <v>icon_guidechara.smash</v>
      </c>
      <c r="I282" s="48" t="str">
        <f>VLOOKUP($F282,'#对话模型配置'!$A:$W,MATCH(对话配置表!I$2,'#对话模型配置'!$1:$1,0),FALSE)</f>
        <v>frame_s_xsdh_002</v>
      </c>
      <c r="J282" s="56" t="s">
        <v>1190</v>
      </c>
      <c r="K282" s="84" t="str">
        <f t="shared" si="22"/>
        <v>作为领主，您可以&lt;color=#FFCC71&gt;自由调配村民&lt;/color&gt;的生产方案，以优先生产您需要的资源。</v>
      </c>
      <c r="U282" s="56">
        <v>1</v>
      </c>
      <c r="V282" s="56">
        <v>0</v>
      </c>
      <c r="X282" s="56">
        <v>0</v>
      </c>
      <c r="Y282" s="56" t="b">
        <v>0</v>
      </c>
      <c r="Z282" s="56" t="s">
        <v>1191</v>
      </c>
      <c r="AA282" s="56" t="b">
        <v>0</v>
      </c>
      <c r="AC282" s="56">
        <v>20001028</v>
      </c>
      <c r="AD282" s="56">
        <v>6.0693340301513699</v>
      </c>
      <c r="AE282" s="48">
        <f t="shared" si="23"/>
        <v>7.0693340301513699</v>
      </c>
      <c r="AF282" s="48"/>
      <c r="AG282" s="48"/>
      <c r="AH282" s="56">
        <v>0.1</v>
      </c>
      <c r="AL282" s="56">
        <v>25</v>
      </c>
      <c r="AM282" s="48">
        <f>VLOOKUP($F282,'#对话模型配置'!$A:$W,MATCH(对话配置表!AM$2,'#对话模型配置'!$1:$1,0),FALSE)</f>
        <v>30001001</v>
      </c>
      <c r="AN282" s="56" t="s">
        <v>724</v>
      </c>
      <c r="AT282" s="56" t="str">
        <f t="shared" si="20"/>
        <v>作为领主，您可以&lt;color=#FFCC71&gt;自由调配村民&lt;/color&gt;的生产方案，以优先生产您需要的资源。</v>
      </c>
      <c r="AU282" s="56" t="s">
        <v>1192</v>
      </c>
      <c r="AV282" s="56">
        <f t="shared" si="24"/>
        <v>55207</v>
      </c>
      <c r="AW282" s="56" t="s">
        <v>726</v>
      </c>
    </row>
    <row r="283" spans="1:50" s="56" customFormat="1" ht="28">
      <c r="A283" s="56">
        <f t="shared" si="21"/>
        <v>55208</v>
      </c>
      <c r="B283" s="56" t="s">
        <v>679</v>
      </c>
      <c r="C283" s="56">
        <v>1</v>
      </c>
      <c r="D283" s="56" t="s">
        <v>1193</v>
      </c>
      <c r="E283" s="56" t="s">
        <v>559</v>
      </c>
      <c r="F283" s="20" t="str">
        <f>VLOOKUP(G283,'#TID_base_up'!B:C,2,0)</f>
        <v>花木兰</v>
      </c>
      <c r="G283" s="56" t="s">
        <v>1145</v>
      </c>
      <c r="H283" s="48" t="str">
        <f>VLOOKUP($F283,'#对话模型配置'!$A:$W,MATCH(对话配置表!H$2,'#对话模型配置'!$1:$1,0),FALSE)</f>
        <v>icon_guidechara.smash</v>
      </c>
      <c r="I283" s="48" t="str">
        <f>VLOOKUP($F283,'#对话模型配置'!$A:$W,MATCH(对话配置表!I$2,'#对话模型配置'!$1:$1,0),FALSE)</f>
        <v>frame_s_xsdh_002</v>
      </c>
      <c r="J283" s="56" t="s">
        <v>1194</v>
      </c>
      <c r="K283" s="84" t="str">
        <f t="shared" si="22"/>
        <v>随着领地建设的深入，各种资源的需求会越来越大，大人不妨&lt;color=#FFCC71&gt;占领更多资源点&lt;/color&gt;。</v>
      </c>
      <c r="U283" s="56">
        <v>1</v>
      </c>
      <c r="V283" s="56">
        <v>0</v>
      </c>
      <c r="X283" s="56">
        <v>0</v>
      </c>
      <c r="Y283" s="56" t="b">
        <v>0</v>
      </c>
      <c r="Z283" s="56" t="s">
        <v>1195</v>
      </c>
      <c r="AA283" s="56" t="b">
        <v>0</v>
      </c>
      <c r="AC283" s="56">
        <v>20001029</v>
      </c>
      <c r="AD283" s="56">
        <v>7.4159998893737802</v>
      </c>
      <c r="AE283" s="48">
        <f t="shared" si="23"/>
        <v>8.4159998893737793</v>
      </c>
      <c r="AF283" s="48"/>
      <c r="AG283" s="48"/>
      <c r="AH283" s="56">
        <v>0.1</v>
      </c>
      <c r="AL283" s="56">
        <v>25</v>
      </c>
      <c r="AM283" s="48">
        <f>VLOOKUP($F283,'#对话模型配置'!$A:$W,MATCH(对话配置表!AM$2,'#对话模型配置'!$1:$1,0),FALSE)</f>
        <v>20001005</v>
      </c>
      <c r="AN283" s="56" t="s">
        <v>676</v>
      </c>
      <c r="AT283" s="56" t="str">
        <f t="shared" si="20"/>
        <v>随着领地建设的深入，各种资源的需求会越来越大，大人不妨&lt;color=#FFCC71&gt;占领更多资源点&lt;/color&gt;。</v>
      </c>
      <c r="AU283" s="56" t="s">
        <v>1196</v>
      </c>
      <c r="AV283" s="56">
        <f t="shared" si="24"/>
        <v>55208</v>
      </c>
      <c r="AW283" s="56" t="s">
        <v>1197</v>
      </c>
    </row>
    <row r="284" spans="1:50" s="56" customFormat="1" ht="28">
      <c r="A284" s="56">
        <f t="shared" si="21"/>
        <v>55301</v>
      </c>
      <c r="B284" s="56" t="s">
        <v>733</v>
      </c>
      <c r="C284" s="56">
        <v>1</v>
      </c>
      <c r="D284" s="56" t="s">
        <v>622</v>
      </c>
      <c r="E284" s="56" t="s">
        <v>559</v>
      </c>
      <c r="F284" s="20" t="str">
        <f>VLOOKUP(G284,'#TID_base_up'!B:C,2,0)</f>
        <v>花木兰</v>
      </c>
      <c r="G284" s="56" t="s">
        <v>1145</v>
      </c>
      <c r="H284" s="48" t="str">
        <f>VLOOKUP($F284,'#对话模型配置'!$A:$W,MATCH(对话配置表!H$2,'#对话模型配置'!$1:$1,0),FALSE)</f>
        <v>icon_guidechara.smash</v>
      </c>
      <c r="I284" s="48" t="str">
        <f>VLOOKUP($F284,'#对话模型配置'!$A:$W,MATCH(对话配置表!I$2,'#对话模型配置'!$1:$1,0),FALSE)</f>
        <v>frame_s_xsdh_002</v>
      </c>
      <c r="J284" s="56" t="s">
        <v>1198</v>
      </c>
      <c r="K284" s="84" t="str">
        <f t="shared" si="22"/>
        <v>在大人的勤奋治理下，&lt;color=#FFCC71&gt;领地发展&lt;/color&gt;逐渐走上正轨，大人果然既懂军事，又懂内政。</v>
      </c>
      <c r="U284" s="56">
        <v>1</v>
      </c>
      <c r="V284" s="56">
        <v>0</v>
      </c>
      <c r="X284" s="56">
        <v>0</v>
      </c>
      <c r="Y284" s="56" t="b">
        <v>0</v>
      </c>
      <c r="Z284" s="56" t="s">
        <v>1199</v>
      </c>
      <c r="AA284" s="56" t="b">
        <v>0</v>
      </c>
      <c r="AC284" s="56">
        <v>20001030</v>
      </c>
      <c r="AD284" s="56">
        <v>8.1013336181640607</v>
      </c>
      <c r="AE284" s="48">
        <f t="shared" si="23"/>
        <v>9.1013336181640607</v>
      </c>
      <c r="AF284" s="48"/>
      <c r="AG284" s="48"/>
      <c r="AH284" s="56">
        <v>0.1</v>
      </c>
      <c r="AL284" s="56">
        <v>25</v>
      </c>
      <c r="AM284" s="48">
        <f>VLOOKUP($F284,'#对话模型配置'!$A:$W,MATCH(对话配置表!AM$2,'#对话模型配置'!$1:$1,0),FALSE)</f>
        <v>20001005</v>
      </c>
      <c r="AN284" s="56" t="s">
        <v>676</v>
      </c>
      <c r="AT284" s="56" t="str">
        <f t="shared" si="20"/>
        <v>在大人的勤奋治理下，&lt;color=#FFCC71&gt;领地发展&lt;/color&gt;逐渐走上正轨，大人果然既懂军事，又懂内政。</v>
      </c>
      <c r="AU284" s="56" t="s">
        <v>1200</v>
      </c>
      <c r="AV284" s="56">
        <f t="shared" si="24"/>
        <v>55301</v>
      </c>
      <c r="AW284" s="56" t="s">
        <v>737</v>
      </c>
    </row>
    <row r="285" spans="1:50" s="56" customFormat="1" ht="28">
      <c r="A285" s="56">
        <f t="shared" si="21"/>
        <v>55301</v>
      </c>
      <c r="B285" s="56" t="s">
        <v>733</v>
      </c>
      <c r="C285" s="56">
        <v>2</v>
      </c>
      <c r="D285" s="56" t="s">
        <v>622</v>
      </c>
      <c r="E285" s="56" t="s">
        <v>559</v>
      </c>
      <c r="F285" s="20" t="str">
        <f>VLOOKUP(G285,'#TID_base_up'!B:C,2,0)</f>
        <v>安德莉娅</v>
      </c>
      <c r="G285" s="56" t="s">
        <v>467</v>
      </c>
      <c r="H285" s="48" t="str">
        <f>VLOOKUP($F285,'#对话模型配置'!$A:$W,MATCH(对话配置表!H$2,'#对话模型配置'!$1:$1,0),FALSE)</f>
        <v>icon_guidechara.smash</v>
      </c>
      <c r="I285" s="48" t="str">
        <f>VLOOKUP($F285,'#对话模型配置'!$A:$W,MATCH(对话配置表!I$2,'#对话模型配置'!$1:$1,0),FALSE)</f>
        <v>frame_s_xsdh_002</v>
      </c>
      <c r="J285" s="56" t="s">
        <v>1201</v>
      </c>
      <c r="K285" s="84" t="str">
        <f t="shared" si="22"/>
        <v>打铁要趁热，想要进一步强大，&lt;color=#FFCC71&gt;军事发展&lt;/color&gt;也不能落下。</v>
      </c>
      <c r="U285" s="56">
        <v>1</v>
      </c>
      <c r="V285" s="56">
        <v>0</v>
      </c>
      <c r="X285" s="56">
        <v>0</v>
      </c>
      <c r="Y285" s="56" t="b">
        <v>0</v>
      </c>
      <c r="Z285" s="56" t="s">
        <v>1202</v>
      </c>
      <c r="AA285" s="56" t="b">
        <v>1</v>
      </c>
      <c r="AC285" s="56">
        <v>20001031</v>
      </c>
      <c r="AD285" s="56">
        <v>6.1106672286987296</v>
      </c>
      <c r="AE285" s="48">
        <f t="shared" si="23"/>
        <v>7.1106672286987296</v>
      </c>
      <c r="AF285" s="48"/>
      <c r="AG285" s="48"/>
      <c r="AH285" s="56">
        <v>0.1</v>
      </c>
      <c r="AL285" s="56">
        <v>25</v>
      </c>
      <c r="AM285" s="48">
        <f>VLOOKUP($F285,'#对话模型配置'!$A:$W,MATCH(对话配置表!AM$2,'#对话模型配置'!$1:$1,0),FALSE)</f>
        <v>30001001</v>
      </c>
      <c r="AN285" s="56" t="s">
        <v>550</v>
      </c>
      <c r="AT285" s="56" t="str">
        <f t="shared" si="20"/>
        <v>打铁要趁热，想要进一步强大，&lt;color=#FFCC71&gt;军事发展&lt;/color&gt;也不能落下。</v>
      </c>
      <c r="AU285" s="56" t="s">
        <v>1203</v>
      </c>
      <c r="AV285" s="56">
        <f t="shared" si="24"/>
        <v>55301</v>
      </c>
      <c r="AW285" s="56" t="s">
        <v>743</v>
      </c>
    </row>
    <row r="286" spans="1:50" s="56" customFormat="1" ht="28">
      <c r="A286" s="56">
        <f t="shared" si="21"/>
        <v>55302</v>
      </c>
      <c r="B286" s="56" t="s">
        <v>733</v>
      </c>
      <c r="C286" s="56">
        <v>1</v>
      </c>
      <c r="D286" s="56" t="s">
        <v>750</v>
      </c>
      <c r="E286" s="56" t="s">
        <v>559</v>
      </c>
      <c r="F286" s="20" t="str">
        <f>VLOOKUP(G286,'#TID_base_up'!B:C,2,0)</f>
        <v>安德莉娅</v>
      </c>
      <c r="G286" s="56" t="s">
        <v>467</v>
      </c>
      <c r="H286" s="48" t="str">
        <f>VLOOKUP($F286,'#对话模型配置'!$A:$W,MATCH(对话配置表!H$2,'#对话模型配置'!$1:$1,0),FALSE)</f>
        <v>icon_guidechara.smash</v>
      </c>
      <c r="I286" s="48" t="str">
        <f>VLOOKUP($F286,'#对话模型配置'!$A:$W,MATCH(对话配置表!I$2,'#对话模型配置'!$1:$1,0),FALSE)</f>
        <v>frame_s_xsdh_002</v>
      </c>
      <c r="J286" s="56" t="s">
        <v>1204</v>
      </c>
      <c r="K286" s="84" t="str">
        <f t="shared" si="22"/>
        <v>持续&lt;color=#FFCC71&gt;升级城镇中心&lt;/color&gt;，才能保证领地的发展。</v>
      </c>
      <c r="U286" s="56">
        <v>1</v>
      </c>
      <c r="V286" s="56">
        <v>0</v>
      </c>
      <c r="X286" s="56">
        <v>0</v>
      </c>
      <c r="Y286" s="56" t="b">
        <v>0</v>
      </c>
      <c r="Z286" s="56" t="s">
        <v>1205</v>
      </c>
      <c r="AA286" s="56" t="b">
        <v>0</v>
      </c>
      <c r="AC286" s="56">
        <v>20001032</v>
      </c>
      <c r="AD286" s="56">
        <v>4.7973327636718697</v>
      </c>
      <c r="AE286" s="48">
        <f t="shared" si="23"/>
        <v>5.7973327636718697</v>
      </c>
      <c r="AF286" s="48"/>
      <c r="AG286" s="48"/>
      <c r="AH286" s="56">
        <v>0.1</v>
      </c>
      <c r="AL286" s="56">
        <v>25</v>
      </c>
      <c r="AM286" s="48">
        <f>VLOOKUP($F286,'#对话模型配置'!$A:$W,MATCH(对话配置表!AM$2,'#对话模型配置'!$1:$1,0),FALSE)</f>
        <v>30001001</v>
      </c>
      <c r="AN286" s="56" t="s">
        <v>753</v>
      </c>
      <c r="AT286" s="56" t="str">
        <f t="shared" si="20"/>
        <v>持续&lt;color=#FFCC71&gt;升级城镇中心&lt;/color&gt;，才能保证领地的发展。</v>
      </c>
      <c r="AU286" s="56" t="s">
        <v>1206</v>
      </c>
      <c r="AV286" s="56">
        <f t="shared" si="24"/>
        <v>55302</v>
      </c>
      <c r="AW286" s="56" t="s">
        <v>755</v>
      </c>
    </row>
    <row r="287" spans="1:50" s="56" customFormat="1" ht="28">
      <c r="A287" s="56">
        <f t="shared" si="21"/>
        <v>55303</v>
      </c>
      <c r="B287" s="56" t="s">
        <v>733</v>
      </c>
      <c r="C287" s="56">
        <v>1</v>
      </c>
      <c r="D287" s="56" t="s">
        <v>750</v>
      </c>
      <c r="E287" s="56" t="s">
        <v>559</v>
      </c>
      <c r="F287" s="20" t="str">
        <f>VLOOKUP(G287,'#TID_base_up'!B:C,2,0)</f>
        <v>安德莉娅</v>
      </c>
      <c r="G287" s="56" t="s">
        <v>467</v>
      </c>
      <c r="H287" s="48" t="str">
        <f>VLOOKUP($F287,'#对话模型配置'!$A:$W,MATCH(对话配置表!H$2,'#对话模型配置'!$1:$1,0),FALSE)</f>
        <v>icon_guidechara.smash</v>
      </c>
      <c r="I287" s="48" t="str">
        <f>VLOOKUP($F287,'#对话模型配置'!$A:$W,MATCH(对话配置表!I$2,'#对话模型配置'!$1:$1,0),FALSE)</f>
        <v>frame_s_xsdh_002</v>
      </c>
      <c r="J287" s="56" t="s">
        <v>1207</v>
      </c>
      <c r="K287" s="84" t="str">
        <f t="shared" si="22"/>
        <v>建筑可以免费升级时，请直接点击&lt;color=#FFCC71&gt;【免费完成】&lt;/color&gt;，让领地&lt;color=#FFCC71&gt;更快发展&lt;/color&gt;。</v>
      </c>
      <c r="U287" s="56">
        <v>1</v>
      </c>
      <c r="V287" s="56">
        <v>0</v>
      </c>
      <c r="X287" s="56">
        <v>0</v>
      </c>
      <c r="Y287" s="56" t="b">
        <v>0</v>
      </c>
      <c r="Z287" s="56" t="s">
        <v>1208</v>
      </c>
      <c r="AA287" s="56" t="b">
        <v>0</v>
      </c>
      <c r="AC287" s="56">
        <v>20001033</v>
      </c>
      <c r="AD287" s="56">
        <v>5.34800004959106</v>
      </c>
      <c r="AE287" s="48">
        <f t="shared" si="23"/>
        <v>6.34800004959106</v>
      </c>
      <c r="AF287" s="48"/>
      <c r="AG287" s="48"/>
      <c r="AH287" s="56">
        <v>0.1</v>
      </c>
      <c r="AL287" s="56">
        <v>25</v>
      </c>
      <c r="AM287" s="48">
        <f>VLOOKUP($F287,'#对话模型配置'!$A:$W,MATCH(对话配置表!AM$2,'#对话模型配置'!$1:$1,0),FALSE)</f>
        <v>30001001</v>
      </c>
      <c r="AN287" s="56" t="s">
        <v>724</v>
      </c>
      <c r="AT287" s="56" t="str">
        <f t="shared" si="20"/>
        <v>建筑可以免费升级时，请直接点击&lt;color=#FFCC71&gt;【免费完成】&lt;/color&gt;，让领地&lt;color=#FFCC71&gt;更快发展&lt;/color&gt;。</v>
      </c>
      <c r="AU287" s="56" t="s">
        <v>1209</v>
      </c>
      <c r="AV287" s="56">
        <f t="shared" si="24"/>
        <v>55303</v>
      </c>
      <c r="AW287" s="56" t="s">
        <v>1210</v>
      </c>
      <c r="AX287" s="56" t="s">
        <v>1211</v>
      </c>
    </row>
    <row r="288" spans="1:50" s="56" customFormat="1" ht="28">
      <c r="A288" s="56">
        <f t="shared" si="21"/>
        <v>55304</v>
      </c>
      <c r="B288" s="56" t="s">
        <v>733</v>
      </c>
      <c r="C288" s="56">
        <v>1</v>
      </c>
      <c r="D288" s="56" t="s">
        <v>762</v>
      </c>
      <c r="E288" s="56" t="s">
        <v>559</v>
      </c>
      <c r="F288" s="20" t="str">
        <f>VLOOKUP(G288,'#TID_base_up'!B:C,2,0)</f>
        <v>安德莉娅</v>
      </c>
      <c r="G288" s="56" t="s">
        <v>467</v>
      </c>
      <c r="H288" s="48" t="str">
        <f>VLOOKUP($F288,'#对话模型配置'!$A:$W,MATCH(对话配置表!H$2,'#对话模型配置'!$1:$1,0),FALSE)</f>
        <v>icon_guidechara.smash</v>
      </c>
      <c r="I288" s="48" t="str">
        <f>VLOOKUP($F288,'#对话模型配置'!$A:$W,MATCH(对话配置表!I$2,'#对话模型配置'!$1:$1,0),FALSE)</f>
        <v>frame_s_xsdh_002</v>
      </c>
      <c r="J288" s="56" t="s">
        <v>1212</v>
      </c>
      <c r="K288" s="84" t="str">
        <f t="shared" si="22"/>
        <v>请您&lt;color=#FFCC71&gt;升级居民房舍&lt;/color&gt;，升级后能容纳更多的村民，&lt;color=#FFCC71&gt;提升村民人口上限&lt;/color&gt;。</v>
      </c>
      <c r="U288" s="56">
        <v>1</v>
      </c>
      <c r="V288" s="56">
        <v>0</v>
      </c>
      <c r="X288" s="56">
        <v>0</v>
      </c>
      <c r="Y288" s="56" t="b">
        <v>0</v>
      </c>
      <c r="Z288" s="56" t="s">
        <v>1213</v>
      </c>
      <c r="AA288" s="56" t="b">
        <v>0</v>
      </c>
      <c r="AC288" s="56">
        <v>20001034</v>
      </c>
      <c r="AD288" s="56">
        <v>5.2053332328796396</v>
      </c>
      <c r="AE288" s="48">
        <f t="shared" si="23"/>
        <v>6.2053332328796396</v>
      </c>
      <c r="AF288" s="48"/>
      <c r="AG288" s="48"/>
      <c r="AH288" s="56">
        <v>0.1</v>
      </c>
      <c r="AL288" s="56">
        <v>25</v>
      </c>
      <c r="AM288" s="48">
        <f>VLOOKUP($F288,'#对话模型配置'!$A:$W,MATCH(对话配置表!AM$2,'#对话模型配置'!$1:$1,0),FALSE)</f>
        <v>30001001</v>
      </c>
      <c r="AN288" s="56" t="s">
        <v>765</v>
      </c>
      <c r="AT288" s="56" t="str">
        <f t="shared" si="20"/>
        <v>请您&lt;color=#FFCC71&gt;升级居民房舍&lt;/color&gt;，升级后能容纳更多的村民，&lt;color=#FFCC71&gt;提升村民人口上限&lt;/color&gt;。</v>
      </c>
      <c r="AU288" s="56" t="s">
        <v>1214</v>
      </c>
      <c r="AV288" s="56">
        <f t="shared" si="24"/>
        <v>55304</v>
      </c>
      <c r="AW288" s="56" t="s">
        <v>1215</v>
      </c>
      <c r="AX288" s="56" t="s">
        <v>1216</v>
      </c>
    </row>
    <row r="289" spans="1:50" s="56" customFormat="1" ht="28">
      <c r="A289" s="56">
        <f t="shared" si="21"/>
        <v>55305</v>
      </c>
      <c r="B289" s="56" t="s">
        <v>733</v>
      </c>
      <c r="C289" s="56">
        <v>1</v>
      </c>
      <c r="D289" s="56" t="s">
        <v>769</v>
      </c>
      <c r="E289" s="56" t="s">
        <v>559</v>
      </c>
      <c r="F289" s="20" t="str">
        <f>VLOOKUP(G289,'#TID_base_up'!B:C,2,0)</f>
        <v>花木兰</v>
      </c>
      <c r="G289" s="56" t="s">
        <v>1145</v>
      </c>
      <c r="H289" s="48" t="str">
        <f>VLOOKUP($F289,'#对话模型配置'!$A:$W,MATCH(对话配置表!H$2,'#对话模型配置'!$1:$1,0),FALSE)</f>
        <v>icon_guidechara.smash</v>
      </c>
      <c r="I289" s="48" t="str">
        <f>VLOOKUP($F289,'#对话模型配置'!$A:$W,MATCH(对话配置表!I$2,'#对话模型配置'!$1:$1,0),FALSE)</f>
        <v>frame_s_xsdh_002</v>
      </c>
      <c r="J289" s="56" t="s">
        <v>1217</v>
      </c>
      <c r="K289" s="84" t="str">
        <f t="shared" si="22"/>
        <v>我们还得先&lt;color=#FFCC71&gt;修整一下兵营&lt;/color&gt;，就可以快速发展我们的军队了。</v>
      </c>
      <c r="U289" s="56">
        <v>1</v>
      </c>
      <c r="V289" s="56">
        <v>0</v>
      </c>
      <c r="X289" s="56">
        <v>0</v>
      </c>
      <c r="Y289" s="56" t="b">
        <v>0</v>
      </c>
      <c r="Z289" s="56" t="s">
        <v>1218</v>
      </c>
      <c r="AA289" s="56" t="b">
        <v>0</v>
      </c>
      <c r="AC289" s="56">
        <v>20001035</v>
      </c>
      <c r="AD289" s="56">
        <v>3.72399997711182</v>
      </c>
      <c r="AE289" s="48">
        <f t="shared" si="23"/>
        <v>4.72399997711182</v>
      </c>
      <c r="AF289" s="48"/>
      <c r="AG289" s="48"/>
      <c r="AH289" s="56">
        <v>0.1</v>
      </c>
      <c r="AL289" s="56">
        <v>25</v>
      </c>
      <c r="AM289" s="48">
        <f>VLOOKUP($F289,'#对话模型配置'!$A:$W,MATCH(对话配置表!AM$2,'#对话模型配置'!$1:$1,0),FALSE)</f>
        <v>20001005</v>
      </c>
      <c r="AN289" s="56" t="s">
        <v>655</v>
      </c>
      <c r="AT289" s="56" t="str">
        <f t="shared" si="20"/>
        <v>我们还得先&lt;color=#FFCC71&gt;修整一下兵营&lt;/color&gt;，就可以快速发展我们的军队了。</v>
      </c>
      <c r="AU289" s="56" t="s">
        <v>1219</v>
      </c>
      <c r="AV289" s="56">
        <f t="shared" si="24"/>
        <v>55305</v>
      </c>
      <c r="AW289" s="56" t="s">
        <v>1220</v>
      </c>
    </row>
    <row r="290" spans="1:50" s="56" customFormat="1" ht="42">
      <c r="A290" s="56">
        <f t="shared" si="21"/>
        <v>55306</v>
      </c>
      <c r="B290" s="56" t="s">
        <v>733</v>
      </c>
      <c r="C290" s="56">
        <v>1</v>
      </c>
      <c r="D290" s="56" t="s">
        <v>775</v>
      </c>
      <c r="E290" s="56" t="s">
        <v>559</v>
      </c>
      <c r="F290" s="20" t="str">
        <f>VLOOKUP(G290,'#TID_base_up'!B:C,2,0)</f>
        <v>花木兰</v>
      </c>
      <c r="G290" s="56" t="s">
        <v>1145</v>
      </c>
      <c r="H290" s="48" t="str">
        <f>VLOOKUP($F290,'#对话模型配置'!$A:$W,MATCH(对话配置表!H$2,'#对话模型配置'!$1:$1,0),FALSE)</f>
        <v>icon_guidechara.smash</v>
      </c>
      <c r="I290" s="48" t="str">
        <f>VLOOKUP($F290,'#对话模型配置'!$A:$W,MATCH(对话配置表!I$2,'#对话模型配置'!$1:$1,0),FALSE)</f>
        <v>frame_s_xsdh_002</v>
      </c>
      <c r="J290" s="56" t="s">
        <v>1221</v>
      </c>
      <c r="K290" s="84" t="str">
        <f t="shared" si="22"/>
        <v>扩大地盘，&lt;color=#FFCC71&gt;提升实力&lt;/color&gt;，都离不开一个最基本的条件，那就是要有&lt;color=#FFCC71&gt;足够多的士兵&lt;/color&gt;！</v>
      </c>
      <c r="U290" s="56">
        <v>1</v>
      </c>
      <c r="V290" s="56">
        <v>0</v>
      </c>
      <c r="X290" s="56">
        <v>0</v>
      </c>
      <c r="Y290" s="56" t="b">
        <v>0</v>
      </c>
      <c r="Z290" s="56" t="s">
        <v>1222</v>
      </c>
      <c r="AA290" s="56" t="b">
        <v>0</v>
      </c>
      <c r="AC290" s="56">
        <v>20001036</v>
      </c>
      <c r="AD290" s="56">
        <v>6.3626670837402299</v>
      </c>
      <c r="AE290" s="48">
        <f t="shared" si="23"/>
        <v>7.3626670837402299</v>
      </c>
      <c r="AF290" s="48"/>
      <c r="AG290" s="48"/>
      <c r="AH290" s="56">
        <v>0.1</v>
      </c>
      <c r="AL290" s="56">
        <v>25</v>
      </c>
      <c r="AM290" s="48">
        <f>VLOOKUP($F290,'#对话模型配置'!$A:$W,MATCH(对话配置表!AM$2,'#对话模型配置'!$1:$1,0),FALSE)</f>
        <v>20001005</v>
      </c>
      <c r="AN290" s="56" t="s">
        <v>676</v>
      </c>
      <c r="AT290" s="56" t="str">
        <f t="shared" si="20"/>
        <v>扩大地盘，&lt;color=#FFCC71&gt;提升实力&lt;/color&gt;，都离不开一个最基本的条件，那就是要有&lt;color=#FFCC71&gt;足够多的士兵&lt;/color&gt;！</v>
      </c>
      <c r="AU290" s="56" t="s">
        <v>778</v>
      </c>
      <c r="AV290" s="56">
        <f t="shared" si="24"/>
        <v>55306</v>
      </c>
      <c r="AW290" s="56" t="s">
        <v>780</v>
      </c>
      <c r="AX290" s="56" t="s">
        <v>781</v>
      </c>
    </row>
    <row r="291" spans="1:50" s="56" customFormat="1" ht="28">
      <c r="A291" s="56">
        <f t="shared" si="21"/>
        <v>55307</v>
      </c>
      <c r="B291" s="56" t="s">
        <v>733</v>
      </c>
      <c r="C291" s="56">
        <v>1</v>
      </c>
      <c r="D291" s="56" t="s">
        <v>775</v>
      </c>
      <c r="E291" s="56" t="s">
        <v>559</v>
      </c>
      <c r="F291" s="20" t="str">
        <f>VLOOKUP(G291,'#TID_base_up'!B:C,2,0)</f>
        <v>花木兰</v>
      </c>
      <c r="G291" s="56" t="s">
        <v>1145</v>
      </c>
      <c r="H291" s="48" t="str">
        <f>VLOOKUP($F291,'#对话模型配置'!$A:$W,MATCH(对话配置表!H$2,'#对话模型配置'!$1:$1,0),FALSE)</f>
        <v>icon_guidechara.smash</v>
      </c>
      <c r="I291" s="48" t="str">
        <f>VLOOKUP($F291,'#对话模型配置'!$A:$W,MATCH(对话配置表!I$2,'#对话模型配置'!$1:$1,0),FALSE)</f>
        <v>frame_s_xsdh_002</v>
      </c>
      <c r="J291" s="56" t="s">
        <v>1223</v>
      </c>
      <c r="K291" s="84" t="str">
        <f t="shared" si="22"/>
        <v>在面对紧急情况时，&lt;color=#FFCC71&gt;加速训练&lt;/color&gt;可以给您提供更快捷的兵源。</v>
      </c>
      <c r="U291" s="56">
        <v>1</v>
      </c>
      <c r="V291" s="56">
        <v>0</v>
      </c>
      <c r="X291" s="56">
        <v>0</v>
      </c>
      <c r="Y291" s="56" t="b">
        <v>0</v>
      </c>
      <c r="Z291" s="56" t="s">
        <v>1224</v>
      </c>
      <c r="AA291" s="56" t="b">
        <v>0</v>
      </c>
      <c r="AC291" s="56">
        <v>20001037</v>
      </c>
      <c r="AD291" s="56">
        <v>4.2519998550415004</v>
      </c>
      <c r="AE291" s="48">
        <f t="shared" si="23"/>
        <v>5.2519998550415004</v>
      </c>
      <c r="AF291" s="48"/>
      <c r="AG291" s="48"/>
      <c r="AH291" s="56">
        <v>0.1</v>
      </c>
      <c r="AL291" s="56">
        <v>25</v>
      </c>
      <c r="AM291" s="48">
        <f>VLOOKUP($F291,'#对话模型配置'!$A:$W,MATCH(对话配置表!AM$2,'#对话模型配置'!$1:$1,0),FALSE)</f>
        <v>20001005</v>
      </c>
      <c r="AN291" s="56" t="s">
        <v>643</v>
      </c>
      <c r="AT291" s="56" t="str">
        <f t="shared" si="20"/>
        <v>在面对紧急情况时，&lt;color=#FFCC71&gt;加速训练&lt;/color&gt;可以给您提供更快捷的兵源。</v>
      </c>
      <c r="AU291" s="56" t="s">
        <v>1225</v>
      </c>
      <c r="AV291" s="56">
        <f t="shared" si="24"/>
        <v>55307</v>
      </c>
      <c r="AW291" s="56" t="s">
        <v>785</v>
      </c>
    </row>
    <row r="292" spans="1:50" s="56" customFormat="1" ht="28">
      <c r="A292" s="56">
        <f t="shared" si="21"/>
        <v>55308</v>
      </c>
      <c r="B292" s="56" t="s">
        <v>733</v>
      </c>
      <c r="C292" s="56">
        <v>1</v>
      </c>
      <c r="D292" s="56" t="s">
        <v>786</v>
      </c>
      <c r="E292" s="56" t="s">
        <v>559</v>
      </c>
      <c r="F292" s="20" t="str">
        <f>VLOOKUP(G292,'#TID_base_up'!B:C,2,0)</f>
        <v>花木兰</v>
      </c>
      <c r="G292" s="56" t="s">
        <v>1145</v>
      </c>
      <c r="H292" s="48" t="str">
        <f>VLOOKUP($F292,'#对话模型配置'!$A:$W,MATCH(对话配置表!H$2,'#对话模型配置'!$1:$1,0),FALSE)</f>
        <v>icon_guidechara.smash</v>
      </c>
      <c r="I292" s="48" t="str">
        <f>VLOOKUP($F292,'#对话模型配置'!$A:$W,MATCH(对话配置表!I$2,'#对话模型配置'!$1:$1,0),FALSE)</f>
        <v>frame_s_xsdh_002</v>
      </c>
      <c r="J292" s="56" t="s">
        <v>787</v>
      </c>
      <c r="K292" s="84" t="str">
        <f t="shared" si="22"/>
        <v>养兵千日用在一时，是时候让那些&lt;color=#FFCC71&gt;侵占良田的蛮族&lt;/color&gt;付出更大的代价了！</v>
      </c>
      <c r="U292" s="56">
        <v>1</v>
      </c>
      <c r="V292" s="56">
        <v>0</v>
      </c>
      <c r="X292" s="56">
        <v>0</v>
      </c>
      <c r="Y292" s="56" t="b">
        <v>0</v>
      </c>
      <c r="Z292" s="56" t="s">
        <v>1226</v>
      </c>
      <c r="AA292" s="56" t="b">
        <v>0</v>
      </c>
      <c r="AC292" s="56">
        <v>20001038</v>
      </c>
      <c r="AD292" s="56">
        <v>4.1093339920043901</v>
      </c>
      <c r="AE292" s="48">
        <f t="shared" si="23"/>
        <v>5.1093339920043901</v>
      </c>
      <c r="AF292" s="48"/>
      <c r="AG292" s="48"/>
      <c r="AH292" s="56">
        <v>0.1</v>
      </c>
      <c r="AL292" s="56">
        <v>25</v>
      </c>
      <c r="AM292" s="48">
        <f>VLOOKUP($F292,'#对话模型配置'!$A:$W,MATCH(对话配置表!AM$2,'#对话模型配置'!$1:$1,0),FALSE)</f>
        <v>20001005</v>
      </c>
      <c r="AN292" s="56" t="s">
        <v>655</v>
      </c>
      <c r="AT292" s="56" t="str">
        <f t="shared" si="20"/>
        <v>养兵千日用在一时，是时候让那些&lt;color=#FFCC71&gt;侵占良田的蛮族&lt;/color&gt;付出更大的代价了！</v>
      </c>
      <c r="AU292" s="56" t="s">
        <v>789</v>
      </c>
      <c r="AV292" s="56">
        <f t="shared" si="24"/>
        <v>55308</v>
      </c>
      <c r="AW292" s="56" t="s">
        <v>790</v>
      </c>
    </row>
    <row r="293" spans="1:50" s="56" customFormat="1" ht="42">
      <c r="A293" s="56">
        <f t="shared" si="21"/>
        <v>55401</v>
      </c>
      <c r="B293" s="56" t="s">
        <v>791</v>
      </c>
      <c r="C293" s="56">
        <v>1</v>
      </c>
      <c r="D293" s="56" t="s">
        <v>622</v>
      </c>
      <c r="E293" s="56" t="s">
        <v>559</v>
      </c>
      <c r="F293" s="20" t="str">
        <f>VLOOKUP(G293,'#TID_base_up'!B:C,2,0)</f>
        <v>关羽</v>
      </c>
      <c r="G293" s="56" t="s">
        <v>792</v>
      </c>
      <c r="H293" s="48" t="str">
        <f>VLOOKUP($F293,'#对话模型配置'!$A:$W,MATCH(对话配置表!H$2,'#对话模型配置'!$1:$1,0),FALSE)</f>
        <v>icon_guidechara.smash</v>
      </c>
      <c r="I293" s="48" t="str">
        <f>VLOOKUP($F293,'#对话模型配置'!$A:$W,MATCH(对话配置表!I$2,'#对话模型配置'!$1:$1,0),FALSE)</f>
        <v>frame_s_xsdh_002</v>
      </c>
      <c r="J293" s="56" t="s">
        <v>793</v>
      </c>
      <c r="K293" s="84" t="str">
        <f t="shared" si="22"/>
        <v>在下周游至此，听闻领主大人&lt;color=#FFCC71&gt;皇城一役&lt;/color&gt;，&lt;color=#FFCC71&gt;孤军救主&lt;/color&gt;，以一己之力抗衡百万蛮军，如此胆识颇有老夫当年之勇。</v>
      </c>
      <c r="U293" s="56">
        <v>1</v>
      </c>
      <c r="V293" s="56">
        <v>0</v>
      </c>
      <c r="X293" s="56">
        <v>0</v>
      </c>
      <c r="Y293" s="56" t="b">
        <v>0</v>
      </c>
      <c r="Z293" s="56" t="s">
        <v>1227</v>
      </c>
      <c r="AA293" s="56" t="b">
        <v>0</v>
      </c>
      <c r="AC293" s="56">
        <v>20001039</v>
      </c>
      <c r="AD293" s="56">
        <v>11.354666709899901</v>
      </c>
      <c r="AE293" s="48">
        <f t="shared" si="23"/>
        <v>12.354666709899901</v>
      </c>
      <c r="AF293" s="48"/>
      <c r="AG293" s="48"/>
      <c r="AH293" s="56">
        <v>0.1</v>
      </c>
      <c r="AL293" s="56">
        <v>25</v>
      </c>
      <c r="AM293" s="48">
        <f>VLOOKUP($F293,'#对话模型配置'!$A:$W,MATCH(对话配置表!AM$2,'#对话模型配置'!$1:$1,0),FALSE)</f>
        <v>20001004</v>
      </c>
      <c r="AN293" s="56" t="s">
        <v>795</v>
      </c>
      <c r="AT293" s="56" t="str">
        <f t="shared" si="20"/>
        <v>在下周游至此，听闻领主大人&lt;color=#FFCC71&gt;皇城一役&lt;/color&gt;，&lt;color=#FFCC71&gt;孤军救主&lt;/color&gt;，以一己之力抗衡百万蛮军，如此胆识颇有老夫当年之勇。</v>
      </c>
      <c r="AU293" s="56" t="s">
        <v>796</v>
      </c>
      <c r="AV293" s="56">
        <f t="shared" si="24"/>
        <v>55401</v>
      </c>
      <c r="AW293" s="56" t="s">
        <v>797</v>
      </c>
      <c r="AX293" s="56" t="s">
        <v>798</v>
      </c>
    </row>
    <row r="294" spans="1:50" s="56" customFormat="1" ht="28">
      <c r="A294" s="56">
        <f t="shared" si="21"/>
        <v>55401</v>
      </c>
      <c r="B294" s="56" t="s">
        <v>791</v>
      </c>
      <c r="C294" s="56">
        <v>2</v>
      </c>
      <c r="D294" s="56" t="s">
        <v>622</v>
      </c>
      <c r="E294" s="56" t="s">
        <v>559</v>
      </c>
      <c r="F294" s="20" t="str">
        <f>VLOOKUP(G294,'#TID_base_up'!B:C,2,0)</f>
        <v>关羽</v>
      </c>
      <c r="G294" s="56" t="s">
        <v>792</v>
      </c>
      <c r="H294" s="48" t="str">
        <f>VLOOKUP($F294,'#对话模型配置'!$A:$W,MATCH(对话配置表!H$2,'#对话模型配置'!$1:$1,0),FALSE)</f>
        <v>icon_guidechara.smash</v>
      </c>
      <c r="I294" s="48" t="str">
        <f>VLOOKUP($F294,'#对话模型配置'!$A:$W,MATCH(对话配置表!I$2,'#对话模型配置'!$1:$1,0),FALSE)</f>
        <v>frame_s_xsdh_002</v>
      </c>
      <c r="J294" s="56" t="s">
        <v>1228</v>
      </c>
      <c r="K294" s="84" t="str">
        <f t="shared" si="22"/>
        <v>接下来我将帮助大人了解，如何进行&lt;color=#FFCC71&gt;英雄培养&lt;/color&gt;。</v>
      </c>
      <c r="U294" s="56">
        <v>1</v>
      </c>
      <c r="V294" s="56">
        <v>0</v>
      </c>
      <c r="X294" s="56">
        <v>0</v>
      </c>
      <c r="Y294" s="56" t="b">
        <v>0</v>
      </c>
      <c r="Z294" s="56" t="s">
        <v>1229</v>
      </c>
      <c r="AA294" s="56" t="b">
        <v>1</v>
      </c>
      <c r="AC294" s="56">
        <v>20001040</v>
      </c>
      <c r="AD294" s="56">
        <v>2.8853330612182599</v>
      </c>
      <c r="AE294" s="48">
        <f t="shared" si="23"/>
        <v>3.8853330612182599</v>
      </c>
      <c r="AF294" s="48"/>
      <c r="AG294" s="48"/>
      <c r="AH294" s="56">
        <v>0.1</v>
      </c>
      <c r="AL294" s="56">
        <v>25</v>
      </c>
      <c r="AM294" s="48">
        <f>VLOOKUP($F294,'#对话模型配置'!$A:$W,MATCH(对话配置表!AM$2,'#对话模型配置'!$1:$1,0),FALSE)</f>
        <v>20001004</v>
      </c>
      <c r="AN294" s="56" t="s">
        <v>801</v>
      </c>
      <c r="AT294" s="56" t="str">
        <f t="shared" si="20"/>
        <v>接下来我将帮助大人了解，如何进行&lt;color=#FFCC71&gt;英雄培养&lt;/color&gt;。</v>
      </c>
      <c r="AU294" s="56" t="s">
        <v>1230</v>
      </c>
      <c r="AV294" s="56">
        <f t="shared" si="24"/>
        <v>55401</v>
      </c>
      <c r="AW294" s="56" t="s">
        <v>803</v>
      </c>
    </row>
    <row r="295" spans="1:50" s="56" customFormat="1" ht="42">
      <c r="A295" s="56">
        <f t="shared" ref="A295:A326" si="25">IF(B295=B294,IF(C295&gt;1,A294,A294+1),55000+SUBSTITUTE(SUBSTITUTE(B295,"第",""),"章","")*100+1)</f>
        <v>55402</v>
      </c>
      <c r="B295" s="56" t="s">
        <v>791</v>
      </c>
      <c r="C295" s="56">
        <v>1</v>
      </c>
      <c r="D295" s="56" t="s">
        <v>1231</v>
      </c>
      <c r="E295" s="56" t="s">
        <v>559</v>
      </c>
      <c r="F295" s="20" t="str">
        <f>VLOOKUP(G295,'#TID_base_up'!B:C,2,0)</f>
        <v>关羽</v>
      </c>
      <c r="G295" s="56" t="s">
        <v>792</v>
      </c>
      <c r="H295" s="48" t="str">
        <f>VLOOKUP($F295,'#对话模型配置'!$A:$W,MATCH(对话配置表!H$2,'#对话模型配置'!$1:$1,0),FALSE)</f>
        <v>icon_guidechara.smash</v>
      </c>
      <c r="I295" s="48" t="str">
        <f>VLOOKUP($F295,'#对话模型配置'!$A:$W,MATCH(对话配置表!I$2,'#对话模型配置'!$1:$1,0),FALSE)</f>
        <v>frame_s_xsdh_002</v>
      </c>
      <c r="J295" s="56" t="s">
        <v>1232</v>
      </c>
      <c r="K295" s="84" t="str">
        <f t="shared" ref="K295:K326" si="26">AT295</f>
        <v>英雄&lt;color=#FFCC71&gt;固有技能&lt;/color&gt;都是他们的看家本领，请您务必注意&lt;color=#FFCC71&gt;优先升级&lt;/color&gt;，升级需要消耗技能点。</v>
      </c>
      <c r="U295" s="56">
        <v>1</v>
      </c>
      <c r="V295" s="56">
        <v>0</v>
      </c>
      <c r="X295" s="56">
        <v>0</v>
      </c>
      <c r="Y295" s="56" t="b">
        <v>0</v>
      </c>
      <c r="Z295" s="56" t="s">
        <v>1233</v>
      </c>
      <c r="AA295" s="56" t="b">
        <v>0</v>
      </c>
      <c r="AC295" s="56">
        <v>20001041</v>
      </c>
      <c r="AD295" s="56">
        <v>8.0373325347900408</v>
      </c>
      <c r="AE295" s="48">
        <f t="shared" ref="AE295:AE326" si="27">AD295+1</f>
        <v>9.0373325347900408</v>
      </c>
      <c r="AF295" s="48"/>
      <c r="AG295" s="48"/>
      <c r="AH295" s="56">
        <v>0.1</v>
      </c>
      <c r="AL295" s="56">
        <v>25</v>
      </c>
      <c r="AM295" s="48">
        <f>VLOOKUP($F295,'#对话模型配置'!$A:$W,MATCH(对话配置表!AM$2,'#对话模型配置'!$1:$1,0),FALSE)</f>
        <v>20001004</v>
      </c>
      <c r="AN295" s="56" t="s">
        <v>829</v>
      </c>
      <c r="AT295" s="56" t="str">
        <f t="shared" si="20"/>
        <v>英雄&lt;color=#FFCC71&gt;固有技能&lt;/color&gt;都是他们的看家本领，请您务必注意&lt;color=#FFCC71&gt;优先升级&lt;/color&gt;，升级需要消耗技能点。</v>
      </c>
      <c r="AU295" s="56" t="s">
        <v>1234</v>
      </c>
      <c r="AV295" s="56">
        <f t="shared" ref="AV295:AV326" si="28">A295</f>
        <v>55402</v>
      </c>
      <c r="AW295" s="56" t="s">
        <v>831</v>
      </c>
      <c r="AX295" s="56" t="s">
        <v>1235</v>
      </c>
    </row>
    <row r="296" spans="1:50" s="56" customFormat="1" ht="28">
      <c r="A296" s="56">
        <f t="shared" si="25"/>
        <v>55403</v>
      </c>
      <c r="B296" s="56" t="s">
        <v>791</v>
      </c>
      <c r="C296" s="56">
        <v>1</v>
      </c>
      <c r="D296" s="56" t="s">
        <v>834</v>
      </c>
      <c r="E296" s="56" t="s">
        <v>559</v>
      </c>
      <c r="F296" s="20" t="str">
        <f>VLOOKUP(G296,'#TID_base_up'!B:C,2,0)</f>
        <v>关羽</v>
      </c>
      <c r="G296" s="56" t="s">
        <v>792</v>
      </c>
      <c r="H296" s="48" t="str">
        <f>VLOOKUP($F296,'#对话模型配置'!$A:$W,MATCH(对话配置表!H$2,'#对话模型配置'!$1:$1,0),FALSE)</f>
        <v>icon_guidechara.smash</v>
      </c>
      <c r="I296" s="48" t="str">
        <f>VLOOKUP($F296,'#对话模型配置'!$A:$W,MATCH(对话配置表!I$2,'#对话模型配置'!$1:$1,0),FALSE)</f>
        <v>frame_s_xsdh_002</v>
      </c>
      <c r="J296" s="56" t="s">
        <v>1236</v>
      </c>
      <c r="K296" s="84" t="str">
        <f t="shared" si="26"/>
        <v>依在下看，敌人不过是一群乌合之众，我们有&lt;color=#FFCC71&gt;精兵良将&lt;/color&gt;，取胜如探囊取物，大人请下令吧。</v>
      </c>
      <c r="U296" s="56">
        <v>1</v>
      </c>
      <c r="V296" s="56">
        <v>0</v>
      </c>
      <c r="X296" s="56">
        <v>0</v>
      </c>
      <c r="Y296" s="56" t="b">
        <v>1</v>
      </c>
      <c r="Z296" s="56" t="s">
        <v>1237</v>
      </c>
      <c r="AA296" s="56" t="b">
        <v>0</v>
      </c>
      <c r="AC296" s="56">
        <v>20001042</v>
      </c>
      <c r="AD296" s="56">
        <v>10.598666191101101</v>
      </c>
      <c r="AE296" s="48">
        <f t="shared" si="27"/>
        <v>11.598666191101101</v>
      </c>
      <c r="AF296" s="48"/>
      <c r="AG296" s="48"/>
      <c r="AH296" s="56">
        <v>0.1</v>
      </c>
      <c r="AL296" s="56">
        <v>25</v>
      </c>
      <c r="AM296" s="48">
        <f>VLOOKUP($F296,'#对话模型配置'!$A:$W,MATCH(对话配置表!AM$2,'#对话模型配置'!$1:$1,0),FALSE)</f>
        <v>20001004</v>
      </c>
      <c r="AN296" s="56" t="s">
        <v>837</v>
      </c>
      <c r="AT296" s="56" t="str">
        <f t="shared" si="20"/>
        <v>依在下看，敌人不过是一群乌合之众，我们有&lt;color=#FFCC71&gt;精兵良将&lt;/color&gt;，取胜如探囊取物，大人请下令吧。</v>
      </c>
      <c r="AU296" s="56" t="s">
        <v>1238</v>
      </c>
      <c r="AV296" s="56">
        <f t="shared" si="28"/>
        <v>55403</v>
      </c>
      <c r="AW296" s="56" t="s">
        <v>1239</v>
      </c>
    </row>
    <row r="297" spans="1:50" s="56" customFormat="1" ht="28">
      <c r="A297" s="56">
        <f t="shared" si="25"/>
        <v>55501</v>
      </c>
      <c r="B297" s="56" t="s">
        <v>840</v>
      </c>
      <c r="C297" s="56">
        <v>1</v>
      </c>
      <c r="D297" s="56" t="s">
        <v>622</v>
      </c>
      <c r="E297" s="56" t="s">
        <v>559</v>
      </c>
      <c r="F297" s="20" t="str">
        <f>VLOOKUP(G297,'#TID_base_up'!B:C,2,0)</f>
        <v>花木兰</v>
      </c>
      <c r="G297" s="56" t="s">
        <v>1145</v>
      </c>
      <c r="H297" s="48" t="str">
        <f>VLOOKUP($F297,'#对话模型配置'!$A:$W,MATCH(对话配置表!H$2,'#对话模型配置'!$1:$1,0),FALSE)</f>
        <v>icon_guidechara.smash</v>
      </c>
      <c r="I297" s="48" t="str">
        <f>VLOOKUP($F297,'#对话模型配置'!$A:$W,MATCH(对话配置表!I$2,'#对话模型配置'!$1:$1,0),FALSE)</f>
        <v>frame_s_xsdh_002</v>
      </c>
      <c r="J297" s="56" t="s">
        <v>841</v>
      </c>
      <c r="K297" s="84" t="str">
        <f t="shared" si="26"/>
        <v>虽然目前局势一片大好，但是大人必须要&lt;color=#FFCC71&gt;保持清醒&lt;/color&gt;，不能被眼前的胜利冲昏了头脑。</v>
      </c>
      <c r="U297" s="56">
        <v>1</v>
      </c>
      <c r="V297" s="56">
        <v>0</v>
      </c>
      <c r="X297" s="56">
        <v>0</v>
      </c>
      <c r="Y297" s="56" t="b">
        <v>0</v>
      </c>
      <c r="Z297" s="56" t="s">
        <v>1240</v>
      </c>
      <c r="AA297" s="56" t="b">
        <v>0</v>
      </c>
      <c r="AC297" s="56">
        <v>20001043</v>
      </c>
      <c r="AD297" s="56">
        <v>5.9706668853759801</v>
      </c>
      <c r="AE297" s="48">
        <f t="shared" si="27"/>
        <v>6.9706668853759801</v>
      </c>
      <c r="AF297" s="48"/>
      <c r="AG297" s="48"/>
      <c r="AH297" s="56">
        <v>0.1</v>
      </c>
      <c r="AL297" s="56">
        <v>25</v>
      </c>
      <c r="AM297" s="48">
        <f>VLOOKUP($F297,'#对话模型配置'!$A:$W,MATCH(对话配置表!AM$2,'#对话模型配置'!$1:$1,0),FALSE)</f>
        <v>20001005</v>
      </c>
      <c r="AN297" s="56" t="s">
        <v>662</v>
      </c>
      <c r="AT297" s="56" t="str">
        <f t="shared" si="20"/>
        <v>虽然目前局势一片大好，但是大人必须要&lt;color=#FFCC71&gt;保持清醒&lt;/color&gt;，不能被眼前的胜利冲昏了头脑。</v>
      </c>
      <c r="AU297" s="56" t="s">
        <v>843</v>
      </c>
      <c r="AV297" s="56">
        <f t="shared" si="28"/>
        <v>55501</v>
      </c>
      <c r="AW297" s="56" t="s">
        <v>844</v>
      </c>
    </row>
    <row r="298" spans="1:50" s="56" customFormat="1" ht="28">
      <c r="A298" s="56">
        <f t="shared" si="25"/>
        <v>55501</v>
      </c>
      <c r="B298" s="56" t="s">
        <v>840</v>
      </c>
      <c r="C298" s="56">
        <v>2</v>
      </c>
      <c r="D298" s="56" t="s">
        <v>622</v>
      </c>
      <c r="E298" s="56" t="s">
        <v>559</v>
      </c>
      <c r="F298" s="20" t="str">
        <f>VLOOKUP(G298,'#TID_base_up'!B:C,2,0)</f>
        <v>关羽</v>
      </c>
      <c r="G298" s="56" t="s">
        <v>792</v>
      </c>
      <c r="H298" s="48" t="str">
        <f>VLOOKUP($F298,'#对话模型配置'!$A:$W,MATCH(对话配置表!H$2,'#对话模型配置'!$1:$1,0),FALSE)</f>
        <v>icon_guidechara.smash</v>
      </c>
      <c r="I298" s="48" t="str">
        <f>VLOOKUP($F298,'#对话模型配置'!$A:$W,MATCH(对话配置表!I$2,'#对话模型配置'!$1:$1,0),FALSE)</f>
        <v>frame_s_xsdh_002</v>
      </c>
      <c r="J298" s="56" t="s">
        <v>1241</v>
      </c>
      <c r="K298" s="84" t="str">
        <f t="shared" si="26"/>
        <v>领地和部队的&lt;color=#FFCC71&gt;进一步发展&lt;/color&gt;，切不可冒进，需要&lt;color=#FFCC71&gt;制定周详的谋略&lt;/color&gt;。</v>
      </c>
      <c r="U298" s="56">
        <v>1</v>
      </c>
      <c r="V298" s="56">
        <v>0</v>
      </c>
      <c r="X298" s="56">
        <v>0</v>
      </c>
      <c r="Y298" s="56" t="b">
        <v>0</v>
      </c>
      <c r="Z298" s="56" t="s">
        <v>1242</v>
      </c>
      <c r="AA298" s="56" t="b">
        <v>1</v>
      </c>
      <c r="AC298" s="56">
        <v>20001044</v>
      </c>
      <c r="AD298" s="56">
        <v>7.5986671447753897</v>
      </c>
      <c r="AE298" s="48">
        <f t="shared" si="27"/>
        <v>8.5986671447753906</v>
      </c>
      <c r="AF298" s="48"/>
      <c r="AG298" s="48"/>
      <c r="AH298" s="56">
        <v>0.1</v>
      </c>
      <c r="AL298" s="56">
        <v>25</v>
      </c>
      <c r="AM298" s="48">
        <f>VLOOKUP($F298,'#对话模型配置'!$A:$W,MATCH(对话配置表!AM$2,'#对话模型配置'!$1:$1,0),FALSE)</f>
        <v>20001004</v>
      </c>
      <c r="AN298" s="56" t="s">
        <v>829</v>
      </c>
      <c r="AT298" s="56" t="str">
        <f t="shared" si="20"/>
        <v>领地和部队的&lt;color=#FFCC71&gt;进一步发展&lt;/color&gt;，切不可冒进，需要&lt;color=#FFCC71&gt;制定周详的谋略&lt;/color&gt;。</v>
      </c>
      <c r="AU298" s="56" t="s">
        <v>1243</v>
      </c>
      <c r="AV298" s="56">
        <f t="shared" si="28"/>
        <v>55501</v>
      </c>
      <c r="AW298" s="56" t="s">
        <v>1244</v>
      </c>
      <c r="AX298" s="56" t="s">
        <v>1245</v>
      </c>
    </row>
    <row r="299" spans="1:50" s="56" customFormat="1" ht="28">
      <c r="A299" s="56">
        <f t="shared" si="25"/>
        <v>55502</v>
      </c>
      <c r="B299" s="56" t="s">
        <v>840</v>
      </c>
      <c r="C299" s="56">
        <v>1</v>
      </c>
      <c r="D299" s="56" t="s">
        <v>850</v>
      </c>
      <c r="E299" s="56" t="s">
        <v>559</v>
      </c>
      <c r="F299" s="20" t="str">
        <f>VLOOKUP(G299,'#TID_base_up'!B:C,2,0)</f>
        <v>花木兰</v>
      </c>
      <c r="G299" s="56" t="s">
        <v>1145</v>
      </c>
      <c r="H299" s="48" t="str">
        <f>VLOOKUP($F299,'#对话模型配置'!$A:$W,MATCH(对话配置表!H$2,'#对话模型配置'!$1:$1,0),FALSE)</f>
        <v>icon_guidechara.smash</v>
      </c>
      <c r="I299" s="48" t="str">
        <f>VLOOKUP($F299,'#对话模型配置'!$A:$W,MATCH(对话配置表!I$2,'#对话模型配置'!$1:$1,0),FALSE)</f>
        <v>frame_s_xsdh_002</v>
      </c>
      <c r="J299" s="56" t="s">
        <v>1246</v>
      </c>
      <c r="K299" s="84" t="str">
        <f t="shared" si="26"/>
        <v>周边的&lt;color=#FFCC71&gt;蛮族部队又在蠢蠢欲动&lt;/color&gt;，我们养精蓄锐也有一阵子了，正好可以拿他们练练兵。</v>
      </c>
      <c r="U299" s="56">
        <v>1</v>
      </c>
      <c r="V299" s="56">
        <v>0</v>
      </c>
      <c r="X299" s="56">
        <v>0</v>
      </c>
      <c r="Y299" s="56" t="b">
        <v>0</v>
      </c>
      <c r="Z299" s="56" t="s">
        <v>1247</v>
      </c>
      <c r="AA299" s="56" t="b">
        <v>0</v>
      </c>
      <c r="AC299" s="56">
        <v>20001045</v>
      </c>
      <c r="AD299" s="56">
        <v>4.8133339881896999</v>
      </c>
      <c r="AE299" s="48">
        <f t="shared" si="27"/>
        <v>5.8133339881896999</v>
      </c>
      <c r="AF299" s="48"/>
      <c r="AG299" s="48"/>
      <c r="AH299" s="56">
        <v>0.1</v>
      </c>
      <c r="AL299" s="56">
        <v>25</v>
      </c>
      <c r="AM299" s="48">
        <f>VLOOKUP($F299,'#对话模型配置'!$A:$W,MATCH(对话配置表!AM$2,'#对话模型配置'!$1:$1,0),FALSE)</f>
        <v>20001005</v>
      </c>
      <c r="AN299" s="56" t="s">
        <v>676</v>
      </c>
      <c r="AT299" s="56" t="str">
        <f t="shared" si="20"/>
        <v>周边的&lt;color=#FFCC71&gt;蛮族部队又在蠢蠢欲动&lt;/color&gt;，我们养精蓄锐也有一阵子了，正好可以拿他们练练兵。</v>
      </c>
      <c r="AU299" s="56" t="s">
        <v>858</v>
      </c>
      <c r="AV299" s="56">
        <f t="shared" si="28"/>
        <v>55502</v>
      </c>
      <c r="AW299" s="56" t="s">
        <v>1248</v>
      </c>
    </row>
    <row r="300" spans="1:50" s="56" customFormat="1" ht="42">
      <c r="A300" s="56">
        <f t="shared" si="25"/>
        <v>55503</v>
      </c>
      <c r="B300" s="56" t="s">
        <v>840</v>
      </c>
      <c r="C300" s="56">
        <v>1</v>
      </c>
      <c r="D300" s="56" t="s">
        <v>862</v>
      </c>
      <c r="E300" s="56" t="s">
        <v>559</v>
      </c>
      <c r="F300" s="20" t="str">
        <f>VLOOKUP(G300,'#TID_base_up'!B:C,2,0)</f>
        <v>关羽</v>
      </c>
      <c r="G300" s="56" t="s">
        <v>792</v>
      </c>
      <c r="H300" s="48" t="str">
        <f>VLOOKUP($F300,'#对话模型配置'!$A:$W,MATCH(对话配置表!H$2,'#对话模型配置'!$1:$1,0),FALSE)</f>
        <v>icon_guidechara.smash</v>
      </c>
      <c r="I300" s="48" t="str">
        <f>VLOOKUP($F300,'#对话模型配置'!$A:$W,MATCH(对话配置表!I$2,'#对话模型配置'!$1:$1,0),FALSE)</f>
        <v>frame_s_xsdh_002</v>
      </c>
      <c r="J300" s="56" t="s">
        <v>1249</v>
      </c>
      <c r="K300" s="84" t="str">
        <f t="shared" si="26"/>
        <v>&lt;color=#FFCC71&gt;攻打蛮族部队&lt;/color&gt;可以获得&lt;color=#FFCC71&gt;发展方略点数&lt;/color&gt;，积累一定点数可以制定新的发展方略。</v>
      </c>
      <c r="U300" s="56">
        <v>1</v>
      </c>
      <c r="V300" s="56">
        <v>0</v>
      </c>
      <c r="X300" s="56">
        <v>0</v>
      </c>
      <c r="Y300" s="56" t="b">
        <v>0</v>
      </c>
      <c r="Z300" s="56" t="s">
        <v>1250</v>
      </c>
      <c r="AA300" s="56" t="b">
        <v>0</v>
      </c>
      <c r="AC300" s="56">
        <v>20001046</v>
      </c>
      <c r="AD300" s="56">
        <v>7.4346671104431197</v>
      </c>
      <c r="AE300" s="48">
        <f t="shared" si="27"/>
        <v>8.4346671104431188</v>
      </c>
      <c r="AF300" s="48"/>
      <c r="AG300" s="48"/>
      <c r="AH300" s="56">
        <v>0.1</v>
      </c>
      <c r="AL300" s="56">
        <v>25</v>
      </c>
      <c r="AM300" s="48">
        <f>VLOOKUP($F300,'#对话模型配置'!$A:$W,MATCH(对话配置表!AM$2,'#对话模型配置'!$1:$1,0),FALSE)</f>
        <v>20001004</v>
      </c>
      <c r="AN300" s="56" t="s">
        <v>865</v>
      </c>
      <c r="AT300" s="56" t="str">
        <f t="shared" si="20"/>
        <v>&lt;color=#FFCC71&gt;攻打蛮族部队&lt;/color&gt;可以获得&lt;color=#FFCC71&gt;发展方略点数&lt;/color&gt;，积累一定点数可以制定新的发展方略。</v>
      </c>
      <c r="AU300" s="56" t="s">
        <v>866</v>
      </c>
      <c r="AV300" s="56">
        <f t="shared" si="28"/>
        <v>55503</v>
      </c>
      <c r="AW300" s="56" t="s">
        <v>867</v>
      </c>
      <c r="AX300" s="56" t="s">
        <v>1251</v>
      </c>
    </row>
    <row r="301" spans="1:50" s="56" customFormat="1" ht="28">
      <c r="A301" s="56">
        <f t="shared" si="25"/>
        <v>55504</v>
      </c>
      <c r="B301" s="56" t="s">
        <v>840</v>
      </c>
      <c r="C301" s="56">
        <v>1</v>
      </c>
      <c r="D301" s="56" t="s">
        <v>869</v>
      </c>
      <c r="E301" s="56" t="s">
        <v>559</v>
      </c>
      <c r="F301" s="20" t="str">
        <f>VLOOKUP(G301,'#TID_base_up'!B:C,2,0)</f>
        <v>关羽</v>
      </c>
      <c r="G301" s="56" t="s">
        <v>792</v>
      </c>
      <c r="H301" s="48" t="str">
        <f>VLOOKUP($F301,'#对话模型配置'!$A:$W,MATCH(对话配置表!H$2,'#对话模型配置'!$1:$1,0),FALSE)</f>
        <v>icon_guidechara.smash</v>
      </c>
      <c r="I301" s="48" t="str">
        <f>VLOOKUP($F301,'#对话模型配置'!$A:$W,MATCH(对话配置表!I$2,'#对话模型配置'!$1:$1,0),FALSE)</f>
        <v>frame_s_xsdh_002</v>
      </c>
      <c r="J301" s="56" t="s">
        <v>1252</v>
      </c>
      <c r="K301" s="84" t="str">
        <f t="shared" si="26"/>
        <v>展现谋略的时候到了，大人，请选择您的&lt;color=#FFCC71&gt;发展方略&lt;/color&gt;。</v>
      </c>
      <c r="U301" s="56">
        <v>1</v>
      </c>
      <c r="V301" s="56">
        <v>0</v>
      </c>
      <c r="X301" s="56">
        <v>0</v>
      </c>
      <c r="Y301" s="56" t="b">
        <v>0</v>
      </c>
      <c r="Z301" s="56" t="s">
        <v>1253</v>
      </c>
      <c r="AA301" s="56" t="b">
        <v>0</v>
      </c>
      <c r="AC301" s="56">
        <v>20001047</v>
      </c>
      <c r="AD301" s="56">
        <v>4.6399998664856001</v>
      </c>
      <c r="AE301" s="48">
        <f t="shared" si="27"/>
        <v>5.6399998664856001</v>
      </c>
      <c r="AF301" s="48"/>
      <c r="AG301" s="48"/>
      <c r="AH301" s="56">
        <v>0.1</v>
      </c>
      <c r="AL301" s="56">
        <v>25</v>
      </c>
      <c r="AM301" s="48">
        <f>VLOOKUP($F301,'#对话模型配置'!$A:$W,MATCH(对话配置表!AM$2,'#对话模型配置'!$1:$1,0),FALSE)</f>
        <v>20001004</v>
      </c>
      <c r="AN301" s="56" t="s">
        <v>801</v>
      </c>
      <c r="AT301" s="56" t="str">
        <f t="shared" si="20"/>
        <v>展现谋略的时候到了，大人，请选择您的&lt;color=#FFCC71&gt;发展方略&lt;/color&gt;。</v>
      </c>
      <c r="AU301" s="56" t="s">
        <v>1254</v>
      </c>
      <c r="AV301" s="56">
        <f t="shared" si="28"/>
        <v>55504</v>
      </c>
      <c r="AW301" s="56" t="s">
        <v>1255</v>
      </c>
    </row>
    <row r="302" spans="1:50" s="56" customFormat="1" ht="42">
      <c r="A302" s="56">
        <f t="shared" si="25"/>
        <v>55505</v>
      </c>
      <c r="B302" s="56" t="s">
        <v>840</v>
      </c>
      <c r="C302" s="56">
        <v>1</v>
      </c>
      <c r="D302" s="56" t="s">
        <v>874</v>
      </c>
      <c r="E302" s="56" t="s">
        <v>559</v>
      </c>
      <c r="F302" s="20" t="str">
        <f>VLOOKUP(G302,'#TID_base_up'!B:C,2,0)</f>
        <v>关羽</v>
      </c>
      <c r="G302" s="56" t="s">
        <v>792</v>
      </c>
      <c r="H302" s="48" t="str">
        <f>VLOOKUP($F302,'#对话模型配置'!$A:$W,MATCH(对话配置表!H$2,'#对话模型配置'!$1:$1,0),FALSE)</f>
        <v>icon_guidechara.smash</v>
      </c>
      <c r="I302" s="48" t="str">
        <f>VLOOKUP($F302,'#对话模型配置'!$A:$W,MATCH(对话配置表!I$2,'#对话模型配置'!$1:$1,0),FALSE)</f>
        <v>frame_s_xsdh_002</v>
      </c>
      <c r="J302" s="56" t="s">
        <v>875</v>
      </c>
      <c r="K302" s="84" t="str">
        <f t="shared" si="26"/>
        <v>大人英明，&lt;color=#FFCC71&gt;发展方略提升了我军战斗力&lt;/color&gt;，内城建设需要消耗大量的木材，这时候就需要攻占一些木材资源点。</v>
      </c>
      <c r="U302" s="56">
        <v>1</v>
      </c>
      <c r="V302" s="56">
        <v>0</v>
      </c>
      <c r="X302" s="56">
        <v>0</v>
      </c>
      <c r="Y302" s="56" t="b">
        <v>0</v>
      </c>
      <c r="Z302" s="56" t="s">
        <v>1256</v>
      </c>
      <c r="AA302" s="56" t="b">
        <v>0</v>
      </c>
      <c r="AC302" s="56">
        <v>20001048</v>
      </c>
      <c r="AD302" s="56">
        <v>8.6506662368774396</v>
      </c>
      <c r="AE302" s="48">
        <f t="shared" si="27"/>
        <v>9.6506662368774396</v>
      </c>
      <c r="AF302" s="48"/>
      <c r="AG302" s="48"/>
      <c r="AH302" s="56">
        <v>0.1</v>
      </c>
      <c r="AL302" s="56">
        <v>25</v>
      </c>
      <c r="AM302" s="48">
        <f>VLOOKUP($F302,'#对话模型配置'!$A:$W,MATCH(对话配置表!AM$2,'#对话模型配置'!$1:$1,0),FALSE)</f>
        <v>20001004</v>
      </c>
      <c r="AN302" s="56" t="s">
        <v>811</v>
      </c>
      <c r="AT302" s="56" t="str">
        <f t="shared" si="20"/>
        <v>大人英明，&lt;color=#FFCC71&gt;发展方略提升了我军战斗力&lt;/color&gt;，内城建设需要消耗大量的木材，这时候就需要攻占一些木材资源点。</v>
      </c>
      <c r="AU302" s="56" t="s">
        <v>877</v>
      </c>
      <c r="AV302" s="56">
        <f t="shared" si="28"/>
        <v>55505</v>
      </c>
      <c r="AW302" s="56" t="s">
        <v>878</v>
      </c>
    </row>
    <row r="303" spans="1:50" s="56" customFormat="1" ht="28">
      <c r="A303" s="56">
        <f t="shared" si="25"/>
        <v>55506</v>
      </c>
      <c r="B303" s="56" t="s">
        <v>840</v>
      </c>
      <c r="C303" s="56">
        <v>1</v>
      </c>
      <c r="D303" s="56" t="s">
        <v>879</v>
      </c>
      <c r="E303" s="56" t="s">
        <v>559</v>
      </c>
      <c r="F303" s="20" t="str">
        <f>VLOOKUP(G303,'#TID_base_up'!B:C,2,0)</f>
        <v>关羽</v>
      </c>
      <c r="G303" s="56" t="s">
        <v>792</v>
      </c>
      <c r="H303" s="48" t="str">
        <f>VLOOKUP($F303,'#对话模型配置'!$A:$W,MATCH(对话配置表!H$2,'#对话模型配置'!$1:$1,0),FALSE)</f>
        <v>icon_guidechara.smash</v>
      </c>
      <c r="I303" s="48" t="str">
        <f>VLOOKUP($F303,'#对话模型配置'!$A:$W,MATCH(对话配置表!I$2,'#对话模型配置'!$1:$1,0),FALSE)</f>
        <v>frame_s_xsdh_002</v>
      </c>
      <c r="J303" s="56" t="s">
        <v>1257</v>
      </c>
      <c r="K303" s="84" t="str">
        <f t="shared" si="26"/>
        <v>我们得考虑一下&lt;color=#FFCC71&gt;修缮治疗房舍&lt;/color&gt;了，士兵们需要休憩和治疗。</v>
      </c>
      <c r="U303" s="56">
        <v>1</v>
      </c>
      <c r="V303" s="56">
        <v>0</v>
      </c>
      <c r="X303" s="56">
        <v>0</v>
      </c>
      <c r="Y303" s="56" t="b">
        <v>0</v>
      </c>
      <c r="Z303" s="56" t="s">
        <v>1258</v>
      </c>
      <c r="AA303" s="56" t="b">
        <v>0</v>
      </c>
      <c r="AC303" s="56">
        <v>20001049</v>
      </c>
      <c r="AD303" s="56">
        <v>5.4506669044494602</v>
      </c>
      <c r="AE303" s="48">
        <f t="shared" si="27"/>
        <v>6.4506669044494602</v>
      </c>
      <c r="AF303" s="48"/>
      <c r="AG303" s="48"/>
      <c r="AH303" s="56">
        <v>0.1</v>
      </c>
      <c r="AL303" s="56">
        <v>25</v>
      </c>
      <c r="AM303" s="48">
        <f>VLOOKUP($F303,'#对话模型配置'!$A:$W,MATCH(对话配置表!AM$2,'#对话模型配置'!$1:$1,0),FALSE)</f>
        <v>20001004</v>
      </c>
      <c r="AN303" s="56" t="s">
        <v>643</v>
      </c>
      <c r="AT303" s="56" t="str">
        <f t="shared" si="20"/>
        <v>我们得考虑一下&lt;color=#FFCC71&gt;修缮治疗房舍&lt;/color&gt;了，士兵们需要休憩和治疗。</v>
      </c>
      <c r="AU303" s="56" t="s">
        <v>1259</v>
      </c>
      <c r="AV303" s="56">
        <f t="shared" si="28"/>
        <v>55506</v>
      </c>
      <c r="AW303" s="56" t="s">
        <v>883</v>
      </c>
    </row>
    <row r="304" spans="1:50" s="56" customFormat="1" ht="42">
      <c r="A304" s="56">
        <f t="shared" si="25"/>
        <v>55507</v>
      </c>
      <c r="B304" s="56" t="s">
        <v>840</v>
      </c>
      <c r="C304" s="56">
        <v>1</v>
      </c>
      <c r="D304" s="56" t="s">
        <v>884</v>
      </c>
      <c r="E304" s="56" t="s">
        <v>559</v>
      </c>
      <c r="F304" s="20" t="str">
        <f>VLOOKUP(G304,'#TID_base_up'!B:C,2,0)</f>
        <v>关羽</v>
      </c>
      <c r="G304" s="56" t="s">
        <v>792</v>
      </c>
      <c r="H304" s="48" t="str">
        <f>VLOOKUP($F304,'#对话模型配置'!$A:$W,MATCH(对话配置表!H$2,'#对话模型配置'!$1:$1,0),FALSE)</f>
        <v>icon_guidechara.smash</v>
      </c>
      <c r="I304" s="48" t="str">
        <f>VLOOKUP($F304,'#对话模型配置'!$A:$W,MATCH(对话配置表!I$2,'#对话模型配置'!$1:$1,0),FALSE)</f>
        <v>frame_s_xsdh_002</v>
      </c>
      <c r="J304" s="56" t="s">
        <v>885</v>
      </c>
      <c r="K304" s="84" t="str">
        <f t="shared" si="26"/>
        <v>眼下周围局势逐渐稳定！在下也该告辞了！只要大人勤于内政，&lt;color=#FFCC71&gt;待突破瓶颈之时&lt;/color&gt;，必能登上人生巅峰！</v>
      </c>
      <c r="U304" s="56">
        <v>1</v>
      </c>
      <c r="V304" s="56">
        <v>0</v>
      </c>
      <c r="X304" s="56">
        <v>0</v>
      </c>
      <c r="Y304" s="56" t="b">
        <v>0</v>
      </c>
      <c r="Z304" s="56" t="s">
        <v>1260</v>
      </c>
      <c r="AA304" s="56" t="b">
        <v>0</v>
      </c>
      <c r="AC304" s="56">
        <v>20001050</v>
      </c>
      <c r="AD304" s="56">
        <v>7.4000000953674299</v>
      </c>
      <c r="AE304" s="48">
        <f t="shared" si="27"/>
        <v>8.4000000953674299</v>
      </c>
      <c r="AF304" s="48"/>
      <c r="AG304" s="48"/>
      <c r="AH304" s="56">
        <v>0.1</v>
      </c>
      <c r="AL304" s="56">
        <v>25</v>
      </c>
      <c r="AM304" s="48">
        <f>VLOOKUP($F304,'#对话模型配置'!$A:$W,MATCH(对话配置表!AM$2,'#对话模型配置'!$1:$1,0),FALSE)</f>
        <v>20001004</v>
      </c>
      <c r="AN304" s="56" t="s">
        <v>822</v>
      </c>
      <c r="AT304" s="56" t="str">
        <f t="shared" si="20"/>
        <v>眼下周围局势逐渐稳定！在下也该告辞了！只要大人勤于内政，&lt;color=#FFCC71&gt;待突破瓶颈之时&lt;/color&gt;，必能登上人生巅峰！</v>
      </c>
      <c r="AU304" s="56" t="s">
        <v>887</v>
      </c>
      <c r="AV304" s="56">
        <f t="shared" si="28"/>
        <v>55507</v>
      </c>
      <c r="AW304" s="56" t="s">
        <v>888</v>
      </c>
    </row>
    <row r="305" spans="1:50" s="56" customFormat="1" ht="28">
      <c r="A305" s="56">
        <f t="shared" si="25"/>
        <v>55507</v>
      </c>
      <c r="B305" s="56" t="s">
        <v>840</v>
      </c>
      <c r="C305" s="56">
        <v>2</v>
      </c>
      <c r="D305" s="56" t="s">
        <v>884</v>
      </c>
      <c r="E305" s="56" t="s">
        <v>559</v>
      </c>
      <c r="F305" s="20" t="str">
        <f>VLOOKUP(G305,'#TID_base_up'!B:C,2,0)</f>
        <v>关羽</v>
      </c>
      <c r="G305" s="56" t="s">
        <v>792</v>
      </c>
      <c r="H305" s="48" t="str">
        <f>VLOOKUP($F305,'#对话模型配置'!$A:$W,MATCH(对话配置表!H$2,'#对话模型配置'!$1:$1,0),FALSE)</f>
        <v>icon_guidechara.smash</v>
      </c>
      <c r="I305" s="48" t="str">
        <f>VLOOKUP($F305,'#对话模型配置'!$A:$W,MATCH(对话配置表!I$2,'#对话模型配置'!$1:$1,0),FALSE)</f>
        <v>frame_s_xsdh_002</v>
      </c>
      <c r="J305" s="56" t="s">
        <v>889</v>
      </c>
      <c r="K305" s="84" t="str">
        <f t="shared" si="26"/>
        <v>离开之前，在下将为大人&lt;color=#FFCC71&gt;引荐两位英雄&lt;/color&gt;，大人可以选择一个，并将其纳入麾下！</v>
      </c>
      <c r="U305" s="56">
        <v>1</v>
      </c>
      <c r="V305" s="56">
        <v>0</v>
      </c>
      <c r="X305" s="56">
        <v>0</v>
      </c>
      <c r="Y305" s="56" t="b">
        <v>0</v>
      </c>
      <c r="Z305" s="56" t="s">
        <v>1261</v>
      </c>
      <c r="AA305" s="56" t="b">
        <v>0</v>
      </c>
      <c r="AC305" s="56">
        <v>20001051</v>
      </c>
      <c r="AD305" s="56">
        <v>5.5973329544067401</v>
      </c>
      <c r="AE305" s="48">
        <f t="shared" si="27"/>
        <v>6.5973329544067401</v>
      </c>
      <c r="AF305" s="48"/>
      <c r="AG305" s="48"/>
      <c r="AH305" s="56">
        <v>0.1</v>
      </c>
      <c r="AL305" s="56">
        <v>25</v>
      </c>
      <c r="AM305" s="48">
        <f>VLOOKUP($F305,'#对话模型配置'!$A:$W,MATCH(对话配置表!AM$2,'#对话模型配置'!$1:$1,0),FALSE)</f>
        <v>20001004</v>
      </c>
      <c r="AN305" s="56" t="s">
        <v>865</v>
      </c>
      <c r="AT305" s="56" t="str">
        <f t="shared" si="20"/>
        <v>离开之前，在下将为大人&lt;color=#FFCC71&gt;引荐两位英雄&lt;/color&gt;，大人可以选择一个，并将其纳入麾下！</v>
      </c>
      <c r="AU305" s="56" t="s">
        <v>891</v>
      </c>
      <c r="AV305" s="56">
        <f t="shared" si="28"/>
        <v>55507</v>
      </c>
      <c r="AW305" s="56" t="s">
        <v>892</v>
      </c>
    </row>
    <row r="306" spans="1:50" s="56" customFormat="1" ht="28">
      <c r="A306" s="56">
        <f t="shared" si="25"/>
        <v>55508</v>
      </c>
      <c r="B306" s="56" t="s">
        <v>840</v>
      </c>
      <c r="C306" s="56">
        <v>1</v>
      </c>
      <c r="D306" s="56" t="s">
        <v>1262</v>
      </c>
      <c r="E306" s="56" t="s">
        <v>559</v>
      </c>
      <c r="F306" s="20" t="str">
        <f>VLOOKUP(G306,'#TID_base_up'!B:C,2,0)</f>
        <v>安德莉娅</v>
      </c>
      <c r="G306" s="56" t="s">
        <v>467</v>
      </c>
      <c r="H306" s="48" t="str">
        <f>VLOOKUP($F306,'#对话模型配置'!$A:$W,MATCH(对话配置表!H$2,'#对话模型配置'!$1:$1,0),FALSE)</f>
        <v>icon_guidechara.smash</v>
      </c>
      <c r="I306" s="48" t="str">
        <f>VLOOKUP($F306,'#对话模型配置'!$A:$W,MATCH(对话配置表!I$2,'#对话模型配置'!$1:$1,0),FALSE)</f>
        <v>frame_s_xsdh_002</v>
      </c>
      <c r="J306" s="56" t="s">
        <v>1263</v>
      </c>
      <c r="K306" s="84" t="str">
        <f t="shared" si="26"/>
        <v>加入一个&lt;color=#FFCC71&gt;强大的联盟&lt;/color&gt;，就等于有了&lt;color=#FFCC71&gt;强大的靠山&lt;/color&gt;，大人抓紧机会吧！</v>
      </c>
      <c r="U306" s="56">
        <v>1</v>
      </c>
      <c r="V306" s="56">
        <v>0</v>
      </c>
      <c r="X306" s="56">
        <v>0</v>
      </c>
      <c r="Y306" s="56" t="b">
        <v>0</v>
      </c>
      <c r="Z306" s="56" t="s">
        <v>1264</v>
      </c>
      <c r="AA306" s="56" t="b">
        <v>0</v>
      </c>
      <c r="AC306" s="56">
        <v>20001052</v>
      </c>
      <c r="AD306" s="56">
        <v>6.14666700363159</v>
      </c>
      <c r="AE306" s="48">
        <f t="shared" si="27"/>
        <v>7.14666700363159</v>
      </c>
      <c r="AF306" s="48"/>
      <c r="AG306" s="48"/>
      <c r="AH306" s="56">
        <v>0.1</v>
      </c>
      <c r="AL306" s="56">
        <v>25</v>
      </c>
      <c r="AM306" s="48">
        <f>VLOOKUP($F306,'#对话模型配置'!$A:$W,MATCH(对话配置表!AM$2,'#对话模型配置'!$1:$1,0),FALSE)</f>
        <v>30001001</v>
      </c>
      <c r="AN306" s="56" t="s">
        <v>687</v>
      </c>
      <c r="AT306" s="56" t="str">
        <f t="shared" si="20"/>
        <v>加入一个&lt;color=#FFCC71&gt;强大的联盟&lt;/color&gt;，就等于有了&lt;color=#FFCC71&gt;强大的靠山&lt;/color&gt;，大人抓紧机会吧！</v>
      </c>
      <c r="AU306" s="56" t="s">
        <v>1265</v>
      </c>
      <c r="AV306" s="56">
        <f t="shared" si="28"/>
        <v>55508</v>
      </c>
      <c r="AW306" s="56" t="s">
        <v>854</v>
      </c>
      <c r="AX306" s="56" t="s">
        <v>1266</v>
      </c>
    </row>
    <row r="307" spans="1:50" s="56" customFormat="1" ht="42">
      <c r="A307" s="56">
        <f t="shared" si="25"/>
        <v>55509</v>
      </c>
      <c r="B307" s="56" t="s">
        <v>840</v>
      </c>
      <c r="C307" s="56">
        <v>1</v>
      </c>
      <c r="D307" s="56" t="s">
        <v>898</v>
      </c>
      <c r="E307" s="56" t="s">
        <v>559</v>
      </c>
      <c r="F307" s="20" t="str">
        <f>VLOOKUP(G307,'#TID_base_up'!B:C,2,0)</f>
        <v>安德莉娅</v>
      </c>
      <c r="G307" s="56" t="s">
        <v>467</v>
      </c>
      <c r="H307" s="48" t="str">
        <f>VLOOKUP($F307,'#对话模型配置'!$A:$W,MATCH(对话配置表!H$2,'#对话模型配置'!$1:$1,0),FALSE)</f>
        <v>icon_guidechara.smash</v>
      </c>
      <c r="I307" s="48" t="str">
        <f>VLOOKUP($F307,'#对话模型配置'!$A:$W,MATCH(对话配置表!I$2,'#对话模型配置'!$1:$1,0),FALSE)</f>
        <v>frame_s_xsdh_002</v>
      </c>
      <c r="J307" s="56" t="s">
        <v>899</v>
      </c>
      <c r="K307" s="84" t="str">
        <f t="shared" si="26"/>
        <v>任何时候都不能忘记：&lt;color=#FFCC71&gt;城镇中心&lt;/color&gt;是领地发展的&lt;color=#FFCC71&gt;先决条件&lt;/color&gt;，请大人尽快着手升级。</v>
      </c>
      <c r="U307" s="56">
        <v>1</v>
      </c>
      <c r="V307" s="56">
        <v>0</v>
      </c>
      <c r="X307" s="56">
        <v>0</v>
      </c>
      <c r="Y307" s="56" t="b">
        <v>0</v>
      </c>
      <c r="Z307" s="56" t="s">
        <v>1267</v>
      </c>
      <c r="AA307" s="56" t="b">
        <v>0</v>
      </c>
      <c r="AC307" s="56">
        <v>20001053</v>
      </c>
      <c r="AD307" s="56">
        <v>7.6919999122619602</v>
      </c>
      <c r="AE307" s="48">
        <f t="shared" si="27"/>
        <v>8.6919999122619593</v>
      </c>
      <c r="AF307" s="48"/>
      <c r="AG307" s="48"/>
      <c r="AH307" s="56">
        <v>0.1</v>
      </c>
      <c r="AL307" s="56">
        <v>25</v>
      </c>
      <c r="AM307" s="48">
        <f>VLOOKUP($F307,'#对话模型配置'!$A:$W,MATCH(对话配置表!AM$2,'#对话模型配置'!$1:$1,0),FALSE)</f>
        <v>30001001</v>
      </c>
      <c r="AN307" s="56" t="s">
        <v>687</v>
      </c>
      <c r="AT307" s="56" t="str">
        <f t="shared" si="20"/>
        <v>任何时候都不能忘记：&lt;color=#FFCC71&gt;城镇中心&lt;/color&gt;是领地发展的&lt;color=#FFCC71&gt;先决条件&lt;/color&gt;，请大人尽快着手升级。</v>
      </c>
      <c r="AU307" s="56" t="s">
        <v>901</v>
      </c>
      <c r="AV307" s="56">
        <f t="shared" si="28"/>
        <v>55509</v>
      </c>
      <c r="AW307" s="56" t="s">
        <v>709</v>
      </c>
      <c r="AX307" s="56" t="s">
        <v>902</v>
      </c>
    </row>
    <row r="308" spans="1:50" s="56" customFormat="1" ht="42">
      <c r="A308" s="56">
        <f t="shared" si="25"/>
        <v>55510</v>
      </c>
      <c r="B308" s="56" t="s">
        <v>840</v>
      </c>
      <c r="C308" s="56">
        <v>1</v>
      </c>
      <c r="D308" s="56" t="s">
        <v>898</v>
      </c>
      <c r="E308" s="56" t="s">
        <v>559</v>
      </c>
      <c r="F308" s="20" t="str">
        <f>VLOOKUP(G308,'#TID_base_up'!B:C,2,0)</f>
        <v>安德莉娅</v>
      </c>
      <c r="G308" s="56" t="s">
        <v>467</v>
      </c>
      <c r="H308" s="48" t="str">
        <f>VLOOKUP($F308,'#对话模型配置'!$A:$W,MATCH(对话配置表!H$2,'#对话模型配置'!$1:$1,0),FALSE)</f>
        <v>icon_guidechara.smash</v>
      </c>
      <c r="I308" s="48" t="str">
        <f>VLOOKUP($F308,'#对话模型配置'!$A:$W,MATCH(对话配置表!I$2,'#对话模型配置'!$1:$1,0),FALSE)</f>
        <v>frame_s_xsdh_002</v>
      </c>
      <c r="J308" s="56" t="s">
        <v>1268</v>
      </c>
      <c r="K308" s="84" t="str">
        <f t="shared" si="26"/>
        <v>建造领地只争朝夕，不要让&lt;color=#FFCC71&gt;过长升级时间&lt;/color&gt;成为您升级的绊脚石，请您继续使用&lt;color=#FFCC71&gt;【立即升级】&lt;/color&gt;。</v>
      </c>
      <c r="U308" s="56">
        <v>1</v>
      </c>
      <c r="V308" s="56">
        <v>0</v>
      </c>
      <c r="X308" s="56">
        <v>0</v>
      </c>
      <c r="Y308" s="56" t="b">
        <v>0</v>
      </c>
      <c r="Z308" s="56" t="s">
        <v>1269</v>
      </c>
      <c r="AA308" s="56" t="b">
        <v>0</v>
      </c>
      <c r="AC308" s="56">
        <v>20001054</v>
      </c>
      <c r="AD308" s="56">
        <v>9.1186666488647496</v>
      </c>
      <c r="AE308" s="48">
        <f t="shared" si="27"/>
        <v>10.11866664886475</v>
      </c>
      <c r="AF308" s="48"/>
      <c r="AG308" s="48"/>
      <c r="AH308" s="56">
        <v>0.1</v>
      </c>
      <c r="AL308" s="56">
        <v>25</v>
      </c>
      <c r="AM308" s="48">
        <f>VLOOKUP($F308,'#对话模型配置'!$A:$W,MATCH(对话配置表!AM$2,'#对话模型配置'!$1:$1,0),FALSE)</f>
        <v>30001001</v>
      </c>
      <c r="AN308" s="56" t="s">
        <v>905</v>
      </c>
      <c r="AT308" s="56" t="str">
        <f t="shared" si="20"/>
        <v>建造领地只争朝夕，不要让&lt;color=#FFCC71&gt;过长升级时间&lt;/color&gt;成为您升级的绊脚石，请您继续使用&lt;color=#FFCC71&gt;【立即升级】&lt;/color&gt;。</v>
      </c>
      <c r="AU308" s="56" t="s">
        <v>1270</v>
      </c>
      <c r="AV308" s="56">
        <f t="shared" si="28"/>
        <v>55510</v>
      </c>
      <c r="AW308" s="56" t="s">
        <v>907</v>
      </c>
      <c r="AX308" s="56" t="s">
        <v>908</v>
      </c>
    </row>
    <row r="309" spans="1:50" s="56" customFormat="1" ht="28">
      <c r="A309" s="56">
        <f t="shared" si="25"/>
        <v>55511</v>
      </c>
      <c r="B309" s="56" t="s">
        <v>840</v>
      </c>
      <c r="C309" s="56">
        <v>1</v>
      </c>
      <c r="D309" s="56" t="s">
        <v>909</v>
      </c>
      <c r="E309" s="56" t="s">
        <v>559</v>
      </c>
      <c r="F309" s="20" t="str">
        <f>VLOOKUP(G309,'#TID_base_up'!B:C,2,0)</f>
        <v>安德莉娅</v>
      </c>
      <c r="G309" s="56" t="s">
        <v>467</v>
      </c>
      <c r="H309" s="48" t="str">
        <f>VLOOKUP($F309,'#对话模型配置'!$A:$W,MATCH(对话配置表!H$2,'#对话模型配置'!$1:$1,0),FALSE)</f>
        <v>icon_guidechara.smash</v>
      </c>
      <c r="I309" s="48" t="str">
        <f>VLOOKUP($F309,'#对话模型配置'!$A:$W,MATCH(对话配置表!I$2,'#对话模型配置'!$1:$1,0),FALSE)</f>
        <v>frame_s_xsdh_002</v>
      </c>
      <c r="J309" s="56" t="s">
        <v>1271</v>
      </c>
      <c r="K309" s="84" t="str">
        <f t="shared" si="26"/>
        <v>领地建设&lt;color=#FFCC71&gt;需要大量木材&lt;/color&gt;，不如多&lt;color=#FFCC71&gt;修建几个伐木场&lt;/color&gt;，多多益善呢。</v>
      </c>
      <c r="U309" s="56">
        <v>1</v>
      </c>
      <c r="V309" s="56">
        <v>0</v>
      </c>
      <c r="X309" s="56">
        <v>0</v>
      </c>
      <c r="Y309" s="56" t="b">
        <v>0</v>
      </c>
      <c r="Z309" s="56" t="s">
        <v>1272</v>
      </c>
      <c r="AA309" s="56" t="b">
        <v>0</v>
      </c>
      <c r="AC309" s="56">
        <v>20001055</v>
      </c>
      <c r="AD309" s="56">
        <v>5.3173332214355504</v>
      </c>
      <c r="AE309" s="48">
        <f t="shared" si="27"/>
        <v>6.3173332214355504</v>
      </c>
      <c r="AF309" s="48"/>
      <c r="AG309" s="48"/>
      <c r="AH309" s="56">
        <v>0.1</v>
      </c>
      <c r="AL309" s="56">
        <v>25</v>
      </c>
      <c r="AM309" s="48">
        <f>VLOOKUP($F309,'#对话模型配置'!$A:$W,MATCH(对话配置表!AM$2,'#对话模型配置'!$1:$1,0),FALSE)</f>
        <v>30001001</v>
      </c>
      <c r="AN309" s="56" t="s">
        <v>700</v>
      </c>
      <c r="AT309" s="56" t="str">
        <f t="shared" si="20"/>
        <v>领地建设&lt;color=#FFCC71&gt;需要大量木材&lt;/color&gt;，不如多&lt;color=#FFCC71&gt;修建几个伐木场&lt;/color&gt;，多多益善呢。</v>
      </c>
      <c r="AU309" s="56" t="s">
        <v>1273</v>
      </c>
      <c r="AV309" s="56">
        <f t="shared" si="28"/>
        <v>55511</v>
      </c>
      <c r="AW309" s="56" t="s">
        <v>913</v>
      </c>
      <c r="AX309" s="56" t="s">
        <v>914</v>
      </c>
    </row>
    <row r="310" spans="1:50" s="56" customFormat="1" ht="28">
      <c r="A310" s="56">
        <f t="shared" si="25"/>
        <v>55601</v>
      </c>
      <c r="B310" s="56" t="s">
        <v>915</v>
      </c>
      <c r="C310" s="56">
        <v>1</v>
      </c>
      <c r="D310" s="56" t="s">
        <v>622</v>
      </c>
      <c r="E310" s="56" t="s">
        <v>559</v>
      </c>
      <c r="F310" s="20" t="str">
        <f>VLOOKUP(G310,'#TID_base_up'!B:C,2,0)</f>
        <v>花木兰</v>
      </c>
      <c r="G310" s="56" t="s">
        <v>1145</v>
      </c>
      <c r="H310" s="48" t="str">
        <f>VLOOKUP($F310,'#对话模型配置'!$A:$W,MATCH(对话配置表!H$2,'#对话模型配置'!$1:$1,0),FALSE)</f>
        <v>icon_guidechara.smash</v>
      </c>
      <c r="I310" s="48" t="str">
        <f>VLOOKUP($F310,'#对话模型配置'!$A:$W,MATCH(对话配置表!I$2,'#对话模型配置'!$1:$1,0),FALSE)</f>
        <v>frame_s_xsdh_002</v>
      </c>
      <c r="J310" s="56" t="s">
        <v>1274</v>
      </c>
      <c r="K310" s="84" t="str">
        <f t="shared" si="26"/>
        <v>关羽大人所说的&lt;color=#FFCC71&gt;【突破瓶颈之时】&lt;/color&gt;到底是指什么？</v>
      </c>
      <c r="U310" s="56">
        <v>1</v>
      </c>
      <c r="V310" s="56">
        <v>0</v>
      </c>
      <c r="X310" s="56">
        <v>0</v>
      </c>
      <c r="Y310" s="56" t="b">
        <v>0</v>
      </c>
      <c r="Z310" s="56" t="s">
        <v>1275</v>
      </c>
      <c r="AA310" s="56" t="b">
        <v>0</v>
      </c>
      <c r="AC310" s="56">
        <v>20001056</v>
      </c>
      <c r="AD310" s="56">
        <v>3.2746670246124299</v>
      </c>
      <c r="AE310" s="48">
        <f t="shared" si="27"/>
        <v>4.2746670246124303</v>
      </c>
      <c r="AF310" s="48"/>
      <c r="AG310" s="48"/>
      <c r="AH310" s="56">
        <v>0.1</v>
      </c>
      <c r="AL310" s="56">
        <v>25</v>
      </c>
      <c r="AM310" s="48">
        <f>VLOOKUP($F310,'#对话模型配置'!$A:$W,MATCH(对话配置表!AM$2,'#对话模型配置'!$1:$1,0),FALSE)</f>
        <v>20001005</v>
      </c>
      <c r="AN310" s="56" t="s">
        <v>643</v>
      </c>
      <c r="AT310" s="56" t="str">
        <f t="shared" si="20"/>
        <v>关羽大人所说的&lt;color=#FFCC71&gt;【突破瓶颈之时】&lt;/color&gt;到底是指什么？</v>
      </c>
      <c r="AU310" s="56" t="s">
        <v>1276</v>
      </c>
      <c r="AV310" s="56">
        <f t="shared" si="28"/>
        <v>55601</v>
      </c>
      <c r="AW310" s="56" t="s">
        <v>919</v>
      </c>
    </row>
    <row r="311" spans="1:50" s="56" customFormat="1" ht="28">
      <c r="A311" s="56">
        <f t="shared" si="25"/>
        <v>55601</v>
      </c>
      <c r="B311" s="56" t="s">
        <v>915</v>
      </c>
      <c r="C311" s="56">
        <v>2</v>
      </c>
      <c r="D311" s="56" t="s">
        <v>622</v>
      </c>
      <c r="E311" s="56" t="s">
        <v>559</v>
      </c>
      <c r="F311" s="20" t="str">
        <f>VLOOKUP(G311,'#TID_base_up'!B:C,2,0)</f>
        <v>安德莉娅</v>
      </c>
      <c r="G311" s="56" t="s">
        <v>467</v>
      </c>
      <c r="H311" s="48" t="str">
        <f>VLOOKUP($F311,'#对话模型配置'!$A:$W,MATCH(对话配置表!H$2,'#对话模型配置'!$1:$1,0),FALSE)</f>
        <v>icon_guidechara.smash</v>
      </c>
      <c r="I311" s="48" t="str">
        <f>VLOOKUP($F311,'#对话模型配置'!$A:$W,MATCH(对话配置表!I$2,'#对话模型配置'!$1:$1,0),FALSE)</f>
        <v>frame_s_xsdh_002</v>
      </c>
      <c r="J311" s="56" t="s">
        <v>1277</v>
      </c>
      <c r="K311" s="84" t="str">
        <f t="shared" si="26"/>
        <v>我曾听说，通过&lt;color=#FFCC71&gt;【时代升级】&lt;/color&gt;可以掌握更先进的技术、解锁更高级的兵种，大人可以尝试一下。</v>
      </c>
      <c r="U311" s="56">
        <v>1</v>
      </c>
      <c r="V311" s="56">
        <v>0</v>
      </c>
      <c r="X311" s="56">
        <v>0</v>
      </c>
      <c r="Y311" s="56" t="b">
        <v>0</v>
      </c>
      <c r="Z311" s="56" t="s">
        <v>1278</v>
      </c>
      <c r="AA311" s="56" t="b">
        <v>1</v>
      </c>
      <c r="AC311" s="56">
        <v>20001057</v>
      </c>
      <c r="AD311" s="56">
        <v>7.96799993515015</v>
      </c>
      <c r="AE311" s="48">
        <f t="shared" si="27"/>
        <v>8.96799993515015</v>
      </c>
      <c r="AF311" s="48"/>
      <c r="AG311" s="48"/>
      <c r="AH311" s="56">
        <v>0.1</v>
      </c>
      <c r="AL311" s="56">
        <v>25</v>
      </c>
      <c r="AM311" s="48">
        <f>VLOOKUP($F311,'#对话模型配置'!$A:$W,MATCH(对话配置表!AM$2,'#对话模型配置'!$1:$1,0),FALSE)</f>
        <v>30001001</v>
      </c>
      <c r="AN311" s="56" t="s">
        <v>922</v>
      </c>
      <c r="AT311" s="56" t="str">
        <f t="shared" si="20"/>
        <v>我曾听说，通过&lt;color=#FFCC71&gt;【时代升级】&lt;/color&gt;可以掌握更先进的技术、解锁更高级的兵种，大人可以尝试一下。</v>
      </c>
      <c r="AU311" s="56" t="s">
        <v>1279</v>
      </c>
      <c r="AV311" s="56">
        <f t="shared" si="28"/>
        <v>55601</v>
      </c>
      <c r="AW311" s="56" t="s">
        <v>1280</v>
      </c>
    </row>
    <row r="312" spans="1:50" s="56" customFormat="1" ht="28">
      <c r="A312" s="56">
        <f t="shared" si="25"/>
        <v>55602</v>
      </c>
      <c r="B312" s="56" t="s">
        <v>915</v>
      </c>
      <c r="C312" s="56">
        <v>1</v>
      </c>
      <c r="D312" s="56" t="s">
        <v>926</v>
      </c>
      <c r="E312" s="56" t="s">
        <v>559</v>
      </c>
      <c r="F312" s="20" t="str">
        <f>VLOOKUP(G312,'#TID_base_up'!B:C,2,0)</f>
        <v>安德莉娅</v>
      </c>
      <c r="G312" s="56" t="s">
        <v>467</v>
      </c>
      <c r="H312" s="48" t="str">
        <f>VLOOKUP($F312,'#对话模型配置'!$A:$W,MATCH(对话配置表!H$2,'#对话模型配置'!$1:$1,0),FALSE)</f>
        <v>icon_guidechara.smash</v>
      </c>
      <c r="I312" s="48" t="str">
        <f>VLOOKUP($F312,'#对话模型配置'!$A:$W,MATCH(对话配置表!I$2,'#对话模型配置'!$1:$1,0),FALSE)</f>
        <v>frame_s_xsdh_002</v>
      </c>
      <c r="J312" s="56" t="s">
        <v>1281</v>
      </c>
      <c r="K312" s="84" t="str">
        <f t="shared" si="26"/>
        <v>繁荣度是&lt;color=#FFCC71&gt;突破实力瓶颈&lt;/color&gt;的关键，大人，让我们&lt;color=#FFCC71&gt;提升繁荣度&lt;/color&gt;吧。</v>
      </c>
      <c r="U312" s="56">
        <v>1</v>
      </c>
      <c r="V312" s="56">
        <v>0</v>
      </c>
      <c r="X312" s="56">
        <v>0</v>
      </c>
      <c r="Y312" s="56" t="b">
        <v>0</v>
      </c>
      <c r="Z312" s="56" t="s">
        <v>1282</v>
      </c>
      <c r="AA312" s="56" t="b">
        <v>0</v>
      </c>
      <c r="AC312" s="56">
        <v>20001058</v>
      </c>
      <c r="AD312" s="56">
        <v>6.6746668815612802</v>
      </c>
      <c r="AE312" s="48">
        <f t="shared" si="27"/>
        <v>7.6746668815612802</v>
      </c>
      <c r="AF312" s="48"/>
      <c r="AG312" s="48"/>
      <c r="AH312" s="56">
        <v>0.1</v>
      </c>
      <c r="AL312" s="56">
        <v>25</v>
      </c>
      <c r="AM312" s="48">
        <f>VLOOKUP($F312,'#对话模型配置'!$A:$W,MATCH(对话配置表!AM$2,'#对话模型配置'!$1:$1,0),FALSE)</f>
        <v>30001001</v>
      </c>
      <c r="AN312" s="56" t="s">
        <v>724</v>
      </c>
      <c r="AT312" s="56" t="str">
        <f t="shared" si="20"/>
        <v>繁荣度是&lt;color=#FFCC71&gt;突破实力瓶颈&lt;/color&gt;的关键，大人，让我们&lt;color=#FFCC71&gt;提升繁荣度&lt;/color&gt;吧。</v>
      </c>
      <c r="AU312" s="56" t="s">
        <v>1283</v>
      </c>
      <c r="AV312" s="56">
        <f t="shared" si="28"/>
        <v>55602</v>
      </c>
      <c r="AW312" s="56" t="s">
        <v>931</v>
      </c>
      <c r="AX312" s="56" t="s">
        <v>1284</v>
      </c>
    </row>
    <row r="313" spans="1:50" s="56" customFormat="1" ht="42">
      <c r="A313" s="56">
        <f t="shared" si="25"/>
        <v>55603</v>
      </c>
      <c r="B313" s="56" t="s">
        <v>915</v>
      </c>
      <c r="C313" s="56">
        <v>1</v>
      </c>
      <c r="D313" s="56" t="s">
        <v>932</v>
      </c>
      <c r="E313" s="56" t="s">
        <v>559</v>
      </c>
      <c r="F313" s="20" t="str">
        <f>VLOOKUP(G313,'#TID_base_up'!B:C,2,0)</f>
        <v>安德莉娅</v>
      </c>
      <c r="G313" s="56" t="s">
        <v>467</v>
      </c>
      <c r="H313" s="48" t="str">
        <f>VLOOKUP($F313,'#对话模型配置'!$A:$W,MATCH(对话配置表!H$2,'#对话模型配置'!$1:$1,0),FALSE)</f>
        <v>icon_guidechara.smash</v>
      </c>
      <c r="I313" s="48" t="str">
        <f>VLOOKUP($F313,'#对话模型配置'!$A:$W,MATCH(对话配置表!I$2,'#对话模型配置'!$1:$1,0),FALSE)</f>
        <v>frame_s_xsdh_002</v>
      </c>
      <c r="J313" s="56" t="s">
        <v>933</v>
      </c>
      <c r="K313" s="84" t="str">
        <f t="shared" si="26"/>
        <v>&lt;color=#FFCC71&gt;时代升级&lt;/color&gt;仅一步之遥，还请大人&lt;color=#FFCC71&gt;加速升级城镇中心&lt;/color&gt;，迎接激动人心的时刻！</v>
      </c>
      <c r="U313" s="56">
        <v>1</v>
      </c>
      <c r="V313" s="56">
        <v>0</v>
      </c>
      <c r="X313" s="56">
        <v>0</v>
      </c>
      <c r="Y313" s="56" t="b">
        <v>0</v>
      </c>
      <c r="Z313" s="56" t="s">
        <v>1285</v>
      </c>
      <c r="AA313" s="56" t="b">
        <v>0</v>
      </c>
      <c r="AC313" s="56">
        <v>20001059</v>
      </c>
      <c r="AD313" s="56">
        <v>8.1960000991821307</v>
      </c>
      <c r="AE313" s="48">
        <f t="shared" si="27"/>
        <v>9.1960000991821307</v>
      </c>
      <c r="AF313" s="48"/>
      <c r="AG313" s="48"/>
      <c r="AH313" s="56">
        <v>0.1</v>
      </c>
      <c r="AL313" s="56">
        <v>25</v>
      </c>
      <c r="AM313" s="48">
        <f>VLOOKUP($F313,'#对话模型配置'!$A:$W,MATCH(对话配置表!AM$2,'#对话模型配置'!$1:$1,0),FALSE)</f>
        <v>30001001</v>
      </c>
      <c r="AN313" s="56" t="s">
        <v>687</v>
      </c>
      <c r="AT313" s="56" t="str">
        <f t="shared" si="20"/>
        <v>&lt;color=#FFCC71&gt;时代升级&lt;/color&gt;仅一步之遥，还请大人&lt;color=#FFCC71&gt;加速升级城镇中心&lt;/color&gt;，迎接激动人心的时刻！</v>
      </c>
      <c r="AU313" s="56" t="s">
        <v>935</v>
      </c>
      <c r="AV313" s="56">
        <f t="shared" si="28"/>
        <v>55603</v>
      </c>
      <c r="AW313" s="56" t="s">
        <v>924</v>
      </c>
      <c r="AX313" s="56" t="s">
        <v>936</v>
      </c>
    </row>
    <row r="314" spans="1:50" s="56" customFormat="1" ht="28">
      <c r="A314" s="56">
        <f t="shared" si="25"/>
        <v>55604</v>
      </c>
      <c r="B314" s="56" t="s">
        <v>915</v>
      </c>
      <c r="C314" s="56">
        <v>1</v>
      </c>
      <c r="D314" s="56" t="s">
        <v>932</v>
      </c>
      <c r="E314" s="56" t="s">
        <v>559</v>
      </c>
      <c r="F314" s="20" t="str">
        <f>VLOOKUP(G314,'#TID_base_up'!B:C,2,0)</f>
        <v>安德莉娅</v>
      </c>
      <c r="G314" s="56" t="s">
        <v>467</v>
      </c>
      <c r="H314" s="48" t="str">
        <f>VLOOKUP($F314,'#对话模型配置'!$A:$W,MATCH(对话配置表!H$2,'#对话模型配置'!$1:$1,0),FALSE)</f>
        <v>icon_guidechara.smash</v>
      </c>
      <c r="I314" s="48" t="str">
        <f>VLOOKUP($F314,'#对话模型配置'!$A:$W,MATCH(对话配置表!I$2,'#对话模型配置'!$1:$1,0),FALSE)</f>
        <v>frame_s_xsdh_002</v>
      </c>
      <c r="J314" s="56" t="s">
        <v>937</v>
      </c>
      <c r="K314" s="84" t="str">
        <f t="shared" si="26"/>
        <v>繁荣度已足够，请您&lt;color=#FFCC71&gt;升级城镇中心&lt;/color&gt;，为&lt;color=#FFCC71&gt;升级时代&lt;/color&gt;做好准备。</v>
      </c>
      <c r="U314" s="56">
        <v>1</v>
      </c>
      <c r="V314" s="56">
        <v>0</v>
      </c>
      <c r="X314" s="56">
        <v>0</v>
      </c>
      <c r="Y314" s="56" t="b">
        <v>0</v>
      </c>
      <c r="Z314" s="56" t="s">
        <v>1286</v>
      </c>
      <c r="AA314" s="56" t="b">
        <v>0</v>
      </c>
      <c r="AC314" s="56">
        <v>20001060</v>
      </c>
      <c r="AD314" s="56">
        <v>4.8333330154418901</v>
      </c>
      <c r="AE314" s="48">
        <f t="shared" si="27"/>
        <v>5.8333330154418901</v>
      </c>
      <c r="AF314" s="48"/>
      <c r="AG314" s="48"/>
      <c r="AH314" s="56">
        <v>0.1</v>
      </c>
      <c r="AL314" s="56">
        <v>25</v>
      </c>
      <c r="AM314" s="48">
        <f>VLOOKUP($F314,'#对话模型配置'!$A:$W,MATCH(对话配置表!AM$2,'#对话模型配置'!$1:$1,0),FALSE)</f>
        <v>30001001</v>
      </c>
      <c r="AN314" s="56" t="s">
        <v>706</v>
      </c>
      <c r="AT314" s="56" t="str">
        <f t="shared" si="20"/>
        <v>繁荣度已足够，请您&lt;color=#FFCC71&gt;升级城镇中心&lt;/color&gt;，为&lt;color=#FFCC71&gt;升级时代&lt;/color&gt;做好准备。</v>
      </c>
      <c r="AU314" s="56" t="s">
        <v>939</v>
      </c>
      <c r="AV314" s="56">
        <f t="shared" si="28"/>
        <v>55604</v>
      </c>
      <c r="AW314" s="56" t="s">
        <v>755</v>
      </c>
      <c r="AX314" s="56" t="s">
        <v>940</v>
      </c>
    </row>
    <row r="315" spans="1:50" s="56" customFormat="1" ht="28">
      <c r="A315" s="56">
        <f t="shared" si="25"/>
        <v>55605</v>
      </c>
      <c r="B315" s="56" t="s">
        <v>915</v>
      </c>
      <c r="C315" s="56">
        <v>1</v>
      </c>
      <c r="D315" s="56" t="s">
        <v>941</v>
      </c>
      <c r="E315" s="56" t="s">
        <v>559</v>
      </c>
      <c r="F315" s="20" t="str">
        <f>VLOOKUP(G315,'#TID_base_up'!B:C,2,0)</f>
        <v>安德莉娅</v>
      </c>
      <c r="G315" s="56" t="s">
        <v>467</v>
      </c>
      <c r="H315" s="48" t="str">
        <f>VLOOKUP($F315,'#对话模型配置'!$A:$W,MATCH(对话配置表!H$2,'#对话模型配置'!$1:$1,0),FALSE)</f>
        <v>icon_guidechara.smash</v>
      </c>
      <c r="I315" s="48" t="str">
        <f>VLOOKUP($F315,'#对话模型配置'!$A:$W,MATCH(对话配置表!I$2,'#对话模型配置'!$1:$1,0),FALSE)</f>
        <v>frame_s_xsdh_002</v>
      </c>
      <c r="J315" s="56" t="s">
        <v>1287</v>
      </c>
      <c r="K315" s="84" t="str">
        <f t="shared" si="26"/>
        <v>领主大人，城镇中心升级完成，万事俱备，请您&lt;color=#FFCC71&gt;迎接中古时代&lt;/color&gt;的到来吧！</v>
      </c>
      <c r="U315" s="56">
        <v>1</v>
      </c>
      <c r="V315" s="56">
        <v>0</v>
      </c>
      <c r="X315" s="56">
        <v>0</v>
      </c>
      <c r="Y315" s="56" t="b">
        <v>0</v>
      </c>
      <c r="Z315" s="56" t="s">
        <v>1288</v>
      </c>
      <c r="AA315" s="56" t="b">
        <v>0</v>
      </c>
      <c r="AC315" s="56">
        <v>20001061</v>
      </c>
      <c r="AD315" s="56">
        <v>6.59466600418091</v>
      </c>
      <c r="AE315" s="48">
        <f t="shared" si="27"/>
        <v>7.59466600418091</v>
      </c>
      <c r="AF315" s="48"/>
      <c r="AG315" s="48"/>
      <c r="AH315" s="56">
        <v>0.1</v>
      </c>
      <c r="AL315" s="56">
        <v>25</v>
      </c>
      <c r="AM315" s="48">
        <f>VLOOKUP($F315,'#对话模型配置'!$A:$W,MATCH(对话配置表!AM$2,'#对话模型配置'!$1:$1,0),FALSE)</f>
        <v>30001001</v>
      </c>
      <c r="AN315" s="56" t="s">
        <v>922</v>
      </c>
      <c r="AT315" s="56" t="str">
        <f t="shared" si="20"/>
        <v>领主大人，城镇中心升级完成，万事俱备，请您&lt;color=#FFCC71&gt;迎接中古时代&lt;/color&gt;的到来吧！</v>
      </c>
      <c r="AU315" s="56" t="s">
        <v>944</v>
      </c>
      <c r="AV315" s="56">
        <f t="shared" si="28"/>
        <v>55605</v>
      </c>
      <c r="AW315" s="56" t="s">
        <v>946</v>
      </c>
    </row>
    <row r="316" spans="1:50" s="56" customFormat="1" ht="28">
      <c r="A316" s="56">
        <f t="shared" si="25"/>
        <v>55606</v>
      </c>
      <c r="B316" s="56" t="s">
        <v>915</v>
      </c>
      <c r="C316" s="56">
        <v>1</v>
      </c>
      <c r="D316" s="56" t="s">
        <v>1289</v>
      </c>
      <c r="E316" s="56" t="s">
        <v>559</v>
      </c>
      <c r="F316" s="20" t="str">
        <f>VLOOKUP(G316,'#TID_base_up'!B:C,2,0)</f>
        <v>安德莉娅</v>
      </c>
      <c r="G316" s="56" t="s">
        <v>467</v>
      </c>
      <c r="H316" s="48" t="str">
        <f>VLOOKUP($F316,'#对话模型配置'!$A:$W,MATCH(对话配置表!H$2,'#对话模型配置'!$1:$1,0),FALSE)</f>
        <v>icon_guidechara.smash</v>
      </c>
      <c r="I316" s="48" t="str">
        <f>VLOOKUP($F316,'#对话模型配置'!$A:$W,MATCH(对话配置表!I$2,'#对话模型配置'!$1:$1,0),FALSE)</f>
        <v>frame_s_xsdh_002</v>
      </c>
      <c r="J316" s="56" t="s">
        <v>1290</v>
      </c>
      <c r="K316" s="84" t="str">
        <f t="shared" si="26"/>
        <v>想要招募出心仪的英雄，需要一点点运气，&lt;color=#FFCC71&gt;多抽几次&lt;/color&gt;，会有惊喜的。</v>
      </c>
      <c r="U316" s="56">
        <v>1</v>
      </c>
      <c r="V316" s="56">
        <v>0</v>
      </c>
      <c r="X316" s="56">
        <v>0</v>
      </c>
      <c r="Y316" s="56" t="b">
        <v>0</v>
      </c>
      <c r="Z316" s="56" t="s">
        <v>1291</v>
      </c>
      <c r="AA316" s="56" t="b">
        <v>0</v>
      </c>
      <c r="AC316" s="56">
        <v>20001062</v>
      </c>
      <c r="AD316" s="56">
        <v>6.65199995040894</v>
      </c>
      <c r="AE316" s="48">
        <f t="shared" si="27"/>
        <v>7.65199995040894</v>
      </c>
      <c r="AF316" s="48"/>
      <c r="AG316" s="48"/>
      <c r="AH316" s="56">
        <v>0.1</v>
      </c>
      <c r="AL316" s="56">
        <v>25</v>
      </c>
      <c r="AM316" s="48">
        <f>VLOOKUP($F316,'#对话模型配置'!$A:$W,MATCH(对话配置表!AM$2,'#对话模型配置'!$1:$1,0),FALSE)</f>
        <v>30001001</v>
      </c>
      <c r="AN316" s="56" t="s">
        <v>687</v>
      </c>
      <c r="AT316" s="56" t="str">
        <f t="shared" si="20"/>
        <v>想要招募出心仪的英雄，需要一点点运气，&lt;color=#FFCC71&gt;多抽几次&lt;/color&gt;，会有惊喜的。</v>
      </c>
      <c r="AU316" s="56" t="s">
        <v>1292</v>
      </c>
      <c r="AV316" s="56">
        <f t="shared" si="28"/>
        <v>55606</v>
      </c>
      <c r="AW316" s="56" t="s">
        <v>749</v>
      </c>
    </row>
    <row r="317" spans="1:50" s="56" customFormat="1" ht="42">
      <c r="A317" s="56">
        <f t="shared" si="25"/>
        <v>55607</v>
      </c>
      <c r="B317" s="56" t="s">
        <v>915</v>
      </c>
      <c r="C317" s="56">
        <v>1</v>
      </c>
      <c r="D317" s="56" t="s">
        <v>952</v>
      </c>
      <c r="E317" s="56" t="s">
        <v>559</v>
      </c>
      <c r="F317" s="20" t="str">
        <f>VLOOKUP(G317,'#TID_base_up'!B:C,2,0)</f>
        <v>花木兰</v>
      </c>
      <c r="G317" s="56" t="s">
        <v>1145</v>
      </c>
      <c r="H317" s="48" t="str">
        <f>VLOOKUP($F317,'#对话模型配置'!$A:$W,MATCH(对话配置表!H$2,'#对话模型配置'!$1:$1,0),FALSE)</f>
        <v>icon_guidechara.smash</v>
      </c>
      <c r="I317" s="48" t="str">
        <f>VLOOKUP($F317,'#对话模型配置'!$A:$W,MATCH(对话配置表!I$2,'#对话模型配置'!$1:$1,0),FALSE)</f>
        <v>frame_s_xsdh_002</v>
      </c>
      <c r="J317" s="56" t="s">
        <v>1293</v>
      </c>
      <c r="K317" s="84" t="str">
        <f t="shared" si="26"/>
        <v>欢迎来到&lt;color=#FFCC71&gt;中古时代&lt;/color&gt;！时代升级解锁了部队中&lt;color=#FFCC71&gt;第2个英雄的位置&lt;/color&gt;，您可以选择自己青睐的英雄上阵。</v>
      </c>
      <c r="U317" s="56">
        <v>1</v>
      </c>
      <c r="V317" s="56">
        <v>0</v>
      </c>
      <c r="X317" s="56">
        <v>0</v>
      </c>
      <c r="Y317" s="56" t="b">
        <v>0</v>
      </c>
      <c r="Z317" s="56" t="s">
        <v>1294</v>
      </c>
      <c r="AA317" s="56" t="b">
        <v>0</v>
      </c>
      <c r="AC317" s="56">
        <v>20001063</v>
      </c>
      <c r="AD317" s="56">
        <v>8.0933332443237305</v>
      </c>
      <c r="AE317" s="48">
        <f t="shared" si="27"/>
        <v>9.0933332443237305</v>
      </c>
      <c r="AF317" s="48"/>
      <c r="AG317" s="48"/>
      <c r="AH317" s="56">
        <v>0.1</v>
      </c>
      <c r="AL317" s="56">
        <v>25</v>
      </c>
      <c r="AM317" s="48">
        <f>VLOOKUP($F317,'#对话模型配置'!$A:$W,MATCH(对话配置表!AM$2,'#对话模型配置'!$1:$1,0),FALSE)</f>
        <v>20001005</v>
      </c>
      <c r="AN317" s="56" t="s">
        <v>811</v>
      </c>
      <c r="AT317" s="56" t="str">
        <f t="shared" si="20"/>
        <v>欢迎来到&lt;color=#FFCC71&gt;中古时代&lt;/color&gt;！时代升级解锁了部队中&lt;color=#FFCC71&gt;第2个英雄的位置&lt;/color&gt;，您可以选择自己青睐的英雄上阵。</v>
      </c>
      <c r="AU317" s="56" t="s">
        <v>1295</v>
      </c>
      <c r="AV317" s="56">
        <f t="shared" si="28"/>
        <v>55607</v>
      </c>
      <c r="AW317" s="56" t="s">
        <v>956</v>
      </c>
      <c r="AX317" s="56" t="s">
        <v>957</v>
      </c>
    </row>
    <row r="318" spans="1:50" s="56" customFormat="1" ht="42">
      <c r="A318" s="56">
        <f t="shared" si="25"/>
        <v>55608</v>
      </c>
      <c r="B318" s="56" t="s">
        <v>915</v>
      </c>
      <c r="C318" s="56">
        <v>1</v>
      </c>
      <c r="D318" s="56" t="s">
        <v>958</v>
      </c>
      <c r="E318" s="56" t="s">
        <v>559</v>
      </c>
      <c r="F318" s="20" t="str">
        <f>VLOOKUP(G318,'#TID_base_up'!B:C,2,0)</f>
        <v>花木兰</v>
      </c>
      <c r="G318" s="56" t="s">
        <v>1145</v>
      </c>
      <c r="H318" s="48" t="str">
        <f>VLOOKUP($F318,'#对话模型配置'!$A:$W,MATCH(对话配置表!H$2,'#对话模型配置'!$1:$1,0),FALSE)</f>
        <v>icon_guidechara.smash</v>
      </c>
      <c r="I318" s="48" t="str">
        <f>VLOOKUP($F318,'#对话模型配置'!$A:$W,MATCH(对话配置表!I$2,'#对话模型配置'!$1:$1,0),FALSE)</f>
        <v>frame_s_xsdh_002</v>
      </c>
      <c r="J318" s="56" t="s">
        <v>1296</v>
      </c>
      <c r="K318" s="84" t="str">
        <f t="shared" si="26"/>
        <v>时代升级后，我们掌握了&lt;color=#FFCC71&gt;训练更高级兵种&lt;/color&gt;的能力，先升级兵营就能&lt;color=#FFCC71&gt;训练2级士兵&lt;/color&gt;。</v>
      </c>
      <c r="U318" s="56">
        <v>1</v>
      </c>
      <c r="V318" s="56">
        <v>0</v>
      </c>
      <c r="X318" s="56">
        <v>0</v>
      </c>
      <c r="Y318" s="56" t="b">
        <v>0</v>
      </c>
      <c r="Z318" s="56" t="s">
        <v>1297</v>
      </c>
      <c r="AA318" s="56" t="b">
        <v>0</v>
      </c>
      <c r="AC318" s="56">
        <v>20001064</v>
      </c>
      <c r="AD318" s="56">
        <v>5.7706670761108398</v>
      </c>
      <c r="AE318" s="48">
        <f t="shared" si="27"/>
        <v>6.7706670761108398</v>
      </c>
      <c r="AF318" s="48"/>
      <c r="AG318" s="48"/>
      <c r="AH318" s="56">
        <v>0.1</v>
      </c>
      <c r="AL318" s="56">
        <v>25</v>
      </c>
      <c r="AM318" s="48">
        <f>VLOOKUP($F318,'#对话模型配置'!$A:$W,MATCH(对话配置表!AM$2,'#对话模型配置'!$1:$1,0),FALSE)</f>
        <v>20001005</v>
      </c>
      <c r="AN318" s="56" t="s">
        <v>662</v>
      </c>
      <c r="AT318" s="56" t="str">
        <f t="shared" si="20"/>
        <v>时代升级后，我们掌握了&lt;color=#FFCC71&gt;训练更高级兵种&lt;/color&gt;的能力，先升级兵营就能&lt;color=#FFCC71&gt;训练2级士兵&lt;/color&gt;。</v>
      </c>
      <c r="AU318" s="56" t="s">
        <v>1298</v>
      </c>
      <c r="AV318" s="56">
        <f t="shared" si="28"/>
        <v>55608</v>
      </c>
      <c r="AW318" s="56" t="s">
        <v>1299</v>
      </c>
      <c r="AX318" s="56" t="s">
        <v>963</v>
      </c>
    </row>
    <row r="319" spans="1:50" s="56" customFormat="1" ht="28">
      <c r="A319" s="56">
        <f t="shared" si="25"/>
        <v>55609</v>
      </c>
      <c r="B319" s="56" t="s">
        <v>915</v>
      </c>
      <c r="C319" s="56">
        <v>1</v>
      </c>
      <c r="D319" s="56" t="s">
        <v>964</v>
      </c>
      <c r="E319" s="56" t="s">
        <v>559</v>
      </c>
      <c r="F319" s="20" t="str">
        <f>VLOOKUP(G319,'#TID_base_up'!B:C,2,0)</f>
        <v>花木兰</v>
      </c>
      <c r="G319" s="56" t="s">
        <v>1145</v>
      </c>
      <c r="H319" s="48" t="str">
        <f>VLOOKUP($F319,'#对话模型配置'!$A:$W,MATCH(对话配置表!H$2,'#对话模型配置'!$1:$1,0),FALSE)</f>
        <v>icon_guidechara.smash</v>
      </c>
      <c r="I319" s="48" t="str">
        <f>VLOOKUP($F319,'#对话模型配置'!$A:$W,MATCH(对话配置表!I$2,'#对话模型配置'!$1:$1,0),FALSE)</f>
        <v>frame_s_xsdh_002</v>
      </c>
      <c r="J319" s="56" t="s">
        <v>1300</v>
      </c>
      <c r="K319" s="84" t="str">
        <f t="shared" si="26"/>
        <v>&lt;color=#FFCC71&gt;双英雄和高级兵种&lt;/color&gt;将大大提升我们的实力，您可以轻松开拓更多领土。</v>
      </c>
      <c r="U319" s="56">
        <v>1</v>
      </c>
      <c r="V319" s="56">
        <v>0</v>
      </c>
      <c r="X319" s="56">
        <v>0</v>
      </c>
      <c r="Y319" s="56" t="b">
        <v>0</v>
      </c>
      <c r="Z319" s="56" t="s">
        <v>1301</v>
      </c>
      <c r="AA319" s="56" t="b">
        <v>0</v>
      </c>
      <c r="AC319" s="56">
        <v>20001065</v>
      </c>
      <c r="AD319" s="56">
        <v>5.0106668472290004</v>
      </c>
      <c r="AE319" s="48">
        <f t="shared" si="27"/>
        <v>6.0106668472290004</v>
      </c>
      <c r="AF319" s="48"/>
      <c r="AG319" s="48"/>
      <c r="AH319" s="56">
        <v>0.1</v>
      </c>
      <c r="AL319" s="56">
        <v>25</v>
      </c>
      <c r="AM319" s="48">
        <f>VLOOKUP($F319,'#对话模型配置'!$A:$W,MATCH(对话配置表!AM$2,'#对话模型配置'!$1:$1,0),FALSE)</f>
        <v>20001005</v>
      </c>
      <c r="AN319" s="56" t="s">
        <v>643</v>
      </c>
      <c r="AT319" s="56" t="str">
        <f t="shared" si="20"/>
        <v>&lt;color=#FFCC71&gt;双英雄和高级兵种&lt;/color&gt;将大大提升我们的实力，您可以轻松开拓更多领土。</v>
      </c>
      <c r="AU319" s="56" t="s">
        <v>1302</v>
      </c>
      <c r="AV319" s="56">
        <f t="shared" si="28"/>
        <v>55609</v>
      </c>
      <c r="AW319" s="56" t="s">
        <v>968</v>
      </c>
    </row>
    <row r="320" spans="1:50" s="56" customFormat="1" ht="42">
      <c r="A320" s="56">
        <f t="shared" si="25"/>
        <v>55701</v>
      </c>
      <c r="B320" s="56" t="s">
        <v>970</v>
      </c>
      <c r="C320" s="56">
        <v>1</v>
      </c>
      <c r="D320" s="56" t="s">
        <v>971</v>
      </c>
      <c r="E320" s="56" t="s">
        <v>559</v>
      </c>
      <c r="F320" s="20" t="str">
        <f>VLOOKUP(G320,'#TID_base_up'!B:C,2,0)</f>
        <v>花木兰</v>
      </c>
      <c r="G320" s="56" t="s">
        <v>1145</v>
      </c>
      <c r="H320" s="48" t="str">
        <f>VLOOKUP($F320,'#对话模型配置'!$A:$W,MATCH(对话配置表!H$2,'#对话模型配置'!$1:$1,0),FALSE)</f>
        <v>icon_guidechara.smash</v>
      </c>
      <c r="I320" s="48" t="str">
        <f>VLOOKUP($F320,'#对话模型配置'!$A:$W,MATCH(对话配置表!I$2,'#对话模型配置'!$1:$1,0),FALSE)</f>
        <v>frame_s_xsdh_002</v>
      </c>
      <c r="J320" s="56" t="s">
        <v>1303</v>
      </c>
      <c r="K320" s="84" t="str">
        <f t="shared" si="26"/>
        <v>大规模&lt;color=#FFCC71&gt;战斗会有很多士兵受伤&lt;/color&gt;，我们必须要有足够的&lt;color=#FFCC71&gt;治疗房舍&lt;/color&gt;，请大人升级一些&lt;color=#FFCC71&gt;治疗房舍&lt;/color&gt;。</v>
      </c>
      <c r="U320" s="56">
        <v>1</v>
      </c>
      <c r="V320" s="56">
        <v>0</v>
      </c>
      <c r="X320" s="56">
        <v>0</v>
      </c>
      <c r="Y320" s="56" t="b">
        <v>0</v>
      </c>
      <c r="Z320" s="56" t="s">
        <v>1304</v>
      </c>
      <c r="AA320" s="56" t="b">
        <v>0</v>
      </c>
      <c r="AC320" s="56">
        <v>20001066</v>
      </c>
      <c r="AD320" s="56">
        <v>5.81599998474121</v>
      </c>
      <c r="AE320" s="48">
        <f t="shared" si="27"/>
        <v>6.81599998474121</v>
      </c>
      <c r="AF320" s="48"/>
      <c r="AG320" s="48"/>
      <c r="AH320" s="56">
        <v>0.1</v>
      </c>
      <c r="AL320" s="56">
        <v>25</v>
      </c>
      <c r="AM320" s="48">
        <f>VLOOKUP($F320,'#对话模型配置'!$A:$W,MATCH(对话配置表!AM$2,'#对话模型配置'!$1:$1,0),FALSE)</f>
        <v>20001005</v>
      </c>
      <c r="AN320" s="56" t="s">
        <v>811</v>
      </c>
      <c r="AT320" s="56" t="str">
        <f t="shared" si="20"/>
        <v>大规模&lt;color=#FFCC71&gt;战斗会有很多士兵受伤&lt;/color&gt;，我们必须要有足够的&lt;color=#FFCC71&gt;治疗房舍&lt;/color&gt;，请大人升级一些&lt;color=#FFCC71&gt;治疗房舍&lt;/color&gt;。</v>
      </c>
      <c r="AU320" s="56" t="s">
        <v>1305</v>
      </c>
      <c r="AV320" s="56">
        <f t="shared" si="28"/>
        <v>55701</v>
      </c>
      <c r="AW320" s="56" t="s">
        <v>1306</v>
      </c>
      <c r="AX320" s="56" t="s">
        <v>1307</v>
      </c>
    </row>
    <row r="321" spans="1:51" s="56" customFormat="1" ht="28">
      <c r="A321" s="56">
        <f t="shared" si="25"/>
        <v>55702</v>
      </c>
      <c r="B321" s="56" t="s">
        <v>970</v>
      </c>
      <c r="C321" s="56">
        <v>1</v>
      </c>
      <c r="D321" s="56" t="s">
        <v>1308</v>
      </c>
      <c r="E321" s="56" t="s">
        <v>559</v>
      </c>
      <c r="F321" s="20" t="str">
        <f>VLOOKUP(G321,'#TID_base_up'!B:C,2,0)</f>
        <v>花木兰</v>
      </c>
      <c r="G321" s="56" t="s">
        <v>1145</v>
      </c>
      <c r="H321" s="48" t="str">
        <f>VLOOKUP($F321,'#对话模型配置'!$A:$W,MATCH(对话配置表!H$2,'#对话模型配置'!$1:$1,0),FALSE)</f>
        <v>icon_guidechara.smash</v>
      </c>
      <c r="I321" s="48" t="str">
        <f>VLOOKUP($F321,'#对话模型配置'!$A:$W,MATCH(对话配置表!I$2,'#对话模型配置'!$1:$1,0),FALSE)</f>
        <v>frame_s_xsdh_002</v>
      </c>
      <c r="J321" s="56" t="s">
        <v>1309</v>
      </c>
      <c r="K321" s="84" t="str">
        <f t="shared" si="26"/>
        <v>英雄有着常人所不具备的技能，英雄达到一定等级可以&lt;color=#FFCC71&gt;通过学习更换新技能&lt;/color&gt;。</v>
      </c>
      <c r="U321" s="56">
        <v>1</v>
      </c>
      <c r="V321" s="56">
        <v>0</v>
      </c>
      <c r="X321" s="56">
        <v>0</v>
      </c>
      <c r="Y321" s="56" t="b">
        <v>0</v>
      </c>
      <c r="Z321" s="56" t="s">
        <v>1310</v>
      </c>
      <c r="AA321" s="56" t="b">
        <v>0</v>
      </c>
      <c r="AC321" s="56">
        <v>20001067</v>
      </c>
      <c r="AD321" s="56">
        <v>6.7519998550415004</v>
      </c>
      <c r="AE321" s="48">
        <f t="shared" si="27"/>
        <v>7.7519998550415004</v>
      </c>
      <c r="AF321" s="48"/>
      <c r="AG321" s="48"/>
      <c r="AH321" s="56">
        <v>0.1</v>
      </c>
      <c r="AL321" s="56">
        <v>25</v>
      </c>
      <c r="AM321" s="48">
        <f>VLOOKUP($F321,'#对话模型配置'!$A:$W,MATCH(对话配置表!AM$2,'#对话模型配置'!$1:$1,0),FALSE)</f>
        <v>20001005</v>
      </c>
      <c r="AN321" s="56" t="s">
        <v>643</v>
      </c>
      <c r="AT321" s="56" t="str">
        <f t="shared" si="20"/>
        <v>英雄有着常人所不具备的技能，英雄达到一定等级可以&lt;color=#FFCC71&gt;通过学习更换新技能&lt;/color&gt;。</v>
      </c>
      <c r="AU321" s="56" t="s">
        <v>1311</v>
      </c>
      <c r="AV321" s="56">
        <f t="shared" si="28"/>
        <v>55702</v>
      </c>
      <c r="AW321" s="56" t="s">
        <v>1312</v>
      </c>
    </row>
    <row r="322" spans="1:51" s="56" customFormat="1" ht="42">
      <c r="A322" s="56">
        <f t="shared" si="25"/>
        <v>55703</v>
      </c>
      <c r="B322" s="56" t="s">
        <v>970</v>
      </c>
      <c r="C322" s="56">
        <v>1</v>
      </c>
      <c r="D322" s="56" t="s">
        <v>977</v>
      </c>
      <c r="E322" s="56" t="s">
        <v>559</v>
      </c>
      <c r="F322" s="20" t="str">
        <f>VLOOKUP(G322,'#TID_base_up'!B:C,2,0)</f>
        <v>花木兰</v>
      </c>
      <c r="G322" s="56" t="s">
        <v>1145</v>
      </c>
      <c r="H322" s="48" t="str">
        <f>VLOOKUP($F322,'#对话模型配置'!$A:$W,MATCH(对话配置表!H$2,'#对话模型配置'!$1:$1,0),FALSE)</f>
        <v>icon_guidechara.smash</v>
      </c>
      <c r="I322" s="48" t="str">
        <f>VLOOKUP($F322,'#对话模型配置'!$A:$W,MATCH(对话配置表!I$2,'#对话模型配置'!$1:$1,0),FALSE)</f>
        <v>frame_s_xsdh_002</v>
      </c>
      <c r="J322" s="56" t="s">
        <v>978</v>
      </c>
      <c r="K322" s="84" t="str">
        <f t="shared" si="26"/>
        <v>&lt;color=#FFCC71&gt;利用兵种克制&lt;/color&gt;攻打资源点，可以大幅&lt;color=#FFCC71&gt;减少我军损耗&lt;/color&gt;，知己知彼，百战百胜。</v>
      </c>
      <c r="U322" s="56">
        <v>1</v>
      </c>
      <c r="V322" s="56">
        <v>0</v>
      </c>
      <c r="X322" s="56">
        <v>0</v>
      </c>
      <c r="Y322" s="56" t="b">
        <v>0</v>
      </c>
      <c r="Z322" s="56" t="s">
        <v>1313</v>
      </c>
      <c r="AA322" s="56" t="b">
        <v>0</v>
      </c>
      <c r="AC322" s="56">
        <v>20001068</v>
      </c>
      <c r="AD322" s="56">
        <v>4.6799998283386204</v>
      </c>
      <c r="AE322" s="48">
        <f t="shared" si="27"/>
        <v>5.6799998283386204</v>
      </c>
      <c r="AF322" s="48"/>
      <c r="AG322" s="48"/>
      <c r="AH322" s="56">
        <v>0.1</v>
      </c>
      <c r="AL322" s="56">
        <v>25</v>
      </c>
      <c r="AM322" s="48">
        <f>VLOOKUP($F322,'#对话模型配置'!$A:$W,MATCH(对话配置表!AM$2,'#对话模型配置'!$1:$1,0),FALSE)</f>
        <v>20001005</v>
      </c>
      <c r="AN322" s="56" t="s">
        <v>643</v>
      </c>
      <c r="AT322" s="56" t="str">
        <f t="shared" si="20"/>
        <v>&lt;color=#FFCC71&gt;利用兵种克制&lt;/color&gt;攻打资源点，可以大幅&lt;color=#FFCC71&gt;减少我军损耗&lt;/color&gt;，知己知彼，百战百胜。</v>
      </c>
      <c r="AU322" s="56" t="s">
        <v>980</v>
      </c>
      <c r="AV322" s="56">
        <f t="shared" si="28"/>
        <v>55703</v>
      </c>
      <c r="AW322" s="56" t="s">
        <v>981</v>
      </c>
      <c r="AX322" s="56" t="s">
        <v>982</v>
      </c>
    </row>
    <row r="323" spans="1:51" s="56" customFormat="1" ht="28">
      <c r="A323" s="56">
        <f t="shared" si="25"/>
        <v>55704</v>
      </c>
      <c r="B323" s="56" t="s">
        <v>970</v>
      </c>
      <c r="C323" s="56">
        <v>1</v>
      </c>
      <c r="D323" s="56" t="s">
        <v>983</v>
      </c>
      <c r="E323" s="56" t="s">
        <v>559</v>
      </c>
      <c r="F323" s="20" t="str">
        <f>VLOOKUP(G323,'#TID_base_up'!B:C,2,0)</f>
        <v>花木兰</v>
      </c>
      <c r="G323" s="56" t="s">
        <v>1145</v>
      </c>
      <c r="H323" s="48" t="str">
        <f>VLOOKUP($F323,'#对话模型配置'!$A:$W,MATCH(对话配置表!H$2,'#对话模型配置'!$1:$1,0),FALSE)</f>
        <v>icon_guidechara.smash</v>
      </c>
      <c r="I323" s="48" t="str">
        <f>VLOOKUP($F323,'#对话模型配置'!$A:$W,MATCH(对话配置表!I$2,'#对话模型配置'!$1:$1,0),FALSE)</f>
        <v>frame_s_xsdh_002</v>
      </c>
      <c r="J323" s="56" t="s">
        <v>1314</v>
      </c>
      <c r="K323" s="84" t="str">
        <f t="shared" si="26"/>
        <v>您可从邮件中的&lt;color=#FFCC71&gt;侦察报告&lt;/color&gt;获知敌情，使用相应&lt;color=#FFCC71&gt;兵种克制&lt;/color&gt;，更加容易胜利。</v>
      </c>
      <c r="U323" s="56">
        <v>1</v>
      </c>
      <c r="V323" s="56">
        <v>0</v>
      </c>
      <c r="X323" s="56">
        <v>0</v>
      </c>
      <c r="Y323" s="56" t="b">
        <v>0</v>
      </c>
      <c r="Z323" s="56" t="s">
        <v>1315</v>
      </c>
      <c r="AA323" s="56" t="b">
        <v>0</v>
      </c>
      <c r="AC323" s="56">
        <v>20001069</v>
      </c>
      <c r="AD323" s="56">
        <v>7.1493330001831099</v>
      </c>
      <c r="AE323" s="48">
        <f t="shared" si="27"/>
        <v>8.149333000183109</v>
      </c>
      <c r="AF323" s="48"/>
      <c r="AG323" s="48"/>
      <c r="AH323" s="56">
        <v>0.1</v>
      </c>
      <c r="AL323" s="56">
        <v>25</v>
      </c>
      <c r="AM323" s="48">
        <f>VLOOKUP($F323,'#对话模型配置'!$A:$W,MATCH(对话配置表!AM$2,'#对话模型配置'!$1:$1,0),FALSE)</f>
        <v>20001005</v>
      </c>
      <c r="AN323" s="56" t="s">
        <v>655</v>
      </c>
      <c r="AT323" s="56" t="str">
        <f t="shared" si="20"/>
        <v>您可从邮件中的&lt;color=#FFCC71&gt;侦察报告&lt;/color&gt;获知敌情，使用相应&lt;color=#FFCC71&gt;兵种克制&lt;/color&gt;，更加容易胜利。</v>
      </c>
      <c r="AU323" s="56" t="s">
        <v>1316</v>
      </c>
      <c r="AV323" s="56">
        <f t="shared" si="28"/>
        <v>55704</v>
      </c>
      <c r="AW323" s="56" t="s">
        <v>987</v>
      </c>
      <c r="AX323" s="56" t="s">
        <v>463</v>
      </c>
    </row>
    <row r="324" spans="1:51" s="56" customFormat="1" ht="28">
      <c r="A324" s="56">
        <f t="shared" si="25"/>
        <v>55801</v>
      </c>
      <c r="B324" s="56" t="s">
        <v>989</v>
      </c>
      <c r="C324" s="56">
        <v>1</v>
      </c>
      <c r="D324" s="56" t="s">
        <v>990</v>
      </c>
      <c r="E324" s="56" t="s">
        <v>559</v>
      </c>
      <c r="F324" s="20" t="str">
        <f>VLOOKUP(G324,'#TID_base_up'!B:C,2,0)</f>
        <v>安德莉娅</v>
      </c>
      <c r="G324" s="56" t="s">
        <v>467</v>
      </c>
      <c r="H324" s="48" t="str">
        <f>VLOOKUP($F324,'#对话模型配置'!$A:$W,MATCH(对话配置表!H$2,'#对话模型配置'!$1:$1,0),FALSE)</f>
        <v>icon_guidechara.smash</v>
      </c>
      <c r="I324" s="48" t="str">
        <f>VLOOKUP($F324,'#对话模型配置'!$A:$W,MATCH(对话配置表!I$2,'#对话模型配置'!$1:$1,0),FALSE)</f>
        <v>frame_s_xsdh_002</v>
      </c>
      <c r="J324" s="56" t="s">
        <v>1317</v>
      </c>
      <c r="K324" s="84" t="str">
        <f t="shared" si="26"/>
        <v>中古时代的建设需要&lt;color=#FFCC71&gt;消耗大量石头&lt;/color&gt;资源，&lt;color=#FFCC71&gt;多造一些石矿场&lt;/color&gt;是准没错的。</v>
      </c>
      <c r="U324" s="56">
        <v>1</v>
      </c>
      <c r="V324" s="56">
        <v>0</v>
      </c>
      <c r="X324" s="56">
        <v>0</v>
      </c>
      <c r="Y324" s="56" t="b">
        <v>0</v>
      </c>
      <c r="Z324" s="56" t="s">
        <v>1318</v>
      </c>
      <c r="AA324" s="56" t="b">
        <v>0</v>
      </c>
      <c r="AC324" s="56">
        <v>20001070</v>
      </c>
      <c r="AD324" s="56">
        <v>6.2266659736633301</v>
      </c>
      <c r="AE324" s="48">
        <f t="shared" si="27"/>
        <v>7.2266659736633301</v>
      </c>
      <c r="AF324" s="48"/>
      <c r="AG324" s="48"/>
      <c r="AH324" s="56">
        <v>0.1</v>
      </c>
      <c r="AL324" s="56">
        <v>25</v>
      </c>
      <c r="AM324" s="48">
        <f>VLOOKUP($F324,'#对话模型配置'!$A:$W,MATCH(对话配置表!AM$2,'#对话模型配置'!$1:$1,0),FALSE)</f>
        <v>30001001</v>
      </c>
      <c r="AN324" s="56" t="s">
        <v>700</v>
      </c>
      <c r="AT324" s="56" t="str">
        <f t="shared" ref="AT324:AT379" si="29">IF($AU324="","",SUBSTITUTE(SUBSTITUTE(SUBSTITUTE(SUBSTITUTE($AU324,IF($AW324="","",$AW324),IF($AW324="","",CONCATENATE("&lt;color=#FFCC71&gt;",$AW324,"&lt;/color&gt;"))),IF($AX324="","",$AX324),IF($AX324="","",CONCATENATE("&lt;color=#FFCC71&gt;",$AX324,"&lt;/color&gt;"))),IF($AY324="","",$AY324),IF($AY324="","",CONCATENATE("&lt;color=#FFCC71&gt;",$AY324,"&lt;/color&gt;"))),IF($AZ324="","",$AZ324),IF($AZ324="","",CONCATENATE("&lt;color=#FFCC71&gt;",$AZ324,"&lt;/color&gt;"))))</f>
        <v>中古时代的建设需要&lt;color=#FFCC71&gt;消耗大量石头&lt;/color&gt;资源，&lt;color=#FFCC71&gt;多造一些石矿场&lt;/color&gt;是准没错的。</v>
      </c>
      <c r="AU324" s="56" t="s">
        <v>1319</v>
      </c>
      <c r="AV324" s="56">
        <f t="shared" si="28"/>
        <v>55801</v>
      </c>
      <c r="AW324" s="56" t="s">
        <v>994</v>
      </c>
      <c r="AX324" s="56" t="s">
        <v>995</v>
      </c>
    </row>
    <row r="325" spans="1:51" s="56" customFormat="1" ht="28">
      <c r="A325" s="56">
        <f t="shared" si="25"/>
        <v>55802</v>
      </c>
      <c r="B325" s="56" t="s">
        <v>989</v>
      </c>
      <c r="C325" s="56">
        <v>1</v>
      </c>
      <c r="D325" s="56" t="s">
        <v>1320</v>
      </c>
      <c r="E325" s="56" t="s">
        <v>559</v>
      </c>
      <c r="F325" s="20" t="str">
        <f>VLOOKUP(G325,'#TID_base_up'!B:C,2,0)</f>
        <v>安德莉娅</v>
      </c>
      <c r="G325" s="56" t="s">
        <v>467</v>
      </c>
      <c r="H325" s="48" t="str">
        <f>VLOOKUP($F325,'#对话模型配置'!$A:$W,MATCH(对话配置表!H$2,'#对话模型配置'!$1:$1,0),FALSE)</f>
        <v>icon_guidechara.smash</v>
      </c>
      <c r="I325" s="48" t="str">
        <f>VLOOKUP($F325,'#对话模型配置'!$A:$W,MATCH(对话配置表!I$2,'#对话模型配置'!$1:$1,0),FALSE)</f>
        <v>frame_s_xsdh_002</v>
      </c>
      <c r="J325" s="56" t="s">
        <v>1321</v>
      </c>
      <c r="K325" s="84" t="str">
        <f t="shared" si="26"/>
        <v>大人，请让村民去&lt;color=#FFCC71&gt;采集木材&lt;/color&gt;吧，充足的木材能够支持领地繁荣发展。</v>
      </c>
      <c r="U325" s="56">
        <v>1</v>
      </c>
      <c r="V325" s="56">
        <v>0</v>
      </c>
      <c r="X325" s="56">
        <v>0</v>
      </c>
      <c r="Y325" s="56" t="b">
        <v>0</v>
      </c>
      <c r="Z325" s="56" t="s">
        <v>1322</v>
      </c>
      <c r="AA325" s="56" t="b">
        <v>0</v>
      </c>
      <c r="AC325" s="56">
        <v>20001071</v>
      </c>
      <c r="AD325" s="56">
        <v>5.9733328819274902</v>
      </c>
      <c r="AE325" s="48">
        <f t="shared" si="27"/>
        <v>6.9733328819274902</v>
      </c>
      <c r="AF325" s="48"/>
      <c r="AG325" s="48"/>
      <c r="AH325" s="56">
        <v>0.1</v>
      </c>
      <c r="AL325" s="56">
        <v>25</v>
      </c>
      <c r="AM325" s="48">
        <f>VLOOKUP($F325,'#对话模型配置'!$A:$W,MATCH(对话配置表!AM$2,'#对话模型配置'!$1:$1,0),FALSE)</f>
        <v>30001001</v>
      </c>
      <c r="AN325" s="56" t="s">
        <v>687</v>
      </c>
      <c r="AT325" s="56" t="str">
        <f t="shared" si="29"/>
        <v>大人，请让村民去&lt;color=#FFCC71&gt;采集木材&lt;/color&gt;吧，充足的木材能够支持领地繁荣发展。</v>
      </c>
      <c r="AU325" s="56" t="s">
        <v>1323</v>
      </c>
      <c r="AV325" s="56">
        <f t="shared" si="28"/>
        <v>55802</v>
      </c>
      <c r="AW325" s="56" t="s">
        <v>1324</v>
      </c>
    </row>
    <row r="326" spans="1:51" s="56" customFormat="1" ht="28">
      <c r="A326" s="56">
        <f t="shared" si="25"/>
        <v>55803</v>
      </c>
      <c r="B326" s="56" t="s">
        <v>989</v>
      </c>
      <c r="C326" s="56">
        <v>1</v>
      </c>
      <c r="D326" s="56" t="s">
        <v>1325</v>
      </c>
      <c r="E326" s="56" t="s">
        <v>559</v>
      </c>
      <c r="F326" s="20" t="str">
        <f>VLOOKUP(G326,'#TID_base_up'!B:C,2,0)</f>
        <v>花木兰</v>
      </c>
      <c r="G326" s="56" t="s">
        <v>1145</v>
      </c>
      <c r="H326" s="48" t="str">
        <f>VLOOKUP($F326,'#对话模型配置'!$A:$W,MATCH(对话配置表!H$2,'#对话模型配置'!$1:$1,0),FALSE)</f>
        <v>icon_guidechara.smash</v>
      </c>
      <c r="I326" s="48" t="str">
        <f>VLOOKUP($F326,'#对话模型配置'!$A:$W,MATCH(对话配置表!I$2,'#对话模型配置'!$1:$1,0),FALSE)</f>
        <v>frame_s_xsdh_002</v>
      </c>
      <c r="J326" s="56" t="s">
        <v>1326</v>
      </c>
      <c r="K326" s="84" t="str">
        <f t="shared" si="26"/>
        <v>帝国历史上有着光辉灿烂的英雄传说，通过&lt;color=#FFCC71&gt;【英雄远征】&lt;/color&gt;您可以在此体验不同英雄的精彩人生。</v>
      </c>
      <c r="U326" s="56">
        <v>1</v>
      </c>
      <c r="V326" s="56">
        <v>0</v>
      </c>
      <c r="X326" s="56">
        <v>0</v>
      </c>
      <c r="Y326" s="56" t="b">
        <v>0</v>
      </c>
      <c r="Z326" s="56" t="s">
        <v>1327</v>
      </c>
      <c r="AA326" s="56" t="b">
        <v>0</v>
      </c>
      <c r="AC326" s="56">
        <v>20001072</v>
      </c>
      <c r="AD326" s="56">
        <v>7.92799997329712</v>
      </c>
      <c r="AE326" s="48">
        <f t="shared" si="27"/>
        <v>8.9279999732971191</v>
      </c>
      <c r="AF326" s="48"/>
      <c r="AG326" s="48"/>
      <c r="AH326" s="56">
        <v>0.1</v>
      </c>
      <c r="AL326" s="56">
        <v>25</v>
      </c>
      <c r="AM326" s="48">
        <f>VLOOKUP($F326,'#对话模型配置'!$A:$W,MATCH(对话配置表!AM$2,'#对话模型配置'!$1:$1,0),FALSE)</f>
        <v>20001005</v>
      </c>
      <c r="AN326" s="56" t="s">
        <v>922</v>
      </c>
      <c r="AT326" s="56" t="str">
        <f t="shared" si="29"/>
        <v>帝国历史上有着光辉灿烂的英雄传说，通过&lt;color=#FFCC71&gt;【英雄远征】&lt;/color&gt;您可以在此体验不同英雄的精彩人生。</v>
      </c>
      <c r="AU326" s="56" t="s">
        <v>1328</v>
      </c>
      <c r="AV326" s="56">
        <f t="shared" si="28"/>
        <v>55803</v>
      </c>
      <c r="AW326" s="56" t="s">
        <v>1329</v>
      </c>
    </row>
    <row r="327" spans="1:51" s="56" customFormat="1" ht="28">
      <c r="A327" s="56">
        <f t="shared" ref="A327:A341" si="30">IF(B327=B326,IF(C327&gt;1,A326,A326+1),55000+SUBSTITUTE(SUBSTITUTE(B327,"第",""),"章","")*100+1)</f>
        <v>55901</v>
      </c>
      <c r="B327" s="56" t="s">
        <v>1007</v>
      </c>
      <c r="C327" s="56">
        <v>1</v>
      </c>
      <c r="D327" s="56" t="s">
        <v>1014</v>
      </c>
      <c r="E327" s="56" t="s">
        <v>559</v>
      </c>
      <c r="F327" s="20" t="str">
        <f>VLOOKUP(G327,'#TID_base_up'!B:C,2,0)</f>
        <v>安德莉娅</v>
      </c>
      <c r="G327" s="56" t="s">
        <v>467</v>
      </c>
      <c r="H327" s="48" t="str">
        <f>VLOOKUP($F327,'#对话模型配置'!$A:$W,MATCH(对话配置表!H$2,'#对话模型配置'!$1:$1,0),FALSE)</f>
        <v>icon_guidechara.smash</v>
      </c>
      <c r="I327" s="48" t="str">
        <f>VLOOKUP($F327,'#对话模型配置'!$A:$W,MATCH(对话配置表!I$2,'#对话模型配置'!$1:$1,0),FALSE)</f>
        <v>frame_s_xsdh_002</v>
      </c>
      <c r="J327" s="56" t="s">
        <v>1330</v>
      </c>
      <c r="K327" s="84" t="str">
        <f t="shared" ref="K327:K341" si="31">AT327</f>
        <v>快修建一个&lt;color=#FFCC71&gt;码头&lt;/color&gt;，把渔网撒出去，就能&lt;color=#FFCC71&gt;收获大量食物&lt;/color&gt;。</v>
      </c>
      <c r="U327" s="56">
        <v>1</v>
      </c>
      <c r="V327" s="56">
        <v>0</v>
      </c>
      <c r="X327" s="56">
        <v>0</v>
      </c>
      <c r="Y327" s="56" t="b">
        <v>0</v>
      </c>
      <c r="Z327" s="56" t="s">
        <v>1331</v>
      </c>
      <c r="AA327" s="56" t="b">
        <v>0</v>
      </c>
      <c r="AC327" s="56">
        <v>20001073</v>
      </c>
      <c r="AD327" s="56">
        <v>3.8280000686645499</v>
      </c>
      <c r="AE327" s="48">
        <f t="shared" ref="AE327:AE341" si="32">AD327+1</f>
        <v>4.8280000686645499</v>
      </c>
      <c r="AF327" s="48"/>
      <c r="AG327" s="48"/>
      <c r="AH327" s="56">
        <v>0.1</v>
      </c>
      <c r="AL327" s="56">
        <v>25</v>
      </c>
      <c r="AM327" s="48">
        <f>VLOOKUP($F327,'#对话模型配置'!$A:$W,MATCH(对话配置表!AM$2,'#对话模型配置'!$1:$1,0),FALSE)</f>
        <v>30001001</v>
      </c>
      <c r="AN327" s="56" t="s">
        <v>706</v>
      </c>
      <c r="AT327" s="56" t="str">
        <f t="shared" si="29"/>
        <v>快修建一个&lt;color=#FFCC71&gt;码头&lt;/color&gt;，把渔网撒出去，就能&lt;color=#FFCC71&gt;收获大量食物&lt;/color&gt;。</v>
      </c>
      <c r="AU327" s="56" t="s">
        <v>1332</v>
      </c>
      <c r="AV327" s="56">
        <f t="shared" ref="AV327:AV341" si="33">A327</f>
        <v>55901</v>
      </c>
      <c r="AW327" s="56" t="s">
        <v>1333</v>
      </c>
      <c r="AX327" s="56" t="s">
        <v>1019</v>
      </c>
    </row>
    <row r="328" spans="1:51" s="56" customFormat="1" ht="28">
      <c r="A328" s="56">
        <f t="shared" si="30"/>
        <v>55902</v>
      </c>
      <c r="B328" s="56" t="s">
        <v>1007</v>
      </c>
      <c r="C328" s="56">
        <v>1</v>
      </c>
      <c r="D328" s="56" t="s">
        <v>1020</v>
      </c>
      <c r="E328" s="56" t="s">
        <v>559</v>
      </c>
      <c r="F328" s="20" t="str">
        <f>VLOOKUP(G328,'#TID_base_up'!B:C,2,0)</f>
        <v>花木兰</v>
      </c>
      <c r="G328" s="56" t="s">
        <v>1145</v>
      </c>
      <c r="H328" s="48" t="str">
        <f>VLOOKUP($F328,'#对话模型配置'!$A:$W,MATCH(对话配置表!H$2,'#对话模型配置'!$1:$1,0),FALSE)</f>
        <v>icon_guidechara.smash</v>
      </c>
      <c r="I328" s="48" t="str">
        <f>VLOOKUP($F328,'#对话模型配置'!$A:$W,MATCH(对话配置表!I$2,'#对话模型配置'!$1:$1,0),FALSE)</f>
        <v>frame_s_xsdh_002</v>
      </c>
      <c r="J328" s="56" t="s">
        <v>1334</v>
      </c>
      <c r="K328" s="84" t="str">
        <f t="shared" si="31"/>
        <v>当您所拥有的&lt;color=#FFCC71&gt;资源点数量接近上限&lt;/color&gt;时，可以&lt;color=#FFCC71&gt;放弃低等级的资源点&lt;/color&gt;。</v>
      </c>
      <c r="U328" s="56">
        <v>1</v>
      </c>
      <c r="V328" s="56">
        <v>0</v>
      </c>
      <c r="X328" s="56">
        <v>0</v>
      </c>
      <c r="Y328" s="56" t="b">
        <v>0</v>
      </c>
      <c r="Z328" s="56" t="s">
        <v>1335</v>
      </c>
      <c r="AA328" s="56" t="b">
        <v>0</v>
      </c>
      <c r="AC328" s="56">
        <v>20001074</v>
      </c>
      <c r="AD328" s="56">
        <v>3.6346669197082502</v>
      </c>
      <c r="AE328" s="48">
        <f t="shared" si="32"/>
        <v>4.6346669197082502</v>
      </c>
      <c r="AF328" s="48"/>
      <c r="AG328" s="48"/>
      <c r="AH328" s="56">
        <v>0.1</v>
      </c>
      <c r="AL328" s="56">
        <v>25</v>
      </c>
      <c r="AM328" s="48">
        <f>VLOOKUP($F328,'#对话模型配置'!$A:$W,MATCH(对话配置表!AM$2,'#对话模型配置'!$1:$1,0),FALSE)</f>
        <v>20001005</v>
      </c>
      <c r="AN328" s="56" t="s">
        <v>643</v>
      </c>
      <c r="AT328" s="56" t="str">
        <f t="shared" si="29"/>
        <v>当您所拥有的&lt;color=#FFCC71&gt;资源点数量接近上限&lt;/color&gt;时，可以&lt;color=#FFCC71&gt;放弃低等级的资源点&lt;/color&gt;。</v>
      </c>
      <c r="AU328" s="56" t="s">
        <v>1336</v>
      </c>
      <c r="AV328" s="56">
        <f t="shared" si="33"/>
        <v>55902</v>
      </c>
      <c r="AW328" s="56" t="s">
        <v>1337</v>
      </c>
      <c r="AX328" s="56" t="s">
        <v>1338</v>
      </c>
    </row>
    <row r="329" spans="1:51" s="56" customFormat="1" ht="42">
      <c r="A329" s="56">
        <f t="shared" si="30"/>
        <v>55903</v>
      </c>
      <c r="B329" s="56" t="s">
        <v>1007</v>
      </c>
      <c r="C329" s="56">
        <v>1</v>
      </c>
      <c r="D329" s="56" t="s">
        <v>1008</v>
      </c>
      <c r="E329" s="56" t="s">
        <v>559</v>
      </c>
      <c r="F329" s="20" t="str">
        <f>VLOOKUP(G329,'#TID_base_up'!B:C,2,0)</f>
        <v>花木兰</v>
      </c>
      <c r="G329" s="56" t="s">
        <v>1145</v>
      </c>
      <c r="H329" s="48" t="str">
        <f>VLOOKUP($F329,'#对话模型配置'!$A:$W,MATCH(对话配置表!H$2,'#对话模型配置'!$1:$1,0),FALSE)</f>
        <v>icon_guidechara.smash</v>
      </c>
      <c r="I329" s="48" t="str">
        <f>VLOOKUP($F329,'#对话模型配置'!$A:$W,MATCH(对话配置表!I$2,'#对话模型配置'!$1:$1,0),FALSE)</f>
        <v>frame_s_xsdh_002</v>
      </c>
      <c r="J329" s="56" t="s">
        <v>1339</v>
      </c>
      <c r="K329" s="84" t="str">
        <f t="shared" si="31"/>
        <v>拥有大使馆可以让&lt;color=#FFCC71&gt;盟友帮忙加速建造&lt;/color&gt;，还能&lt;color=#FFCC71&gt;接受援军保护&lt;/color&gt;，大使馆等级越高越好。</v>
      </c>
      <c r="U329" s="56">
        <v>1</v>
      </c>
      <c r="V329" s="56">
        <v>0</v>
      </c>
      <c r="X329" s="56">
        <v>0</v>
      </c>
      <c r="Y329" s="56" t="b">
        <v>0</v>
      </c>
      <c r="Z329" s="56" t="s">
        <v>1340</v>
      </c>
      <c r="AA329" s="56" t="b">
        <v>0</v>
      </c>
      <c r="AC329" s="56">
        <v>20001075</v>
      </c>
      <c r="AD329" s="56">
        <v>6.9613327980041504</v>
      </c>
      <c r="AE329" s="48">
        <f t="shared" si="32"/>
        <v>7.9613327980041504</v>
      </c>
      <c r="AF329" s="48"/>
      <c r="AG329" s="48"/>
      <c r="AH329" s="56">
        <v>0.1</v>
      </c>
      <c r="AL329" s="56">
        <v>25</v>
      </c>
      <c r="AM329" s="48">
        <f>VLOOKUP($F329,'#对话模型配置'!$A:$W,MATCH(对话配置表!AM$2,'#对话模型配置'!$1:$1,0),FALSE)</f>
        <v>20001005</v>
      </c>
      <c r="AN329" s="56" t="s">
        <v>625</v>
      </c>
      <c r="AT329" s="56" t="str">
        <f t="shared" si="29"/>
        <v>拥有大使馆可以让&lt;color=#FFCC71&gt;盟友帮忙加速建造&lt;/color&gt;，还能&lt;color=#FFCC71&gt;接受援军保护&lt;/color&gt;，大使馆等级越高越好。</v>
      </c>
      <c r="AU329" s="56" t="s">
        <v>1341</v>
      </c>
      <c r="AV329" s="56">
        <f t="shared" si="33"/>
        <v>55903</v>
      </c>
      <c r="AW329" s="56" t="s">
        <v>1012</v>
      </c>
      <c r="AX329" s="56" t="s">
        <v>1342</v>
      </c>
    </row>
    <row r="330" spans="1:51" s="56" customFormat="1" ht="28">
      <c r="A330" s="56">
        <f t="shared" si="30"/>
        <v>56001</v>
      </c>
      <c r="B330" s="56" t="s">
        <v>1026</v>
      </c>
      <c r="C330" s="56">
        <v>1</v>
      </c>
      <c r="D330" s="56" t="s">
        <v>1058</v>
      </c>
      <c r="E330" s="56" t="s">
        <v>559</v>
      </c>
      <c r="F330" s="20" t="str">
        <f>VLOOKUP(G330,'#TID_base_up'!B:C,2,0)</f>
        <v>安德莉娅</v>
      </c>
      <c r="G330" s="56" t="s">
        <v>467</v>
      </c>
      <c r="H330" s="48" t="str">
        <f>VLOOKUP($F330,'#对话模型配置'!$A:$W,MATCH(对话配置表!H$2,'#对话模型配置'!$1:$1,0),FALSE)</f>
        <v>icon_guidechara.smash</v>
      </c>
      <c r="I330" s="48" t="str">
        <f>VLOOKUP($F330,'#对话模型配置'!$A:$W,MATCH(对话配置表!I$2,'#对话模型配置'!$1:$1,0),FALSE)</f>
        <v>frame_s_xsdh_002</v>
      </c>
      <c r="J330" s="56" t="s">
        <v>1059</v>
      </c>
      <c r="K330" s="84" t="str">
        <f t="shared" si="31"/>
        <v>如果您某种&lt;color=#FFCC71&gt;资源还有富余&lt;/color&gt;，可以考虑在&lt;color=#FFCC71&gt;市集兑换&lt;/color&gt;成其他类型的资源。</v>
      </c>
      <c r="U330" s="56">
        <v>1</v>
      </c>
      <c r="V330" s="56">
        <v>0</v>
      </c>
      <c r="X330" s="56">
        <v>0</v>
      </c>
      <c r="Y330" s="56" t="b">
        <v>0</v>
      </c>
      <c r="Z330" s="56" t="s">
        <v>1343</v>
      </c>
      <c r="AA330" s="56" t="b">
        <v>0</v>
      </c>
      <c r="AC330" s="56">
        <v>20001076</v>
      </c>
      <c r="AD330" s="56">
        <v>5.6880002021789604</v>
      </c>
      <c r="AE330" s="48">
        <f t="shared" si="32"/>
        <v>6.6880002021789604</v>
      </c>
      <c r="AF330" s="48"/>
      <c r="AG330" s="48"/>
      <c r="AH330" s="56">
        <v>0.1</v>
      </c>
      <c r="AL330" s="56">
        <v>25</v>
      </c>
      <c r="AM330" s="48">
        <f>VLOOKUP($F330,'#对话模型配置'!$A:$W,MATCH(对话配置表!AM$2,'#对话模型配置'!$1:$1,0),FALSE)</f>
        <v>30001001</v>
      </c>
      <c r="AN330" s="56" t="s">
        <v>724</v>
      </c>
      <c r="AT330" s="56" t="str">
        <f t="shared" si="29"/>
        <v>如果您某种&lt;color=#FFCC71&gt;资源还有富余&lt;/color&gt;，可以考虑在&lt;color=#FFCC71&gt;市集兑换&lt;/color&gt;成其他类型的资源。</v>
      </c>
      <c r="AU330" s="56" t="s">
        <v>1061</v>
      </c>
      <c r="AV330" s="56">
        <f t="shared" si="33"/>
        <v>56001</v>
      </c>
      <c r="AW330" s="56" t="s">
        <v>1062</v>
      </c>
      <c r="AX330" s="56" t="s">
        <v>1063</v>
      </c>
    </row>
    <row r="331" spans="1:51" s="56" customFormat="1" ht="42">
      <c r="A331" s="56">
        <f t="shared" si="30"/>
        <v>56101</v>
      </c>
      <c r="B331" s="56" t="s">
        <v>1039</v>
      </c>
      <c r="C331" s="56">
        <v>1</v>
      </c>
      <c r="D331" s="56" t="s">
        <v>1344</v>
      </c>
      <c r="E331" s="56" t="s">
        <v>559</v>
      </c>
      <c r="F331" s="20" t="str">
        <f>VLOOKUP(G331,'#TID_base_up'!B:C,2,0)</f>
        <v>安德莉娅</v>
      </c>
      <c r="G331" s="56" t="s">
        <v>467</v>
      </c>
      <c r="H331" s="48" t="str">
        <f>VLOOKUP($F331,'#对话模型配置'!$A:$W,MATCH(对话配置表!H$2,'#对话模型配置'!$1:$1,0),FALSE)</f>
        <v>icon_guidechara.smash</v>
      </c>
      <c r="I331" s="48" t="str">
        <f>VLOOKUP($F331,'#对话模型配置'!$A:$W,MATCH(对话配置表!I$2,'#对话模型配置'!$1:$1,0),FALSE)</f>
        <v>frame_s_xsdh_002</v>
      </c>
      <c r="J331" s="56" t="s">
        <v>1345</v>
      </c>
      <c r="K331" s="84" t="str">
        <f t="shared" si="31"/>
        <v>您可以在酒馆中招募各种人才，任命他们为&lt;color=#FFCC71&gt;内政官&lt;/color&gt;后，除了可以帮助您&lt;color=#FFCC71&gt;管理领地&lt;/color&gt;，还能&lt;color=#FFCC71&gt;外出探险&lt;/color&gt;。</v>
      </c>
      <c r="U331" s="56">
        <v>1</v>
      </c>
      <c r="V331" s="56">
        <v>0</v>
      </c>
      <c r="X331" s="56">
        <v>0</v>
      </c>
      <c r="Y331" s="56" t="b">
        <v>0</v>
      </c>
      <c r="Z331" s="56" t="s">
        <v>1346</v>
      </c>
      <c r="AA331" s="56" t="b">
        <v>0</v>
      </c>
      <c r="AC331" s="56">
        <v>20001077</v>
      </c>
      <c r="AD331" s="56">
        <v>7.53466701507568</v>
      </c>
      <c r="AE331" s="48">
        <f t="shared" si="32"/>
        <v>8.53466701507568</v>
      </c>
      <c r="AF331" s="48"/>
      <c r="AG331" s="48"/>
      <c r="AH331" s="56">
        <v>0.1</v>
      </c>
      <c r="AL331" s="56">
        <v>25</v>
      </c>
      <c r="AM331" s="48">
        <f>VLOOKUP($F331,'#对话模型配置'!$A:$W,MATCH(对话配置表!AM$2,'#对话模型配置'!$1:$1,0),FALSE)</f>
        <v>30001001</v>
      </c>
      <c r="AN331" s="56" t="s">
        <v>625</v>
      </c>
      <c r="AT331" s="56" t="str">
        <f t="shared" si="29"/>
        <v>您可以在酒馆中招募各种人才，任命他们为&lt;color=#FFCC71&gt;内政官&lt;/color&gt;后，除了可以帮助您&lt;color=#FFCC71&gt;管理领地&lt;/color&gt;，还能&lt;color=#FFCC71&gt;外出探险&lt;/color&gt;。</v>
      </c>
      <c r="AU331" s="56" t="s">
        <v>1347</v>
      </c>
      <c r="AV331" s="56">
        <f t="shared" si="33"/>
        <v>56101</v>
      </c>
      <c r="AW331" s="56" t="s">
        <v>1050</v>
      </c>
      <c r="AX331" s="56" t="s">
        <v>1348</v>
      </c>
      <c r="AY331" s="56" t="s">
        <v>1056</v>
      </c>
    </row>
    <row r="332" spans="1:51" s="56" customFormat="1" ht="42">
      <c r="A332" s="56">
        <f t="shared" si="30"/>
        <v>56102</v>
      </c>
      <c r="B332" s="56" t="s">
        <v>1039</v>
      </c>
      <c r="C332" s="56">
        <v>1</v>
      </c>
      <c r="D332" s="56" t="s">
        <v>1046</v>
      </c>
      <c r="E332" s="56" t="s">
        <v>559</v>
      </c>
      <c r="F332" s="20" t="str">
        <f>VLOOKUP(G332,'#TID_base_up'!B:C,2,0)</f>
        <v>安德莉娅</v>
      </c>
      <c r="G332" s="56" t="s">
        <v>467</v>
      </c>
      <c r="H332" s="48" t="str">
        <f>VLOOKUP($F332,'#对话模型配置'!$A:$W,MATCH(对话配置表!H$2,'#对话模型配置'!$1:$1,0),FALSE)</f>
        <v>icon_guidechara.smash</v>
      </c>
      <c r="I332" s="48" t="str">
        <f>VLOOKUP($F332,'#对话模型配置'!$A:$W,MATCH(对话配置表!I$2,'#对话模型配置'!$1:$1,0),FALSE)</f>
        <v>frame_s_xsdh_002</v>
      </c>
      <c r="J332" s="56" t="s">
        <v>1047</v>
      </c>
      <c r="K332" s="84" t="str">
        <f t="shared" si="31"/>
        <v>&lt;color=#FFCC71&gt;内政官&lt;/color&gt;与英雄最大的区别在于：他们不能领兵打仗，但&lt;color=#FFCC71&gt;精于内政管理&lt;/color&gt;，请您务必善加利用。</v>
      </c>
      <c r="U332" s="56">
        <v>1</v>
      </c>
      <c r="V332" s="56">
        <v>0</v>
      </c>
      <c r="X332" s="56">
        <v>0</v>
      </c>
      <c r="Y332" s="56" t="b">
        <v>0</v>
      </c>
      <c r="Z332" s="56" t="s">
        <v>1349</v>
      </c>
      <c r="AA332" s="56" t="b">
        <v>0</v>
      </c>
      <c r="AC332" s="56">
        <v>20001078</v>
      </c>
      <c r="AD332" s="56">
        <v>7.6856670379638699</v>
      </c>
      <c r="AE332" s="48">
        <f t="shared" si="32"/>
        <v>8.6856670379638707</v>
      </c>
      <c r="AF332" s="48"/>
      <c r="AG332" s="48"/>
      <c r="AH332" s="56">
        <v>0.1</v>
      </c>
      <c r="AL332" s="56">
        <v>25</v>
      </c>
      <c r="AM332" s="48">
        <f>VLOOKUP($F332,'#对话模型配置'!$A:$W,MATCH(对话配置表!AM$2,'#对话模型配置'!$1:$1,0),FALSE)</f>
        <v>30001001</v>
      </c>
      <c r="AN332" s="56" t="s">
        <v>922</v>
      </c>
      <c r="AT332" s="56" t="str">
        <f t="shared" si="29"/>
        <v>&lt;color=#FFCC71&gt;内政官&lt;/color&gt;与英雄最大的区别在于：他们不能领兵打仗，但&lt;color=#FFCC71&gt;精于内政管理&lt;/color&gt;，请您务必善加利用。</v>
      </c>
      <c r="AU332" s="56" t="s">
        <v>1049</v>
      </c>
      <c r="AV332" s="56">
        <f t="shared" si="33"/>
        <v>56102</v>
      </c>
      <c r="AW332" s="56" t="s">
        <v>1050</v>
      </c>
      <c r="AX332" s="56" t="s">
        <v>1051</v>
      </c>
    </row>
    <row r="333" spans="1:51" s="56" customFormat="1" ht="42">
      <c r="A333" s="56">
        <f t="shared" si="30"/>
        <v>56103</v>
      </c>
      <c r="B333" s="56" t="s">
        <v>1039</v>
      </c>
      <c r="C333" s="56">
        <v>1</v>
      </c>
      <c r="D333" s="56" t="s">
        <v>1052</v>
      </c>
      <c r="E333" s="56" t="s">
        <v>559</v>
      </c>
      <c r="F333" s="20" t="str">
        <f>VLOOKUP(G333,'#TID_base_up'!B:C,2,0)</f>
        <v>安德莉娅</v>
      </c>
      <c r="G333" s="56" t="s">
        <v>467</v>
      </c>
      <c r="H333" s="48" t="str">
        <f>VLOOKUP($F333,'#对话模型配置'!$A:$W,MATCH(对话配置表!H$2,'#对话模型配置'!$1:$1,0),FALSE)</f>
        <v>icon_guidechara.smash</v>
      </c>
      <c r="I333" s="48" t="str">
        <f>VLOOKUP($F333,'#对话模型配置'!$A:$W,MATCH(对话配置表!I$2,'#对话模型配置'!$1:$1,0),FALSE)</f>
        <v>frame_s_xsdh_002</v>
      </c>
      <c r="J333" s="56" t="s">
        <v>1350</v>
      </c>
      <c r="K333" s="84" t="str">
        <f t="shared" si="31"/>
        <v>除了内政管理外，&lt;color=#FFCC71&gt;内政官&lt;/color&gt;还可以外出探险，完成各种&lt;color=#FFCC71&gt;探险事件&lt;/color&gt;，获得内城发展所需的资源。</v>
      </c>
      <c r="U333" s="56">
        <v>1</v>
      </c>
      <c r="V333" s="56">
        <v>0</v>
      </c>
      <c r="X333" s="56">
        <v>0</v>
      </c>
      <c r="Y333" s="56" t="b">
        <v>0</v>
      </c>
      <c r="Z333" s="56" t="s">
        <v>1351</v>
      </c>
      <c r="AA333" s="56" t="b">
        <v>0</v>
      </c>
      <c r="AC333" s="56">
        <v>20001079</v>
      </c>
      <c r="AD333" s="56">
        <v>9.9919996261596697</v>
      </c>
      <c r="AE333" s="48">
        <f t="shared" si="32"/>
        <v>10.99199962615967</v>
      </c>
      <c r="AF333" s="48"/>
      <c r="AG333" s="48"/>
      <c r="AH333" s="56">
        <v>0.1</v>
      </c>
      <c r="AL333" s="56">
        <v>25</v>
      </c>
      <c r="AM333" s="48">
        <f>VLOOKUP($F333,'#对话模型配置'!$A:$W,MATCH(对话配置表!AM$2,'#对话模型配置'!$1:$1,0),FALSE)</f>
        <v>30001001</v>
      </c>
      <c r="AN333" s="56" t="s">
        <v>625</v>
      </c>
      <c r="AT333" s="56" t="str">
        <f t="shared" si="29"/>
        <v>除了内政管理外，&lt;color=#FFCC71&gt;内政官&lt;/color&gt;还可以外出探险，完成各种&lt;color=#FFCC71&gt;探险事件&lt;/color&gt;，获得内城发展所需的资源。</v>
      </c>
      <c r="AU333" s="56" t="s">
        <v>1055</v>
      </c>
      <c r="AV333" s="56">
        <f t="shared" si="33"/>
        <v>56103</v>
      </c>
      <c r="AW333" s="56" t="s">
        <v>1050</v>
      </c>
      <c r="AX333" s="56" t="s">
        <v>1352</v>
      </c>
    </row>
    <row r="334" spans="1:51" s="56" customFormat="1" ht="28">
      <c r="A334" s="56">
        <f t="shared" si="30"/>
        <v>56201</v>
      </c>
      <c r="B334" s="56" t="s">
        <v>1064</v>
      </c>
      <c r="C334" s="56">
        <v>1</v>
      </c>
      <c r="D334" s="56" t="s">
        <v>1065</v>
      </c>
      <c r="E334" s="56" t="s">
        <v>559</v>
      </c>
      <c r="F334" s="20" t="str">
        <f>VLOOKUP(G334,'#TID_base_up'!B:C,2,0)</f>
        <v>安德莉娅</v>
      </c>
      <c r="G334" s="56" t="s">
        <v>467</v>
      </c>
      <c r="H334" s="48" t="str">
        <f>VLOOKUP($F334,'#对话模型配置'!$A:$W,MATCH(对话配置表!H$2,'#对话模型配置'!$1:$1,0),FALSE)</f>
        <v>icon_guidechara.smash</v>
      </c>
      <c r="I334" s="48" t="str">
        <f>VLOOKUP($F334,'#对话模型配置'!$A:$W,MATCH(对话配置表!I$2,'#对话模型配置'!$1:$1,0),FALSE)</f>
        <v>frame_s_xsdh_002</v>
      </c>
      <c r="J334" s="56" t="s">
        <v>1353</v>
      </c>
      <c r="K334" s="84" t="str">
        <f t="shared" si="31"/>
        <v>英雄技能升级需要使用&lt;color=#FFCC71&gt;大量铜钱&lt;/color&gt;，请不要错过每天的&lt;color=#FFCC71&gt;征税&lt;/color&gt;！</v>
      </c>
      <c r="U334" s="56">
        <v>1</v>
      </c>
      <c r="V334" s="56">
        <v>0</v>
      </c>
      <c r="X334" s="56">
        <v>0</v>
      </c>
      <c r="Y334" s="56" t="b">
        <v>0</v>
      </c>
      <c r="Z334" s="56" t="s">
        <v>1354</v>
      </c>
      <c r="AA334" s="56" t="b">
        <v>0</v>
      </c>
      <c r="AC334" s="56">
        <v>20001080</v>
      </c>
      <c r="AD334" s="56">
        <v>5.4146671295165998</v>
      </c>
      <c r="AE334" s="48">
        <f t="shared" si="32"/>
        <v>6.4146671295165998</v>
      </c>
      <c r="AF334" s="48"/>
      <c r="AG334" s="48"/>
      <c r="AH334" s="56">
        <v>0.1</v>
      </c>
      <c r="AL334" s="56">
        <v>25</v>
      </c>
      <c r="AM334" s="48">
        <f>VLOOKUP($F334,'#对话模型配置'!$A:$W,MATCH(对话配置表!AM$2,'#对话模型配置'!$1:$1,0),FALSE)</f>
        <v>30001001</v>
      </c>
      <c r="AN334" s="56" t="s">
        <v>706</v>
      </c>
      <c r="AT334" s="56" t="str">
        <f t="shared" si="29"/>
        <v>英雄技能升级需要使用&lt;color=#FFCC71&gt;大量铜钱&lt;/color&gt;，请不要错过每天的&lt;color=#FFCC71&gt;征税&lt;/color&gt;！</v>
      </c>
      <c r="AU334" s="56" t="s">
        <v>1355</v>
      </c>
      <c r="AV334" s="56">
        <f t="shared" si="33"/>
        <v>56201</v>
      </c>
      <c r="AW334" s="56" t="s">
        <v>1356</v>
      </c>
      <c r="AX334" s="56" t="s">
        <v>1070</v>
      </c>
    </row>
    <row r="335" spans="1:51" s="56" customFormat="1" ht="28">
      <c r="A335" s="56">
        <f t="shared" si="30"/>
        <v>56202</v>
      </c>
      <c r="B335" s="56" t="s">
        <v>1064</v>
      </c>
      <c r="C335" s="56">
        <v>1</v>
      </c>
      <c r="D335" s="56" t="s">
        <v>1357</v>
      </c>
      <c r="E335" s="56" t="s">
        <v>559</v>
      </c>
      <c r="F335" s="20" t="str">
        <f>VLOOKUP(G335,'#TID_base_up'!B:C,2,0)</f>
        <v>花木兰</v>
      </c>
      <c r="G335" s="56" t="s">
        <v>1145</v>
      </c>
      <c r="H335" s="48" t="str">
        <f>VLOOKUP($F335,'#对话模型配置'!$A:$W,MATCH(对话配置表!H$2,'#对话模型配置'!$1:$1,0),FALSE)</f>
        <v>icon_guidechara.smash</v>
      </c>
      <c r="I335" s="48" t="str">
        <f>VLOOKUP($F335,'#对话模型配置'!$A:$W,MATCH(对话配置表!I$2,'#对话模型配置'!$1:$1,0),FALSE)</f>
        <v>frame_s_xsdh_002</v>
      </c>
      <c r="J335" s="56" t="s">
        <v>1358</v>
      </c>
      <c r="K335" s="84" t="str">
        <f t="shared" si="31"/>
        <v>大人，派驻强力&lt;color=#FFCC71&gt;英雄守卫城墙&lt;/color&gt;，能有效地震慑敌人。</v>
      </c>
      <c r="U335" s="56">
        <v>1</v>
      </c>
      <c r="V335" s="56">
        <v>0</v>
      </c>
      <c r="X335" s="56">
        <v>0</v>
      </c>
      <c r="Y335" s="56" t="b">
        <v>0</v>
      </c>
      <c r="Z335" s="56" t="s">
        <v>1359</v>
      </c>
      <c r="AA335" s="56" t="b">
        <v>0</v>
      </c>
      <c r="AC335" s="56">
        <v>20001081</v>
      </c>
      <c r="AD335" s="56">
        <v>5.0933327674865696</v>
      </c>
      <c r="AE335" s="48">
        <f t="shared" si="32"/>
        <v>6.0933327674865696</v>
      </c>
      <c r="AF335" s="48"/>
      <c r="AG335" s="48"/>
      <c r="AH335" s="56">
        <v>0.1</v>
      </c>
      <c r="AL335" s="56">
        <v>25</v>
      </c>
      <c r="AM335" s="48">
        <f>VLOOKUP($F335,'#对话模型配置'!$A:$W,MATCH(对话配置表!AM$2,'#对话模型配置'!$1:$1,0),FALSE)</f>
        <v>20001005</v>
      </c>
      <c r="AN335" s="56" t="s">
        <v>1074</v>
      </c>
      <c r="AT335" s="56" t="str">
        <f t="shared" si="29"/>
        <v>大人，派驻强力&lt;color=#FFCC71&gt;英雄守卫城墙&lt;/color&gt;，能有效地震慑敌人。</v>
      </c>
      <c r="AU335" s="56" t="s">
        <v>1360</v>
      </c>
      <c r="AV335" s="56">
        <f t="shared" si="33"/>
        <v>56202</v>
      </c>
      <c r="AW335" s="56" t="s">
        <v>1361</v>
      </c>
    </row>
    <row r="336" spans="1:51" s="56" customFormat="1" ht="28">
      <c r="A336" s="56">
        <f t="shared" si="30"/>
        <v>56301</v>
      </c>
      <c r="B336" s="56" t="s">
        <v>1077</v>
      </c>
      <c r="C336" s="56">
        <v>1</v>
      </c>
      <c r="D336" s="56" t="s">
        <v>1362</v>
      </c>
      <c r="E336" s="56" t="s">
        <v>559</v>
      </c>
      <c r="F336" s="20" t="str">
        <f>VLOOKUP(G336,'#TID_base_up'!B:C,2,0)</f>
        <v>花木兰</v>
      </c>
      <c r="G336" s="56" t="s">
        <v>1145</v>
      </c>
      <c r="H336" s="48" t="str">
        <f>VLOOKUP($F336,'#对话模型配置'!$A:$W,MATCH(对话配置表!H$2,'#对话模型配置'!$1:$1,0),FALSE)</f>
        <v>icon_guidechara.smash</v>
      </c>
      <c r="I336" s="48" t="str">
        <f>VLOOKUP($F336,'#对话模型配置'!$A:$W,MATCH(对话配置表!I$2,'#对话模型配置'!$1:$1,0),FALSE)</f>
        <v>frame_s_xsdh_002</v>
      </c>
      <c r="J336" s="56" t="s">
        <v>1363</v>
      </c>
      <c r="K336" s="84" t="str">
        <f t="shared" si="31"/>
        <v>时代升级后，可在编队中&lt;color=#FFCC71&gt;上阵第3名英雄&lt;/color&gt;，显著提升战斗力。</v>
      </c>
      <c r="U336" s="56">
        <v>1</v>
      </c>
      <c r="V336" s="56">
        <v>0</v>
      </c>
      <c r="X336" s="56">
        <v>0</v>
      </c>
      <c r="Y336" s="56" t="b">
        <v>0</v>
      </c>
      <c r="Z336" s="56" t="s">
        <v>1364</v>
      </c>
      <c r="AA336" s="56" t="b">
        <v>0</v>
      </c>
      <c r="AC336" s="56">
        <v>20001082</v>
      </c>
      <c r="AD336" s="56">
        <v>6.0986671447753897</v>
      </c>
      <c r="AE336" s="48">
        <f t="shared" si="32"/>
        <v>7.0986671447753897</v>
      </c>
      <c r="AF336" s="48"/>
      <c r="AG336" s="48"/>
      <c r="AH336" s="56">
        <v>0.1</v>
      </c>
      <c r="AL336" s="56">
        <v>25</v>
      </c>
      <c r="AM336" s="48">
        <f>VLOOKUP($F336,'#对话模型配置'!$A:$W,MATCH(对话配置表!AM$2,'#对话模型配置'!$1:$1,0),FALSE)</f>
        <v>20001005</v>
      </c>
      <c r="AN336" s="56" t="s">
        <v>676</v>
      </c>
      <c r="AT336" s="56" t="str">
        <f t="shared" si="29"/>
        <v>时代升级后，可在编队中&lt;color=#FFCC71&gt;上阵第3名英雄&lt;/color&gt;，显著提升战斗力。</v>
      </c>
      <c r="AU336" s="56" t="s">
        <v>1365</v>
      </c>
      <c r="AV336" s="56">
        <f t="shared" si="33"/>
        <v>56301</v>
      </c>
      <c r="AW336" s="56" t="s">
        <v>1366</v>
      </c>
    </row>
    <row r="337" spans="1:50" s="56" customFormat="1" ht="42">
      <c r="A337" s="56">
        <f t="shared" si="30"/>
        <v>56302</v>
      </c>
      <c r="B337" s="56" t="s">
        <v>1077</v>
      </c>
      <c r="C337" s="56">
        <v>1</v>
      </c>
      <c r="D337" s="56" t="s">
        <v>1084</v>
      </c>
      <c r="E337" s="56" t="s">
        <v>559</v>
      </c>
      <c r="F337" s="20" t="str">
        <f>VLOOKUP(G337,'#TID_base_up'!B:C,2,0)</f>
        <v>花木兰</v>
      </c>
      <c r="G337" s="56" t="s">
        <v>1145</v>
      </c>
      <c r="H337" s="48" t="str">
        <f>VLOOKUP($F337,'#对话模型配置'!$A:$W,MATCH(对话配置表!H$2,'#对话模型配置'!$1:$1,0),FALSE)</f>
        <v>icon_guidechara.smash</v>
      </c>
      <c r="I337" s="48" t="str">
        <f>VLOOKUP($F337,'#对话模型配置'!$A:$W,MATCH(对话配置表!I$2,'#对话模型配置'!$1:$1,0),FALSE)</f>
        <v>frame_s_xsdh_002</v>
      </c>
      <c r="J337" s="56" t="s">
        <v>1367</v>
      </c>
      <c r="K337" s="84" t="str">
        <f t="shared" si="31"/>
        <v>进入&lt;color=#FFCC71&gt;启蒙时代&lt;/color&gt;后，高等级的建筑升级需要消耗黄金，因此我们需要在城外&lt;color=#FFCC71&gt;占领更多金矿&lt;/color&gt;。</v>
      </c>
      <c r="U337" s="56">
        <v>1</v>
      </c>
      <c r="V337" s="56">
        <v>0</v>
      </c>
      <c r="X337" s="56">
        <v>0</v>
      </c>
      <c r="Y337" s="56" t="b">
        <v>0</v>
      </c>
      <c r="Z337" s="56" t="s">
        <v>1368</v>
      </c>
      <c r="AA337" s="56" t="b">
        <v>0</v>
      </c>
      <c r="AC337" s="56">
        <v>20001083</v>
      </c>
      <c r="AD337" s="56">
        <v>8.3920001983642596</v>
      </c>
      <c r="AE337" s="48">
        <f t="shared" si="32"/>
        <v>9.3920001983642596</v>
      </c>
      <c r="AF337" s="48"/>
      <c r="AG337" s="48"/>
      <c r="AH337" s="56">
        <v>0.1</v>
      </c>
      <c r="AL337" s="56">
        <v>25</v>
      </c>
      <c r="AM337" s="48">
        <f>VLOOKUP($F337,'#对话模型配置'!$A:$W,MATCH(对话配置表!AM$2,'#对话模型配置'!$1:$1,0),FALSE)</f>
        <v>20001005</v>
      </c>
      <c r="AN337" s="56" t="s">
        <v>662</v>
      </c>
      <c r="AT337" s="56" t="str">
        <f t="shared" si="29"/>
        <v>进入&lt;color=#FFCC71&gt;启蒙时代&lt;/color&gt;后，高等级的建筑升级需要消耗黄金，因此我们需要在城外&lt;color=#FFCC71&gt;占领更多金矿&lt;/color&gt;。</v>
      </c>
      <c r="AU337" s="56" t="s">
        <v>1369</v>
      </c>
      <c r="AV337" s="56">
        <f t="shared" si="33"/>
        <v>56302</v>
      </c>
      <c r="AW337" s="56" t="s">
        <v>1088</v>
      </c>
      <c r="AX337" s="56" t="s">
        <v>1370</v>
      </c>
    </row>
    <row r="338" spans="1:50" s="56" customFormat="1" ht="28">
      <c r="A338" s="56">
        <f t="shared" si="30"/>
        <v>56501</v>
      </c>
      <c r="B338" s="56" t="s">
        <v>1090</v>
      </c>
      <c r="C338" s="56">
        <v>1</v>
      </c>
      <c r="D338" s="56" t="s">
        <v>1091</v>
      </c>
      <c r="E338" s="56" t="s">
        <v>559</v>
      </c>
      <c r="F338" s="20" t="str">
        <f>VLOOKUP(G338,'#TID_base_up'!B:C,2,0)</f>
        <v>安德莉娅</v>
      </c>
      <c r="G338" s="56" t="s">
        <v>467</v>
      </c>
      <c r="H338" s="48" t="str">
        <f>VLOOKUP($F338,'#对话模型配置'!$A:$W,MATCH(对话配置表!H$2,'#对话模型配置'!$1:$1,0),FALSE)</f>
        <v>icon_guidechara.smash</v>
      </c>
      <c r="I338" s="48" t="str">
        <f>VLOOKUP($F338,'#对话模型配置'!$A:$W,MATCH(对话配置表!I$2,'#对话模型配置'!$1:$1,0),FALSE)</f>
        <v>frame_s_xsdh_002</v>
      </c>
      <c r="J338" s="56" t="s">
        <v>1371</v>
      </c>
      <c r="K338" s="84" t="str">
        <f t="shared" si="31"/>
        <v>黄金是非常宝贵的战略资源，在城内&lt;color=#FFCC71&gt;建造金矿场&lt;/color&gt;，才能更快发展领地。</v>
      </c>
      <c r="U338" s="56">
        <v>1</v>
      </c>
      <c r="V338" s="56">
        <v>0</v>
      </c>
      <c r="X338" s="56">
        <v>0</v>
      </c>
      <c r="Y338" s="56" t="b">
        <v>0</v>
      </c>
      <c r="Z338" s="56" t="s">
        <v>1372</v>
      </c>
      <c r="AA338" s="56" t="b">
        <v>0</v>
      </c>
      <c r="AC338" s="56">
        <v>20001084</v>
      </c>
      <c r="AD338" s="56">
        <v>5.9613327980041504</v>
      </c>
      <c r="AE338" s="48">
        <f t="shared" si="32"/>
        <v>6.9613327980041504</v>
      </c>
      <c r="AF338" s="48"/>
      <c r="AG338" s="48"/>
      <c r="AH338" s="56">
        <v>0.1</v>
      </c>
      <c r="AL338" s="56">
        <v>25</v>
      </c>
      <c r="AM338" s="48">
        <f>VLOOKUP($F338,'#对话模型配置'!$A:$W,MATCH(对话配置表!AM$2,'#对话模型配置'!$1:$1,0),FALSE)</f>
        <v>30001001</v>
      </c>
      <c r="AN338" s="56" t="s">
        <v>693</v>
      </c>
      <c r="AT338" s="56" t="str">
        <f t="shared" si="29"/>
        <v>黄金是非常宝贵的战略资源，在城内&lt;color=#FFCC71&gt;建造金矿场&lt;/color&gt;，才能更快发展领地。</v>
      </c>
      <c r="AU338" s="56" t="s">
        <v>1373</v>
      </c>
      <c r="AV338" s="56">
        <f t="shared" si="33"/>
        <v>56501</v>
      </c>
      <c r="AW338" s="56" t="s">
        <v>1374</v>
      </c>
    </row>
    <row r="339" spans="1:50" s="56" customFormat="1" ht="28">
      <c r="A339" s="56">
        <f t="shared" si="30"/>
        <v>56601</v>
      </c>
      <c r="B339" s="56" t="s">
        <v>1097</v>
      </c>
      <c r="C339" s="56">
        <v>1</v>
      </c>
      <c r="D339" s="56" t="s">
        <v>1098</v>
      </c>
      <c r="E339" s="56" t="s">
        <v>559</v>
      </c>
      <c r="F339" s="20" t="str">
        <f>VLOOKUP(G339,'#TID_base_up'!B:C,2,0)</f>
        <v>花木兰</v>
      </c>
      <c r="G339" s="56" t="s">
        <v>1145</v>
      </c>
      <c r="H339" s="48" t="str">
        <f>VLOOKUP($F339,'#对话模型配置'!$A:$W,MATCH(对话配置表!H$2,'#对话模型配置'!$1:$1,0),FALSE)</f>
        <v>icon_guidechara.smash</v>
      </c>
      <c r="I339" s="48" t="str">
        <f>VLOOKUP($F339,'#对话模型配置'!$A:$W,MATCH(对话配置表!I$2,'#对话模型配置'!$1:$1,0),FALSE)</f>
        <v>frame_s_xsdh_002</v>
      </c>
      <c r="J339" s="56" t="s">
        <v>1375</v>
      </c>
      <c r="K339" s="84" t="str">
        <f t="shared" si="31"/>
        <v>在城堡可以&lt;color=#FFCC71&gt;训练特色兵种&lt;/color&gt;，&lt;color=#FFCC71&gt;升级各种军事设施&lt;/color&gt;，提升战斗力！</v>
      </c>
      <c r="U339" s="56">
        <v>1</v>
      </c>
      <c r="V339" s="56">
        <v>0</v>
      </c>
      <c r="X339" s="56">
        <v>0</v>
      </c>
      <c r="Y339" s="56" t="b">
        <v>0</v>
      </c>
      <c r="Z339" s="56" t="s">
        <v>1376</v>
      </c>
      <c r="AA339" s="56" t="b">
        <v>0</v>
      </c>
      <c r="AC339" s="56">
        <v>20001085</v>
      </c>
      <c r="AD339" s="56">
        <v>5.8959999084472701</v>
      </c>
      <c r="AE339" s="48">
        <f t="shared" si="32"/>
        <v>6.8959999084472701</v>
      </c>
      <c r="AF339" s="48"/>
      <c r="AG339" s="48"/>
      <c r="AH339" s="56">
        <v>0.1</v>
      </c>
      <c r="AL339" s="56">
        <v>25</v>
      </c>
      <c r="AM339" s="48">
        <f>VLOOKUP($F339,'#对话模型配置'!$A:$W,MATCH(对话配置表!AM$2,'#对话模型配置'!$1:$1,0),FALSE)</f>
        <v>20001005</v>
      </c>
      <c r="AN339" s="56" t="s">
        <v>625</v>
      </c>
      <c r="AT339" s="56" t="str">
        <f t="shared" si="29"/>
        <v>在城堡可以&lt;color=#FFCC71&gt;训练特色兵种&lt;/color&gt;，&lt;color=#FFCC71&gt;升级各种军事设施&lt;/color&gt;，提升战斗力！</v>
      </c>
      <c r="AU339" s="56" t="s">
        <v>1377</v>
      </c>
      <c r="AV339" s="56">
        <f t="shared" si="33"/>
        <v>56601</v>
      </c>
      <c r="AW339" s="56" t="s">
        <v>1103</v>
      </c>
      <c r="AX339" s="56" t="s">
        <v>1104</v>
      </c>
    </row>
    <row r="340" spans="1:50" s="56" customFormat="1" ht="28">
      <c r="A340" s="56">
        <f t="shared" si="30"/>
        <v>56602</v>
      </c>
      <c r="B340" s="56" t="s">
        <v>1097</v>
      </c>
      <c r="C340" s="56">
        <v>1</v>
      </c>
      <c r="D340" s="56" t="s">
        <v>1105</v>
      </c>
      <c r="E340" s="56" t="s">
        <v>559</v>
      </c>
      <c r="F340" s="20" t="str">
        <f>VLOOKUP(G340,'#TID_base_up'!B:C,2,0)</f>
        <v>花木兰</v>
      </c>
      <c r="G340" s="56" t="s">
        <v>1145</v>
      </c>
      <c r="H340" s="48" t="str">
        <f>VLOOKUP($F340,'#对话模型配置'!$A:$W,MATCH(对话配置表!H$2,'#对话模型配置'!$1:$1,0),FALSE)</f>
        <v>icon_guidechara.smash</v>
      </c>
      <c r="I340" s="48" t="str">
        <f>VLOOKUP($F340,'#对话模型配置'!$A:$W,MATCH(对话配置表!I$2,'#对话模型配置'!$1:$1,0),FALSE)</f>
        <v>frame_s_xsdh_002</v>
      </c>
      <c r="J340" s="56" t="s">
        <v>1378</v>
      </c>
      <c r="K340" s="84" t="str">
        <f t="shared" si="31"/>
        <v>城墙可以帮助我们更好地&lt;color=#FFCC71&gt;守护城池&lt;/color&gt;，领主大人，快去&lt;color=#FFCC71&gt;提升一下城墙等级&lt;/color&gt;。</v>
      </c>
      <c r="U340" s="56">
        <v>1</v>
      </c>
      <c r="V340" s="56">
        <v>0</v>
      </c>
      <c r="X340" s="56">
        <v>0</v>
      </c>
      <c r="Y340" s="56" t="b">
        <v>0</v>
      </c>
      <c r="Z340" s="56" t="s">
        <v>1379</v>
      </c>
      <c r="AA340" s="56" t="b">
        <v>0</v>
      </c>
      <c r="AC340" s="56">
        <v>20001086</v>
      </c>
      <c r="AD340" s="56">
        <v>6.2706670761108398</v>
      </c>
      <c r="AE340" s="48">
        <f t="shared" si="32"/>
        <v>7.2706670761108398</v>
      </c>
      <c r="AF340" s="48"/>
      <c r="AG340" s="48"/>
      <c r="AH340" s="56">
        <v>0.1</v>
      </c>
      <c r="AL340" s="56">
        <v>25</v>
      </c>
      <c r="AM340" s="48">
        <f>VLOOKUP($F340,'#对话模型配置'!$A:$W,MATCH(对话配置表!AM$2,'#对话模型配置'!$1:$1,0),FALSE)</f>
        <v>20001005</v>
      </c>
      <c r="AN340" s="56" t="s">
        <v>643</v>
      </c>
      <c r="AT340" s="56" t="str">
        <f t="shared" si="29"/>
        <v>城墙可以帮助我们更好地&lt;color=#FFCC71&gt;守护城池&lt;/color&gt;，领主大人，快去&lt;color=#FFCC71&gt;提升一下城墙等级&lt;/color&gt;。</v>
      </c>
      <c r="AU340" s="56" t="s">
        <v>1380</v>
      </c>
      <c r="AV340" s="56">
        <f t="shared" si="33"/>
        <v>56602</v>
      </c>
      <c r="AW340" s="56" t="s">
        <v>1381</v>
      </c>
      <c r="AX340" s="56" t="s">
        <v>1382</v>
      </c>
    </row>
    <row r="341" spans="1:50" s="56" customFormat="1" ht="42">
      <c r="A341" s="56">
        <f t="shared" si="30"/>
        <v>56701</v>
      </c>
      <c r="B341" s="56" t="s">
        <v>1111</v>
      </c>
      <c r="C341" s="56">
        <v>1</v>
      </c>
      <c r="D341" s="56" t="s">
        <v>1112</v>
      </c>
      <c r="E341" s="56" t="s">
        <v>559</v>
      </c>
      <c r="F341" s="20" t="str">
        <f>VLOOKUP(G341,'#TID_base_up'!B:C,2,0)</f>
        <v>花木兰</v>
      </c>
      <c r="G341" s="56" t="s">
        <v>1145</v>
      </c>
      <c r="H341" s="48" t="str">
        <f>VLOOKUP($F341,'#对话模型配置'!$A:$W,MATCH(对话配置表!H$2,'#对话模型配置'!$1:$1,0),FALSE)</f>
        <v>icon_guidechara.smash</v>
      </c>
      <c r="I341" s="48" t="str">
        <f>VLOOKUP($F341,'#对话模型配置'!$A:$W,MATCH(对话配置表!I$2,'#对话模型配置'!$1:$1,0),FALSE)</f>
        <v>frame_s_xsdh_002</v>
      </c>
      <c r="J341" s="56" t="s">
        <v>1383</v>
      </c>
      <c r="K341" s="84" t="str">
        <f t="shared" si="31"/>
        <v>有了&lt;color=#FFCC71&gt;战争大厅&lt;/color&gt;，就能和盟友们一起&lt;color=#FFCC71&gt;组队攻城&lt;/color&gt;了，这将为我们带来巨大战略优势。</v>
      </c>
      <c r="U341" s="56">
        <v>1</v>
      </c>
      <c r="V341" s="56">
        <v>0</v>
      </c>
      <c r="X341" s="56">
        <v>0</v>
      </c>
      <c r="Y341" s="56" t="b">
        <v>0</v>
      </c>
      <c r="Z341" s="56" t="s">
        <v>1384</v>
      </c>
      <c r="AA341" s="56" t="b">
        <v>0</v>
      </c>
      <c r="AC341" s="56">
        <v>20001087</v>
      </c>
      <c r="AD341" s="56">
        <v>7.4306659698486301</v>
      </c>
      <c r="AE341" s="48">
        <f t="shared" si="32"/>
        <v>8.4306659698486293</v>
      </c>
      <c r="AF341" s="48"/>
      <c r="AG341" s="48"/>
      <c r="AH341" s="56">
        <v>0.1</v>
      </c>
      <c r="AL341" s="56">
        <v>25</v>
      </c>
      <c r="AM341" s="48">
        <f>VLOOKUP($F341,'#对话模型配置'!$A:$W,MATCH(对话配置表!AM$2,'#对话模型配置'!$1:$1,0),FALSE)</f>
        <v>20001005</v>
      </c>
      <c r="AN341" s="56" t="s">
        <v>676</v>
      </c>
      <c r="AT341" s="56" t="str">
        <f t="shared" si="29"/>
        <v>有了&lt;color=#FFCC71&gt;战争大厅&lt;/color&gt;，就能和盟友们一起&lt;color=#FFCC71&gt;组队攻城&lt;/color&gt;了，这将为我们带来巨大战略优势。</v>
      </c>
      <c r="AU341" s="56" t="s">
        <v>1385</v>
      </c>
      <c r="AV341" s="56">
        <f t="shared" si="33"/>
        <v>56701</v>
      </c>
      <c r="AW341" s="56" t="s">
        <v>1116</v>
      </c>
      <c r="AX341" s="56" t="s">
        <v>1386</v>
      </c>
    </row>
    <row r="342" spans="1:50" s="56" customFormat="1">
      <c r="F342" s="20" t="e">
        <f>VLOOKUP(G342,'#TID_base_up'!B:C,2,0)</f>
        <v>#N/A</v>
      </c>
      <c r="K342" s="100"/>
      <c r="AA342" s="56" t="b">
        <v>0</v>
      </c>
      <c r="AT342" s="56" t="str">
        <f t="shared" si="29"/>
        <v/>
      </c>
    </row>
    <row r="343" spans="1:50" s="57" customFormat="1" ht="28">
      <c r="A343" s="57">
        <f>IF(B343=B262,IF(C343&gt;1,A262,A262+1),60000+SUBSTITUTE(SUBSTITUTE(B343,"第",""),"章","")*100+1)</f>
        <v>60001</v>
      </c>
      <c r="B343" s="57" t="s">
        <v>606</v>
      </c>
      <c r="C343" s="57">
        <v>1</v>
      </c>
      <c r="D343" s="57" t="s">
        <v>1387</v>
      </c>
      <c r="E343" s="57" t="s">
        <v>1388</v>
      </c>
      <c r="F343" s="20" t="str">
        <f>VLOOKUP(G343,'#TID_base_up'!B:C,2,0)</f>
        <v>安德莉娅</v>
      </c>
      <c r="G343" s="57" t="s">
        <v>467</v>
      </c>
      <c r="H343" s="48" t="str">
        <f>VLOOKUP($F343,'#对话模型配置'!$A:$W,MATCH(对话配置表!H$2,'#对话模型配置'!$1:$1,0),FALSE)</f>
        <v>icon_guidechara.smash</v>
      </c>
      <c r="I343" s="48" t="str">
        <f>VLOOKUP($F343,'#对话模型配置'!$A:$W,MATCH(对话配置表!I$2,'#对话模型配置'!$1:$1,0),FALSE)</f>
        <v>frame_s_xsdh_002</v>
      </c>
      <c r="J343" s="57" t="s">
        <v>1389</v>
      </c>
      <c r="K343" s="84" t="str">
        <f t="shared" ref="K343:K379" si="34">AT343</f>
        <v>&lt;color=#FFCC71&gt;君临……陷落了&lt;/color&gt;，但幸好，你还在。
只要这面旗帜依旧屹立，希望就会存续。</v>
      </c>
      <c r="T343" s="57">
        <v>1</v>
      </c>
      <c r="U343" s="57">
        <v>1</v>
      </c>
      <c r="V343" s="57">
        <v>0</v>
      </c>
      <c r="X343" s="57">
        <v>0</v>
      </c>
      <c r="Y343" s="57" t="b">
        <v>0</v>
      </c>
      <c r="Z343" s="102" t="s">
        <v>1390</v>
      </c>
      <c r="AA343" s="57" t="b">
        <v>0</v>
      </c>
      <c r="AC343" s="57">
        <v>20001100</v>
      </c>
      <c r="AD343" s="57">
        <v>0</v>
      </c>
      <c r="AE343" s="57">
        <f t="shared" ref="AE343:AE379" si="35">AD343+1</f>
        <v>1</v>
      </c>
      <c r="AH343" s="57">
        <v>0.1</v>
      </c>
      <c r="AL343" s="57">
        <v>10</v>
      </c>
      <c r="AM343" s="48">
        <f>VLOOKUP($F343,'#对话模型配置'!$A:$W,MATCH(对话配置表!AM$2,'#对话模型配置'!$1:$1,0),FALSE)</f>
        <v>30001001</v>
      </c>
      <c r="AN343" s="57" t="s">
        <v>1391</v>
      </c>
      <c r="AT343" s="57" t="str">
        <f t="shared" si="29"/>
        <v>&lt;color=#FFCC71&gt;君临……陷落了&lt;/color&gt;，但幸好，你还在。
只要这面旗帜依旧屹立，希望就会存续。</v>
      </c>
      <c r="AU343" s="57" t="s">
        <v>1392</v>
      </c>
      <c r="AV343" s="57">
        <f t="shared" ref="AV343:AV379" si="36">A343</f>
        <v>60001</v>
      </c>
      <c r="AW343" s="57" t="s">
        <v>1393</v>
      </c>
    </row>
    <row r="344" spans="1:50" s="57" customFormat="1" ht="42">
      <c r="A344" s="57">
        <f t="shared" ref="A344:A379" si="37">IF(B344=B343,IF(C344&gt;1,A343,A343+1),60000+SUBSTITUTE(SUBSTITUTE(B344,"第",""),"章","")*100+1)</f>
        <v>60001</v>
      </c>
      <c r="B344" s="57" t="s">
        <v>606</v>
      </c>
      <c r="C344" s="57">
        <v>2</v>
      </c>
      <c r="D344" s="57" t="s">
        <v>1387</v>
      </c>
      <c r="E344" s="57" t="s">
        <v>1388</v>
      </c>
      <c r="F344" s="20" t="str">
        <f>VLOOKUP(G344,'#TID_base_up'!B:C,2,0)</f>
        <v>魏兰</v>
      </c>
      <c r="G344" s="57" t="s">
        <v>129</v>
      </c>
      <c r="H344" s="48" t="str">
        <f>VLOOKUP($F344,'#对话模型配置'!$A:$W,MATCH(对话配置表!H$2,'#对话模型配置'!$1:$1,0),FALSE)</f>
        <v>icon_guidechara.smash</v>
      </c>
      <c r="I344" s="48" t="str">
        <f>VLOOKUP($F344,'#对话模型配置'!$A:$W,MATCH(对话配置表!I$2,'#对话模型配置'!$1:$1,0),FALSE)</f>
        <v>frame_s_xsdh_002</v>
      </c>
      <c r="J344" s="57" t="s">
        <v>1394</v>
      </c>
      <c r="K344" s="84" t="str">
        <f t="shared" si="34"/>
        <v>不过眼下都得&lt;color=#FFCC71&gt;重新开始&lt;/color&gt;咯，我跟着大家就好了。
都别苦着个脸嘛！咱们接下来去哪儿？</v>
      </c>
      <c r="T344" s="57">
        <v>1</v>
      </c>
      <c r="U344" s="57">
        <v>1</v>
      </c>
      <c r="V344" s="57">
        <v>0</v>
      </c>
      <c r="X344" s="57">
        <v>0</v>
      </c>
      <c r="Y344" s="57" t="b">
        <v>0</v>
      </c>
      <c r="Z344" s="102" t="s">
        <v>1395</v>
      </c>
      <c r="AA344" s="57" t="b">
        <v>0</v>
      </c>
      <c r="AC344" s="57">
        <v>20001101</v>
      </c>
      <c r="AD344" s="57">
        <v>0</v>
      </c>
      <c r="AE344" s="57">
        <f t="shared" si="35"/>
        <v>1</v>
      </c>
      <c r="AH344" s="57">
        <v>0.1</v>
      </c>
      <c r="AL344" s="57">
        <v>10</v>
      </c>
      <c r="AM344" s="48">
        <f>VLOOKUP($F344,'#对话模型配置'!$A:$W,MATCH(对话配置表!AM$2,'#对话模型配置'!$1:$1,0),FALSE)</f>
        <v>20001005</v>
      </c>
      <c r="AN344" s="57" t="s">
        <v>1396</v>
      </c>
      <c r="AT344" s="57" t="str">
        <f t="shared" si="29"/>
        <v>不过眼下都得&lt;color=#FFCC71&gt;重新开始&lt;/color&gt;咯，我跟着大家就好了。
都别苦着个脸嘛！咱们接下来去哪儿？</v>
      </c>
      <c r="AU344" s="57" t="s">
        <v>1397</v>
      </c>
      <c r="AV344" s="57">
        <f t="shared" si="36"/>
        <v>60001</v>
      </c>
      <c r="AW344" s="57" t="s">
        <v>1398</v>
      </c>
    </row>
    <row r="345" spans="1:50" s="57" customFormat="1" ht="42">
      <c r="A345" s="57">
        <f t="shared" si="37"/>
        <v>60001</v>
      </c>
      <c r="B345" s="57" t="s">
        <v>606</v>
      </c>
      <c r="C345" s="57">
        <v>3</v>
      </c>
      <c r="D345" s="57" t="s">
        <v>1387</v>
      </c>
      <c r="E345" s="57" t="s">
        <v>1388</v>
      </c>
      <c r="F345" s="20" t="str">
        <f>VLOOKUP(G345,'#TID_base_up'!B:C,2,0)</f>
        <v>安德莉娅</v>
      </c>
      <c r="G345" s="57" t="s">
        <v>467</v>
      </c>
      <c r="H345" s="48" t="str">
        <f>VLOOKUP($F345,'#对话模型配置'!$A:$W,MATCH(对话配置表!H$2,'#对话模型配置'!$1:$1,0),FALSE)</f>
        <v>icon_guidechara.smash</v>
      </c>
      <c r="I345" s="48" t="str">
        <f>VLOOKUP($F345,'#对话模型配置'!$A:$W,MATCH(对话配置表!I$2,'#对话模型配置'!$1:$1,0),FALSE)</f>
        <v>frame_s_xsdh_002</v>
      </c>
      <c r="J345" s="57" t="s">
        <v>1399</v>
      </c>
      <c r="K345" s="84" t="str">
        <f t="shared" si="34"/>
        <v>重回故土，还是&lt;color=#FFCC71&gt;另觅他地&lt;/color&gt;？
……不管最终选择如何，尊敬的领主，我将&lt;color=#FFCC71&gt;始终与您同行&lt;/color&gt;。</v>
      </c>
      <c r="T345" s="57">
        <v>1</v>
      </c>
      <c r="U345" s="57">
        <v>1</v>
      </c>
      <c r="V345" s="57">
        <v>0</v>
      </c>
      <c r="X345" s="57">
        <v>0</v>
      </c>
      <c r="Y345" s="57" t="b">
        <v>0</v>
      </c>
      <c r="Z345" s="102" t="s">
        <v>1400</v>
      </c>
      <c r="AA345" s="57" t="b">
        <v>0</v>
      </c>
      <c r="AC345" s="57">
        <v>20001102</v>
      </c>
      <c r="AD345" s="57">
        <v>0</v>
      </c>
      <c r="AE345" s="57">
        <f t="shared" si="35"/>
        <v>1</v>
      </c>
      <c r="AH345" s="57">
        <v>0.1</v>
      </c>
      <c r="AL345" s="57">
        <v>10</v>
      </c>
      <c r="AM345" s="48">
        <f>VLOOKUP($F345,'#对话模型配置'!$A:$W,MATCH(对话配置表!AM$2,'#对话模型配置'!$1:$1,0),FALSE)</f>
        <v>30001001</v>
      </c>
      <c r="AN345" s="57" t="s">
        <v>1401</v>
      </c>
      <c r="AT345" s="57" t="str">
        <f t="shared" si="29"/>
        <v>重回故土，还是&lt;color=#FFCC71&gt;另觅他地&lt;/color&gt;？
……不管最终选择如何，尊敬的领主，我将&lt;color=#FFCC71&gt;始终与您同行&lt;/color&gt;。</v>
      </c>
      <c r="AU345" s="57" t="s">
        <v>1402</v>
      </c>
      <c r="AV345" s="57">
        <f t="shared" si="36"/>
        <v>60001</v>
      </c>
      <c r="AW345" s="57" t="s">
        <v>1403</v>
      </c>
      <c r="AX345" s="57" t="s">
        <v>1404</v>
      </c>
    </row>
    <row r="346" spans="1:50" s="57" customFormat="1" ht="14">
      <c r="A346" s="57">
        <f t="shared" si="37"/>
        <v>60001</v>
      </c>
      <c r="B346" s="57" t="s">
        <v>606</v>
      </c>
      <c r="C346" s="57">
        <v>4</v>
      </c>
      <c r="D346" s="57" t="s">
        <v>1387</v>
      </c>
      <c r="E346" s="57" t="s">
        <v>1388</v>
      </c>
      <c r="F346" s="20" t="str">
        <f>VLOOKUP(G346,'#TID_base_up'!B:C,2,0)</f>
        <v>魏兰</v>
      </c>
      <c r="G346" s="57" t="s">
        <v>129</v>
      </c>
      <c r="H346" s="48" t="str">
        <f>VLOOKUP($F346,'#对话模型配置'!$A:$W,MATCH(对话配置表!H$2,'#对话模型配置'!$1:$1,0),FALSE)</f>
        <v>icon_guidechara.smash</v>
      </c>
      <c r="I346" s="48" t="str">
        <f>VLOOKUP($F346,'#对话模型配置'!$A:$W,MATCH(对话配置表!I$2,'#对话模型配置'!$1:$1,0),FALSE)</f>
        <v>frame_s_xsdh_002</v>
      </c>
      <c r="J346" s="57" t="s">
        <v>1405</v>
      </c>
      <c r="K346" s="84" t="str">
        <f t="shared" si="34"/>
        <v>我、我也一样！</v>
      </c>
      <c r="T346" s="57">
        <v>1</v>
      </c>
      <c r="U346" s="57">
        <v>1</v>
      </c>
      <c r="V346" s="57">
        <v>0</v>
      </c>
      <c r="X346" s="57">
        <v>0</v>
      </c>
      <c r="Y346" s="57" t="b">
        <v>0</v>
      </c>
      <c r="Z346" s="102" t="s">
        <v>1406</v>
      </c>
      <c r="AA346" s="57" t="b">
        <v>0</v>
      </c>
      <c r="AC346" s="57">
        <v>20001103</v>
      </c>
      <c r="AD346" s="57">
        <v>0</v>
      </c>
      <c r="AE346" s="57">
        <f t="shared" si="35"/>
        <v>1</v>
      </c>
      <c r="AH346" s="57">
        <v>0.1</v>
      </c>
      <c r="AL346" s="57">
        <v>10</v>
      </c>
      <c r="AM346" s="48">
        <f>VLOOKUP($F346,'#对话模型配置'!$A:$W,MATCH(对话配置表!AM$2,'#对话模型配置'!$1:$1,0),FALSE)</f>
        <v>20001005</v>
      </c>
      <c r="AN346" s="57" t="s">
        <v>1407</v>
      </c>
      <c r="AT346" s="57" t="str">
        <f t="shared" si="29"/>
        <v>我、我也一样！</v>
      </c>
      <c r="AU346" s="57" t="s">
        <v>1408</v>
      </c>
      <c r="AV346" s="57">
        <f t="shared" si="36"/>
        <v>60001</v>
      </c>
    </row>
    <row r="347" spans="1:50" s="57" customFormat="1" ht="42">
      <c r="A347" s="57">
        <f t="shared" si="37"/>
        <v>60002</v>
      </c>
      <c r="B347" s="57" t="s">
        <v>606</v>
      </c>
      <c r="C347" s="57">
        <v>1</v>
      </c>
      <c r="D347" s="57" t="s">
        <v>1409</v>
      </c>
      <c r="E347" s="57" t="s">
        <v>1388</v>
      </c>
      <c r="F347" s="20" t="str">
        <f>VLOOKUP(G347,'#TID_base_up'!B:C,2,0)</f>
        <v>安德莉娅</v>
      </c>
      <c r="G347" s="57" t="s">
        <v>467</v>
      </c>
      <c r="H347" s="48" t="str">
        <f>VLOOKUP($F347,'#对话模型配置'!$A:$W,MATCH(对话配置表!H$2,'#对话模型配置'!$1:$1,0),FALSE)</f>
        <v>icon_guidechara.smash</v>
      </c>
      <c r="I347" s="48" t="str">
        <f>VLOOKUP($F347,'#对话模型配置'!$A:$W,MATCH(对话配置表!I$2,'#对话模型配置'!$1:$1,0),FALSE)</f>
        <v>frame_s_xsdh_002</v>
      </c>
      <c r="J347" s="57" t="s">
        <v>1410</v>
      </c>
      <c r="K347" s="84" t="str">
        <f t="shared" si="34"/>
        <v>呼……那决定好了的话，就&lt;color=#FFCC71&gt;一起出发&lt;/color&gt;吧！
接下来的路，还有很长呢。</v>
      </c>
      <c r="T347" s="57">
        <v>1</v>
      </c>
      <c r="U347" s="57">
        <v>1</v>
      </c>
      <c r="V347" s="57">
        <v>0</v>
      </c>
      <c r="W347" s="102"/>
      <c r="X347" s="57">
        <v>0</v>
      </c>
      <c r="Y347" s="57" t="b">
        <v>0</v>
      </c>
      <c r="Z347" s="102" t="s">
        <v>1411</v>
      </c>
      <c r="AA347" s="57" t="b">
        <v>0</v>
      </c>
      <c r="AC347" s="57">
        <v>20001104</v>
      </c>
      <c r="AD347" s="57">
        <v>0</v>
      </c>
      <c r="AE347" s="57">
        <f t="shared" si="35"/>
        <v>1</v>
      </c>
      <c r="AH347" s="57">
        <v>0.1</v>
      </c>
      <c r="AL347" s="57">
        <v>10</v>
      </c>
      <c r="AM347" s="48">
        <f>VLOOKUP($F347,'#对话模型配置'!$A:$W,MATCH(对话配置表!AM$2,'#对话模型配置'!$1:$1,0),FALSE)</f>
        <v>30001001</v>
      </c>
      <c r="AN347" s="57" t="s">
        <v>1412</v>
      </c>
      <c r="AT347" s="57" t="str">
        <f t="shared" si="29"/>
        <v>呼……那决定好了的话，就&lt;color=#FFCC71&gt;一起出发&lt;/color&gt;吧！
接下来的路，还有很长呢。</v>
      </c>
      <c r="AU347" s="57" t="s">
        <v>1413</v>
      </c>
      <c r="AV347" s="57">
        <f t="shared" si="36"/>
        <v>60002</v>
      </c>
      <c r="AW347" s="57" t="s">
        <v>1414</v>
      </c>
    </row>
    <row r="348" spans="1:50" s="57" customFormat="1" ht="42">
      <c r="A348" s="57">
        <f t="shared" si="37"/>
        <v>60003</v>
      </c>
      <c r="B348" s="57" t="s">
        <v>606</v>
      </c>
      <c r="C348" s="57">
        <v>1</v>
      </c>
      <c r="D348" s="57" t="s">
        <v>1415</v>
      </c>
      <c r="E348" s="57" t="s">
        <v>1388</v>
      </c>
      <c r="F348" s="20" t="str">
        <f>VLOOKUP(G348,'#TID_base_up'!B:C,2,0)</f>
        <v>安德莉娅</v>
      </c>
      <c r="G348" s="57" t="s">
        <v>467</v>
      </c>
      <c r="H348" s="48" t="str">
        <f>VLOOKUP($F348,'#对话模型配置'!$A:$W,MATCH(对话配置表!H$2,'#对话模型配置'!$1:$1,0),FALSE)</f>
        <v>icon_guidechara.smash</v>
      </c>
      <c r="I348" s="48" t="str">
        <f>VLOOKUP($F348,'#对话模型配置'!$A:$W,MATCH(对话配置表!I$2,'#对话模型配置'!$1:$1,0),FALSE)</f>
        <v>frame_s_xsdh_002</v>
      </c>
      <c r="J348" s="57" t="s">
        <v>1416</v>
      </c>
      <c r="K348" s="84" t="str">
        <f t="shared" si="34"/>
        <v>没想到，帝国现在这种情况，他们竟然还会认同我这个公主……
我以印信&lt;color=#FFCC71&gt;签发了政令&lt;/color&gt;，这块土地，以后就是&lt;color=#FFCC71&gt;我们的领土&lt;/color&gt;了。</v>
      </c>
      <c r="T348" s="57">
        <v>1</v>
      </c>
      <c r="U348" s="57">
        <v>1</v>
      </c>
      <c r="V348" s="57">
        <v>0</v>
      </c>
      <c r="X348" s="57">
        <v>0</v>
      </c>
      <c r="Y348" s="57" t="b">
        <v>0</v>
      </c>
      <c r="Z348" s="102" t="s">
        <v>1417</v>
      </c>
      <c r="AA348" s="57" t="b">
        <v>1</v>
      </c>
      <c r="AC348" s="57">
        <v>20001105</v>
      </c>
      <c r="AD348" s="57">
        <v>0</v>
      </c>
      <c r="AE348" s="57">
        <f t="shared" si="35"/>
        <v>1</v>
      </c>
      <c r="AH348" s="57">
        <v>0.1</v>
      </c>
      <c r="AL348" s="57">
        <v>10</v>
      </c>
      <c r="AM348" s="48">
        <f>VLOOKUP($F348,'#对话模型配置'!$A:$W,MATCH(对话配置表!AM$2,'#对话模型配置'!$1:$1,0),FALSE)</f>
        <v>30001001</v>
      </c>
      <c r="AN348" s="57" t="s">
        <v>1418</v>
      </c>
      <c r="AT348" s="57" t="str">
        <f t="shared" si="29"/>
        <v>没想到，帝国现在这种情况，他们竟然还会认同我这个公主……
我以印信&lt;color=#FFCC71&gt;签发了政令&lt;/color&gt;，这块土地，以后就是&lt;color=#FFCC71&gt;我们的领土&lt;/color&gt;了。</v>
      </c>
      <c r="AU348" s="57" t="s">
        <v>1419</v>
      </c>
      <c r="AV348" s="57">
        <f t="shared" si="36"/>
        <v>60003</v>
      </c>
      <c r="AW348" s="57" t="s">
        <v>1420</v>
      </c>
      <c r="AX348" s="57" t="s">
        <v>1421</v>
      </c>
    </row>
    <row r="349" spans="1:50" s="57" customFormat="1" ht="42">
      <c r="A349" s="57">
        <f t="shared" si="37"/>
        <v>60101</v>
      </c>
      <c r="B349" s="57" t="s">
        <v>621</v>
      </c>
      <c r="C349" s="57">
        <v>1</v>
      </c>
      <c r="D349" s="57" t="s">
        <v>622</v>
      </c>
      <c r="E349" s="57" t="s">
        <v>1388</v>
      </c>
      <c r="F349" s="20" t="str">
        <f>VLOOKUP(G349,'#TID_base_up'!B:C,2,0)</f>
        <v>魏兰</v>
      </c>
      <c r="G349" s="57" t="s">
        <v>129</v>
      </c>
      <c r="H349" s="48" t="str">
        <f>VLOOKUP($F349,'#对话模型配置'!$A:$W,MATCH(对话配置表!H$2,'#对话模型配置'!$1:$1,0),FALSE)</f>
        <v>icon_guidechara.smash</v>
      </c>
      <c r="I349" s="48" t="str">
        <f>VLOOKUP($F349,'#对话模型配置'!$A:$W,MATCH(对话配置表!I$2,'#对话模型配置'!$1:$1,0),FALSE)</f>
        <v>frame_s_xsdh_002</v>
      </c>
      <c r="J349" s="57" t="s">
        <v>1422</v>
      </c>
      <c r="K349" s="84" t="str">
        <f t="shared" si="34"/>
        <v>我回来啦！
刚在周边溜达了一圈，简要写了一份&lt;color=#FFCC71&gt;侦察战报&lt;/color&gt;，大家一起看看？</v>
      </c>
      <c r="T349" s="57">
        <v>1</v>
      </c>
      <c r="U349" s="57">
        <v>1</v>
      </c>
      <c r="V349" s="57">
        <v>0</v>
      </c>
      <c r="X349" s="57">
        <v>0</v>
      </c>
      <c r="Y349" s="57" t="b">
        <v>0</v>
      </c>
      <c r="Z349" s="102" t="s">
        <v>1423</v>
      </c>
      <c r="AA349" s="57" t="b">
        <v>0</v>
      </c>
      <c r="AC349" s="57">
        <v>20001106</v>
      </c>
      <c r="AD349" s="57">
        <v>0</v>
      </c>
      <c r="AE349" s="57">
        <f t="shared" si="35"/>
        <v>1</v>
      </c>
      <c r="AH349" s="57">
        <v>0.1</v>
      </c>
      <c r="AL349" s="57">
        <v>10</v>
      </c>
      <c r="AM349" s="48">
        <f>VLOOKUP($F349,'#对话模型配置'!$A:$W,MATCH(对话配置表!AM$2,'#对话模型配置'!$1:$1,0),FALSE)</f>
        <v>20001005</v>
      </c>
      <c r="AN349" s="57" t="s">
        <v>1424</v>
      </c>
      <c r="AT349" s="57" t="str">
        <f t="shared" si="29"/>
        <v>我回来啦！
刚在周边溜达了一圈，简要写了一份&lt;color=#FFCC71&gt;侦察战报&lt;/color&gt;，大家一起看看？</v>
      </c>
      <c r="AU349" s="57" t="s">
        <v>1425</v>
      </c>
      <c r="AV349" s="57">
        <f t="shared" si="36"/>
        <v>60101</v>
      </c>
      <c r="AW349" s="57" t="s">
        <v>1426</v>
      </c>
    </row>
    <row r="350" spans="1:50" s="57" customFormat="1" ht="42">
      <c r="A350" s="57">
        <f t="shared" si="37"/>
        <v>60101</v>
      </c>
      <c r="B350" s="57" t="s">
        <v>621</v>
      </c>
      <c r="C350" s="57">
        <v>2</v>
      </c>
      <c r="D350" s="57" t="s">
        <v>622</v>
      </c>
      <c r="E350" s="57" t="s">
        <v>1388</v>
      </c>
      <c r="F350" s="20" t="str">
        <f>VLOOKUP(G350,'#TID_base_up'!B:C,2,0)</f>
        <v>安德莉娅</v>
      </c>
      <c r="G350" s="57" t="s">
        <v>467</v>
      </c>
      <c r="H350" s="48" t="str">
        <f>VLOOKUP($F350,'#对话模型配置'!$A:$W,MATCH(对话配置表!H$2,'#对话模型配置'!$1:$1,0),FALSE)</f>
        <v>icon_guidechara.smash</v>
      </c>
      <c r="I350" s="48" t="str">
        <f>VLOOKUP($F350,'#对话模型配置'!$A:$W,MATCH(对话配置表!I$2,'#对话模型配置'!$1:$1,0),FALSE)</f>
        <v>frame_s_xsdh_002</v>
      </c>
      <c r="J350" s="57" t="s">
        <v>1427</v>
      </c>
      <c r="K350" s="84" t="str">
        <f t="shared" si="34"/>
        <v>我看看……这份情报，唔……？
&lt;color=#FFCC71&gt;资源分布&lt;/color&gt;倒是没什么问题，不过怎么会有这么多的&lt;color=#FFCC71&gt;乱兵和蛮族&lt;/color&gt;？</v>
      </c>
      <c r="T350" s="57">
        <v>1</v>
      </c>
      <c r="U350" s="57">
        <v>1</v>
      </c>
      <c r="V350" s="57">
        <v>0</v>
      </c>
      <c r="X350" s="57">
        <v>0</v>
      </c>
      <c r="Y350" s="57" t="b">
        <v>0</v>
      </c>
      <c r="Z350" s="102" t="s">
        <v>1428</v>
      </c>
      <c r="AA350" s="57" t="b">
        <v>0</v>
      </c>
      <c r="AC350" s="57">
        <v>20001107</v>
      </c>
      <c r="AD350" s="57">
        <v>0</v>
      </c>
      <c r="AE350" s="57">
        <f t="shared" si="35"/>
        <v>1</v>
      </c>
      <c r="AH350" s="57">
        <v>0.1</v>
      </c>
      <c r="AL350" s="57">
        <v>10</v>
      </c>
      <c r="AM350" s="48">
        <f>VLOOKUP($F350,'#对话模型配置'!$A:$W,MATCH(对话配置表!AM$2,'#对话模型配置'!$1:$1,0),FALSE)</f>
        <v>30001001</v>
      </c>
      <c r="AN350" s="57" t="s">
        <v>1429</v>
      </c>
      <c r="AT350" s="57" t="str">
        <f t="shared" si="29"/>
        <v>我看看……这份情报，唔……？
&lt;color=#FFCC71&gt;资源分布&lt;/color&gt;倒是没什么问题，不过怎么会有这么多的&lt;color=#FFCC71&gt;乱兵和蛮族&lt;/color&gt;？</v>
      </c>
      <c r="AU350" s="57" t="s">
        <v>1430</v>
      </c>
      <c r="AV350" s="57">
        <f t="shared" si="36"/>
        <v>60101</v>
      </c>
      <c r="AW350" s="57" t="s">
        <v>1431</v>
      </c>
      <c r="AX350" s="57" t="s">
        <v>1432</v>
      </c>
    </row>
    <row r="351" spans="1:50" s="57" customFormat="1" ht="28">
      <c r="A351" s="57">
        <f t="shared" si="37"/>
        <v>60101</v>
      </c>
      <c r="B351" s="57" t="s">
        <v>621</v>
      </c>
      <c r="C351" s="57">
        <v>3</v>
      </c>
      <c r="D351" s="57" t="s">
        <v>622</v>
      </c>
      <c r="E351" s="57" t="s">
        <v>1388</v>
      </c>
      <c r="F351" s="20" t="str">
        <f>VLOOKUP(G351,'#TID_base_up'!B:C,2,0)</f>
        <v>魏兰</v>
      </c>
      <c r="G351" s="57" t="s">
        <v>129</v>
      </c>
      <c r="H351" s="48" t="str">
        <f>VLOOKUP($F351,'#对话模型配置'!$A:$W,MATCH(对话配置表!H$2,'#对话模型配置'!$1:$1,0),FALSE)</f>
        <v>icon_guidechara.smash</v>
      </c>
      <c r="I351" s="48" t="str">
        <f>VLOOKUP($F351,'#对话模型配置'!$A:$W,MATCH(对话配置表!I$2,'#对话模型配置'!$1:$1,0),FALSE)</f>
        <v>frame_s_xsdh_002</v>
      </c>
      <c r="J351" s="57" t="s">
        <v>1433</v>
      </c>
      <c r="K351" s="84" t="str">
        <f t="shared" si="34"/>
        <v>咦？也对哦，这里的总督我之前听说过，还挺精明强势的。
按理说……他的治理下&lt;color=#FFCC71&gt;不该这么乱&lt;/color&gt;啊。</v>
      </c>
      <c r="T351" s="57">
        <v>1</v>
      </c>
      <c r="U351" s="57">
        <v>1</v>
      </c>
      <c r="V351" s="57">
        <v>0</v>
      </c>
      <c r="X351" s="57">
        <v>0</v>
      </c>
      <c r="Y351" s="57" t="b">
        <v>0</v>
      </c>
      <c r="Z351" s="102" t="s">
        <v>1434</v>
      </c>
      <c r="AA351" s="57" t="b">
        <v>0</v>
      </c>
      <c r="AC351" s="57">
        <v>20001108</v>
      </c>
      <c r="AD351" s="57">
        <v>0</v>
      </c>
      <c r="AE351" s="57">
        <f t="shared" si="35"/>
        <v>1</v>
      </c>
      <c r="AH351" s="57">
        <v>0.1</v>
      </c>
      <c r="AL351" s="57">
        <v>10</v>
      </c>
      <c r="AM351" s="48">
        <f>VLOOKUP($F351,'#对话模型配置'!$A:$W,MATCH(对话配置表!AM$2,'#对话模型配置'!$1:$1,0),FALSE)</f>
        <v>20001005</v>
      </c>
      <c r="AN351" s="57" t="s">
        <v>1435</v>
      </c>
      <c r="AT351" s="57" t="str">
        <f t="shared" si="29"/>
        <v>咦？也对哦，这里的总督我之前听说过，还挺精明强势的。
按理说……他的治理下&lt;color=#FFCC71&gt;不该这么乱&lt;/color&gt;啊。</v>
      </c>
      <c r="AU351" s="57" t="s">
        <v>1436</v>
      </c>
      <c r="AV351" s="57">
        <f t="shared" si="36"/>
        <v>60101</v>
      </c>
      <c r="AW351" s="57" t="s">
        <v>1437</v>
      </c>
    </row>
    <row r="352" spans="1:50" s="57" customFormat="1" ht="42">
      <c r="A352" s="57">
        <f t="shared" si="37"/>
        <v>60101</v>
      </c>
      <c r="B352" s="57" t="s">
        <v>621</v>
      </c>
      <c r="C352" s="57">
        <v>4</v>
      </c>
      <c r="D352" s="57" t="s">
        <v>622</v>
      </c>
      <c r="E352" s="57" t="s">
        <v>1388</v>
      </c>
      <c r="F352" s="20" t="str">
        <f>VLOOKUP(G352,'#TID_base_up'!B:C,2,0)</f>
        <v>安德莉娅</v>
      </c>
      <c r="G352" s="57" t="s">
        <v>467</v>
      </c>
      <c r="H352" s="48" t="str">
        <f>VLOOKUP($F352,'#对话模型配置'!$A:$W,MATCH(对话配置表!H$2,'#对话模型配置'!$1:$1,0),FALSE)</f>
        <v>icon_guidechara.smash</v>
      </c>
      <c r="I352" s="48" t="str">
        <f>VLOOKUP($F352,'#对话模型配置'!$A:$W,MATCH(对话配置表!I$2,'#对话模型配置'!$1:$1,0),FALSE)</f>
        <v>frame_s_xsdh_002</v>
      </c>
      <c r="J352" s="57" t="s">
        <v>1438</v>
      </c>
      <c r="K352" s="84" t="str">
        <f t="shared" si="34"/>
        <v>看来这里&lt;color=#FFCC71&gt;发生了一些&lt;/color&gt;我们不知道的&lt;color=#FFCC71&gt;事情&lt;/color&gt;。
先潜心发展吧，小心为上。</v>
      </c>
      <c r="T352" s="57">
        <v>1</v>
      </c>
      <c r="U352" s="57">
        <v>1</v>
      </c>
      <c r="V352" s="57">
        <v>0</v>
      </c>
      <c r="X352" s="57">
        <v>0</v>
      </c>
      <c r="Y352" s="57" t="b">
        <v>0</v>
      </c>
      <c r="Z352" s="102" t="s">
        <v>1439</v>
      </c>
      <c r="AA352" s="57" t="b">
        <v>1</v>
      </c>
      <c r="AC352" s="57">
        <v>20001109</v>
      </c>
      <c r="AD352" s="57">
        <v>0</v>
      </c>
      <c r="AE352" s="57">
        <f t="shared" si="35"/>
        <v>1</v>
      </c>
      <c r="AH352" s="57">
        <v>0.1</v>
      </c>
      <c r="AL352" s="57">
        <v>10</v>
      </c>
      <c r="AM352" s="48">
        <f>VLOOKUP($F352,'#对话模型配置'!$A:$W,MATCH(对话配置表!AM$2,'#对话模型配置'!$1:$1,0),FALSE)</f>
        <v>30001001</v>
      </c>
      <c r="AN352" s="57" t="s">
        <v>1440</v>
      </c>
      <c r="AT352" s="57" t="str">
        <f t="shared" si="29"/>
        <v>看来这里&lt;color=#FFCC71&gt;发生了一些&lt;/color&gt;我们不知道的&lt;color=#FFCC71&gt;事情&lt;/color&gt;。
先潜心发展吧，小心为上。</v>
      </c>
      <c r="AU352" s="57" t="s">
        <v>1441</v>
      </c>
      <c r="AV352" s="57">
        <f t="shared" si="36"/>
        <v>60101</v>
      </c>
      <c r="AW352" s="57" t="s">
        <v>1442</v>
      </c>
      <c r="AX352" s="57" t="s">
        <v>1443</v>
      </c>
    </row>
    <row r="353" spans="1:50" s="57" customFormat="1" ht="56">
      <c r="A353" s="57">
        <f t="shared" si="37"/>
        <v>60201</v>
      </c>
      <c r="B353" s="57" t="s">
        <v>679</v>
      </c>
      <c r="C353" s="57">
        <v>1</v>
      </c>
      <c r="D353" s="57" t="s">
        <v>622</v>
      </c>
      <c r="E353" s="57" t="s">
        <v>1388</v>
      </c>
      <c r="F353" s="20" t="str">
        <f>VLOOKUP(G353,'#TID_base_up'!B:C,2,0)</f>
        <v>魏兰</v>
      </c>
      <c r="G353" s="57" t="s">
        <v>129</v>
      </c>
      <c r="H353" s="48" t="str">
        <f>VLOOKUP($F353,'#对话模型配置'!$A:$W,MATCH(对话配置表!H$2,'#对话模型配置'!$1:$1,0),FALSE)</f>
        <v>icon_guidechara.smash</v>
      </c>
      <c r="I353" s="48" t="str">
        <f>VLOOKUP($F353,'#对话模型配置'!$A:$W,MATCH(对话配置表!I$2,'#对话模型配置'!$1:$1,0),FALSE)</f>
        <v>frame_s_xsdh_002</v>
      </c>
      <c r="J353" s="57" t="s">
        <v>1444</v>
      </c>
      <c r="K353" s="84" t="str">
        <f t="shared" si="34"/>
        <v>不好了大人，我们的&lt;color=#FFCC71&gt;辎重队伍被袭击&lt;/color&gt;了！
士兵、马夫、还有随行的家眷……&lt;color=#FFCC71&gt;全部阵亡&lt;/color&gt;，一个都没能逃出来。</v>
      </c>
      <c r="T353" s="57">
        <v>1</v>
      </c>
      <c r="U353" s="57">
        <v>1</v>
      </c>
      <c r="V353" s="57">
        <v>0</v>
      </c>
      <c r="X353" s="57">
        <v>0</v>
      </c>
      <c r="Y353" s="57" t="b">
        <v>0</v>
      </c>
      <c r="Z353" s="102" t="s">
        <v>1445</v>
      </c>
      <c r="AA353" s="57" t="b">
        <v>0</v>
      </c>
      <c r="AC353" s="57">
        <v>20001110</v>
      </c>
      <c r="AD353" s="57">
        <v>0</v>
      </c>
      <c r="AE353" s="57">
        <f t="shared" si="35"/>
        <v>1</v>
      </c>
      <c r="AH353" s="57">
        <v>0.1</v>
      </c>
      <c r="AL353" s="57">
        <v>10</v>
      </c>
      <c r="AM353" s="48">
        <f>VLOOKUP($F353,'#对话模型配置'!$A:$W,MATCH(对话配置表!AM$2,'#对话模型配置'!$1:$1,0),FALSE)</f>
        <v>20001005</v>
      </c>
      <c r="AN353" s="57" t="s">
        <v>643</v>
      </c>
      <c r="AT353" s="57" t="str">
        <f t="shared" si="29"/>
        <v>不好了大人，我们的&lt;color=#FFCC71&gt;辎重队伍被袭击&lt;/color&gt;了！
士兵、马夫、还有随行的家眷……&lt;color=#FFCC71&gt;全部阵亡&lt;/color&gt;，一个都没能逃出来。</v>
      </c>
      <c r="AU353" s="57" t="s">
        <v>1446</v>
      </c>
      <c r="AV353" s="57">
        <f t="shared" si="36"/>
        <v>60201</v>
      </c>
      <c r="AW353" s="57" t="s">
        <v>1447</v>
      </c>
      <c r="AX353" s="57" t="s">
        <v>1448</v>
      </c>
    </row>
    <row r="354" spans="1:50" s="57" customFormat="1" ht="42">
      <c r="A354" s="57">
        <f t="shared" si="37"/>
        <v>60201</v>
      </c>
      <c r="B354" s="57" t="s">
        <v>679</v>
      </c>
      <c r="C354" s="57">
        <v>2</v>
      </c>
      <c r="D354" s="57" t="s">
        <v>622</v>
      </c>
      <c r="E354" s="57" t="s">
        <v>1388</v>
      </c>
      <c r="F354" s="20" t="str">
        <f>VLOOKUP(G354,'#TID_base_up'!B:C,2,0)</f>
        <v>安德莉娅</v>
      </c>
      <c r="G354" s="57" t="s">
        <v>467</v>
      </c>
      <c r="H354" s="48" t="str">
        <f>VLOOKUP($F354,'#对话模型配置'!$A:$W,MATCH(对话配置表!H$2,'#对话模型配置'!$1:$1,0),FALSE)</f>
        <v>icon_guidechara.smash</v>
      </c>
      <c r="I354" s="48" t="str">
        <f>VLOOKUP($F354,'#对话模型配置'!$A:$W,MATCH(对话配置表!I$2,'#对话模型配置'!$1:$1,0),FALSE)</f>
        <v>frame_s_xsdh_002</v>
      </c>
      <c r="J354" s="57" t="s">
        <v>1449</v>
      </c>
      <c r="K354" s="84" t="str">
        <f t="shared" si="34"/>
        <v>这行事风格，&lt;color=#FFCC71&gt;一定是蛮族&lt;/color&gt;……只有那帮没有人性的东西，才会连手无寸铁的&lt;color=#FFCC71&gt;平民都不放过&lt;/color&gt;！</v>
      </c>
      <c r="T354" s="57">
        <v>1</v>
      </c>
      <c r="U354" s="57">
        <v>1</v>
      </c>
      <c r="V354" s="57">
        <v>0</v>
      </c>
      <c r="X354" s="57">
        <v>0</v>
      </c>
      <c r="Y354" s="57" t="b">
        <v>0</v>
      </c>
      <c r="Z354" s="102" t="s">
        <v>1450</v>
      </c>
      <c r="AA354" s="57" t="b">
        <v>0</v>
      </c>
      <c r="AC354" s="57">
        <v>20001111</v>
      </c>
      <c r="AD354" s="57">
        <v>0</v>
      </c>
      <c r="AE354" s="57">
        <f t="shared" si="35"/>
        <v>1</v>
      </c>
      <c r="AH354" s="57">
        <v>0.1</v>
      </c>
      <c r="AL354" s="57">
        <v>10</v>
      </c>
      <c r="AM354" s="48">
        <f>VLOOKUP($F354,'#对话模型配置'!$A:$W,MATCH(对话配置表!AM$2,'#对话模型配置'!$1:$1,0),FALSE)</f>
        <v>30001001</v>
      </c>
      <c r="AN354" s="57" t="s">
        <v>1391</v>
      </c>
      <c r="AT354" s="57" t="str">
        <f t="shared" si="29"/>
        <v>这行事风格，&lt;color=#FFCC71&gt;一定是蛮族&lt;/color&gt;……只有那帮没有人性的东西，才会连手无寸铁的&lt;color=#FFCC71&gt;平民都不放过&lt;/color&gt;！</v>
      </c>
      <c r="AU354" s="57" t="s">
        <v>1451</v>
      </c>
      <c r="AV354" s="57">
        <f t="shared" si="36"/>
        <v>60201</v>
      </c>
      <c r="AW354" s="57" t="s">
        <v>1452</v>
      </c>
      <c r="AX354" s="57" t="s">
        <v>1453</v>
      </c>
    </row>
    <row r="355" spans="1:50" s="57" customFormat="1" ht="42">
      <c r="A355" s="57">
        <f t="shared" si="37"/>
        <v>60201</v>
      </c>
      <c r="B355" s="57" t="s">
        <v>679</v>
      </c>
      <c r="C355" s="57">
        <v>3</v>
      </c>
      <c r="D355" s="57" t="s">
        <v>622</v>
      </c>
      <c r="E355" s="57" t="s">
        <v>1388</v>
      </c>
      <c r="F355" s="20" t="str">
        <f>VLOOKUP(G355,'#TID_base_up'!B:C,2,0)</f>
        <v>安德莉娅</v>
      </c>
      <c r="G355" s="57" t="s">
        <v>467</v>
      </c>
      <c r="H355" s="48" t="str">
        <f>VLOOKUP($F355,'#对话模型配置'!$A:$W,MATCH(对话配置表!H$2,'#对话模型配置'!$1:$1,0),FALSE)</f>
        <v>icon_guidechara.smash</v>
      </c>
      <c r="I355" s="48" t="str">
        <f>VLOOKUP($F355,'#对话模型配置'!$A:$W,MATCH(对话配置表!I$2,'#对话模型配置'!$1:$1,0),FALSE)</f>
        <v>frame_s_xsdh_002</v>
      </c>
      <c r="J355" s="57" t="s">
        <v>1454</v>
      </c>
      <c r="K355" s="84" t="str">
        <f t="shared" si="34"/>
        <v>请&lt;color=#FFCC71&gt;下令清剿&lt;/color&gt;吧大人！我以帝国公主之名立誓，一定会为那些可怜的人&lt;color=#FFCC71&gt;报仇&lt;/color&gt;，血债，必须以血来偿！</v>
      </c>
      <c r="T355" s="57">
        <v>1</v>
      </c>
      <c r="U355" s="57">
        <v>1</v>
      </c>
      <c r="V355" s="57">
        <v>0</v>
      </c>
      <c r="X355" s="57">
        <v>0</v>
      </c>
      <c r="Y355" s="57" t="b">
        <v>0</v>
      </c>
      <c r="Z355" s="102" t="s">
        <v>1455</v>
      </c>
      <c r="AA355" s="57" t="b">
        <v>1</v>
      </c>
      <c r="AC355" s="57">
        <v>20001112</v>
      </c>
      <c r="AD355" s="57">
        <v>0</v>
      </c>
      <c r="AE355" s="57">
        <f t="shared" si="35"/>
        <v>1</v>
      </c>
      <c r="AH355" s="57">
        <v>0.1</v>
      </c>
      <c r="AL355" s="57">
        <v>10</v>
      </c>
      <c r="AM355" s="48">
        <f>VLOOKUP($F355,'#对话模型配置'!$A:$W,MATCH(对话配置表!AM$2,'#对话模型配置'!$1:$1,0),FALSE)</f>
        <v>30001001</v>
      </c>
      <c r="AN355" s="57" t="s">
        <v>550</v>
      </c>
      <c r="AT355" s="57" t="str">
        <f t="shared" si="29"/>
        <v>请&lt;color=#FFCC71&gt;下令清剿&lt;/color&gt;吧大人！我以帝国公主之名立誓，一定会为那些可怜的人&lt;color=#FFCC71&gt;报仇&lt;/color&gt;，血债，必须以血来偿！</v>
      </c>
      <c r="AU355" s="57" t="s">
        <v>1456</v>
      </c>
      <c r="AV355" s="57">
        <f t="shared" si="36"/>
        <v>60201</v>
      </c>
      <c r="AW355" s="57" t="s">
        <v>1457</v>
      </c>
      <c r="AX355" s="57" t="s">
        <v>1458</v>
      </c>
    </row>
    <row r="356" spans="1:50" s="57" customFormat="1" ht="42">
      <c r="A356" s="57">
        <f t="shared" si="37"/>
        <v>60301</v>
      </c>
      <c r="B356" s="57" t="s">
        <v>733</v>
      </c>
      <c r="C356" s="57">
        <v>1</v>
      </c>
      <c r="D356" s="57" t="s">
        <v>622</v>
      </c>
      <c r="E356" s="57" t="s">
        <v>1388</v>
      </c>
      <c r="F356" s="20" t="str">
        <f>VLOOKUP(G356,'#TID_base_up'!B:C,2,0)</f>
        <v>安德莉娅</v>
      </c>
      <c r="G356" s="57" t="s">
        <v>467</v>
      </c>
      <c r="H356" s="48" t="str">
        <f>VLOOKUP($F356,'#对话模型配置'!$A:$W,MATCH(对话配置表!H$2,'#对话模型配置'!$1:$1,0),FALSE)</f>
        <v>icon_guidechara.smash</v>
      </c>
      <c r="I356" s="48" t="str">
        <f>VLOOKUP($F356,'#对话模型配置'!$A:$W,MATCH(对话配置表!I$2,'#对话模型配置'!$1:$1,0),FALSE)</f>
        <v>frame_s_xsdh_002</v>
      </c>
      <c r="J356" s="57" t="s">
        <v>1459</v>
      </c>
      <c r="K356" s="84" t="str">
        <f t="shared" si="34"/>
        <v>……咳咳……对不起，我、我让大家失望了……&lt;color=#FFCC71&gt;那些蛮族&lt;/color&gt;，&lt;color=#FFCC71&gt;很不一样&lt;/color&gt;……虽然军备简陋，但他们的意志却十分顽强……</v>
      </c>
      <c r="T356" s="57">
        <v>1</v>
      </c>
      <c r="U356" s="57">
        <v>1</v>
      </c>
      <c r="V356" s="57">
        <v>0</v>
      </c>
      <c r="X356" s="57">
        <v>0</v>
      </c>
      <c r="Y356" s="57" t="b">
        <v>0</v>
      </c>
      <c r="Z356" s="102" t="s">
        <v>1460</v>
      </c>
      <c r="AA356" s="57" t="b">
        <v>0</v>
      </c>
      <c r="AC356" s="57">
        <v>20001113</v>
      </c>
      <c r="AD356" s="57">
        <v>0</v>
      </c>
      <c r="AE356" s="57">
        <f t="shared" si="35"/>
        <v>1</v>
      </c>
      <c r="AH356" s="57">
        <v>0.1</v>
      </c>
      <c r="AL356" s="57">
        <v>10</v>
      </c>
      <c r="AM356" s="48">
        <f>VLOOKUP($F356,'#对话模型配置'!$A:$W,MATCH(对话配置表!AM$2,'#对话模型配置'!$1:$1,0),FALSE)</f>
        <v>30001001</v>
      </c>
      <c r="AN356" s="57" t="s">
        <v>1391</v>
      </c>
      <c r="AT356" s="57" t="str">
        <f t="shared" si="29"/>
        <v>……咳咳……对不起，我、我让大家失望了……&lt;color=#FFCC71&gt;那些蛮族&lt;/color&gt;，&lt;color=#FFCC71&gt;很不一样&lt;/color&gt;……虽然军备简陋，但他们的意志却十分顽强……</v>
      </c>
      <c r="AU356" s="57" t="s">
        <v>1461</v>
      </c>
      <c r="AV356" s="57">
        <f t="shared" si="36"/>
        <v>60301</v>
      </c>
      <c r="AW356" s="57" t="s">
        <v>1462</v>
      </c>
      <c r="AX356" s="57" t="s">
        <v>1463</v>
      </c>
    </row>
    <row r="357" spans="1:50" s="57" customFormat="1" ht="42">
      <c r="A357" s="57">
        <f t="shared" si="37"/>
        <v>60301</v>
      </c>
      <c r="B357" s="57" t="s">
        <v>733</v>
      </c>
      <c r="C357" s="57">
        <v>2</v>
      </c>
      <c r="D357" s="57" t="s">
        <v>622</v>
      </c>
      <c r="E357" s="57" t="s">
        <v>1388</v>
      </c>
      <c r="F357" s="20" t="str">
        <f>VLOOKUP(G357,'#TID_base_up'!B:C,2,0)</f>
        <v>魏兰</v>
      </c>
      <c r="G357" s="57" t="s">
        <v>129</v>
      </c>
      <c r="H357" s="48" t="str">
        <f>VLOOKUP($F357,'#对话模型配置'!$A:$W,MATCH(对话配置表!H$2,'#对话模型配置'!$1:$1,0),FALSE)</f>
        <v>icon_guidechara.smash</v>
      </c>
      <c r="I357" s="48" t="str">
        <f>VLOOKUP($F357,'#对话模型配置'!$A:$W,MATCH(对话配置表!I$2,'#对话模型配置'!$1:$1,0),FALSE)</f>
        <v>frame_s_xsdh_002</v>
      </c>
      <c r="J357" s="57" t="s">
        <v>1464</v>
      </c>
      <c r="K357" s="84" t="str">
        <f t="shared" si="34"/>
        <v>安德莉娅你在说什么胡话啊，这根本不是你的错！
&lt;color=#FFCC71&gt;那些蛮族&lt;/color&gt;甚至比帝国的精兵还强，这&lt;color=#FFCC71&gt;一点都不正常&lt;/color&gt;！</v>
      </c>
      <c r="T357" s="57">
        <v>1</v>
      </c>
      <c r="U357" s="57">
        <v>1</v>
      </c>
      <c r="V357" s="57">
        <v>0</v>
      </c>
      <c r="X357" s="57">
        <v>0</v>
      </c>
      <c r="Y357" s="57" t="b">
        <v>0</v>
      </c>
      <c r="Z357" s="102" t="s">
        <v>1465</v>
      </c>
      <c r="AA357" s="57" t="b">
        <v>0</v>
      </c>
      <c r="AC357" s="57">
        <v>20001114</v>
      </c>
      <c r="AD357" s="57">
        <v>0</v>
      </c>
      <c r="AE357" s="57">
        <f t="shared" si="35"/>
        <v>1</v>
      </c>
      <c r="AH357" s="57">
        <v>0.1</v>
      </c>
      <c r="AL357" s="57">
        <v>10</v>
      </c>
      <c r="AM357" s="48">
        <f>VLOOKUP($F357,'#对话模型配置'!$A:$W,MATCH(对话配置表!AM$2,'#对话模型配置'!$1:$1,0),FALSE)</f>
        <v>20001005</v>
      </c>
      <c r="AN357" s="57" t="s">
        <v>1396</v>
      </c>
      <c r="AT357" s="57" t="str">
        <f t="shared" si="29"/>
        <v>安德莉娅你在说什么胡话啊，这根本不是你的错！
&lt;color=#FFCC71&gt;那些蛮族&lt;/color&gt;甚至比帝国的精兵还强，这&lt;color=#FFCC71&gt;一点都不正常&lt;/color&gt;！</v>
      </c>
      <c r="AU357" s="57" t="s">
        <v>1466</v>
      </c>
      <c r="AV357" s="57">
        <f t="shared" si="36"/>
        <v>60301</v>
      </c>
      <c r="AW357" s="57" t="s">
        <v>1462</v>
      </c>
      <c r="AX357" s="57" t="s">
        <v>1467</v>
      </c>
    </row>
    <row r="358" spans="1:50" s="57" customFormat="1" ht="42">
      <c r="A358" s="57">
        <f t="shared" si="37"/>
        <v>60301</v>
      </c>
      <c r="B358" s="57" t="s">
        <v>733</v>
      </c>
      <c r="C358" s="57">
        <v>3</v>
      </c>
      <c r="D358" s="57" t="s">
        <v>622</v>
      </c>
      <c r="E358" s="57" t="s">
        <v>1388</v>
      </c>
      <c r="F358" s="20" t="str">
        <f>VLOOKUP(G358,'#TID_base_up'!B:C,2,0)</f>
        <v>安德莉娅</v>
      </c>
      <c r="G358" s="57" t="s">
        <v>467</v>
      </c>
      <c r="H358" s="48" t="str">
        <f>VLOOKUP($F358,'#对话模型配置'!$A:$W,MATCH(对话配置表!H$2,'#对话模型配置'!$1:$1,0),FALSE)</f>
        <v>icon_guidechara.smash</v>
      </c>
      <c r="I358" s="48" t="str">
        <f>VLOOKUP($F358,'#对话模型配置'!$A:$W,MATCH(对话配置表!I$2,'#对话模型配置'!$1:$1,0),FALSE)</f>
        <v>frame_s_xsdh_002</v>
      </c>
      <c r="J358" s="57" t="s">
        <v>1468</v>
      </c>
      <c r="K358" s="84" t="str">
        <f t="shared" si="34"/>
        <v>对不起……&lt;color=#FFCC71&gt;他们人很多&lt;/color&gt;，而且非常……疯狂……大家都……
都是我……对不起……</v>
      </c>
      <c r="T358" s="57">
        <v>1</v>
      </c>
      <c r="U358" s="57">
        <v>1</v>
      </c>
      <c r="V358" s="57">
        <v>0</v>
      </c>
      <c r="X358" s="57">
        <v>0</v>
      </c>
      <c r="Y358" s="57" t="b">
        <v>0</v>
      </c>
      <c r="Z358" s="102" t="s">
        <v>1469</v>
      </c>
      <c r="AA358" s="57" t="b">
        <v>0</v>
      </c>
      <c r="AC358" s="57">
        <v>20001115</v>
      </c>
      <c r="AD358" s="57">
        <v>0</v>
      </c>
      <c r="AE358" s="57">
        <f t="shared" si="35"/>
        <v>1</v>
      </c>
      <c r="AH358" s="57">
        <v>0.1</v>
      </c>
      <c r="AL358" s="57">
        <v>10</v>
      </c>
      <c r="AM358" s="48">
        <f>VLOOKUP($F358,'#对话模型配置'!$A:$W,MATCH(对话配置表!AM$2,'#对话模型配置'!$1:$1,0),FALSE)</f>
        <v>30001001</v>
      </c>
      <c r="AN358" s="57" t="s">
        <v>1391</v>
      </c>
      <c r="AT358" s="57" t="str">
        <f t="shared" si="29"/>
        <v>对不起……&lt;color=#FFCC71&gt;他们人很多&lt;/color&gt;，而且非常……疯狂……大家都……
都是我……对不起……</v>
      </c>
      <c r="AU358" s="57" t="s">
        <v>1470</v>
      </c>
      <c r="AV358" s="57">
        <f t="shared" si="36"/>
        <v>60301</v>
      </c>
      <c r="AW358" s="57" t="s">
        <v>1471</v>
      </c>
    </row>
    <row r="359" spans="1:50" s="57" customFormat="1" ht="42">
      <c r="A359" s="57">
        <f t="shared" si="37"/>
        <v>60301</v>
      </c>
      <c r="B359" s="57" t="s">
        <v>733</v>
      </c>
      <c r="C359" s="57">
        <v>4</v>
      </c>
      <c r="D359" s="57" t="s">
        <v>622</v>
      </c>
      <c r="E359" s="57" t="s">
        <v>1388</v>
      </c>
      <c r="F359" s="20" t="str">
        <f>VLOOKUP(G359,'#TID_base_up'!B:C,2,0)</f>
        <v>魏兰</v>
      </c>
      <c r="G359" s="57" t="s">
        <v>129</v>
      </c>
      <c r="H359" s="48" t="str">
        <f>VLOOKUP($F359,'#对话模型配置'!$A:$W,MATCH(对话配置表!H$2,'#对话模型配置'!$1:$1,0),FALSE)</f>
        <v>icon_guidechara.smash</v>
      </c>
      <c r="I359" s="48" t="str">
        <f>VLOOKUP($F359,'#对话模型配置'!$A:$W,MATCH(对话配置表!I$2,'#对话模型配置'!$1:$1,0),FALSE)</f>
        <v>frame_s_xsdh_002</v>
      </c>
      <c r="J359" s="57" t="s">
        <v>1472</v>
      </c>
      <c r="K359" s="84" t="str">
        <f t="shared" si="34"/>
        <v>喂！不要丧气啊！现在还没到最严重的时候！
&lt;color=#FFCC71&gt;蛮族随时有可能会攻过来&lt;/color&gt;，战备先交给我，你好好休息一阵吧！</v>
      </c>
      <c r="T359" s="57">
        <v>1</v>
      </c>
      <c r="U359" s="57">
        <v>1</v>
      </c>
      <c r="V359" s="57">
        <v>0</v>
      </c>
      <c r="X359" s="57">
        <v>0</v>
      </c>
      <c r="Y359" s="57" t="b">
        <v>0</v>
      </c>
      <c r="Z359" s="102" t="s">
        <v>1473</v>
      </c>
      <c r="AA359" s="57" t="b">
        <v>1</v>
      </c>
      <c r="AC359" s="57">
        <v>20001116</v>
      </c>
      <c r="AD359" s="57">
        <v>0</v>
      </c>
      <c r="AE359" s="57">
        <f t="shared" si="35"/>
        <v>1</v>
      </c>
      <c r="AH359" s="57">
        <v>0.1</v>
      </c>
      <c r="AL359" s="57">
        <v>10</v>
      </c>
      <c r="AM359" s="48">
        <f>VLOOKUP($F359,'#对话模型配置'!$A:$W,MATCH(对话配置表!AM$2,'#对话模型配置'!$1:$1,0),FALSE)</f>
        <v>20001005</v>
      </c>
      <c r="AN359" s="57" t="s">
        <v>1424</v>
      </c>
      <c r="AT359" s="57" t="str">
        <f t="shared" si="29"/>
        <v>喂！不要丧气啊！现在还没到最严重的时候！
&lt;color=#FFCC71&gt;蛮族随时有可能会攻过来&lt;/color&gt;，战备先交给我，你好好休息一阵吧！</v>
      </c>
      <c r="AU359" s="57" t="s">
        <v>1474</v>
      </c>
      <c r="AV359" s="57">
        <f t="shared" si="36"/>
        <v>60301</v>
      </c>
      <c r="AW359" s="57" t="s">
        <v>1475</v>
      </c>
    </row>
    <row r="360" spans="1:50" s="57" customFormat="1" ht="28">
      <c r="A360" s="57">
        <f t="shared" si="37"/>
        <v>60401</v>
      </c>
      <c r="B360" s="57" t="s">
        <v>791</v>
      </c>
      <c r="C360" s="57">
        <v>1</v>
      </c>
      <c r="D360" s="57" t="s">
        <v>622</v>
      </c>
      <c r="E360" s="57" t="s">
        <v>1388</v>
      </c>
      <c r="F360" s="20" t="str">
        <f>VLOOKUP(G360,'#TID_base_up'!B:C,2,0)</f>
        <v>魏兰</v>
      </c>
      <c r="G360" s="57" t="s">
        <v>129</v>
      </c>
      <c r="H360" s="48" t="str">
        <f>VLOOKUP($F360,'#对话模型配置'!$A:$W,MATCH(对话配置表!H$2,'#对话模型配置'!$1:$1,0),FALSE)</f>
        <v>icon_guidechara.smash</v>
      </c>
      <c r="I360" s="48" t="str">
        <f>VLOOKUP($F360,'#对话模型配置'!$A:$W,MATCH(对话配置表!I$2,'#对话模型配置'!$1:$1,0),FALSE)</f>
        <v>frame_s_xsdh_002</v>
      </c>
      <c r="J360" s="57" t="s">
        <v>1476</v>
      </c>
      <c r="K360" s="84" t="str">
        <f t="shared" si="34"/>
        <v>报告大人！侦察到&lt;color=#FFCC71&gt;大量蛮族军团&lt;/color&gt;正在接近领地！</v>
      </c>
      <c r="T360" s="57">
        <v>1</v>
      </c>
      <c r="U360" s="57">
        <v>1</v>
      </c>
      <c r="V360" s="57">
        <v>0</v>
      </c>
      <c r="X360" s="57">
        <v>0</v>
      </c>
      <c r="Y360" s="57" t="b">
        <v>0</v>
      </c>
      <c r="Z360" s="102" t="s">
        <v>1477</v>
      </c>
      <c r="AA360" s="57" t="b">
        <v>0</v>
      </c>
      <c r="AC360" s="57">
        <v>20001117</v>
      </c>
      <c r="AD360" s="57">
        <v>0</v>
      </c>
      <c r="AE360" s="57">
        <f t="shared" si="35"/>
        <v>1</v>
      </c>
      <c r="AH360" s="57">
        <v>0.1</v>
      </c>
      <c r="AL360" s="57">
        <v>10</v>
      </c>
      <c r="AM360" s="48">
        <f>VLOOKUP($F360,'#对话模型配置'!$A:$W,MATCH(对话配置表!AM$2,'#对话模型配置'!$1:$1,0),FALSE)</f>
        <v>20001005</v>
      </c>
      <c r="AN360" s="57" t="s">
        <v>662</v>
      </c>
      <c r="AT360" s="57" t="str">
        <f t="shared" si="29"/>
        <v>报告大人！侦察到&lt;color=#FFCC71&gt;大量蛮族军团&lt;/color&gt;正在接近领地！</v>
      </c>
      <c r="AU360" s="57" t="s">
        <v>1478</v>
      </c>
      <c r="AV360" s="57">
        <f t="shared" si="36"/>
        <v>60401</v>
      </c>
      <c r="AW360" s="57" t="s">
        <v>1479</v>
      </c>
    </row>
    <row r="361" spans="1:50" s="57" customFormat="1" ht="14">
      <c r="A361" s="57">
        <f t="shared" si="37"/>
        <v>60401</v>
      </c>
      <c r="B361" s="57" t="s">
        <v>791</v>
      </c>
      <c r="C361" s="57">
        <v>2</v>
      </c>
      <c r="D361" s="57" t="s">
        <v>622</v>
      </c>
      <c r="E361" s="57" t="s">
        <v>1388</v>
      </c>
      <c r="F361" s="20" t="str">
        <f>VLOOKUP(G361,'#TID_base_up'!B:C,2,0)</f>
        <v>安德莉娅</v>
      </c>
      <c r="G361" s="57" t="s">
        <v>467</v>
      </c>
      <c r="H361" s="48" t="str">
        <f>VLOOKUP($F361,'#对话模型配置'!$A:$W,MATCH(对话配置表!H$2,'#对话模型配置'!$1:$1,0),FALSE)</f>
        <v>icon_guidechara.smash</v>
      </c>
      <c r="I361" s="48" t="str">
        <f>VLOOKUP($F361,'#对话模型配置'!$A:$W,MATCH(对话配置表!I$2,'#对话模型配置'!$1:$1,0),FALSE)</f>
        <v>frame_s_xsdh_002</v>
      </c>
      <c r="J361" s="57" t="s">
        <v>1480</v>
      </c>
      <c r="K361" s="84" t="str">
        <f t="shared" si="34"/>
        <v>安德莉娅请战！</v>
      </c>
      <c r="T361" s="57">
        <v>1</v>
      </c>
      <c r="U361" s="57">
        <v>1</v>
      </c>
      <c r="V361" s="57">
        <v>0</v>
      </c>
      <c r="X361" s="57">
        <v>0</v>
      </c>
      <c r="Y361" s="57" t="b">
        <v>0</v>
      </c>
      <c r="Z361" s="102" t="s">
        <v>1481</v>
      </c>
      <c r="AA361" s="57" t="b">
        <v>0</v>
      </c>
      <c r="AC361" s="57">
        <v>20001118</v>
      </c>
      <c r="AD361" s="57">
        <v>0</v>
      </c>
      <c r="AE361" s="57">
        <f t="shared" si="35"/>
        <v>1</v>
      </c>
      <c r="AH361" s="57">
        <v>0.1</v>
      </c>
      <c r="AL361" s="57">
        <v>10</v>
      </c>
      <c r="AM361" s="48">
        <f>VLOOKUP($F361,'#对话模型配置'!$A:$W,MATCH(对话配置表!AM$2,'#对话模型配置'!$1:$1,0),FALSE)</f>
        <v>30001001</v>
      </c>
      <c r="AN361" s="57" t="s">
        <v>1482</v>
      </c>
      <c r="AT361" s="57" t="str">
        <f t="shared" si="29"/>
        <v>安德莉娅请战！</v>
      </c>
      <c r="AU361" s="57" t="s">
        <v>1483</v>
      </c>
      <c r="AV361" s="57">
        <f t="shared" si="36"/>
        <v>60401</v>
      </c>
    </row>
    <row r="362" spans="1:50" s="57" customFormat="1" ht="14">
      <c r="A362" s="57">
        <f t="shared" si="37"/>
        <v>60401</v>
      </c>
      <c r="B362" s="57" t="s">
        <v>791</v>
      </c>
      <c r="C362" s="57">
        <v>3</v>
      </c>
      <c r="D362" s="57" t="s">
        <v>622</v>
      </c>
      <c r="E362" s="57" t="s">
        <v>1388</v>
      </c>
      <c r="F362" s="20" t="str">
        <f>VLOOKUP(G362,'#TID_base_up'!B:C,2,0)</f>
        <v>魏兰</v>
      </c>
      <c r="G362" s="57" t="s">
        <v>129</v>
      </c>
      <c r="H362" s="48" t="str">
        <f>VLOOKUP($F362,'#对话模型配置'!$A:$W,MATCH(对话配置表!H$2,'#对话模型配置'!$1:$1,0),FALSE)</f>
        <v>icon_guidechara.smash</v>
      </c>
      <c r="I362" s="48" t="str">
        <f>VLOOKUP($F362,'#对话模型配置'!$A:$W,MATCH(对话配置表!I$2,'#对话模型配置'!$1:$1,0),FALSE)</f>
        <v>frame_s_xsdh_002</v>
      </c>
      <c r="J362" s="57" t="s">
        <v>1484</v>
      </c>
      <c r="K362" s="84" t="str">
        <f t="shared" si="34"/>
        <v>战什么战？！你的伤——</v>
      </c>
      <c r="T362" s="57">
        <v>1</v>
      </c>
      <c r="U362" s="57">
        <v>1</v>
      </c>
      <c r="V362" s="57">
        <v>0</v>
      </c>
      <c r="X362" s="57">
        <v>0</v>
      </c>
      <c r="Y362" s="57" t="b">
        <v>0</v>
      </c>
      <c r="Z362" s="102" t="s">
        <v>1485</v>
      </c>
      <c r="AA362" s="57" t="b">
        <v>0</v>
      </c>
      <c r="AC362" s="57">
        <v>20001119</v>
      </c>
      <c r="AD362" s="57">
        <v>0</v>
      </c>
      <c r="AE362" s="57">
        <f t="shared" si="35"/>
        <v>1</v>
      </c>
      <c r="AH362" s="57">
        <v>0.1</v>
      </c>
      <c r="AL362" s="57">
        <v>10</v>
      </c>
      <c r="AM362" s="48">
        <f>VLOOKUP($F362,'#对话模型配置'!$A:$W,MATCH(对话配置表!AM$2,'#对话模型配置'!$1:$1,0),FALSE)</f>
        <v>20001005</v>
      </c>
      <c r="AN362" s="57" t="s">
        <v>1424</v>
      </c>
      <c r="AT362" s="57" t="str">
        <f t="shared" si="29"/>
        <v>战什么战？！你的伤——</v>
      </c>
      <c r="AU362" s="57" t="s">
        <v>1486</v>
      </c>
      <c r="AV362" s="57">
        <f t="shared" si="36"/>
        <v>60401</v>
      </c>
    </row>
    <row r="363" spans="1:50" s="57" customFormat="1" ht="28">
      <c r="A363" s="57">
        <f t="shared" si="37"/>
        <v>60401</v>
      </c>
      <c r="B363" s="57" t="s">
        <v>791</v>
      </c>
      <c r="C363" s="57">
        <v>4</v>
      </c>
      <c r="D363" s="57" t="s">
        <v>622</v>
      </c>
      <c r="E363" s="57" t="s">
        <v>1388</v>
      </c>
      <c r="F363" s="20" t="str">
        <f>VLOOKUP(G363,'#TID_base_up'!B:C,2,0)</f>
        <v>安德莉娅</v>
      </c>
      <c r="G363" s="57" t="s">
        <v>467</v>
      </c>
      <c r="H363" s="48" t="str">
        <f>VLOOKUP($F363,'#对话模型配置'!$A:$W,MATCH(对话配置表!H$2,'#对话模型配置'!$1:$1,0),FALSE)</f>
        <v>icon_guidechara.smash</v>
      </c>
      <c r="I363" s="48" t="str">
        <f>VLOOKUP($F363,'#对话模型配置'!$A:$W,MATCH(对话配置表!I$2,'#对话模型配置'!$1:$1,0),FALSE)</f>
        <v>frame_s_xsdh_002</v>
      </c>
      <c r="J363" s="57" t="s">
        <v>1487</v>
      </c>
      <c r="K363" s="84" t="str">
        <f t="shared" si="34"/>
        <v>没有其他办法了！若我的命运注定在此终结，也请让她在战场上消亡吧……大人，&lt;color=#FFCC71&gt;安德莉娅请战&lt;/color&gt;！</v>
      </c>
      <c r="T363" s="57">
        <v>1</v>
      </c>
      <c r="U363" s="57">
        <v>1</v>
      </c>
      <c r="V363" s="57">
        <v>0</v>
      </c>
      <c r="X363" s="57">
        <v>0</v>
      </c>
      <c r="Y363" s="57" t="b">
        <v>0</v>
      </c>
      <c r="Z363" s="102" t="s">
        <v>1488</v>
      </c>
      <c r="AA363" s="57" t="b">
        <v>0</v>
      </c>
      <c r="AC363" s="57">
        <v>20001120</v>
      </c>
      <c r="AD363" s="57">
        <v>0</v>
      </c>
      <c r="AE363" s="57">
        <f t="shared" si="35"/>
        <v>1</v>
      </c>
      <c r="AH363" s="57">
        <v>0.1</v>
      </c>
      <c r="AL363" s="57">
        <v>10</v>
      </c>
      <c r="AM363" s="48">
        <f>VLOOKUP($F363,'#对话模型配置'!$A:$W,MATCH(对话配置表!AM$2,'#对话模型配置'!$1:$1,0),FALSE)</f>
        <v>30001001</v>
      </c>
      <c r="AN363" s="57" t="s">
        <v>1418</v>
      </c>
      <c r="AT363" s="57" t="str">
        <f t="shared" si="29"/>
        <v>没有其他办法了！若我的命运注定在此终结，也请让她在战场上消亡吧……大人，&lt;color=#FFCC71&gt;安德莉娅请战&lt;/color&gt;！</v>
      </c>
      <c r="AU363" s="57" t="s">
        <v>1489</v>
      </c>
      <c r="AV363" s="57">
        <f t="shared" si="36"/>
        <v>60401</v>
      </c>
      <c r="AW363" s="57" t="s">
        <v>1490</v>
      </c>
    </row>
    <row r="364" spans="1:50" s="57" customFormat="1" ht="28">
      <c r="A364" s="57">
        <f t="shared" si="37"/>
        <v>60401</v>
      </c>
      <c r="B364" s="57" t="s">
        <v>791</v>
      </c>
      <c r="C364" s="57">
        <v>5</v>
      </c>
      <c r="D364" s="57" t="s">
        <v>622</v>
      </c>
      <c r="E364" s="57" t="s">
        <v>1388</v>
      </c>
      <c r="F364" s="20" t="str">
        <f>VLOOKUP(G364,'#TID_base_up'!B:C,2,0)</f>
        <v>魏兰</v>
      </c>
      <c r="G364" s="57" t="s">
        <v>129</v>
      </c>
      <c r="H364" s="48" t="str">
        <f>VLOOKUP($F364,'#对话模型配置'!$A:$W,MATCH(对话配置表!H$2,'#对话模型配置'!$1:$1,0),FALSE)</f>
        <v>icon_guidechara.smash</v>
      </c>
      <c r="I364" s="48" t="str">
        <f>VLOOKUP($F364,'#对话模型配置'!$A:$W,MATCH(对话配置表!I$2,'#对话模型配置'!$1:$1,0),FALSE)</f>
        <v>frame_s_xsdh_002</v>
      </c>
      <c r="J364" s="57" t="s">
        <v>1491</v>
      </c>
      <c r="K364" s="84" t="str">
        <f t="shared" si="34"/>
        <v>……能被劝回来那就不是你了吧。
那就走吧，&lt;color=#FFCC71&gt;我跟你一起&lt;/color&gt;！</v>
      </c>
      <c r="T364" s="57">
        <v>1</v>
      </c>
      <c r="U364" s="57">
        <v>1</v>
      </c>
      <c r="V364" s="57">
        <v>0</v>
      </c>
      <c r="X364" s="57">
        <v>0</v>
      </c>
      <c r="Y364" s="57" t="b">
        <v>0</v>
      </c>
      <c r="Z364" s="102" t="s">
        <v>1492</v>
      </c>
      <c r="AA364" s="57" t="b">
        <v>1</v>
      </c>
      <c r="AC364" s="57">
        <v>20001121</v>
      </c>
      <c r="AD364" s="57">
        <v>0</v>
      </c>
      <c r="AE364" s="57">
        <f t="shared" si="35"/>
        <v>1</v>
      </c>
      <c r="AH364" s="57">
        <v>0.1</v>
      </c>
      <c r="AL364" s="57">
        <v>10</v>
      </c>
      <c r="AM364" s="48">
        <f>VLOOKUP($F364,'#对话模型配置'!$A:$W,MATCH(对话配置表!AM$2,'#对话模型配置'!$1:$1,0),FALSE)</f>
        <v>20001005</v>
      </c>
      <c r="AN364" s="57" t="s">
        <v>1424</v>
      </c>
      <c r="AT364" s="57" t="str">
        <f t="shared" si="29"/>
        <v>……能被劝回来那就不是你了吧。
那就走吧，&lt;color=#FFCC71&gt;我跟你一起&lt;/color&gt;！</v>
      </c>
      <c r="AU364" s="57" t="s">
        <v>1493</v>
      </c>
      <c r="AV364" s="57">
        <f t="shared" si="36"/>
        <v>60401</v>
      </c>
      <c r="AW364" s="57" t="s">
        <v>1494</v>
      </c>
    </row>
    <row r="365" spans="1:50" s="57" customFormat="1" ht="14">
      <c r="A365" s="57">
        <f t="shared" si="37"/>
        <v>60402</v>
      </c>
      <c r="B365" s="57" t="s">
        <v>791</v>
      </c>
      <c r="C365" s="57">
        <v>1</v>
      </c>
      <c r="D365" s="57" t="s">
        <v>1495</v>
      </c>
      <c r="E365" s="57" t="s">
        <v>1388</v>
      </c>
      <c r="F365" s="20" t="e">
        <f>VLOOKUP(G365,'#TID_base_up'!B:C,2,0)</f>
        <v>#N/A</v>
      </c>
      <c r="G365" s="57" t="s">
        <v>1496</v>
      </c>
      <c r="H365" s="57" t="s">
        <v>112</v>
      </c>
      <c r="I365" s="57" t="s">
        <v>113</v>
      </c>
      <c r="J365" s="57" t="s">
        <v>1497</v>
      </c>
      <c r="K365" s="84" t="str">
        <f t="shared" si="34"/>
        <v>五岳寻仙不辞远，一生好入名山游……</v>
      </c>
      <c r="T365" s="57">
        <v>1</v>
      </c>
      <c r="U365" s="57">
        <v>1</v>
      </c>
      <c r="V365" s="57">
        <v>0</v>
      </c>
      <c r="X365" s="57">
        <v>0</v>
      </c>
      <c r="Y365" s="57" t="b">
        <v>0</v>
      </c>
      <c r="Z365" s="102" t="s">
        <v>1498</v>
      </c>
      <c r="AA365" s="57" t="b">
        <v>0</v>
      </c>
      <c r="AC365" s="57">
        <v>20001122</v>
      </c>
      <c r="AD365" s="57">
        <v>0</v>
      </c>
      <c r="AE365" s="57">
        <f t="shared" si="35"/>
        <v>1</v>
      </c>
      <c r="AH365" s="57">
        <v>0.1</v>
      </c>
      <c r="AL365" s="57">
        <v>10</v>
      </c>
      <c r="AM365" s="57">
        <v>20001099</v>
      </c>
      <c r="AN365" s="57" t="s">
        <v>1499</v>
      </c>
      <c r="AT365" s="57" t="str">
        <f t="shared" si="29"/>
        <v>五岳寻仙不辞远，一生好入名山游……</v>
      </c>
      <c r="AU365" s="57" t="s">
        <v>1500</v>
      </c>
      <c r="AV365" s="57">
        <f t="shared" si="36"/>
        <v>60402</v>
      </c>
    </row>
    <row r="366" spans="1:50" s="57" customFormat="1" ht="14">
      <c r="A366" s="57">
        <f t="shared" si="37"/>
        <v>60402</v>
      </c>
      <c r="B366" s="57" t="s">
        <v>791</v>
      </c>
      <c r="C366" s="57">
        <v>2</v>
      </c>
      <c r="D366" s="57" t="s">
        <v>1495</v>
      </c>
      <c r="E366" s="57" t="s">
        <v>1388</v>
      </c>
      <c r="F366" s="20" t="str">
        <f>VLOOKUP(G366,'#TID_base_up'!B:C,2,0)</f>
        <v>魏兰</v>
      </c>
      <c r="G366" s="57" t="s">
        <v>129</v>
      </c>
      <c r="H366" s="57" t="s">
        <v>112</v>
      </c>
      <c r="I366" s="57" t="s">
        <v>113</v>
      </c>
      <c r="J366" s="57" t="s">
        <v>1501</v>
      </c>
      <c r="K366" s="84" t="str">
        <f t="shared" si="34"/>
        <v>喂喂喂……能不能说些正常人能听懂的话啊……</v>
      </c>
      <c r="T366" s="57">
        <v>1</v>
      </c>
      <c r="U366" s="57">
        <v>1</v>
      </c>
      <c r="V366" s="57">
        <v>0</v>
      </c>
      <c r="X366" s="57">
        <v>0</v>
      </c>
      <c r="Y366" s="57" t="b">
        <v>0</v>
      </c>
      <c r="Z366" s="102" t="s">
        <v>1502</v>
      </c>
      <c r="AA366" s="57" t="b">
        <v>0</v>
      </c>
      <c r="AC366" s="57">
        <v>20001123</v>
      </c>
      <c r="AD366" s="57">
        <v>0</v>
      </c>
      <c r="AE366" s="57">
        <f t="shared" si="35"/>
        <v>1</v>
      </c>
      <c r="AH366" s="57">
        <v>0.1</v>
      </c>
      <c r="AL366" s="57">
        <v>10</v>
      </c>
      <c r="AM366" s="48">
        <f>VLOOKUP($F366,'#对话模型配置'!$A:$W,MATCH(对话配置表!AM$2,'#对话模型配置'!$1:$1,0),FALSE)</f>
        <v>20001005</v>
      </c>
      <c r="AN366" s="57" t="s">
        <v>1396</v>
      </c>
      <c r="AT366" s="57" t="str">
        <f t="shared" si="29"/>
        <v>喂喂喂……能不能说些正常人能听懂的话啊……</v>
      </c>
      <c r="AU366" s="57" t="s">
        <v>1503</v>
      </c>
      <c r="AV366" s="57">
        <f t="shared" si="36"/>
        <v>60402</v>
      </c>
    </row>
    <row r="367" spans="1:50" s="57" customFormat="1" ht="56">
      <c r="A367" s="57">
        <f t="shared" si="37"/>
        <v>60402</v>
      </c>
      <c r="B367" s="57" t="s">
        <v>791</v>
      </c>
      <c r="C367" s="57">
        <v>3</v>
      </c>
      <c r="D367" s="57" t="s">
        <v>1495</v>
      </c>
      <c r="E367" s="57" t="s">
        <v>1388</v>
      </c>
      <c r="F367" s="20" t="e">
        <f>VLOOKUP(G367,'#TID_base_up'!B:C,2,0)</f>
        <v>#N/A</v>
      </c>
      <c r="G367" s="57" t="s">
        <v>1496</v>
      </c>
      <c r="H367" s="57" t="s">
        <v>112</v>
      </c>
      <c r="I367" s="57" t="s">
        <v>113</v>
      </c>
      <c r="J367" s="57" t="s">
        <v>1504</v>
      </c>
      <c r="K367" s="84" t="str">
        <f t="shared" si="34"/>
        <v>我偶经此地，正在小酌，忽被告知&lt;color=#FFCC71&gt;将有战事&lt;/color&gt;。
早闻公主有伤在身，我想，&lt;color=#FFCC71&gt;诸位应该需要一些帮助&lt;/color&gt;。</v>
      </c>
      <c r="T367" s="57">
        <v>1</v>
      </c>
      <c r="U367" s="57">
        <v>1</v>
      </c>
      <c r="V367" s="57">
        <v>0</v>
      </c>
      <c r="X367" s="57">
        <v>0</v>
      </c>
      <c r="Y367" s="57" t="b">
        <v>0</v>
      </c>
      <c r="Z367" s="102" t="s">
        <v>1505</v>
      </c>
      <c r="AA367" s="57" t="b">
        <v>0</v>
      </c>
      <c r="AC367" s="57">
        <v>20001124</v>
      </c>
      <c r="AD367" s="57">
        <v>0</v>
      </c>
      <c r="AE367" s="57">
        <f t="shared" si="35"/>
        <v>1</v>
      </c>
      <c r="AH367" s="57">
        <v>0.1</v>
      </c>
      <c r="AL367" s="57">
        <v>10</v>
      </c>
      <c r="AM367" s="57">
        <v>20001099</v>
      </c>
      <c r="AN367" s="57" t="s">
        <v>1506</v>
      </c>
      <c r="AT367" s="57" t="str">
        <f t="shared" si="29"/>
        <v>我偶经此地，正在小酌，忽被告知&lt;color=#FFCC71&gt;将有战事&lt;/color&gt;。
早闻公主有伤在身，我想，&lt;color=#FFCC71&gt;诸位应该需要一些帮助&lt;/color&gt;。</v>
      </c>
      <c r="AU367" s="57" t="s">
        <v>1507</v>
      </c>
      <c r="AV367" s="57">
        <f t="shared" si="36"/>
        <v>60402</v>
      </c>
      <c r="AW367" s="57" t="s">
        <v>1508</v>
      </c>
      <c r="AX367" s="57" t="s">
        <v>1509</v>
      </c>
    </row>
    <row r="368" spans="1:50" s="57" customFormat="1" ht="14">
      <c r="A368" s="57">
        <f t="shared" si="37"/>
        <v>60402</v>
      </c>
      <c r="B368" s="57" t="s">
        <v>791</v>
      </c>
      <c r="C368" s="57">
        <v>4</v>
      </c>
      <c r="D368" s="57" t="s">
        <v>1495</v>
      </c>
      <c r="E368" s="57" t="s">
        <v>1388</v>
      </c>
      <c r="F368" s="20" t="str">
        <f>VLOOKUP(G368,'#TID_base_up'!B:C,2,0)</f>
        <v>安德莉娅</v>
      </c>
      <c r="G368" s="57" t="s">
        <v>467</v>
      </c>
      <c r="H368" s="57" t="s">
        <v>112</v>
      </c>
      <c r="I368" s="57" t="s">
        <v>113</v>
      </c>
      <c r="J368" s="57" t="s">
        <v>1510</v>
      </c>
      <c r="K368" s="84" t="str">
        <f t="shared" si="34"/>
        <v>您，您是谁？</v>
      </c>
      <c r="T368" s="57">
        <v>1</v>
      </c>
      <c r="U368" s="57">
        <v>1</v>
      </c>
      <c r="V368" s="57">
        <v>0</v>
      </c>
      <c r="X368" s="57">
        <v>0</v>
      </c>
      <c r="Y368" s="57" t="b">
        <v>0</v>
      </c>
      <c r="Z368" s="102" t="s">
        <v>1511</v>
      </c>
      <c r="AA368" s="57" t="b">
        <v>0</v>
      </c>
      <c r="AC368" s="57">
        <v>20001125</v>
      </c>
      <c r="AD368" s="57">
        <v>0</v>
      </c>
      <c r="AE368" s="57">
        <f t="shared" si="35"/>
        <v>1</v>
      </c>
      <c r="AH368" s="57">
        <v>0.1</v>
      </c>
      <c r="AL368" s="57">
        <v>10</v>
      </c>
      <c r="AM368" s="48">
        <f>VLOOKUP($F368,'#对话模型配置'!$A:$W,MATCH(对话配置表!AM$2,'#对话模型配置'!$1:$1,0),FALSE)</f>
        <v>30001001</v>
      </c>
      <c r="AN368" s="57" t="s">
        <v>1512</v>
      </c>
      <c r="AT368" s="57" t="str">
        <f t="shared" si="29"/>
        <v>您，您是谁？</v>
      </c>
      <c r="AU368" s="57" t="s">
        <v>1513</v>
      </c>
      <c r="AV368" s="57">
        <f t="shared" si="36"/>
        <v>60402</v>
      </c>
    </row>
    <row r="369" spans="1:51" s="57" customFormat="1" ht="14">
      <c r="A369" s="57">
        <f t="shared" si="37"/>
        <v>60402</v>
      </c>
      <c r="B369" s="57" t="s">
        <v>791</v>
      </c>
      <c r="C369" s="57">
        <v>5</v>
      </c>
      <c r="D369" s="57" t="s">
        <v>1495</v>
      </c>
      <c r="E369" s="57" t="s">
        <v>1388</v>
      </c>
      <c r="F369" s="20" t="str">
        <f>VLOOKUP(G369,'#TID_base_up'!B:C,2,0)</f>
        <v>李白</v>
      </c>
      <c r="G369" s="57" t="s">
        <v>1514</v>
      </c>
      <c r="H369" s="57" t="s">
        <v>112</v>
      </c>
      <c r="I369" s="57" t="s">
        <v>113</v>
      </c>
      <c r="J369" s="57" t="s">
        <v>1515</v>
      </c>
      <c r="K369" s="84" t="str">
        <f t="shared" si="34"/>
        <v>东洲李国，&lt;color=#FFCC71&gt;李白&lt;/color&gt;。</v>
      </c>
      <c r="T369" s="57">
        <v>1</v>
      </c>
      <c r="U369" s="57">
        <v>1</v>
      </c>
      <c r="V369" s="57">
        <v>0</v>
      </c>
      <c r="X369" s="57">
        <v>0</v>
      </c>
      <c r="Y369" s="57" t="b">
        <v>0</v>
      </c>
      <c r="Z369" s="102" t="s">
        <v>1516</v>
      </c>
      <c r="AA369" s="57" t="b">
        <v>0</v>
      </c>
      <c r="AC369" s="57">
        <v>20001126</v>
      </c>
      <c r="AD369" s="57">
        <v>0</v>
      </c>
      <c r="AE369" s="57">
        <f t="shared" si="35"/>
        <v>1</v>
      </c>
      <c r="AH369" s="57">
        <v>0.1</v>
      </c>
      <c r="AL369" s="57">
        <v>10</v>
      </c>
      <c r="AM369" s="48">
        <f>VLOOKUP($F369,'#对话模型配置'!$A:$W,MATCH(对话配置表!AM$2,'#对话模型配置'!$1:$1,0),FALSE)</f>
        <v>20001099</v>
      </c>
      <c r="AN369" s="57" t="s">
        <v>1517</v>
      </c>
      <c r="AT369" s="57" t="str">
        <f t="shared" si="29"/>
        <v>东洲李国，&lt;color=#FFCC71&gt;李白&lt;/color&gt;。</v>
      </c>
      <c r="AU369" s="57" t="s">
        <v>1518</v>
      </c>
      <c r="AV369" s="57">
        <f t="shared" si="36"/>
        <v>60402</v>
      </c>
      <c r="AW369" s="57" t="s">
        <v>1519</v>
      </c>
    </row>
    <row r="370" spans="1:51" s="57" customFormat="1" ht="42">
      <c r="A370" s="57">
        <f t="shared" si="37"/>
        <v>60501</v>
      </c>
      <c r="B370" s="57" t="s">
        <v>840</v>
      </c>
      <c r="C370" s="57">
        <v>1</v>
      </c>
      <c r="D370" s="57" t="s">
        <v>622</v>
      </c>
      <c r="E370" s="57" t="s">
        <v>1388</v>
      </c>
      <c r="F370" s="20" t="str">
        <f>VLOOKUP(G370,'#TID_base_up'!B:C,2,0)</f>
        <v>安德莉娅</v>
      </c>
      <c r="G370" s="57" t="s">
        <v>467</v>
      </c>
      <c r="H370" s="57" t="s">
        <v>112</v>
      </c>
      <c r="I370" s="57" t="s">
        <v>113</v>
      </c>
      <c r="J370" s="57" t="s">
        <v>1520</v>
      </c>
      <c r="K370" s="84" t="str">
        <f t="shared" si="34"/>
        <v>早就听说过&lt;color=#FFCC71&gt;青莲先生&lt;/color&gt;诗剑双绝，今日多谢先生相助。
请恕我冒昧，我可以知道先生来此地是为了何事吗？</v>
      </c>
      <c r="T370" s="57">
        <v>1</v>
      </c>
      <c r="U370" s="57">
        <v>1</v>
      </c>
      <c r="V370" s="57">
        <v>0</v>
      </c>
      <c r="X370" s="57">
        <v>0</v>
      </c>
      <c r="Y370" s="57" t="b">
        <v>0</v>
      </c>
      <c r="Z370" s="102" t="s">
        <v>1521</v>
      </c>
      <c r="AA370" s="57" t="b">
        <v>0</v>
      </c>
      <c r="AC370" s="57">
        <v>20001127</v>
      </c>
      <c r="AD370" s="57">
        <v>0</v>
      </c>
      <c r="AE370" s="57">
        <f t="shared" si="35"/>
        <v>1</v>
      </c>
      <c r="AH370" s="57">
        <v>0.1</v>
      </c>
      <c r="AL370" s="57">
        <v>10</v>
      </c>
      <c r="AM370" s="48">
        <f>VLOOKUP($F370,'#对话模型配置'!$A:$W,MATCH(对话配置表!AM$2,'#对话模型配置'!$1:$1,0),FALSE)</f>
        <v>30001001</v>
      </c>
      <c r="AN370" s="57" t="s">
        <v>1429</v>
      </c>
      <c r="AT370" s="57" t="str">
        <f t="shared" si="29"/>
        <v>早就听说过&lt;color=#FFCC71&gt;青莲先生&lt;/color&gt;诗剑双绝，今日多谢先生相助。
请恕我冒昧，我可以知道先生来此地是为了何事吗？</v>
      </c>
      <c r="AU370" s="57" t="s">
        <v>1522</v>
      </c>
      <c r="AV370" s="57">
        <f t="shared" si="36"/>
        <v>60501</v>
      </c>
      <c r="AW370" s="57" t="s">
        <v>1523</v>
      </c>
    </row>
    <row r="371" spans="1:51" s="57" customFormat="1" ht="42">
      <c r="A371" s="57">
        <f t="shared" si="37"/>
        <v>60501</v>
      </c>
      <c r="B371" s="57" t="s">
        <v>840</v>
      </c>
      <c r="C371" s="57">
        <v>2</v>
      </c>
      <c r="D371" s="57" t="s">
        <v>622</v>
      </c>
      <c r="E371" s="57" t="s">
        <v>1388</v>
      </c>
      <c r="F371" s="20" t="str">
        <f>VLOOKUP(G371,'#TID_base_up'!B:C,2,0)</f>
        <v>李白</v>
      </c>
      <c r="G371" s="57" t="s">
        <v>1514</v>
      </c>
      <c r="H371" s="57" t="s">
        <v>112</v>
      </c>
      <c r="I371" s="57" t="s">
        <v>113</v>
      </c>
      <c r="J371" s="57" t="s">
        <v>1524</v>
      </c>
      <c r="K371" s="84" t="str">
        <f t="shared" si="34"/>
        <v>我游历天下，只为遍览&lt;color=#FFCC71&gt;各地奇迹&lt;/color&gt;之壮丽。
此地既有奇迹亦有美饮，我若不来，哈，那才是咄咄怪事。</v>
      </c>
      <c r="T371" s="57">
        <v>1</v>
      </c>
      <c r="U371" s="57">
        <v>1</v>
      </c>
      <c r="V371" s="57">
        <v>0</v>
      </c>
      <c r="X371" s="57">
        <v>0</v>
      </c>
      <c r="Y371" s="57" t="b">
        <v>0</v>
      </c>
      <c r="Z371" s="102" t="s">
        <v>1525</v>
      </c>
      <c r="AA371" s="57" t="b">
        <v>0</v>
      </c>
      <c r="AC371" s="57">
        <v>20001128</v>
      </c>
      <c r="AD371" s="57">
        <v>0</v>
      </c>
      <c r="AE371" s="57">
        <f t="shared" si="35"/>
        <v>1</v>
      </c>
      <c r="AH371" s="57">
        <v>0.1</v>
      </c>
      <c r="AL371" s="57">
        <v>10</v>
      </c>
      <c r="AM371" s="48">
        <f>VLOOKUP($F371,'#对话模型配置'!$A:$W,MATCH(对话配置表!AM$2,'#对话模型配置'!$1:$1,0),FALSE)</f>
        <v>20001099</v>
      </c>
      <c r="AN371" s="57" t="s">
        <v>1526</v>
      </c>
      <c r="AT371" s="57" t="str">
        <f t="shared" si="29"/>
        <v>我游历天下，只为遍览&lt;color=#FFCC71&gt;各地奇迹&lt;/color&gt;之壮丽。
此地既有奇迹亦有美饮，我若不来，哈，那才是咄咄怪事。</v>
      </c>
      <c r="AU371" s="57" t="s">
        <v>1527</v>
      </c>
      <c r="AV371" s="57">
        <f t="shared" si="36"/>
        <v>60501</v>
      </c>
      <c r="AW371" s="57" t="s">
        <v>1528</v>
      </c>
    </row>
    <row r="372" spans="1:51" s="57" customFormat="1" ht="42">
      <c r="A372" s="57">
        <f t="shared" si="37"/>
        <v>60501</v>
      </c>
      <c r="B372" s="57" t="s">
        <v>840</v>
      </c>
      <c r="C372" s="57">
        <v>3</v>
      </c>
      <c r="D372" s="57" t="s">
        <v>622</v>
      </c>
      <c r="E372" s="57" t="s">
        <v>1388</v>
      </c>
      <c r="F372" s="20" t="str">
        <f>VLOOKUP(G372,'#TID_base_up'!B:C,2,0)</f>
        <v>魏兰</v>
      </c>
      <c r="G372" s="57" t="s">
        <v>129</v>
      </c>
      <c r="H372" s="57" t="s">
        <v>112</v>
      </c>
      <c r="I372" s="57" t="s">
        <v>113</v>
      </c>
      <c r="J372" s="57" t="s">
        <v>1529</v>
      </c>
      <c r="K372" s="84" t="str">
        <f t="shared" si="34"/>
        <v>&lt;color=#FFCC71&gt;奇迹&lt;/color&gt;？！我就知道！
莲花先生，那些&lt;color=#FFCC71&gt;蛮族&lt;/color&gt;是不是因为它才那么强？！</v>
      </c>
      <c r="T372" s="57">
        <v>1</v>
      </c>
      <c r="U372" s="57">
        <v>1</v>
      </c>
      <c r="V372" s="57">
        <v>0</v>
      </c>
      <c r="X372" s="57">
        <v>0</v>
      </c>
      <c r="Y372" s="57" t="b">
        <v>0</v>
      </c>
      <c r="Z372" s="102" t="s">
        <v>1530</v>
      </c>
      <c r="AA372" s="57" t="b">
        <v>0</v>
      </c>
      <c r="AC372" s="57">
        <v>20001129</v>
      </c>
      <c r="AD372" s="57">
        <v>0</v>
      </c>
      <c r="AE372" s="57">
        <f t="shared" si="35"/>
        <v>1</v>
      </c>
      <c r="AH372" s="57">
        <v>0.1</v>
      </c>
      <c r="AL372" s="57">
        <v>10</v>
      </c>
      <c r="AM372" s="48">
        <f>VLOOKUP($F372,'#对话模型配置'!$A:$W,MATCH(对话配置表!AM$2,'#对话模型配置'!$1:$1,0),FALSE)</f>
        <v>20001005</v>
      </c>
      <c r="AN372" s="57" t="s">
        <v>1396</v>
      </c>
      <c r="AT372" s="57" t="str">
        <f t="shared" si="29"/>
        <v>&lt;color=#FFCC71&gt;奇迹&lt;/color&gt;？！我就知道！
莲花先生，那些&lt;color=#FFCC71&gt;蛮族&lt;/color&gt;是不是因为它才那么强？！</v>
      </c>
      <c r="AU372" s="57" t="s">
        <v>1531</v>
      </c>
      <c r="AV372" s="57">
        <f t="shared" si="36"/>
        <v>60501</v>
      </c>
      <c r="AW372" s="57" t="s">
        <v>1532</v>
      </c>
      <c r="AX372" s="57" t="s">
        <v>672</v>
      </c>
    </row>
    <row r="373" spans="1:51" s="57" customFormat="1" ht="56">
      <c r="A373" s="57">
        <f t="shared" si="37"/>
        <v>60501</v>
      </c>
      <c r="B373" s="57" t="s">
        <v>840</v>
      </c>
      <c r="C373" s="57">
        <v>4</v>
      </c>
      <c r="D373" s="57" t="s">
        <v>622</v>
      </c>
      <c r="E373" s="57" t="s">
        <v>1388</v>
      </c>
      <c r="F373" s="20" t="str">
        <f>VLOOKUP(G373,'#TID_base_up'!B:C,2,0)</f>
        <v>李白</v>
      </c>
      <c r="G373" s="57" t="s">
        <v>1514</v>
      </c>
      <c r="H373" s="57" t="s">
        <v>112</v>
      </c>
      <c r="I373" s="57" t="s">
        <v>113</v>
      </c>
      <c r="J373" s="57" t="s">
        <v>1533</v>
      </c>
      <c r="K373" s="84" t="str">
        <f t="shared" si="34"/>
        <v>然也，&lt;color=#FFCC71&gt;奇迹&lt;/color&gt;是穷极人力、极尽巧思，应时而起的壮丽建筑。
它形构华美，而且承天之运，能&lt;color=#FFCC71&gt;鼓舞士气提振军威&lt;/color&gt;。</v>
      </c>
      <c r="T373" s="57">
        <v>1</v>
      </c>
      <c r="U373" s="57">
        <v>1</v>
      </c>
      <c r="V373" s="57">
        <v>0</v>
      </c>
      <c r="X373" s="57">
        <v>0</v>
      </c>
      <c r="Y373" s="57" t="b">
        <v>0</v>
      </c>
      <c r="Z373" s="102" t="s">
        <v>1534</v>
      </c>
      <c r="AA373" s="57" t="b">
        <v>0</v>
      </c>
      <c r="AC373" s="57">
        <v>20001130</v>
      </c>
      <c r="AD373" s="57">
        <v>0</v>
      </c>
      <c r="AE373" s="57">
        <f t="shared" si="35"/>
        <v>1</v>
      </c>
      <c r="AH373" s="57">
        <v>0.1</v>
      </c>
      <c r="AL373" s="57">
        <v>10</v>
      </c>
      <c r="AM373" s="48">
        <f>VLOOKUP($F373,'#对话模型配置'!$A:$W,MATCH(对话配置表!AM$2,'#对话模型配置'!$1:$1,0),FALSE)</f>
        <v>20001099</v>
      </c>
      <c r="AN373" s="57" t="s">
        <v>1535</v>
      </c>
      <c r="AT373" s="57" t="str">
        <f t="shared" si="29"/>
        <v>然也，&lt;color=#FFCC71&gt;奇迹&lt;/color&gt;是穷极人力、极尽巧思，应时而起的壮丽建筑。
它形构华美，而且承天之运，能&lt;color=#FFCC71&gt;鼓舞士气提振军威&lt;/color&gt;。</v>
      </c>
      <c r="AU373" s="57" t="s">
        <v>1536</v>
      </c>
      <c r="AV373" s="57">
        <f t="shared" si="36"/>
        <v>60501</v>
      </c>
      <c r="AW373" s="57" t="s">
        <v>1532</v>
      </c>
      <c r="AX373" s="57" t="s">
        <v>1537</v>
      </c>
    </row>
    <row r="374" spans="1:51" s="57" customFormat="1" ht="42">
      <c r="A374" s="57">
        <f t="shared" si="37"/>
        <v>60501</v>
      </c>
      <c r="B374" s="57" t="s">
        <v>840</v>
      </c>
      <c r="C374" s="57">
        <v>5</v>
      </c>
      <c r="D374" s="57" t="s">
        <v>622</v>
      </c>
      <c r="E374" s="57" t="s">
        <v>1388</v>
      </c>
      <c r="F374" s="20" t="str">
        <f>VLOOKUP(G374,'#TID_base_up'!B:C,2,0)</f>
        <v>李白</v>
      </c>
      <c r="G374" s="57" t="s">
        <v>1514</v>
      </c>
      <c r="H374" s="57" t="s">
        <v>112</v>
      </c>
      <c r="I374" s="57" t="s">
        <v>113</v>
      </c>
      <c r="J374" s="57" t="s">
        <v>1538</v>
      </c>
      <c r="K374" s="84" t="str">
        <f t="shared" si="34"/>
        <v>不过目前占据彼处的&lt;color=#FFCC71&gt;蛮胡已除&lt;/color&gt;，&lt;color=#FFCC71&gt;奇迹之地也重归和平&lt;/color&gt;，也是我该&lt;color=#FFCC71&gt;告别&lt;/color&gt;的时候了。</v>
      </c>
      <c r="T374" s="57">
        <v>1</v>
      </c>
      <c r="U374" s="57">
        <v>1</v>
      </c>
      <c r="V374" s="57">
        <v>0</v>
      </c>
      <c r="X374" s="57">
        <v>0</v>
      </c>
      <c r="Y374" s="57" t="b">
        <v>0</v>
      </c>
      <c r="Z374" s="102" t="s">
        <v>1539</v>
      </c>
      <c r="AA374" s="57" t="b">
        <v>0</v>
      </c>
      <c r="AC374" s="57">
        <v>20001131</v>
      </c>
      <c r="AD374" s="57">
        <v>0</v>
      </c>
      <c r="AE374" s="57">
        <f t="shared" si="35"/>
        <v>1</v>
      </c>
      <c r="AH374" s="57">
        <v>0.1</v>
      </c>
      <c r="AL374" s="57">
        <v>10</v>
      </c>
      <c r="AM374" s="48">
        <f>VLOOKUP($F374,'#对话模型配置'!$A:$W,MATCH(对话配置表!AM$2,'#对话模型配置'!$1:$1,0),FALSE)</f>
        <v>20001099</v>
      </c>
      <c r="AN374" s="57" t="s">
        <v>1540</v>
      </c>
      <c r="AT374" s="57" t="str">
        <f t="shared" si="29"/>
        <v>不过目前占据彼处的&lt;color=#FFCC71&gt;蛮胡已除&lt;/color&gt;，&lt;color=#FFCC71&gt;奇迹之地也重归和平&lt;/color&gt;，也是我该&lt;color=#FFCC71&gt;告别&lt;/color&gt;的时候了。</v>
      </c>
      <c r="AU374" s="57" t="s">
        <v>1541</v>
      </c>
      <c r="AV374" s="57">
        <f t="shared" si="36"/>
        <v>60501</v>
      </c>
      <c r="AW374" s="57" t="s">
        <v>1542</v>
      </c>
      <c r="AX374" s="57" t="s">
        <v>1543</v>
      </c>
      <c r="AY374" s="57" t="s">
        <v>1544</v>
      </c>
    </row>
    <row r="375" spans="1:51" s="57" customFormat="1" ht="42">
      <c r="A375" s="57">
        <f t="shared" si="37"/>
        <v>60501</v>
      </c>
      <c r="B375" s="57" t="s">
        <v>840</v>
      </c>
      <c r="C375" s="57">
        <v>6</v>
      </c>
      <c r="D375" s="57" t="s">
        <v>622</v>
      </c>
      <c r="E375" s="57" t="s">
        <v>1388</v>
      </c>
      <c r="F375" s="20" t="str">
        <f>VLOOKUP(G375,'#TID_base_up'!B:C,2,0)</f>
        <v>安德莉娅</v>
      </c>
      <c r="G375" s="57" t="s">
        <v>467</v>
      </c>
      <c r="H375" s="48" t="str">
        <f>VLOOKUP($F375,'#对话模型配置'!$A:$W,MATCH(对话配置表!H$2,'#对话模型配置'!$1:$1,0),FALSE)</f>
        <v>icon_guidechara.smash</v>
      </c>
      <c r="I375" s="48" t="str">
        <f>VLOOKUP($F375,'#对话模型配置'!$A:$W,MATCH(对话配置表!I$2,'#对话模型配置'!$1:$1,0),FALSE)</f>
        <v>frame_s_xsdh_002</v>
      </c>
      <c r="J375" s="57" t="s">
        <v>1545</v>
      </c>
      <c r="K375" s="84" t="str">
        <f t="shared" si="34"/>
        <v>再次多谢先生，不过，&lt;color=#FFCC71&gt;青莲先生&lt;/color&gt;可以&lt;color=#FFCC71&gt;多留几日&lt;/color&gt;吗？
用东洲的话说——让我们可以一尽地主之谊。</v>
      </c>
      <c r="T375" s="57">
        <v>1</v>
      </c>
      <c r="U375" s="57">
        <v>1</v>
      </c>
      <c r="V375" s="57">
        <v>0</v>
      </c>
      <c r="X375" s="57">
        <v>0</v>
      </c>
      <c r="Y375" s="57" t="b">
        <v>0</v>
      </c>
      <c r="Z375" s="102" t="s">
        <v>1546</v>
      </c>
      <c r="AA375" s="57" t="b">
        <v>1</v>
      </c>
      <c r="AC375" s="57">
        <v>20001132</v>
      </c>
      <c r="AD375" s="57">
        <v>0</v>
      </c>
      <c r="AE375" s="57">
        <f t="shared" si="35"/>
        <v>1</v>
      </c>
      <c r="AH375" s="57">
        <v>0.1</v>
      </c>
      <c r="AL375" s="57">
        <v>10</v>
      </c>
      <c r="AM375" s="48">
        <f>VLOOKUP($F375,'#对话模型配置'!$A:$W,MATCH(对话配置表!AM$2,'#对话模型配置'!$1:$1,0),FALSE)</f>
        <v>30001001</v>
      </c>
      <c r="AN375" s="57" t="s">
        <v>1401</v>
      </c>
      <c r="AT375" s="57" t="str">
        <f t="shared" si="29"/>
        <v>再次多谢先生，不过，&lt;color=#FFCC71&gt;青莲先生&lt;/color&gt;可以&lt;color=#FFCC71&gt;多留几日&lt;/color&gt;吗？
用东洲的话说——让我们可以一尽地主之谊。</v>
      </c>
      <c r="AU375" s="57" t="s">
        <v>1547</v>
      </c>
      <c r="AV375" s="57">
        <f t="shared" si="36"/>
        <v>60501</v>
      </c>
      <c r="AW375" s="57" t="s">
        <v>1523</v>
      </c>
      <c r="AX375" s="57" t="s">
        <v>1548</v>
      </c>
    </row>
    <row r="376" spans="1:51" s="57" customFormat="1" ht="42">
      <c r="A376" s="57">
        <f t="shared" si="37"/>
        <v>60601</v>
      </c>
      <c r="B376" s="57" t="s">
        <v>915</v>
      </c>
      <c r="C376" s="57">
        <v>1</v>
      </c>
      <c r="D376" s="57" t="s">
        <v>622</v>
      </c>
      <c r="E376" s="57" t="s">
        <v>1388</v>
      </c>
      <c r="F376" s="20" t="str">
        <f>VLOOKUP(G376,'#TID_base_up'!B:C,2,0)</f>
        <v>安德莉娅</v>
      </c>
      <c r="G376" s="57" t="s">
        <v>467</v>
      </c>
      <c r="H376" s="48" t="str">
        <f>VLOOKUP($F376,'#对话模型配置'!$A:$W,MATCH(对话配置表!H$2,'#对话模型配置'!$1:$1,0),FALSE)</f>
        <v>icon_guidechara.smash</v>
      </c>
      <c r="I376" s="48" t="str">
        <f>VLOOKUP($F376,'#对话模型配置'!$A:$W,MATCH(对话配置表!I$2,'#对话模型配置'!$1:$1,0),FALSE)</f>
        <v>frame_s_xsdh_002</v>
      </c>
      <c r="J376" s="57" t="s">
        <v>1549</v>
      </c>
      <c r="K376" s="84" t="str">
        <f t="shared" si="34"/>
        <v>&lt;color=#FFCC71&gt;青莲先生还是离开了……&lt;/color&gt;也是，像他这种乘风而舞的鹏鸟，注定如同极天之云，根本不会长久留在同一个地方。</v>
      </c>
      <c r="T376" s="57">
        <v>1</v>
      </c>
      <c r="U376" s="57">
        <v>1</v>
      </c>
      <c r="V376" s="57">
        <v>0</v>
      </c>
      <c r="X376" s="57">
        <v>0</v>
      </c>
      <c r="Y376" s="57" t="b">
        <v>0</v>
      </c>
      <c r="Z376" s="102" t="s">
        <v>1550</v>
      </c>
      <c r="AA376" s="57" t="b">
        <v>0</v>
      </c>
      <c r="AC376" s="57">
        <v>20001133</v>
      </c>
      <c r="AD376" s="57">
        <v>0</v>
      </c>
      <c r="AE376" s="57">
        <f t="shared" si="35"/>
        <v>1</v>
      </c>
      <c r="AH376" s="57">
        <v>0.1</v>
      </c>
      <c r="AL376" s="57">
        <v>10</v>
      </c>
      <c r="AM376" s="48">
        <f>VLOOKUP($F376,'#对话模型配置'!$A:$W,MATCH(对话配置表!AM$2,'#对话模型配置'!$1:$1,0),FALSE)</f>
        <v>30001001</v>
      </c>
      <c r="AN376" s="57" t="s">
        <v>1391</v>
      </c>
      <c r="AT376" s="57" t="str">
        <f t="shared" si="29"/>
        <v>&lt;color=#FFCC71&gt;青莲先生还是离开了……&lt;/color&gt;也是，像他这种乘风而舞的鹏鸟，注定如同极天之云，根本不会长久留在同一个地方。</v>
      </c>
      <c r="AU376" s="57" t="s">
        <v>1551</v>
      </c>
      <c r="AV376" s="57">
        <f t="shared" si="36"/>
        <v>60601</v>
      </c>
      <c r="AW376" s="57" t="s">
        <v>1552</v>
      </c>
    </row>
    <row r="377" spans="1:51" s="57" customFormat="1" ht="42">
      <c r="A377" s="57">
        <f t="shared" si="37"/>
        <v>60601</v>
      </c>
      <c r="B377" s="57" t="s">
        <v>915</v>
      </c>
      <c r="C377" s="57">
        <v>2</v>
      </c>
      <c r="D377" s="57" t="s">
        <v>622</v>
      </c>
      <c r="E377" s="57" t="s">
        <v>1388</v>
      </c>
      <c r="F377" s="20" t="str">
        <f>VLOOKUP(G377,'#TID_base_up'!B:C,2,0)</f>
        <v>魏兰</v>
      </c>
      <c r="G377" s="57" t="s">
        <v>129</v>
      </c>
      <c r="H377" s="48" t="str">
        <f>VLOOKUP($F377,'#对话模型配置'!$A:$W,MATCH(对话配置表!H$2,'#对话模型配置'!$1:$1,0),FALSE)</f>
        <v>icon_guidechara.smash</v>
      </c>
      <c r="I377" s="48" t="str">
        <f>VLOOKUP($F377,'#对话模型配置'!$A:$W,MATCH(对话配置表!I$2,'#对话模型配置'!$1:$1,0),FALSE)</f>
        <v>frame_s_xsdh_002</v>
      </c>
      <c r="J377" s="57" t="s">
        <v>1553</v>
      </c>
      <c r="K377" s="84" t="str">
        <f t="shared" si="34"/>
        <v>别想啦，等我们&lt;color=#FFCC71&gt;领地建设&lt;/color&gt;好了，什么李白呀李黑呀……会有越来越多的人自己过来的！有句话怎么说的来着……桃子不说话，下面有小溪？</v>
      </c>
      <c r="T377" s="57">
        <v>1</v>
      </c>
      <c r="U377" s="57">
        <v>1</v>
      </c>
      <c r="V377" s="57">
        <v>0</v>
      </c>
      <c r="X377" s="57">
        <v>0</v>
      </c>
      <c r="Y377" s="57" t="b">
        <v>0</v>
      </c>
      <c r="Z377" s="102" t="s">
        <v>1554</v>
      </c>
      <c r="AA377" s="57" t="b">
        <v>0</v>
      </c>
      <c r="AC377" s="57">
        <v>20001134</v>
      </c>
      <c r="AD377" s="57">
        <v>0</v>
      </c>
      <c r="AE377" s="57">
        <f t="shared" si="35"/>
        <v>1</v>
      </c>
      <c r="AH377" s="57">
        <v>0.1</v>
      </c>
      <c r="AL377" s="57">
        <v>10</v>
      </c>
      <c r="AM377" s="48">
        <f>VLOOKUP($F377,'#对话模型配置'!$A:$W,MATCH(对话配置表!AM$2,'#对话模型配置'!$1:$1,0),FALSE)</f>
        <v>20001005</v>
      </c>
      <c r="AN377" s="57" t="s">
        <v>1555</v>
      </c>
      <c r="AT377" s="57" t="str">
        <f t="shared" si="29"/>
        <v>别想啦，等我们&lt;color=#FFCC71&gt;领地建设&lt;/color&gt;好了，什么李白呀李黑呀……会有越来越多的人自己过来的！有句话怎么说的来着……桃子不说话，下面有小溪？</v>
      </c>
      <c r="AU377" s="57" t="s">
        <v>1556</v>
      </c>
      <c r="AV377" s="57">
        <f t="shared" si="36"/>
        <v>60601</v>
      </c>
      <c r="AW377" s="57" t="s">
        <v>1557</v>
      </c>
    </row>
    <row r="378" spans="1:51" s="57" customFormat="1" ht="42">
      <c r="A378" s="57">
        <f t="shared" si="37"/>
        <v>60601</v>
      </c>
      <c r="B378" s="57" t="s">
        <v>915</v>
      </c>
      <c r="C378" s="57">
        <v>3</v>
      </c>
      <c r="D378" s="57" t="s">
        <v>622</v>
      </c>
      <c r="E378" s="57" t="s">
        <v>1388</v>
      </c>
      <c r="F378" s="20" t="str">
        <f>VLOOKUP(G378,'#TID_base_up'!B:C,2,0)</f>
        <v>安德莉娅</v>
      </c>
      <c r="G378" s="57" t="s">
        <v>467</v>
      </c>
      <c r="H378" s="48" t="str">
        <f>VLOOKUP($F378,'#对话模型配置'!$A:$W,MATCH(对话配置表!H$2,'#对话模型配置'!$1:$1,0),FALSE)</f>
        <v>icon_guidechara.smash</v>
      </c>
      <c r="I378" s="48" t="str">
        <f>VLOOKUP($F378,'#对话模型配置'!$A:$W,MATCH(对话配置表!I$2,'#对话模型配置'!$1:$1,0),FALSE)</f>
        <v>frame_s_xsdh_002</v>
      </c>
      <c r="J378" s="57" t="s">
        <v>1558</v>
      </c>
      <c r="K378" s="84" t="str">
        <f t="shared" si="34"/>
        <v>是“桃李不言，下自成蹊”啦……不过魏兰说的对，目前&lt;color=#FFCC71&gt;领地发展&lt;/color&gt;已经步入正轨，以后肯定会有更多的&lt;color=#FFCC71&gt;贤才加入&lt;/color&gt;我们。</v>
      </c>
      <c r="T378" s="57">
        <v>1</v>
      </c>
      <c r="U378" s="57">
        <v>1</v>
      </c>
      <c r="V378" s="57">
        <v>0</v>
      </c>
      <c r="X378" s="57">
        <v>0</v>
      </c>
      <c r="Y378" s="57" t="b">
        <v>0</v>
      </c>
      <c r="Z378" s="102" t="s">
        <v>1559</v>
      </c>
      <c r="AA378" s="57" t="b">
        <v>0</v>
      </c>
      <c r="AC378" s="57">
        <v>20001135</v>
      </c>
      <c r="AD378" s="57">
        <v>0</v>
      </c>
      <c r="AE378" s="57">
        <f t="shared" si="35"/>
        <v>1</v>
      </c>
      <c r="AH378" s="57">
        <v>0.1</v>
      </c>
      <c r="AL378" s="57">
        <v>10</v>
      </c>
      <c r="AM378" s="48">
        <f>VLOOKUP($F378,'#对话模型配置'!$A:$W,MATCH(对话配置表!AM$2,'#对话模型配置'!$1:$1,0),FALSE)</f>
        <v>30001001</v>
      </c>
      <c r="AN378" s="57" t="s">
        <v>1560</v>
      </c>
      <c r="AT378" s="57" t="str">
        <f t="shared" si="29"/>
        <v>是“桃李不言，下自成蹊”啦……不过魏兰说的对，目前&lt;color=#FFCC71&gt;领地发展&lt;/color&gt;已经步入正轨，以后肯定会有更多的&lt;color=#FFCC71&gt;贤才加入&lt;/color&gt;我们。</v>
      </c>
      <c r="AU378" s="57" t="s">
        <v>1561</v>
      </c>
      <c r="AV378" s="57">
        <f t="shared" si="36"/>
        <v>60601</v>
      </c>
      <c r="AW378" s="57" t="s">
        <v>737</v>
      </c>
      <c r="AX378" s="57" t="s">
        <v>1562</v>
      </c>
    </row>
    <row r="379" spans="1:51" s="57" customFormat="1" ht="14">
      <c r="A379" s="57">
        <f t="shared" si="37"/>
        <v>60601</v>
      </c>
      <c r="B379" s="57" t="s">
        <v>915</v>
      </c>
      <c r="C379" s="57">
        <v>4</v>
      </c>
      <c r="D379" s="57" t="s">
        <v>622</v>
      </c>
      <c r="E379" s="57" t="s">
        <v>1388</v>
      </c>
      <c r="F379" s="20" t="str">
        <f>VLOOKUP(G379,'#TID_base_up'!B:C,2,0)</f>
        <v>安德莉娅</v>
      </c>
      <c r="G379" s="57" t="s">
        <v>467</v>
      </c>
      <c r="H379" s="48" t="str">
        <f>VLOOKUP($F379,'#对话模型配置'!$A:$W,MATCH(对话配置表!H$2,'#对话模型配置'!$1:$1,0),FALSE)</f>
        <v>icon_guidechara.smash</v>
      </c>
      <c r="I379" s="48" t="str">
        <f>VLOOKUP($F379,'#对话模型配置'!$A:$W,MATCH(对话配置表!I$2,'#对话模型配置'!$1:$1,0),FALSE)</f>
        <v>frame_s_xsdh_002</v>
      </c>
      <c r="J379" s="57" t="s">
        <v>1563</v>
      </c>
      <c r="K379" s="84" t="str">
        <f t="shared" si="34"/>
        <v>大家，请一起努力吧！</v>
      </c>
      <c r="T379" s="57">
        <v>1</v>
      </c>
      <c r="U379" s="57">
        <v>1</v>
      </c>
      <c r="V379" s="57">
        <v>0</v>
      </c>
      <c r="X379" s="57">
        <v>0</v>
      </c>
      <c r="Y379" s="57" t="b">
        <v>0</v>
      </c>
      <c r="Z379" s="102" t="s">
        <v>1564</v>
      </c>
      <c r="AA379" s="57" t="b">
        <v>1</v>
      </c>
      <c r="AC379" s="57">
        <v>20001136</v>
      </c>
      <c r="AD379" s="57">
        <v>0</v>
      </c>
      <c r="AE379" s="57">
        <f t="shared" si="35"/>
        <v>1</v>
      </c>
      <c r="AH379" s="57">
        <v>0.1</v>
      </c>
      <c r="AL379" s="57">
        <v>10</v>
      </c>
      <c r="AM379" s="48">
        <f>VLOOKUP($F379,'#对话模型配置'!$A:$W,MATCH(对话配置表!AM$2,'#对话模型配置'!$1:$1,0),FALSE)</f>
        <v>30001001</v>
      </c>
      <c r="AN379" s="57" t="s">
        <v>1482</v>
      </c>
      <c r="AT379" s="57" t="str">
        <f t="shared" si="29"/>
        <v>大家，请一起努力吧！</v>
      </c>
      <c r="AU379" s="57" t="s">
        <v>1565</v>
      </c>
      <c r="AV379" s="57">
        <f t="shared" si="36"/>
        <v>60601</v>
      </c>
    </row>
    <row r="380" spans="1:51" s="57" customFormat="1">
      <c r="F380" s="20" t="e">
        <f>VLOOKUP(G380,'#TID_base_up'!B:C,2,0)</f>
        <v>#N/A</v>
      </c>
      <c r="K380" s="101"/>
    </row>
    <row r="381" spans="1:51" s="58" customFormat="1" ht="28">
      <c r="A381" s="58">
        <v>210001</v>
      </c>
      <c r="C381" s="58">
        <v>1</v>
      </c>
      <c r="D381" s="58" t="str">
        <f t="shared" ref="D381:D408" si="38">"项楚1关-"&amp;G381</f>
        <v>项楚1关-TID_DialogueConf_210001_name_499962613841_CN_Main</v>
      </c>
      <c r="E381" s="58" t="s">
        <v>412</v>
      </c>
      <c r="F381" s="20" t="str">
        <f>VLOOKUP(G381,'#TID_base_up'!B:C,2,0)</f>
        <v>殷童</v>
      </c>
      <c r="G381" s="58" t="s">
        <v>1566</v>
      </c>
      <c r="H381" s="58" t="s">
        <v>1567</v>
      </c>
      <c r="I381" s="58" t="s">
        <v>1568</v>
      </c>
      <c r="J381" s="58" t="s">
        <v>1569</v>
      </c>
      <c r="K381" s="84" t="str">
        <f t="shared" ref="K381:K412" si="39">AT381</f>
        <v>项兄，以我郡守的兵力，你叔侄二人的人望和盖世武功，这天下可谓是唾手可得！</v>
      </c>
      <c r="T381" s="58">
        <v>1</v>
      </c>
      <c r="U381" s="58">
        <v>2</v>
      </c>
      <c r="V381" s="58">
        <v>0</v>
      </c>
      <c r="X381" s="58">
        <v>201</v>
      </c>
      <c r="Y381" s="58" t="b">
        <v>0</v>
      </c>
      <c r="Z381" s="58" t="s">
        <v>1570</v>
      </c>
      <c r="AA381" s="58" t="b">
        <v>0</v>
      </c>
      <c r="AD381" s="58">
        <v>10.293333053588899</v>
      </c>
      <c r="AE381" s="58">
        <v>11.29</v>
      </c>
      <c r="AH381" s="58">
        <v>0.1</v>
      </c>
      <c r="AL381" s="103">
        <v>13</v>
      </c>
      <c r="AO381" s="58">
        <v>4</v>
      </c>
      <c r="AP381" s="58">
        <v>1</v>
      </c>
      <c r="AT381" s="58" t="str">
        <f t="shared" ref="AT381:AT412" si="40">IF($AU381="","",SUBSTITUTE(SUBSTITUTE(SUBSTITUTE(SUBSTITUTE($AU381,IF($AW381="","",$AW381),IF($AW381="","",CONCATENATE("&lt;color=#FFCC71&gt;",$AW381,"&lt;/color&gt;"))),IF($AX381="","",$AX381),IF($AX381="","",CONCATENATE("&lt;color=#FFCC71&gt;",$AX381,"&lt;/color&gt;"))),IF($AY381="","",$AY381),IF($AY381="","",CONCATENATE("&lt;color=#FFCC71&gt;",$AY381,"&lt;/color&gt;"))),IF($AZ381="","",$AZ381),IF($AZ381="","",CONCATENATE("&lt;color=#FFCC71&gt;",$AZ381,"&lt;/color&gt;"))))</f>
        <v>项兄，以我郡守的兵力，你叔侄二人的人望和盖世武功，这天下可谓是唾手可得！</v>
      </c>
      <c r="AU381" s="58" t="s">
        <v>1571</v>
      </c>
    </row>
    <row r="382" spans="1:51" s="58" customFormat="1" ht="14">
      <c r="A382" s="58">
        <v>210001</v>
      </c>
      <c r="C382" s="58">
        <f>IF(A382=A381,C381+1,1)</f>
        <v>2</v>
      </c>
      <c r="D382" s="58" t="str">
        <f t="shared" si="38"/>
        <v>项楚1关-TID_DialogueConf_210001_name_234552473703_CN_Main</v>
      </c>
      <c r="E382" s="58" t="s">
        <v>412</v>
      </c>
      <c r="F382" s="20" t="str">
        <f>VLOOKUP(G382,'#TID_base_up'!B:C,2,0)</f>
        <v>项毅</v>
      </c>
      <c r="G382" s="58" t="s">
        <v>1572</v>
      </c>
      <c r="H382" s="58" t="s">
        <v>132</v>
      </c>
      <c r="I382" s="58" t="s">
        <v>1573</v>
      </c>
      <c r="J382" s="58" t="s">
        <v>1574</v>
      </c>
      <c r="K382" s="84" t="str">
        <f t="shared" si="39"/>
        <v>大人说的没错，但这天下只能是一个人的！楚儿！动手！</v>
      </c>
      <c r="T382" s="58">
        <v>1</v>
      </c>
      <c r="U382" s="58">
        <v>2</v>
      </c>
      <c r="V382" s="58">
        <v>0</v>
      </c>
      <c r="X382" s="58">
        <v>201</v>
      </c>
      <c r="Y382" s="58" t="b">
        <v>0</v>
      </c>
      <c r="Z382" s="58" t="s">
        <v>1575</v>
      </c>
      <c r="AA382" s="58" t="b">
        <v>0</v>
      </c>
      <c r="AD382" s="58">
        <v>8.7253332138061506</v>
      </c>
      <c r="AE382" s="58">
        <v>8.73</v>
      </c>
      <c r="AH382" s="58">
        <v>0.1</v>
      </c>
      <c r="AL382" s="103">
        <v>13</v>
      </c>
      <c r="AO382" s="58">
        <v>48</v>
      </c>
      <c r="AT382" s="58" t="str">
        <f t="shared" si="40"/>
        <v>大人说的没错，但这天下只能是一个人的！楚儿！动手！</v>
      </c>
      <c r="AU382" s="58" t="s">
        <v>1576</v>
      </c>
    </row>
    <row r="383" spans="1:51" s="58" customFormat="1" ht="14">
      <c r="A383" s="58">
        <v>210001</v>
      </c>
      <c r="C383" s="58">
        <f>IF(A383=A382,C382+1,1)</f>
        <v>3</v>
      </c>
      <c r="D383" s="58" t="str">
        <f t="shared" si="38"/>
        <v>项楚1关-TID_DialogueConf_210001_name_499962613841_CN_Main</v>
      </c>
      <c r="E383" s="58" t="s">
        <v>412</v>
      </c>
      <c r="F383" s="20" t="str">
        <f>VLOOKUP(G383,'#TID_base_up'!B:C,2,0)</f>
        <v>殷童</v>
      </c>
      <c r="G383" s="58" t="s">
        <v>1566</v>
      </c>
      <c r="H383" s="58" t="s">
        <v>1567</v>
      </c>
      <c r="I383" s="58" t="s">
        <v>1568</v>
      </c>
      <c r="J383" s="58" t="s">
        <v>1577</v>
      </c>
      <c r="K383" s="84" t="str">
        <f t="shared" si="39"/>
        <v>你们！你们想干什么！来人！快来人！</v>
      </c>
      <c r="T383" s="58">
        <v>1</v>
      </c>
      <c r="U383" s="58">
        <v>2</v>
      </c>
      <c r="V383" s="58">
        <v>0</v>
      </c>
      <c r="X383" s="58">
        <v>201</v>
      </c>
      <c r="Y383" s="58" t="b">
        <v>0</v>
      </c>
      <c r="Z383" s="58" t="s">
        <v>1578</v>
      </c>
      <c r="AA383" s="58" t="b">
        <v>0</v>
      </c>
      <c r="AD383" s="58">
        <v>4.3413329124450701</v>
      </c>
      <c r="AE383" s="58">
        <v>5.34</v>
      </c>
      <c r="AH383" s="58">
        <v>0.1</v>
      </c>
      <c r="AL383" s="103">
        <v>13</v>
      </c>
      <c r="AO383" s="58">
        <v>4</v>
      </c>
      <c r="AP383" s="58">
        <v>1</v>
      </c>
      <c r="AT383" s="58" t="str">
        <f t="shared" si="40"/>
        <v>你们！你们想干什么！来人！快来人！</v>
      </c>
      <c r="AU383" s="58" t="s">
        <v>1579</v>
      </c>
    </row>
    <row r="384" spans="1:51" s="59" customFormat="1" ht="14">
      <c r="A384" s="59">
        <v>210002</v>
      </c>
      <c r="C384" s="59">
        <v>1</v>
      </c>
      <c r="D384" s="59" t="str">
        <f t="shared" si="38"/>
        <v>项楚1关-TID_DialogueConf_210002_name_CN_Main</v>
      </c>
      <c r="E384" s="59" t="s">
        <v>412</v>
      </c>
      <c r="F384" s="20" t="str">
        <f>VLOOKUP(G384,'#TID_base_up'!B:C,2,0)</f>
        <v>敌军护卫</v>
      </c>
      <c r="G384" s="59" t="s">
        <v>1580</v>
      </c>
      <c r="H384" s="59" t="s">
        <v>132</v>
      </c>
      <c r="I384" s="59" t="s">
        <v>1581</v>
      </c>
      <c r="J384" s="59" t="s">
        <v>1582</v>
      </c>
      <c r="K384" s="84" t="str">
        <f t="shared" si="39"/>
        <v>项毅你好大胆！抓住他们！</v>
      </c>
      <c r="T384" s="59">
        <v>1</v>
      </c>
      <c r="U384" s="59">
        <v>4</v>
      </c>
      <c r="V384" s="59">
        <v>0</v>
      </c>
      <c r="X384" s="59">
        <v>201</v>
      </c>
      <c r="Y384" s="59" t="b">
        <v>1</v>
      </c>
      <c r="Z384" s="59" t="s">
        <v>1583</v>
      </c>
      <c r="AA384" s="59" t="b">
        <v>0</v>
      </c>
      <c r="AD384" s="59">
        <v>2.6559998989105198</v>
      </c>
      <c r="AE384" s="59">
        <v>2.66</v>
      </c>
      <c r="AH384" s="59">
        <v>0.1</v>
      </c>
      <c r="AL384" s="80">
        <v>13</v>
      </c>
      <c r="AO384" s="59">
        <v>20</v>
      </c>
      <c r="AT384" s="59" t="str">
        <f t="shared" si="40"/>
        <v>项毅你好大胆！抓住他们！</v>
      </c>
      <c r="AU384" s="59" t="s">
        <v>1584</v>
      </c>
    </row>
    <row r="385" spans="1:47" s="59" customFormat="1" ht="14">
      <c r="A385" s="59">
        <v>210005</v>
      </c>
      <c r="C385" s="59">
        <v>1</v>
      </c>
      <c r="D385" s="59" t="str">
        <f t="shared" si="38"/>
        <v>项楚1关-TID_DialogueConf_210005_name_CN_Main</v>
      </c>
      <c r="E385" s="59" t="s">
        <v>412</v>
      </c>
      <c r="F385" s="20" t="str">
        <f>VLOOKUP(G385,'#TID_base_up'!B:C,2,0)</f>
        <v>项楚</v>
      </c>
      <c r="G385" s="59" t="s">
        <v>1585</v>
      </c>
      <c r="H385" s="59" t="s">
        <v>132</v>
      </c>
      <c r="I385" s="59" t="s">
        <v>1586</v>
      </c>
      <c r="J385" s="59" t="s">
        <v>1587</v>
      </c>
      <c r="K385" s="84" t="str">
        <f t="shared" si="39"/>
        <v>臭鱼烂虾，你们一起上吧！</v>
      </c>
      <c r="T385" s="59">
        <v>1</v>
      </c>
      <c r="U385" s="59">
        <v>4</v>
      </c>
      <c r="V385" s="59">
        <v>0</v>
      </c>
      <c r="X385" s="59">
        <v>201</v>
      </c>
      <c r="Y385" s="59" t="b">
        <v>1</v>
      </c>
      <c r="Z385" s="59" t="s">
        <v>1588</v>
      </c>
      <c r="AA385" s="59" t="b">
        <v>0</v>
      </c>
      <c r="AD385" s="59">
        <v>3.4560000896453902</v>
      </c>
      <c r="AE385" s="59">
        <v>4.03</v>
      </c>
      <c r="AH385" s="59">
        <v>0.1</v>
      </c>
      <c r="AL385" s="80">
        <v>13</v>
      </c>
      <c r="AO385" s="59">
        <v>5</v>
      </c>
      <c r="AT385" s="59" t="str">
        <f t="shared" si="40"/>
        <v>臭鱼烂虾，你们一起上吧！</v>
      </c>
      <c r="AU385" s="59" t="s">
        <v>1589</v>
      </c>
    </row>
    <row r="386" spans="1:47" s="58" customFormat="1" ht="14">
      <c r="A386" s="58">
        <v>210006</v>
      </c>
      <c r="C386" s="58">
        <v>1</v>
      </c>
      <c r="D386" s="58" t="str">
        <f t="shared" si="38"/>
        <v>项楚1关-TID_DialogueConf_210005_name_CN_Main</v>
      </c>
      <c r="E386" s="58" t="s">
        <v>412</v>
      </c>
      <c r="F386" s="20" t="str">
        <f>VLOOKUP(G386,'#TID_base_up'!B:C,2,0)</f>
        <v>项楚</v>
      </c>
      <c r="G386" s="58" t="s">
        <v>1585</v>
      </c>
      <c r="H386" s="58" t="s">
        <v>132</v>
      </c>
      <c r="I386" s="58" t="s">
        <v>1586</v>
      </c>
      <c r="J386" s="58" t="s">
        <v>1590</v>
      </c>
      <c r="K386" s="84" t="str">
        <f t="shared" si="39"/>
        <v>叔父，事已至此，接下来该怎么办？</v>
      </c>
      <c r="T386" s="58">
        <v>1</v>
      </c>
      <c r="U386" s="58">
        <v>2</v>
      </c>
      <c r="V386" s="58">
        <v>0</v>
      </c>
      <c r="X386" s="58">
        <v>201</v>
      </c>
      <c r="Y386" s="58" t="b">
        <v>0</v>
      </c>
      <c r="Z386" s="58" t="s">
        <v>1591</v>
      </c>
      <c r="AA386" s="58" t="b">
        <v>0</v>
      </c>
      <c r="AD386" s="58">
        <v>4.5813331604003897</v>
      </c>
      <c r="AE386" s="58">
        <v>5.58</v>
      </c>
      <c r="AH386" s="58">
        <v>0.1</v>
      </c>
      <c r="AL386" s="103">
        <v>13</v>
      </c>
      <c r="AO386" s="58">
        <v>5</v>
      </c>
      <c r="AT386" s="58" t="str">
        <f t="shared" si="40"/>
        <v>叔父，事已至此，接下来该怎么办？</v>
      </c>
      <c r="AU386" s="58" t="s">
        <v>1592</v>
      </c>
    </row>
    <row r="387" spans="1:47" s="58" customFormat="1" ht="14">
      <c r="A387" s="58">
        <v>210006</v>
      </c>
      <c r="C387" s="58">
        <v>2</v>
      </c>
      <c r="D387" s="58" t="str">
        <f t="shared" si="38"/>
        <v>项楚1关-TID_DialogueConf_210001_name_234552473703_CN_Main</v>
      </c>
      <c r="E387" s="58" t="s">
        <v>412</v>
      </c>
      <c r="F387" s="20" t="str">
        <f>VLOOKUP(G387,'#TID_base_up'!B:C,2,0)</f>
        <v>项毅</v>
      </c>
      <c r="G387" s="58" t="s">
        <v>1572</v>
      </c>
      <c r="H387" s="58" t="s">
        <v>132</v>
      </c>
      <c r="I387" s="58" t="s">
        <v>1573</v>
      </c>
      <c r="J387" s="58" t="s">
        <v>1593</v>
      </c>
      <c r="K387" s="84" t="str">
        <f t="shared" si="39"/>
        <v>先拿下此城，再作商议。</v>
      </c>
      <c r="T387" s="58">
        <v>1</v>
      </c>
      <c r="U387" s="58">
        <v>2</v>
      </c>
      <c r="V387" s="58">
        <v>0</v>
      </c>
      <c r="X387" s="58">
        <v>201</v>
      </c>
      <c r="Y387" s="58" t="b">
        <v>0</v>
      </c>
      <c r="Z387" s="58" t="s">
        <v>1594</v>
      </c>
      <c r="AA387" s="58" t="b">
        <v>0</v>
      </c>
      <c r="AD387" s="58">
        <v>2.8432710170745801</v>
      </c>
      <c r="AE387" s="58">
        <v>3.27</v>
      </c>
      <c r="AH387" s="58">
        <v>0.1</v>
      </c>
      <c r="AL387" s="103">
        <v>13</v>
      </c>
      <c r="AO387" s="58">
        <v>48</v>
      </c>
      <c r="AT387" s="58" t="str">
        <f t="shared" si="40"/>
        <v>先拿下此城，再作商议。</v>
      </c>
      <c r="AU387" s="58" t="s">
        <v>1595</v>
      </c>
    </row>
    <row r="388" spans="1:47" s="58" customFormat="1" ht="14">
      <c r="A388" s="58">
        <v>210006</v>
      </c>
      <c r="C388" s="58">
        <v>3</v>
      </c>
      <c r="D388" s="58" t="str">
        <f t="shared" si="38"/>
        <v>项楚1关-TID_DialogueConf_210001_name_234552473703_CN_Main</v>
      </c>
      <c r="E388" s="58" t="s">
        <v>412</v>
      </c>
      <c r="F388" s="20" t="str">
        <f>VLOOKUP(G388,'#TID_base_up'!B:C,2,0)</f>
        <v>项毅</v>
      </c>
      <c r="G388" s="58" t="s">
        <v>1572</v>
      </c>
      <c r="H388" s="58" t="s">
        <v>132</v>
      </c>
      <c r="I388" s="58" t="s">
        <v>1573</v>
      </c>
      <c r="J388" s="58" t="s">
        <v>1596</v>
      </c>
      <c r="K388" s="84" t="str">
        <f t="shared" si="39"/>
        <v>我们分头行动！</v>
      </c>
      <c r="T388" s="58">
        <v>1</v>
      </c>
      <c r="U388" s="58">
        <v>2</v>
      </c>
      <c r="V388" s="58">
        <v>0</v>
      </c>
      <c r="X388" s="58">
        <v>201</v>
      </c>
      <c r="Y388" s="58" t="b">
        <v>0</v>
      </c>
      <c r="Z388" s="58" t="s">
        <v>1597</v>
      </c>
      <c r="AA388" s="58" t="b">
        <v>0</v>
      </c>
      <c r="AD388" s="58">
        <v>1.5403540134429901</v>
      </c>
      <c r="AE388" s="58">
        <v>2.54</v>
      </c>
      <c r="AH388" s="58">
        <v>0.1</v>
      </c>
      <c r="AL388" s="103">
        <v>13</v>
      </c>
      <c r="AO388" s="58">
        <v>48</v>
      </c>
      <c r="AT388" s="58" t="str">
        <f t="shared" si="40"/>
        <v>我们分头行动！</v>
      </c>
      <c r="AU388" s="58" t="s">
        <v>1598</v>
      </c>
    </row>
    <row r="389" spans="1:47" s="58" customFormat="1" ht="14">
      <c r="A389" s="58">
        <v>210009</v>
      </c>
      <c r="C389" s="58">
        <v>1</v>
      </c>
      <c r="D389" s="58" t="str">
        <f t="shared" si="38"/>
        <v>项楚1关-TID_DialogueConf_210001_name_234552473703_CN_Main</v>
      </c>
      <c r="E389" s="58" t="s">
        <v>412</v>
      </c>
      <c r="F389" s="20" t="str">
        <f>VLOOKUP(G389,'#TID_base_up'!B:C,2,0)</f>
        <v>项毅</v>
      </c>
      <c r="G389" s="58" t="s">
        <v>1572</v>
      </c>
      <c r="H389" s="58" t="s">
        <v>132</v>
      </c>
      <c r="I389" s="58" t="s">
        <v>1573</v>
      </c>
      <c r="J389" s="58" t="s">
        <v>1599</v>
      </c>
      <c r="K389" s="84" t="str">
        <f t="shared" si="39"/>
        <v>全军听令！攻下最近的大营，振我军威！</v>
      </c>
      <c r="T389" s="58">
        <v>1</v>
      </c>
      <c r="U389" s="58">
        <v>2</v>
      </c>
      <c r="V389" s="58">
        <v>0</v>
      </c>
      <c r="X389" s="58">
        <v>201</v>
      </c>
      <c r="Y389" s="58" t="b">
        <v>0</v>
      </c>
      <c r="Z389" s="58" t="s">
        <v>1600</v>
      </c>
      <c r="AA389" s="58" t="b">
        <v>0</v>
      </c>
      <c r="AD389" s="58">
        <v>4.6613340377807599</v>
      </c>
      <c r="AE389" s="58">
        <v>5.66</v>
      </c>
      <c r="AH389" s="58">
        <v>0.1</v>
      </c>
      <c r="AL389" s="103">
        <v>13</v>
      </c>
      <c r="AO389" s="58">
        <v>48</v>
      </c>
      <c r="AT389" s="58" t="str">
        <f t="shared" si="40"/>
        <v>全军听令！攻下最近的大营，振我军威！</v>
      </c>
      <c r="AU389" s="58" t="s">
        <v>1601</v>
      </c>
    </row>
    <row r="390" spans="1:47" s="58" customFormat="1" ht="14">
      <c r="A390" s="58">
        <v>210013</v>
      </c>
      <c r="C390" s="58">
        <v>1</v>
      </c>
      <c r="D390" s="58" t="str">
        <f t="shared" si="38"/>
        <v>项楚1关-TID_DialogueConf_210013_name_CN_Main</v>
      </c>
      <c r="E390" s="58" t="s">
        <v>412</v>
      </c>
      <c r="F390" s="20" t="str">
        <f>VLOOKUP(G390,'#TID_base_up'!B:C,2,0)</f>
        <v>义军</v>
      </c>
      <c r="G390" s="58" t="s">
        <v>1602</v>
      </c>
      <c r="H390" s="58" t="s">
        <v>132</v>
      </c>
      <c r="I390" s="58" t="s">
        <v>133</v>
      </c>
      <c r="J390" s="58" t="s">
        <v>1603</v>
      </c>
      <c r="K390" s="84" t="str">
        <f t="shared" si="39"/>
        <v>项楚！项楚来帮我们了！</v>
      </c>
      <c r="T390" s="58">
        <v>1</v>
      </c>
      <c r="U390" s="58">
        <v>2</v>
      </c>
      <c r="V390" s="58">
        <v>0</v>
      </c>
      <c r="X390" s="58">
        <v>201</v>
      </c>
      <c r="Y390" s="58" t="b">
        <v>0</v>
      </c>
      <c r="Z390" s="58" t="s">
        <v>1604</v>
      </c>
      <c r="AA390" s="58" t="b">
        <v>0</v>
      </c>
      <c r="AD390" s="58">
        <v>2.7520000934600799</v>
      </c>
      <c r="AE390" s="58">
        <v>3.75</v>
      </c>
      <c r="AH390" s="58">
        <v>0.1</v>
      </c>
      <c r="AL390" s="103">
        <v>13</v>
      </c>
      <c r="AO390" s="58">
        <v>29</v>
      </c>
      <c r="AT390" s="58" t="str">
        <f t="shared" si="40"/>
        <v>项楚！项楚来帮我们了！</v>
      </c>
      <c r="AU390" s="58" t="s">
        <v>1605</v>
      </c>
    </row>
    <row r="391" spans="1:47" s="58" customFormat="1" ht="14">
      <c r="A391" s="58">
        <v>210015</v>
      </c>
      <c r="C391" s="58">
        <v>1</v>
      </c>
      <c r="D391" s="58" t="str">
        <f t="shared" si="38"/>
        <v>项楚1关-TID_DialogueConf_210005_name_CN_Main</v>
      </c>
      <c r="E391" s="58" t="s">
        <v>412</v>
      </c>
      <c r="F391" s="20" t="str">
        <f>VLOOKUP(G391,'#TID_base_up'!B:C,2,0)</f>
        <v>项楚</v>
      </c>
      <c r="G391" s="58" t="s">
        <v>1585</v>
      </c>
      <c r="H391" s="58" t="s">
        <v>132</v>
      </c>
      <c r="I391" s="58" t="s">
        <v>1586</v>
      </c>
      <c r="J391" s="58" t="s">
        <v>1606</v>
      </c>
      <c r="K391" s="84" t="str">
        <f t="shared" si="39"/>
        <v>兄弟们！跟我一起来！</v>
      </c>
      <c r="T391" s="58">
        <v>1</v>
      </c>
      <c r="U391" s="58">
        <v>2</v>
      </c>
      <c r="V391" s="58">
        <v>0</v>
      </c>
      <c r="X391" s="58">
        <v>201</v>
      </c>
      <c r="Y391" s="58" t="b">
        <v>0</v>
      </c>
      <c r="Z391" s="58" t="s">
        <v>1607</v>
      </c>
      <c r="AA391" s="58" t="b">
        <v>0</v>
      </c>
      <c r="AD391" s="58">
        <v>3.34933304786682</v>
      </c>
      <c r="AE391" s="58">
        <v>4.3499999999999996</v>
      </c>
      <c r="AH391" s="58">
        <v>0.1</v>
      </c>
      <c r="AL391" s="103">
        <v>13</v>
      </c>
      <c r="AO391" s="58">
        <v>5</v>
      </c>
      <c r="AT391" s="58" t="str">
        <f t="shared" si="40"/>
        <v>兄弟们！跟我一起来！</v>
      </c>
      <c r="AU391" s="58" t="s">
        <v>1608</v>
      </c>
    </row>
    <row r="392" spans="1:47" s="58" customFormat="1" ht="14">
      <c r="A392" s="58">
        <v>210017</v>
      </c>
      <c r="C392" s="58">
        <v>1</v>
      </c>
      <c r="D392" s="58" t="str">
        <f t="shared" si="38"/>
        <v>项楚1关-TID_DialogueConf_210017_name_CN_Main</v>
      </c>
      <c r="E392" s="58" t="s">
        <v>412</v>
      </c>
      <c r="F392" s="20" t="str">
        <f>VLOOKUP(G392,'#TID_base_up'!B:C,2,0)</f>
        <v>敌军校尉</v>
      </c>
      <c r="G392" s="58" t="s">
        <v>1609</v>
      </c>
      <c r="H392" s="58" t="s">
        <v>132</v>
      </c>
      <c r="I392" s="58" t="s">
        <v>1581</v>
      </c>
      <c r="J392" s="58" t="s">
        <v>1610</v>
      </c>
      <c r="K392" s="84" t="str">
        <f t="shared" si="39"/>
        <v>报！城南大营已被攻占，形势危急！</v>
      </c>
      <c r="T392" s="58">
        <v>1</v>
      </c>
      <c r="U392" s="58">
        <v>2</v>
      </c>
      <c r="V392" s="58">
        <v>0</v>
      </c>
      <c r="X392" s="58">
        <v>201</v>
      </c>
      <c r="Y392" s="58" t="b">
        <v>0</v>
      </c>
      <c r="Z392" s="58" t="s">
        <v>1611</v>
      </c>
      <c r="AA392" s="58" t="b">
        <v>0</v>
      </c>
      <c r="AD392" s="58">
        <v>3.8506669998168901</v>
      </c>
      <c r="AE392" s="58">
        <v>4.29</v>
      </c>
      <c r="AH392" s="58">
        <v>0.1</v>
      </c>
      <c r="AL392" s="103">
        <v>13</v>
      </c>
      <c r="AO392" s="58">
        <v>26</v>
      </c>
      <c r="AP392" s="58">
        <v>1</v>
      </c>
      <c r="AT392" s="58" t="str">
        <f t="shared" si="40"/>
        <v>报！城南大营已被攻占，形势危急！</v>
      </c>
      <c r="AU392" s="58" t="s">
        <v>1612</v>
      </c>
    </row>
    <row r="393" spans="1:47" s="58" customFormat="1" ht="14">
      <c r="A393" s="58">
        <v>210017</v>
      </c>
      <c r="C393" s="58">
        <v>2</v>
      </c>
      <c r="D393" s="58" t="str">
        <f t="shared" si="38"/>
        <v>项楚1关-TID_DialogueConf_210017_name_20320866507_CN_Main</v>
      </c>
      <c r="E393" s="58" t="s">
        <v>412</v>
      </c>
      <c r="F393" s="20" t="str">
        <f>VLOOKUP(G393,'#TID_base_up'!B:C,2,0)</f>
        <v>敌军守将</v>
      </c>
      <c r="G393" s="58" t="s">
        <v>1613</v>
      </c>
      <c r="H393" s="58" t="s">
        <v>132</v>
      </c>
      <c r="I393" s="58" t="s">
        <v>1614</v>
      </c>
      <c r="J393" s="58" t="s">
        <v>1615</v>
      </c>
      <c r="K393" s="84" t="str">
        <f t="shared" si="39"/>
        <v>即刻调动大军！</v>
      </c>
      <c r="T393" s="58">
        <v>1</v>
      </c>
      <c r="U393" s="58">
        <v>2</v>
      </c>
      <c r="V393" s="58">
        <v>0</v>
      </c>
      <c r="X393" s="58">
        <v>201</v>
      </c>
      <c r="Y393" s="58" t="b">
        <v>0</v>
      </c>
      <c r="Z393" s="58" t="s">
        <v>1616</v>
      </c>
      <c r="AA393" s="58" t="b">
        <v>0</v>
      </c>
      <c r="AD393" s="58">
        <v>1.9839999675750699</v>
      </c>
      <c r="AE393" s="58">
        <v>2.98</v>
      </c>
      <c r="AH393" s="58">
        <v>0.1</v>
      </c>
      <c r="AL393" s="103">
        <v>13</v>
      </c>
      <c r="AO393" s="58">
        <v>33</v>
      </c>
      <c r="AP393" s="58">
        <v>1</v>
      </c>
      <c r="AT393" s="58" t="str">
        <f t="shared" si="40"/>
        <v>即刻调动大军！</v>
      </c>
      <c r="AU393" s="58" t="s">
        <v>1617</v>
      </c>
    </row>
    <row r="394" spans="1:47" s="60" customFormat="1" ht="28">
      <c r="A394" s="60">
        <v>210018</v>
      </c>
      <c r="C394" s="60">
        <v>1</v>
      </c>
      <c r="D394" s="60" t="str">
        <f t="shared" si="38"/>
        <v>项楚1关-TID_DialogueConf_210018_name_CN_Main</v>
      </c>
      <c r="E394" s="60" t="s">
        <v>412</v>
      </c>
      <c r="F394" s="20" t="str">
        <f>VLOOKUP(G394,'#TID_base_up'!B:C,2,0)</f>
        <v>义军首领</v>
      </c>
      <c r="G394" s="60" t="s">
        <v>1618</v>
      </c>
      <c r="H394" s="60" t="s">
        <v>132</v>
      </c>
      <c r="I394" s="60" t="s">
        <v>133</v>
      </c>
      <c r="J394" s="58" t="s">
        <v>1619</v>
      </c>
      <c r="K394" s="84" t="str">
        <f t="shared" si="39"/>
        <v>我们人数有限，若是能够将这牢内的友军救出，必然能够抵挡住他们的进攻！</v>
      </c>
      <c r="T394" s="60">
        <v>1</v>
      </c>
      <c r="U394" s="60">
        <v>2</v>
      </c>
      <c r="V394" s="60">
        <v>0</v>
      </c>
      <c r="X394" s="60">
        <v>201</v>
      </c>
      <c r="Y394" s="60" t="b">
        <v>0</v>
      </c>
      <c r="Z394" s="60" t="s">
        <v>1620</v>
      </c>
      <c r="AA394" s="60" t="b">
        <v>0</v>
      </c>
      <c r="AD394" s="60">
        <v>5.5279998779296902</v>
      </c>
      <c r="AE394" s="60">
        <v>6.53</v>
      </c>
      <c r="AH394" s="60">
        <v>0.1</v>
      </c>
      <c r="AL394" s="107">
        <v>13</v>
      </c>
      <c r="AO394" s="113"/>
      <c r="AT394" s="60" t="str">
        <f t="shared" si="40"/>
        <v>我们人数有限，若是能够将这牢内的友军救出，必然能够抵挡住他们的进攻！</v>
      </c>
      <c r="AU394" s="60" t="s">
        <v>1621</v>
      </c>
    </row>
    <row r="395" spans="1:47" s="58" customFormat="1" ht="14">
      <c r="A395" s="58">
        <v>210022</v>
      </c>
      <c r="C395" s="58">
        <v>1</v>
      </c>
      <c r="D395" s="58" t="str">
        <f t="shared" si="38"/>
        <v>项楚1关-TID_DialogueConf_210022_name_822873610193_CN_Main</v>
      </c>
      <c r="E395" s="58" t="s">
        <v>412</v>
      </c>
      <c r="F395" s="20" t="str">
        <f>VLOOKUP(G395,'#TID_base_up'!B:C,2,0)</f>
        <v>监狱看守</v>
      </c>
      <c r="G395" s="58" t="s">
        <v>1622</v>
      </c>
      <c r="H395" s="58" t="s">
        <v>132</v>
      </c>
      <c r="I395" s="58" t="s">
        <v>1581</v>
      </c>
      <c r="J395" s="58" t="s">
        <v>1623</v>
      </c>
      <c r="K395" s="84" t="str">
        <f t="shared" si="39"/>
        <v>擅闯监牢重地，活得不耐烦了！</v>
      </c>
      <c r="T395" s="58">
        <v>1</v>
      </c>
      <c r="U395" s="58">
        <v>2</v>
      </c>
      <c r="V395" s="58">
        <v>0</v>
      </c>
      <c r="X395" s="58">
        <v>201</v>
      </c>
      <c r="Y395" s="58" t="b">
        <v>0</v>
      </c>
      <c r="Z395" s="58" t="s">
        <v>1624</v>
      </c>
      <c r="AA395" s="58" t="b">
        <v>0</v>
      </c>
      <c r="AD395" s="58">
        <v>3.3268129825592001</v>
      </c>
      <c r="AE395" s="58">
        <v>3.33</v>
      </c>
      <c r="AH395" s="58">
        <v>0.1</v>
      </c>
      <c r="AL395" s="103">
        <v>13</v>
      </c>
      <c r="AO395" s="68">
        <v>39</v>
      </c>
      <c r="AP395" s="58">
        <v>1</v>
      </c>
      <c r="AT395" s="58" t="str">
        <f t="shared" si="40"/>
        <v>擅闯监牢重地，活得不耐烦了！</v>
      </c>
      <c r="AU395" s="58" t="s">
        <v>1625</v>
      </c>
    </row>
    <row r="396" spans="1:47" s="58" customFormat="1" ht="14">
      <c r="A396" s="58">
        <v>210022</v>
      </c>
      <c r="C396" s="58">
        <v>2</v>
      </c>
      <c r="D396" s="58" t="str">
        <f t="shared" si="38"/>
        <v>项楚1关-TID_DialogueConf_210013_name_CN_Main</v>
      </c>
      <c r="E396" s="58" t="s">
        <v>412</v>
      </c>
      <c r="F396" s="20" t="str">
        <f>VLOOKUP(G396,'#TID_base_up'!B:C,2,0)</f>
        <v>义军</v>
      </c>
      <c r="G396" s="58" t="s">
        <v>1602</v>
      </c>
      <c r="H396" s="58" t="s">
        <v>132</v>
      </c>
      <c r="I396" s="58" t="s">
        <v>133</v>
      </c>
      <c r="J396" s="58" t="s">
        <v>1626</v>
      </c>
      <c r="K396" s="84" t="str">
        <f t="shared" si="39"/>
        <v>废话少说，立刻释放牢内众人！</v>
      </c>
      <c r="T396" s="58">
        <v>1</v>
      </c>
      <c r="U396" s="58">
        <v>2</v>
      </c>
      <c r="V396" s="58">
        <v>0</v>
      </c>
      <c r="X396" s="58">
        <v>201</v>
      </c>
      <c r="Y396" s="58" t="b">
        <v>0</v>
      </c>
      <c r="Z396" s="58" t="s">
        <v>1627</v>
      </c>
      <c r="AA396" s="58" t="b">
        <v>0</v>
      </c>
      <c r="AD396" s="58">
        <v>3.2426669597625701</v>
      </c>
      <c r="AE396" s="58">
        <v>3.74</v>
      </c>
      <c r="AH396" s="58">
        <v>0.1</v>
      </c>
      <c r="AL396" s="103">
        <v>13</v>
      </c>
      <c r="AO396" s="68">
        <v>10057</v>
      </c>
      <c r="AT396" s="58" t="str">
        <f t="shared" si="40"/>
        <v>废话少说，立刻释放牢内众人！</v>
      </c>
      <c r="AU396" s="58" t="s">
        <v>1628</v>
      </c>
    </row>
    <row r="397" spans="1:47" s="58" customFormat="1" ht="14">
      <c r="A397" s="58">
        <v>210022</v>
      </c>
      <c r="C397" s="58">
        <v>3</v>
      </c>
      <c r="D397" s="58" t="str">
        <f t="shared" si="38"/>
        <v>项楚1关-TID_DialogueConf_210022_name_822873610193_CN_Main</v>
      </c>
      <c r="E397" s="58" t="s">
        <v>412</v>
      </c>
      <c r="F397" s="20" t="str">
        <f>VLOOKUP(G397,'#TID_base_up'!B:C,2,0)</f>
        <v>监狱看守</v>
      </c>
      <c r="G397" s="58" t="s">
        <v>1622</v>
      </c>
      <c r="H397" s="58" t="s">
        <v>132</v>
      </c>
      <c r="I397" s="58" t="s">
        <v>1581</v>
      </c>
      <c r="J397" s="58" t="s">
        <v>1629</v>
      </c>
      <c r="K397" s="84" t="str">
        <f t="shared" si="39"/>
        <v>做梦！</v>
      </c>
      <c r="T397" s="58">
        <v>1</v>
      </c>
      <c r="U397" s="58">
        <v>2</v>
      </c>
      <c r="V397" s="58">
        <v>0</v>
      </c>
      <c r="X397" s="58">
        <v>201</v>
      </c>
      <c r="Y397" s="58" t="b">
        <v>0</v>
      </c>
      <c r="Z397" s="58" t="s">
        <v>1630</v>
      </c>
      <c r="AA397" s="58" t="b">
        <v>0</v>
      </c>
      <c r="AD397" s="58">
        <v>0.75377100706100497</v>
      </c>
      <c r="AE397" s="58">
        <v>1.24</v>
      </c>
      <c r="AH397" s="58">
        <v>0.1</v>
      </c>
      <c r="AL397" s="103">
        <v>13</v>
      </c>
      <c r="AO397" s="68">
        <v>39</v>
      </c>
      <c r="AP397" s="58">
        <v>1</v>
      </c>
      <c r="AT397" s="58" t="str">
        <f t="shared" si="40"/>
        <v>做梦！</v>
      </c>
      <c r="AU397" s="58" t="s">
        <v>1631</v>
      </c>
    </row>
    <row r="398" spans="1:47" s="58" customFormat="1" ht="14">
      <c r="A398" s="58">
        <v>210022</v>
      </c>
      <c r="C398" s="58">
        <v>4</v>
      </c>
      <c r="D398" s="58" t="str">
        <f t="shared" si="38"/>
        <v>项楚1关-TID_DialogueConf_210013_name_CN_Main</v>
      </c>
      <c r="E398" s="58" t="s">
        <v>412</v>
      </c>
      <c r="F398" s="20" t="str">
        <f>VLOOKUP(G398,'#TID_base_up'!B:C,2,0)</f>
        <v>义军</v>
      </c>
      <c r="G398" s="58" t="s">
        <v>1602</v>
      </c>
      <c r="H398" s="58" t="s">
        <v>132</v>
      </c>
      <c r="I398" s="58" t="s">
        <v>133</v>
      </c>
      <c r="J398" s="58" t="s">
        <v>1632</v>
      </c>
      <c r="K398" s="84" t="str">
        <f t="shared" si="39"/>
        <v>那就对不住了！</v>
      </c>
      <c r="T398" s="58">
        <v>1</v>
      </c>
      <c r="U398" s="58">
        <v>2</v>
      </c>
      <c r="V398" s="58">
        <v>0</v>
      </c>
      <c r="X398" s="58">
        <v>201</v>
      </c>
      <c r="Y398" s="58" t="b">
        <v>0</v>
      </c>
      <c r="Z398" s="58" t="s">
        <v>1633</v>
      </c>
      <c r="AA398" s="58" t="b">
        <v>0</v>
      </c>
      <c r="AD398" s="58">
        <v>1.52266705036163</v>
      </c>
      <c r="AE398" s="58">
        <v>1.52</v>
      </c>
      <c r="AH398" s="58">
        <v>0.1</v>
      </c>
      <c r="AL398" s="103">
        <v>13</v>
      </c>
      <c r="AO398" s="68">
        <v>10057</v>
      </c>
      <c r="AT398" s="58" t="str">
        <f t="shared" si="40"/>
        <v>那就对不住了！</v>
      </c>
      <c r="AU398" s="58" t="s">
        <v>1634</v>
      </c>
    </row>
    <row r="399" spans="1:47" s="58" customFormat="1" ht="14">
      <c r="A399" s="58">
        <v>210024</v>
      </c>
      <c r="C399" s="58">
        <v>1</v>
      </c>
      <c r="D399" s="58" t="str">
        <f t="shared" si="38"/>
        <v>项楚1关-TID_DialogueConf_210024_name_CN_Main</v>
      </c>
      <c r="E399" s="58" t="s">
        <v>412</v>
      </c>
      <c r="F399" s="20" t="str">
        <f>VLOOKUP(G399,'#TID_base_up'!B:C,2,0)</f>
        <v>秦朗</v>
      </c>
      <c r="G399" s="58" t="s">
        <v>1635</v>
      </c>
      <c r="H399" s="58" t="s">
        <v>132</v>
      </c>
      <c r="I399" s="58" t="s">
        <v>1614</v>
      </c>
      <c r="J399" s="58" t="s">
        <v>1636</v>
      </c>
      <c r="K399" s="84" t="str">
        <f t="shared" si="39"/>
        <v>项楚！你一错再错，如今已罪不容诛！</v>
      </c>
      <c r="T399" s="58">
        <v>1</v>
      </c>
      <c r="U399" s="58">
        <v>2</v>
      </c>
      <c r="V399" s="58">
        <v>0</v>
      </c>
      <c r="X399" s="58">
        <v>201</v>
      </c>
      <c r="Y399" s="58" t="b">
        <v>0</v>
      </c>
      <c r="Z399" s="58" t="s">
        <v>1637</v>
      </c>
      <c r="AA399" s="58" t="b">
        <v>0</v>
      </c>
      <c r="AD399" s="58">
        <v>4.9200420379638699</v>
      </c>
      <c r="AE399" s="58">
        <v>5.92</v>
      </c>
      <c r="AH399" s="58">
        <v>0.1</v>
      </c>
      <c r="AL399" s="103">
        <v>13</v>
      </c>
      <c r="AO399" s="68">
        <v>34</v>
      </c>
      <c r="AP399" s="58">
        <v>1</v>
      </c>
      <c r="AT399" s="58" t="str">
        <f t="shared" si="40"/>
        <v>项楚！你一错再错，如今已罪不容诛！</v>
      </c>
      <c r="AU399" s="58" t="s">
        <v>1638</v>
      </c>
    </row>
    <row r="400" spans="1:47" s="58" customFormat="1" ht="14">
      <c r="A400" s="58">
        <v>210024</v>
      </c>
      <c r="C400" s="58">
        <v>2</v>
      </c>
      <c r="D400" s="58" t="str">
        <f t="shared" si="38"/>
        <v>项楚1关-TID_DialogueConf_210005_name_CN_Main</v>
      </c>
      <c r="E400" s="58" t="s">
        <v>412</v>
      </c>
      <c r="F400" s="20" t="str">
        <f>VLOOKUP(G400,'#TID_base_up'!B:C,2,0)</f>
        <v>项楚</v>
      </c>
      <c r="G400" s="58" t="s">
        <v>1585</v>
      </c>
      <c r="H400" s="58" t="s">
        <v>132</v>
      </c>
      <c r="I400" s="58" t="s">
        <v>1586</v>
      </c>
      <c r="J400" s="58" t="s">
        <v>1639</v>
      </c>
      <c r="K400" s="84" t="str">
        <f t="shared" si="39"/>
        <v>哼！那便如何？</v>
      </c>
      <c r="T400" s="58">
        <v>1</v>
      </c>
      <c r="U400" s="58">
        <v>2</v>
      </c>
      <c r="V400" s="58">
        <v>0</v>
      </c>
      <c r="X400" s="58">
        <v>201</v>
      </c>
      <c r="Y400" s="58" t="b">
        <v>0</v>
      </c>
      <c r="Z400" s="58" t="s">
        <v>1640</v>
      </c>
      <c r="AA400" s="58" t="b">
        <v>0</v>
      </c>
      <c r="AD400" s="58">
        <v>3.0826671123504599</v>
      </c>
      <c r="AE400" s="58">
        <v>4.08</v>
      </c>
      <c r="AH400" s="58">
        <v>0.1</v>
      </c>
      <c r="AL400" s="103">
        <v>13</v>
      </c>
      <c r="AO400" s="58">
        <v>48</v>
      </c>
      <c r="AT400" s="58" t="str">
        <f t="shared" si="40"/>
        <v>哼！那便如何？</v>
      </c>
      <c r="AU400" s="58" t="s">
        <v>1641</v>
      </c>
    </row>
    <row r="401" spans="1:47" s="58" customFormat="1" ht="14">
      <c r="A401" s="58">
        <v>210025</v>
      </c>
      <c r="C401" s="58">
        <v>1</v>
      </c>
      <c r="D401" s="58" t="str">
        <f t="shared" si="38"/>
        <v>项楚1关-TID_DialogueConf_210024_name_CN_Main</v>
      </c>
      <c r="E401" s="58" t="s">
        <v>412</v>
      </c>
      <c r="F401" s="20" t="str">
        <f>VLOOKUP(G401,'#TID_base_up'!B:C,2,0)</f>
        <v>秦朗</v>
      </c>
      <c r="G401" s="58" t="s">
        <v>1635</v>
      </c>
      <c r="H401" s="58" t="s">
        <v>132</v>
      </c>
      <c r="I401" s="58" t="s">
        <v>1614</v>
      </c>
      <c r="J401" s="58" t="s">
        <v>1642</v>
      </c>
      <c r="K401" s="84" t="str">
        <f t="shared" si="39"/>
        <v>你……你们……啊！</v>
      </c>
      <c r="T401" s="58">
        <v>1</v>
      </c>
      <c r="U401" s="58">
        <v>2</v>
      </c>
      <c r="V401" s="58">
        <v>0</v>
      </c>
      <c r="X401" s="58">
        <v>201</v>
      </c>
      <c r="Y401" s="58" t="b">
        <v>0</v>
      </c>
      <c r="Z401" s="58" t="s">
        <v>1643</v>
      </c>
      <c r="AA401" s="58" t="b">
        <v>0</v>
      </c>
      <c r="AD401" s="58">
        <v>4.1490831375122097</v>
      </c>
      <c r="AE401" s="58">
        <v>5.15</v>
      </c>
      <c r="AH401" s="58">
        <v>0.1</v>
      </c>
      <c r="AL401" s="103">
        <v>13</v>
      </c>
      <c r="AO401" s="68">
        <v>34</v>
      </c>
      <c r="AP401" s="58">
        <v>1</v>
      </c>
      <c r="AT401" s="58" t="str">
        <f t="shared" si="40"/>
        <v>你……你们……啊！</v>
      </c>
      <c r="AU401" s="58" t="s">
        <v>1644</v>
      </c>
    </row>
    <row r="402" spans="1:47" s="58" customFormat="1" ht="14">
      <c r="A402" s="58">
        <v>210025</v>
      </c>
      <c r="C402" s="58">
        <v>2</v>
      </c>
      <c r="D402" s="58" t="str">
        <f t="shared" si="38"/>
        <v>项楚1关-TID_DialogueConf_210005_name_CN_Main</v>
      </c>
      <c r="E402" s="58" t="s">
        <v>412</v>
      </c>
      <c r="F402" s="20" t="str">
        <f>VLOOKUP(G402,'#TID_base_up'!B:C,2,0)</f>
        <v>项楚</v>
      </c>
      <c r="G402" s="58" t="s">
        <v>1585</v>
      </c>
      <c r="H402" s="58" t="s">
        <v>132</v>
      </c>
      <c r="I402" s="58" t="s">
        <v>1586</v>
      </c>
      <c r="J402" s="58" t="s">
        <v>1645</v>
      </c>
      <c r="K402" s="84" t="str">
        <f t="shared" si="39"/>
        <v>把我们的旗帜插上城楼！</v>
      </c>
      <c r="T402" s="58">
        <v>1</v>
      </c>
      <c r="U402" s="58">
        <v>2</v>
      </c>
      <c r="V402" s="58">
        <v>0</v>
      </c>
      <c r="X402" s="58">
        <v>201</v>
      </c>
      <c r="Y402" s="58" t="b">
        <v>0</v>
      </c>
      <c r="Z402" s="58" t="s">
        <v>1646</v>
      </c>
      <c r="AA402" s="58" t="b">
        <v>0</v>
      </c>
      <c r="AD402" s="58">
        <v>2.6559998989105198</v>
      </c>
      <c r="AE402" s="58">
        <v>3.17</v>
      </c>
      <c r="AH402" s="58">
        <v>0.1</v>
      </c>
      <c r="AL402" s="103">
        <v>13</v>
      </c>
      <c r="AO402" s="58">
        <v>48</v>
      </c>
      <c r="AT402" s="58" t="str">
        <f t="shared" si="40"/>
        <v>把我们的旗帜插上城楼！</v>
      </c>
      <c r="AU402" s="58" t="s">
        <v>1647</v>
      </c>
    </row>
    <row r="403" spans="1:47" s="58" customFormat="1" ht="14">
      <c r="A403" s="58">
        <v>210025</v>
      </c>
      <c r="C403" s="58">
        <v>3</v>
      </c>
      <c r="D403" s="58" t="str">
        <f t="shared" si="38"/>
        <v>项楚1关-TID_DialogueConf_210013_name_CN_Main</v>
      </c>
      <c r="E403" s="58" t="s">
        <v>412</v>
      </c>
      <c r="F403" s="20" t="str">
        <f>VLOOKUP(G403,'#TID_base_up'!B:C,2,0)</f>
        <v>义军</v>
      </c>
      <c r="G403" s="58" t="s">
        <v>1602</v>
      </c>
      <c r="H403" s="58" t="s">
        <v>132</v>
      </c>
      <c r="I403" s="58" t="s">
        <v>133</v>
      </c>
      <c r="J403" s="58" t="s">
        <v>1648</v>
      </c>
      <c r="K403" s="84" t="str">
        <f t="shared" si="39"/>
        <v>我们胜利了！</v>
      </c>
      <c r="T403" s="58">
        <v>1</v>
      </c>
      <c r="U403" s="58">
        <v>2</v>
      </c>
      <c r="V403" s="58">
        <v>0</v>
      </c>
      <c r="X403" s="58">
        <v>201</v>
      </c>
      <c r="Y403" s="58" t="b">
        <v>0</v>
      </c>
      <c r="Z403" s="58" t="s">
        <v>1649</v>
      </c>
      <c r="AA403" s="58" t="b">
        <v>0</v>
      </c>
      <c r="AD403" s="58">
        <v>2.2826669216156001</v>
      </c>
      <c r="AE403" s="58">
        <v>3.28</v>
      </c>
      <c r="AH403" s="58">
        <v>0.1</v>
      </c>
      <c r="AL403" s="103">
        <v>13</v>
      </c>
      <c r="AO403" s="58">
        <v>29</v>
      </c>
      <c r="AT403" s="58" t="str">
        <f t="shared" si="40"/>
        <v>我们胜利了！</v>
      </c>
      <c r="AU403" s="58" t="s">
        <v>1650</v>
      </c>
    </row>
    <row r="404" spans="1:47" s="58" customFormat="1" ht="14">
      <c r="A404" s="58">
        <v>210026</v>
      </c>
      <c r="C404" s="58">
        <v>1</v>
      </c>
      <c r="D404" s="58" t="str">
        <f t="shared" si="38"/>
        <v>项楚1关-TID_DialogueConf_210017_name_CN_Main</v>
      </c>
      <c r="E404" s="58" t="s">
        <v>412</v>
      </c>
      <c r="F404" s="20" t="str">
        <f>VLOOKUP(G404,'#TID_base_up'!B:C,2,0)</f>
        <v>敌军校尉</v>
      </c>
      <c r="G404" s="58" t="s">
        <v>1609</v>
      </c>
      <c r="H404" s="58" t="s">
        <v>132</v>
      </c>
      <c r="I404" s="58" t="s">
        <v>1581</v>
      </c>
      <c r="J404" s="58" t="s">
        <v>1651</v>
      </c>
      <c r="K404" s="84" t="str">
        <f t="shared" si="39"/>
        <v>城西大牢被攻占！我们……我们根本挡不住哇！</v>
      </c>
      <c r="T404" s="58">
        <v>1</v>
      </c>
      <c r="U404" s="58">
        <v>2</v>
      </c>
      <c r="V404" s="58">
        <v>0</v>
      </c>
      <c r="X404" s="58">
        <v>201</v>
      </c>
      <c r="Y404" s="58" t="b">
        <v>0</v>
      </c>
      <c r="Z404" s="58" t="s">
        <v>1652</v>
      </c>
      <c r="AA404" s="58" t="b">
        <v>0</v>
      </c>
      <c r="AD404" s="58">
        <v>4.0960001945495597</v>
      </c>
      <c r="AE404" s="58">
        <v>5.0999999999999996</v>
      </c>
      <c r="AH404" s="58">
        <v>0.1</v>
      </c>
      <c r="AL404" s="103">
        <v>13</v>
      </c>
      <c r="AO404" s="68">
        <v>46</v>
      </c>
      <c r="AP404" s="58">
        <v>1</v>
      </c>
      <c r="AT404" s="58" t="str">
        <f t="shared" si="40"/>
        <v>城西大牢被攻占！我们……我们根本挡不住哇！</v>
      </c>
      <c r="AU404" s="58" t="s">
        <v>1653</v>
      </c>
    </row>
    <row r="405" spans="1:47" s="58" customFormat="1" ht="14">
      <c r="A405" s="58">
        <v>210026</v>
      </c>
      <c r="C405" s="58">
        <v>2</v>
      </c>
      <c r="D405" s="58" t="str">
        <f t="shared" si="38"/>
        <v>项楚1关-TID_DialogueConf_210005_name_CN_Main</v>
      </c>
      <c r="E405" s="58" t="s">
        <v>412</v>
      </c>
      <c r="F405" s="20" t="str">
        <f>VLOOKUP(G405,'#TID_base_up'!B:C,2,0)</f>
        <v>项楚</v>
      </c>
      <c r="G405" s="58" t="s">
        <v>1585</v>
      </c>
      <c r="H405" s="58" t="s">
        <v>132</v>
      </c>
      <c r="I405" s="58" t="s">
        <v>1586</v>
      </c>
      <c r="J405" s="58" t="s">
        <v>1654</v>
      </c>
      <c r="K405" s="84" t="str">
        <f t="shared" si="39"/>
        <v>拿下守将！这里就是我们的了！</v>
      </c>
      <c r="T405" s="58">
        <v>1</v>
      </c>
      <c r="U405" s="58">
        <v>2</v>
      </c>
      <c r="V405" s="58">
        <v>0</v>
      </c>
      <c r="X405" s="58">
        <v>201</v>
      </c>
      <c r="Y405" s="58" t="b">
        <v>0</v>
      </c>
      <c r="Z405" s="58" t="s">
        <v>1655</v>
      </c>
      <c r="AA405" s="58" t="b">
        <v>0</v>
      </c>
      <c r="AD405" s="58">
        <v>3.8826670646667498</v>
      </c>
      <c r="AE405" s="58">
        <v>4.88</v>
      </c>
      <c r="AH405" s="58">
        <v>0.1</v>
      </c>
      <c r="AL405" s="103">
        <v>13</v>
      </c>
      <c r="AO405" s="58">
        <v>48</v>
      </c>
      <c r="AT405" s="58" t="str">
        <f t="shared" si="40"/>
        <v>拿下守将！这里就是我们的了！</v>
      </c>
      <c r="AU405" s="58" t="s">
        <v>1656</v>
      </c>
    </row>
    <row r="406" spans="1:47" s="58" customFormat="1" ht="14">
      <c r="A406" s="58">
        <v>210027</v>
      </c>
      <c r="C406" s="58">
        <v>1</v>
      </c>
      <c r="D406" s="58" t="str">
        <f t="shared" si="38"/>
        <v>项楚1关-TID_DialogueConf_210001_name_499962613841_CN_Main</v>
      </c>
      <c r="E406" s="58" t="s">
        <v>412</v>
      </c>
      <c r="F406" s="20" t="str">
        <f>VLOOKUP(G406,'#TID_base_up'!B:C,2,0)</f>
        <v>殷童</v>
      </c>
      <c r="G406" s="58" t="s">
        <v>1566</v>
      </c>
      <c r="H406" s="58" t="s">
        <v>1567</v>
      </c>
      <c r="I406" s="58" t="s">
        <v>1568</v>
      </c>
      <c r="J406" s="58" t="s">
        <v>1657</v>
      </c>
      <c r="K406" s="84" t="str">
        <f t="shared" si="39"/>
        <v>（惨叫）啊！！！！</v>
      </c>
      <c r="T406" s="58">
        <v>1</v>
      </c>
      <c r="U406" s="58">
        <v>2</v>
      </c>
      <c r="V406" s="58">
        <v>0</v>
      </c>
      <c r="X406" s="58">
        <v>201</v>
      </c>
      <c r="Y406" s="58" t="b">
        <v>0</v>
      </c>
      <c r="Z406" s="58" t="s">
        <v>1658</v>
      </c>
      <c r="AA406" s="58" t="b">
        <v>0</v>
      </c>
      <c r="AD406" s="58">
        <v>1.6000000238418599</v>
      </c>
      <c r="AE406" s="58">
        <v>2.6</v>
      </c>
      <c r="AH406" s="58">
        <v>0.1</v>
      </c>
      <c r="AL406" s="103">
        <v>13</v>
      </c>
      <c r="AO406" s="58">
        <v>4</v>
      </c>
      <c r="AP406" s="58">
        <v>1</v>
      </c>
      <c r="AT406" s="58" t="str">
        <f t="shared" si="40"/>
        <v>（惨叫）啊！！！！</v>
      </c>
      <c r="AU406" s="58" t="s">
        <v>1659</v>
      </c>
    </row>
    <row r="407" spans="1:47" s="58" customFormat="1" ht="14">
      <c r="A407" s="58">
        <v>210028</v>
      </c>
      <c r="C407" s="58">
        <v>1</v>
      </c>
      <c r="D407" s="58" t="str">
        <f t="shared" si="38"/>
        <v>项楚1关-TID_DialogueConf_210005_name_CN_Main</v>
      </c>
      <c r="E407" s="58" t="s">
        <v>412</v>
      </c>
      <c r="F407" s="20" t="str">
        <f>VLOOKUP(G407,'#TID_base_up'!B:C,2,0)</f>
        <v>项楚</v>
      </c>
      <c r="G407" s="58" t="s">
        <v>1585</v>
      </c>
      <c r="H407" s="58" t="s">
        <v>132</v>
      </c>
      <c r="I407" s="58" t="s">
        <v>1586</v>
      </c>
      <c r="J407" s="58" t="s">
        <v>1660</v>
      </c>
      <c r="K407" s="84" t="str">
        <f t="shared" si="39"/>
        <v>城北军营是我们的了！</v>
      </c>
      <c r="T407" s="58">
        <v>1</v>
      </c>
      <c r="U407" s="58">
        <v>2</v>
      </c>
      <c r="V407" s="58">
        <v>0</v>
      </c>
      <c r="X407" s="58">
        <v>201</v>
      </c>
      <c r="Y407" s="58" t="b">
        <v>0</v>
      </c>
      <c r="Z407" s="58" t="s">
        <v>1661</v>
      </c>
      <c r="AA407" s="58" t="b">
        <v>0</v>
      </c>
      <c r="AD407" s="58">
        <v>2.1440000534057599</v>
      </c>
      <c r="AE407" s="58">
        <v>3.14</v>
      </c>
      <c r="AH407" s="58">
        <v>0.1</v>
      </c>
      <c r="AL407" s="103">
        <v>13</v>
      </c>
      <c r="AO407" s="58">
        <v>48</v>
      </c>
      <c r="AT407" s="58" t="str">
        <f t="shared" si="40"/>
        <v>城北军营是我们的了！</v>
      </c>
      <c r="AU407" s="58" t="s">
        <v>1662</v>
      </c>
    </row>
    <row r="408" spans="1:47" s="58" customFormat="1" ht="14">
      <c r="A408" s="58">
        <v>210028</v>
      </c>
      <c r="C408" s="58">
        <v>2</v>
      </c>
      <c r="D408" s="58" t="str">
        <f t="shared" si="38"/>
        <v>项楚1关-TID_DialogueConf_210005_name_CN_Main</v>
      </c>
      <c r="E408" s="58" t="s">
        <v>412</v>
      </c>
      <c r="F408" s="20" t="str">
        <f>VLOOKUP(G408,'#TID_base_up'!B:C,2,0)</f>
        <v>项楚</v>
      </c>
      <c r="G408" s="58" t="s">
        <v>1585</v>
      </c>
      <c r="H408" s="58" t="s">
        <v>132</v>
      </c>
      <c r="I408" s="58" t="s">
        <v>1586</v>
      </c>
      <c r="J408" s="58" t="s">
        <v>1663</v>
      </c>
      <c r="K408" s="84" t="str">
        <f t="shared" si="39"/>
        <v>继续前进！拿下城门！</v>
      </c>
      <c r="T408" s="58">
        <v>1</v>
      </c>
      <c r="U408" s="58">
        <v>2</v>
      </c>
      <c r="V408" s="58">
        <v>0</v>
      </c>
      <c r="X408" s="58">
        <v>201</v>
      </c>
      <c r="Y408" s="58" t="b">
        <v>0</v>
      </c>
      <c r="Z408" s="58" t="s">
        <v>1664</v>
      </c>
      <c r="AA408" s="58" t="b">
        <v>0</v>
      </c>
      <c r="AD408" s="58">
        <v>3.34933304786682</v>
      </c>
      <c r="AE408" s="58">
        <v>4.3499999999999996</v>
      </c>
      <c r="AH408" s="58">
        <v>0.1</v>
      </c>
      <c r="AL408" s="103">
        <v>13</v>
      </c>
      <c r="AO408" s="58">
        <v>48</v>
      </c>
      <c r="AT408" s="58" t="str">
        <f t="shared" si="40"/>
        <v>继续前进！拿下城门！</v>
      </c>
      <c r="AU408" s="58" t="s">
        <v>1665</v>
      </c>
    </row>
    <row r="409" spans="1:47" s="61" customFormat="1" ht="14">
      <c r="A409" s="61">
        <v>220001</v>
      </c>
      <c r="C409" s="61">
        <v>1</v>
      </c>
      <c r="D409" s="61" t="s">
        <v>1666</v>
      </c>
      <c r="E409" s="61" t="s">
        <v>412</v>
      </c>
      <c r="F409" s="20" t="str">
        <f>VLOOKUP(G409,'#TID_base_up'!B:C,2,0)</f>
        <v>刘沛</v>
      </c>
      <c r="G409" s="61" t="s">
        <v>1667</v>
      </c>
      <c r="H409" s="61" t="s">
        <v>1567</v>
      </c>
      <c r="I409" s="61" t="s">
        <v>1668</v>
      </c>
      <c r="J409" s="61" t="s">
        <v>1669</v>
      </c>
      <c r="K409" s="84" t="str">
        <f t="shared" si="39"/>
        <v>将军，这地方可是块硬骨头，只怕不好啃啊。</v>
      </c>
      <c r="T409" s="61">
        <v>1</v>
      </c>
      <c r="U409" s="61">
        <v>2</v>
      </c>
      <c r="V409" s="61">
        <v>0</v>
      </c>
      <c r="X409" s="61">
        <v>202</v>
      </c>
      <c r="Y409" s="61" t="b">
        <v>0</v>
      </c>
      <c r="Z409" s="61" t="s">
        <v>1670</v>
      </c>
      <c r="AA409" s="61" t="b">
        <v>0</v>
      </c>
      <c r="AD409" s="61">
        <v>4.8934998512268102</v>
      </c>
      <c r="AE409" s="61">
        <v>5.45</v>
      </c>
      <c r="AH409" s="61">
        <v>0.1</v>
      </c>
      <c r="AL409" s="108">
        <v>13</v>
      </c>
      <c r="AO409" s="61">
        <v>16</v>
      </c>
      <c r="AT409" s="61" t="str">
        <f t="shared" si="40"/>
        <v>将军，这地方可是块硬骨头，只怕不好啃啊。</v>
      </c>
      <c r="AU409" s="61" t="s">
        <v>1671</v>
      </c>
    </row>
    <row r="410" spans="1:47" s="61" customFormat="1" ht="14">
      <c r="A410" s="61">
        <v>220001</v>
      </c>
      <c r="C410" s="61">
        <v>2</v>
      </c>
      <c r="D410" s="61" t="s">
        <v>1672</v>
      </c>
      <c r="E410" s="61" t="s">
        <v>412</v>
      </c>
      <c r="F410" s="20" t="str">
        <f>VLOOKUP(G410,'#TID_base_up'!B:C,2,0)</f>
        <v>项楚</v>
      </c>
      <c r="G410" s="61" t="s">
        <v>1585</v>
      </c>
      <c r="H410" s="61" t="s">
        <v>132</v>
      </c>
      <c r="I410" s="61" t="s">
        <v>1586</v>
      </c>
      <c r="J410" s="61" t="s">
        <v>1673</v>
      </c>
      <c r="K410" s="84" t="str">
        <f t="shared" si="39"/>
        <v>哼，是不是硬骨头，打过才知道。准备攻营！</v>
      </c>
      <c r="T410" s="61">
        <v>1</v>
      </c>
      <c r="U410" s="61">
        <v>2</v>
      </c>
      <c r="V410" s="61">
        <v>0</v>
      </c>
      <c r="X410" s="61">
        <v>202</v>
      </c>
      <c r="Y410" s="61" t="b">
        <v>0</v>
      </c>
      <c r="Z410" s="61" t="s">
        <v>1674</v>
      </c>
      <c r="AA410" s="61" t="b">
        <v>0</v>
      </c>
      <c r="AD410" s="61">
        <v>6.1440000534057599</v>
      </c>
      <c r="AE410" s="61">
        <v>6.42</v>
      </c>
      <c r="AH410" s="61">
        <v>0.1</v>
      </c>
      <c r="AL410" s="108">
        <v>13</v>
      </c>
      <c r="AO410" s="61">
        <v>3</v>
      </c>
      <c r="AT410" s="61" t="str">
        <f t="shared" si="40"/>
        <v>哼，是不是硬骨头，打过才知道。准备攻营！</v>
      </c>
      <c r="AU410" s="61" t="s">
        <v>1675</v>
      </c>
    </row>
    <row r="411" spans="1:47" s="62" customFormat="1" ht="14">
      <c r="A411" s="62">
        <v>220002</v>
      </c>
      <c r="C411" s="62">
        <v>1</v>
      </c>
      <c r="D411" s="62" t="s">
        <v>1676</v>
      </c>
      <c r="E411" s="62" t="s">
        <v>412</v>
      </c>
      <c r="F411" s="20" t="str">
        <f>VLOOKUP(G411,'#TID_base_up'!B:C,2,0)</f>
        <v>敌军</v>
      </c>
      <c r="G411" s="62" t="s">
        <v>1677</v>
      </c>
      <c r="H411" s="62" t="s">
        <v>132</v>
      </c>
      <c r="I411" s="62" t="s">
        <v>1581</v>
      </c>
      <c r="J411" s="62" t="s">
        <v>1678</v>
      </c>
      <c r="K411" s="84" t="str">
        <f t="shared" si="39"/>
        <v>拦住他们，别让他们靠近！</v>
      </c>
      <c r="T411" s="62">
        <v>1</v>
      </c>
      <c r="U411" s="62">
        <v>4</v>
      </c>
      <c r="V411" s="62">
        <v>0</v>
      </c>
      <c r="X411" s="62">
        <v>202</v>
      </c>
      <c r="Y411" s="62" t="b">
        <v>1</v>
      </c>
      <c r="Z411" s="62" t="s">
        <v>1679</v>
      </c>
      <c r="AA411" s="62" t="b">
        <v>0</v>
      </c>
      <c r="AD411" s="62">
        <v>2.2092919349670401</v>
      </c>
      <c r="AE411" s="62">
        <v>3.21</v>
      </c>
      <c r="AH411" s="62">
        <v>0.1</v>
      </c>
      <c r="AL411" s="109">
        <v>13</v>
      </c>
      <c r="AT411" s="62" t="str">
        <f t="shared" si="40"/>
        <v>拦住他们，别让他们靠近！</v>
      </c>
      <c r="AU411" s="62" t="s">
        <v>1680</v>
      </c>
    </row>
    <row r="412" spans="1:47" s="63" customFormat="1" ht="14">
      <c r="A412" s="63">
        <v>220003</v>
      </c>
      <c r="C412" s="63">
        <v>1</v>
      </c>
      <c r="D412" s="63" t="s">
        <v>1672</v>
      </c>
      <c r="E412" s="63" t="s">
        <v>412</v>
      </c>
      <c r="F412" s="20" t="str">
        <f>VLOOKUP(G412,'#TID_base_up'!B:C,2,0)</f>
        <v>项楚</v>
      </c>
      <c r="G412" s="63" t="s">
        <v>1585</v>
      </c>
      <c r="H412" s="63" t="s">
        <v>132</v>
      </c>
      <c r="I412" s="63" t="s">
        <v>1586</v>
      </c>
      <c r="J412" s="63" t="s">
        <v>1681</v>
      </c>
      <c r="K412" s="84" t="str">
        <f t="shared" si="39"/>
        <v>就这几个人还想拦住我们？</v>
      </c>
      <c r="T412" s="63">
        <v>1</v>
      </c>
      <c r="U412" s="63">
        <v>4</v>
      </c>
      <c r="V412" s="63">
        <v>0</v>
      </c>
      <c r="X412" s="63">
        <v>202</v>
      </c>
      <c r="Y412" s="63" t="b">
        <v>1</v>
      </c>
      <c r="Z412" s="63" t="s">
        <v>1682</v>
      </c>
      <c r="AA412" s="63" t="b">
        <v>0</v>
      </c>
      <c r="AD412" s="63">
        <v>2.84800004959106</v>
      </c>
      <c r="AE412" s="63">
        <v>3.85</v>
      </c>
      <c r="AH412" s="63">
        <v>0.1</v>
      </c>
      <c r="AL412" s="110">
        <v>13</v>
      </c>
      <c r="AT412" s="63" t="str">
        <f t="shared" si="40"/>
        <v>就这几个人还想拦住我们？</v>
      </c>
      <c r="AU412" s="63" t="s">
        <v>1683</v>
      </c>
    </row>
    <row r="413" spans="1:47" s="63" customFormat="1" ht="14">
      <c r="A413" s="63">
        <v>220003</v>
      </c>
      <c r="C413" s="63">
        <v>2</v>
      </c>
      <c r="D413" s="63" t="s">
        <v>1672</v>
      </c>
      <c r="E413" s="63" t="s">
        <v>412</v>
      </c>
      <c r="F413" s="20" t="str">
        <f>VLOOKUP(G413,'#TID_base_up'!B:C,2,0)</f>
        <v>项楚</v>
      </c>
      <c r="G413" s="63" t="s">
        <v>1585</v>
      </c>
      <c r="H413" s="63" t="s">
        <v>132</v>
      </c>
      <c r="I413" s="63" t="s">
        <v>1586</v>
      </c>
      <c r="J413" s="63" t="s">
        <v>1684</v>
      </c>
      <c r="K413" s="84" t="str">
        <f t="shared" ref="K413:K441" si="41">AT413</f>
        <v>进攻！击垮他们！</v>
      </c>
      <c r="T413" s="63">
        <v>1</v>
      </c>
      <c r="U413" s="63">
        <v>4</v>
      </c>
      <c r="V413" s="63">
        <v>0</v>
      </c>
      <c r="X413" s="63">
        <v>202</v>
      </c>
      <c r="Y413" s="63" t="b">
        <v>1</v>
      </c>
      <c r="Z413" s="63" t="s">
        <v>1685</v>
      </c>
      <c r="AA413" s="63" t="b">
        <v>0</v>
      </c>
      <c r="AD413" s="63">
        <v>2.27733302116394</v>
      </c>
      <c r="AE413" s="63">
        <v>3.28</v>
      </c>
      <c r="AH413" s="63">
        <v>0.1</v>
      </c>
      <c r="AL413" s="110">
        <v>13</v>
      </c>
      <c r="AT413" s="63" t="str">
        <f t="shared" ref="AT413:AT444" si="42">IF($AU413="","",SUBSTITUTE(SUBSTITUTE(SUBSTITUTE(SUBSTITUTE($AU413,IF($AW413="","",$AW413),IF($AW413="","",CONCATENATE("&lt;color=#FFCC71&gt;",$AW413,"&lt;/color&gt;"))),IF($AX413="","",$AX413),IF($AX413="","",CONCATENATE("&lt;color=#FFCC71&gt;",$AX413,"&lt;/color&gt;"))),IF($AY413="","",$AY413),IF($AY413="","",CONCATENATE("&lt;color=#FFCC71&gt;",$AY413,"&lt;/color&gt;"))),IF($AZ413="","",$AZ413),IF($AZ413="","",CONCATENATE("&lt;color=#FFCC71&gt;",$AZ413,"&lt;/color&gt;"))))</f>
        <v>进攻！击垮他们！</v>
      </c>
      <c r="AU413" s="63" t="s">
        <v>1686</v>
      </c>
    </row>
    <row r="414" spans="1:47" s="63" customFormat="1" ht="14">
      <c r="A414" s="63">
        <v>220004</v>
      </c>
      <c r="C414" s="63">
        <v>1</v>
      </c>
      <c r="D414" s="63" t="s">
        <v>1672</v>
      </c>
      <c r="E414" s="63" t="s">
        <v>412</v>
      </c>
      <c r="F414" s="20" t="str">
        <f>VLOOKUP(G414,'#TID_base_up'!B:C,2,0)</f>
        <v>项楚</v>
      </c>
      <c r="G414" s="63" t="s">
        <v>1585</v>
      </c>
      <c r="H414" s="63" t="s">
        <v>132</v>
      </c>
      <c r="I414" s="63" t="s">
        <v>1586</v>
      </c>
      <c r="J414" s="63" t="s">
        <v>1687</v>
      </c>
      <c r="K414" s="84" t="str">
        <f t="shared" si="41"/>
        <v>地方不错，我要了！</v>
      </c>
      <c r="T414" s="63">
        <v>1</v>
      </c>
      <c r="U414" s="63">
        <v>4</v>
      </c>
      <c r="V414" s="63">
        <v>0</v>
      </c>
      <c r="X414" s="63">
        <v>202</v>
      </c>
      <c r="Y414" s="63" t="b">
        <v>1</v>
      </c>
      <c r="Z414" s="63" t="s">
        <v>1688</v>
      </c>
      <c r="AA414" s="63" t="b">
        <v>0</v>
      </c>
      <c r="AD414" s="63">
        <v>2.65066695213318</v>
      </c>
      <c r="AE414" s="63">
        <v>3.65</v>
      </c>
      <c r="AH414" s="63">
        <v>0.1</v>
      </c>
      <c r="AL414" s="110">
        <v>13</v>
      </c>
      <c r="AT414" s="63" t="str">
        <f t="shared" si="42"/>
        <v>地方不错，我要了！</v>
      </c>
      <c r="AU414" s="63" t="s">
        <v>1689</v>
      </c>
    </row>
    <row r="415" spans="1:47" s="63" customFormat="1" ht="14">
      <c r="A415" s="63">
        <v>220004</v>
      </c>
      <c r="C415" s="63">
        <v>2</v>
      </c>
      <c r="D415" s="63" t="s">
        <v>1672</v>
      </c>
      <c r="E415" s="63" t="s">
        <v>412</v>
      </c>
      <c r="F415" s="20" t="str">
        <f>VLOOKUP(G415,'#TID_base_up'!B:C,2,0)</f>
        <v>项楚</v>
      </c>
      <c r="G415" s="63" t="s">
        <v>1585</v>
      </c>
      <c r="H415" s="63" t="s">
        <v>132</v>
      </c>
      <c r="I415" s="63" t="s">
        <v>1586</v>
      </c>
      <c r="J415" s="63" t="s">
        <v>1690</v>
      </c>
      <c r="K415" s="84" t="str">
        <f t="shared" si="41"/>
        <v>先烧兵营，再占大营！此战必胜！</v>
      </c>
      <c r="T415" s="63">
        <v>1</v>
      </c>
      <c r="U415" s="63">
        <v>4</v>
      </c>
      <c r="V415" s="63">
        <v>0</v>
      </c>
      <c r="X415" s="63">
        <v>202</v>
      </c>
      <c r="Y415" s="63" t="b">
        <v>1</v>
      </c>
      <c r="Z415" s="63" t="s">
        <v>1691</v>
      </c>
      <c r="AA415" s="63" t="b">
        <v>0</v>
      </c>
      <c r="AD415" s="63">
        <v>4.1919999122619602</v>
      </c>
      <c r="AE415" s="63">
        <v>5.19</v>
      </c>
      <c r="AH415" s="63">
        <v>0.1</v>
      </c>
      <c r="AL415" s="110">
        <v>13</v>
      </c>
      <c r="AT415" s="63" t="str">
        <f t="shared" si="42"/>
        <v>先烧兵营，再占大营！此战必胜！</v>
      </c>
      <c r="AU415" s="63" t="s">
        <v>1692</v>
      </c>
    </row>
    <row r="416" spans="1:47" s="61" customFormat="1" ht="14">
      <c r="A416" s="61">
        <v>220005</v>
      </c>
      <c r="C416" s="61">
        <v>1</v>
      </c>
      <c r="D416" s="61" t="s">
        <v>1666</v>
      </c>
      <c r="E416" s="61" t="s">
        <v>412</v>
      </c>
      <c r="F416" s="20" t="str">
        <f>VLOOKUP(G416,'#TID_base_up'!B:C,2,0)</f>
        <v>刘沛</v>
      </c>
      <c r="G416" s="61" t="s">
        <v>1667</v>
      </c>
      <c r="H416" s="61" t="s">
        <v>1567</v>
      </c>
      <c r="I416" s="61" t="s">
        <v>1668</v>
      </c>
      <c r="J416" s="61" t="s">
        <v>1693</v>
      </c>
      <c r="K416" s="84" t="str">
        <f t="shared" si="41"/>
        <v>将军，敌人在营地外筑起了箭塔准备死守，这可不太妙。</v>
      </c>
      <c r="T416" s="61">
        <v>1</v>
      </c>
      <c r="U416" s="61">
        <v>2</v>
      </c>
      <c r="V416" s="61">
        <v>0</v>
      </c>
      <c r="X416" s="61">
        <v>202</v>
      </c>
      <c r="Y416" s="61" t="b">
        <v>0</v>
      </c>
      <c r="Z416" s="61" t="s">
        <v>1694</v>
      </c>
      <c r="AA416" s="61" t="b">
        <v>0</v>
      </c>
      <c r="AD416" s="61">
        <v>5.71350002288818</v>
      </c>
      <c r="AE416" s="61">
        <v>6.71</v>
      </c>
      <c r="AH416" s="61">
        <v>0.1</v>
      </c>
      <c r="AL416" s="108">
        <v>13</v>
      </c>
      <c r="AO416" s="61">
        <v>16</v>
      </c>
      <c r="AT416" s="61" t="str">
        <f t="shared" si="42"/>
        <v>将军，敌人在营地外筑起了箭塔准备死守，这可不太妙。</v>
      </c>
      <c r="AU416" s="61" t="s">
        <v>1695</v>
      </c>
    </row>
    <row r="417" spans="1:47" s="61" customFormat="1" ht="14">
      <c r="A417" s="61">
        <v>220005</v>
      </c>
      <c r="C417" s="61">
        <v>2</v>
      </c>
      <c r="D417" s="61" t="s">
        <v>1672</v>
      </c>
      <c r="E417" s="61" t="s">
        <v>412</v>
      </c>
      <c r="F417" s="20" t="str">
        <f>VLOOKUP(G417,'#TID_base_up'!B:C,2,0)</f>
        <v>项楚</v>
      </c>
      <c r="G417" s="61" t="s">
        <v>1585</v>
      </c>
      <c r="H417" s="61" t="s">
        <v>132</v>
      </c>
      <c r="I417" s="61" t="s">
        <v>1586</v>
      </c>
      <c r="J417" s="61" t="s">
        <v>1696</v>
      </c>
      <c r="K417" s="84" t="str">
        <f t="shared" si="41"/>
        <v>死守？愚不可及！重整部队！继续前进！</v>
      </c>
      <c r="T417" s="61">
        <v>1</v>
      </c>
      <c r="U417" s="61">
        <v>2</v>
      </c>
      <c r="V417" s="61">
        <v>0</v>
      </c>
      <c r="X417" s="61">
        <v>202</v>
      </c>
      <c r="Y417" s="61" t="b">
        <v>0</v>
      </c>
      <c r="Z417" s="61" t="s">
        <v>1697</v>
      </c>
      <c r="AA417" s="61" t="b">
        <v>0</v>
      </c>
      <c r="AD417" s="61">
        <v>6.6560001373290998</v>
      </c>
      <c r="AE417" s="61">
        <v>7.66</v>
      </c>
      <c r="AH417" s="61">
        <v>0.1</v>
      </c>
      <c r="AL417" s="108">
        <v>13</v>
      </c>
      <c r="AO417" s="61">
        <v>3</v>
      </c>
      <c r="AT417" s="61" t="str">
        <f t="shared" si="42"/>
        <v>死守？愚不可及！重整部队！继续前进！</v>
      </c>
      <c r="AU417" s="61" t="s">
        <v>1698</v>
      </c>
    </row>
    <row r="418" spans="1:47" s="61" customFormat="1" ht="14">
      <c r="A418" s="61">
        <v>220006</v>
      </c>
      <c r="C418" s="61">
        <v>1</v>
      </c>
      <c r="D418" s="61" t="s">
        <v>1666</v>
      </c>
      <c r="E418" s="61" t="s">
        <v>412</v>
      </c>
      <c r="F418" s="20" t="str">
        <f>VLOOKUP(G418,'#TID_base_up'!B:C,2,0)</f>
        <v>刘沛</v>
      </c>
      <c r="G418" s="61" t="s">
        <v>1667</v>
      </c>
      <c r="H418" s="61" t="s">
        <v>1567</v>
      </c>
      <c r="I418" s="61" t="s">
        <v>1668</v>
      </c>
      <c r="J418" s="61" t="s">
        <v>1699</v>
      </c>
      <c r="K418" s="84" t="str">
        <f t="shared" si="41"/>
        <v>一个小小的补给站竟然有投石车？那可是攻城利器啊。</v>
      </c>
      <c r="T418" s="61">
        <v>1</v>
      </c>
      <c r="U418" s="61">
        <v>2</v>
      </c>
      <c r="V418" s="61">
        <v>0</v>
      </c>
      <c r="X418" s="61">
        <v>202</v>
      </c>
      <c r="Y418" s="61" t="b">
        <v>0</v>
      </c>
      <c r="Z418" s="61" t="s">
        <v>1700</v>
      </c>
      <c r="AA418" s="61" t="b">
        <v>0</v>
      </c>
      <c r="AD418" s="61">
        <v>6.22910404205322</v>
      </c>
      <c r="AE418" s="61">
        <v>7.23</v>
      </c>
      <c r="AH418" s="61">
        <v>0.1</v>
      </c>
      <c r="AL418" s="108">
        <v>13</v>
      </c>
      <c r="AO418" s="61">
        <v>16</v>
      </c>
      <c r="AT418" s="61" t="str">
        <f t="shared" si="42"/>
        <v>一个小小的补给站竟然有投石车？那可是攻城利器啊。</v>
      </c>
      <c r="AU418" s="61" t="s">
        <v>1701</v>
      </c>
    </row>
    <row r="419" spans="1:47" s="61" customFormat="1" ht="14">
      <c r="A419" s="61">
        <v>220007</v>
      </c>
      <c r="C419" s="61">
        <v>1</v>
      </c>
      <c r="D419" s="61" t="s">
        <v>1672</v>
      </c>
      <c r="E419" s="61" t="s">
        <v>412</v>
      </c>
      <c r="F419" s="20" t="str">
        <f>VLOOKUP(G419,'#TID_base_up'!B:C,2,0)</f>
        <v>项楚</v>
      </c>
      <c r="G419" s="61" t="s">
        <v>1585</v>
      </c>
      <c r="H419" s="61" t="s">
        <v>132</v>
      </c>
      <c r="I419" s="61" t="s">
        <v>1586</v>
      </c>
      <c r="J419" s="61" t="s">
        <v>1702</v>
      </c>
      <c r="K419" s="84" t="str">
        <f t="shared" si="41"/>
        <v>有了这些投石车，别说箭塔，什么塔都没用！</v>
      </c>
      <c r="T419" s="61">
        <v>1</v>
      </c>
      <c r="U419" s="61">
        <v>2</v>
      </c>
      <c r="V419" s="61">
        <v>0</v>
      </c>
      <c r="X419" s="61">
        <v>202</v>
      </c>
      <c r="Y419" s="61" t="b">
        <v>0</v>
      </c>
      <c r="Z419" s="61" t="s">
        <v>1703</v>
      </c>
      <c r="AA419" s="61" t="b">
        <v>0</v>
      </c>
      <c r="AD419" s="61">
        <v>5.4559998512268102</v>
      </c>
      <c r="AE419" s="61">
        <v>6.46</v>
      </c>
      <c r="AH419" s="61">
        <v>0.1</v>
      </c>
      <c r="AL419" s="108">
        <v>13</v>
      </c>
      <c r="AO419" s="61">
        <v>3</v>
      </c>
      <c r="AT419" s="61" t="str">
        <f t="shared" si="42"/>
        <v>有了这些投石车，别说箭塔，什么塔都没用！</v>
      </c>
      <c r="AU419" s="61" t="s">
        <v>1704</v>
      </c>
    </row>
    <row r="420" spans="1:47" s="63" customFormat="1" ht="14">
      <c r="A420" s="63">
        <v>220008</v>
      </c>
      <c r="C420" s="63">
        <v>1</v>
      </c>
      <c r="D420" s="63" t="s">
        <v>1672</v>
      </c>
      <c r="E420" s="63" t="s">
        <v>412</v>
      </c>
      <c r="F420" s="20" t="str">
        <f>VLOOKUP(G420,'#TID_base_up'!B:C,2,0)</f>
        <v>项楚</v>
      </c>
      <c r="G420" s="63" t="s">
        <v>1585</v>
      </c>
      <c r="H420" s="63" t="s">
        <v>132</v>
      </c>
      <c r="I420" s="63" t="s">
        <v>1586</v>
      </c>
      <c r="J420" s="63" t="s">
        <v>1705</v>
      </c>
      <c r="K420" s="84" t="str">
        <f t="shared" si="41"/>
        <v>砸！给我狠狠的砸！</v>
      </c>
      <c r="T420" s="63">
        <v>1</v>
      </c>
      <c r="U420" s="63">
        <v>4</v>
      </c>
      <c r="V420" s="63">
        <v>0</v>
      </c>
      <c r="X420" s="63">
        <v>202</v>
      </c>
      <c r="Y420" s="63" t="b">
        <v>1</v>
      </c>
      <c r="Z420" s="63" t="s">
        <v>1706</v>
      </c>
      <c r="AA420" s="63" t="b">
        <v>0</v>
      </c>
      <c r="AD420" s="63">
        <v>3.5093328952789302</v>
      </c>
      <c r="AE420" s="63">
        <v>4.51</v>
      </c>
      <c r="AH420" s="63">
        <v>0.1</v>
      </c>
      <c r="AL420" s="110">
        <v>13</v>
      </c>
      <c r="AT420" s="63" t="str">
        <f t="shared" si="42"/>
        <v>砸！给我狠狠的砸！</v>
      </c>
      <c r="AU420" s="63" t="s">
        <v>1707</v>
      </c>
    </row>
    <row r="421" spans="1:47" s="63" customFormat="1" ht="14">
      <c r="A421" s="63">
        <v>220009</v>
      </c>
      <c r="C421" s="63">
        <v>1</v>
      </c>
      <c r="D421" s="63" t="s">
        <v>1672</v>
      </c>
      <c r="E421" s="63" t="s">
        <v>412</v>
      </c>
      <c r="F421" s="20" t="str">
        <f>VLOOKUP(G421,'#TID_base_up'!B:C,2,0)</f>
        <v>项楚</v>
      </c>
      <c r="G421" s="63" t="s">
        <v>1585</v>
      </c>
      <c r="H421" s="63" t="s">
        <v>132</v>
      </c>
      <c r="I421" s="63" t="s">
        <v>1586</v>
      </c>
      <c r="J421" s="63" t="s">
        <v>1708</v>
      </c>
      <c r="K421" s="84" t="str">
        <f t="shared" si="41"/>
        <v>老规矩！先烧兵营，再占大营！</v>
      </c>
      <c r="T421" s="63">
        <v>1</v>
      </c>
      <c r="U421" s="63">
        <v>4</v>
      </c>
      <c r="V421" s="63">
        <v>0</v>
      </c>
      <c r="X421" s="63">
        <v>202</v>
      </c>
      <c r="Y421" s="63" t="b">
        <v>1</v>
      </c>
      <c r="Z421" s="63" t="s">
        <v>1709</v>
      </c>
      <c r="AA421" s="63" t="b">
        <v>0</v>
      </c>
      <c r="AD421" s="63">
        <v>3.9893329143524201</v>
      </c>
      <c r="AE421" s="63">
        <v>4.99</v>
      </c>
      <c r="AH421" s="63">
        <v>0.1</v>
      </c>
      <c r="AL421" s="110">
        <v>13</v>
      </c>
      <c r="AT421" s="63" t="str">
        <f t="shared" si="42"/>
        <v>老规矩！先烧兵营，再占大营！</v>
      </c>
      <c r="AU421" s="63" t="s">
        <v>1710</v>
      </c>
    </row>
    <row r="422" spans="1:47" s="63" customFormat="1" ht="14">
      <c r="A422" s="63">
        <v>220010</v>
      </c>
      <c r="C422" s="63">
        <v>1</v>
      </c>
      <c r="D422" s="63" t="s">
        <v>1711</v>
      </c>
      <c r="E422" s="63" t="s">
        <v>412</v>
      </c>
      <c r="F422" s="20" t="str">
        <f>VLOOKUP(G422,'#TID_base_up'!B:C,2,0)</f>
        <v>项楚</v>
      </c>
      <c r="G422" s="63" t="s">
        <v>1585</v>
      </c>
      <c r="H422" s="63" t="s">
        <v>132</v>
      </c>
      <c r="I422" s="63" t="s">
        <v>1586</v>
      </c>
      <c r="J422" s="63" t="s">
        <v>1712</v>
      </c>
      <c r="K422" s="84" t="str">
        <f t="shared" si="41"/>
        <v>哈，人还真不少！老实点把东西交出来吧！</v>
      </c>
      <c r="T422" s="63">
        <v>1</v>
      </c>
      <c r="U422" s="63">
        <v>4</v>
      </c>
      <c r="V422" s="63">
        <v>0</v>
      </c>
      <c r="X422" s="63">
        <v>202</v>
      </c>
      <c r="Y422" s="63" t="b">
        <v>1</v>
      </c>
      <c r="Z422" s="63" t="s">
        <v>1713</v>
      </c>
      <c r="AA422" s="63" t="b">
        <v>0</v>
      </c>
      <c r="AD422" s="63">
        <v>6.2482500076293901</v>
      </c>
      <c r="AE422" s="63">
        <v>7.25</v>
      </c>
      <c r="AH422" s="63">
        <v>0.1</v>
      </c>
      <c r="AL422" s="110">
        <v>13</v>
      </c>
      <c r="AT422" s="63" t="str">
        <f t="shared" si="42"/>
        <v>哈，人还真不少！老实点把东西交出来吧！</v>
      </c>
      <c r="AU422" s="63" t="s">
        <v>1714</v>
      </c>
    </row>
    <row r="423" spans="1:47" s="61" customFormat="1" ht="14">
      <c r="A423" s="61">
        <v>220011</v>
      </c>
      <c r="C423" s="61">
        <v>1</v>
      </c>
      <c r="D423" s="61" t="s">
        <v>1666</v>
      </c>
      <c r="E423" s="61" t="s">
        <v>412</v>
      </c>
      <c r="F423" s="20" t="str">
        <f>VLOOKUP(G423,'#TID_base_up'!B:C,2,0)</f>
        <v>刘沛</v>
      </c>
      <c r="G423" s="61" t="s">
        <v>1667</v>
      </c>
      <c r="H423" s="61" t="s">
        <v>1567</v>
      </c>
      <c r="I423" s="61" t="s">
        <v>1668</v>
      </c>
      <c r="J423" s="61" t="s">
        <v>1715</v>
      </c>
      <c r="K423" s="84" t="str">
        <f t="shared" si="41"/>
        <v>这是个陷阱！小心了！</v>
      </c>
      <c r="T423" s="61">
        <v>1</v>
      </c>
      <c r="U423" s="61">
        <v>2</v>
      </c>
      <c r="V423" s="61">
        <v>0</v>
      </c>
      <c r="X423" s="61">
        <v>202</v>
      </c>
      <c r="Y423" s="61" t="b">
        <v>0</v>
      </c>
      <c r="Z423" s="61" t="s">
        <v>1716</v>
      </c>
      <c r="AA423" s="61" t="b">
        <v>0</v>
      </c>
      <c r="AD423" s="61">
        <v>2.3478538990020801</v>
      </c>
      <c r="AE423" s="61">
        <v>3.35</v>
      </c>
      <c r="AH423" s="61">
        <v>0.1</v>
      </c>
      <c r="AL423" s="108">
        <v>13</v>
      </c>
      <c r="AO423" s="61">
        <v>16</v>
      </c>
      <c r="AT423" s="61" t="str">
        <f t="shared" si="42"/>
        <v>这是个陷阱！小心了！</v>
      </c>
      <c r="AU423" s="61" t="s">
        <v>1717</v>
      </c>
    </row>
    <row r="424" spans="1:47" s="61" customFormat="1" ht="14">
      <c r="A424" s="61">
        <v>220012</v>
      </c>
      <c r="C424" s="61">
        <v>1</v>
      </c>
      <c r="D424" s="61" t="s">
        <v>1672</v>
      </c>
      <c r="E424" s="61" t="s">
        <v>412</v>
      </c>
      <c r="F424" s="20" t="str">
        <f>VLOOKUP(G424,'#TID_base_up'!B:C,2,0)</f>
        <v>项楚</v>
      </c>
      <c r="G424" s="61" t="s">
        <v>1585</v>
      </c>
      <c r="H424" s="61" t="s">
        <v>132</v>
      </c>
      <c r="I424" s="61" t="s">
        <v>1586</v>
      </c>
      <c r="J424" s="61" t="s">
        <v>1718</v>
      </c>
      <c r="K424" s="84" t="str">
        <f t="shared" si="41"/>
        <v>跟我一起冲！只要攻破城门！我们就赢了！</v>
      </c>
      <c r="T424" s="61">
        <v>1</v>
      </c>
      <c r="U424" s="61">
        <v>2</v>
      </c>
      <c r="V424" s="61">
        <v>0</v>
      </c>
      <c r="X424" s="61">
        <v>202</v>
      </c>
      <c r="Y424" s="61" t="b">
        <v>0</v>
      </c>
      <c r="Z424" s="61" t="s">
        <v>1719</v>
      </c>
      <c r="AA424" s="61" t="b">
        <v>0</v>
      </c>
      <c r="AD424" s="61">
        <v>4.5440001487731898</v>
      </c>
      <c r="AE424" s="61">
        <v>5.54</v>
      </c>
      <c r="AH424" s="61">
        <v>0.1</v>
      </c>
      <c r="AL424" s="108">
        <v>13</v>
      </c>
      <c r="AO424" s="61">
        <v>3</v>
      </c>
      <c r="AT424" s="61" t="str">
        <f t="shared" si="42"/>
        <v>跟我一起冲！只要攻破城门！我们就赢了！</v>
      </c>
      <c r="AU424" s="61" t="s">
        <v>1720</v>
      </c>
    </row>
    <row r="425" spans="1:47" s="64" customFormat="1" ht="14">
      <c r="A425" s="64">
        <v>220013</v>
      </c>
      <c r="C425" s="64">
        <v>1</v>
      </c>
      <c r="D425" s="64" t="s">
        <v>1672</v>
      </c>
      <c r="E425" s="64" t="s">
        <v>412</v>
      </c>
      <c r="F425" s="20" t="str">
        <f>VLOOKUP(G425,'#TID_base_up'!B:C,2,0)</f>
        <v>项楚</v>
      </c>
      <c r="G425" s="64" t="s">
        <v>1585</v>
      </c>
      <c r="H425" s="64" t="s">
        <v>132</v>
      </c>
      <c r="I425" s="64" t="s">
        <v>1586</v>
      </c>
      <c r="J425" s="63" t="s">
        <v>1721</v>
      </c>
      <c r="K425" s="84" t="str">
        <f t="shared" si="41"/>
        <v>再来多少都是没用的！</v>
      </c>
      <c r="T425" s="64">
        <v>1</v>
      </c>
      <c r="U425" s="64">
        <v>4</v>
      </c>
      <c r="V425" s="64">
        <v>0</v>
      </c>
      <c r="X425" s="64">
        <v>202</v>
      </c>
      <c r="Y425" s="64" t="b">
        <v>1</v>
      </c>
      <c r="Z425" s="64" t="s">
        <v>1722</v>
      </c>
      <c r="AA425" s="64" t="b">
        <v>0</v>
      </c>
      <c r="AD425" s="64">
        <v>4.5440001487731898</v>
      </c>
      <c r="AE425" s="64">
        <v>5.54</v>
      </c>
      <c r="AH425" s="64">
        <v>0.1</v>
      </c>
      <c r="AL425" s="111">
        <v>13</v>
      </c>
      <c r="AT425" s="64" t="str">
        <f t="shared" si="42"/>
        <v>再来多少都是没用的！</v>
      </c>
      <c r="AU425" s="64" t="s">
        <v>1723</v>
      </c>
    </row>
    <row r="426" spans="1:47" s="64" customFormat="1" ht="14">
      <c r="A426" s="64">
        <v>220013</v>
      </c>
      <c r="C426" s="64">
        <v>2</v>
      </c>
      <c r="D426" s="64" t="s">
        <v>1672</v>
      </c>
      <c r="E426" s="64" t="s">
        <v>412</v>
      </c>
      <c r="F426" s="20" t="str">
        <f>VLOOKUP(G426,'#TID_base_up'!B:C,2,0)</f>
        <v>项楚</v>
      </c>
      <c r="G426" s="64" t="s">
        <v>1585</v>
      </c>
      <c r="H426" s="64" t="s">
        <v>132</v>
      </c>
      <c r="I426" s="64" t="s">
        <v>1586</v>
      </c>
      <c r="J426" s="63" t="s">
        <v>1724</v>
      </c>
      <c r="K426" s="84" t="str">
        <f t="shared" si="41"/>
        <v>弟兄们！让我们一起粉碎这腐朽的帝国！</v>
      </c>
      <c r="T426" s="64">
        <v>1</v>
      </c>
      <c r="U426" s="64">
        <v>4</v>
      </c>
      <c r="V426" s="64">
        <v>0</v>
      </c>
      <c r="X426" s="64">
        <v>202</v>
      </c>
      <c r="Y426" s="64" t="b">
        <v>1</v>
      </c>
      <c r="AA426" s="64" t="b">
        <v>0</v>
      </c>
      <c r="AD426" s="64">
        <v>3</v>
      </c>
      <c r="AE426" s="64">
        <v>4</v>
      </c>
      <c r="AH426" s="64">
        <v>0.1</v>
      </c>
      <c r="AL426" s="111">
        <v>13</v>
      </c>
      <c r="AT426" s="64" t="str">
        <f t="shared" si="42"/>
        <v>弟兄们！让我们一起粉碎这腐朽的帝国！</v>
      </c>
      <c r="AU426" s="64" t="s">
        <v>1725</v>
      </c>
    </row>
    <row r="427" spans="1:47" s="61" customFormat="1" ht="14">
      <c r="A427" s="61">
        <v>220014</v>
      </c>
      <c r="C427" s="61">
        <v>1</v>
      </c>
      <c r="D427" s="61" t="s">
        <v>1672</v>
      </c>
      <c r="E427" s="61" t="s">
        <v>412</v>
      </c>
      <c r="F427" s="20" t="str">
        <f>VLOOKUP(G427,'#TID_base_up'!B:C,2,0)</f>
        <v>项楚</v>
      </c>
      <c r="G427" s="61" t="s">
        <v>1585</v>
      </c>
      <c r="H427" s="61" t="s">
        <v>132</v>
      </c>
      <c r="I427" s="61" t="s">
        <v>1586</v>
      </c>
      <c r="J427" s="61" t="s">
        <v>1726</v>
      </c>
      <c r="K427" s="84" t="str">
        <f t="shared" si="41"/>
        <v>城门已破！我军大获全胜！</v>
      </c>
      <c r="T427" s="61">
        <v>1</v>
      </c>
      <c r="U427" s="61">
        <v>2</v>
      </c>
      <c r="V427" s="61">
        <v>0</v>
      </c>
      <c r="X427" s="61">
        <v>202</v>
      </c>
      <c r="Y427" s="61" t="b">
        <v>0</v>
      </c>
      <c r="Z427" s="61" t="s">
        <v>1727</v>
      </c>
      <c r="AA427" s="61" t="b">
        <v>0</v>
      </c>
      <c r="AD427" s="61">
        <v>4.0106668472290004</v>
      </c>
      <c r="AE427" s="61">
        <v>5.01</v>
      </c>
      <c r="AH427" s="61">
        <v>0.1</v>
      </c>
      <c r="AL427" s="108">
        <v>13</v>
      </c>
      <c r="AO427" s="61">
        <v>3</v>
      </c>
      <c r="AT427" s="61" t="str">
        <f t="shared" si="42"/>
        <v>城门已破！我军大获全胜！</v>
      </c>
      <c r="AU427" s="61" t="s">
        <v>1728</v>
      </c>
    </row>
    <row r="428" spans="1:47" s="61" customFormat="1" ht="28">
      <c r="A428" s="61">
        <v>220015</v>
      </c>
      <c r="C428" s="61">
        <v>1</v>
      </c>
      <c r="D428" s="61" t="s">
        <v>1729</v>
      </c>
      <c r="E428" s="61" t="s">
        <v>412</v>
      </c>
      <c r="F428" s="20" t="str">
        <f>VLOOKUP(G428,'#TID_base_up'!B:C,2,0)</f>
        <v>秦威</v>
      </c>
      <c r="G428" s="61" t="s">
        <v>1730</v>
      </c>
      <c r="H428" s="61" t="s">
        <v>132</v>
      </c>
      <c r="I428" s="61" t="s">
        <v>1614</v>
      </c>
      <c r="J428" s="61" t="s">
        <v>1731</v>
      </c>
      <c r="K428" s="84" t="str">
        <f t="shared" si="41"/>
        <v>项楚，只要你投降，本帅不但可以饶你一命，还能保你平步青云，荣华富贵！</v>
      </c>
      <c r="T428" s="61">
        <v>1</v>
      </c>
      <c r="U428" s="105">
        <v>2</v>
      </c>
      <c r="V428" s="61">
        <v>0</v>
      </c>
      <c r="X428" s="61">
        <v>202</v>
      </c>
      <c r="Y428" s="61" t="b">
        <v>0</v>
      </c>
      <c r="Z428" s="61" t="s">
        <v>1732</v>
      </c>
      <c r="AA428" s="61" t="b">
        <v>0</v>
      </c>
      <c r="AD428" s="61">
        <v>8.2933330535888707</v>
      </c>
      <c r="AE428" s="61">
        <v>9.2899999999999991</v>
      </c>
      <c r="AH428" s="61">
        <v>0.1</v>
      </c>
      <c r="AL428" s="108">
        <v>13</v>
      </c>
      <c r="AO428" s="61">
        <v>10094</v>
      </c>
      <c r="AP428" s="61">
        <v>1</v>
      </c>
      <c r="AT428" s="61" t="str">
        <f t="shared" si="42"/>
        <v>项楚，只要你投降，本帅不但可以饶你一命，还能保你平步青云，荣华富贵！</v>
      </c>
      <c r="AU428" s="61" t="s">
        <v>1733</v>
      </c>
    </row>
    <row r="429" spans="1:47" s="61" customFormat="1" ht="14">
      <c r="A429" s="61">
        <v>220015</v>
      </c>
      <c r="C429" s="61">
        <v>2</v>
      </c>
      <c r="D429" s="61" t="s">
        <v>1672</v>
      </c>
      <c r="E429" s="61" t="s">
        <v>412</v>
      </c>
      <c r="F429" s="20" t="str">
        <f>VLOOKUP(G429,'#TID_base_up'!B:C,2,0)</f>
        <v>项楚</v>
      </c>
      <c r="G429" s="61" t="s">
        <v>1585</v>
      </c>
      <c r="H429" s="61" t="s">
        <v>132</v>
      </c>
      <c r="I429" s="61" t="s">
        <v>1586</v>
      </c>
      <c r="J429" s="61" t="s">
        <v>1734</v>
      </c>
      <c r="K429" s="84" t="str">
        <f t="shared" si="41"/>
        <v>这位大人，您是还没睡醒吧？给我打！</v>
      </c>
      <c r="T429" s="61">
        <v>1</v>
      </c>
      <c r="U429" s="105">
        <v>2</v>
      </c>
      <c r="V429" s="61">
        <v>0</v>
      </c>
      <c r="X429" s="61">
        <v>202</v>
      </c>
      <c r="Y429" s="61" t="b">
        <v>0</v>
      </c>
      <c r="Z429" s="61" t="s">
        <v>1735</v>
      </c>
      <c r="AA429" s="61" t="b">
        <v>0</v>
      </c>
      <c r="AD429" s="61">
        <v>5.7493329048156703</v>
      </c>
      <c r="AE429" s="61">
        <v>6.75</v>
      </c>
      <c r="AH429" s="61">
        <v>0.1</v>
      </c>
      <c r="AL429" s="108">
        <v>13</v>
      </c>
      <c r="AO429" s="61">
        <v>3</v>
      </c>
      <c r="AT429" s="61" t="str">
        <f t="shared" si="42"/>
        <v>这位大人，您是还没睡醒吧？给我打！</v>
      </c>
      <c r="AU429" s="61" t="s">
        <v>1736</v>
      </c>
    </row>
    <row r="430" spans="1:47" s="62" customFormat="1" ht="14">
      <c r="A430" s="62">
        <v>220017</v>
      </c>
      <c r="C430" s="62">
        <v>1</v>
      </c>
      <c r="D430" s="62" t="s">
        <v>1729</v>
      </c>
      <c r="E430" s="62" t="s">
        <v>412</v>
      </c>
      <c r="F430" s="20" t="str">
        <f>VLOOKUP(G430,'#TID_base_up'!B:C,2,0)</f>
        <v>秦威</v>
      </c>
      <c r="G430" s="62" t="s">
        <v>1730</v>
      </c>
      <c r="H430" s="62" t="s">
        <v>132</v>
      </c>
      <c r="I430" s="62" t="s">
        <v>1614</v>
      </c>
      <c r="J430" s="62" t="s">
        <v>1737</v>
      </c>
      <c r="K430" s="84" t="str">
        <f t="shared" si="41"/>
        <v>不识抬举的东西！现在后悔也来不及了！</v>
      </c>
      <c r="T430" s="62">
        <v>1</v>
      </c>
      <c r="U430" s="106">
        <v>4</v>
      </c>
      <c r="V430" s="62">
        <v>0</v>
      </c>
      <c r="X430" s="62">
        <v>202</v>
      </c>
      <c r="Y430" s="62" t="b">
        <v>1</v>
      </c>
      <c r="Z430" s="62" t="s">
        <v>1738</v>
      </c>
      <c r="AA430" s="62" t="b">
        <v>0</v>
      </c>
      <c r="AD430" s="62">
        <v>5.3680000305175799</v>
      </c>
      <c r="AE430" s="62">
        <v>6.37</v>
      </c>
      <c r="AH430" s="62">
        <v>0.1</v>
      </c>
      <c r="AL430" s="109">
        <v>13</v>
      </c>
      <c r="AT430" s="62" t="str">
        <f t="shared" si="42"/>
        <v>不识抬举的东西！现在后悔也来不及了！</v>
      </c>
      <c r="AU430" s="62" t="s">
        <v>1739</v>
      </c>
    </row>
    <row r="431" spans="1:47" s="61" customFormat="1" ht="14">
      <c r="A431" s="61">
        <v>220018</v>
      </c>
      <c r="C431" s="61">
        <v>1</v>
      </c>
      <c r="D431" s="61" t="s">
        <v>1729</v>
      </c>
      <c r="E431" s="61" t="s">
        <v>412</v>
      </c>
      <c r="F431" s="20" t="str">
        <f>VLOOKUP(G431,'#TID_base_up'!B:C,2,0)</f>
        <v>秦威</v>
      </c>
      <c r="G431" s="61" t="s">
        <v>1730</v>
      </c>
      <c r="H431" s="61" t="s">
        <v>132</v>
      </c>
      <c r="I431" s="61" t="s">
        <v>1614</v>
      </c>
      <c r="J431" s="61" t="s">
        <v>1740</v>
      </c>
      <c r="K431" s="84" t="str">
        <f t="shared" si="41"/>
        <v>将军饶我一……啊！</v>
      </c>
      <c r="T431" s="61">
        <v>1</v>
      </c>
      <c r="U431" s="105">
        <v>2</v>
      </c>
      <c r="V431" s="61">
        <v>0</v>
      </c>
      <c r="X431" s="61">
        <v>202</v>
      </c>
      <c r="Y431" s="61" t="b">
        <v>0</v>
      </c>
      <c r="Z431" s="61" t="s">
        <v>1741</v>
      </c>
      <c r="AA431" s="61" t="b">
        <v>0</v>
      </c>
      <c r="AD431" s="61">
        <v>3.0293331146240199</v>
      </c>
      <c r="AE431" s="61">
        <v>4.03</v>
      </c>
      <c r="AH431" s="61">
        <v>0.1</v>
      </c>
      <c r="AL431" s="108">
        <v>13</v>
      </c>
      <c r="AO431" s="61">
        <v>10094</v>
      </c>
      <c r="AP431" s="61">
        <v>1</v>
      </c>
      <c r="AT431" s="61" t="str">
        <f t="shared" si="42"/>
        <v>将军饶我一……啊！</v>
      </c>
      <c r="AU431" s="61" t="s">
        <v>1742</v>
      </c>
    </row>
    <row r="432" spans="1:47" s="65" customFormat="1" ht="14">
      <c r="A432" s="65">
        <v>220019</v>
      </c>
      <c r="C432" s="65">
        <v>1</v>
      </c>
      <c r="D432" s="65" t="s">
        <v>1672</v>
      </c>
      <c r="E432" s="65" t="s">
        <v>412</v>
      </c>
      <c r="F432" s="20" t="str">
        <f>VLOOKUP(G432,'#TID_base_up'!B:C,2,0)</f>
        <v>项楚</v>
      </c>
      <c r="G432" s="65" t="s">
        <v>1585</v>
      </c>
      <c r="H432" s="65" t="s">
        <v>132</v>
      </c>
      <c r="I432" s="65" t="s">
        <v>1586</v>
      </c>
      <c r="J432" s="61" t="s">
        <v>1743</v>
      </c>
      <c r="K432" s="84" t="str">
        <f t="shared" si="41"/>
        <v>再来多少人都是没用的！我们赢定了！</v>
      </c>
      <c r="T432" s="65">
        <v>1</v>
      </c>
      <c r="U432" s="65">
        <v>2</v>
      </c>
      <c r="V432" s="65">
        <v>0</v>
      </c>
      <c r="X432" s="65">
        <v>202</v>
      </c>
      <c r="Y432" s="65" t="b">
        <v>0</v>
      </c>
      <c r="AA432" s="65" t="b">
        <v>0</v>
      </c>
      <c r="AD432" s="65">
        <v>3</v>
      </c>
      <c r="AE432" s="65">
        <v>4</v>
      </c>
      <c r="AH432" s="65">
        <v>0.1</v>
      </c>
      <c r="AL432" s="112">
        <v>13</v>
      </c>
      <c r="AT432" s="65" t="str">
        <f t="shared" si="42"/>
        <v>再来多少人都是没用的！我们赢定了！</v>
      </c>
      <c r="AU432" s="65" t="s">
        <v>1744</v>
      </c>
    </row>
    <row r="433" spans="1:48" s="62" customFormat="1" ht="14">
      <c r="A433" s="62">
        <v>220020</v>
      </c>
      <c r="C433" s="62">
        <v>1</v>
      </c>
      <c r="D433" s="62" t="s">
        <v>1676</v>
      </c>
      <c r="E433" s="62" t="s">
        <v>412</v>
      </c>
      <c r="F433" s="20" t="str">
        <f>VLOOKUP(G433,'#TID_base_up'!B:C,2,0)</f>
        <v>敌军</v>
      </c>
      <c r="G433" s="62" t="s">
        <v>1677</v>
      </c>
      <c r="H433" s="62" t="s">
        <v>132</v>
      </c>
      <c r="I433" s="62" t="s">
        <v>1581</v>
      </c>
      <c r="J433" s="62" t="s">
        <v>1745</v>
      </c>
      <c r="K433" s="84" t="str">
        <f t="shared" si="41"/>
        <v>快毁掉那些投石车！</v>
      </c>
      <c r="T433" s="62">
        <v>1</v>
      </c>
      <c r="U433" s="62">
        <v>4</v>
      </c>
      <c r="V433" s="62">
        <v>0</v>
      </c>
      <c r="X433" s="62">
        <v>202</v>
      </c>
      <c r="Y433" s="62" t="b">
        <v>1</v>
      </c>
      <c r="Z433" s="62" t="s">
        <v>1746</v>
      </c>
      <c r="AA433" s="62" t="b">
        <v>0</v>
      </c>
      <c r="AD433" s="62">
        <v>1.74108302593231</v>
      </c>
      <c r="AE433" s="62">
        <v>2.74</v>
      </c>
      <c r="AH433" s="62">
        <v>0.1</v>
      </c>
      <c r="AL433" s="109">
        <v>13</v>
      </c>
      <c r="AT433" s="62" t="str">
        <f t="shared" si="42"/>
        <v>快毁掉那些投石车！</v>
      </c>
      <c r="AU433" s="62" t="s">
        <v>1747</v>
      </c>
    </row>
    <row r="434" spans="1:48" s="63" customFormat="1" ht="14">
      <c r="A434" s="63">
        <v>220021</v>
      </c>
      <c r="C434" s="63">
        <v>1</v>
      </c>
      <c r="D434" s="63" t="s">
        <v>1672</v>
      </c>
      <c r="E434" s="63" t="s">
        <v>412</v>
      </c>
      <c r="F434" s="20" t="str">
        <f>VLOOKUP(G434,'#TID_base_up'!B:C,2,0)</f>
        <v>项楚</v>
      </c>
      <c r="G434" s="63" t="s">
        <v>1585</v>
      </c>
      <c r="H434" s="63" t="s">
        <v>132</v>
      </c>
      <c r="I434" s="63" t="s">
        <v>1586</v>
      </c>
      <c r="J434" s="63" t="s">
        <v>1748</v>
      </c>
      <c r="K434" s="84" t="str">
        <f t="shared" si="41"/>
        <v>可恶！</v>
      </c>
      <c r="T434" s="63">
        <v>1</v>
      </c>
      <c r="U434" s="63">
        <v>4</v>
      </c>
      <c r="V434" s="63">
        <v>0</v>
      </c>
      <c r="X434" s="63">
        <v>202</v>
      </c>
      <c r="Y434" s="63" t="b">
        <v>1</v>
      </c>
      <c r="Z434" s="63" t="s">
        <v>1749</v>
      </c>
      <c r="AA434" s="63" t="b">
        <v>0</v>
      </c>
      <c r="AD434" s="63">
        <v>1.4933329820632899</v>
      </c>
      <c r="AE434" s="63">
        <v>2.4900000000000002</v>
      </c>
      <c r="AH434" s="63">
        <v>0.1</v>
      </c>
      <c r="AL434" s="110">
        <v>13</v>
      </c>
      <c r="AT434" s="63" t="str">
        <f t="shared" si="42"/>
        <v>可恶！</v>
      </c>
      <c r="AU434" s="63" t="s">
        <v>1750</v>
      </c>
    </row>
    <row r="435" spans="1:48" s="62" customFormat="1" ht="14">
      <c r="A435" s="62">
        <v>220022</v>
      </c>
      <c r="C435" s="62">
        <v>1</v>
      </c>
      <c r="D435" s="62" t="s">
        <v>1676</v>
      </c>
      <c r="E435" s="62" t="s">
        <v>412</v>
      </c>
      <c r="F435" s="20" t="str">
        <f>VLOOKUP(G435,'#TID_base_up'!B:C,2,0)</f>
        <v>敌军</v>
      </c>
      <c r="G435" s="62" t="s">
        <v>1677</v>
      </c>
      <c r="H435" s="62" t="s">
        <v>132</v>
      </c>
      <c r="I435" s="62" t="s">
        <v>1581</v>
      </c>
      <c r="J435" s="62" t="s">
        <v>1751</v>
      </c>
      <c r="K435" s="84" t="str">
        <f t="shared" si="41"/>
        <v>快，快包围他们！</v>
      </c>
      <c r="T435" s="62">
        <v>1</v>
      </c>
      <c r="U435" s="62">
        <v>4</v>
      </c>
      <c r="V435" s="62">
        <v>0</v>
      </c>
      <c r="X435" s="62">
        <v>202</v>
      </c>
      <c r="Y435" s="62" t="b">
        <v>1</v>
      </c>
      <c r="Z435" s="62" t="s">
        <v>1752</v>
      </c>
      <c r="AA435" s="62" t="b">
        <v>0</v>
      </c>
      <c r="AD435" s="62">
        <v>1.7670830488205</v>
      </c>
      <c r="AE435" s="62">
        <v>2.77</v>
      </c>
      <c r="AH435" s="62">
        <v>0.1</v>
      </c>
      <c r="AL435" s="109">
        <v>13</v>
      </c>
      <c r="AT435" s="62" t="str">
        <f t="shared" si="42"/>
        <v>快，快包围他们！</v>
      </c>
      <c r="AU435" s="62" t="s">
        <v>1753</v>
      </c>
    </row>
    <row r="436" spans="1:48" s="63" customFormat="1" ht="14">
      <c r="A436" s="63">
        <v>220023</v>
      </c>
      <c r="C436" s="63">
        <v>1</v>
      </c>
      <c r="D436" s="63" t="s">
        <v>1672</v>
      </c>
      <c r="E436" s="63" t="s">
        <v>412</v>
      </c>
      <c r="F436" s="20" t="str">
        <f>VLOOKUP(G436,'#TID_base_up'!B:C,2,0)</f>
        <v>项楚</v>
      </c>
      <c r="G436" s="63" t="s">
        <v>1585</v>
      </c>
      <c r="H436" s="63" t="s">
        <v>132</v>
      </c>
      <c r="I436" s="63" t="s">
        <v>1586</v>
      </c>
      <c r="J436" s="63" t="s">
        <v>1754</v>
      </c>
      <c r="K436" s="84" t="str">
        <f t="shared" si="41"/>
        <v>哼！就这？雕虫小技！</v>
      </c>
      <c r="T436" s="63">
        <v>1</v>
      </c>
      <c r="U436" s="63">
        <v>4</v>
      </c>
      <c r="V436" s="63">
        <v>0</v>
      </c>
      <c r="X436" s="63">
        <v>202</v>
      </c>
      <c r="Y436" s="63" t="b">
        <v>1</v>
      </c>
      <c r="Z436" s="63" t="s">
        <v>1755</v>
      </c>
      <c r="AA436" s="63" t="b">
        <v>0</v>
      </c>
      <c r="AD436" s="63">
        <v>4.3733329772949201</v>
      </c>
      <c r="AE436" s="63">
        <v>5.37</v>
      </c>
      <c r="AH436" s="63">
        <v>0.1</v>
      </c>
      <c r="AL436" s="110">
        <v>13</v>
      </c>
      <c r="AT436" s="63" t="str">
        <f t="shared" si="42"/>
        <v>哼！就这？雕虫小技！</v>
      </c>
      <c r="AU436" s="63" t="s">
        <v>1756</v>
      </c>
    </row>
    <row r="437" spans="1:48" s="62" customFormat="1" ht="14">
      <c r="A437" s="62">
        <v>220024</v>
      </c>
      <c r="C437" s="62">
        <v>1</v>
      </c>
      <c r="D437" s="62" t="s">
        <v>1676</v>
      </c>
      <c r="E437" s="62" t="s">
        <v>412</v>
      </c>
      <c r="F437" s="20" t="str">
        <f>VLOOKUP(G437,'#TID_base_up'!B:C,2,0)</f>
        <v>敌军</v>
      </c>
      <c r="G437" s="62" t="s">
        <v>1677</v>
      </c>
      <c r="H437" s="62" t="s">
        <v>132</v>
      </c>
      <c r="I437" s="62" t="s">
        <v>1581</v>
      </c>
      <c r="J437" s="62" t="s">
        <v>1757</v>
      </c>
      <c r="K437" s="84" t="str">
        <f t="shared" si="41"/>
        <v>兄弟们上啊！</v>
      </c>
      <c r="T437" s="62">
        <v>1</v>
      </c>
      <c r="U437" s="62">
        <v>4</v>
      </c>
      <c r="V437" s="62">
        <v>0</v>
      </c>
      <c r="X437" s="62">
        <v>202</v>
      </c>
      <c r="Y437" s="62" t="b">
        <v>1</v>
      </c>
      <c r="Z437" s="62" t="s">
        <v>1758</v>
      </c>
      <c r="AA437" s="62" t="b">
        <v>0</v>
      </c>
      <c r="AD437" s="62">
        <v>1.47772896289825</v>
      </c>
      <c r="AE437" s="62">
        <v>2.48</v>
      </c>
      <c r="AH437" s="62">
        <v>0.1</v>
      </c>
      <c r="AL437" s="109">
        <v>13</v>
      </c>
      <c r="AT437" s="62" t="str">
        <f t="shared" si="42"/>
        <v>兄弟们上啊！</v>
      </c>
      <c r="AU437" s="62" t="s">
        <v>1759</v>
      </c>
    </row>
    <row r="438" spans="1:48" s="63" customFormat="1" ht="14">
      <c r="A438" s="63">
        <v>220025</v>
      </c>
      <c r="C438" s="63">
        <v>1</v>
      </c>
      <c r="D438" s="63" t="s">
        <v>1672</v>
      </c>
      <c r="E438" s="63" t="s">
        <v>412</v>
      </c>
      <c r="F438" s="20" t="str">
        <f>VLOOKUP(G438,'#TID_base_up'!B:C,2,0)</f>
        <v>项楚</v>
      </c>
      <c r="G438" s="63" t="s">
        <v>1585</v>
      </c>
      <c r="H438" s="63" t="s">
        <v>132</v>
      </c>
      <c r="I438" s="63" t="s">
        <v>1586</v>
      </c>
      <c r="J438" s="63" t="s">
        <v>1760</v>
      </c>
      <c r="K438" s="84" t="str">
        <f t="shared" si="41"/>
        <v>敌人也就这点水平，不必惊慌。</v>
      </c>
      <c r="T438" s="63">
        <v>1</v>
      </c>
      <c r="U438" s="63">
        <v>4</v>
      </c>
      <c r="V438" s="63">
        <v>0</v>
      </c>
      <c r="X438" s="63">
        <v>202</v>
      </c>
      <c r="Y438" s="63" t="b">
        <v>1</v>
      </c>
      <c r="Z438" s="63" t="s">
        <v>1761</v>
      </c>
      <c r="AA438" s="63" t="b">
        <v>0</v>
      </c>
      <c r="AD438" s="63">
        <v>3.77600002288818</v>
      </c>
      <c r="AE438" s="63">
        <v>4.78</v>
      </c>
      <c r="AH438" s="63">
        <v>0.1</v>
      </c>
      <c r="AL438" s="110">
        <v>13</v>
      </c>
      <c r="AT438" s="63" t="str">
        <f t="shared" si="42"/>
        <v>敌人也就这点水平，不必惊慌。</v>
      </c>
      <c r="AU438" s="63" t="s">
        <v>1762</v>
      </c>
    </row>
    <row r="439" spans="1:48" s="63" customFormat="1" ht="14">
      <c r="A439" s="63">
        <v>220026</v>
      </c>
      <c r="C439" s="63">
        <v>1</v>
      </c>
      <c r="D439" s="63" t="s">
        <v>1672</v>
      </c>
      <c r="E439" s="63" t="s">
        <v>412</v>
      </c>
      <c r="F439" s="20" t="str">
        <f>VLOOKUP(G439,'#TID_base_up'!B:C,2,0)</f>
        <v>项楚</v>
      </c>
      <c r="G439" s="63" t="s">
        <v>1585</v>
      </c>
      <c r="H439" s="63" t="s">
        <v>132</v>
      </c>
      <c r="I439" s="63" t="s">
        <v>1586</v>
      </c>
      <c r="J439" s="63" t="s">
        <v>1763</v>
      </c>
      <c r="K439" s="84" t="str">
        <f t="shared" si="41"/>
        <v>把营地大门给我拆了！</v>
      </c>
      <c r="T439" s="63">
        <v>1</v>
      </c>
      <c r="U439" s="63">
        <v>4</v>
      </c>
      <c r="V439" s="63">
        <v>0</v>
      </c>
      <c r="X439" s="63">
        <v>202</v>
      </c>
      <c r="Y439" s="63" t="b">
        <v>1</v>
      </c>
      <c r="Z439" s="63" t="s">
        <v>1764</v>
      </c>
      <c r="AA439" s="63" t="b">
        <v>0</v>
      </c>
      <c r="AD439" s="63">
        <v>2.0693330764770499</v>
      </c>
      <c r="AE439" s="63">
        <v>3.07</v>
      </c>
      <c r="AH439" s="63">
        <v>0.1</v>
      </c>
      <c r="AL439" s="110">
        <v>13</v>
      </c>
      <c r="AT439" s="63" t="str">
        <f t="shared" si="42"/>
        <v>把营地大门给我拆了！</v>
      </c>
      <c r="AU439" s="63" t="s">
        <v>1765</v>
      </c>
    </row>
    <row r="440" spans="1:48" s="62" customFormat="1" ht="14">
      <c r="A440" s="62">
        <v>220027</v>
      </c>
      <c r="C440" s="62">
        <v>1</v>
      </c>
      <c r="D440" s="62" t="s">
        <v>1766</v>
      </c>
      <c r="E440" s="62" t="s">
        <v>412</v>
      </c>
      <c r="F440" s="20" t="str">
        <f>VLOOKUP(G440,'#TID_base_up'!B:C,2,0)</f>
        <v>增援士兵</v>
      </c>
      <c r="G440" s="62" t="s">
        <v>1767</v>
      </c>
      <c r="H440" s="62" t="s">
        <v>132</v>
      </c>
      <c r="I440" s="62" t="s">
        <v>1581</v>
      </c>
      <c r="J440" s="62" t="s">
        <v>1768</v>
      </c>
      <c r="K440" s="84" t="str">
        <f t="shared" si="41"/>
        <v>将军，我们来帮你！</v>
      </c>
      <c r="T440" s="62">
        <v>1</v>
      </c>
      <c r="U440" s="62">
        <v>3</v>
      </c>
      <c r="V440" s="62">
        <v>0</v>
      </c>
      <c r="X440" s="62">
        <v>202</v>
      </c>
      <c r="Y440" s="62" t="b">
        <v>1</v>
      </c>
      <c r="Z440" s="62" t="s">
        <v>1769</v>
      </c>
      <c r="AA440" s="62" t="b">
        <v>0</v>
      </c>
      <c r="AD440" s="62">
        <v>1.6533329486846899</v>
      </c>
      <c r="AE440" s="62">
        <v>2.65</v>
      </c>
      <c r="AH440" s="62">
        <v>0.1</v>
      </c>
      <c r="AL440" s="109">
        <v>13</v>
      </c>
      <c r="AT440" s="62" t="str">
        <f t="shared" si="42"/>
        <v>将军，我们来帮你！</v>
      </c>
      <c r="AU440" s="62" t="s">
        <v>1770</v>
      </c>
    </row>
    <row r="441" spans="1:48" s="62" customFormat="1" ht="14">
      <c r="A441" s="62">
        <v>220028</v>
      </c>
      <c r="C441" s="62">
        <v>1</v>
      </c>
      <c r="D441" s="62" t="s">
        <v>1766</v>
      </c>
      <c r="E441" s="62" t="s">
        <v>412</v>
      </c>
      <c r="F441" s="20" t="str">
        <f>VLOOKUP(G441,'#TID_base_up'!B:C,2,0)</f>
        <v>增援士兵</v>
      </c>
      <c r="G441" s="62" t="s">
        <v>1767</v>
      </c>
      <c r="H441" s="62" t="s">
        <v>132</v>
      </c>
      <c r="I441" s="62" t="s">
        <v>1581</v>
      </c>
      <c r="J441" s="62" t="s">
        <v>1768</v>
      </c>
      <c r="K441" s="84" t="str">
        <f t="shared" si="41"/>
        <v>将军，我们来帮你！</v>
      </c>
      <c r="T441" s="62">
        <v>1</v>
      </c>
      <c r="U441" s="62">
        <v>3</v>
      </c>
      <c r="V441" s="62">
        <v>0</v>
      </c>
      <c r="X441" s="62">
        <v>202</v>
      </c>
      <c r="Y441" s="62" t="b">
        <v>1</v>
      </c>
      <c r="Z441" s="62" t="s">
        <v>1769</v>
      </c>
      <c r="AA441" s="62" t="b">
        <v>0</v>
      </c>
      <c r="AD441" s="62">
        <v>1.6533329486846899</v>
      </c>
      <c r="AE441" s="62">
        <v>2.65</v>
      </c>
      <c r="AH441" s="62">
        <v>0.1</v>
      </c>
      <c r="AL441" s="109">
        <v>13</v>
      </c>
      <c r="AT441" s="62" t="str">
        <f t="shared" si="42"/>
        <v>将军，我们来帮你！</v>
      </c>
      <c r="AU441" s="62" t="s">
        <v>1770</v>
      </c>
    </row>
    <row r="442" spans="1:48" s="59" customFormat="1">
      <c r="A442" s="59">
        <v>230001</v>
      </c>
      <c r="C442" s="59">
        <v>1</v>
      </c>
      <c r="D442" s="59" t="str">
        <f t="shared" ref="D442:D477" si="43">"项楚3关-"&amp;G442</f>
        <v>项楚3关-TID_DialogueConf_230001_name_CN_Main</v>
      </c>
      <c r="E442" s="59" t="s">
        <v>412</v>
      </c>
      <c r="F442" s="20" t="str">
        <f>VLOOKUP(G442,'#TID_base_up'!B:C,2,0)</f>
        <v>当阳</v>
      </c>
      <c r="G442" s="59" t="s">
        <v>1771</v>
      </c>
      <c r="H442" s="59" t="s">
        <v>132</v>
      </c>
      <c r="I442" s="59" t="s">
        <v>133</v>
      </c>
      <c r="J442" s="59" t="s">
        <v>1772</v>
      </c>
      <c r="K442" s="104"/>
      <c r="T442" s="59">
        <v>1</v>
      </c>
      <c r="U442" s="59">
        <v>2</v>
      </c>
      <c r="V442" s="20">
        <v>0</v>
      </c>
      <c r="X442" s="59">
        <v>203</v>
      </c>
      <c r="Y442" s="59" t="b">
        <v>0</v>
      </c>
      <c r="Z442" s="59" t="s">
        <v>1773</v>
      </c>
      <c r="AA442" s="59" t="b">
        <v>0</v>
      </c>
      <c r="AD442" s="59">
        <v>5.5040001869201696</v>
      </c>
      <c r="AE442" s="59">
        <v>6.5</v>
      </c>
      <c r="AH442" s="59">
        <v>0.1</v>
      </c>
      <c r="AL442" s="59">
        <v>13</v>
      </c>
      <c r="AO442" s="59">
        <v>20</v>
      </c>
      <c r="AT442" s="59" t="str">
        <f t="shared" si="42"/>
        <v>我军连日赶路，早已人困马乏，此时开战必然凶多吉少。</v>
      </c>
      <c r="AU442" s="59" t="s">
        <v>1774</v>
      </c>
    </row>
    <row r="443" spans="1:48" s="59" customFormat="1">
      <c r="A443" s="59">
        <v>230002</v>
      </c>
      <c r="C443" s="59">
        <v>1</v>
      </c>
      <c r="D443" s="59" t="str">
        <f t="shared" si="43"/>
        <v>项楚3关-TID_DialogueConf_230001_name_CN_Main</v>
      </c>
      <c r="E443" s="59" t="s">
        <v>412</v>
      </c>
      <c r="F443" s="20" t="str">
        <f>VLOOKUP(G443,'#TID_base_up'!B:C,2,0)</f>
        <v>当阳</v>
      </c>
      <c r="G443" s="59" t="s">
        <v>1771</v>
      </c>
      <c r="H443" s="59" t="s">
        <v>132</v>
      </c>
      <c r="I443" s="59" t="s">
        <v>133</v>
      </c>
      <c r="J443" s="59" t="s">
        <v>1775</v>
      </c>
      <c r="K443" s="104"/>
      <c r="T443" s="59">
        <v>1</v>
      </c>
      <c r="U443" s="59">
        <v>2</v>
      </c>
      <c r="V443" s="20">
        <v>0</v>
      </c>
      <c r="X443" s="59">
        <v>203</v>
      </c>
      <c r="Y443" s="59" t="b">
        <v>0</v>
      </c>
      <c r="Z443" s="59" t="s">
        <v>1776</v>
      </c>
      <c r="AA443" s="59" t="b">
        <v>0</v>
      </c>
      <c r="AD443" s="59">
        <v>6.4186668395996103</v>
      </c>
      <c r="AE443" s="59">
        <v>7.42</v>
      </c>
      <c r="AH443" s="59">
        <v>0.1</v>
      </c>
      <c r="AL443" s="59">
        <v>13</v>
      </c>
      <c r="AO443" s="59">
        <v>20</v>
      </c>
      <c r="AT443" s="59" t="str">
        <f t="shared" si="42"/>
        <v>不如先向敌军“借”点粮草，
祭一祭大家的五脏庙，再与他们一决胜负！</v>
      </c>
      <c r="AU443" s="59" t="s">
        <v>1777</v>
      </c>
      <c r="AV443" s="104"/>
    </row>
    <row r="444" spans="1:48" s="59" customFormat="1">
      <c r="A444" s="59">
        <v>230003</v>
      </c>
      <c r="C444" s="59">
        <v>1</v>
      </c>
      <c r="D444" s="59" t="str">
        <f t="shared" si="43"/>
        <v>项楚3关-TID_DialogueConf_210005_name_CN_Main</v>
      </c>
      <c r="E444" s="59" t="s">
        <v>412</v>
      </c>
      <c r="F444" s="20" t="str">
        <f>VLOOKUP(G444,'#TID_base_up'!B:C,2,0)</f>
        <v>项楚</v>
      </c>
      <c r="G444" s="59" t="s">
        <v>1585</v>
      </c>
      <c r="H444" s="59" t="s">
        <v>132</v>
      </c>
      <c r="I444" s="59" t="s">
        <v>1586</v>
      </c>
      <c r="J444" s="59" t="s">
        <v>1778</v>
      </c>
      <c r="K444" s="104"/>
      <c r="T444" s="59">
        <v>1</v>
      </c>
      <c r="U444" s="59">
        <v>2</v>
      </c>
      <c r="V444" s="20">
        <v>0</v>
      </c>
      <c r="X444" s="59">
        <v>203</v>
      </c>
      <c r="Y444" s="59" t="b">
        <v>0</v>
      </c>
      <c r="Z444" s="59" t="s">
        <v>1779</v>
      </c>
      <c r="AA444" s="59" t="b">
        <v>0</v>
      </c>
      <c r="AD444" s="59">
        <v>4.6079998016357404</v>
      </c>
      <c r="AE444" s="59">
        <v>5.61</v>
      </c>
      <c r="AH444" s="59">
        <v>0.1</v>
      </c>
      <c r="AL444" s="59">
        <v>13</v>
      </c>
      <c r="AO444" s="59">
        <v>19</v>
      </c>
      <c r="AT444" s="59" t="str">
        <f t="shared" si="42"/>
        <v>当阳君，若是我们向秦军“借粮”，他们借是不借？</v>
      </c>
      <c r="AU444" s="59" t="s">
        <v>1780</v>
      </c>
    </row>
    <row r="445" spans="1:48" s="59" customFormat="1">
      <c r="A445" s="59">
        <v>230004</v>
      </c>
      <c r="C445" s="59">
        <v>1</v>
      </c>
      <c r="D445" s="59" t="str">
        <f t="shared" si="43"/>
        <v>项楚3关-TID_DialogueConf_230001_name_CN_Main</v>
      </c>
      <c r="E445" s="59" t="s">
        <v>412</v>
      </c>
      <c r="F445" s="20" t="str">
        <f>VLOOKUP(G445,'#TID_base_up'!B:C,2,0)</f>
        <v>当阳</v>
      </c>
      <c r="G445" s="59" t="s">
        <v>1771</v>
      </c>
      <c r="H445" s="59" t="s">
        <v>132</v>
      </c>
      <c r="I445" s="59" t="s">
        <v>133</v>
      </c>
      <c r="J445" s="59" t="s">
        <v>1781</v>
      </c>
      <c r="K445" s="104"/>
      <c r="T445" s="59">
        <v>1</v>
      </c>
      <c r="U445" s="59">
        <v>2</v>
      </c>
      <c r="V445" s="20">
        <v>0</v>
      </c>
      <c r="X445" s="59">
        <v>203</v>
      </c>
      <c r="Y445" s="59" t="b">
        <v>0</v>
      </c>
      <c r="Z445" s="59" t="s">
        <v>1782</v>
      </c>
      <c r="AA445" s="59" t="b">
        <v>0</v>
      </c>
      <c r="AD445" s="59">
        <v>5.59466600418091</v>
      </c>
      <c r="AE445" s="59">
        <v>6.59</v>
      </c>
      <c r="AH445" s="59">
        <v>0.1</v>
      </c>
      <c r="AL445" s="59">
        <v>13</v>
      </c>
      <c r="AO445" s="59">
        <v>20</v>
      </c>
      <c r="AT445" s="59" t="str">
        <f t="shared" ref="AT445:AT476" si="44">IF($AU445="","",SUBSTITUTE(SUBSTITUTE(SUBSTITUTE(SUBSTITUTE($AU445,IF($AW445="","",$AW445),IF($AW445="","",CONCATENATE("&lt;color=#FFCC71&gt;",$AW445,"&lt;/color&gt;"))),IF($AX445="","",$AX445),IF($AX445="","",CONCATENATE("&lt;color=#FFCC71&gt;",$AX445,"&lt;/color&gt;"))),IF($AY445="","",$AY445),IF($AY445="","",CONCATENATE("&lt;color=#FFCC71&gt;",$AY445,"&lt;/color&gt;"))),IF($AZ445="","",$AZ445),IF($AZ445="","",CONCATENATE("&lt;color=#FFCC71&gt;",$AZ445,"&lt;/color&gt;"))))</f>
        <v>“借粮”？嘿嘿……那可就由不得他们了。</v>
      </c>
      <c r="AU445" s="59" t="s">
        <v>1783</v>
      </c>
    </row>
    <row r="446" spans="1:48" s="59" customFormat="1">
      <c r="A446" s="59">
        <v>230005</v>
      </c>
      <c r="C446" s="59">
        <v>1</v>
      </c>
      <c r="D446" s="59" t="str">
        <f t="shared" si="43"/>
        <v>项楚3关-TID_DialogueConf_210005_name_CN_Main</v>
      </c>
      <c r="E446" s="59" t="s">
        <v>412</v>
      </c>
      <c r="F446" s="20" t="str">
        <f>VLOOKUP(G446,'#TID_base_up'!B:C,2,0)</f>
        <v>项楚</v>
      </c>
      <c r="G446" s="59" t="s">
        <v>1585</v>
      </c>
      <c r="H446" s="59" t="s">
        <v>132</v>
      </c>
      <c r="I446" s="59" t="s">
        <v>1586</v>
      </c>
      <c r="J446" s="59" t="s">
        <v>1784</v>
      </c>
      <c r="K446" s="104"/>
      <c r="T446" s="59">
        <v>1</v>
      </c>
      <c r="U446" s="59">
        <v>2</v>
      </c>
      <c r="V446" s="20">
        <v>0</v>
      </c>
      <c r="X446" s="59">
        <v>203</v>
      </c>
      <c r="Y446" s="59" t="b">
        <v>0</v>
      </c>
      <c r="Z446" s="59" t="s">
        <v>1785</v>
      </c>
      <c r="AA446" s="59" t="b">
        <v>0</v>
      </c>
      <c r="AD446" s="59">
        <v>4.1813340187072798</v>
      </c>
      <c r="AE446" s="59">
        <v>5.18</v>
      </c>
      <c r="AH446" s="59">
        <v>0.1</v>
      </c>
      <c r="AL446" s="59">
        <v>13</v>
      </c>
      <c r="AO446" s="59">
        <v>19</v>
      </c>
      <c r="AT446" s="59" t="str">
        <f t="shared" si="44"/>
        <v>好，那我们兵分两路，速战速决</v>
      </c>
      <c r="AU446" s="59" t="s">
        <v>1786</v>
      </c>
    </row>
    <row r="447" spans="1:48" s="59" customFormat="1">
      <c r="A447" s="59">
        <v>230006</v>
      </c>
      <c r="C447" s="59">
        <v>1</v>
      </c>
      <c r="D447" s="59" t="str">
        <f t="shared" si="43"/>
        <v>项楚3关-TID_DialogueConf_230001_name_CN_Main</v>
      </c>
      <c r="E447" s="59" t="s">
        <v>412</v>
      </c>
      <c r="F447" s="20" t="str">
        <f>VLOOKUP(G447,'#TID_base_up'!B:C,2,0)</f>
        <v>当阳</v>
      </c>
      <c r="G447" s="59" t="s">
        <v>1771</v>
      </c>
      <c r="H447" s="59" t="s">
        <v>132</v>
      </c>
      <c r="I447" s="59" t="s">
        <v>133</v>
      </c>
      <c r="J447" s="59" t="s">
        <v>1787</v>
      </c>
      <c r="K447" s="104"/>
      <c r="T447" s="59">
        <v>1</v>
      </c>
      <c r="U447" s="59">
        <v>2</v>
      </c>
      <c r="V447" s="20">
        <v>0</v>
      </c>
      <c r="X447" s="59">
        <v>203</v>
      </c>
      <c r="Y447" s="59" t="b">
        <v>0</v>
      </c>
      <c r="Z447" s="59" t="s">
        <v>1788</v>
      </c>
      <c r="AA447" s="59" t="b">
        <v>0</v>
      </c>
      <c r="AD447" s="59">
        <v>2.49600005149841</v>
      </c>
      <c r="AE447" s="59">
        <v>3.5</v>
      </c>
      <c r="AH447" s="59">
        <v>0.1</v>
      </c>
      <c r="AL447" s="59">
        <v>13</v>
      </c>
      <c r="AO447" s="59">
        <v>20</v>
      </c>
      <c r="AT447" s="59" t="str">
        <f t="shared" si="44"/>
        <v>事不宜迟，将军请下令吧！</v>
      </c>
      <c r="AU447" s="59" t="s">
        <v>1789</v>
      </c>
    </row>
    <row r="448" spans="1:48" s="59" customFormat="1">
      <c r="A448" s="59">
        <v>230007</v>
      </c>
      <c r="C448" s="59">
        <v>1</v>
      </c>
      <c r="D448" s="59" t="str">
        <f t="shared" si="43"/>
        <v>项楚3关-TID_DialogueConf_230001_name_CN_Main</v>
      </c>
      <c r="E448" s="59" t="s">
        <v>412</v>
      </c>
      <c r="F448" s="20" t="str">
        <f>VLOOKUP(G448,'#TID_base_up'!B:C,2,0)</f>
        <v>当阳</v>
      </c>
      <c r="G448" s="59" t="s">
        <v>1771</v>
      </c>
      <c r="H448" s="59" t="s">
        <v>132</v>
      </c>
      <c r="I448" s="59" t="s">
        <v>133</v>
      </c>
      <c r="J448" s="59" t="s">
        <v>1790</v>
      </c>
      <c r="K448" s="104"/>
      <c r="T448" s="59">
        <v>1</v>
      </c>
      <c r="U448" s="59">
        <v>2</v>
      </c>
      <c r="V448" s="20">
        <v>0</v>
      </c>
      <c r="X448" s="59">
        <v>203</v>
      </c>
      <c r="Y448" s="59" t="b">
        <v>0</v>
      </c>
      <c r="Z448" s="59" t="s">
        <v>1791</v>
      </c>
      <c r="AA448" s="59" t="b">
        <v>0</v>
      </c>
      <c r="AD448" s="59">
        <v>5.7386670112609899</v>
      </c>
      <c r="AE448" s="59">
        <v>6.74</v>
      </c>
      <c r="AH448" s="59">
        <v>0.1</v>
      </c>
      <c r="AL448" s="59">
        <v>13</v>
      </c>
      <c r="AO448" s="59">
        <v>20</v>
      </c>
      <c r="AT448" s="59" t="str">
        <f t="shared" si="44"/>
        <v>本将军奉命前来向各位“借”点粮草，还请各位不要不识抬举。</v>
      </c>
      <c r="AU448" s="59" t="s">
        <v>1792</v>
      </c>
    </row>
    <row r="449" spans="1:48" s="59" customFormat="1">
      <c r="A449" s="59">
        <v>230007</v>
      </c>
      <c r="C449" s="59">
        <v>2</v>
      </c>
      <c r="D449" s="59" t="str">
        <f t="shared" si="43"/>
        <v>项楚3关-TID_DialogueConf_230007_name_772287549395_CN_Main</v>
      </c>
      <c r="E449" s="59" t="s">
        <v>412</v>
      </c>
      <c r="F449" s="20" t="str">
        <f>VLOOKUP(G449,'#TID_base_up'!B:C,2,0)</f>
        <v>苏觉</v>
      </c>
      <c r="G449" s="59" t="s">
        <v>1793</v>
      </c>
      <c r="H449" s="59" t="s">
        <v>132</v>
      </c>
      <c r="I449" s="59" t="s">
        <v>1794</v>
      </c>
      <c r="J449" s="59" t="s">
        <v>1795</v>
      </c>
      <c r="K449" s="104"/>
      <c r="T449" s="59">
        <v>1</v>
      </c>
      <c r="U449" s="59">
        <v>2</v>
      </c>
      <c r="V449" s="20">
        <v>0</v>
      </c>
      <c r="X449" s="59">
        <v>203</v>
      </c>
      <c r="Y449" s="59" t="b">
        <v>0</v>
      </c>
      <c r="Z449" s="59" t="s">
        <v>1796</v>
      </c>
      <c r="AA449" s="59" t="b">
        <v>0</v>
      </c>
      <c r="AD449" s="59">
        <v>3.29066705703735</v>
      </c>
      <c r="AE449" s="59">
        <v>4.29</v>
      </c>
      <c r="AH449" s="59">
        <v>0.1</v>
      </c>
      <c r="AL449" s="59">
        <v>13</v>
      </c>
      <c r="AO449" s="59">
        <v>36</v>
      </c>
      <c r="AP449" s="59">
        <v>1</v>
      </c>
      <c r="AT449" s="59" t="str">
        <f t="shared" si="44"/>
        <v>借粮？做你的春秋大梦！</v>
      </c>
      <c r="AU449" s="59" t="s">
        <v>1797</v>
      </c>
    </row>
    <row r="450" spans="1:48" s="59" customFormat="1">
      <c r="A450" s="59">
        <v>230007</v>
      </c>
      <c r="C450" s="59">
        <v>3</v>
      </c>
      <c r="D450" s="59" t="str">
        <f t="shared" si="43"/>
        <v>项楚3关-TID_DialogueConf_230001_name_CN_Main</v>
      </c>
      <c r="E450" s="59" t="s">
        <v>412</v>
      </c>
      <c r="F450" s="20" t="str">
        <f>VLOOKUP(G450,'#TID_base_up'!B:C,2,0)</f>
        <v>当阳</v>
      </c>
      <c r="G450" s="59" t="s">
        <v>1771</v>
      </c>
      <c r="H450" s="59" t="s">
        <v>132</v>
      </c>
      <c r="I450" s="59" t="s">
        <v>133</v>
      </c>
      <c r="J450" s="59" t="s">
        <v>1798</v>
      </c>
      <c r="K450" s="104"/>
      <c r="T450" s="59">
        <v>1</v>
      </c>
      <c r="U450" s="59">
        <v>2</v>
      </c>
      <c r="V450" s="20">
        <v>0</v>
      </c>
      <c r="X450" s="59">
        <v>203</v>
      </c>
      <c r="Y450" s="59" t="b">
        <v>0</v>
      </c>
      <c r="Z450" s="59" t="s">
        <v>1799</v>
      </c>
      <c r="AA450" s="59" t="b">
        <v>0</v>
      </c>
      <c r="AD450" s="59">
        <v>1.7173329591751101</v>
      </c>
      <c r="AE450" s="59">
        <v>2.72</v>
      </c>
      <c r="AH450" s="59">
        <v>0.1</v>
      </c>
      <c r="AL450" s="59">
        <v>13</v>
      </c>
      <c r="AO450" s="59">
        <v>20</v>
      </c>
      <c r="AT450" s="59" t="str">
        <f t="shared" si="44"/>
        <v>那就是没得谈了！</v>
      </c>
      <c r="AU450" s="59" t="s">
        <v>1800</v>
      </c>
    </row>
    <row r="451" spans="1:48" s="59" customFormat="1">
      <c r="A451" s="59">
        <v>230007</v>
      </c>
      <c r="C451" s="59">
        <v>4</v>
      </c>
      <c r="D451" s="59" t="str">
        <f t="shared" si="43"/>
        <v>项楚3关-TID_DialogueConf_230001_name_CN_Main</v>
      </c>
      <c r="E451" s="59" t="s">
        <v>412</v>
      </c>
      <c r="F451" s="20" t="str">
        <f>VLOOKUP(G451,'#TID_base_up'!B:C,2,0)</f>
        <v>当阳</v>
      </c>
      <c r="G451" s="59" t="s">
        <v>1771</v>
      </c>
      <c r="H451" s="59" t="s">
        <v>132</v>
      </c>
      <c r="I451" s="59" t="s">
        <v>133</v>
      </c>
      <c r="J451" s="59" t="s">
        <v>1801</v>
      </c>
      <c r="K451" s="104"/>
      <c r="T451" s="59">
        <v>1</v>
      </c>
      <c r="U451" s="59">
        <v>2</v>
      </c>
      <c r="V451" s="20">
        <v>0</v>
      </c>
      <c r="X451" s="59">
        <v>203</v>
      </c>
      <c r="Y451" s="59" t="b">
        <v>0</v>
      </c>
      <c r="Z451" s="59" t="s">
        <v>1802</v>
      </c>
      <c r="AA451" s="59" t="b">
        <v>0</v>
      </c>
      <c r="AD451" s="59">
        <v>5.4720001220703098</v>
      </c>
      <c r="AE451" s="59">
        <v>6.47</v>
      </c>
      <c r="AH451" s="59">
        <v>0.1</v>
      </c>
      <c r="AL451" s="59">
        <v>13</v>
      </c>
      <c r="AO451" s="59">
        <v>20</v>
      </c>
      <c r="AT451" s="59" t="str">
        <f t="shared" si="44"/>
        <v>差点忘了说，攻占那些田留着，其他的该拿拿，该烧烧。</v>
      </c>
      <c r="AU451" s="59" t="s">
        <v>1803</v>
      </c>
    </row>
    <row r="452" spans="1:48" s="59" customFormat="1">
      <c r="A452" s="59">
        <v>230009</v>
      </c>
      <c r="C452" s="59">
        <v>1</v>
      </c>
      <c r="D452" s="59" t="str">
        <f t="shared" si="43"/>
        <v>项楚3关-TID_DialogueConf_210005_name_CN_Main</v>
      </c>
      <c r="E452" s="59" t="s">
        <v>412</v>
      </c>
      <c r="F452" s="20" t="str">
        <f>VLOOKUP(G452,'#TID_base_up'!B:C,2,0)</f>
        <v>项楚</v>
      </c>
      <c r="G452" s="59" t="s">
        <v>1585</v>
      </c>
      <c r="H452" s="59" t="s">
        <v>132</v>
      </c>
      <c r="I452" s="59" t="s">
        <v>1586</v>
      </c>
      <c r="J452" s="59" t="s">
        <v>1804</v>
      </c>
      <c r="K452" s="104"/>
      <c r="T452" s="59">
        <v>1</v>
      </c>
      <c r="U452" s="59">
        <v>2</v>
      </c>
      <c r="V452" s="20">
        <v>0</v>
      </c>
      <c r="X452" s="59">
        <v>203</v>
      </c>
      <c r="Y452" s="59" t="b">
        <v>0</v>
      </c>
      <c r="Z452" s="59" t="s">
        <v>1805</v>
      </c>
      <c r="AA452" s="59" t="b">
        <v>0</v>
      </c>
      <c r="AD452" s="59">
        <v>5.6960000991821298</v>
      </c>
      <c r="AE452" s="59">
        <v>6.7</v>
      </c>
      <c r="AH452" s="59">
        <v>0.1</v>
      </c>
      <c r="AL452" s="59">
        <v>13</v>
      </c>
      <c r="AO452" s="59">
        <v>19</v>
      </c>
      <c r="AT452" s="59" t="str">
        <f t="shared" si="44"/>
        <v>不要跟他们客气！能拿的全部拿走，拿不走的全部烧掉！</v>
      </c>
      <c r="AU452" s="59" t="s">
        <v>1806</v>
      </c>
    </row>
    <row r="453" spans="1:48" s="59" customFormat="1">
      <c r="A453" s="59">
        <v>230009</v>
      </c>
      <c r="C453" s="59">
        <v>2</v>
      </c>
      <c r="D453" s="59" t="str">
        <f t="shared" si="43"/>
        <v>项楚3关-TID_DialogueConf_210017_name_CN_Main</v>
      </c>
      <c r="E453" s="59" t="s">
        <v>412</v>
      </c>
      <c r="F453" s="20" t="str">
        <f>VLOOKUP(G453,'#TID_base_up'!B:C,2,0)</f>
        <v>敌军校尉</v>
      </c>
      <c r="G453" s="59" t="s">
        <v>1609</v>
      </c>
      <c r="H453" s="59" t="s">
        <v>132</v>
      </c>
      <c r="I453" s="59" t="s">
        <v>1581</v>
      </c>
      <c r="J453" s="59" t="s">
        <v>1807</v>
      </c>
      <c r="K453" s="104"/>
      <c r="T453" s="59">
        <v>1</v>
      </c>
      <c r="U453" s="59">
        <v>2</v>
      </c>
      <c r="V453" s="20">
        <v>0</v>
      </c>
      <c r="X453" s="59">
        <v>203</v>
      </c>
      <c r="Y453" s="59" t="b">
        <v>0</v>
      </c>
      <c r="Z453" s="59" t="s">
        <v>1808</v>
      </c>
      <c r="AA453" s="59" t="b">
        <v>0</v>
      </c>
      <c r="AD453" s="59">
        <v>4.4718332290649396</v>
      </c>
      <c r="AE453" s="59">
        <v>5.47</v>
      </c>
      <c r="AH453" s="59">
        <v>0.1</v>
      </c>
      <c r="AL453" s="59">
        <v>13</v>
      </c>
      <c r="AP453" s="59">
        <v>1</v>
      </c>
      <c r="AT453" s="59" t="str">
        <f t="shared" si="44"/>
        <v>贼子！不想活了吗？你可知道这是谁的军粮！</v>
      </c>
      <c r="AU453" s="59" t="s">
        <v>1809</v>
      </c>
    </row>
    <row r="454" spans="1:48" s="59" customFormat="1">
      <c r="A454" s="59">
        <v>230009</v>
      </c>
      <c r="C454" s="59">
        <v>3</v>
      </c>
      <c r="D454" s="59" t="str">
        <f t="shared" si="43"/>
        <v>项楚3关-TID_DialogueConf_210005_name_CN_Main</v>
      </c>
      <c r="E454" s="59" t="s">
        <v>412</v>
      </c>
      <c r="F454" s="20" t="str">
        <f>VLOOKUP(G454,'#TID_base_up'!B:C,2,0)</f>
        <v>项楚</v>
      </c>
      <c r="G454" s="59" t="s">
        <v>1585</v>
      </c>
      <c r="H454" s="59" t="s">
        <v>132</v>
      </c>
      <c r="I454" s="59" t="s">
        <v>1586</v>
      </c>
      <c r="J454" s="59" t="s">
        <v>1810</v>
      </c>
      <c r="K454" s="104"/>
      <c r="T454" s="59">
        <v>1</v>
      </c>
      <c r="U454" s="59">
        <v>2</v>
      </c>
      <c r="V454" s="20">
        <v>0</v>
      </c>
      <c r="X454" s="59">
        <v>203</v>
      </c>
      <c r="Y454" s="59" t="b">
        <v>0</v>
      </c>
      <c r="Z454" s="59" t="s">
        <v>1811</v>
      </c>
      <c r="AA454" s="59" t="b">
        <v>0</v>
      </c>
      <c r="AD454" s="59">
        <v>4.1440000534057599</v>
      </c>
      <c r="AE454" s="59">
        <v>5.14</v>
      </c>
      <c r="AH454" s="59">
        <v>0.1</v>
      </c>
      <c r="AL454" s="59">
        <v>13</v>
      </c>
      <c r="AO454" s="59">
        <v>19</v>
      </c>
      <c r="AT454" s="59" t="str">
        <f t="shared" si="44"/>
        <v>就算是天王老子的军粮，我也要定了！</v>
      </c>
      <c r="AU454" s="59" t="s">
        <v>1812</v>
      </c>
    </row>
    <row r="455" spans="1:48" s="59" customFormat="1">
      <c r="A455" s="59">
        <v>230010</v>
      </c>
      <c r="C455" s="59">
        <v>1</v>
      </c>
      <c r="D455" s="59" t="str">
        <f t="shared" si="43"/>
        <v>项楚3关-TID_DialogueConf_230010_name_CN_Main</v>
      </c>
      <c r="E455" s="59" t="s">
        <v>412</v>
      </c>
      <c r="F455" s="20" t="str">
        <f>VLOOKUP(G455,'#TID_base_up'!B:C,2,0)</f>
        <v>章汉</v>
      </c>
      <c r="G455" s="59" t="s">
        <v>1813</v>
      </c>
      <c r="H455" s="59" t="s">
        <v>132</v>
      </c>
      <c r="I455" s="59" t="s">
        <v>1794</v>
      </c>
      <c r="J455" s="59" t="s">
        <v>1814</v>
      </c>
      <c r="K455" s="104"/>
      <c r="T455" s="59">
        <v>1</v>
      </c>
      <c r="U455" s="59">
        <v>2</v>
      </c>
      <c r="V455" s="20">
        <v>0</v>
      </c>
      <c r="X455" s="59">
        <v>203</v>
      </c>
      <c r="Y455" s="59" t="b">
        <v>0</v>
      </c>
      <c r="Z455" s="59" t="s">
        <v>1815</v>
      </c>
      <c r="AA455" s="59" t="b">
        <v>0</v>
      </c>
      <c r="AD455" s="59">
        <v>5.4542918205261204</v>
      </c>
      <c r="AE455" s="59">
        <v>6.45</v>
      </c>
      <c r="AH455" s="59">
        <v>0.1</v>
      </c>
      <c r="AL455" s="59">
        <v>13</v>
      </c>
      <c r="AO455" s="59">
        <v>54</v>
      </c>
      <c r="AP455" s="59">
        <v>1</v>
      </c>
      <c r="AT455" s="59" t="str">
        <f t="shared" si="44"/>
        <v>就你这支杂牌队伍，还妄图与我军对抗？</v>
      </c>
      <c r="AU455" s="59" t="s">
        <v>1816</v>
      </c>
    </row>
    <row r="456" spans="1:48" s="59" customFormat="1">
      <c r="A456" s="59">
        <v>230010</v>
      </c>
      <c r="C456" s="59">
        <v>2</v>
      </c>
      <c r="D456" s="59" t="str">
        <f t="shared" si="43"/>
        <v>项楚3关-TID_DialogueConf_210005_name_CN_Main</v>
      </c>
      <c r="E456" s="59" t="s">
        <v>412</v>
      </c>
      <c r="F456" s="20" t="str">
        <f>VLOOKUP(G456,'#TID_base_up'!B:C,2,0)</f>
        <v>项楚</v>
      </c>
      <c r="G456" s="59" t="s">
        <v>1585</v>
      </c>
      <c r="H456" s="59" t="s">
        <v>132</v>
      </c>
      <c r="I456" s="59" t="s">
        <v>1586</v>
      </c>
      <c r="J456" s="59" t="s">
        <v>1817</v>
      </c>
      <c r="K456" s="104"/>
      <c r="T456" s="59">
        <v>1</v>
      </c>
      <c r="U456" s="59">
        <v>2</v>
      </c>
      <c r="V456" s="20">
        <v>0</v>
      </c>
      <c r="X456" s="59">
        <v>203</v>
      </c>
      <c r="Y456" s="59" t="b">
        <v>0</v>
      </c>
      <c r="Z456" s="59" t="s">
        <v>1818</v>
      </c>
      <c r="AA456" s="59" t="b">
        <v>0</v>
      </c>
      <c r="AD456" s="59">
        <v>4.5653328895568803</v>
      </c>
      <c r="AE456" s="59">
        <v>5.57</v>
      </c>
      <c r="AH456" s="59">
        <v>0.1</v>
      </c>
      <c r="AL456" s="59">
        <v>13</v>
      </c>
      <c r="AO456" s="59">
        <v>19</v>
      </c>
      <c r="AT456" s="59" t="str">
        <f t="shared" si="44"/>
        <v>刀走刚猛，剑走偏锋，我这支队伍既能是剑，也能是刀。
遇上我算你倒霉了。</v>
      </c>
      <c r="AU456" s="59" t="s">
        <v>1819</v>
      </c>
      <c r="AV456" s="104"/>
    </row>
    <row r="457" spans="1:48" s="59" customFormat="1">
      <c r="A457" s="59">
        <v>230013</v>
      </c>
      <c r="C457" s="59">
        <v>1</v>
      </c>
      <c r="D457" s="59" t="str">
        <f t="shared" si="43"/>
        <v>项楚3关-TID_DialogueConf_230010_name_CN_Main</v>
      </c>
      <c r="E457" s="59" t="s">
        <v>412</v>
      </c>
      <c r="F457" s="20" t="str">
        <f>VLOOKUP(G457,'#TID_base_up'!B:C,2,0)</f>
        <v>章汉</v>
      </c>
      <c r="G457" s="59" t="s">
        <v>1813</v>
      </c>
      <c r="H457" s="59" t="s">
        <v>132</v>
      </c>
      <c r="I457" s="59" t="s">
        <v>1794</v>
      </c>
      <c r="J457" s="59" t="s">
        <v>1820</v>
      </c>
      <c r="K457" s="104"/>
      <c r="T457" s="59">
        <v>1</v>
      </c>
      <c r="U457" s="59">
        <v>2</v>
      </c>
      <c r="V457" s="20">
        <v>0</v>
      </c>
      <c r="X457" s="59">
        <v>203</v>
      </c>
      <c r="Y457" s="59" t="b">
        <v>0</v>
      </c>
      <c r="Z457" s="59" t="s">
        <v>1821</v>
      </c>
      <c r="AA457" s="59" t="b">
        <v>0</v>
      </c>
      <c r="AD457" s="59">
        <v>4.4892082214355504</v>
      </c>
      <c r="AE457" s="59">
        <v>5.49</v>
      </c>
      <c r="AH457" s="59">
        <v>0.1</v>
      </c>
      <c r="AL457" s="59">
        <v>13</v>
      </c>
      <c r="AO457" s="59">
        <v>54</v>
      </c>
      <c r="AP457" s="59">
        <v>1</v>
      </c>
      <c r="AT457" s="59" t="str">
        <f t="shared" si="44"/>
        <v>唔！你！撤退！快退！</v>
      </c>
      <c r="AU457" s="59" t="s">
        <v>1822</v>
      </c>
    </row>
    <row r="458" spans="1:48" s="59" customFormat="1">
      <c r="A458" s="59">
        <v>230013</v>
      </c>
      <c r="C458" s="59">
        <v>2</v>
      </c>
      <c r="D458" s="59" t="str">
        <f t="shared" si="43"/>
        <v>项楚3关-TID_DialogueConf_210005_name_CN_Main</v>
      </c>
      <c r="E458" s="59" t="s">
        <v>412</v>
      </c>
      <c r="F458" s="20" t="str">
        <f>VLOOKUP(G458,'#TID_base_up'!B:C,2,0)</f>
        <v>项楚</v>
      </c>
      <c r="G458" s="59" t="s">
        <v>1585</v>
      </c>
      <c r="H458" s="59" t="s">
        <v>132</v>
      </c>
      <c r="I458" s="59" t="s">
        <v>1586</v>
      </c>
      <c r="J458" s="59" t="s">
        <v>1823</v>
      </c>
      <c r="K458" s="104"/>
      <c r="T458" s="59">
        <v>1</v>
      </c>
      <c r="U458" s="59">
        <v>2</v>
      </c>
      <c r="V458" s="20">
        <v>0</v>
      </c>
      <c r="X458" s="59">
        <v>203</v>
      </c>
      <c r="Y458" s="59" t="b">
        <v>0</v>
      </c>
      <c r="Z458" s="59" t="s">
        <v>1824</v>
      </c>
      <c r="AA458" s="59" t="b">
        <v>0</v>
      </c>
      <c r="AD458" s="59">
        <v>1.48266696929932</v>
      </c>
      <c r="AE458" s="59">
        <v>2.48</v>
      </c>
      <c r="AH458" s="59">
        <v>0.1</v>
      </c>
      <c r="AL458" s="59">
        <v>13</v>
      </c>
      <c r="AO458" s="59">
        <v>19</v>
      </c>
      <c r="AT458" s="59" t="str">
        <f t="shared" si="44"/>
        <v>跑的倒是挺快！</v>
      </c>
      <c r="AU458" s="59" t="s">
        <v>1825</v>
      </c>
    </row>
    <row r="459" spans="1:48" s="59" customFormat="1">
      <c r="A459" s="59">
        <v>230015</v>
      </c>
      <c r="C459" s="59">
        <v>1</v>
      </c>
      <c r="D459" s="59" t="str">
        <f t="shared" si="43"/>
        <v>项楚3关-TID_DialogueConf_230001_name_CN_Main</v>
      </c>
      <c r="E459" s="59" t="s">
        <v>412</v>
      </c>
      <c r="F459" s="20" t="str">
        <f>VLOOKUP(G459,'#TID_base_up'!B:C,2,0)</f>
        <v>当阳</v>
      </c>
      <c r="G459" s="59" t="s">
        <v>1771</v>
      </c>
      <c r="H459" s="59" t="s">
        <v>132</v>
      </c>
      <c r="I459" s="59" t="s">
        <v>133</v>
      </c>
      <c r="J459" s="59" t="s">
        <v>1826</v>
      </c>
      <c r="K459" s="104"/>
      <c r="T459" s="59">
        <v>1</v>
      </c>
      <c r="U459" s="59">
        <v>2</v>
      </c>
      <c r="V459" s="20">
        <v>0</v>
      </c>
      <c r="X459" s="59">
        <v>203</v>
      </c>
      <c r="Y459" s="59" t="b">
        <v>0</v>
      </c>
      <c r="Z459" s="59" t="s">
        <v>1827</v>
      </c>
      <c r="AA459" s="59" t="b">
        <v>0</v>
      </c>
      <c r="AD459" s="59">
        <v>3.7386670112609899</v>
      </c>
      <c r="AE459" s="59">
        <v>4.74</v>
      </c>
      <c r="AH459" s="59">
        <v>0.1</v>
      </c>
      <c r="AL459" s="59">
        <v>13</v>
      </c>
      <c r="AO459" s="59">
        <v>20</v>
      </c>
      <c r="AT459" s="59" t="str">
        <f t="shared" si="44"/>
        <v>章汉这厮的确不简单，我军损失惨重，急需休整。</v>
      </c>
      <c r="AU459" s="59" t="s">
        <v>1828</v>
      </c>
    </row>
    <row r="460" spans="1:48" s="59" customFormat="1">
      <c r="A460" s="59">
        <v>230015</v>
      </c>
      <c r="C460" s="59">
        <v>2</v>
      </c>
      <c r="D460" s="59" t="str">
        <f t="shared" si="43"/>
        <v>项楚3关-TID_DialogueConf_210005_name_CN_Main</v>
      </c>
      <c r="E460" s="59" t="s">
        <v>412</v>
      </c>
      <c r="F460" s="20" t="str">
        <f>VLOOKUP(G460,'#TID_base_up'!B:C,2,0)</f>
        <v>项楚</v>
      </c>
      <c r="G460" s="59" t="s">
        <v>1585</v>
      </c>
      <c r="H460" s="59" t="s">
        <v>132</v>
      </c>
      <c r="I460" s="59" t="s">
        <v>1586</v>
      </c>
      <c r="J460" s="59" t="s">
        <v>1829</v>
      </c>
      <c r="K460" s="104"/>
      <c r="T460" s="59">
        <v>1</v>
      </c>
      <c r="U460" s="59">
        <v>2</v>
      </c>
      <c r="V460" s="20">
        <v>0</v>
      </c>
      <c r="X460" s="59">
        <v>203</v>
      </c>
      <c r="Y460" s="59" t="b">
        <v>0</v>
      </c>
      <c r="Z460" s="59" t="s">
        <v>1830</v>
      </c>
      <c r="AA460" s="59" t="b">
        <v>0</v>
      </c>
      <c r="AD460" s="59">
        <v>3.7483539581298801</v>
      </c>
      <c r="AE460" s="59">
        <v>4.75</v>
      </c>
      <c r="AH460" s="59">
        <v>0.1</v>
      </c>
      <c r="AL460" s="59">
        <v>13</v>
      </c>
      <c r="AO460" s="59">
        <v>19</v>
      </c>
      <c r="AT460" s="59" t="str">
        <f t="shared" si="44"/>
        <v>粮草尚有富余，我们需要更多的士兵！</v>
      </c>
      <c r="AU460" s="59" t="s">
        <v>1831</v>
      </c>
    </row>
    <row r="461" spans="1:48" s="59" customFormat="1">
      <c r="A461" s="59">
        <v>230016</v>
      </c>
      <c r="C461" s="59">
        <v>1</v>
      </c>
      <c r="D461" s="59" t="str">
        <f t="shared" si="43"/>
        <v>项楚3关-TID_DialogueConf_210005_name_CN_Main</v>
      </c>
      <c r="E461" s="59" t="s">
        <v>412</v>
      </c>
      <c r="F461" s="20" t="str">
        <f>VLOOKUP(G461,'#TID_base_up'!B:C,2,0)</f>
        <v>项楚</v>
      </c>
      <c r="G461" s="59" t="s">
        <v>1585</v>
      </c>
      <c r="H461" s="59" t="s">
        <v>132</v>
      </c>
      <c r="I461" s="59" t="s">
        <v>1586</v>
      </c>
      <c r="J461" s="59" t="s">
        <v>1832</v>
      </c>
      <c r="K461" s="104"/>
      <c r="T461" s="59">
        <v>1</v>
      </c>
      <c r="U461" s="59">
        <v>2</v>
      </c>
      <c r="V461" s="20">
        <v>0</v>
      </c>
      <c r="X461" s="59">
        <v>203</v>
      </c>
      <c r="Y461" s="59" t="b">
        <v>0</v>
      </c>
      <c r="Z461" s="59" t="s">
        <v>1833</v>
      </c>
      <c r="AA461" s="59" t="b">
        <v>0</v>
      </c>
      <c r="AD461" s="59">
        <v>3.0506670475006099</v>
      </c>
      <c r="AE461" s="59">
        <v>4.05</v>
      </c>
      <c r="AH461" s="59">
        <v>0.1</v>
      </c>
      <c r="AL461" s="59">
        <v>13</v>
      </c>
      <c r="AO461" s="59">
        <v>19</v>
      </c>
      <c r="AT461" s="59" t="str">
        <f t="shared" si="44"/>
        <v>接下来还有一场硬仗要打！</v>
      </c>
      <c r="AU461" s="59" t="s">
        <v>1834</v>
      </c>
    </row>
    <row r="462" spans="1:48" s="59" customFormat="1">
      <c r="A462" s="59">
        <v>230017</v>
      </c>
      <c r="C462" s="59">
        <v>1</v>
      </c>
      <c r="D462" s="59" t="str">
        <f t="shared" si="43"/>
        <v>项楚3关-TID_DialogueConf_230017_name_CN_Main</v>
      </c>
      <c r="E462" s="59" t="s">
        <v>412</v>
      </c>
      <c r="F462" s="20" t="str">
        <f>VLOOKUP(G462,'#TID_base_up'!B:C,2,0)</f>
        <v>友军守军</v>
      </c>
      <c r="G462" s="59" t="s">
        <v>1835</v>
      </c>
      <c r="H462" s="59" t="s">
        <v>132</v>
      </c>
      <c r="I462" s="59" t="s">
        <v>1573</v>
      </c>
      <c r="J462" s="59" t="s">
        <v>1836</v>
      </c>
      <c r="K462" s="104"/>
      <c r="T462" s="59">
        <v>1</v>
      </c>
      <c r="U462" s="59">
        <v>2</v>
      </c>
      <c r="V462" s="20">
        <v>0</v>
      </c>
      <c r="X462" s="59">
        <v>203</v>
      </c>
      <c r="Y462" s="59" t="b">
        <v>0</v>
      </c>
      <c r="Z462" s="59" t="s">
        <v>1837</v>
      </c>
      <c r="AA462" s="59" t="b">
        <v>0</v>
      </c>
      <c r="AD462" s="59">
        <v>2.9813330173492401</v>
      </c>
      <c r="AE462" s="59">
        <v>3.98</v>
      </c>
      <c r="AH462" s="59">
        <v>0.1</v>
      </c>
      <c r="AL462" s="59">
        <v>13</v>
      </c>
      <c r="AT462" s="59" t="str">
        <f t="shared" si="44"/>
        <v>是项将军的援军，我们有救了！</v>
      </c>
      <c r="AU462" s="59" t="s">
        <v>1838</v>
      </c>
    </row>
    <row r="463" spans="1:48" s="59" customFormat="1">
      <c r="A463" s="59">
        <v>230018</v>
      </c>
      <c r="C463" s="59">
        <v>1</v>
      </c>
      <c r="D463" s="59" t="str">
        <f t="shared" si="43"/>
        <v>项楚3关-TID_DialogueConf_210017_name_CN_Main</v>
      </c>
      <c r="E463" s="59" t="s">
        <v>412</v>
      </c>
      <c r="F463" s="20" t="str">
        <f>VLOOKUP(G463,'#TID_base_up'!B:C,2,0)</f>
        <v>敌军校尉</v>
      </c>
      <c r="G463" s="59" t="s">
        <v>1609</v>
      </c>
      <c r="H463" s="59" t="s">
        <v>132</v>
      </c>
      <c r="I463" s="59" t="s">
        <v>1581</v>
      </c>
      <c r="J463" s="59" t="s">
        <v>1839</v>
      </c>
      <c r="K463" s="104"/>
      <c r="T463" s="59">
        <v>1</v>
      </c>
      <c r="U463" s="59">
        <v>2</v>
      </c>
      <c r="V463" s="20">
        <v>0</v>
      </c>
      <c r="X463" s="59">
        <v>203</v>
      </c>
      <c r="Y463" s="59" t="b">
        <v>0</v>
      </c>
      <c r="Z463" s="59" t="s">
        <v>1840</v>
      </c>
      <c r="AA463" s="59" t="b">
        <v>0</v>
      </c>
      <c r="AD463" s="59">
        <v>3.2513329982757599</v>
      </c>
      <c r="AE463" s="59">
        <v>4.25</v>
      </c>
      <c r="AH463" s="59">
        <v>0.1</v>
      </c>
      <c r="AL463" s="59">
        <v>13</v>
      </c>
      <c r="AP463" s="59">
        <v>1</v>
      </c>
      <c r="AT463" s="59" t="str">
        <f t="shared" si="44"/>
        <v>快，快搬救兵！这群人疯了！</v>
      </c>
      <c r="AU463" s="59" t="s">
        <v>1841</v>
      </c>
    </row>
    <row r="464" spans="1:48" s="59" customFormat="1">
      <c r="A464" s="59">
        <v>230018</v>
      </c>
      <c r="C464" s="59">
        <v>2</v>
      </c>
      <c r="D464" s="59" t="str">
        <f t="shared" si="43"/>
        <v>项楚3关-TID_DialogueConf_210005_name_CN_Main</v>
      </c>
      <c r="E464" s="59" t="s">
        <v>412</v>
      </c>
      <c r="F464" s="20" t="str">
        <f>VLOOKUP(G464,'#TID_base_up'!B:C,2,0)</f>
        <v>项楚</v>
      </c>
      <c r="G464" s="59" t="s">
        <v>1585</v>
      </c>
      <c r="H464" s="59" t="s">
        <v>132</v>
      </c>
      <c r="I464" s="59" t="s">
        <v>1586</v>
      </c>
      <c r="J464" s="59" t="s">
        <v>1842</v>
      </c>
      <c r="K464" s="104"/>
      <c r="T464" s="59">
        <v>1</v>
      </c>
      <c r="U464" s="59">
        <v>2</v>
      </c>
      <c r="V464" s="20">
        <v>0</v>
      </c>
      <c r="X464" s="59">
        <v>203</v>
      </c>
      <c r="Y464" s="59" t="b">
        <v>0</v>
      </c>
      <c r="Z464" s="59" t="s">
        <v>1843</v>
      </c>
      <c r="AA464" s="59" t="b">
        <v>0</v>
      </c>
      <c r="AD464" s="59">
        <v>3.4346671104431201</v>
      </c>
      <c r="AE464" s="59">
        <v>4.43</v>
      </c>
      <c r="AH464" s="59">
        <v>0.1</v>
      </c>
      <c r="AL464" s="59">
        <v>13</v>
      </c>
      <c r="AO464" s="59">
        <v>19</v>
      </c>
      <c r="AT464" s="59" t="str">
        <f t="shared" si="44"/>
        <v>秦军在派遣增援，兄弟们不要懈怠！</v>
      </c>
      <c r="AU464" s="59" t="s">
        <v>1844</v>
      </c>
    </row>
    <row r="465" spans="1:47" s="59" customFormat="1">
      <c r="A465" s="59">
        <v>230019</v>
      </c>
      <c r="C465" s="59">
        <v>1</v>
      </c>
      <c r="D465" s="59" t="str">
        <f t="shared" si="43"/>
        <v>项楚3关-TID_DialogueConf_230019_name_CN_Main</v>
      </c>
      <c r="E465" s="59" t="s">
        <v>412</v>
      </c>
      <c r="F465" s="20" t="str">
        <f>VLOOKUP(G465,'#TID_base_up'!B:C,2,0)</f>
        <v>王戾</v>
      </c>
      <c r="G465" s="59" t="s">
        <v>1845</v>
      </c>
      <c r="H465" s="59" t="s">
        <v>132</v>
      </c>
      <c r="I465" s="59" t="s">
        <v>1794</v>
      </c>
      <c r="J465" s="59" t="s">
        <v>1846</v>
      </c>
      <c r="K465" s="104"/>
      <c r="T465" s="59">
        <v>1</v>
      </c>
      <c r="U465" s="59">
        <v>2</v>
      </c>
      <c r="V465" s="20">
        <v>0</v>
      </c>
      <c r="X465" s="59">
        <v>203</v>
      </c>
      <c r="Y465" s="59" t="b">
        <v>0</v>
      </c>
      <c r="Z465" s="59" t="s">
        <v>1847</v>
      </c>
      <c r="AA465" s="59" t="b">
        <v>0</v>
      </c>
      <c r="AD465" s="59">
        <v>3.4564790725707999</v>
      </c>
      <c r="AE465" s="59">
        <v>4.46</v>
      </c>
      <c r="AH465" s="59">
        <v>0.1</v>
      </c>
      <c r="AL465" s="59">
        <v>13</v>
      </c>
      <c r="AO465" s="59">
        <v>72</v>
      </c>
      <c r="AP465" s="59">
        <v>1</v>
      </c>
      <c r="AT465" s="59" t="str">
        <f t="shared" si="44"/>
        <v>螳臂挡车，你人没了。</v>
      </c>
      <c r="AU465" s="59" t="s">
        <v>1848</v>
      </c>
    </row>
    <row r="466" spans="1:47" s="59" customFormat="1">
      <c r="A466" s="59">
        <v>230019</v>
      </c>
      <c r="C466" s="59">
        <v>2</v>
      </c>
      <c r="D466" s="59" t="str">
        <f t="shared" si="43"/>
        <v>项楚3关-TID_DialogueConf_210005_name_CN_Main</v>
      </c>
      <c r="E466" s="59" t="s">
        <v>412</v>
      </c>
      <c r="F466" s="20" t="str">
        <f>VLOOKUP(G466,'#TID_base_up'!B:C,2,0)</f>
        <v>项楚</v>
      </c>
      <c r="G466" s="59" t="s">
        <v>1585</v>
      </c>
      <c r="H466" s="59" t="s">
        <v>132</v>
      </c>
      <c r="I466" s="59" t="s">
        <v>1586</v>
      </c>
      <c r="J466" s="59" t="s">
        <v>1849</v>
      </c>
      <c r="K466" s="104"/>
      <c r="T466" s="59">
        <v>1</v>
      </c>
      <c r="U466" s="59">
        <v>2</v>
      </c>
      <c r="V466" s="20">
        <v>0</v>
      </c>
      <c r="X466" s="59">
        <v>203</v>
      </c>
      <c r="Y466" s="59" t="b">
        <v>0</v>
      </c>
      <c r="Z466" s="59" t="s">
        <v>1850</v>
      </c>
      <c r="AA466" s="59" t="b">
        <v>0</v>
      </c>
      <c r="AD466" s="59">
        <v>2.1546669006347701</v>
      </c>
      <c r="AE466" s="59">
        <v>3.15</v>
      </c>
      <c r="AH466" s="59">
        <v>0.1</v>
      </c>
      <c r="AL466" s="59">
        <v>13</v>
      </c>
      <c r="AO466" s="59">
        <v>19</v>
      </c>
      <c r="AT466" s="59" t="str">
        <f t="shared" si="44"/>
        <v>就怕你没那个能耐！</v>
      </c>
      <c r="AU466" s="59" t="s">
        <v>1851</v>
      </c>
    </row>
    <row r="467" spans="1:47" s="59" customFormat="1">
      <c r="A467" s="59">
        <v>230020</v>
      </c>
      <c r="C467" s="59">
        <v>1</v>
      </c>
      <c r="D467" s="59" t="str">
        <f t="shared" si="43"/>
        <v>项楚3关-TID_DialogueConf_230019_name_CN_Main</v>
      </c>
      <c r="E467" s="59" t="s">
        <v>412</v>
      </c>
      <c r="F467" s="20" t="str">
        <f>VLOOKUP(G467,'#TID_base_up'!B:C,2,0)</f>
        <v>王戾</v>
      </c>
      <c r="G467" s="59" t="s">
        <v>1845</v>
      </c>
      <c r="H467" s="59" t="s">
        <v>132</v>
      </c>
      <c r="I467" s="59" t="s">
        <v>1794</v>
      </c>
      <c r="J467" s="59" t="s">
        <v>1852</v>
      </c>
      <c r="K467" s="104"/>
      <c r="T467" s="59">
        <v>1</v>
      </c>
      <c r="U467" s="59">
        <v>2</v>
      </c>
      <c r="V467" s="20">
        <v>0</v>
      </c>
      <c r="X467" s="59">
        <v>203</v>
      </c>
      <c r="Y467" s="59" t="b">
        <v>0</v>
      </c>
      <c r="Z467" s="59" t="s">
        <v>1853</v>
      </c>
      <c r="AA467" s="59" t="b">
        <v>0</v>
      </c>
      <c r="AD467" s="59">
        <v>2.4746670722961399</v>
      </c>
      <c r="AE467" s="59">
        <v>3.47</v>
      </c>
      <c r="AH467" s="59">
        <v>0.1</v>
      </c>
      <c r="AL467" s="59">
        <v>13</v>
      </c>
      <c r="AO467" s="59">
        <v>72</v>
      </c>
      <c r="AP467" s="59">
        <v>1</v>
      </c>
      <c r="AT467" s="59" t="str">
        <f t="shared" si="44"/>
        <v>啊，可恶！</v>
      </c>
      <c r="AU467" s="59" t="s">
        <v>1854</v>
      </c>
    </row>
    <row r="468" spans="1:47" s="59" customFormat="1">
      <c r="A468" s="59">
        <v>230020</v>
      </c>
      <c r="C468" s="59">
        <v>2</v>
      </c>
      <c r="D468" s="59" t="str">
        <f t="shared" si="43"/>
        <v>项楚3关-TID_DialogueConf_210005_name_CN_Main</v>
      </c>
      <c r="E468" s="59" t="s">
        <v>412</v>
      </c>
      <c r="F468" s="20" t="str">
        <f>VLOOKUP(G468,'#TID_base_up'!B:C,2,0)</f>
        <v>项楚</v>
      </c>
      <c r="G468" s="59" t="s">
        <v>1585</v>
      </c>
      <c r="H468" s="59" t="s">
        <v>132</v>
      </c>
      <c r="I468" s="59" t="s">
        <v>1586</v>
      </c>
      <c r="J468" s="59" t="s">
        <v>1855</v>
      </c>
      <c r="K468" s="104"/>
      <c r="T468" s="59">
        <v>1</v>
      </c>
      <c r="U468" s="59">
        <v>2</v>
      </c>
      <c r="V468" s="20">
        <v>0</v>
      </c>
      <c r="X468" s="59">
        <v>203</v>
      </c>
      <c r="Y468" s="59" t="b">
        <v>0</v>
      </c>
      <c r="Z468" s="59" t="s">
        <v>1856</v>
      </c>
      <c r="AA468" s="59" t="b">
        <v>0</v>
      </c>
      <c r="AD468" s="59">
        <v>3.66933298110962</v>
      </c>
      <c r="AE468" s="59">
        <v>4.67</v>
      </c>
      <c r="AH468" s="59">
        <v>0.1</v>
      </c>
      <c r="AL468" s="59">
        <v>13</v>
      </c>
      <c r="AO468" s="59">
        <v>19</v>
      </c>
      <c r="AT468" s="59" t="str">
        <f t="shared" si="44"/>
        <v>哈哈哈哈哈，痛快痛快，再来！</v>
      </c>
      <c r="AU468" s="59" t="s">
        <v>1857</v>
      </c>
    </row>
    <row r="469" spans="1:47" s="59" customFormat="1">
      <c r="A469" s="59">
        <v>230021</v>
      </c>
      <c r="C469" s="59">
        <v>1</v>
      </c>
      <c r="D469" s="59" t="str">
        <f t="shared" si="43"/>
        <v>项楚3关-TID_DialogueConf_230021_name_CN_Main</v>
      </c>
      <c r="E469" s="59" t="s">
        <v>412</v>
      </c>
      <c r="F469" s="20" t="str">
        <f>VLOOKUP(G469,'#TID_base_up'!B:C,2,0)</f>
        <v>佘鉴</v>
      </c>
      <c r="G469" s="59" t="s">
        <v>1858</v>
      </c>
      <c r="H469" s="59" t="s">
        <v>132</v>
      </c>
      <c r="I469" s="59" t="s">
        <v>1794</v>
      </c>
      <c r="J469" s="59" t="s">
        <v>1859</v>
      </c>
      <c r="K469" s="104"/>
      <c r="T469" s="59">
        <v>1</v>
      </c>
      <c r="U469" s="59">
        <v>2</v>
      </c>
      <c r="V469" s="20">
        <v>0</v>
      </c>
      <c r="X469" s="59">
        <v>203</v>
      </c>
      <c r="Y469" s="59" t="b">
        <v>0</v>
      </c>
      <c r="Z469" s="59" t="s">
        <v>1860</v>
      </c>
      <c r="AA469" s="59" t="b">
        <v>0</v>
      </c>
      <c r="AD469" s="59">
        <v>4.9920001029968297</v>
      </c>
      <c r="AE469" s="59">
        <v>5.99</v>
      </c>
      <c r="AH469" s="59">
        <v>0.1</v>
      </c>
      <c r="AL469" s="59">
        <v>13</v>
      </c>
      <c r="AO469" s="59">
        <v>81</v>
      </c>
      <c r="AP469" s="59">
        <v>1</v>
      </c>
      <c r="AT469" s="59" t="str">
        <f t="shared" si="44"/>
        <v>贼子！本将军在此，还不速速投降！</v>
      </c>
      <c r="AU469" s="59" t="s">
        <v>1861</v>
      </c>
    </row>
    <row r="470" spans="1:47" s="59" customFormat="1">
      <c r="A470" s="59">
        <v>230021</v>
      </c>
      <c r="C470" s="59">
        <v>2</v>
      </c>
      <c r="D470" s="59" t="str">
        <f t="shared" si="43"/>
        <v>项楚3关-TID_DialogueConf_210005_name_CN_Main</v>
      </c>
      <c r="E470" s="59" t="s">
        <v>412</v>
      </c>
      <c r="F470" s="20" t="str">
        <f>VLOOKUP(G470,'#TID_base_up'!B:C,2,0)</f>
        <v>项楚</v>
      </c>
      <c r="G470" s="59" t="s">
        <v>1585</v>
      </c>
      <c r="H470" s="59" t="s">
        <v>132</v>
      </c>
      <c r="I470" s="59" t="s">
        <v>1586</v>
      </c>
      <c r="J470" s="59" t="s">
        <v>1862</v>
      </c>
      <c r="K470" s="104"/>
      <c r="T470" s="59">
        <v>1</v>
      </c>
      <c r="U470" s="59">
        <v>2</v>
      </c>
      <c r="V470" s="20">
        <v>0</v>
      </c>
      <c r="X470" s="59">
        <v>203</v>
      </c>
      <c r="Y470" s="59" t="b">
        <v>0</v>
      </c>
      <c r="Z470" s="59" t="s">
        <v>1863</v>
      </c>
      <c r="AA470" s="59" t="b">
        <v>0</v>
      </c>
      <c r="AD470" s="59">
        <v>5.3066668510437003</v>
      </c>
      <c r="AE470" s="59">
        <v>6.31</v>
      </c>
      <c r="AH470" s="59">
        <v>0.1</v>
      </c>
      <c r="AL470" s="59">
        <v>13</v>
      </c>
      <c r="AO470" s="59">
        <v>19</v>
      </c>
      <c r="AT470" s="59" t="str">
        <f t="shared" si="44"/>
        <v>投降？也不怕风大闪了舌头！</v>
      </c>
      <c r="AU470" s="59" t="s">
        <v>1864</v>
      </c>
    </row>
    <row r="471" spans="1:47" s="59" customFormat="1">
      <c r="A471" s="59">
        <v>230022</v>
      </c>
      <c r="C471" s="59">
        <v>1</v>
      </c>
      <c r="D471" s="59" t="str">
        <f t="shared" si="43"/>
        <v>项楚3关-TID_DialogueConf_230021_name_CN_Main</v>
      </c>
      <c r="E471" s="59" t="s">
        <v>412</v>
      </c>
      <c r="F471" s="20" t="str">
        <f>VLOOKUP(G471,'#TID_base_up'!B:C,2,0)</f>
        <v>佘鉴</v>
      </c>
      <c r="G471" s="59" t="s">
        <v>1858</v>
      </c>
      <c r="H471" s="59" t="s">
        <v>132</v>
      </c>
      <c r="I471" s="59" t="s">
        <v>1794</v>
      </c>
      <c r="J471" s="59" t="s">
        <v>1865</v>
      </c>
      <c r="K471" s="104"/>
      <c r="T471" s="59">
        <v>1</v>
      </c>
      <c r="U471" s="59">
        <v>2</v>
      </c>
      <c r="V471" s="20">
        <v>0</v>
      </c>
      <c r="X471" s="59">
        <v>203</v>
      </c>
      <c r="Y471" s="59" t="b">
        <v>0</v>
      </c>
      <c r="Z471" s="59" t="s">
        <v>1866</v>
      </c>
      <c r="AA471" s="59" t="b">
        <v>0</v>
      </c>
      <c r="AD471" s="59">
        <v>3.8613328933715798</v>
      </c>
      <c r="AE471" s="59">
        <v>4.8600000000000003</v>
      </c>
      <c r="AH471" s="59">
        <v>0.1</v>
      </c>
      <c r="AL471" s="59">
        <v>13</v>
      </c>
      <c r="AO471" s="59">
        <v>81</v>
      </c>
      <c r="AP471" s="59">
        <v>1</v>
      </c>
      <c r="AT471" s="59" t="str">
        <f t="shared" si="44"/>
        <v>居然…败在你手下…</v>
      </c>
      <c r="AU471" s="59" t="s">
        <v>1867</v>
      </c>
    </row>
    <row r="472" spans="1:47" s="59" customFormat="1">
      <c r="A472" s="59">
        <v>230022</v>
      </c>
      <c r="C472" s="59">
        <v>2</v>
      </c>
      <c r="D472" s="59" t="str">
        <f t="shared" si="43"/>
        <v>项楚3关-TID_DialogueConf_210005_name_CN_Main</v>
      </c>
      <c r="E472" s="59" t="s">
        <v>412</v>
      </c>
      <c r="F472" s="20" t="str">
        <f>VLOOKUP(G472,'#TID_base_up'!B:C,2,0)</f>
        <v>项楚</v>
      </c>
      <c r="G472" s="59" t="s">
        <v>1585</v>
      </c>
      <c r="H472" s="59" t="s">
        <v>132</v>
      </c>
      <c r="I472" s="59" t="s">
        <v>1586</v>
      </c>
      <c r="J472" s="59" t="s">
        <v>1868</v>
      </c>
      <c r="K472" s="104"/>
      <c r="T472" s="59">
        <v>1</v>
      </c>
      <c r="U472" s="59">
        <v>2</v>
      </c>
      <c r="V472" s="20">
        <v>0</v>
      </c>
      <c r="X472" s="59">
        <v>203</v>
      </c>
      <c r="Y472" s="59" t="b">
        <v>0</v>
      </c>
      <c r="Z472" s="59" t="s">
        <v>1869</v>
      </c>
      <c r="AA472" s="59" t="b">
        <v>0</v>
      </c>
      <c r="AD472" s="59">
        <v>4.6399998664856001</v>
      </c>
      <c r="AE472" s="59">
        <v>5.64</v>
      </c>
      <c r="AH472" s="59">
        <v>0.1</v>
      </c>
      <c r="AL472" s="59">
        <v>13</v>
      </c>
      <c r="AO472" s="59">
        <v>19</v>
      </c>
      <c r="AT472" s="59" t="str">
        <f t="shared" si="44"/>
        <v>就这点能耐吗！太令人失望了！</v>
      </c>
      <c r="AU472" s="59" t="s">
        <v>1870</v>
      </c>
    </row>
    <row r="473" spans="1:47" s="59" customFormat="1">
      <c r="A473" s="59">
        <v>230023</v>
      </c>
      <c r="C473" s="59">
        <v>1</v>
      </c>
      <c r="D473" s="59" t="str">
        <f t="shared" si="43"/>
        <v>项楚3关-TID_DialogueConf_230001_name_CN_Main</v>
      </c>
      <c r="E473" s="59" t="s">
        <v>412</v>
      </c>
      <c r="F473" s="20" t="str">
        <f>VLOOKUP(G473,'#TID_base_up'!B:C,2,0)</f>
        <v>当阳</v>
      </c>
      <c r="G473" s="59" t="s">
        <v>1771</v>
      </c>
      <c r="H473" s="59" t="s">
        <v>132</v>
      </c>
      <c r="I473" s="59" t="s">
        <v>133</v>
      </c>
      <c r="J473" s="59" t="s">
        <v>1871</v>
      </c>
      <c r="K473" s="104"/>
      <c r="T473" s="59">
        <v>1</v>
      </c>
      <c r="U473" s="59">
        <v>2</v>
      </c>
      <c r="V473" s="20">
        <v>0</v>
      </c>
      <c r="X473" s="59">
        <v>203</v>
      </c>
      <c r="Y473" s="59" t="b">
        <v>0</v>
      </c>
      <c r="Z473" s="59" t="s">
        <v>1872</v>
      </c>
      <c r="AA473" s="59" t="b">
        <v>0</v>
      </c>
      <c r="AD473" s="59">
        <v>4.8266668319702104</v>
      </c>
      <c r="AE473" s="59">
        <v>5.83</v>
      </c>
      <c r="AH473" s="59">
        <v>0.1</v>
      </c>
      <c r="AL473" s="59">
        <v>13</v>
      </c>
      <c r="AO473" s="59">
        <v>19</v>
      </c>
      <c r="AT473" s="59" t="str">
        <f t="shared" si="44"/>
        <v>恭喜将军，眼下城围已解，敌军败局已定！</v>
      </c>
      <c r="AU473" s="59" t="s">
        <v>1873</v>
      </c>
    </row>
    <row r="474" spans="1:47" s="59" customFormat="1">
      <c r="A474" s="59">
        <v>230023</v>
      </c>
      <c r="C474" s="59">
        <v>2</v>
      </c>
      <c r="D474" s="59" t="str">
        <f t="shared" si="43"/>
        <v>项楚3关-TID_DialogueConf_210005_name_CN_Main</v>
      </c>
      <c r="E474" s="59" t="s">
        <v>412</v>
      </c>
      <c r="F474" s="20" t="str">
        <f>VLOOKUP(G474,'#TID_base_up'!B:C,2,0)</f>
        <v>项楚</v>
      </c>
      <c r="G474" s="59" t="s">
        <v>1585</v>
      </c>
      <c r="H474" s="59" t="s">
        <v>132</v>
      </c>
      <c r="I474" s="59" t="s">
        <v>1586</v>
      </c>
      <c r="J474" s="59" t="s">
        <v>1874</v>
      </c>
      <c r="K474" s="104"/>
      <c r="T474" s="59">
        <v>1</v>
      </c>
      <c r="U474" s="59">
        <v>2</v>
      </c>
      <c r="V474" s="20">
        <v>0</v>
      </c>
      <c r="X474" s="59">
        <v>203</v>
      </c>
      <c r="Y474" s="59" t="b">
        <v>0</v>
      </c>
      <c r="Z474" s="59" t="s">
        <v>1875</v>
      </c>
      <c r="AA474" s="59" t="b">
        <v>0</v>
      </c>
      <c r="AD474" s="59">
        <v>5.9173331260681197</v>
      </c>
      <c r="AE474" s="59">
        <v>6.92</v>
      </c>
      <c r="AH474" s="59">
        <v>0.1</v>
      </c>
      <c r="AL474" s="59">
        <v>13</v>
      </c>
      <c r="AO474" s="59">
        <v>19</v>
      </c>
      <c r="AT474" s="59" t="str">
        <f t="shared" si="44"/>
        <v>哈哈哈哈，从今以后，就是我的天下了！</v>
      </c>
      <c r="AU474" s="59" t="s">
        <v>1876</v>
      </c>
    </row>
    <row r="475" spans="1:47" s="59" customFormat="1">
      <c r="A475" s="59">
        <v>230024</v>
      </c>
      <c r="C475" s="59">
        <v>1</v>
      </c>
      <c r="D475" s="59" t="str">
        <f t="shared" si="43"/>
        <v>项楚3关-TID_DialogueConf_210005_name_CN_Main</v>
      </c>
      <c r="E475" s="59" t="s">
        <v>412</v>
      </c>
      <c r="F475" s="20" t="str">
        <f>VLOOKUP(G475,'#TID_base_up'!B:C,2,0)</f>
        <v>项楚</v>
      </c>
      <c r="G475" s="59" t="s">
        <v>1585</v>
      </c>
      <c r="H475" s="59" t="s">
        <v>132</v>
      </c>
      <c r="I475" s="59" t="s">
        <v>1586</v>
      </c>
      <c r="J475" s="59" t="s">
        <v>1877</v>
      </c>
      <c r="K475" s="104"/>
      <c r="T475" s="59">
        <v>1</v>
      </c>
      <c r="U475" s="59">
        <v>2</v>
      </c>
      <c r="V475" s="20">
        <v>0</v>
      </c>
      <c r="X475" s="59">
        <v>203</v>
      </c>
      <c r="Y475" s="59" t="b">
        <v>0</v>
      </c>
      <c r="Z475" s="59" t="s">
        <v>1878</v>
      </c>
      <c r="AA475" s="59" t="b">
        <v>0</v>
      </c>
      <c r="AD475" s="59">
        <v>6.3786668777465803</v>
      </c>
      <c r="AE475" s="59">
        <v>7.38</v>
      </c>
      <c r="AH475" s="59">
        <v>0.1</v>
      </c>
      <c r="AL475" s="59">
        <v>13</v>
      </c>
      <c r="AO475" s="59">
        <v>19</v>
      </c>
      <c r="AT475" s="59" t="str">
        <f t="shared" si="44"/>
        <v>很好，两个补给营地都拿下了，是时候与章汉决一胜负了！</v>
      </c>
      <c r="AU475" s="59" t="s">
        <v>1879</v>
      </c>
    </row>
    <row r="476" spans="1:47" s="59" customFormat="1">
      <c r="A476" s="59">
        <v>230025</v>
      </c>
      <c r="C476" s="59">
        <v>1</v>
      </c>
      <c r="D476" s="59" t="str">
        <f t="shared" si="43"/>
        <v>项楚3关-TID_DialogueConf_230007_name_772287549395_CN_Main</v>
      </c>
      <c r="E476" s="59" t="s">
        <v>412</v>
      </c>
      <c r="F476" s="20" t="str">
        <f>VLOOKUP(G476,'#TID_base_up'!B:C,2,0)</f>
        <v>苏觉</v>
      </c>
      <c r="G476" s="59" t="s">
        <v>1793</v>
      </c>
      <c r="H476" s="59" t="s">
        <v>132</v>
      </c>
      <c r="I476" s="59" t="s">
        <v>1794</v>
      </c>
      <c r="J476" s="59" t="s">
        <v>1880</v>
      </c>
      <c r="K476" s="104"/>
      <c r="T476" s="59">
        <v>1</v>
      </c>
      <c r="U476" s="59">
        <v>2</v>
      </c>
      <c r="V476" s="20">
        <v>0</v>
      </c>
      <c r="X476" s="59">
        <v>203</v>
      </c>
      <c r="Y476" s="59" t="b">
        <v>0</v>
      </c>
      <c r="Z476" s="59" t="s">
        <v>1881</v>
      </c>
      <c r="AA476" s="59" t="b">
        <v>0</v>
      </c>
      <c r="AD476" s="59">
        <v>3.0186669826507599</v>
      </c>
      <c r="AE476" s="59">
        <v>4.0199999999999996</v>
      </c>
      <c r="AH476" s="59">
        <v>0.1</v>
      </c>
      <c r="AL476" s="59">
        <v>13</v>
      </c>
      <c r="AO476" s="59">
        <v>36</v>
      </c>
      <c r="AP476" s="59">
        <v>1</v>
      </c>
      <c r="AT476" s="59" t="str">
        <f t="shared" si="44"/>
        <v>借粮？做你的春秋大梦！</v>
      </c>
      <c r="AU476" s="59" t="s">
        <v>1797</v>
      </c>
    </row>
    <row r="477" spans="1:47" s="59" customFormat="1">
      <c r="A477" s="59">
        <v>230026</v>
      </c>
      <c r="C477" s="59">
        <v>1</v>
      </c>
      <c r="D477" s="59" t="str">
        <f t="shared" si="43"/>
        <v>项楚3关-TID_DialogueConf_210005_name_CN_Main</v>
      </c>
      <c r="E477" s="59" t="s">
        <v>412</v>
      </c>
      <c r="F477" s="20" t="str">
        <f>VLOOKUP(G477,'#TID_base_up'!B:C,2,0)</f>
        <v>项楚</v>
      </c>
      <c r="G477" s="59" t="s">
        <v>1585</v>
      </c>
      <c r="H477" s="59" t="s">
        <v>132</v>
      </c>
      <c r="I477" s="59" t="s">
        <v>1586</v>
      </c>
      <c r="J477" s="59" t="s">
        <v>1877</v>
      </c>
      <c r="K477" s="104"/>
      <c r="T477" s="59">
        <v>1</v>
      </c>
      <c r="U477" s="59">
        <v>2</v>
      </c>
      <c r="V477" s="20">
        <v>0</v>
      </c>
      <c r="X477" s="59">
        <v>203</v>
      </c>
      <c r="Y477" s="59" t="b">
        <v>0</v>
      </c>
      <c r="Z477" s="59" t="s">
        <v>1878</v>
      </c>
      <c r="AA477" s="59" t="b">
        <v>0</v>
      </c>
      <c r="AD477" s="59">
        <v>6.3786668777465803</v>
      </c>
      <c r="AE477" s="59">
        <v>7.38</v>
      </c>
      <c r="AH477" s="59">
        <v>0.1</v>
      </c>
      <c r="AL477" s="59">
        <v>13</v>
      </c>
      <c r="AO477" s="59">
        <v>19</v>
      </c>
      <c r="AT477" s="59" t="str">
        <f t="shared" ref="AT477:AT508" si="45">IF($AU477="","",SUBSTITUTE(SUBSTITUTE(SUBSTITUTE(SUBSTITUTE($AU477,IF($AW477="","",$AW477),IF($AW477="","",CONCATENATE("&lt;color=#FFCC71&gt;",$AW477,"&lt;/color&gt;"))),IF($AX477="","",$AX477),IF($AX477="","",CONCATENATE("&lt;color=#FFCC71&gt;",$AX477,"&lt;/color&gt;"))),IF($AY477="","",$AY477),IF($AY477="","",CONCATENATE("&lt;color=#FFCC71&gt;",$AY477,"&lt;/color&gt;"))),IF($AZ477="","",$AZ477),IF($AZ477="","",CONCATENATE("&lt;color=#FFCC71&gt;",$AZ477,"&lt;/color&gt;"))))</f>
        <v>很好，两个补给营地都拿下了，是时候与章汉决一胜负了！</v>
      </c>
      <c r="AU477" s="59" t="s">
        <v>1879</v>
      </c>
    </row>
    <row r="478" spans="1:47" s="61" customFormat="1" ht="28">
      <c r="A478" s="61">
        <v>240001</v>
      </c>
      <c r="C478" s="61">
        <v>1</v>
      </c>
      <c r="D478" s="61" t="str">
        <f t="shared" ref="D478:D496" si="46">"项楚4关-"&amp;G478</f>
        <v>项楚4关-TID_DialogueConf_240001_name_CN_Main</v>
      </c>
      <c r="E478" s="61" t="s">
        <v>412</v>
      </c>
      <c r="F478" s="20" t="str">
        <f>VLOOKUP(G478,'#TID_base_up'!B:C,2,0)</f>
        <v>斥候</v>
      </c>
      <c r="G478" s="61" t="s">
        <v>1882</v>
      </c>
      <c r="H478" s="61" t="s">
        <v>132</v>
      </c>
      <c r="I478" s="61" t="s">
        <v>1883</v>
      </c>
      <c r="J478" s="61" t="s">
        <v>1884</v>
      </c>
      <c r="K478" s="84" t="str">
        <f t="shared" ref="K478:K509" si="47">AT478</f>
        <v>刘沛这奸贼，竟然趁大王平乱之际搞偷袭，抢我良田，占我都城！简直无耻至极！</v>
      </c>
      <c r="T478" s="61">
        <v>1</v>
      </c>
      <c r="U478" s="61">
        <v>2</v>
      </c>
      <c r="V478" s="61">
        <v>0</v>
      </c>
      <c r="X478" s="61">
        <v>205</v>
      </c>
      <c r="Y478" s="61" t="b">
        <v>0</v>
      </c>
      <c r="Z478" s="61" t="s">
        <v>1885</v>
      </c>
      <c r="AA478" s="61" t="b">
        <v>0</v>
      </c>
      <c r="AD478" s="61">
        <v>7.5733327865600604</v>
      </c>
      <c r="AE478" s="61">
        <f t="shared" ref="AE478:AE509" si="48">AD478+1</f>
        <v>8.5733327865600604</v>
      </c>
      <c r="AH478" s="61">
        <v>0.1</v>
      </c>
      <c r="AL478" s="61">
        <v>13</v>
      </c>
      <c r="AO478" s="61">
        <v>12</v>
      </c>
      <c r="AT478" s="61" t="str">
        <f t="shared" si="45"/>
        <v>刘沛这奸贼，竟然趁大王平乱之际搞偷袭，抢我良田，占我都城！简直无耻至极！</v>
      </c>
      <c r="AU478" s="61" t="s">
        <v>1886</v>
      </c>
    </row>
    <row r="479" spans="1:47" s="61" customFormat="1" ht="28">
      <c r="A479" s="61">
        <v>240002</v>
      </c>
      <c r="C479" s="61">
        <v>1</v>
      </c>
      <c r="D479" s="61" t="str">
        <f t="shared" si="46"/>
        <v>项楚4关-TID_DialogueConf_210005_name_CN_Main</v>
      </c>
      <c r="E479" s="61" t="s">
        <v>412</v>
      </c>
      <c r="F479" s="20" t="str">
        <f>VLOOKUP(G479,'#TID_base_up'!B:C,2,0)</f>
        <v>项楚</v>
      </c>
      <c r="G479" s="61" t="s">
        <v>1585</v>
      </c>
      <c r="H479" s="61" t="s">
        <v>132</v>
      </c>
      <c r="I479" s="61" t="s">
        <v>1586</v>
      </c>
      <c r="J479" s="61" t="s">
        <v>1887</v>
      </c>
      <c r="K479" s="84" t="str">
        <f t="shared" si="47"/>
        <v>宵小之辈罢了！先把我们的粮草良田抢回来，让大家填饱肚子，随后一举击溃他们！</v>
      </c>
      <c r="T479" s="61">
        <v>1</v>
      </c>
      <c r="U479" s="61">
        <v>2</v>
      </c>
      <c r="V479" s="61">
        <v>0</v>
      </c>
      <c r="X479" s="61">
        <v>205</v>
      </c>
      <c r="Y479" s="61" t="b">
        <v>0</v>
      </c>
      <c r="Z479" s="61" t="s">
        <v>1888</v>
      </c>
      <c r="AA479" s="61" t="b">
        <v>0</v>
      </c>
      <c r="AD479" s="61">
        <v>8.2880001068115199</v>
      </c>
      <c r="AE479" s="61">
        <f t="shared" si="48"/>
        <v>9.2880001068115199</v>
      </c>
      <c r="AH479" s="61">
        <v>0.1</v>
      </c>
      <c r="AL479" s="61">
        <v>13</v>
      </c>
      <c r="AO479" s="61">
        <v>11</v>
      </c>
      <c r="AT479" s="61" t="str">
        <f t="shared" si="45"/>
        <v>宵小之辈罢了！先把我们的粮草良田抢回来，让大家填饱肚子，随后一举击溃他们！</v>
      </c>
      <c r="AU479" s="61" t="s">
        <v>1889</v>
      </c>
    </row>
    <row r="480" spans="1:47" s="61" customFormat="1" ht="14">
      <c r="A480" s="61">
        <v>240003</v>
      </c>
      <c r="C480" s="61">
        <v>1</v>
      </c>
      <c r="D480" s="61" t="str">
        <f t="shared" si="46"/>
        <v>项楚4关-TID_DialogueConf_240001_name_CN_Main</v>
      </c>
      <c r="E480" s="61" t="s">
        <v>412</v>
      </c>
      <c r="F480" s="20" t="str">
        <f>VLOOKUP(G480,'#TID_base_up'!B:C,2,0)</f>
        <v>斥候</v>
      </c>
      <c r="G480" s="61" t="s">
        <v>1882</v>
      </c>
      <c r="H480" s="61" t="s">
        <v>132</v>
      </c>
      <c r="I480" s="61" t="s">
        <v>1883</v>
      </c>
      <c r="J480" s="61" t="s">
        <v>1890</v>
      </c>
      <c r="K480" s="84" t="str">
        <f t="shared" si="47"/>
        <v>刘沛此人有吞并天下之志，大王不可不防。</v>
      </c>
      <c r="T480" s="61">
        <v>1</v>
      </c>
      <c r="U480" s="61">
        <v>2</v>
      </c>
      <c r="V480" s="61">
        <v>0</v>
      </c>
      <c r="X480" s="61">
        <v>205</v>
      </c>
      <c r="Y480" s="61" t="b">
        <v>0</v>
      </c>
      <c r="Z480" s="61" t="s">
        <v>1891</v>
      </c>
      <c r="AA480" s="61" t="b">
        <v>0</v>
      </c>
      <c r="AD480" s="61">
        <v>3.6240000724792498</v>
      </c>
      <c r="AE480" s="61">
        <f t="shared" si="48"/>
        <v>4.6240000724792498</v>
      </c>
      <c r="AH480" s="61">
        <v>0.1</v>
      </c>
      <c r="AL480" s="61">
        <v>13</v>
      </c>
      <c r="AO480" s="61">
        <v>12</v>
      </c>
      <c r="AT480" s="61" t="str">
        <f t="shared" si="45"/>
        <v>刘沛此人有吞并天下之志，大王不可不防。</v>
      </c>
      <c r="AU480" s="61" t="s">
        <v>1892</v>
      </c>
    </row>
    <row r="481" spans="1:47" s="61" customFormat="1" ht="14">
      <c r="A481" s="61">
        <v>240003</v>
      </c>
      <c r="C481" s="61">
        <v>2</v>
      </c>
      <c r="D481" s="61" t="str">
        <f t="shared" si="46"/>
        <v>项楚4关-TID_DialogueConf_210005_name_CN_Main</v>
      </c>
      <c r="E481" s="61" t="s">
        <v>412</v>
      </c>
      <c r="F481" s="20" t="str">
        <f>VLOOKUP(G481,'#TID_base_up'!B:C,2,0)</f>
        <v>项楚</v>
      </c>
      <c r="G481" s="61" t="s">
        <v>1585</v>
      </c>
      <c r="H481" s="61" t="s">
        <v>132</v>
      </c>
      <c r="I481" s="61" t="s">
        <v>1586</v>
      </c>
      <c r="J481" s="61" t="s">
        <v>1893</v>
      </c>
      <c r="K481" s="84" t="str">
        <f t="shared" si="47"/>
        <v>哼！既然这次他自己送上门，那就让他在这里彻底长眠吧！</v>
      </c>
      <c r="T481" s="61">
        <v>1</v>
      </c>
      <c r="U481" s="61">
        <v>2</v>
      </c>
      <c r="V481" s="61">
        <v>0</v>
      </c>
      <c r="X481" s="61">
        <v>205</v>
      </c>
      <c r="Y481" s="61" t="b">
        <v>0</v>
      </c>
      <c r="Z481" s="61" t="s">
        <v>1894</v>
      </c>
      <c r="AA481" s="61" t="b">
        <v>0</v>
      </c>
      <c r="AD481" s="61">
        <v>6.3493328094482404</v>
      </c>
      <c r="AE481" s="61">
        <f t="shared" si="48"/>
        <v>7.3493328094482404</v>
      </c>
      <c r="AH481" s="61">
        <v>0.1</v>
      </c>
      <c r="AL481" s="61">
        <v>13</v>
      </c>
      <c r="AO481" s="61">
        <v>11</v>
      </c>
      <c r="AT481" s="61" t="str">
        <f t="shared" si="45"/>
        <v>哼！既然这次他自己送上门，那就让他在这里彻底长眠吧！</v>
      </c>
      <c r="AU481" s="61" t="s">
        <v>1895</v>
      </c>
    </row>
    <row r="482" spans="1:47" s="61" customFormat="1" ht="14">
      <c r="A482" s="61">
        <v>240004</v>
      </c>
      <c r="C482" s="61">
        <v>1</v>
      </c>
      <c r="D482" s="61" t="str">
        <f t="shared" si="46"/>
        <v>项楚4关-TID_DialogueConf_240004_name_CN_Main</v>
      </c>
      <c r="E482" s="61" t="s">
        <v>412</v>
      </c>
      <c r="F482" s="20" t="str">
        <f>VLOOKUP(G482,'#TID_base_up'!B:C,2,0)</f>
        <v>刘沛军</v>
      </c>
      <c r="G482" s="61" t="s">
        <v>1896</v>
      </c>
      <c r="H482" s="61" t="s">
        <v>132</v>
      </c>
      <c r="I482" s="61" t="s">
        <v>1581</v>
      </c>
      <c r="J482" s="61" t="s">
        <v>1897</v>
      </c>
      <c r="K482" s="84" t="str">
        <f t="shared" si="47"/>
        <v>外面有动静！你们几个给我去看看！</v>
      </c>
      <c r="T482" s="61">
        <v>1</v>
      </c>
      <c r="U482" s="61">
        <v>2</v>
      </c>
      <c r="V482" s="61">
        <v>0</v>
      </c>
      <c r="X482" s="61">
        <v>205</v>
      </c>
      <c r="Y482" s="61" t="b">
        <v>0</v>
      </c>
      <c r="Z482" s="61" t="s">
        <v>1898</v>
      </c>
      <c r="AA482" s="61" t="b">
        <v>0</v>
      </c>
      <c r="AD482" s="61">
        <v>3</v>
      </c>
      <c r="AE482" s="61">
        <f t="shared" si="48"/>
        <v>4</v>
      </c>
      <c r="AH482" s="61">
        <v>0.1</v>
      </c>
      <c r="AL482" s="61">
        <v>13</v>
      </c>
      <c r="AP482" s="61">
        <v>1</v>
      </c>
      <c r="AT482" s="61" t="str">
        <f t="shared" si="45"/>
        <v>外面有动静！你们几个给我去看看！</v>
      </c>
      <c r="AU482" s="61" t="s">
        <v>1899</v>
      </c>
    </row>
    <row r="483" spans="1:47" s="61" customFormat="1" ht="14">
      <c r="A483" s="61">
        <v>240004</v>
      </c>
      <c r="C483" s="61">
        <v>2</v>
      </c>
      <c r="D483" s="61" t="str">
        <f t="shared" si="46"/>
        <v>项楚4关-TID_DialogueConf_240001_name_CN_Main</v>
      </c>
      <c r="E483" s="61" t="s">
        <v>412</v>
      </c>
      <c r="F483" s="20" t="str">
        <f>VLOOKUP(G483,'#TID_base_up'!B:C,2,0)</f>
        <v>斥候</v>
      </c>
      <c r="G483" s="61" t="s">
        <v>1882</v>
      </c>
      <c r="H483" s="61" t="s">
        <v>132</v>
      </c>
      <c r="I483" s="61" t="s">
        <v>1883</v>
      </c>
      <c r="J483" s="61" t="s">
        <v>1900</v>
      </c>
      <c r="K483" s="84" t="str">
        <f t="shared" si="47"/>
        <v>我们被发现了！敌人要过来了！</v>
      </c>
      <c r="T483" s="61">
        <v>1</v>
      </c>
      <c r="U483" s="61">
        <v>2</v>
      </c>
      <c r="V483" s="61">
        <v>0</v>
      </c>
      <c r="X483" s="61">
        <v>205</v>
      </c>
      <c r="Y483" s="61" t="b">
        <v>0</v>
      </c>
      <c r="Z483" s="61" t="s">
        <v>1901</v>
      </c>
      <c r="AA483" s="61" t="b">
        <v>0</v>
      </c>
      <c r="AD483" s="61">
        <v>1.92533302307129</v>
      </c>
      <c r="AE483" s="61">
        <f t="shared" si="48"/>
        <v>2.92533302307129</v>
      </c>
      <c r="AH483" s="61">
        <v>0.1</v>
      </c>
      <c r="AL483" s="61">
        <v>13</v>
      </c>
      <c r="AO483" s="61">
        <v>12</v>
      </c>
      <c r="AT483" s="61" t="str">
        <f t="shared" si="45"/>
        <v>我们被发现了！敌人要过来了！</v>
      </c>
      <c r="AU483" s="61" t="s">
        <v>1902</v>
      </c>
    </row>
    <row r="484" spans="1:47" s="61" customFormat="1" ht="14">
      <c r="A484" s="61">
        <v>240004</v>
      </c>
      <c r="C484" s="61">
        <v>3</v>
      </c>
      <c r="D484" s="61" t="str">
        <f t="shared" si="46"/>
        <v>项楚4关-TID_DialogueConf_210005_name_CN_Main</v>
      </c>
      <c r="E484" s="61" t="s">
        <v>412</v>
      </c>
      <c r="F484" s="20" t="str">
        <f>VLOOKUP(G484,'#TID_base_up'!B:C,2,0)</f>
        <v>项楚</v>
      </c>
      <c r="G484" s="61" t="s">
        <v>1585</v>
      </c>
      <c r="H484" s="61" t="s">
        <v>132</v>
      </c>
      <c r="I484" s="61" t="s">
        <v>1586</v>
      </c>
      <c r="J484" s="61" t="s">
        <v>1903</v>
      </c>
      <c r="K484" s="84" t="str">
        <f t="shared" si="47"/>
        <v>来得好！那就一起收拾了，顺便把营地也夺回来！</v>
      </c>
      <c r="T484" s="61">
        <v>1</v>
      </c>
      <c r="U484" s="61">
        <v>2</v>
      </c>
      <c r="V484" s="61">
        <v>0</v>
      </c>
      <c r="X484" s="61">
        <v>205</v>
      </c>
      <c r="Y484" s="61" t="b">
        <v>0</v>
      </c>
      <c r="Z484" s="61" t="s">
        <v>1904</v>
      </c>
      <c r="AA484" s="61" t="b">
        <v>0</v>
      </c>
      <c r="AD484" s="61">
        <v>4.7786660194396999</v>
      </c>
      <c r="AE484" s="61">
        <f t="shared" si="48"/>
        <v>5.7786660194396999</v>
      </c>
      <c r="AH484" s="61">
        <v>0.1</v>
      </c>
      <c r="AL484" s="61">
        <v>13</v>
      </c>
      <c r="AO484" s="61">
        <v>11</v>
      </c>
      <c r="AT484" s="61" t="str">
        <f t="shared" si="45"/>
        <v>来得好！那就一起收拾了，顺便把营地也夺回来！</v>
      </c>
      <c r="AU484" s="61" t="s">
        <v>1905</v>
      </c>
    </row>
    <row r="485" spans="1:47" s="61" customFormat="1" ht="14">
      <c r="A485" s="61">
        <v>240005</v>
      </c>
      <c r="C485" s="61">
        <v>1</v>
      </c>
      <c r="D485" s="61" t="str">
        <f t="shared" si="46"/>
        <v>项楚4关-TID_DialogueConf_240001_name_CN_Main</v>
      </c>
      <c r="E485" s="61" t="s">
        <v>412</v>
      </c>
      <c r="F485" s="20" t="str">
        <f>VLOOKUP(G485,'#TID_base_up'!B:C,2,0)</f>
        <v>斥候</v>
      </c>
      <c r="G485" s="61" t="s">
        <v>1882</v>
      </c>
      <c r="H485" s="61" t="s">
        <v>132</v>
      </c>
      <c r="I485" s="61" t="s">
        <v>1883</v>
      </c>
      <c r="J485" s="61" t="s">
        <v>1906</v>
      </c>
      <c r="K485" s="84" t="str">
        <f t="shared" si="47"/>
        <v>大王，我们发现了被关押的友军！</v>
      </c>
      <c r="T485" s="61">
        <v>1</v>
      </c>
      <c r="U485" s="61">
        <v>2</v>
      </c>
      <c r="V485" s="61">
        <v>0</v>
      </c>
      <c r="X485" s="61">
        <v>205</v>
      </c>
      <c r="Y485" s="61" t="b">
        <v>0</v>
      </c>
      <c r="Z485" s="61" t="s">
        <v>1907</v>
      </c>
      <c r="AA485" s="61" t="b">
        <v>0</v>
      </c>
      <c r="AD485" s="61">
        <v>2.43799996376038</v>
      </c>
      <c r="AE485" s="61">
        <f t="shared" si="48"/>
        <v>3.43799996376038</v>
      </c>
      <c r="AH485" s="61">
        <v>0.1</v>
      </c>
      <c r="AL485" s="61">
        <v>13</v>
      </c>
      <c r="AO485" s="61">
        <v>12</v>
      </c>
      <c r="AT485" s="61" t="str">
        <f t="shared" si="45"/>
        <v>大王，我们发现了被关押的友军！</v>
      </c>
      <c r="AU485" s="61" t="s">
        <v>1908</v>
      </c>
    </row>
    <row r="486" spans="1:47" s="61" customFormat="1" ht="14">
      <c r="A486" s="61">
        <v>240005</v>
      </c>
      <c r="C486" s="61">
        <v>2</v>
      </c>
      <c r="D486" s="61" t="str">
        <f t="shared" si="46"/>
        <v>项楚4关-TID_DialogueConf_210005_name_CN_Main</v>
      </c>
      <c r="E486" s="61" t="s">
        <v>412</v>
      </c>
      <c r="F486" s="20" t="str">
        <f>VLOOKUP(G486,'#TID_base_up'!B:C,2,0)</f>
        <v>项楚</v>
      </c>
      <c r="G486" s="61" t="s">
        <v>1585</v>
      </c>
      <c r="H486" s="61" t="s">
        <v>132</v>
      </c>
      <c r="I486" s="61" t="s">
        <v>1586</v>
      </c>
      <c r="J486" s="61" t="s">
        <v>1909</v>
      </c>
      <c r="K486" s="84" t="str">
        <f t="shared" si="47"/>
        <v>全部入队！</v>
      </c>
      <c r="T486" s="61">
        <v>1</v>
      </c>
      <c r="U486" s="61">
        <v>2</v>
      </c>
      <c r="V486" s="61">
        <v>0</v>
      </c>
      <c r="X486" s="61">
        <v>205</v>
      </c>
      <c r="Y486" s="61" t="b">
        <v>0</v>
      </c>
      <c r="Z486" s="61" t="s">
        <v>1910</v>
      </c>
      <c r="AA486" s="61" t="b">
        <v>0</v>
      </c>
      <c r="AD486" s="61">
        <v>1.0813330411911</v>
      </c>
      <c r="AE486" s="61">
        <f t="shared" si="48"/>
        <v>2.0813330411911002</v>
      </c>
      <c r="AH486" s="61">
        <v>0.1</v>
      </c>
      <c r="AL486" s="61">
        <v>13</v>
      </c>
      <c r="AO486" s="61">
        <v>11</v>
      </c>
      <c r="AT486" s="61" t="str">
        <f t="shared" si="45"/>
        <v>全部入队！</v>
      </c>
      <c r="AU486" s="61" t="s">
        <v>1911</v>
      </c>
    </row>
    <row r="487" spans="1:47" s="61" customFormat="1" ht="14">
      <c r="A487" s="61">
        <v>240006</v>
      </c>
      <c r="C487" s="61">
        <v>1</v>
      </c>
      <c r="D487" s="61" t="str">
        <f t="shared" si="46"/>
        <v>项楚4关-TID_DialogueConf_240001_name_CN_Main</v>
      </c>
      <c r="E487" s="61" t="s">
        <v>412</v>
      </c>
      <c r="F487" s="20" t="str">
        <f>VLOOKUP(G487,'#TID_base_up'!B:C,2,0)</f>
        <v>斥候</v>
      </c>
      <c r="G487" s="61" t="s">
        <v>1882</v>
      </c>
      <c r="H487" s="61" t="s">
        <v>132</v>
      </c>
      <c r="I487" s="61" t="s">
        <v>1912</v>
      </c>
      <c r="J487" s="61" t="s">
        <v>1913</v>
      </c>
      <c r="K487" s="84" t="str">
        <f t="shared" si="47"/>
        <v>大王，都城内的敌人开始行动了！</v>
      </c>
      <c r="T487" s="61">
        <v>1</v>
      </c>
      <c r="U487" s="61">
        <v>2</v>
      </c>
      <c r="V487" s="61">
        <v>0</v>
      </c>
      <c r="X487" s="61">
        <v>205</v>
      </c>
      <c r="Y487" s="61" t="b">
        <v>0</v>
      </c>
      <c r="Z487" s="61" t="s">
        <v>1914</v>
      </c>
      <c r="AA487" s="61" t="b">
        <v>0</v>
      </c>
      <c r="AD487" s="61">
        <v>2.47266697883606</v>
      </c>
      <c r="AE487" s="61">
        <f t="shared" si="48"/>
        <v>3.47266697883606</v>
      </c>
      <c r="AH487" s="61">
        <v>0.1</v>
      </c>
      <c r="AL487" s="61">
        <v>13</v>
      </c>
      <c r="AO487" s="61">
        <v>29</v>
      </c>
      <c r="AT487" s="61" t="str">
        <f t="shared" si="45"/>
        <v>大王，都城内的敌人开始行动了！</v>
      </c>
      <c r="AU487" s="61" t="s">
        <v>1915</v>
      </c>
    </row>
    <row r="488" spans="1:47" s="61" customFormat="1" ht="28">
      <c r="A488" s="61">
        <v>240006</v>
      </c>
      <c r="C488" s="61">
        <v>2</v>
      </c>
      <c r="D488" s="61" t="str">
        <f t="shared" si="46"/>
        <v>项楚4关-TID_DialogueConf_240001_name_CN_Main</v>
      </c>
      <c r="E488" s="61" t="s">
        <v>412</v>
      </c>
      <c r="F488" s="20" t="str">
        <f>VLOOKUP(G488,'#TID_base_up'!B:C,2,0)</f>
        <v>斥候</v>
      </c>
      <c r="G488" s="61" t="s">
        <v>1882</v>
      </c>
      <c r="H488" s="61" t="s">
        <v>132</v>
      </c>
      <c r="I488" s="61" t="s">
        <v>1912</v>
      </c>
      <c r="J488" s="61" t="s">
        <v>1916</v>
      </c>
      <c r="K488" s="84" t="str">
        <f t="shared" si="47"/>
        <v>我们得赶在他们前面把剩余的良田全部夺回来，断了他们的补给！</v>
      </c>
      <c r="T488" s="61">
        <v>1</v>
      </c>
      <c r="U488" s="61">
        <v>2</v>
      </c>
      <c r="V488" s="61">
        <v>0</v>
      </c>
      <c r="X488" s="61">
        <v>205</v>
      </c>
      <c r="Y488" s="61" t="b">
        <v>0</v>
      </c>
      <c r="Z488" s="61" t="s">
        <v>1917</v>
      </c>
      <c r="AA488" s="61" t="b">
        <v>0</v>
      </c>
      <c r="AD488" s="61">
        <v>4.37066698074341</v>
      </c>
      <c r="AE488" s="61">
        <f t="shared" si="48"/>
        <v>5.37066698074341</v>
      </c>
      <c r="AH488" s="61">
        <v>0.1</v>
      </c>
      <c r="AL488" s="61">
        <v>13</v>
      </c>
      <c r="AO488" s="61">
        <v>29</v>
      </c>
      <c r="AT488" s="61" t="str">
        <f t="shared" si="45"/>
        <v>我们得赶在他们前面把剩余的良田全部夺回来，断了他们的补给！</v>
      </c>
      <c r="AU488" s="61" t="s">
        <v>1918</v>
      </c>
    </row>
    <row r="489" spans="1:47" s="61" customFormat="1" ht="28">
      <c r="A489" s="61">
        <v>240007</v>
      </c>
      <c r="C489" s="61">
        <v>1</v>
      </c>
      <c r="D489" s="61" t="str">
        <f t="shared" si="46"/>
        <v>项楚4关-TID_DialogueConf_240001_name_CN_Main</v>
      </c>
      <c r="E489" s="61" t="s">
        <v>412</v>
      </c>
      <c r="F489" s="20" t="str">
        <f>VLOOKUP(G489,'#TID_base_up'!B:C,2,0)</f>
        <v>斥候</v>
      </c>
      <c r="G489" s="61" t="s">
        <v>1882</v>
      </c>
      <c r="H489" s="61" t="s">
        <v>132</v>
      </c>
      <c r="I489" s="61" t="s">
        <v>1912</v>
      </c>
      <c r="J489" s="61" t="s">
        <v>1919</v>
      </c>
      <c r="K489" s="84" t="str">
        <f t="shared" si="47"/>
        <v>这里竟然还藏了一支敌方生力军，大王若是担心，可将这里顺手端掉。</v>
      </c>
      <c r="T489" s="61">
        <v>1</v>
      </c>
      <c r="U489" s="61">
        <v>2</v>
      </c>
      <c r="V489" s="61">
        <v>0</v>
      </c>
      <c r="X489" s="61">
        <v>205</v>
      </c>
      <c r="Y489" s="61" t="b">
        <v>0</v>
      </c>
      <c r="Z489" s="61" t="s">
        <v>1920</v>
      </c>
      <c r="AA489" s="61" t="b">
        <v>0</v>
      </c>
      <c r="AD489" s="61">
        <v>5.0666670799255398</v>
      </c>
      <c r="AE489" s="61">
        <f t="shared" si="48"/>
        <v>6.0666670799255398</v>
      </c>
      <c r="AH489" s="61">
        <v>0.1</v>
      </c>
      <c r="AL489" s="61">
        <v>13</v>
      </c>
      <c r="AO489" s="61">
        <v>29</v>
      </c>
      <c r="AT489" s="61" t="str">
        <f t="shared" si="45"/>
        <v>这里竟然还藏了一支敌方生力军，大王若是担心，可将这里顺手端掉。</v>
      </c>
      <c r="AU489" s="61" t="s">
        <v>1921</v>
      </c>
    </row>
    <row r="490" spans="1:47" s="61" customFormat="1" ht="14">
      <c r="A490" s="61">
        <v>240008</v>
      </c>
      <c r="C490" s="61">
        <v>1</v>
      </c>
      <c r="D490" s="61" t="str">
        <f t="shared" si="46"/>
        <v>项楚4关-TID_DialogueConf_210005_name_CN_Main</v>
      </c>
      <c r="E490" s="61" t="s">
        <v>412</v>
      </c>
      <c r="F490" s="20" t="str">
        <f>VLOOKUP(G490,'#TID_base_up'!B:C,2,0)</f>
        <v>项楚</v>
      </c>
      <c r="G490" s="61" t="s">
        <v>1585</v>
      </c>
      <c r="H490" s="61" t="s">
        <v>132</v>
      </c>
      <c r="I490" s="61" t="s">
        <v>1586</v>
      </c>
      <c r="J490" s="61" t="s">
        <v>1922</v>
      </c>
      <c r="K490" s="84" t="str">
        <f t="shared" si="47"/>
        <v>那我们兵分三路，拿下良田后，记得在城门口集合！</v>
      </c>
      <c r="T490" s="61">
        <v>1</v>
      </c>
      <c r="U490" s="61">
        <v>2</v>
      </c>
      <c r="V490" s="61">
        <v>0</v>
      </c>
      <c r="X490" s="61">
        <v>205</v>
      </c>
      <c r="Y490" s="61" t="b">
        <v>0</v>
      </c>
      <c r="Z490" s="61" t="s">
        <v>1923</v>
      </c>
      <c r="AA490" s="61" t="b">
        <v>0</v>
      </c>
      <c r="AD490" s="61">
        <v>4.7800002098083496</v>
      </c>
      <c r="AE490" s="61">
        <f t="shared" si="48"/>
        <v>5.7800002098083496</v>
      </c>
      <c r="AH490" s="61">
        <v>0.1</v>
      </c>
      <c r="AL490" s="61">
        <v>13</v>
      </c>
      <c r="AO490" s="61">
        <v>11</v>
      </c>
      <c r="AT490" s="61" t="str">
        <f t="shared" si="45"/>
        <v>那我们兵分三路，拿下良田后，记得在城门口集合！</v>
      </c>
      <c r="AU490" s="61" t="s">
        <v>1924</v>
      </c>
    </row>
    <row r="491" spans="1:47" s="61" customFormat="1" ht="14">
      <c r="A491" s="61">
        <v>240008</v>
      </c>
      <c r="C491" s="61">
        <v>2</v>
      </c>
      <c r="D491" s="61" t="str">
        <f t="shared" si="46"/>
        <v>项楚4关-TID_DialogueConf_240001_name_CN_Main</v>
      </c>
      <c r="E491" s="61" t="s">
        <v>412</v>
      </c>
      <c r="F491" s="20" t="str">
        <f>VLOOKUP(G491,'#TID_base_up'!B:C,2,0)</f>
        <v>斥候</v>
      </c>
      <c r="G491" s="61" t="s">
        <v>1882</v>
      </c>
      <c r="H491" s="61" t="s">
        <v>132</v>
      </c>
      <c r="I491" s="61" t="s">
        <v>1912</v>
      </c>
      <c r="J491" s="61" t="s">
        <v>1925</v>
      </c>
      <c r="K491" s="84" t="str">
        <f t="shared" si="47"/>
        <v>是！</v>
      </c>
      <c r="T491" s="61">
        <v>1</v>
      </c>
      <c r="U491" s="61">
        <v>2</v>
      </c>
      <c r="V491" s="61">
        <v>0</v>
      </c>
      <c r="X491" s="61">
        <v>205</v>
      </c>
      <c r="Y491" s="61" t="b">
        <v>0</v>
      </c>
      <c r="Z491" s="61" t="s">
        <v>1926</v>
      </c>
      <c r="AA491" s="61" t="b">
        <v>0</v>
      </c>
      <c r="AD491" s="61">
        <v>0.29600000381469699</v>
      </c>
      <c r="AE491" s="61">
        <f t="shared" si="48"/>
        <v>1.296000003814697</v>
      </c>
      <c r="AH491" s="61">
        <v>0.1</v>
      </c>
      <c r="AL491" s="61">
        <v>13</v>
      </c>
      <c r="AO491" s="61">
        <v>29</v>
      </c>
      <c r="AT491" s="61" t="str">
        <f t="shared" si="45"/>
        <v>是！</v>
      </c>
      <c r="AU491" s="61" t="s">
        <v>1927</v>
      </c>
    </row>
    <row r="492" spans="1:47" s="61" customFormat="1" ht="14">
      <c r="A492" s="61">
        <v>240009</v>
      </c>
      <c r="C492" s="61">
        <v>1</v>
      </c>
      <c r="D492" s="61" t="str">
        <f t="shared" si="46"/>
        <v>项楚4关-TID_DialogueConf_210005_name_CN_Main</v>
      </c>
      <c r="E492" s="61" t="s">
        <v>412</v>
      </c>
      <c r="F492" s="20" t="str">
        <f>VLOOKUP(G492,'#TID_base_up'!B:C,2,0)</f>
        <v>项楚</v>
      </c>
      <c r="G492" s="61" t="s">
        <v>1585</v>
      </c>
      <c r="H492" s="61" t="s">
        <v>132</v>
      </c>
      <c r="I492" s="61" t="s">
        <v>1586</v>
      </c>
      <c r="J492" s="61" t="s">
        <v>1928</v>
      </c>
      <c r="K492" s="84" t="str">
        <f t="shared" si="47"/>
        <v>全军集合！准备攻城！</v>
      </c>
      <c r="T492" s="61">
        <v>1</v>
      </c>
      <c r="U492" s="61">
        <v>2</v>
      </c>
      <c r="V492" s="61">
        <v>0</v>
      </c>
      <c r="X492" s="61">
        <v>205</v>
      </c>
      <c r="Y492" s="61" t="b">
        <v>0</v>
      </c>
      <c r="Z492" s="61" t="s">
        <v>1929</v>
      </c>
      <c r="AA492" s="61" t="b">
        <v>0</v>
      </c>
      <c r="AD492" s="61">
        <v>2.3473329544067401</v>
      </c>
      <c r="AE492" s="61">
        <f t="shared" si="48"/>
        <v>3.3473329544067401</v>
      </c>
      <c r="AH492" s="61">
        <v>0.1</v>
      </c>
      <c r="AL492" s="61">
        <v>13</v>
      </c>
      <c r="AO492" s="61">
        <v>11</v>
      </c>
      <c r="AT492" s="61" t="str">
        <f t="shared" si="45"/>
        <v>全军集合！准备攻城！</v>
      </c>
      <c r="AU492" s="61" t="s">
        <v>1930</v>
      </c>
    </row>
    <row r="493" spans="1:47" s="61" customFormat="1" ht="14">
      <c r="A493" s="61">
        <v>240010</v>
      </c>
      <c r="C493" s="61">
        <v>1</v>
      </c>
      <c r="D493" s="61" t="str">
        <f t="shared" si="46"/>
        <v>项楚4关-TID_DialogueConf_240001_name_CN_Main</v>
      </c>
      <c r="E493" s="61" t="s">
        <v>412</v>
      </c>
      <c r="F493" s="20" t="str">
        <f>VLOOKUP(G493,'#TID_base_up'!B:C,2,0)</f>
        <v>斥候</v>
      </c>
      <c r="G493" s="61" t="s">
        <v>1882</v>
      </c>
      <c r="H493" s="61" t="s">
        <v>132</v>
      </c>
      <c r="I493" s="61" t="s">
        <v>1883</v>
      </c>
      <c r="J493" s="61" t="s">
        <v>1931</v>
      </c>
      <c r="K493" s="84" t="str">
        <f t="shared" si="47"/>
        <v>大王，刘沛那厮溜了！</v>
      </c>
      <c r="T493" s="61">
        <v>1</v>
      </c>
      <c r="U493" s="61">
        <v>2</v>
      </c>
      <c r="V493" s="61">
        <v>0</v>
      </c>
      <c r="X493" s="61">
        <v>205</v>
      </c>
      <c r="Y493" s="61" t="b">
        <v>0</v>
      </c>
      <c r="Z493" s="61" t="s">
        <v>1932</v>
      </c>
      <c r="AA493" s="61" t="b">
        <v>0</v>
      </c>
      <c r="AD493" s="61">
        <v>2.0299999713897701</v>
      </c>
      <c r="AE493" s="61">
        <f t="shared" si="48"/>
        <v>3.0299999713897701</v>
      </c>
      <c r="AH493" s="61">
        <v>0.1</v>
      </c>
      <c r="AL493" s="61">
        <v>13</v>
      </c>
      <c r="AO493" s="61">
        <v>12</v>
      </c>
      <c r="AT493" s="61" t="str">
        <f t="shared" si="45"/>
        <v>大王，刘沛那厮溜了！</v>
      </c>
      <c r="AU493" s="61" t="s">
        <v>1933</v>
      </c>
    </row>
    <row r="494" spans="1:47" s="61" customFormat="1" ht="14">
      <c r="A494" s="61">
        <v>240010</v>
      </c>
      <c r="C494" s="61">
        <v>2</v>
      </c>
      <c r="D494" s="61" t="str">
        <f t="shared" si="46"/>
        <v>项楚4关-TID_DialogueConf_210005_name_CN_Main</v>
      </c>
      <c r="E494" s="61" t="s">
        <v>412</v>
      </c>
      <c r="F494" s="20" t="str">
        <f>VLOOKUP(G494,'#TID_base_up'!B:C,2,0)</f>
        <v>项楚</v>
      </c>
      <c r="G494" s="61" t="s">
        <v>1585</v>
      </c>
      <c r="H494" s="61" t="s">
        <v>132</v>
      </c>
      <c r="I494" s="61" t="s">
        <v>1586</v>
      </c>
      <c r="J494" s="61" t="s">
        <v>1934</v>
      </c>
      <c r="K494" s="84" t="str">
        <f t="shared" si="47"/>
        <v>真是油浸泥鳅—滑不留手！由他去吧！</v>
      </c>
      <c r="T494" s="61">
        <v>1</v>
      </c>
      <c r="U494" s="61">
        <v>2</v>
      </c>
      <c r="V494" s="61">
        <v>0</v>
      </c>
      <c r="X494" s="61">
        <v>205</v>
      </c>
      <c r="Y494" s="61" t="b">
        <v>0</v>
      </c>
      <c r="Z494" s="61" t="s">
        <v>1935</v>
      </c>
      <c r="AA494" s="61" t="b">
        <v>0</v>
      </c>
      <c r="AD494" s="61">
        <v>4.4453330039978001</v>
      </c>
      <c r="AE494" s="61">
        <f t="shared" si="48"/>
        <v>5.4453330039978001</v>
      </c>
      <c r="AH494" s="61">
        <v>0.1</v>
      </c>
      <c r="AL494" s="61">
        <v>13</v>
      </c>
      <c r="AO494" s="61">
        <v>11</v>
      </c>
      <c r="AT494" s="61" t="str">
        <f t="shared" si="45"/>
        <v>真是油浸泥鳅—滑不留手！由他去吧！</v>
      </c>
      <c r="AU494" s="61" t="s">
        <v>1936</v>
      </c>
    </row>
    <row r="495" spans="1:47" s="61" customFormat="1" ht="14">
      <c r="A495" s="61">
        <v>240011</v>
      </c>
      <c r="C495" s="61">
        <v>1</v>
      </c>
      <c r="D495" s="61" t="str">
        <f t="shared" si="46"/>
        <v>项楚4关-TID_DialogueConf_240001_name_CN_Main</v>
      </c>
      <c r="E495" s="61" t="s">
        <v>412</v>
      </c>
      <c r="F495" s="20" t="str">
        <f>VLOOKUP(G495,'#TID_base_up'!B:C,2,0)</f>
        <v>斥候</v>
      </c>
      <c r="G495" s="61" t="s">
        <v>1882</v>
      </c>
      <c r="H495" s="61" t="s">
        <v>132</v>
      </c>
      <c r="I495" s="61" t="s">
        <v>1883</v>
      </c>
      <c r="J495" s="61" t="s">
        <v>1937</v>
      </c>
      <c r="K495" s="84" t="str">
        <f t="shared" si="47"/>
        <v>小心驶得万年船，大王英明！</v>
      </c>
      <c r="T495" s="61">
        <v>1</v>
      </c>
      <c r="U495" s="61">
        <v>2</v>
      </c>
      <c r="V495" s="61">
        <v>0</v>
      </c>
      <c r="X495" s="61">
        <v>205</v>
      </c>
      <c r="Y495" s="61" t="b">
        <v>0</v>
      </c>
      <c r="Z495" s="61" t="s">
        <v>1938</v>
      </c>
      <c r="AA495" s="61" t="b">
        <v>0</v>
      </c>
      <c r="AD495" s="61">
        <v>2.4400000572204599</v>
      </c>
      <c r="AE495" s="61">
        <f t="shared" si="48"/>
        <v>3.4400000572204599</v>
      </c>
      <c r="AH495" s="61">
        <v>0.1</v>
      </c>
      <c r="AL495" s="61">
        <v>13</v>
      </c>
      <c r="AO495" s="61">
        <v>12</v>
      </c>
      <c r="AT495" s="61" t="str">
        <f t="shared" si="45"/>
        <v>小心驶得万年船，大王英明！</v>
      </c>
      <c r="AU495" s="61" t="s">
        <v>1939</v>
      </c>
    </row>
    <row r="496" spans="1:47" s="61" customFormat="1" ht="14">
      <c r="A496" s="61">
        <v>240012</v>
      </c>
      <c r="C496" s="61">
        <v>1</v>
      </c>
      <c r="D496" s="61" t="str">
        <f t="shared" si="46"/>
        <v>项楚4关-TID_DialogueConf_240001_name_CN_Main</v>
      </c>
      <c r="E496" s="61" t="s">
        <v>412</v>
      </c>
      <c r="F496" s="20" t="str">
        <f>VLOOKUP(G496,'#TID_base_up'!B:C,2,0)</f>
        <v>斥候</v>
      </c>
      <c r="G496" s="61" t="s">
        <v>1882</v>
      </c>
      <c r="H496" s="61" t="s">
        <v>132</v>
      </c>
      <c r="I496" s="61" t="s">
        <v>1883</v>
      </c>
      <c r="J496" s="61" t="s">
        <v>1940</v>
      </c>
      <c r="K496" s="84" t="str">
        <f t="shared" si="47"/>
        <v>大王！来不及了！敌方主力正在赶来的路上，我们必须撤退！</v>
      </c>
      <c r="T496" s="61">
        <v>1</v>
      </c>
      <c r="U496" s="61">
        <v>2</v>
      </c>
      <c r="V496" s="61">
        <v>0</v>
      </c>
      <c r="X496" s="61">
        <v>205</v>
      </c>
      <c r="Y496" s="61" t="b">
        <v>0</v>
      </c>
      <c r="Z496" s="61" t="s">
        <v>1941</v>
      </c>
      <c r="AA496" s="61" t="b">
        <v>0</v>
      </c>
      <c r="AD496" s="61">
        <v>4.9079999923706099</v>
      </c>
      <c r="AE496" s="61">
        <f t="shared" si="48"/>
        <v>5.9079999923706099</v>
      </c>
      <c r="AH496" s="61">
        <v>0.1</v>
      </c>
      <c r="AL496" s="61">
        <v>13</v>
      </c>
      <c r="AO496" s="61">
        <v>12</v>
      </c>
      <c r="AT496" s="61" t="str">
        <f t="shared" si="45"/>
        <v>大王！来不及了！敌方主力正在赶来的路上，我们必须撤退！</v>
      </c>
      <c r="AU496" s="61" t="s">
        <v>1942</v>
      </c>
    </row>
    <row r="497" spans="1:47" s="66" customFormat="1" ht="14">
      <c r="A497" s="66">
        <v>250001</v>
      </c>
      <c r="C497" s="66">
        <v>1</v>
      </c>
      <c r="D497" s="66" t="str">
        <f t="shared" ref="D497:D530" si="49">"项楚5关-"&amp;G497</f>
        <v>项楚5关-TID_DialogueConf_210005_name_CN_Main</v>
      </c>
      <c r="E497" s="66" t="s">
        <v>412</v>
      </c>
      <c r="F497" s="20" t="str">
        <f>VLOOKUP(G497,'#TID_base_up'!B:C,2,0)</f>
        <v>项楚</v>
      </c>
      <c r="G497" s="66" t="s">
        <v>1585</v>
      </c>
      <c r="H497" s="66" t="s">
        <v>132</v>
      </c>
      <c r="I497" s="66" t="s">
        <v>1586</v>
      </c>
      <c r="J497" s="66" t="s">
        <v>1943</v>
      </c>
      <c r="K497" s="84" t="str">
        <f t="shared" si="47"/>
        <v>来人！汇报情况！</v>
      </c>
      <c r="T497" s="66">
        <v>1</v>
      </c>
      <c r="U497" s="66">
        <v>2</v>
      </c>
      <c r="V497" s="66">
        <v>0</v>
      </c>
      <c r="X497" s="66">
        <v>205</v>
      </c>
      <c r="Y497" s="66" t="b">
        <v>0</v>
      </c>
      <c r="Z497" s="66" t="s">
        <v>1944</v>
      </c>
      <c r="AA497" s="66" t="b">
        <v>0</v>
      </c>
      <c r="AD497" s="66">
        <v>1.8026670217514</v>
      </c>
      <c r="AE497" s="66">
        <f t="shared" si="48"/>
        <v>2.8026670217514003</v>
      </c>
      <c r="AH497" s="66">
        <v>0.1</v>
      </c>
      <c r="AL497" s="66">
        <v>13</v>
      </c>
      <c r="AO497" s="66">
        <v>1</v>
      </c>
      <c r="AT497" s="66" t="str">
        <f t="shared" si="45"/>
        <v>来人！汇报情况！</v>
      </c>
      <c r="AU497" s="66" t="s">
        <v>1945</v>
      </c>
    </row>
    <row r="498" spans="1:47" s="66" customFormat="1" ht="28">
      <c r="A498" s="66">
        <v>250002</v>
      </c>
      <c r="C498" s="66">
        <v>1</v>
      </c>
      <c r="D498" s="66" t="str">
        <f t="shared" si="49"/>
        <v>项楚5关-TID_DialogueConf_240001_name_CN_Main</v>
      </c>
      <c r="E498" s="66" t="s">
        <v>412</v>
      </c>
      <c r="F498" s="20" t="str">
        <f>VLOOKUP(G498,'#TID_base_up'!B:C,2,0)</f>
        <v>斥候</v>
      </c>
      <c r="G498" s="66" t="s">
        <v>1882</v>
      </c>
      <c r="H498" s="66" t="s">
        <v>132</v>
      </c>
      <c r="I498" s="66" t="s">
        <v>1573</v>
      </c>
      <c r="J498" s="66" t="s">
        <v>1946</v>
      </c>
      <c r="K498" s="84" t="str">
        <f t="shared" si="47"/>
        <v>大王，这里便是敌军的粮仓，所有的粮草都会从这里运向敌军大营。</v>
      </c>
      <c r="T498" s="66">
        <v>1</v>
      </c>
      <c r="U498" s="66">
        <v>2</v>
      </c>
      <c r="V498" s="66">
        <v>0</v>
      </c>
      <c r="X498" s="66">
        <v>205</v>
      </c>
      <c r="Y498" s="66" t="b">
        <v>0</v>
      </c>
      <c r="Z498" s="66" t="s">
        <v>1947</v>
      </c>
      <c r="AA498" s="66" t="b">
        <v>0</v>
      </c>
      <c r="AD498" s="66">
        <v>5.6853327751159703</v>
      </c>
      <c r="AE498" s="66">
        <f t="shared" si="48"/>
        <v>6.6853327751159703</v>
      </c>
      <c r="AH498" s="66">
        <v>0.1</v>
      </c>
      <c r="AL498" s="66">
        <v>13</v>
      </c>
      <c r="AT498" s="66" t="str">
        <f t="shared" si="45"/>
        <v>大王，这里便是敌军的粮仓，所有的粮草都会从这里运向敌军大营。</v>
      </c>
      <c r="AU498" s="66" t="s">
        <v>1948</v>
      </c>
    </row>
    <row r="499" spans="1:47" s="66" customFormat="1" ht="14">
      <c r="A499" s="66">
        <v>250003</v>
      </c>
      <c r="C499" s="66">
        <v>1</v>
      </c>
      <c r="D499" s="66" t="str">
        <f t="shared" si="49"/>
        <v>项楚5关-TID_DialogueConf_240001_name_CN_Main</v>
      </c>
      <c r="E499" s="66" t="s">
        <v>412</v>
      </c>
      <c r="F499" s="20" t="str">
        <f>VLOOKUP(G499,'#TID_base_up'!B:C,2,0)</f>
        <v>斥候</v>
      </c>
      <c r="G499" s="66" t="s">
        <v>1882</v>
      </c>
      <c r="H499" s="66" t="s">
        <v>132</v>
      </c>
      <c r="I499" s="66" t="s">
        <v>1573</v>
      </c>
      <c r="J499" s="66" t="s">
        <v>1949</v>
      </c>
      <c r="K499" s="84" t="str">
        <f t="shared" si="47"/>
        <v>粮仓与敌军大营皆有重兵把守，不可强攻。</v>
      </c>
      <c r="T499" s="66">
        <v>1</v>
      </c>
      <c r="U499" s="66">
        <v>2</v>
      </c>
      <c r="V499" s="66">
        <v>0</v>
      </c>
      <c r="X499" s="66">
        <v>205</v>
      </c>
      <c r="Y499" s="66" t="b">
        <v>0</v>
      </c>
      <c r="Z499" s="66" t="s">
        <v>1950</v>
      </c>
      <c r="AA499" s="66" t="b">
        <v>0</v>
      </c>
      <c r="AD499" s="66">
        <v>3.23733305931091</v>
      </c>
      <c r="AE499" s="66">
        <f t="shared" si="48"/>
        <v>4.2373330593109095</v>
      </c>
      <c r="AH499" s="66">
        <v>0.1</v>
      </c>
      <c r="AL499" s="66">
        <v>13</v>
      </c>
      <c r="AT499" s="66" t="str">
        <f t="shared" si="45"/>
        <v>粮仓与敌军大营皆有重兵把守，不可强攻。</v>
      </c>
      <c r="AU499" s="66" t="s">
        <v>1951</v>
      </c>
    </row>
    <row r="500" spans="1:47" s="66" customFormat="1" ht="14">
      <c r="A500" s="66">
        <v>250003</v>
      </c>
      <c r="C500" s="66">
        <v>2</v>
      </c>
      <c r="D500" s="66" t="str">
        <f t="shared" si="49"/>
        <v>项楚5关-TID_DialogueConf_240001_name_CN_Main</v>
      </c>
      <c r="E500" s="66" t="s">
        <v>412</v>
      </c>
      <c r="F500" s="20" t="str">
        <f>VLOOKUP(G500,'#TID_base_up'!B:C,2,0)</f>
        <v>斥候</v>
      </c>
      <c r="G500" s="66" t="s">
        <v>1882</v>
      </c>
      <c r="H500" s="66" t="s">
        <v>132</v>
      </c>
      <c r="I500" s="66" t="s">
        <v>1573</v>
      </c>
      <c r="J500" s="66" t="s">
        <v>1952</v>
      </c>
      <c r="K500" s="84" t="str">
        <f t="shared" si="47"/>
        <v>只要大王断了他们的运输线，夺了他们的粮草，自可不战而胜！</v>
      </c>
      <c r="T500" s="66">
        <v>1</v>
      </c>
      <c r="U500" s="66">
        <v>2</v>
      </c>
      <c r="V500" s="66">
        <v>0</v>
      </c>
      <c r="X500" s="66">
        <v>205</v>
      </c>
      <c r="Y500" s="66" t="b">
        <v>0</v>
      </c>
      <c r="Z500" s="66" t="s">
        <v>1953</v>
      </c>
      <c r="AA500" s="66" t="b">
        <v>0</v>
      </c>
      <c r="AD500" s="66">
        <v>4.89333295822144</v>
      </c>
      <c r="AE500" s="66">
        <f t="shared" si="48"/>
        <v>5.89333295822144</v>
      </c>
      <c r="AH500" s="66">
        <v>0.1</v>
      </c>
      <c r="AL500" s="66">
        <v>13</v>
      </c>
      <c r="AT500" s="66" t="str">
        <f t="shared" si="45"/>
        <v>只要大王断了他们的运输线，夺了他们的粮草，自可不战而胜！</v>
      </c>
      <c r="AU500" s="66" t="s">
        <v>1954</v>
      </c>
    </row>
    <row r="501" spans="1:47" s="66" customFormat="1" ht="14">
      <c r="A501" s="66">
        <v>250004</v>
      </c>
      <c r="C501" s="66">
        <v>1</v>
      </c>
      <c r="D501" s="66" t="str">
        <f t="shared" si="49"/>
        <v>项楚5关-TID_DialogueConf_210005_name_CN_Main</v>
      </c>
      <c r="E501" s="66" t="s">
        <v>412</v>
      </c>
      <c r="F501" s="20" t="str">
        <f>VLOOKUP(G501,'#TID_base_up'!B:C,2,0)</f>
        <v>项楚</v>
      </c>
      <c r="G501" s="66" t="s">
        <v>1585</v>
      </c>
      <c r="H501" s="66" t="s">
        <v>132</v>
      </c>
      <c r="I501" s="66" t="s">
        <v>1586</v>
      </c>
      <c r="J501" s="66" t="s">
        <v>1955</v>
      </c>
      <c r="K501" s="84" t="str">
        <f t="shared" si="47"/>
        <v>那还等什么？我们上！</v>
      </c>
      <c r="T501" s="66">
        <v>1</v>
      </c>
      <c r="U501" s="66">
        <v>2</v>
      </c>
      <c r="V501" s="66">
        <v>0</v>
      </c>
      <c r="X501" s="66">
        <v>205</v>
      </c>
      <c r="Y501" s="66" t="b">
        <v>0</v>
      </c>
      <c r="Z501" s="66" t="s">
        <v>1956</v>
      </c>
      <c r="AA501" s="66" t="b">
        <v>0</v>
      </c>
      <c r="AD501" s="66">
        <v>2.24533295631409</v>
      </c>
      <c r="AE501" s="66">
        <f t="shared" si="48"/>
        <v>3.24533295631409</v>
      </c>
      <c r="AH501" s="66">
        <v>0.1</v>
      </c>
      <c r="AL501" s="66">
        <v>13</v>
      </c>
      <c r="AO501" s="66">
        <v>1</v>
      </c>
      <c r="AT501" s="66" t="str">
        <f t="shared" si="45"/>
        <v>那还等什么？我们上！</v>
      </c>
      <c r="AU501" s="66" t="s">
        <v>1957</v>
      </c>
    </row>
    <row r="502" spans="1:47" s="66" customFormat="1" ht="14">
      <c r="A502" s="66">
        <v>250005</v>
      </c>
      <c r="C502" s="66">
        <v>1</v>
      </c>
      <c r="D502" s="66" t="str">
        <f t="shared" si="49"/>
        <v>项楚5关-TID_DialogueConf_240001_name_CN_Main</v>
      </c>
      <c r="E502" s="66" t="s">
        <v>412</v>
      </c>
      <c r="F502" s="20" t="str">
        <f>VLOOKUP(G502,'#TID_base_up'!B:C,2,0)</f>
        <v>斥候</v>
      </c>
      <c r="G502" s="66" t="s">
        <v>1882</v>
      </c>
      <c r="H502" s="66" t="s">
        <v>132</v>
      </c>
      <c r="I502" s="66" t="s">
        <v>1573</v>
      </c>
      <c r="J502" s="66" t="s">
        <v>1958</v>
      </c>
      <c r="K502" s="84" t="str">
        <f t="shared" si="47"/>
        <v>大王，粮车已在中间路线出现！请即刻前往阻截。</v>
      </c>
      <c r="T502" s="66">
        <v>1</v>
      </c>
      <c r="U502" s="66">
        <v>2</v>
      </c>
      <c r="V502" s="66">
        <v>0</v>
      </c>
      <c r="X502" s="66">
        <v>205</v>
      </c>
      <c r="Y502" s="66" t="b">
        <v>0</v>
      </c>
      <c r="Z502" s="66" t="s">
        <v>1959</v>
      </c>
      <c r="AA502" s="66" t="b">
        <v>0</v>
      </c>
      <c r="AD502" s="66">
        <v>4.4293332099914604</v>
      </c>
      <c r="AE502" s="66">
        <f t="shared" si="48"/>
        <v>5.4293332099914604</v>
      </c>
      <c r="AH502" s="66">
        <v>0.1</v>
      </c>
      <c r="AL502" s="66">
        <v>13</v>
      </c>
      <c r="AT502" s="66" t="str">
        <f t="shared" si="45"/>
        <v>大王，粮车已在中间路线出现！请即刻前往阻截。</v>
      </c>
      <c r="AU502" s="66" t="s">
        <v>1960</v>
      </c>
    </row>
    <row r="503" spans="1:47" s="66" customFormat="1" ht="14">
      <c r="A503" s="66">
        <v>250005</v>
      </c>
      <c r="C503" s="66">
        <v>2</v>
      </c>
      <c r="D503" s="66" t="str">
        <f t="shared" si="49"/>
        <v>项楚5关-TID_DialogueConf_250005_name_738490450945_CN_Main</v>
      </c>
      <c r="E503" s="66" t="s">
        <v>412</v>
      </c>
      <c r="F503" s="20" t="str">
        <f>VLOOKUP(G503,'#TID_base_up'!B:C,2,0)</f>
        <v>运粮队伍</v>
      </c>
      <c r="G503" s="66" t="s">
        <v>1961</v>
      </c>
      <c r="H503" s="66" t="s">
        <v>132</v>
      </c>
      <c r="I503" s="66" t="s">
        <v>1581</v>
      </c>
      <c r="J503" s="66" t="s">
        <v>1962</v>
      </c>
      <c r="K503" s="84" t="str">
        <f t="shared" si="47"/>
        <v>将军正在等着这批粮草，可不能出什么岔子。</v>
      </c>
      <c r="T503" s="66">
        <v>1</v>
      </c>
      <c r="U503" s="66">
        <v>2</v>
      </c>
      <c r="V503" s="66">
        <v>0</v>
      </c>
      <c r="X503" s="66">
        <v>205</v>
      </c>
      <c r="Y503" s="66" t="b">
        <v>0</v>
      </c>
      <c r="Z503" s="66" t="s">
        <v>1963</v>
      </c>
      <c r="AA503" s="66" t="b">
        <v>0</v>
      </c>
      <c r="AD503" s="66">
        <v>3.84800004959106</v>
      </c>
      <c r="AE503" s="66">
        <f t="shared" si="48"/>
        <v>4.84800004959106</v>
      </c>
      <c r="AH503" s="66">
        <v>0.1</v>
      </c>
      <c r="AL503" s="66">
        <v>13</v>
      </c>
      <c r="AP503" s="66">
        <v>1</v>
      </c>
      <c r="AT503" s="66" t="str">
        <f t="shared" si="45"/>
        <v>将军正在等着这批粮草，可不能出什么岔子。</v>
      </c>
      <c r="AU503" s="66" t="s">
        <v>1964</v>
      </c>
    </row>
    <row r="504" spans="1:47" s="66" customFormat="1" ht="14">
      <c r="A504" s="66">
        <v>250006</v>
      </c>
      <c r="C504" s="66">
        <v>1</v>
      </c>
      <c r="D504" s="66" t="str">
        <f t="shared" si="49"/>
        <v>项楚5关-TID_DialogueConf_210005_name_CN_Main</v>
      </c>
      <c r="E504" s="66" t="s">
        <v>412</v>
      </c>
      <c r="F504" s="20" t="str">
        <f>VLOOKUP(G504,'#TID_base_up'!B:C,2,0)</f>
        <v>项楚</v>
      </c>
      <c r="G504" s="66" t="s">
        <v>1585</v>
      </c>
      <c r="H504" s="66" t="s">
        <v>132</v>
      </c>
      <c r="I504" s="66" t="s">
        <v>1586</v>
      </c>
      <c r="J504" s="66" t="s">
        <v>1965</v>
      </c>
      <c r="K504" s="84" t="str">
        <f t="shared" si="47"/>
        <v>敌军运粮部队就在前方，都跟我来！</v>
      </c>
      <c r="T504" s="66">
        <v>1</v>
      </c>
      <c r="U504" s="66">
        <v>2</v>
      </c>
      <c r="V504" s="66">
        <v>0</v>
      </c>
      <c r="X504" s="66">
        <v>205</v>
      </c>
      <c r="Y504" s="66" t="b">
        <v>0</v>
      </c>
      <c r="Z504" s="66" t="s">
        <v>1966</v>
      </c>
      <c r="AA504" s="66" t="b">
        <v>0</v>
      </c>
      <c r="AD504" s="66">
        <v>3.07466697692871</v>
      </c>
      <c r="AE504" s="66">
        <f t="shared" si="48"/>
        <v>4.07466697692871</v>
      </c>
      <c r="AH504" s="66">
        <v>0.1</v>
      </c>
      <c r="AL504" s="66">
        <v>13</v>
      </c>
      <c r="AO504" s="66">
        <v>1</v>
      </c>
      <c r="AT504" s="66" t="str">
        <f t="shared" si="45"/>
        <v>敌军运粮部队就在前方，都跟我来！</v>
      </c>
      <c r="AU504" s="66" t="s">
        <v>1967</v>
      </c>
    </row>
    <row r="505" spans="1:47" s="66" customFormat="1" ht="14">
      <c r="A505" s="66">
        <v>250007</v>
      </c>
      <c r="C505" s="66">
        <v>1</v>
      </c>
      <c r="D505" s="66" t="str">
        <f t="shared" si="49"/>
        <v>项楚5关-TID_DialogueConf_250005_name_738490450945_CN_Main</v>
      </c>
      <c r="E505" s="66" t="s">
        <v>412</v>
      </c>
      <c r="F505" s="20" t="str">
        <f>VLOOKUP(G505,'#TID_base_up'!B:C,2,0)</f>
        <v>运粮队伍</v>
      </c>
      <c r="G505" s="66" t="s">
        <v>1961</v>
      </c>
      <c r="H505" s="66" t="s">
        <v>132</v>
      </c>
      <c r="I505" s="66" t="s">
        <v>1581</v>
      </c>
      <c r="J505" s="66" t="s">
        <v>1968</v>
      </c>
      <c r="K505" s="84" t="str">
        <f t="shared" si="47"/>
        <v>大胆！刘将军的粮也敢抢？</v>
      </c>
      <c r="T505" s="66">
        <v>1</v>
      </c>
      <c r="U505" s="66">
        <v>2</v>
      </c>
      <c r="V505" s="66">
        <v>0</v>
      </c>
      <c r="X505" s="66">
        <v>205</v>
      </c>
      <c r="Y505" s="66" t="b">
        <v>0</v>
      </c>
      <c r="Z505" s="66" t="s">
        <v>1969</v>
      </c>
      <c r="AA505" s="66" t="b">
        <v>0</v>
      </c>
      <c r="AD505" s="66">
        <v>3.3546669483184801</v>
      </c>
      <c r="AE505" s="66">
        <f t="shared" si="48"/>
        <v>4.3546669483184797</v>
      </c>
      <c r="AH505" s="66">
        <v>0.1</v>
      </c>
      <c r="AL505" s="66">
        <v>13</v>
      </c>
      <c r="AP505" s="66">
        <v>1</v>
      </c>
      <c r="AT505" s="66" t="str">
        <f t="shared" si="45"/>
        <v>大胆！刘将军的粮也敢抢？</v>
      </c>
      <c r="AU505" s="66" t="s">
        <v>1970</v>
      </c>
    </row>
    <row r="506" spans="1:47" s="66" customFormat="1" ht="14">
      <c r="A506" s="66">
        <v>250007</v>
      </c>
      <c r="C506" s="66">
        <v>2</v>
      </c>
      <c r="D506" s="66" t="str">
        <f t="shared" si="49"/>
        <v>项楚5关-TID_DialogueConf_210005_name_CN_Main</v>
      </c>
      <c r="E506" s="66" t="s">
        <v>412</v>
      </c>
      <c r="F506" s="20" t="str">
        <f>VLOOKUP(G506,'#TID_base_up'!B:C,2,0)</f>
        <v>项楚</v>
      </c>
      <c r="G506" s="66" t="s">
        <v>1585</v>
      </c>
      <c r="H506" s="66" t="s">
        <v>132</v>
      </c>
      <c r="I506" s="66" t="s">
        <v>1586</v>
      </c>
      <c r="J506" s="66" t="s">
        <v>1971</v>
      </c>
      <c r="K506" s="84" t="str">
        <f t="shared" si="47"/>
        <v>嘿嘿，抢的就是你们！</v>
      </c>
      <c r="T506" s="66">
        <v>1</v>
      </c>
      <c r="U506" s="66">
        <v>2</v>
      </c>
      <c r="V506" s="66">
        <v>0</v>
      </c>
      <c r="X506" s="66">
        <v>205</v>
      </c>
      <c r="Y506" s="66" t="b">
        <v>0</v>
      </c>
      <c r="Z506" s="66" t="s">
        <v>1972</v>
      </c>
      <c r="AA506" s="66" t="b">
        <v>0</v>
      </c>
      <c r="AD506" s="66">
        <v>2.7213330268859899</v>
      </c>
      <c r="AE506" s="66">
        <f t="shared" si="48"/>
        <v>3.7213330268859899</v>
      </c>
      <c r="AH506" s="66">
        <v>0.1</v>
      </c>
      <c r="AL506" s="66">
        <v>13</v>
      </c>
      <c r="AO506" s="66">
        <v>1</v>
      </c>
      <c r="AT506" s="66" t="str">
        <f t="shared" si="45"/>
        <v>嘿嘿，抢的就是你们！</v>
      </c>
      <c r="AU506" s="66" t="s">
        <v>1973</v>
      </c>
    </row>
    <row r="507" spans="1:47" s="66" customFormat="1" ht="14">
      <c r="A507" s="66">
        <v>250008</v>
      </c>
      <c r="C507" s="66">
        <v>1</v>
      </c>
      <c r="D507" s="66" t="str">
        <f t="shared" si="49"/>
        <v>项楚5关-TID_DialogueConf_250005_name_738490450945_CN_Main</v>
      </c>
      <c r="E507" s="66" t="s">
        <v>412</v>
      </c>
      <c r="F507" s="20" t="str">
        <f>VLOOKUP(G507,'#TID_base_up'!B:C,2,0)</f>
        <v>运粮队伍</v>
      </c>
      <c r="G507" s="66" t="s">
        <v>1961</v>
      </c>
      <c r="H507" s="66" t="s">
        <v>132</v>
      </c>
      <c r="I507" s="66" t="s">
        <v>1581</v>
      </c>
      <c r="J507" s="66" t="s">
        <v>1974</v>
      </c>
      <c r="K507" s="84" t="str">
        <f t="shared" si="47"/>
        <v>快！快跑！</v>
      </c>
      <c r="T507" s="66">
        <v>1</v>
      </c>
      <c r="U507" s="66">
        <v>2</v>
      </c>
      <c r="V507" s="66">
        <v>0</v>
      </c>
      <c r="X507" s="66">
        <v>205</v>
      </c>
      <c r="Y507" s="66" t="b">
        <v>0</v>
      </c>
      <c r="Z507" s="66" t="s">
        <v>1975</v>
      </c>
      <c r="AA507" s="66" t="b">
        <v>0</v>
      </c>
      <c r="AD507" s="66">
        <v>2.96533298492432</v>
      </c>
      <c r="AE507" s="66">
        <f t="shared" si="48"/>
        <v>3.96533298492432</v>
      </c>
      <c r="AH507" s="66">
        <v>0.1</v>
      </c>
      <c r="AL507" s="66">
        <v>13</v>
      </c>
      <c r="AP507" s="66">
        <v>1</v>
      </c>
      <c r="AT507" s="66" t="str">
        <f t="shared" si="45"/>
        <v>快！快跑！</v>
      </c>
      <c r="AU507" s="66" t="s">
        <v>1976</v>
      </c>
    </row>
    <row r="508" spans="1:47" s="66" customFormat="1" ht="14">
      <c r="A508" s="66">
        <v>250008</v>
      </c>
      <c r="C508" s="66">
        <v>2</v>
      </c>
      <c r="D508" s="66" t="str">
        <f t="shared" si="49"/>
        <v>项楚5关-TID_DialogueConf_210005_name_CN_Main</v>
      </c>
      <c r="E508" s="66" t="s">
        <v>412</v>
      </c>
      <c r="F508" s="20" t="str">
        <f>VLOOKUP(G508,'#TID_base_up'!B:C,2,0)</f>
        <v>项楚</v>
      </c>
      <c r="G508" s="66" t="s">
        <v>1585</v>
      </c>
      <c r="H508" s="66" t="s">
        <v>132</v>
      </c>
      <c r="I508" s="66" t="s">
        <v>1586</v>
      </c>
      <c r="J508" s="66" t="s">
        <v>1977</v>
      </c>
      <c r="K508" s="84" t="str">
        <f t="shared" si="47"/>
        <v>拿来吧你！</v>
      </c>
      <c r="T508" s="66">
        <v>1</v>
      </c>
      <c r="U508" s="66">
        <v>2</v>
      </c>
      <c r="V508" s="66">
        <v>0</v>
      </c>
      <c r="X508" s="66">
        <v>205</v>
      </c>
      <c r="Y508" s="66" t="b">
        <v>0</v>
      </c>
      <c r="Z508" s="66" t="s">
        <v>1978</v>
      </c>
      <c r="AA508" s="66" t="b">
        <v>0</v>
      </c>
      <c r="AD508" s="66">
        <v>1.01666700839996</v>
      </c>
      <c r="AE508" s="66">
        <f t="shared" si="48"/>
        <v>2.0166670083999598</v>
      </c>
      <c r="AH508" s="66">
        <v>0.1</v>
      </c>
      <c r="AL508" s="66">
        <v>13</v>
      </c>
      <c r="AO508" s="66">
        <v>1</v>
      </c>
      <c r="AT508" s="66" t="str">
        <f t="shared" si="45"/>
        <v>拿来吧你！</v>
      </c>
      <c r="AU508" s="66" t="s">
        <v>1979</v>
      </c>
    </row>
    <row r="509" spans="1:47" s="66" customFormat="1" ht="14">
      <c r="A509" s="66">
        <v>250009</v>
      </c>
      <c r="C509" s="66">
        <v>1</v>
      </c>
      <c r="D509" s="66" t="str">
        <f t="shared" si="49"/>
        <v>项楚5关-TID_DialogueConf_240001_name_CN_Main</v>
      </c>
      <c r="E509" s="66" t="s">
        <v>412</v>
      </c>
      <c r="F509" s="20" t="str">
        <f>VLOOKUP(G509,'#TID_base_up'!B:C,2,0)</f>
        <v>斥候</v>
      </c>
      <c r="G509" s="66" t="s">
        <v>1882</v>
      </c>
      <c r="H509" s="66" t="s">
        <v>132</v>
      </c>
      <c r="I509" s="66" t="s">
        <v>1573</v>
      </c>
      <c r="J509" s="66" t="s">
        <v>1980</v>
      </c>
      <c r="K509" s="84" t="str">
        <f t="shared" si="47"/>
        <v>大王，我们的驰援部队正在与敌军交战！他们需要帮助！</v>
      </c>
      <c r="T509" s="66">
        <v>1</v>
      </c>
      <c r="U509" s="66">
        <v>2</v>
      </c>
      <c r="V509" s="66">
        <v>0</v>
      </c>
      <c r="X509" s="66">
        <v>205</v>
      </c>
      <c r="Y509" s="66" t="b">
        <v>0</v>
      </c>
      <c r="Z509" s="66" t="s">
        <v>1981</v>
      </c>
      <c r="AA509" s="66" t="b">
        <v>0</v>
      </c>
      <c r="AD509" s="66">
        <v>4.1919999122619602</v>
      </c>
      <c r="AE509" s="66">
        <f t="shared" si="48"/>
        <v>5.1919999122619602</v>
      </c>
      <c r="AH509" s="66">
        <v>0.1</v>
      </c>
      <c r="AL509" s="66">
        <v>13</v>
      </c>
      <c r="AT509" s="66" t="str">
        <f t="shared" ref="AT509:AT540" si="50">IF($AU509="","",SUBSTITUTE(SUBSTITUTE(SUBSTITUTE(SUBSTITUTE($AU509,IF($AW509="","",$AW509),IF($AW509="","",CONCATENATE("&lt;color=#FFCC71&gt;",$AW509,"&lt;/color&gt;"))),IF($AX509="","",$AX509),IF($AX509="","",CONCATENATE("&lt;color=#FFCC71&gt;",$AX509,"&lt;/color&gt;"))),IF($AY509="","",$AY509),IF($AY509="","",CONCATENATE("&lt;color=#FFCC71&gt;",$AY509,"&lt;/color&gt;"))),IF($AZ509="","",$AZ509),IF($AZ509="","",CONCATENATE("&lt;color=#FFCC71&gt;",$AZ509,"&lt;/color&gt;"))))</f>
        <v>大王，我们的驰援部队正在与敌军交战！他们需要帮助！</v>
      </c>
      <c r="AU509" s="66" t="s">
        <v>1982</v>
      </c>
    </row>
    <row r="510" spans="1:47" s="66" customFormat="1" ht="14">
      <c r="A510" s="66">
        <v>250010</v>
      </c>
      <c r="C510" s="66">
        <v>1</v>
      </c>
      <c r="D510" s="66" t="str">
        <f t="shared" si="49"/>
        <v>项楚5关-TID_DialogueConf_250010_name_CN_Main</v>
      </c>
      <c r="E510" s="66" t="s">
        <v>412</v>
      </c>
      <c r="F510" s="20" t="str">
        <f>VLOOKUP(G510,'#TID_base_up'!B:C,2,0)</f>
        <v>友军</v>
      </c>
      <c r="G510" s="66" t="s">
        <v>1983</v>
      </c>
      <c r="H510" s="66" t="s">
        <v>132</v>
      </c>
      <c r="I510" s="66" t="s">
        <v>1912</v>
      </c>
      <c r="J510" s="66" t="s">
        <v>1984</v>
      </c>
      <c r="K510" s="84" t="str">
        <f t="shared" ref="K510:K530" si="51">AT510</f>
        <v>属下来迟，请大王吩咐！</v>
      </c>
      <c r="T510" s="66">
        <v>1</v>
      </c>
      <c r="U510" s="66">
        <v>2</v>
      </c>
      <c r="V510" s="66">
        <v>0</v>
      </c>
      <c r="X510" s="66">
        <v>205</v>
      </c>
      <c r="Y510" s="66" t="b">
        <v>0</v>
      </c>
      <c r="Z510" s="66" t="s">
        <v>1985</v>
      </c>
      <c r="AA510" s="66" t="b">
        <v>0</v>
      </c>
      <c r="AD510" s="66">
        <v>2.0073330402374299</v>
      </c>
      <c r="AE510" s="66">
        <f t="shared" ref="AE510:AE530" si="52">AD510+1</f>
        <v>3.0073330402374299</v>
      </c>
      <c r="AH510" s="66">
        <v>0.1</v>
      </c>
      <c r="AL510" s="66">
        <v>13</v>
      </c>
      <c r="AO510" s="66">
        <v>27</v>
      </c>
      <c r="AT510" s="66" t="str">
        <f t="shared" si="50"/>
        <v>属下来迟，请大王吩咐！</v>
      </c>
      <c r="AU510" s="66" t="s">
        <v>1986</v>
      </c>
    </row>
    <row r="511" spans="1:47" s="66" customFormat="1" ht="14">
      <c r="A511" s="66">
        <v>250010</v>
      </c>
      <c r="C511" s="66">
        <v>2</v>
      </c>
      <c r="D511" s="66" t="str">
        <f t="shared" si="49"/>
        <v>项楚5关-TID_DialogueConf_210005_name_CN_Main</v>
      </c>
      <c r="E511" s="66" t="s">
        <v>412</v>
      </c>
      <c r="F511" s="20" t="str">
        <f>VLOOKUP(G511,'#TID_base_up'!B:C,2,0)</f>
        <v>项楚</v>
      </c>
      <c r="G511" s="66" t="s">
        <v>1585</v>
      </c>
      <c r="H511" s="66" t="s">
        <v>132</v>
      </c>
      <c r="I511" s="66" t="s">
        <v>1586</v>
      </c>
      <c r="J511" s="66" t="s">
        <v>1987</v>
      </c>
      <c r="K511" s="84" t="str">
        <f t="shared" si="51"/>
        <v>入队！</v>
      </c>
      <c r="T511" s="66">
        <v>1</v>
      </c>
      <c r="U511" s="66">
        <v>2</v>
      </c>
      <c r="V511" s="66">
        <v>0</v>
      </c>
      <c r="X511" s="66">
        <v>205</v>
      </c>
      <c r="Y511" s="66" t="b">
        <v>0</v>
      </c>
      <c r="Z511" s="66" t="s">
        <v>1988</v>
      </c>
      <c r="AA511" s="66" t="b">
        <v>0</v>
      </c>
      <c r="AD511" s="66">
        <v>0.596000015735626</v>
      </c>
      <c r="AE511" s="66">
        <f t="shared" si="52"/>
        <v>1.596000015735626</v>
      </c>
      <c r="AH511" s="66">
        <v>0.1</v>
      </c>
      <c r="AL511" s="66">
        <v>13</v>
      </c>
      <c r="AO511" s="66">
        <v>1</v>
      </c>
      <c r="AT511" s="66" t="str">
        <f t="shared" si="50"/>
        <v>入队！</v>
      </c>
      <c r="AU511" s="66" t="s">
        <v>1989</v>
      </c>
    </row>
    <row r="512" spans="1:47" s="66" customFormat="1" ht="14">
      <c r="A512" s="66">
        <v>250010</v>
      </c>
      <c r="C512" s="66">
        <v>3</v>
      </c>
      <c r="D512" s="66" t="str">
        <f t="shared" si="49"/>
        <v>项楚5关-TID_DialogueConf_240001_name_CN_Main</v>
      </c>
      <c r="E512" s="66" t="s">
        <v>412</v>
      </c>
      <c r="F512" s="20" t="str">
        <f>VLOOKUP(G512,'#TID_base_up'!B:C,2,0)</f>
        <v>斥候</v>
      </c>
      <c r="G512" s="66" t="s">
        <v>1882</v>
      </c>
      <c r="H512" s="66" t="s">
        <v>132</v>
      </c>
      <c r="I512" s="66" t="s">
        <v>1573</v>
      </c>
      <c r="J512" s="66" t="s">
        <v>1990</v>
      </c>
      <c r="K512" s="84" t="str">
        <f t="shared" si="51"/>
        <v>大王有了第二支队伍，阻截粮车必然会事半功倍！</v>
      </c>
      <c r="T512" s="66">
        <v>1</v>
      </c>
      <c r="U512" s="66">
        <v>2</v>
      </c>
      <c r="V512" s="66">
        <v>0</v>
      </c>
      <c r="X512" s="66">
        <v>205</v>
      </c>
      <c r="Y512" s="66" t="b">
        <v>0</v>
      </c>
      <c r="Z512" s="66" t="s">
        <v>1991</v>
      </c>
      <c r="AA512" s="66" t="b">
        <v>0</v>
      </c>
      <c r="AD512" s="66">
        <v>3.8146669864654501</v>
      </c>
      <c r="AE512" s="66">
        <f t="shared" si="52"/>
        <v>4.8146669864654505</v>
      </c>
      <c r="AH512" s="66">
        <v>0.1</v>
      </c>
      <c r="AL512" s="66">
        <v>13</v>
      </c>
      <c r="AT512" s="66" t="str">
        <f t="shared" si="50"/>
        <v>大王有了第二支队伍，阻截粮车必然会事半功倍！</v>
      </c>
      <c r="AU512" s="66" t="s">
        <v>1992</v>
      </c>
    </row>
    <row r="513" spans="1:47" s="66" customFormat="1" ht="14">
      <c r="A513" s="66">
        <v>250011</v>
      </c>
      <c r="C513" s="66">
        <v>1</v>
      </c>
      <c r="D513" s="66" t="str">
        <f t="shared" si="49"/>
        <v>项楚5关-TID_DialogueConf_240001_name_CN_Main</v>
      </c>
      <c r="E513" s="66" t="s">
        <v>412</v>
      </c>
      <c r="F513" s="20" t="str">
        <f>VLOOKUP(G513,'#TID_base_up'!B:C,2,0)</f>
        <v>斥候</v>
      </c>
      <c r="G513" s="66" t="s">
        <v>1882</v>
      </c>
      <c r="H513" s="66" t="s">
        <v>132</v>
      </c>
      <c r="I513" s="66" t="s">
        <v>1573</v>
      </c>
      <c r="J513" s="66" t="s">
        <v>1993</v>
      </c>
      <c r="K513" s="84" t="str">
        <f t="shared" si="51"/>
        <v>大王，粮车在上方和下方路线同时出现！请兵分两路前往阻截。</v>
      </c>
      <c r="T513" s="66">
        <v>1</v>
      </c>
      <c r="U513" s="66">
        <v>2</v>
      </c>
      <c r="V513" s="66">
        <v>0</v>
      </c>
      <c r="X513" s="66">
        <v>205</v>
      </c>
      <c r="Y513" s="66" t="b">
        <v>0</v>
      </c>
      <c r="Z513" s="66" t="s">
        <v>1994</v>
      </c>
      <c r="AA513" s="66" t="b">
        <v>0</v>
      </c>
      <c r="AD513" s="66">
        <v>5.5493330955505398</v>
      </c>
      <c r="AE513" s="66">
        <f t="shared" si="52"/>
        <v>6.5493330955505398</v>
      </c>
      <c r="AH513" s="66">
        <v>0.1</v>
      </c>
      <c r="AL513" s="66">
        <v>13</v>
      </c>
      <c r="AT513" s="66" t="str">
        <f t="shared" si="50"/>
        <v>大王，粮车在上方和下方路线同时出现！请兵分两路前往阻截。</v>
      </c>
      <c r="AU513" s="66" t="s">
        <v>1995</v>
      </c>
    </row>
    <row r="514" spans="1:47" s="66" customFormat="1" ht="14">
      <c r="A514" s="66">
        <v>250011</v>
      </c>
      <c r="C514" s="66">
        <v>2</v>
      </c>
      <c r="D514" s="66" t="str">
        <f t="shared" si="49"/>
        <v>项楚5关-TID_DialogueConf_250005_name_738490450945_CN_Main</v>
      </c>
      <c r="E514" s="66" t="s">
        <v>412</v>
      </c>
      <c r="F514" s="20" t="str">
        <f>VLOOKUP(G514,'#TID_base_up'!B:C,2,0)</f>
        <v>运粮队伍</v>
      </c>
      <c r="G514" s="66" t="s">
        <v>1961</v>
      </c>
      <c r="H514" s="66" t="s">
        <v>132</v>
      </c>
      <c r="I514" s="66" t="s">
        <v>1581</v>
      </c>
      <c r="J514" s="66" t="s">
        <v>1996</v>
      </c>
      <c r="K514" s="84" t="str">
        <f t="shared" si="51"/>
        <v>都给我精神点！要是出了一丁点问题，扒了你们的皮！</v>
      </c>
      <c r="T514" s="66">
        <v>1</v>
      </c>
      <c r="U514" s="66">
        <v>2</v>
      </c>
      <c r="V514" s="66">
        <v>0</v>
      </c>
      <c r="X514" s="66">
        <v>205</v>
      </c>
      <c r="Y514" s="66" t="b">
        <v>0</v>
      </c>
      <c r="Z514" s="66" t="s">
        <v>1997</v>
      </c>
      <c r="AA514" s="66" t="b">
        <v>0</v>
      </c>
      <c r="AD514" s="66">
        <v>4.2979998588562003</v>
      </c>
      <c r="AE514" s="66">
        <f t="shared" si="52"/>
        <v>5.2979998588562003</v>
      </c>
      <c r="AH514" s="66">
        <v>0.1</v>
      </c>
      <c r="AL514" s="66">
        <v>13</v>
      </c>
      <c r="AP514" s="66">
        <v>1</v>
      </c>
      <c r="AT514" s="66" t="str">
        <f t="shared" si="50"/>
        <v>都给我精神点！要是出了一丁点问题，扒了你们的皮！</v>
      </c>
      <c r="AU514" s="66" t="s">
        <v>1998</v>
      </c>
    </row>
    <row r="515" spans="1:47" s="66" customFormat="1" ht="14">
      <c r="A515" s="66">
        <v>250012</v>
      </c>
      <c r="C515" s="66">
        <v>1</v>
      </c>
      <c r="D515" s="66" t="str">
        <f t="shared" si="49"/>
        <v>项楚5关-TID_DialogueConf_250005_name_738490450945_CN_Main</v>
      </c>
      <c r="E515" s="66" t="s">
        <v>412</v>
      </c>
      <c r="F515" s="20" t="str">
        <f>VLOOKUP(G515,'#TID_base_up'!B:C,2,0)</f>
        <v>运粮队伍</v>
      </c>
      <c r="G515" s="66" t="s">
        <v>1961</v>
      </c>
      <c r="H515" s="66" t="s">
        <v>132</v>
      </c>
      <c r="I515" s="66" t="s">
        <v>1581</v>
      </c>
      <c r="J515" s="66" t="s">
        <v>1999</v>
      </c>
      <c r="K515" s="84" t="str">
        <f t="shared" si="51"/>
        <v>给我上！拦住他们！</v>
      </c>
      <c r="T515" s="66">
        <v>1</v>
      </c>
      <c r="U515" s="66">
        <v>2</v>
      </c>
      <c r="V515" s="66">
        <v>0</v>
      </c>
      <c r="X515" s="66">
        <v>205</v>
      </c>
      <c r="Y515" s="66" t="b">
        <v>0</v>
      </c>
      <c r="Z515" s="66" t="s">
        <v>2000</v>
      </c>
      <c r="AA515" s="66" t="b">
        <v>0</v>
      </c>
      <c r="AD515" s="66">
        <v>2.31599998474121</v>
      </c>
      <c r="AE515" s="66">
        <f t="shared" si="52"/>
        <v>3.31599998474121</v>
      </c>
      <c r="AH515" s="66">
        <v>0.1</v>
      </c>
      <c r="AL515" s="66">
        <v>13</v>
      </c>
      <c r="AP515" s="66">
        <v>1</v>
      </c>
      <c r="AT515" s="66" t="str">
        <f t="shared" si="50"/>
        <v>给我上！拦住他们！</v>
      </c>
      <c r="AU515" s="66" t="s">
        <v>2001</v>
      </c>
    </row>
    <row r="516" spans="1:47" s="66" customFormat="1" ht="14">
      <c r="A516" s="66">
        <v>250012</v>
      </c>
      <c r="C516" s="66">
        <v>2</v>
      </c>
      <c r="D516" s="66" t="str">
        <f t="shared" si="49"/>
        <v>项楚5关-TID_DialogueConf_210005_name_CN_Main</v>
      </c>
      <c r="E516" s="66" t="s">
        <v>412</v>
      </c>
      <c r="F516" s="20" t="str">
        <f>VLOOKUP(G516,'#TID_base_up'!B:C,2,0)</f>
        <v>项楚</v>
      </c>
      <c r="G516" s="66" t="s">
        <v>1585</v>
      </c>
      <c r="H516" s="66" t="s">
        <v>132</v>
      </c>
      <c r="I516" s="66" t="s">
        <v>1586</v>
      </c>
      <c r="J516" s="66" t="s">
        <v>2002</v>
      </c>
      <c r="K516" s="84" t="str">
        <f t="shared" si="51"/>
        <v>各位！辛苦辛苦，粮草我们就收下了！</v>
      </c>
      <c r="T516" s="66">
        <v>1</v>
      </c>
      <c r="U516" s="66">
        <v>2</v>
      </c>
      <c r="V516" s="66">
        <v>0</v>
      </c>
      <c r="X516" s="66">
        <v>205</v>
      </c>
      <c r="Y516" s="66" t="b">
        <v>0</v>
      </c>
      <c r="Z516" s="66" t="s">
        <v>2003</v>
      </c>
      <c r="AA516" s="66" t="b">
        <v>0</v>
      </c>
      <c r="AD516" s="66">
        <v>4.482666015625</v>
      </c>
      <c r="AE516" s="66">
        <f t="shared" si="52"/>
        <v>5.482666015625</v>
      </c>
      <c r="AH516" s="66">
        <v>0.1</v>
      </c>
      <c r="AL516" s="66">
        <v>13</v>
      </c>
      <c r="AO516" s="66">
        <v>1</v>
      </c>
      <c r="AT516" s="66" t="str">
        <f t="shared" si="50"/>
        <v>各位！辛苦辛苦，粮草我们就收下了！</v>
      </c>
      <c r="AU516" s="66" t="s">
        <v>2004</v>
      </c>
    </row>
    <row r="517" spans="1:47" s="66" customFormat="1" ht="14">
      <c r="A517" s="66">
        <v>250013</v>
      </c>
      <c r="C517" s="66">
        <v>1</v>
      </c>
      <c r="D517" s="66" t="str">
        <f t="shared" si="49"/>
        <v>项楚5关-TID_DialogueConf_240001_name_CN_Main</v>
      </c>
      <c r="E517" s="66" t="s">
        <v>412</v>
      </c>
      <c r="F517" s="20" t="str">
        <f>VLOOKUP(G517,'#TID_base_up'!B:C,2,0)</f>
        <v>斥候</v>
      </c>
      <c r="G517" s="66" t="s">
        <v>1882</v>
      </c>
      <c r="H517" s="66" t="s">
        <v>132</v>
      </c>
      <c r="I517" s="66" t="s">
        <v>1573</v>
      </c>
      <c r="J517" s="66" t="s">
        <v>2005</v>
      </c>
      <c r="K517" s="84" t="str">
        <f t="shared" si="51"/>
        <v>大王，新的驰援队伍已经到达战场，他们需要帮助！</v>
      </c>
      <c r="T517" s="66">
        <v>1</v>
      </c>
      <c r="U517" s="66">
        <v>2</v>
      </c>
      <c r="V517" s="66">
        <v>0</v>
      </c>
      <c r="X517" s="66">
        <v>205</v>
      </c>
      <c r="Y517" s="66" t="b">
        <v>0</v>
      </c>
      <c r="Z517" s="66" t="s">
        <v>2006</v>
      </c>
      <c r="AA517" s="66" t="b">
        <v>0</v>
      </c>
      <c r="AD517" s="66">
        <v>4.0013332366943404</v>
      </c>
      <c r="AE517" s="66">
        <f t="shared" si="52"/>
        <v>5.0013332366943404</v>
      </c>
      <c r="AH517" s="66">
        <v>0.1</v>
      </c>
      <c r="AL517" s="66">
        <v>13</v>
      </c>
      <c r="AT517" s="66" t="str">
        <f t="shared" si="50"/>
        <v>大王，新的驰援队伍已经到达战场，他们需要帮助！</v>
      </c>
      <c r="AU517" s="66" t="s">
        <v>2007</v>
      </c>
    </row>
    <row r="518" spans="1:47" s="66" customFormat="1" ht="14">
      <c r="A518" s="66">
        <v>250014</v>
      </c>
      <c r="C518" s="66">
        <v>1</v>
      </c>
      <c r="D518" s="66" t="str">
        <f t="shared" si="49"/>
        <v>项楚5关-TID_DialogueConf_250010_name_CN_Main</v>
      </c>
      <c r="E518" s="66" t="s">
        <v>412</v>
      </c>
      <c r="F518" s="20" t="str">
        <f>VLOOKUP(G518,'#TID_base_up'!B:C,2,0)</f>
        <v>友军</v>
      </c>
      <c r="G518" s="66" t="s">
        <v>1983</v>
      </c>
      <c r="H518" s="66" t="s">
        <v>132</v>
      </c>
      <c r="I518" s="66" t="s">
        <v>1883</v>
      </c>
      <c r="J518" s="66" t="s">
        <v>2008</v>
      </c>
      <c r="K518" s="84" t="str">
        <f t="shared" si="51"/>
        <v>请大王吩咐！</v>
      </c>
      <c r="T518" s="66">
        <v>1</v>
      </c>
      <c r="U518" s="66">
        <v>2</v>
      </c>
      <c r="V518" s="66">
        <v>0</v>
      </c>
      <c r="X518" s="66">
        <v>205</v>
      </c>
      <c r="Y518" s="66" t="b">
        <v>0</v>
      </c>
      <c r="Z518" s="66" t="s">
        <v>2009</v>
      </c>
      <c r="AA518" s="66" t="b">
        <v>0</v>
      </c>
      <c r="AD518" s="66">
        <v>1.0326670408248899</v>
      </c>
      <c r="AE518" s="66">
        <f t="shared" si="52"/>
        <v>2.0326670408248901</v>
      </c>
      <c r="AH518" s="66">
        <v>0.1</v>
      </c>
      <c r="AL518" s="66">
        <v>13</v>
      </c>
      <c r="AO518" s="66">
        <v>79</v>
      </c>
      <c r="AT518" s="66" t="str">
        <f t="shared" si="50"/>
        <v>请大王吩咐！</v>
      </c>
      <c r="AU518" s="66" t="s">
        <v>2010</v>
      </c>
    </row>
    <row r="519" spans="1:47" s="66" customFormat="1" ht="14">
      <c r="A519" s="66">
        <v>250014</v>
      </c>
      <c r="C519" s="66">
        <v>2</v>
      </c>
      <c r="D519" s="66" t="str">
        <f t="shared" si="49"/>
        <v>项楚5关-TID_DialogueConf_210005_name_CN_Main</v>
      </c>
      <c r="E519" s="66" t="s">
        <v>412</v>
      </c>
      <c r="F519" s="20" t="str">
        <f>VLOOKUP(G519,'#TID_base_up'!B:C,2,0)</f>
        <v>项楚</v>
      </c>
      <c r="G519" s="66" t="s">
        <v>1585</v>
      </c>
      <c r="H519" s="66" t="s">
        <v>132</v>
      </c>
      <c r="I519" s="66" t="s">
        <v>1586</v>
      </c>
      <c r="J519" s="66" t="s">
        <v>2011</v>
      </c>
      <c r="K519" s="84" t="str">
        <f t="shared" si="51"/>
        <v>都入队！</v>
      </c>
      <c r="T519" s="66">
        <v>1</v>
      </c>
      <c r="U519" s="66">
        <v>2</v>
      </c>
      <c r="V519" s="66">
        <v>0</v>
      </c>
      <c r="X519" s="66">
        <v>205</v>
      </c>
      <c r="Y519" s="66" t="b">
        <v>0</v>
      </c>
      <c r="Z519" s="66" t="s">
        <v>2012</v>
      </c>
      <c r="AA519" s="66" t="b">
        <v>0</v>
      </c>
      <c r="AD519" s="66">
        <v>0.89466702938079801</v>
      </c>
      <c r="AE519" s="66">
        <f t="shared" si="52"/>
        <v>1.8946670293807979</v>
      </c>
      <c r="AH519" s="66">
        <v>0.1</v>
      </c>
      <c r="AL519" s="66">
        <v>13</v>
      </c>
      <c r="AO519" s="66">
        <v>1</v>
      </c>
      <c r="AT519" s="66" t="str">
        <f t="shared" si="50"/>
        <v>都入队！</v>
      </c>
      <c r="AU519" s="66" t="s">
        <v>2013</v>
      </c>
    </row>
    <row r="520" spans="1:47" s="66" customFormat="1" ht="14">
      <c r="A520" s="66">
        <v>250021</v>
      </c>
      <c r="C520" s="66">
        <v>1</v>
      </c>
      <c r="D520" s="66" t="str">
        <f t="shared" si="49"/>
        <v>项楚5关-TID_DialogueConf_240001_name_CN_Main</v>
      </c>
      <c r="E520" s="66" t="s">
        <v>412</v>
      </c>
      <c r="F520" s="20" t="str">
        <f>VLOOKUP(G520,'#TID_base_up'!B:C,2,0)</f>
        <v>斥候</v>
      </c>
      <c r="G520" s="66" t="s">
        <v>1882</v>
      </c>
      <c r="H520" s="66" t="s">
        <v>132</v>
      </c>
      <c r="I520" s="66" t="s">
        <v>1573</v>
      </c>
      <c r="J520" s="66" t="s">
        <v>2014</v>
      </c>
      <c r="K520" s="84" t="str">
        <f t="shared" si="51"/>
        <v>敌军多次运粮失败，这次必然会丧心病狂全线出击，不得不防。</v>
      </c>
      <c r="T520" s="66">
        <v>1</v>
      </c>
      <c r="U520" s="66">
        <v>2</v>
      </c>
      <c r="V520" s="66">
        <v>0</v>
      </c>
      <c r="X520" s="66">
        <v>205</v>
      </c>
      <c r="Y520" s="66" t="b">
        <v>0</v>
      </c>
      <c r="Z520" s="66" t="s">
        <v>2015</v>
      </c>
      <c r="AA520" s="66" t="b">
        <v>0</v>
      </c>
      <c r="AD520" s="66">
        <v>5.24127101898193</v>
      </c>
      <c r="AE520" s="66">
        <f t="shared" si="52"/>
        <v>6.24127101898193</v>
      </c>
      <c r="AH520" s="66">
        <v>0.1</v>
      </c>
      <c r="AL520" s="66">
        <v>13</v>
      </c>
      <c r="AT520" s="66" t="str">
        <f t="shared" si="50"/>
        <v>敌军多次运粮失败，这次必然会丧心病狂全线出击，不得不防。</v>
      </c>
      <c r="AU520" s="66" t="s">
        <v>2016</v>
      </c>
    </row>
    <row r="521" spans="1:47" s="66" customFormat="1" ht="28">
      <c r="A521" s="66">
        <v>250021</v>
      </c>
      <c r="C521" s="66">
        <v>2</v>
      </c>
      <c r="D521" s="66" t="str">
        <f t="shared" si="49"/>
        <v>项楚5关-TID_DialogueConf_240001_name_CN_Main</v>
      </c>
      <c r="E521" s="66" t="s">
        <v>412</v>
      </c>
      <c r="F521" s="20" t="str">
        <f>VLOOKUP(G521,'#TID_base_up'!B:C,2,0)</f>
        <v>斥候</v>
      </c>
      <c r="G521" s="66" t="s">
        <v>1882</v>
      </c>
      <c r="H521" s="66" t="s">
        <v>132</v>
      </c>
      <c r="I521" s="66" t="s">
        <v>1573</v>
      </c>
      <c r="J521" s="66" t="s">
        <v>2017</v>
      </c>
      <c r="K521" s="84" t="str">
        <f t="shared" si="51"/>
        <v>大王有了第三，四支队伍，完全可以在敌军的运粮路线上守株待兔。</v>
      </c>
      <c r="T521" s="66">
        <v>1</v>
      </c>
      <c r="U521" s="66">
        <v>2</v>
      </c>
      <c r="V521" s="66">
        <v>0</v>
      </c>
      <c r="X521" s="66">
        <v>205</v>
      </c>
      <c r="Y521" s="66" t="b">
        <v>0</v>
      </c>
      <c r="Z521" s="66" t="s">
        <v>2018</v>
      </c>
      <c r="AA521" s="66" t="b">
        <v>0</v>
      </c>
      <c r="AD521" s="66">
        <v>5.0773329734802202</v>
      </c>
      <c r="AE521" s="66">
        <f t="shared" si="52"/>
        <v>6.0773329734802202</v>
      </c>
      <c r="AH521" s="66">
        <v>0.1</v>
      </c>
      <c r="AL521" s="66">
        <v>13</v>
      </c>
      <c r="AT521" s="66" t="str">
        <f t="shared" si="50"/>
        <v>大王有了第三，四支队伍，完全可以在敌军的运粮路线上守株待兔。</v>
      </c>
      <c r="AU521" s="66" t="s">
        <v>2019</v>
      </c>
    </row>
    <row r="522" spans="1:47" s="66" customFormat="1" ht="14">
      <c r="A522" s="66">
        <v>250015</v>
      </c>
      <c r="C522" s="66">
        <v>1</v>
      </c>
      <c r="D522" s="66" t="str">
        <f t="shared" si="49"/>
        <v>项楚5关-TID_DialogueConf_240001_name_CN_Main</v>
      </c>
      <c r="E522" s="66" t="s">
        <v>412</v>
      </c>
      <c r="F522" s="20" t="str">
        <f>VLOOKUP(G522,'#TID_base_up'!B:C,2,0)</f>
        <v>斥候</v>
      </c>
      <c r="G522" s="66" t="s">
        <v>1882</v>
      </c>
      <c r="H522" s="66" t="s">
        <v>132</v>
      </c>
      <c r="I522" s="66" t="s">
        <v>1573</v>
      </c>
      <c r="J522" s="66" t="s">
        <v>2020</v>
      </c>
      <c r="K522" s="84" t="str">
        <f t="shared" si="51"/>
        <v>果不其然，大王，粮车在三条路线同时出现！请即刻前往阻截。</v>
      </c>
      <c r="T522" s="66">
        <v>1</v>
      </c>
      <c r="U522" s="66">
        <v>2</v>
      </c>
      <c r="V522" s="66">
        <v>0</v>
      </c>
      <c r="X522" s="66">
        <v>205</v>
      </c>
      <c r="Y522" s="66" t="b">
        <v>0</v>
      </c>
      <c r="Z522" s="66" t="s">
        <v>2021</v>
      </c>
      <c r="AA522" s="66" t="b">
        <v>0</v>
      </c>
      <c r="AD522" s="66">
        <v>5.60666704177856</v>
      </c>
      <c r="AE522" s="66">
        <f t="shared" si="52"/>
        <v>6.60666704177856</v>
      </c>
      <c r="AH522" s="66">
        <v>0.1</v>
      </c>
      <c r="AL522" s="66">
        <v>13</v>
      </c>
      <c r="AT522" s="66" t="str">
        <f t="shared" si="50"/>
        <v>果不其然，大王，粮车在三条路线同时出现！请即刻前往阻截。</v>
      </c>
      <c r="AU522" s="66" t="s">
        <v>2022</v>
      </c>
    </row>
    <row r="523" spans="1:47" s="66" customFormat="1" ht="14">
      <c r="A523" s="66">
        <v>250015</v>
      </c>
      <c r="C523" s="66">
        <v>2</v>
      </c>
      <c r="D523" s="66" t="str">
        <f t="shared" si="49"/>
        <v>项楚5关-TID_DialogueConf_250005_name_738490450945_CN_Main</v>
      </c>
      <c r="E523" s="66" t="s">
        <v>412</v>
      </c>
      <c r="F523" s="20" t="str">
        <f>VLOOKUP(G523,'#TID_base_up'!B:C,2,0)</f>
        <v>运粮队伍</v>
      </c>
      <c r="G523" s="66" t="s">
        <v>1961</v>
      </c>
      <c r="H523" s="66" t="s">
        <v>132</v>
      </c>
      <c r="I523" s="66" t="s">
        <v>1581</v>
      </c>
      <c r="J523" s="66" t="s">
        <v>2023</v>
      </c>
      <c r="K523" s="84" t="str">
        <f t="shared" si="51"/>
        <v>再不把粮运过去，将军就要饿肚子了！</v>
      </c>
      <c r="T523" s="66">
        <v>1</v>
      </c>
      <c r="U523" s="66">
        <v>2</v>
      </c>
      <c r="V523" s="66">
        <v>0</v>
      </c>
      <c r="X523" s="66">
        <v>205</v>
      </c>
      <c r="Y523" s="66" t="b">
        <v>0</v>
      </c>
      <c r="Z523" s="66" t="s">
        <v>2024</v>
      </c>
      <c r="AA523" s="66" t="b">
        <v>0</v>
      </c>
      <c r="AD523" s="66">
        <v>3.5959999561309801</v>
      </c>
      <c r="AE523" s="66">
        <f t="shared" si="52"/>
        <v>4.5959999561309797</v>
      </c>
      <c r="AH523" s="66">
        <v>0.1</v>
      </c>
      <c r="AL523" s="66">
        <v>13</v>
      </c>
      <c r="AP523" s="66">
        <v>1</v>
      </c>
      <c r="AT523" s="66" t="str">
        <f t="shared" si="50"/>
        <v>再不把粮运过去，将军就要饿肚子了！</v>
      </c>
      <c r="AU523" s="66" t="s">
        <v>2025</v>
      </c>
    </row>
    <row r="524" spans="1:47" s="66" customFormat="1" ht="14">
      <c r="A524" s="66">
        <v>250016</v>
      </c>
      <c r="C524" s="66">
        <v>1</v>
      </c>
      <c r="D524" s="66" t="str">
        <f t="shared" si="49"/>
        <v>项楚5关-TID_DialogueConf_210005_name_CN_Main</v>
      </c>
      <c r="E524" s="66" t="s">
        <v>412</v>
      </c>
      <c r="F524" s="20" t="str">
        <f>VLOOKUP(G524,'#TID_base_up'!B:C,2,0)</f>
        <v>项楚</v>
      </c>
      <c r="G524" s="66" t="s">
        <v>1585</v>
      </c>
      <c r="H524" s="66" t="s">
        <v>132</v>
      </c>
      <c r="I524" s="66" t="s">
        <v>1586</v>
      </c>
      <c r="J524" s="66" t="s">
        <v>2026</v>
      </c>
      <c r="K524" s="84" t="str">
        <f t="shared" si="51"/>
        <v>咦！又有补给，兄弟们真是太客气了！</v>
      </c>
      <c r="T524" s="66">
        <v>1</v>
      </c>
      <c r="U524" s="66">
        <v>2</v>
      </c>
      <c r="V524" s="66">
        <v>0</v>
      </c>
      <c r="X524" s="66">
        <v>205</v>
      </c>
      <c r="Y524" s="66" t="b">
        <v>0</v>
      </c>
      <c r="Z524" s="66" t="s">
        <v>2027</v>
      </c>
      <c r="AA524" s="66" t="b">
        <v>0</v>
      </c>
      <c r="AD524" s="66">
        <v>4.6373329162597701</v>
      </c>
      <c r="AE524" s="66">
        <f t="shared" si="52"/>
        <v>5.6373329162597701</v>
      </c>
      <c r="AH524" s="66">
        <v>0.1</v>
      </c>
      <c r="AL524" s="66">
        <v>13</v>
      </c>
      <c r="AO524" s="66">
        <v>1</v>
      </c>
      <c r="AT524" s="66" t="str">
        <f t="shared" si="50"/>
        <v>咦！又有补给，兄弟们真是太客气了！</v>
      </c>
      <c r="AU524" s="66" t="s">
        <v>2028</v>
      </c>
    </row>
    <row r="525" spans="1:47" s="66" customFormat="1" ht="14">
      <c r="A525" s="66">
        <v>250016</v>
      </c>
      <c r="C525" s="66">
        <v>2</v>
      </c>
      <c r="D525" s="66" t="str">
        <f t="shared" si="49"/>
        <v>项楚5关-TID_DialogueConf_250005_name_738490450945_CN_Main</v>
      </c>
      <c r="E525" s="66" t="s">
        <v>412</v>
      </c>
      <c r="F525" s="20" t="str">
        <f>VLOOKUP(G525,'#TID_base_up'!B:C,2,0)</f>
        <v>运粮队伍</v>
      </c>
      <c r="G525" s="66" t="s">
        <v>1961</v>
      </c>
      <c r="H525" s="66" t="s">
        <v>132</v>
      </c>
      <c r="I525" s="66" t="s">
        <v>1581</v>
      </c>
      <c r="J525" s="66" t="s">
        <v>2029</v>
      </c>
      <c r="K525" s="84" t="str">
        <f t="shared" si="51"/>
        <v>怎……怎么又是你们！！阴魂不散！</v>
      </c>
      <c r="T525" s="66">
        <v>1</v>
      </c>
      <c r="U525" s="66">
        <v>2</v>
      </c>
      <c r="V525" s="66">
        <v>0</v>
      </c>
      <c r="X525" s="66">
        <v>205</v>
      </c>
      <c r="Y525" s="66" t="b">
        <v>0</v>
      </c>
      <c r="Z525" s="66" t="s">
        <v>2030</v>
      </c>
      <c r="AA525" s="66" t="b">
        <v>0</v>
      </c>
      <c r="AD525" s="66">
        <v>3.7866671085357702</v>
      </c>
      <c r="AE525" s="66">
        <f t="shared" si="52"/>
        <v>4.7866671085357702</v>
      </c>
      <c r="AH525" s="66">
        <v>0.1</v>
      </c>
      <c r="AL525" s="66">
        <v>13</v>
      </c>
      <c r="AP525" s="66">
        <v>1</v>
      </c>
      <c r="AT525" s="66" t="str">
        <f t="shared" si="50"/>
        <v>怎……怎么又是你们！！阴魂不散！</v>
      </c>
      <c r="AU525" s="66" t="s">
        <v>2031</v>
      </c>
    </row>
    <row r="526" spans="1:47" s="66" customFormat="1" ht="14">
      <c r="A526" s="66">
        <v>250018</v>
      </c>
      <c r="C526" s="66">
        <v>1</v>
      </c>
      <c r="D526" s="66" t="str">
        <f t="shared" si="49"/>
        <v>项楚5关-TID_DialogueConf_210005_name_CN_Main</v>
      </c>
      <c r="E526" s="66" t="s">
        <v>412</v>
      </c>
      <c r="F526" s="20" t="str">
        <f>VLOOKUP(G526,'#TID_base_up'!B:C,2,0)</f>
        <v>项楚</v>
      </c>
      <c r="G526" s="66" t="s">
        <v>1585</v>
      </c>
      <c r="H526" s="66" t="s">
        <v>132</v>
      </c>
      <c r="I526" s="66" t="s">
        <v>1586</v>
      </c>
      <c r="J526" s="66" t="s">
        <v>2032</v>
      </c>
      <c r="K526" s="84" t="str">
        <f t="shared" si="51"/>
        <v>还有没有啊？来多少我要多少！</v>
      </c>
      <c r="T526" s="66">
        <v>1</v>
      </c>
      <c r="U526" s="66">
        <v>2</v>
      </c>
      <c r="V526" s="66">
        <v>0</v>
      </c>
      <c r="X526" s="66">
        <v>205</v>
      </c>
      <c r="Y526" s="66" t="b">
        <v>0</v>
      </c>
      <c r="Z526" s="66" t="s">
        <v>2033</v>
      </c>
      <c r="AA526" s="66" t="b">
        <v>0</v>
      </c>
      <c r="AD526" s="66">
        <v>3.6573328971862802</v>
      </c>
      <c r="AE526" s="66">
        <f t="shared" si="52"/>
        <v>4.6573328971862802</v>
      </c>
      <c r="AH526" s="66">
        <v>0.1</v>
      </c>
      <c r="AL526" s="66">
        <v>13</v>
      </c>
      <c r="AO526" s="66">
        <v>1</v>
      </c>
      <c r="AT526" s="66" t="str">
        <f t="shared" si="50"/>
        <v>还有没有啊？来多少我要多少！</v>
      </c>
      <c r="AU526" s="66" t="s">
        <v>2034</v>
      </c>
    </row>
    <row r="527" spans="1:47" s="66" customFormat="1" ht="14">
      <c r="A527" s="66">
        <v>250018</v>
      </c>
      <c r="C527" s="66">
        <v>2</v>
      </c>
      <c r="D527" s="66" t="str">
        <f t="shared" si="49"/>
        <v>项楚5关-TID_DialogueConf_250010_name_CN_Main</v>
      </c>
      <c r="E527" s="66" t="s">
        <v>412</v>
      </c>
      <c r="F527" s="20" t="str">
        <f>VLOOKUP(G527,'#TID_base_up'!B:C,2,0)</f>
        <v>友军</v>
      </c>
      <c r="G527" s="66" t="s">
        <v>1983</v>
      </c>
      <c r="H527" s="66" t="s">
        <v>132</v>
      </c>
      <c r="I527" s="66" t="s">
        <v>133</v>
      </c>
      <c r="J527" s="66" t="s">
        <v>2035</v>
      </c>
      <c r="K527" s="84" t="str">
        <f t="shared" si="51"/>
        <v>我们赢了！</v>
      </c>
      <c r="T527" s="66">
        <v>1</v>
      </c>
      <c r="U527" s="66">
        <v>2</v>
      </c>
      <c r="V527" s="66">
        <v>0</v>
      </c>
      <c r="X527" s="66">
        <v>205</v>
      </c>
      <c r="Y527" s="66" t="b">
        <v>0</v>
      </c>
      <c r="Z527" s="66" t="s">
        <v>2036</v>
      </c>
      <c r="AA527" s="66" t="b">
        <v>0</v>
      </c>
      <c r="AD527" s="66">
        <v>1.31666696071625</v>
      </c>
      <c r="AE527" s="66">
        <f t="shared" si="52"/>
        <v>2.3166669607162502</v>
      </c>
      <c r="AH527" s="66">
        <v>0.1</v>
      </c>
      <c r="AL527" s="66">
        <v>13</v>
      </c>
      <c r="AT527" s="66" t="str">
        <f t="shared" si="50"/>
        <v>我们赢了！</v>
      </c>
      <c r="AU527" s="66" t="s">
        <v>2037</v>
      </c>
    </row>
    <row r="528" spans="1:47" s="66" customFormat="1" ht="14">
      <c r="A528" s="66">
        <v>250019</v>
      </c>
      <c r="C528" s="66">
        <v>1</v>
      </c>
      <c r="D528" s="66" t="str">
        <f t="shared" si="49"/>
        <v>项楚5关-TID_DialogueConf_250005_name_738490450945_CN_Main</v>
      </c>
      <c r="E528" s="66" t="s">
        <v>412</v>
      </c>
      <c r="F528" s="20" t="str">
        <f>VLOOKUP(G528,'#TID_base_up'!B:C,2,0)</f>
        <v>运粮队伍</v>
      </c>
      <c r="G528" s="66" t="s">
        <v>1961</v>
      </c>
      <c r="H528" s="66" t="s">
        <v>132</v>
      </c>
      <c r="I528" s="66" t="s">
        <v>1794</v>
      </c>
      <c r="J528" s="66" t="s">
        <v>2038</v>
      </c>
      <c r="K528" s="84" t="str">
        <f t="shared" si="51"/>
        <v>有惊无险，还是把粮给送过来了。</v>
      </c>
      <c r="T528" s="66">
        <v>1</v>
      </c>
      <c r="U528" s="66">
        <v>2</v>
      </c>
      <c r="V528" s="66">
        <v>0</v>
      </c>
      <c r="X528" s="66">
        <v>205</v>
      </c>
      <c r="Y528" s="66" t="b">
        <v>0</v>
      </c>
      <c r="Z528" s="66" t="s">
        <v>2039</v>
      </c>
      <c r="AA528" s="66" t="b">
        <v>0</v>
      </c>
      <c r="AD528" s="66">
        <v>3.9700000286102299</v>
      </c>
      <c r="AE528" s="66">
        <f t="shared" si="52"/>
        <v>4.9700000286102295</v>
      </c>
      <c r="AH528" s="66">
        <v>0.1</v>
      </c>
      <c r="AL528" s="66">
        <v>13</v>
      </c>
      <c r="AP528" s="66">
        <v>1</v>
      </c>
      <c r="AT528" s="66" t="str">
        <f t="shared" si="50"/>
        <v>有惊无险，还是把粮给送过来了。</v>
      </c>
      <c r="AU528" s="66" t="s">
        <v>2040</v>
      </c>
    </row>
    <row r="529" spans="1:48" s="66" customFormat="1" ht="28">
      <c r="A529" s="66">
        <v>250019</v>
      </c>
      <c r="C529" s="66">
        <v>2</v>
      </c>
      <c r="D529" s="66" t="str">
        <f t="shared" si="49"/>
        <v>项楚5关-TID_DialogueConf_240001_name_CN_Main</v>
      </c>
      <c r="E529" s="66" t="s">
        <v>412</v>
      </c>
      <c r="F529" s="20" t="str">
        <f>VLOOKUP(G529,'#TID_base_up'!B:C,2,0)</f>
        <v>斥候</v>
      </c>
      <c r="G529" s="66" t="s">
        <v>1882</v>
      </c>
      <c r="H529" s="66" t="s">
        <v>132</v>
      </c>
      <c r="I529" s="66" t="s">
        <v>1573</v>
      </c>
      <c r="J529" s="66" t="s">
        <v>2041</v>
      </c>
      <c r="K529" s="84" t="str">
        <f t="shared" si="51"/>
        <v>不妙，一支运粮队伍已经顺利到达敌军大营！大王万万不可掉以轻心。</v>
      </c>
      <c r="T529" s="66">
        <v>1</v>
      </c>
      <c r="U529" s="66">
        <v>2</v>
      </c>
      <c r="V529" s="66">
        <v>0</v>
      </c>
      <c r="X529" s="66">
        <v>205</v>
      </c>
      <c r="Y529" s="66" t="b">
        <v>0</v>
      </c>
      <c r="Z529" s="66" t="s">
        <v>2042</v>
      </c>
      <c r="AA529" s="66" t="b">
        <v>0</v>
      </c>
      <c r="AD529" s="66">
        <v>5.56599998474121</v>
      </c>
      <c r="AE529" s="66">
        <f t="shared" si="52"/>
        <v>6.56599998474121</v>
      </c>
      <c r="AH529" s="66">
        <v>0.1</v>
      </c>
      <c r="AL529" s="66">
        <v>13</v>
      </c>
      <c r="AT529" s="66" t="str">
        <f t="shared" si="50"/>
        <v>不妙，一支运粮队伍已经顺利到达敌军大营！大王万万不可掉以轻心。</v>
      </c>
      <c r="AU529" s="66" t="s">
        <v>2043</v>
      </c>
    </row>
    <row r="530" spans="1:48" s="66" customFormat="1" ht="14">
      <c r="A530" s="66">
        <v>250020</v>
      </c>
      <c r="C530" s="66">
        <v>1</v>
      </c>
      <c r="D530" s="66" t="str">
        <f t="shared" si="49"/>
        <v>项楚5关-TID_DialogueConf_240001_name_CN_Main</v>
      </c>
      <c r="E530" s="66" t="s">
        <v>412</v>
      </c>
      <c r="F530" s="20" t="str">
        <f>VLOOKUP(G530,'#TID_base_up'!B:C,2,0)</f>
        <v>斥候</v>
      </c>
      <c r="G530" s="66" t="s">
        <v>1882</v>
      </c>
      <c r="H530" s="66" t="s">
        <v>132</v>
      </c>
      <c r="I530" s="66" t="s">
        <v>1573</v>
      </c>
      <c r="J530" s="66" t="s">
        <v>2044</v>
      </c>
      <c r="K530" s="84" t="str">
        <f t="shared" si="51"/>
        <v>糟糕！敌军已经有了足够的粮草！我们必须撤退！</v>
      </c>
      <c r="T530" s="66">
        <v>1</v>
      </c>
      <c r="U530" s="66">
        <v>2</v>
      </c>
      <c r="V530" s="66">
        <v>0</v>
      </c>
      <c r="X530" s="66">
        <v>205</v>
      </c>
      <c r="Y530" s="66" t="b">
        <v>0</v>
      </c>
      <c r="Z530" s="66" t="s">
        <v>2045</v>
      </c>
      <c r="AA530" s="66" t="b">
        <v>0</v>
      </c>
      <c r="AD530" s="66">
        <v>3.7073330879211399</v>
      </c>
      <c r="AE530" s="66">
        <f t="shared" si="52"/>
        <v>4.7073330879211399</v>
      </c>
      <c r="AH530" s="66">
        <v>0.1</v>
      </c>
      <c r="AL530" s="66">
        <v>13</v>
      </c>
      <c r="AT530" s="66" t="str">
        <f t="shared" si="50"/>
        <v>糟糕！敌军已经有了足够的粮草！我们必须撤退！</v>
      </c>
      <c r="AU530" s="66" t="s">
        <v>2046</v>
      </c>
    </row>
    <row r="531" spans="1:48" s="61" customFormat="1" ht="26.15" customHeight="1">
      <c r="A531" s="61">
        <v>260001</v>
      </c>
      <c r="C531" s="61">
        <v>1</v>
      </c>
      <c r="D531" s="61" t="str">
        <f t="shared" ref="D531:D546" si="53">"项楚6关-"&amp;G531</f>
        <v>项楚6关-TID_DialogueConf_260001_name_536053893450_CN_Main</v>
      </c>
      <c r="E531" s="61" t="s">
        <v>412</v>
      </c>
      <c r="F531" s="20" t="str">
        <f>VLOOKUP(G531,'#TID_base_up'!B:C,2,0)</f>
        <v>兵仙</v>
      </c>
      <c r="G531" s="61" t="s">
        <v>2047</v>
      </c>
      <c r="H531" s="61" t="s">
        <v>132</v>
      </c>
      <c r="I531" s="61" t="s">
        <v>2048</v>
      </c>
      <c r="J531" s="61" t="s">
        <v>2049</v>
      </c>
      <c r="K531" s="114"/>
      <c r="T531" s="61">
        <v>1</v>
      </c>
      <c r="U531" s="61">
        <v>2</v>
      </c>
      <c r="V531" s="61">
        <v>0</v>
      </c>
      <c r="X531" s="61">
        <v>206</v>
      </c>
      <c r="Y531" s="61" t="b">
        <v>0</v>
      </c>
      <c r="Z531" s="114" t="s">
        <v>2050</v>
      </c>
      <c r="AA531" s="61" t="b">
        <v>0</v>
      </c>
      <c r="AD531" s="61">
        <v>3.3177080154418901</v>
      </c>
      <c r="AE531" s="61">
        <v>4.32</v>
      </c>
      <c r="AH531" s="61">
        <v>0.1</v>
      </c>
      <c r="AL531" s="108">
        <v>13</v>
      </c>
      <c r="AO531" s="61">
        <v>10</v>
      </c>
      <c r="AP531" s="61">
        <v>1</v>
      </c>
      <c r="AT531" s="61" t="str">
        <f t="shared" si="50"/>
        <v>项楚，睁大眼睛看看周围吧！</v>
      </c>
      <c r="AU531" s="61" t="s">
        <v>2051</v>
      </c>
      <c r="AV531" s="114"/>
    </row>
    <row r="532" spans="1:48" s="61" customFormat="1" ht="26.15" customHeight="1">
      <c r="A532" s="61">
        <v>260001</v>
      </c>
      <c r="C532" s="61">
        <v>2</v>
      </c>
      <c r="D532" s="61" t="str">
        <f t="shared" si="53"/>
        <v>项楚6关-TID_DialogueConf_260001_name_536053893450_CN_Main</v>
      </c>
      <c r="E532" s="61" t="s">
        <v>412</v>
      </c>
      <c r="F532" s="20" t="str">
        <f>VLOOKUP(G532,'#TID_base_up'!B:C,2,0)</f>
        <v>兵仙</v>
      </c>
      <c r="G532" s="61" t="s">
        <v>2047</v>
      </c>
      <c r="H532" s="61" t="s">
        <v>132</v>
      </c>
      <c r="I532" s="61" t="s">
        <v>2048</v>
      </c>
      <c r="J532" s="61" t="s">
        <v>2052</v>
      </c>
      <c r="K532" s="114"/>
      <c r="T532" s="61">
        <v>1</v>
      </c>
      <c r="U532" s="61">
        <v>2</v>
      </c>
      <c r="V532" s="61">
        <v>0</v>
      </c>
      <c r="X532" s="61">
        <v>206</v>
      </c>
      <c r="Y532" s="61" t="b">
        <v>0</v>
      </c>
      <c r="Z532" s="114" t="s">
        <v>2053</v>
      </c>
      <c r="AA532" s="61" t="b">
        <v>0</v>
      </c>
      <c r="AD532" s="61">
        <v>3.5001869201660201</v>
      </c>
      <c r="AE532" s="61">
        <v>4.5</v>
      </c>
      <c r="AH532" s="61">
        <v>0.1</v>
      </c>
      <c r="AL532" s="108">
        <v>13</v>
      </c>
      <c r="AO532" s="61">
        <v>10</v>
      </c>
      <c r="AP532" s="61">
        <v>1</v>
      </c>
      <c r="AT532" s="61" t="str">
        <f t="shared" si="50"/>
        <v>如此天罗地网，你逃不掉的！</v>
      </c>
      <c r="AU532" s="61" t="s">
        <v>2054</v>
      </c>
      <c r="AV532" s="114"/>
    </row>
    <row r="533" spans="1:48" s="61" customFormat="1" ht="26.15" customHeight="1">
      <c r="A533" s="61">
        <v>260002</v>
      </c>
      <c r="C533" s="61">
        <v>1</v>
      </c>
      <c r="D533" s="61" t="str">
        <f t="shared" si="53"/>
        <v>项楚6关-TID_DialogueConf_210005_name_CN_Main</v>
      </c>
      <c r="E533" s="61" t="s">
        <v>412</v>
      </c>
      <c r="F533" s="20" t="str">
        <f>VLOOKUP(G533,'#TID_base_up'!B:C,2,0)</f>
        <v>项楚</v>
      </c>
      <c r="G533" s="61" t="s">
        <v>1585</v>
      </c>
      <c r="H533" s="61" t="s">
        <v>132</v>
      </c>
      <c r="I533" s="61" t="s">
        <v>1586</v>
      </c>
      <c r="J533" s="61" t="s">
        <v>2055</v>
      </c>
      <c r="K533" s="114"/>
      <c r="T533" s="61">
        <v>1</v>
      </c>
      <c r="U533" s="61">
        <v>2</v>
      </c>
      <c r="V533" s="61">
        <v>0</v>
      </c>
      <c r="X533" s="61">
        <v>206</v>
      </c>
      <c r="Y533" s="61" t="b">
        <v>0</v>
      </c>
      <c r="Z533" s="114" t="s">
        <v>2056</v>
      </c>
      <c r="AA533" s="61" t="b">
        <v>0</v>
      </c>
      <c r="AD533" s="61">
        <v>3.9786670207977299</v>
      </c>
      <c r="AE533" s="61">
        <v>4.9800000000000004</v>
      </c>
      <c r="AH533" s="61">
        <v>0.1</v>
      </c>
      <c r="AL533" s="108">
        <v>13</v>
      </c>
      <c r="AO533" s="61">
        <v>1</v>
      </c>
      <c r="AT533" s="61" t="str">
        <f t="shared" si="50"/>
        <v>逃？你以为自己在跟谁说话！</v>
      </c>
      <c r="AU533" s="61" t="s">
        <v>2057</v>
      </c>
      <c r="AV533" s="114"/>
    </row>
    <row r="534" spans="1:48" s="61" customFormat="1" ht="26.15" customHeight="1">
      <c r="A534" s="61">
        <v>260002</v>
      </c>
      <c r="C534" s="61">
        <v>2</v>
      </c>
      <c r="D534" s="61" t="str">
        <f t="shared" si="53"/>
        <v>项楚6关-TID_DialogueConf_210005_name_CN_Main</v>
      </c>
      <c r="E534" s="61" t="s">
        <v>412</v>
      </c>
      <c r="F534" s="20" t="str">
        <f>VLOOKUP(G534,'#TID_base_up'!B:C,2,0)</f>
        <v>项楚</v>
      </c>
      <c r="G534" s="61" t="s">
        <v>1585</v>
      </c>
      <c r="H534" s="61" t="s">
        <v>132</v>
      </c>
      <c r="I534" s="61" t="s">
        <v>1586</v>
      </c>
      <c r="J534" s="61" t="s">
        <v>2058</v>
      </c>
      <c r="K534" s="114"/>
      <c r="T534" s="61">
        <v>1</v>
      </c>
      <c r="U534" s="61">
        <v>2</v>
      </c>
      <c r="V534" s="61">
        <v>0</v>
      </c>
      <c r="X534" s="61">
        <v>206</v>
      </c>
      <c r="Y534" s="61" t="b">
        <v>0</v>
      </c>
      <c r="Z534" s="114" t="s">
        <v>2059</v>
      </c>
      <c r="AA534" s="61" t="b">
        <v>0</v>
      </c>
      <c r="AD534" s="61">
        <v>6.7946667671203604</v>
      </c>
      <c r="AE534" s="61">
        <v>7.79</v>
      </c>
      <c r="AH534" s="61">
        <v>0.1</v>
      </c>
      <c r="AL534" s="108">
        <v>13</v>
      </c>
      <c r="AO534" s="61">
        <v>1</v>
      </c>
      <c r="AT534" s="61" t="str">
        <f t="shared" si="50"/>
        <v>大军分三路前进！两支侧翼部队掩护，剩下的人随我直取中军！</v>
      </c>
      <c r="AU534" s="61" t="s">
        <v>2060</v>
      </c>
      <c r="AV534" s="114"/>
    </row>
    <row r="535" spans="1:48" s="61" customFormat="1" ht="26.15" customHeight="1">
      <c r="A535" s="61">
        <v>260003</v>
      </c>
      <c r="C535" s="61">
        <v>1</v>
      </c>
      <c r="D535" s="61" t="str">
        <f t="shared" si="53"/>
        <v>项楚6关-TID_DialogueConf_260001_name_536053893450_CN_Main</v>
      </c>
      <c r="E535" s="61" t="s">
        <v>412</v>
      </c>
      <c r="F535" s="20" t="str">
        <f>VLOOKUP(G535,'#TID_base_up'!B:C,2,0)</f>
        <v>兵仙</v>
      </c>
      <c r="G535" s="61" t="s">
        <v>2047</v>
      </c>
      <c r="H535" s="61" t="s">
        <v>132</v>
      </c>
      <c r="I535" s="61" t="s">
        <v>2048</v>
      </c>
      <c r="J535" s="61" t="s">
        <v>2061</v>
      </c>
      <c r="K535" s="114"/>
      <c r="T535" s="61">
        <v>1</v>
      </c>
      <c r="U535" s="61">
        <v>2</v>
      </c>
      <c r="V535" s="61">
        <v>0</v>
      </c>
      <c r="X535" s="61">
        <v>206</v>
      </c>
      <c r="Y535" s="61" t="b">
        <v>0</v>
      </c>
      <c r="Z535" s="114" t="s">
        <v>2062</v>
      </c>
      <c r="AA535" s="61" t="b">
        <v>0</v>
      </c>
      <c r="AD535" s="61">
        <v>7.2097501754760698</v>
      </c>
      <c r="AE535" s="61">
        <v>8.2100000000000009</v>
      </c>
      <c r="AH535" s="61">
        <v>0.1</v>
      </c>
      <c r="AL535" s="108">
        <v>13</v>
      </c>
      <c r="AO535" s="61">
        <v>10</v>
      </c>
      <c r="AP535" s="61">
        <v>1</v>
      </c>
      <c r="AT535" s="61" t="str">
        <f t="shared" si="50"/>
        <v>精彩精彩，唯有你才配的上我这十面埋伏之阵！我在大营，恭候！</v>
      </c>
      <c r="AU535" s="61" t="s">
        <v>2063</v>
      </c>
      <c r="AV535" s="114"/>
    </row>
    <row r="536" spans="1:48" s="61" customFormat="1" ht="26.15" customHeight="1">
      <c r="A536" s="61">
        <v>260004</v>
      </c>
      <c r="C536" s="61">
        <v>1</v>
      </c>
      <c r="D536" s="61" t="str">
        <f t="shared" si="53"/>
        <v>项楚6关-TID_DialogueConf_210005_name_CN_Main</v>
      </c>
      <c r="E536" s="61" t="s">
        <v>412</v>
      </c>
      <c r="F536" s="20" t="str">
        <f>VLOOKUP(G536,'#TID_base_up'!B:C,2,0)</f>
        <v>项楚</v>
      </c>
      <c r="G536" s="61" t="s">
        <v>1585</v>
      </c>
      <c r="H536" s="61" t="s">
        <v>132</v>
      </c>
      <c r="I536" s="61" t="s">
        <v>1586</v>
      </c>
      <c r="J536" s="61" t="s">
        <v>2064</v>
      </c>
      <c r="K536" s="114"/>
      <c r="T536" s="61">
        <v>1</v>
      </c>
      <c r="U536" s="61">
        <v>2</v>
      </c>
      <c r="V536" s="61">
        <v>0</v>
      </c>
      <c r="X536" s="61">
        <v>206</v>
      </c>
      <c r="Y536" s="61" t="b">
        <v>0</v>
      </c>
      <c r="Z536" s="114" t="s">
        <v>2065</v>
      </c>
      <c r="AA536" s="61" t="b">
        <v>0</v>
      </c>
      <c r="AD536" s="61">
        <v>3.0826671123504599</v>
      </c>
      <c r="AE536" s="61">
        <v>4.08</v>
      </c>
      <c r="AH536" s="61">
        <v>0.1</v>
      </c>
      <c r="AL536" s="108">
        <v>13</v>
      </c>
      <c r="AO536" s="61">
        <v>1</v>
      </c>
      <c r="AT536" s="61" t="str">
        <f t="shared" si="50"/>
        <v>想跑？给我追！</v>
      </c>
      <c r="AU536" s="61" t="s">
        <v>2066</v>
      </c>
      <c r="AV536" s="114"/>
    </row>
    <row r="537" spans="1:48" s="61" customFormat="1" ht="26.15" customHeight="1">
      <c r="A537" s="61">
        <v>260005</v>
      </c>
      <c r="C537" s="61">
        <v>1</v>
      </c>
      <c r="D537" s="61" t="str">
        <f t="shared" si="53"/>
        <v>项楚6关-TID_DialogueConf_210005_name_CN_Main</v>
      </c>
      <c r="E537" s="61" t="s">
        <v>412</v>
      </c>
      <c r="F537" s="20" t="str">
        <f>VLOOKUP(G537,'#TID_base_up'!B:C,2,0)</f>
        <v>项楚</v>
      </c>
      <c r="G537" s="61" t="s">
        <v>1585</v>
      </c>
      <c r="H537" s="61" t="s">
        <v>132</v>
      </c>
      <c r="I537" s="61" t="s">
        <v>1586</v>
      </c>
      <c r="J537" s="61" t="s">
        <v>2067</v>
      </c>
      <c r="K537" s="114"/>
      <c r="T537" s="61">
        <v>1</v>
      </c>
      <c r="U537" s="61">
        <v>4</v>
      </c>
      <c r="V537" s="61">
        <v>0</v>
      </c>
      <c r="X537" s="61">
        <v>206</v>
      </c>
      <c r="Y537" s="61" t="b">
        <v>1</v>
      </c>
      <c r="Z537" s="114" t="s">
        <v>2068</v>
      </c>
      <c r="AA537" s="61" t="b">
        <v>0</v>
      </c>
      <c r="AD537" s="61">
        <v>2.6319999694824201</v>
      </c>
      <c r="AE537" s="61">
        <v>3.63</v>
      </c>
      <c r="AH537" s="61">
        <v>0.1</v>
      </c>
      <c r="AL537" s="108">
        <v>13</v>
      </c>
      <c r="AO537" s="61">
        <v>1</v>
      </c>
      <c r="AT537" s="61" t="str">
        <f t="shared" si="50"/>
        <v>给我滚出来！</v>
      </c>
      <c r="AU537" s="61" t="s">
        <v>2069</v>
      </c>
      <c r="AV537" s="114"/>
    </row>
    <row r="538" spans="1:48" s="61" customFormat="1" ht="26.15" customHeight="1">
      <c r="A538" s="61">
        <v>260005</v>
      </c>
      <c r="C538" s="61">
        <v>2</v>
      </c>
      <c r="D538" s="61" t="str">
        <f t="shared" si="53"/>
        <v>项楚6关-TID_DialogueConf_210005_name_CN_Main</v>
      </c>
      <c r="E538" s="61" t="s">
        <v>412</v>
      </c>
      <c r="F538" s="20" t="str">
        <f>VLOOKUP(G538,'#TID_base_up'!B:C,2,0)</f>
        <v>项楚</v>
      </c>
      <c r="G538" s="61" t="s">
        <v>1585</v>
      </c>
      <c r="H538" s="61" t="s">
        <v>132</v>
      </c>
      <c r="I538" s="61" t="s">
        <v>1586</v>
      </c>
      <c r="J538" s="61" t="s">
        <v>2070</v>
      </c>
      <c r="K538" s="114"/>
      <c r="T538" s="61">
        <v>1</v>
      </c>
      <c r="U538" s="61">
        <v>4</v>
      </c>
      <c r="V538" s="61">
        <v>0</v>
      </c>
      <c r="X538" s="61">
        <v>206</v>
      </c>
      <c r="Y538" s="61" t="b">
        <v>1</v>
      </c>
      <c r="Z538" s="114" t="s">
        <v>2071</v>
      </c>
      <c r="AA538" s="61" t="b">
        <v>0</v>
      </c>
      <c r="AD538" s="61">
        <v>5.0666670799255398</v>
      </c>
      <c r="AE538" s="61">
        <v>6.07</v>
      </c>
      <c r="AH538" s="61">
        <v>0.1</v>
      </c>
      <c r="AL538" s="108">
        <v>13</v>
      </c>
      <c r="AO538" s="61">
        <v>1</v>
      </c>
      <c r="AT538" s="61" t="str">
        <f t="shared" si="50"/>
        <v>怎么？吓得不敢见人了吗？哈哈哈哈哈！</v>
      </c>
      <c r="AU538" s="61" t="s">
        <v>2072</v>
      </c>
      <c r="AV538" s="114"/>
    </row>
    <row r="539" spans="1:48" s="61" customFormat="1" ht="26.15" customHeight="1">
      <c r="A539" s="61">
        <v>260006</v>
      </c>
      <c r="C539" s="61">
        <v>1</v>
      </c>
      <c r="D539" s="61" t="str">
        <f t="shared" si="53"/>
        <v>项楚6关-TID_DialogueConf_210005_name_CN_Main</v>
      </c>
      <c r="E539" s="61" t="s">
        <v>412</v>
      </c>
      <c r="F539" s="20" t="str">
        <f>VLOOKUP(G539,'#TID_base_up'!B:C,2,0)</f>
        <v>项楚</v>
      </c>
      <c r="G539" s="61" t="s">
        <v>1585</v>
      </c>
      <c r="H539" s="61" t="s">
        <v>132</v>
      </c>
      <c r="I539" s="61" t="s">
        <v>1586</v>
      </c>
      <c r="J539" s="61" t="s">
        <v>2073</v>
      </c>
      <c r="K539" s="114"/>
      <c r="T539" s="61">
        <v>1</v>
      </c>
      <c r="U539" s="61">
        <v>2</v>
      </c>
      <c r="V539" s="61">
        <v>0</v>
      </c>
      <c r="X539" s="61">
        <v>206</v>
      </c>
      <c r="Y539" s="61" t="b">
        <v>0</v>
      </c>
      <c r="Z539" s="114" t="s">
        <v>2074</v>
      </c>
      <c r="AA539" s="61" t="b">
        <v>0</v>
      </c>
      <c r="AD539" s="61">
        <v>4.2346668243408203</v>
      </c>
      <c r="AE539" s="61">
        <v>5.23</v>
      </c>
      <c r="AH539" s="61">
        <v>0.1</v>
      </c>
      <c r="AL539" s="108">
        <v>13</v>
      </c>
      <c r="AO539" s="61">
        <v>1</v>
      </c>
      <c r="AT539" s="61" t="str">
        <f t="shared" si="50"/>
        <v>才这么点人！你是在小看我吗？</v>
      </c>
      <c r="AU539" s="61" t="s">
        <v>2075</v>
      </c>
      <c r="AV539" s="114"/>
    </row>
    <row r="540" spans="1:48" s="61" customFormat="1" ht="26.15" customHeight="1">
      <c r="A540" s="61">
        <v>260007</v>
      </c>
      <c r="C540" s="61">
        <v>1</v>
      </c>
      <c r="D540" s="61" t="str">
        <f t="shared" si="53"/>
        <v>项楚6关-TID_DialogueConf_260001_name_536053893450_CN_Main</v>
      </c>
      <c r="E540" s="61" t="s">
        <v>412</v>
      </c>
      <c r="F540" s="20" t="str">
        <f>VLOOKUP(G540,'#TID_base_up'!B:C,2,0)</f>
        <v>兵仙</v>
      </c>
      <c r="G540" s="61" t="s">
        <v>2047</v>
      </c>
      <c r="H540" s="61" t="s">
        <v>132</v>
      </c>
      <c r="I540" s="61" t="s">
        <v>2048</v>
      </c>
      <c r="J540" s="61" t="s">
        <v>2076</v>
      </c>
      <c r="K540" s="114"/>
      <c r="T540" s="61">
        <v>1</v>
      </c>
      <c r="U540" s="61">
        <v>2</v>
      </c>
      <c r="V540" s="61">
        <v>0</v>
      </c>
      <c r="X540" s="61">
        <v>206</v>
      </c>
      <c r="Y540" s="61" t="b">
        <v>0</v>
      </c>
      <c r="Z540" s="114" t="s">
        <v>2077</v>
      </c>
      <c r="AA540" s="61" t="b">
        <v>0</v>
      </c>
      <c r="AD540" s="61">
        <v>5.6640000343322798</v>
      </c>
      <c r="AE540" s="61">
        <v>6.66</v>
      </c>
      <c r="AH540" s="61">
        <v>0.1</v>
      </c>
      <c r="AL540" s="108">
        <v>13</v>
      </c>
      <c r="AO540" s="61">
        <v>10</v>
      </c>
      <c r="AP540" s="61">
        <v>1</v>
      </c>
      <c r="AT540" s="61" t="str">
        <f t="shared" si="50"/>
        <v>无需理会其挑衅，按计划行事，左右合围！</v>
      </c>
      <c r="AU540" s="61" t="s">
        <v>2078</v>
      </c>
      <c r="AV540" s="114"/>
    </row>
    <row r="541" spans="1:48" s="61" customFormat="1" ht="26.15" customHeight="1">
      <c r="A541" s="61">
        <v>260007</v>
      </c>
      <c r="C541" s="61">
        <v>2</v>
      </c>
      <c r="D541" s="61" t="str">
        <f t="shared" si="53"/>
        <v>项楚6关-TID_DialogueConf_210005_name_CN_Main</v>
      </c>
      <c r="E541" s="61" t="s">
        <v>412</v>
      </c>
      <c r="F541" s="20" t="str">
        <f>VLOOKUP(G541,'#TID_base_up'!B:C,2,0)</f>
        <v>项楚</v>
      </c>
      <c r="G541" s="61" t="s">
        <v>1585</v>
      </c>
      <c r="H541" s="61" t="s">
        <v>132</v>
      </c>
      <c r="I541" s="61" t="s">
        <v>1586</v>
      </c>
      <c r="J541" s="61" t="s">
        <v>2079</v>
      </c>
      <c r="K541" s="114"/>
      <c r="T541" s="61">
        <v>1</v>
      </c>
      <c r="U541" s="61">
        <v>2</v>
      </c>
      <c r="V541" s="61">
        <v>0</v>
      </c>
      <c r="X541" s="61">
        <v>206</v>
      </c>
      <c r="Y541" s="61" t="b">
        <v>0</v>
      </c>
      <c r="Z541" s="114" t="s">
        <v>2080</v>
      </c>
      <c r="AA541" s="61" t="b">
        <v>0</v>
      </c>
      <c r="AD541" s="61">
        <v>3.125333070755</v>
      </c>
      <c r="AE541" s="61">
        <v>4.13</v>
      </c>
      <c r="AH541" s="61">
        <v>0.1</v>
      </c>
      <c r="AL541" s="108">
        <v>13</v>
      </c>
      <c r="AO541" s="61">
        <v>1</v>
      </c>
      <c r="AT541" s="61" t="str">
        <f t="shared" ref="AT541:AT568" si="54">IF($AU541="","",SUBSTITUTE(SUBSTITUTE(SUBSTITUTE(SUBSTITUTE($AU541,IF($AW541="","",$AW541),IF($AW541="","",CONCATENATE("&lt;color=#FFCC71&gt;",$AW541,"&lt;/color&gt;"))),IF($AX541="","",$AX541),IF($AX541="","",CONCATENATE("&lt;color=#FFCC71&gt;",$AX541,"&lt;/color&gt;"))),IF($AY541="","",$AY541),IF($AY541="","",CONCATENATE("&lt;color=#FFCC71&gt;",$AY541,"&lt;/color&gt;"))),IF($AZ541="","",$AZ541),IF($AZ541="","",CONCATENATE("&lt;color=#FFCC71&gt;",$AZ541,"&lt;/color&gt;"))))</f>
        <v>来得好！总算有点样子了！</v>
      </c>
      <c r="AU541" s="61" t="s">
        <v>2081</v>
      </c>
      <c r="AV541" s="114"/>
    </row>
    <row r="542" spans="1:48" s="61" customFormat="1" ht="26.15" customHeight="1">
      <c r="A542" s="61">
        <v>260008</v>
      </c>
      <c r="C542" s="61">
        <v>1</v>
      </c>
      <c r="D542" s="61" t="str">
        <f t="shared" si="53"/>
        <v>项楚6关-TID_DialogueConf_210005_name_CN_Main</v>
      </c>
      <c r="E542" s="61" t="s">
        <v>412</v>
      </c>
      <c r="F542" s="20" t="str">
        <f>VLOOKUP(G542,'#TID_base_up'!B:C,2,0)</f>
        <v>项楚</v>
      </c>
      <c r="G542" s="61" t="s">
        <v>1585</v>
      </c>
      <c r="H542" s="61" t="s">
        <v>132</v>
      </c>
      <c r="I542" s="61" t="s">
        <v>1586</v>
      </c>
      <c r="J542" s="61" t="s">
        <v>2082</v>
      </c>
      <c r="K542" s="114"/>
      <c r="T542" s="61">
        <v>1</v>
      </c>
      <c r="U542" s="61">
        <v>4</v>
      </c>
      <c r="V542" s="61">
        <v>0</v>
      </c>
      <c r="X542" s="61">
        <v>206</v>
      </c>
      <c r="Y542" s="61" t="b">
        <v>1</v>
      </c>
      <c r="Z542" s="114" t="s">
        <v>2083</v>
      </c>
      <c r="AA542" s="61" t="b">
        <v>0</v>
      </c>
      <c r="AD542" s="61">
        <v>2.7333331108093302</v>
      </c>
      <c r="AE542" s="61">
        <v>3.73</v>
      </c>
      <c r="AH542" s="61">
        <v>0.1</v>
      </c>
      <c r="AL542" s="108">
        <v>13</v>
      </c>
      <c r="AO542" s="61">
        <v>1</v>
      </c>
      <c r="AT542" s="61" t="str">
        <f t="shared" si="54"/>
        <v>无趣至极，回营！</v>
      </c>
      <c r="AU542" s="61" t="s">
        <v>2084</v>
      </c>
      <c r="AV542" s="114"/>
    </row>
    <row r="543" spans="1:48" s="61" customFormat="1" ht="26.15" customHeight="1">
      <c r="A543" s="61">
        <v>260009</v>
      </c>
      <c r="C543" s="61">
        <v>1</v>
      </c>
      <c r="D543" s="61" t="str">
        <f t="shared" si="53"/>
        <v>项楚6关-TID_DialogueConf_260001_name_536053893450_CN_Main</v>
      </c>
      <c r="E543" s="61" t="s">
        <v>412</v>
      </c>
      <c r="F543" s="20" t="str">
        <f>VLOOKUP(G543,'#TID_base_up'!B:C,2,0)</f>
        <v>兵仙</v>
      </c>
      <c r="G543" s="61" t="s">
        <v>2047</v>
      </c>
      <c r="H543" s="61" t="s">
        <v>132</v>
      </c>
      <c r="I543" s="61" t="s">
        <v>2048</v>
      </c>
      <c r="J543" s="61" t="s">
        <v>2085</v>
      </c>
      <c r="K543" s="114"/>
      <c r="T543" s="61">
        <v>1</v>
      </c>
      <c r="U543" s="61">
        <v>2</v>
      </c>
      <c r="V543" s="61">
        <v>0</v>
      </c>
      <c r="X543" s="61">
        <v>206</v>
      </c>
      <c r="Y543" s="61" t="b">
        <v>0</v>
      </c>
      <c r="Z543" s="114" t="s">
        <v>2086</v>
      </c>
      <c r="AA543" s="61" t="b">
        <v>0</v>
      </c>
      <c r="AD543" s="61">
        <v>3.9893329143524201</v>
      </c>
      <c r="AE543" s="61">
        <v>4.99</v>
      </c>
      <c r="AH543" s="61">
        <v>0.1</v>
      </c>
      <c r="AL543" s="108">
        <v>13</v>
      </c>
      <c r="AO543" s="61">
        <v>10</v>
      </c>
      <c r="AP543" s="61">
        <v>1</v>
      </c>
      <c r="AT543" s="61" t="str">
        <f t="shared" si="54"/>
        <v>霸王项楚！你的时代结束了！</v>
      </c>
      <c r="AU543" s="61" t="s">
        <v>2087</v>
      </c>
      <c r="AV543" s="114"/>
    </row>
    <row r="544" spans="1:48" s="61" customFormat="1" ht="26.15" customHeight="1">
      <c r="A544" s="61">
        <v>260009</v>
      </c>
      <c r="C544" s="61">
        <v>2</v>
      </c>
      <c r="D544" s="61" t="str">
        <f t="shared" si="53"/>
        <v>项楚6关-TID_DialogueConf_210005_name_CN_Main</v>
      </c>
      <c r="E544" s="61" t="s">
        <v>412</v>
      </c>
      <c r="F544" s="20" t="str">
        <f>VLOOKUP(G544,'#TID_base_up'!B:C,2,0)</f>
        <v>项楚</v>
      </c>
      <c r="G544" s="61" t="s">
        <v>1585</v>
      </c>
      <c r="H544" s="61" t="s">
        <v>132</v>
      </c>
      <c r="I544" s="61" t="s">
        <v>1586</v>
      </c>
      <c r="J544" s="61" t="s">
        <v>2088</v>
      </c>
      <c r="K544" s="114"/>
      <c r="T544" s="61">
        <v>1</v>
      </c>
      <c r="U544" s="61">
        <v>2</v>
      </c>
      <c r="V544" s="61">
        <v>0</v>
      </c>
      <c r="X544" s="61">
        <v>206</v>
      </c>
      <c r="Y544" s="61" t="b">
        <v>0</v>
      </c>
      <c r="Z544" s="114" t="s">
        <v>2089</v>
      </c>
      <c r="AA544" s="61" t="b">
        <v>0</v>
      </c>
      <c r="AD544" s="61">
        <v>4.1493330001831099</v>
      </c>
      <c r="AE544" s="61">
        <v>5.15</v>
      </c>
      <c r="AH544" s="61">
        <v>0.1</v>
      </c>
      <c r="AL544" s="108">
        <v>13</v>
      </c>
      <c r="AO544" s="61">
        <v>1</v>
      </c>
      <c r="AT544" s="61" t="str">
        <f t="shared" si="54"/>
        <v>就凭你？还有这几个臭鱼烂虾？</v>
      </c>
      <c r="AU544" s="61" t="s">
        <v>2090</v>
      </c>
      <c r="AV544" s="114"/>
    </row>
    <row r="545" spans="1:48" s="61" customFormat="1" ht="26.15" customHeight="1">
      <c r="A545" s="61">
        <v>260010</v>
      </c>
      <c r="C545" s="61">
        <v>1</v>
      </c>
      <c r="D545" s="61" t="str">
        <f t="shared" si="53"/>
        <v>项楚6关-TID_DialogueConf_260001_name_536053893450_CN_Main</v>
      </c>
      <c r="E545" s="61" t="s">
        <v>412</v>
      </c>
      <c r="F545" s="20" t="str">
        <f>VLOOKUP(G545,'#TID_base_up'!B:C,2,0)</f>
        <v>兵仙</v>
      </c>
      <c r="G545" s="61" t="s">
        <v>2047</v>
      </c>
      <c r="H545" s="61" t="s">
        <v>132</v>
      </c>
      <c r="I545" s="61" t="s">
        <v>2048</v>
      </c>
      <c r="J545" s="61" t="s">
        <v>2091</v>
      </c>
      <c r="K545" s="114"/>
      <c r="T545" s="61">
        <v>1</v>
      </c>
      <c r="U545" s="61">
        <v>2</v>
      </c>
      <c r="V545" s="61">
        <v>0</v>
      </c>
      <c r="X545" s="61">
        <v>206</v>
      </c>
      <c r="Y545" s="61" t="b">
        <v>0</v>
      </c>
      <c r="Z545" s="114" t="s">
        <v>2092</v>
      </c>
      <c r="AA545" s="61" t="b">
        <v>0</v>
      </c>
      <c r="AD545" s="61">
        <v>1.94133305549622</v>
      </c>
      <c r="AE545" s="61">
        <v>2.94</v>
      </c>
      <c r="AH545" s="61">
        <v>0.1</v>
      </c>
      <c r="AL545" s="108">
        <v>13</v>
      </c>
      <c r="AO545" s="61">
        <v>1</v>
      </c>
      <c r="AP545" s="61">
        <v>1</v>
      </c>
      <c r="AT545" s="61" t="str">
        <f t="shared" si="54"/>
        <v>啊！</v>
      </c>
      <c r="AU545" s="114" t="s">
        <v>2093</v>
      </c>
      <c r="AV545" s="114"/>
    </row>
    <row r="546" spans="1:48" s="61" customFormat="1" ht="26.15" customHeight="1">
      <c r="A546" s="61">
        <v>260010</v>
      </c>
      <c r="C546" s="61">
        <v>2</v>
      </c>
      <c r="D546" s="61" t="str">
        <f t="shared" si="53"/>
        <v>项楚6关-TID_DialogueConf_210005_name_CN_Main</v>
      </c>
      <c r="E546" s="61" t="s">
        <v>412</v>
      </c>
      <c r="F546" s="20" t="str">
        <f>VLOOKUP(G546,'#TID_base_up'!B:C,2,0)</f>
        <v>项楚</v>
      </c>
      <c r="G546" s="61" t="s">
        <v>1585</v>
      </c>
      <c r="H546" s="61" t="s">
        <v>132</v>
      </c>
      <c r="I546" s="61" t="s">
        <v>1586</v>
      </c>
      <c r="J546" s="61" t="s">
        <v>2094</v>
      </c>
      <c r="K546" s="114"/>
      <c r="T546" s="61">
        <v>1</v>
      </c>
      <c r="U546" s="61">
        <v>2</v>
      </c>
      <c r="V546" s="61">
        <v>0</v>
      </c>
      <c r="X546" s="61">
        <v>206</v>
      </c>
      <c r="Y546" s="61" t="b">
        <v>0</v>
      </c>
      <c r="Z546" s="114" t="s">
        <v>2095</v>
      </c>
      <c r="AA546" s="61" t="b">
        <v>0</v>
      </c>
      <c r="AD546" s="61">
        <v>4.0960001945495597</v>
      </c>
      <c r="AE546" s="61">
        <v>5.0999999999999996</v>
      </c>
      <c r="AH546" s="61">
        <v>0.1</v>
      </c>
      <c r="AL546" s="108">
        <v>13</v>
      </c>
      <c r="AO546" s="61">
        <v>1</v>
      </c>
      <c r="AT546" s="61" t="str">
        <f t="shared" si="54"/>
        <v>我的时代永远不会结束！</v>
      </c>
      <c r="AU546" s="61" t="s">
        <v>2096</v>
      </c>
      <c r="AV546" s="114"/>
    </row>
    <row r="547" spans="1:48" s="49" customFormat="1">
      <c r="A547" s="49">
        <v>300001</v>
      </c>
      <c r="B547" s="49" t="s">
        <v>2097</v>
      </c>
      <c r="C547" s="49">
        <v>1</v>
      </c>
      <c r="D547" s="49" t="s">
        <v>2098</v>
      </c>
      <c r="E547" s="49" t="s">
        <v>2099</v>
      </c>
      <c r="F547" s="20" t="str">
        <f>VLOOKUP(G547,'#TID_base_up'!B:C,2,0)</f>
        <v>杂毛</v>
      </c>
      <c r="G547" s="49" t="s">
        <v>2100</v>
      </c>
      <c r="H547" s="49" t="s">
        <v>132</v>
      </c>
      <c r="I547" s="49" t="s">
        <v>1581</v>
      </c>
      <c r="J547" s="49" t="s">
        <v>2101</v>
      </c>
      <c r="K547" s="115"/>
      <c r="U547" s="49">
        <v>4</v>
      </c>
      <c r="V547" s="49">
        <v>0</v>
      </c>
      <c r="X547" s="49">
        <v>10023</v>
      </c>
      <c r="AD547" s="49">
        <v>4</v>
      </c>
      <c r="AE547" s="49">
        <v>10</v>
      </c>
      <c r="AH547" s="49">
        <v>0.1</v>
      </c>
      <c r="AL547" s="49">
        <v>13</v>
      </c>
      <c r="AO547" s="49">
        <v>11</v>
      </c>
      <c r="AT547" s="49" t="str">
        <f t="shared" si="54"/>
        <v/>
      </c>
    </row>
    <row r="548" spans="1:48" s="49" customFormat="1">
      <c r="A548" s="49">
        <v>300002</v>
      </c>
      <c r="B548" s="49" t="s">
        <v>2097</v>
      </c>
      <c r="C548" s="49">
        <v>1</v>
      </c>
      <c r="D548" s="49" t="s">
        <v>2102</v>
      </c>
      <c r="E548" s="49" t="s">
        <v>2099</v>
      </c>
      <c r="F548" s="20" t="str">
        <f>VLOOKUP(G548,'#TID_base_up'!B:C,2,0)</f>
        <v>斥候</v>
      </c>
      <c r="G548" s="49" t="s">
        <v>1882</v>
      </c>
      <c r="H548" s="49" t="s">
        <v>132</v>
      </c>
      <c r="I548" s="49" t="s">
        <v>1794</v>
      </c>
      <c r="J548" s="49" t="s">
        <v>2103</v>
      </c>
      <c r="K548" s="115"/>
      <c r="U548" s="49">
        <v>2</v>
      </c>
      <c r="V548" s="49">
        <v>0</v>
      </c>
      <c r="X548" s="49">
        <v>10016</v>
      </c>
      <c r="AD548" s="49">
        <v>5</v>
      </c>
      <c r="AE548" s="49">
        <v>10</v>
      </c>
      <c r="AH548" s="49">
        <v>0.1</v>
      </c>
      <c r="AL548" s="49">
        <v>13</v>
      </c>
      <c r="AT548" s="49" t="str">
        <f t="shared" si="54"/>
        <v/>
      </c>
    </row>
    <row r="549" spans="1:48" s="49" customFormat="1">
      <c r="A549" s="49">
        <v>300003</v>
      </c>
      <c r="B549" s="49" t="s">
        <v>2097</v>
      </c>
      <c r="C549" s="49">
        <v>1</v>
      </c>
      <c r="D549" s="49" t="s">
        <v>2104</v>
      </c>
      <c r="E549" s="49" t="s">
        <v>2099</v>
      </c>
      <c r="F549" s="20" t="str">
        <f>VLOOKUP(G549,'#TID_base_up'!B:C,2,0)</f>
        <v>斥候</v>
      </c>
      <c r="G549" s="49" t="s">
        <v>1882</v>
      </c>
      <c r="H549" s="49" t="s">
        <v>132</v>
      </c>
      <c r="I549" s="49" t="s">
        <v>1794</v>
      </c>
      <c r="J549" s="49" t="s">
        <v>2105</v>
      </c>
      <c r="K549" s="115"/>
      <c r="U549" s="49">
        <v>2</v>
      </c>
      <c r="V549" s="49">
        <v>0</v>
      </c>
      <c r="X549" s="49">
        <v>10017</v>
      </c>
      <c r="AD549" s="49">
        <v>5</v>
      </c>
      <c r="AE549" s="49">
        <v>10</v>
      </c>
      <c r="AH549" s="49">
        <v>0.1</v>
      </c>
      <c r="AL549" s="49">
        <v>13</v>
      </c>
      <c r="AT549" s="49" t="str">
        <f t="shared" si="54"/>
        <v/>
      </c>
    </row>
    <row r="550" spans="1:48" s="49" customFormat="1">
      <c r="A550" s="49">
        <v>300004</v>
      </c>
      <c r="B550" s="49" t="s">
        <v>2097</v>
      </c>
      <c r="C550" s="49">
        <v>1</v>
      </c>
      <c r="D550" s="49" t="s">
        <v>2106</v>
      </c>
      <c r="E550" s="49" t="s">
        <v>2099</v>
      </c>
      <c r="F550" s="20" t="str">
        <f>VLOOKUP(G550,'#TID_base_up'!B:C,2,0)</f>
        <v>斥候</v>
      </c>
      <c r="G550" s="49" t="s">
        <v>1882</v>
      </c>
      <c r="H550" s="49" t="s">
        <v>132</v>
      </c>
      <c r="I550" s="49" t="s">
        <v>1794</v>
      </c>
      <c r="J550" s="49" t="s">
        <v>2107</v>
      </c>
      <c r="K550" s="115"/>
      <c r="U550" s="49">
        <v>2</v>
      </c>
      <c r="V550" s="49">
        <v>0</v>
      </c>
      <c r="X550" s="49">
        <v>10018</v>
      </c>
      <c r="AD550" s="49">
        <v>5</v>
      </c>
      <c r="AE550" s="49">
        <v>10</v>
      </c>
      <c r="AH550" s="49">
        <v>0.1</v>
      </c>
      <c r="AL550" s="49">
        <v>13</v>
      </c>
      <c r="AT550" s="49" t="str">
        <f t="shared" si="54"/>
        <v/>
      </c>
    </row>
    <row r="551" spans="1:48" s="49" customFormat="1">
      <c r="A551" s="49">
        <v>300005</v>
      </c>
      <c r="B551" s="49" t="s">
        <v>2097</v>
      </c>
      <c r="C551" s="49">
        <v>1</v>
      </c>
      <c r="D551" s="49" t="s">
        <v>2108</v>
      </c>
      <c r="E551" s="49" t="s">
        <v>2099</v>
      </c>
      <c r="F551" s="20" t="str">
        <f>VLOOKUP(G551,'#TID_base_up'!B:C,2,0)</f>
        <v>斥候</v>
      </c>
      <c r="G551" s="49" t="s">
        <v>1882</v>
      </c>
      <c r="H551" s="49" t="s">
        <v>132</v>
      </c>
      <c r="I551" s="49" t="s">
        <v>1794</v>
      </c>
      <c r="J551" s="49" t="s">
        <v>2109</v>
      </c>
      <c r="K551" s="115"/>
      <c r="U551" s="49">
        <v>2</v>
      </c>
      <c r="V551" s="49">
        <v>0</v>
      </c>
      <c r="X551" s="49">
        <v>10022</v>
      </c>
      <c r="AD551" s="49">
        <v>5</v>
      </c>
      <c r="AE551" s="49">
        <v>10</v>
      </c>
      <c r="AH551" s="49">
        <v>0.1</v>
      </c>
      <c r="AL551" s="49">
        <v>13</v>
      </c>
      <c r="AT551" s="49" t="str">
        <f t="shared" si="54"/>
        <v/>
      </c>
    </row>
    <row r="552" spans="1:48" s="49" customFormat="1">
      <c r="A552" s="49">
        <v>300006</v>
      </c>
      <c r="B552" s="49" t="s">
        <v>2097</v>
      </c>
      <c r="C552" s="49">
        <v>1</v>
      </c>
      <c r="D552" s="49" t="s">
        <v>2098</v>
      </c>
      <c r="E552" s="49" t="s">
        <v>2099</v>
      </c>
      <c r="F552" s="20" t="str">
        <f>VLOOKUP(G552,'#TID_base_up'!B:C,2,0)</f>
        <v>杂毛</v>
      </c>
      <c r="G552" s="49" t="s">
        <v>2100</v>
      </c>
      <c r="H552" s="49" t="s">
        <v>132</v>
      </c>
      <c r="I552" s="49" t="s">
        <v>1581</v>
      </c>
      <c r="J552" s="49" t="s">
        <v>2110</v>
      </c>
      <c r="K552" s="115"/>
      <c r="U552" s="49">
        <v>4</v>
      </c>
      <c r="V552" s="49">
        <v>0</v>
      </c>
      <c r="X552" s="49">
        <v>10021</v>
      </c>
      <c r="AD552" s="49">
        <v>6</v>
      </c>
      <c r="AE552" s="49">
        <v>10</v>
      </c>
      <c r="AH552" s="49">
        <v>0.1</v>
      </c>
      <c r="AL552" s="49">
        <v>13</v>
      </c>
      <c r="AO552" s="49">
        <v>41</v>
      </c>
      <c r="AT552" s="49" t="str">
        <f t="shared" si="54"/>
        <v/>
      </c>
    </row>
    <row r="553" spans="1:48" s="49" customFormat="1">
      <c r="A553" s="49">
        <v>300007</v>
      </c>
      <c r="B553" s="49" t="s">
        <v>2097</v>
      </c>
      <c r="C553" s="49">
        <v>1</v>
      </c>
      <c r="D553" s="49" t="s">
        <v>2108</v>
      </c>
      <c r="E553" s="49" t="s">
        <v>2099</v>
      </c>
      <c r="F553" s="20" t="str">
        <f>VLOOKUP(G553,'#TID_base_up'!B:C,2,0)</f>
        <v>杂毛</v>
      </c>
      <c r="G553" s="49" t="s">
        <v>2100</v>
      </c>
      <c r="H553" s="49" t="s">
        <v>132</v>
      </c>
      <c r="I553" s="49" t="s">
        <v>1581</v>
      </c>
      <c r="J553" s="49" t="s">
        <v>2111</v>
      </c>
      <c r="K553" s="115"/>
      <c r="U553" s="49">
        <v>4</v>
      </c>
      <c r="V553" s="49">
        <v>0</v>
      </c>
      <c r="X553" s="49">
        <v>10022</v>
      </c>
      <c r="AD553" s="49">
        <v>4</v>
      </c>
      <c r="AE553" s="49">
        <v>10</v>
      </c>
      <c r="AH553" s="49">
        <v>0.1</v>
      </c>
      <c r="AL553" s="49">
        <v>13</v>
      </c>
      <c r="AO553" s="49">
        <v>11</v>
      </c>
      <c r="AT553" s="49" t="str">
        <f t="shared" si="54"/>
        <v/>
      </c>
    </row>
    <row r="554" spans="1:48" s="49" customFormat="1">
      <c r="A554" s="49">
        <v>300008</v>
      </c>
      <c r="B554" s="49" t="s">
        <v>2097</v>
      </c>
      <c r="C554" s="49">
        <v>1</v>
      </c>
      <c r="D554" s="49" t="s">
        <v>2108</v>
      </c>
      <c r="E554" s="49" t="s">
        <v>2099</v>
      </c>
      <c r="F554" s="20" t="str">
        <f>VLOOKUP(G554,'#TID_base_up'!B:C,2,0)</f>
        <v>杂毛</v>
      </c>
      <c r="G554" s="49" t="s">
        <v>2100</v>
      </c>
      <c r="H554" s="49" t="s">
        <v>132</v>
      </c>
      <c r="I554" s="49" t="s">
        <v>1581</v>
      </c>
      <c r="J554" s="49" t="s">
        <v>2112</v>
      </c>
      <c r="K554" s="115"/>
      <c r="U554" s="49">
        <v>4</v>
      </c>
      <c r="V554" s="49">
        <v>0</v>
      </c>
      <c r="X554" s="49">
        <v>10022</v>
      </c>
      <c r="AD554" s="49">
        <v>4</v>
      </c>
      <c r="AE554" s="49">
        <v>10</v>
      </c>
      <c r="AH554" s="49">
        <v>0.1</v>
      </c>
      <c r="AL554" s="49">
        <v>13</v>
      </c>
      <c r="AO554" s="49">
        <v>12</v>
      </c>
      <c r="AT554" s="49" t="str">
        <f t="shared" si="54"/>
        <v/>
      </c>
    </row>
    <row r="555" spans="1:48" s="49" customFormat="1">
      <c r="A555" s="49">
        <v>300009</v>
      </c>
      <c r="B555" s="49" t="s">
        <v>2097</v>
      </c>
      <c r="C555" s="49">
        <v>1</v>
      </c>
      <c r="D555" s="49" t="s">
        <v>2108</v>
      </c>
      <c r="E555" s="49" t="s">
        <v>2099</v>
      </c>
      <c r="F555" s="20" t="str">
        <f>VLOOKUP(G555,'#TID_base_up'!B:C,2,0)</f>
        <v>杂毛</v>
      </c>
      <c r="G555" s="49" t="s">
        <v>2100</v>
      </c>
      <c r="H555" s="49" t="s">
        <v>132</v>
      </c>
      <c r="I555" s="49" t="s">
        <v>1581</v>
      </c>
      <c r="J555" s="49" t="s">
        <v>2113</v>
      </c>
      <c r="K555" s="115"/>
      <c r="U555" s="49">
        <v>4</v>
      </c>
      <c r="V555" s="49">
        <v>0</v>
      </c>
      <c r="X555" s="49">
        <v>10022</v>
      </c>
      <c r="AD555" s="49">
        <v>4</v>
      </c>
      <c r="AE555" s="49">
        <v>10</v>
      </c>
      <c r="AH555" s="49">
        <v>0.1</v>
      </c>
      <c r="AL555" s="49">
        <v>13</v>
      </c>
      <c r="AO555" s="49">
        <v>13</v>
      </c>
      <c r="AT555" s="49" t="str">
        <f t="shared" si="54"/>
        <v/>
      </c>
    </row>
    <row r="556" spans="1:48" s="49" customFormat="1">
      <c r="A556" s="49">
        <v>300010</v>
      </c>
      <c r="B556" s="49" t="s">
        <v>2097</v>
      </c>
      <c r="C556" s="49">
        <v>1</v>
      </c>
      <c r="D556" s="49" t="s">
        <v>2114</v>
      </c>
      <c r="E556" s="49" t="s">
        <v>2099</v>
      </c>
      <c r="F556" s="20" t="str">
        <f>VLOOKUP(G556,'#TID_base_up'!B:C,2,0)</f>
        <v>斥候</v>
      </c>
      <c r="G556" s="49" t="s">
        <v>1882</v>
      </c>
      <c r="H556" s="49" t="s">
        <v>132</v>
      </c>
      <c r="I556" s="49" t="s">
        <v>1794</v>
      </c>
      <c r="J556" s="49" t="s">
        <v>2115</v>
      </c>
      <c r="K556" s="115"/>
      <c r="U556" s="49">
        <v>2</v>
      </c>
      <c r="V556" s="49">
        <v>0</v>
      </c>
      <c r="X556" s="49">
        <v>10014</v>
      </c>
      <c r="AD556" s="49">
        <v>5</v>
      </c>
      <c r="AE556" s="49">
        <v>10</v>
      </c>
      <c r="AH556" s="49">
        <v>0.1</v>
      </c>
      <c r="AL556" s="49">
        <v>13</v>
      </c>
      <c r="AT556" s="49" t="str">
        <f t="shared" si="54"/>
        <v/>
      </c>
    </row>
    <row r="557" spans="1:48" s="49" customFormat="1">
      <c r="A557" s="49">
        <v>300011</v>
      </c>
      <c r="B557" s="49" t="s">
        <v>2097</v>
      </c>
      <c r="C557" s="49">
        <v>1</v>
      </c>
      <c r="D557" s="49" t="s">
        <v>2116</v>
      </c>
      <c r="E557" s="49" t="s">
        <v>2099</v>
      </c>
      <c r="F557" s="20" t="str">
        <f>VLOOKUP(G557,'#TID_base_up'!B:C,2,0)</f>
        <v>斥候</v>
      </c>
      <c r="G557" s="49" t="s">
        <v>1882</v>
      </c>
      <c r="H557" s="49" t="s">
        <v>132</v>
      </c>
      <c r="I557" s="49" t="s">
        <v>1794</v>
      </c>
      <c r="J557" s="49" t="s">
        <v>2117</v>
      </c>
      <c r="K557" s="115"/>
      <c r="U557" s="49">
        <v>2</v>
      </c>
      <c r="V557" s="49">
        <v>0</v>
      </c>
      <c r="X557" s="49">
        <v>10020</v>
      </c>
      <c r="AD557" s="49">
        <v>5</v>
      </c>
      <c r="AE557" s="49">
        <v>10</v>
      </c>
      <c r="AH557" s="49">
        <v>0.1</v>
      </c>
      <c r="AL557" s="49">
        <v>13</v>
      </c>
      <c r="AT557" s="49" t="str">
        <f t="shared" si="54"/>
        <v/>
      </c>
    </row>
    <row r="558" spans="1:48" s="49" customFormat="1">
      <c r="A558" s="49">
        <v>300012</v>
      </c>
      <c r="B558" s="49" t="s">
        <v>2097</v>
      </c>
      <c r="C558" s="49">
        <v>1</v>
      </c>
      <c r="D558" s="49" t="s">
        <v>2118</v>
      </c>
      <c r="E558" s="49" t="s">
        <v>2099</v>
      </c>
      <c r="F558" s="20" t="str">
        <f>VLOOKUP(G558,'#TID_base_up'!B:C,2,0)</f>
        <v>斥候</v>
      </c>
      <c r="G558" s="49" t="s">
        <v>1882</v>
      </c>
      <c r="H558" s="49" t="s">
        <v>132</v>
      </c>
      <c r="I558" s="49" t="s">
        <v>1794</v>
      </c>
      <c r="J558" s="49" t="s">
        <v>2119</v>
      </c>
      <c r="K558" s="115"/>
      <c r="U558" s="49">
        <v>2</v>
      </c>
      <c r="V558" s="49">
        <v>0</v>
      </c>
      <c r="X558" s="49">
        <v>10015</v>
      </c>
      <c r="AD558" s="49">
        <v>5</v>
      </c>
      <c r="AE558" s="49">
        <v>10</v>
      </c>
      <c r="AH558" s="49">
        <v>0.1</v>
      </c>
      <c r="AL558" s="49">
        <v>13</v>
      </c>
      <c r="AT558" s="49" t="str">
        <f t="shared" si="54"/>
        <v/>
      </c>
    </row>
    <row r="559" spans="1:48" s="49" customFormat="1">
      <c r="A559" s="49">
        <v>300013</v>
      </c>
      <c r="B559" s="49" t="s">
        <v>2097</v>
      </c>
      <c r="C559" s="49">
        <v>1</v>
      </c>
      <c r="D559" s="49" t="s">
        <v>2108</v>
      </c>
      <c r="E559" s="49" t="s">
        <v>2099</v>
      </c>
      <c r="F559" s="20" t="str">
        <f>VLOOKUP(G559,'#TID_base_up'!B:C,2,0)</f>
        <v>友军</v>
      </c>
      <c r="G559" s="49" t="s">
        <v>1983</v>
      </c>
      <c r="H559" s="49" t="s">
        <v>132</v>
      </c>
      <c r="I559" s="49" t="s">
        <v>1581</v>
      </c>
      <c r="J559" s="49" t="s">
        <v>2120</v>
      </c>
      <c r="K559" s="115"/>
      <c r="U559" s="49">
        <v>4</v>
      </c>
      <c r="V559" s="49">
        <v>0</v>
      </c>
      <c r="X559" s="49">
        <v>10022</v>
      </c>
      <c r="AD559" s="49">
        <v>4</v>
      </c>
      <c r="AE559" s="49">
        <v>10</v>
      </c>
      <c r="AH559" s="49">
        <v>0.1</v>
      </c>
      <c r="AL559" s="49">
        <v>13</v>
      </c>
      <c r="AO559" s="49">
        <v>111</v>
      </c>
      <c r="AT559" s="49" t="str">
        <f t="shared" si="54"/>
        <v/>
      </c>
    </row>
    <row r="560" spans="1:48" s="49" customFormat="1">
      <c r="A560" s="49">
        <v>300014</v>
      </c>
      <c r="B560" s="49" t="s">
        <v>2097</v>
      </c>
      <c r="C560" s="49">
        <v>1</v>
      </c>
      <c r="D560" s="49" t="s">
        <v>2108</v>
      </c>
      <c r="E560" s="49" t="s">
        <v>2099</v>
      </c>
      <c r="F560" s="20" t="str">
        <f>VLOOKUP(G560,'#TID_base_up'!B:C,2,0)</f>
        <v>友军</v>
      </c>
      <c r="G560" s="49" t="s">
        <v>1983</v>
      </c>
      <c r="H560" s="49" t="s">
        <v>132</v>
      </c>
      <c r="I560" s="49" t="s">
        <v>1581</v>
      </c>
      <c r="J560" s="49" t="s">
        <v>2121</v>
      </c>
      <c r="K560" s="115"/>
      <c r="U560" s="49">
        <v>4</v>
      </c>
      <c r="V560" s="49">
        <v>0</v>
      </c>
      <c r="X560" s="49">
        <v>10022</v>
      </c>
      <c r="AD560" s="49">
        <v>4</v>
      </c>
      <c r="AE560" s="49">
        <v>10</v>
      </c>
      <c r="AH560" s="49">
        <v>0.1</v>
      </c>
      <c r="AL560" s="49">
        <v>13</v>
      </c>
      <c r="AO560" s="49">
        <v>111</v>
      </c>
      <c r="AT560" s="49" t="str">
        <f t="shared" si="54"/>
        <v/>
      </c>
    </row>
    <row r="561" spans="1:48" s="49" customFormat="1">
      <c r="A561" s="49">
        <v>300015</v>
      </c>
      <c r="B561" s="49" t="s">
        <v>2097</v>
      </c>
      <c r="C561" s="49">
        <v>1</v>
      </c>
      <c r="D561" s="49" t="s">
        <v>2098</v>
      </c>
      <c r="E561" s="49" t="s">
        <v>2099</v>
      </c>
      <c r="F561" s="20" t="str">
        <f>VLOOKUP(G561,'#TID_base_up'!B:C,2,0)</f>
        <v>杂毛</v>
      </c>
      <c r="G561" s="49" t="s">
        <v>2100</v>
      </c>
      <c r="H561" s="49" t="s">
        <v>132</v>
      </c>
      <c r="I561" s="49" t="s">
        <v>1581</v>
      </c>
      <c r="J561" s="49" t="s">
        <v>2122</v>
      </c>
      <c r="K561" s="115"/>
      <c r="U561" s="49">
        <v>4</v>
      </c>
      <c r="V561" s="49">
        <v>0</v>
      </c>
      <c r="X561" s="49">
        <v>13013</v>
      </c>
      <c r="AD561" s="49">
        <v>5</v>
      </c>
      <c r="AE561" s="49">
        <v>10</v>
      </c>
      <c r="AH561" s="49">
        <v>0.1</v>
      </c>
      <c r="AL561" s="49">
        <v>13</v>
      </c>
      <c r="AO561" s="49">
        <v>11</v>
      </c>
      <c r="AT561" s="49" t="str">
        <f t="shared" si="54"/>
        <v/>
      </c>
    </row>
    <row r="562" spans="1:48" s="49" customFormat="1">
      <c r="A562" s="49">
        <v>300016</v>
      </c>
      <c r="B562" s="49" t="s">
        <v>2097</v>
      </c>
      <c r="C562" s="49">
        <v>1</v>
      </c>
      <c r="D562" s="49">
        <v>11013</v>
      </c>
      <c r="E562" s="49" t="s">
        <v>2099</v>
      </c>
      <c r="F562" s="20" t="str">
        <f>VLOOKUP(G562,'#TID_base_up'!B:C,2,0)</f>
        <v>友军</v>
      </c>
      <c r="G562" s="49" t="s">
        <v>1983</v>
      </c>
      <c r="H562" s="49" t="s">
        <v>132</v>
      </c>
      <c r="I562" s="49" t="s">
        <v>1581</v>
      </c>
      <c r="J562" s="49" t="s">
        <v>2123</v>
      </c>
      <c r="K562" s="115"/>
      <c r="U562" s="49">
        <v>4</v>
      </c>
      <c r="V562" s="49">
        <v>0</v>
      </c>
      <c r="X562" s="49">
        <v>11013</v>
      </c>
      <c r="AD562" s="49">
        <v>6</v>
      </c>
      <c r="AE562" s="49">
        <v>10</v>
      </c>
      <c r="AH562" s="49">
        <v>0.1</v>
      </c>
      <c r="AL562" s="49">
        <v>13</v>
      </c>
      <c r="AO562" s="49">
        <v>11</v>
      </c>
      <c r="AT562" s="49" t="str">
        <f t="shared" si="54"/>
        <v/>
      </c>
    </row>
    <row r="563" spans="1:48" s="49" customFormat="1">
      <c r="A563" s="49">
        <v>300017</v>
      </c>
      <c r="B563" s="49" t="s">
        <v>2097</v>
      </c>
      <c r="C563" s="49">
        <v>1</v>
      </c>
      <c r="D563" s="49">
        <v>11013</v>
      </c>
      <c r="E563" s="49" t="s">
        <v>2099</v>
      </c>
      <c r="F563" s="20" t="str">
        <f>VLOOKUP(G563,'#TID_base_up'!B:C,2,0)</f>
        <v>友军</v>
      </c>
      <c r="G563" s="49" t="s">
        <v>1983</v>
      </c>
      <c r="H563" s="49" t="s">
        <v>132</v>
      </c>
      <c r="I563" s="49" t="s">
        <v>1581</v>
      </c>
      <c r="J563" s="49" t="s">
        <v>2124</v>
      </c>
      <c r="K563" s="115"/>
      <c r="U563" s="49">
        <v>4</v>
      </c>
      <c r="V563" s="49">
        <v>0</v>
      </c>
      <c r="X563" s="49">
        <v>11013</v>
      </c>
      <c r="AD563" s="49">
        <v>6</v>
      </c>
      <c r="AE563" s="49">
        <v>10</v>
      </c>
      <c r="AH563" s="49">
        <v>0.1</v>
      </c>
      <c r="AL563" s="49">
        <v>13</v>
      </c>
      <c r="AO563" s="49">
        <v>11</v>
      </c>
      <c r="AT563" s="49" t="str">
        <f t="shared" si="54"/>
        <v/>
      </c>
    </row>
    <row r="564" spans="1:48" s="49" customFormat="1">
      <c r="A564" s="49">
        <v>300018</v>
      </c>
      <c r="B564" s="49" t="s">
        <v>2097</v>
      </c>
      <c r="C564" s="49">
        <v>1</v>
      </c>
      <c r="D564" s="49">
        <v>12013</v>
      </c>
      <c r="E564" s="49" t="s">
        <v>2099</v>
      </c>
      <c r="F564" s="20" t="str">
        <f>VLOOKUP(G564,'#TID_base_up'!B:C,2,0)</f>
        <v>友军</v>
      </c>
      <c r="G564" s="49" t="s">
        <v>1983</v>
      </c>
      <c r="H564" s="49" t="s">
        <v>132</v>
      </c>
      <c r="I564" s="49" t="s">
        <v>1581</v>
      </c>
      <c r="J564" s="49" t="s">
        <v>2125</v>
      </c>
      <c r="K564" s="115"/>
      <c r="U564" s="49">
        <v>4</v>
      </c>
      <c r="V564" s="49">
        <v>0</v>
      </c>
      <c r="X564" s="49">
        <v>12013</v>
      </c>
      <c r="AD564" s="49">
        <v>6</v>
      </c>
      <c r="AE564" s="49">
        <v>10</v>
      </c>
      <c r="AH564" s="49">
        <v>0.1</v>
      </c>
      <c r="AL564" s="49">
        <v>13</v>
      </c>
      <c r="AO564" s="49">
        <v>11</v>
      </c>
      <c r="AT564" s="49" t="str">
        <f t="shared" si="54"/>
        <v/>
      </c>
    </row>
    <row r="565" spans="1:48" s="49" customFormat="1">
      <c r="A565" s="49">
        <v>300019</v>
      </c>
      <c r="B565" s="49" t="s">
        <v>2097</v>
      </c>
      <c r="C565" s="49">
        <v>1</v>
      </c>
      <c r="D565" s="49">
        <v>11113</v>
      </c>
      <c r="E565" s="49" t="s">
        <v>2099</v>
      </c>
      <c r="F565" s="20" t="str">
        <f>VLOOKUP(G565,'#TID_base_up'!B:C,2,0)</f>
        <v>友军</v>
      </c>
      <c r="G565" s="49" t="s">
        <v>1983</v>
      </c>
      <c r="H565" s="49" t="s">
        <v>132</v>
      </c>
      <c r="I565" s="49" t="s">
        <v>1581</v>
      </c>
      <c r="J565" s="49" t="s">
        <v>2126</v>
      </c>
      <c r="K565" s="115"/>
      <c r="U565" s="49">
        <v>4</v>
      </c>
      <c r="V565" s="49">
        <v>0</v>
      </c>
      <c r="X565" s="49">
        <v>11113</v>
      </c>
      <c r="AD565" s="49">
        <v>6</v>
      </c>
      <c r="AE565" s="49">
        <v>10</v>
      </c>
      <c r="AH565" s="49">
        <v>0.1</v>
      </c>
      <c r="AL565" s="49">
        <v>13</v>
      </c>
      <c r="AO565" s="49">
        <v>11</v>
      </c>
      <c r="AT565" s="49" t="str">
        <f t="shared" si="54"/>
        <v/>
      </c>
    </row>
    <row r="566" spans="1:48" s="49" customFormat="1">
      <c r="A566" s="49">
        <v>300020</v>
      </c>
      <c r="B566" s="49" t="s">
        <v>2097</v>
      </c>
      <c r="C566" s="49">
        <v>1</v>
      </c>
      <c r="D566" s="49">
        <v>12113</v>
      </c>
      <c r="E566" s="49" t="s">
        <v>2099</v>
      </c>
      <c r="F566" s="20" t="str">
        <f>VLOOKUP(G566,'#TID_base_up'!B:C,2,0)</f>
        <v>友军</v>
      </c>
      <c r="G566" s="49" t="s">
        <v>1983</v>
      </c>
      <c r="H566" s="49" t="s">
        <v>132</v>
      </c>
      <c r="I566" s="49" t="s">
        <v>1581</v>
      </c>
      <c r="J566" s="49" t="s">
        <v>2127</v>
      </c>
      <c r="K566" s="115"/>
      <c r="U566" s="49">
        <v>4</v>
      </c>
      <c r="V566" s="49">
        <v>0</v>
      </c>
      <c r="X566" s="49">
        <v>12113</v>
      </c>
      <c r="AD566" s="49">
        <v>6</v>
      </c>
      <c r="AE566" s="49">
        <v>10</v>
      </c>
      <c r="AH566" s="49">
        <v>0.1</v>
      </c>
      <c r="AL566" s="49">
        <v>13</v>
      </c>
      <c r="AO566" s="49">
        <v>11</v>
      </c>
      <c r="AT566" s="49" t="str">
        <f t="shared" si="54"/>
        <v/>
      </c>
    </row>
    <row r="567" spans="1:48" s="49" customFormat="1">
      <c r="A567" s="49">
        <v>300021</v>
      </c>
      <c r="B567" s="49" t="s">
        <v>2097</v>
      </c>
      <c r="C567" s="49">
        <v>1</v>
      </c>
      <c r="D567" s="49" t="s">
        <v>2106</v>
      </c>
      <c r="E567" s="49" t="s">
        <v>2099</v>
      </c>
      <c r="F567" s="20" t="str">
        <f>VLOOKUP(G567,'#TID_base_up'!B:C,2,0)</f>
        <v>斥候</v>
      </c>
      <c r="G567" s="49" t="s">
        <v>1882</v>
      </c>
      <c r="H567" s="49" t="s">
        <v>132</v>
      </c>
      <c r="I567" s="49" t="s">
        <v>1794</v>
      </c>
      <c r="J567" s="49" t="s">
        <v>2128</v>
      </c>
      <c r="K567" s="115"/>
      <c r="U567" s="49">
        <v>2</v>
      </c>
      <c r="V567" s="49">
        <v>0</v>
      </c>
      <c r="X567" s="49">
        <v>10018</v>
      </c>
      <c r="AD567" s="49">
        <v>6</v>
      </c>
      <c r="AE567" s="49">
        <v>10</v>
      </c>
      <c r="AH567" s="49">
        <v>0.1</v>
      </c>
      <c r="AL567" s="49">
        <v>13</v>
      </c>
      <c r="AT567" s="49" t="str">
        <f t="shared" si="54"/>
        <v/>
      </c>
    </row>
    <row r="568" spans="1:48" s="49" customFormat="1">
      <c r="A568" s="49">
        <v>300022</v>
      </c>
      <c r="B568" s="49" t="s">
        <v>2097</v>
      </c>
      <c r="C568" s="49">
        <v>1</v>
      </c>
      <c r="D568" s="49">
        <v>10028</v>
      </c>
      <c r="E568" s="49" t="s">
        <v>2099</v>
      </c>
      <c r="F568" s="20" t="str">
        <f>VLOOKUP(G568,'#TID_base_up'!B:C,2,0)</f>
        <v>斥候</v>
      </c>
      <c r="G568" s="49" t="s">
        <v>1882</v>
      </c>
      <c r="H568" s="49" t="s">
        <v>132</v>
      </c>
      <c r="I568" s="49" t="s">
        <v>1794</v>
      </c>
      <c r="J568" s="49" t="s">
        <v>2129</v>
      </c>
      <c r="K568" s="115"/>
      <c r="U568" s="49">
        <v>2</v>
      </c>
      <c r="V568" s="49">
        <v>0</v>
      </c>
      <c r="X568" s="49">
        <v>10028</v>
      </c>
      <c r="AD568" s="49">
        <v>6</v>
      </c>
      <c r="AE568" s="49">
        <v>10</v>
      </c>
      <c r="AH568" s="49">
        <v>0.1</v>
      </c>
      <c r="AL568" s="49">
        <v>13</v>
      </c>
      <c r="AT568" s="49" t="str">
        <f t="shared" si="54"/>
        <v/>
      </c>
    </row>
    <row r="569" spans="1:48" s="67" customFormat="1">
      <c r="A569" s="67">
        <v>500001</v>
      </c>
      <c r="C569" s="67">
        <v>2</v>
      </c>
      <c r="D569" s="67" t="s">
        <v>2130</v>
      </c>
      <c r="E569" s="67" t="s">
        <v>412</v>
      </c>
      <c r="F569" s="20" t="str">
        <f>VLOOKUP(G569,'#TID_base_up'!B:C,2,0)</f>
        <v>关羽</v>
      </c>
      <c r="G569" s="67" t="s">
        <v>792</v>
      </c>
      <c r="H569" s="67" t="s">
        <v>132</v>
      </c>
      <c r="I569" s="67" t="s">
        <v>2131</v>
      </c>
      <c r="J569" s="67" t="s">
        <v>2132</v>
      </c>
      <c r="K569" s="116"/>
      <c r="U569" s="67">
        <v>2</v>
      </c>
      <c r="V569" s="67">
        <v>0</v>
      </c>
      <c r="X569" s="67">
        <v>0</v>
      </c>
      <c r="Y569" s="67" t="b">
        <v>0</v>
      </c>
      <c r="Z569" s="67" t="s">
        <v>2133</v>
      </c>
      <c r="AA569" s="67" t="b">
        <v>0</v>
      </c>
      <c r="AD569" s="67">
        <v>1.76699995994568</v>
      </c>
      <c r="AE569" s="67">
        <v>5.0999999999999996</v>
      </c>
      <c r="AH569" s="67">
        <v>0.1</v>
      </c>
      <c r="AL569" s="117">
        <v>13</v>
      </c>
      <c r="AO569" s="67">
        <v>1</v>
      </c>
      <c r="AT569" s="116" t="s">
        <v>2134</v>
      </c>
      <c r="AU569" s="116" t="s">
        <v>2134</v>
      </c>
      <c r="AV569" s="116"/>
    </row>
    <row r="570" spans="1:48" s="67" customFormat="1">
      <c r="A570" s="67">
        <v>500002</v>
      </c>
      <c r="C570" s="67">
        <v>2</v>
      </c>
      <c r="D570" s="67" t="s">
        <v>2130</v>
      </c>
      <c r="E570" s="67" t="s">
        <v>412</v>
      </c>
      <c r="F570" s="20" t="str">
        <f>VLOOKUP(G570,'#TID_base_up'!B:C,2,0)</f>
        <v>关羽</v>
      </c>
      <c r="G570" s="67" t="s">
        <v>792</v>
      </c>
      <c r="H570" s="67" t="s">
        <v>132</v>
      </c>
      <c r="I570" s="67" t="s">
        <v>2131</v>
      </c>
      <c r="J570" s="67" t="s">
        <v>2135</v>
      </c>
      <c r="K570" s="116"/>
      <c r="U570" s="67">
        <v>2</v>
      </c>
      <c r="V570" s="67">
        <v>0</v>
      </c>
      <c r="X570" s="67">
        <v>0</v>
      </c>
      <c r="Y570" s="67" t="b">
        <v>0</v>
      </c>
      <c r="Z570" s="67" t="s">
        <v>2136</v>
      </c>
      <c r="AA570" s="67" t="b">
        <v>0</v>
      </c>
      <c r="AD570" s="67">
        <v>3.1717081069946298</v>
      </c>
      <c r="AE570" s="67">
        <v>5.0999999999999996</v>
      </c>
      <c r="AH570" s="67">
        <v>0.1</v>
      </c>
      <c r="AL570" s="117">
        <v>13</v>
      </c>
      <c r="AO570" s="67">
        <v>1</v>
      </c>
      <c r="AT570" s="67" t="s">
        <v>2137</v>
      </c>
      <c r="AU570" s="67" t="s">
        <v>2137</v>
      </c>
    </row>
    <row r="571" spans="1:48" s="67" customFormat="1">
      <c r="A571" s="67">
        <v>500003</v>
      </c>
      <c r="C571" s="67">
        <v>2</v>
      </c>
      <c r="D571" s="67" t="s">
        <v>2130</v>
      </c>
      <c r="E571" s="67" t="s">
        <v>412</v>
      </c>
      <c r="F571" s="20" t="str">
        <f>VLOOKUP(G571,'#TID_base_up'!B:C,2,0)</f>
        <v>关羽</v>
      </c>
      <c r="G571" s="67" t="s">
        <v>792</v>
      </c>
      <c r="H571" s="67" t="s">
        <v>132</v>
      </c>
      <c r="I571" s="67" t="s">
        <v>2131</v>
      </c>
      <c r="J571" s="67" t="s">
        <v>2138</v>
      </c>
      <c r="K571" s="116"/>
      <c r="U571" s="67">
        <v>2</v>
      </c>
      <c r="V571" s="67">
        <v>0</v>
      </c>
      <c r="X571" s="67">
        <v>0</v>
      </c>
      <c r="Y571" s="67" t="b">
        <v>0</v>
      </c>
      <c r="Z571" s="67" t="s">
        <v>2139</v>
      </c>
      <c r="AA571" s="67" t="b">
        <v>0</v>
      </c>
      <c r="AD571" s="67">
        <v>1.60206198692322</v>
      </c>
      <c r="AE571" s="67">
        <v>5.0999999999999996</v>
      </c>
      <c r="AH571" s="67">
        <v>0.1</v>
      </c>
      <c r="AL571" s="117">
        <v>13</v>
      </c>
      <c r="AO571" s="67">
        <v>1</v>
      </c>
      <c r="AT571" s="67" t="s">
        <v>2140</v>
      </c>
      <c r="AU571" s="67" t="s">
        <v>2140</v>
      </c>
    </row>
    <row r="572" spans="1:48" s="67" customFormat="1">
      <c r="A572" s="67">
        <v>500004</v>
      </c>
      <c r="C572" s="67">
        <v>2</v>
      </c>
      <c r="D572" s="67" t="s">
        <v>2130</v>
      </c>
      <c r="E572" s="67" t="s">
        <v>412</v>
      </c>
      <c r="F572" s="20" t="str">
        <f>VLOOKUP(G572,'#TID_base_up'!B:C,2,0)</f>
        <v>关羽</v>
      </c>
      <c r="G572" s="67" t="s">
        <v>792</v>
      </c>
      <c r="H572" s="67" t="s">
        <v>132</v>
      </c>
      <c r="I572" s="67" t="s">
        <v>2131</v>
      </c>
      <c r="J572" s="67" t="s">
        <v>2141</v>
      </c>
      <c r="K572" s="116"/>
      <c r="U572" s="67">
        <v>2</v>
      </c>
      <c r="V572" s="67">
        <v>0</v>
      </c>
      <c r="X572" s="67">
        <v>0</v>
      </c>
      <c r="Y572" s="67" t="b">
        <v>0</v>
      </c>
      <c r="Z572" s="67" t="s">
        <v>2142</v>
      </c>
      <c r="AA572" s="67" t="b">
        <v>0</v>
      </c>
      <c r="AD572" s="67">
        <v>3.07208299636841</v>
      </c>
      <c r="AE572" s="67">
        <v>5.0999999999999996</v>
      </c>
      <c r="AH572" s="67">
        <v>0.1</v>
      </c>
      <c r="AL572" s="117">
        <v>13</v>
      </c>
      <c r="AO572" s="67">
        <v>1</v>
      </c>
      <c r="AT572" s="67" t="s">
        <v>2143</v>
      </c>
      <c r="AU572" s="67" t="s">
        <v>2143</v>
      </c>
    </row>
    <row r="573" spans="1:48" s="67" customFormat="1">
      <c r="A573" s="67">
        <v>500011</v>
      </c>
      <c r="C573" s="67">
        <v>2</v>
      </c>
      <c r="D573" s="67" t="s">
        <v>2130</v>
      </c>
      <c r="E573" s="67" t="s">
        <v>412</v>
      </c>
      <c r="F573" s="20" t="str">
        <f>VLOOKUP(G573,'#TID_base_up'!B:C,2,0)</f>
        <v>关羽</v>
      </c>
      <c r="G573" s="67" t="s">
        <v>792</v>
      </c>
      <c r="H573" s="67" t="s">
        <v>132</v>
      </c>
      <c r="I573" s="67" t="s">
        <v>2144</v>
      </c>
      <c r="J573" s="67" t="s">
        <v>2145</v>
      </c>
      <c r="K573" s="116"/>
      <c r="U573" s="67">
        <v>2</v>
      </c>
      <c r="V573" s="67">
        <v>0</v>
      </c>
      <c r="X573" s="67">
        <v>0</v>
      </c>
      <c r="Y573" s="67" t="b">
        <v>0</v>
      </c>
      <c r="Z573" s="67" t="s">
        <v>2146</v>
      </c>
      <c r="AA573" s="67" t="b">
        <v>0</v>
      </c>
      <c r="AD573" s="67">
        <v>2.7756869792938201</v>
      </c>
      <c r="AE573" s="67">
        <v>5.0999999999999996</v>
      </c>
      <c r="AH573" s="67">
        <v>0.1</v>
      </c>
      <c r="AL573" s="117">
        <v>13</v>
      </c>
      <c r="AO573" s="67">
        <v>1</v>
      </c>
      <c r="AT573" s="67" t="s">
        <v>2147</v>
      </c>
      <c r="AU573" s="67" t="s">
        <v>2147</v>
      </c>
    </row>
    <row r="574" spans="1:48" s="67" customFormat="1">
      <c r="A574" s="67">
        <v>500012</v>
      </c>
      <c r="C574" s="67">
        <v>2</v>
      </c>
      <c r="D574" s="67" t="s">
        <v>2130</v>
      </c>
      <c r="E574" s="67" t="s">
        <v>412</v>
      </c>
      <c r="F574" s="20" t="str">
        <f>VLOOKUP(G574,'#TID_base_up'!B:C,2,0)</f>
        <v>关羽</v>
      </c>
      <c r="G574" s="67" t="s">
        <v>792</v>
      </c>
      <c r="H574" s="67" t="s">
        <v>132</v>
      </c>
      <c r="I574" s="67" t="s">
        <v>2144</v>
      </c>
      <c r="J574" s="67" t="s">
        <v>2148</v>
      </c>
      <c r="K574" s="116"/>
      <c r="U574" s="67">
        <v>2</v>
      </c>
      <c r="V574" s="67">
        <v>0</v>
      </c>
      <c r="X574" s="67">
        <v>0</v>
      </c>
      <c r="Y574" s="67" t="b">
        <v>0</v>
      </c>
      <c r="Z574" s="67" t="s">
        <v>2149</v>
      </c>
      <c r="AA574" s="67" t="b">
        <v>0</v>
      </c>
      <c r="AD574" s="67">
        <v>2.9363329410553001</v>
      </c>
      <c r="AE574" s="67">
        <v>5.0999999999999996</v>
      </c>
      <c r="AH574" s="67">
        <v>0.1</v>
      </c>
      <c r="AL574" s="117">
        <v>13</v>
      </c>
      <c r="AO574" s="67">
        <v>1</v>
      </c>
      <c r="AT574" s="67" t="s">
        <v>2150</v>
      </c>
      <c r="AU574" s="67" t="s">
        <v>2150</v>
      </c>
    </row>
    <row r="575" spans="1:48" s="67" customFormat="1">
      <c r="A575" s="67">
        <v>500013</v>
      </c>
      <c r="C575" s="67">
        <v>2</v>
      </c>
      <c r="D575" s="67" t="s">
        <v>2130</v>
      </c>
      <c r="E575" s="67" t="s">
        <v>412</v>
      </c>
      <c r="F575" s="20" t="str">
        <f>VLOOKUP(G575,'#TID_base_up'!B:C,2,0)</f>
        <v>关羽</v>
      </c>
      <c r="G575" s="67" t="s">
        <v>792</v>
      </c>
      <c r="H575" s="67" t="s">
        <v>132</v>
      </c>
      <c r="I575" s="67" t="s">
        <v>2144</v>
      </c>
      <c r="J575" s="67" t="s">
        <v>2151</v>
      </c>
      <c r="K575" s="116"/>
      <c r="U575" s="67">
        <v>2</v>
      </c>
      <c r="V575" s="67">
        <v>0</v>
      </c>
      <c r="X575" s="67">
        <v>0</v>
      </c>
      <c r="Y575" s="67" t="b">
        <v>0</v>
      </c>
      <c r="Z575" s="67" t="s">
        <v>2152</v>
      </c>
      <c r="AA575" s="67" t="b">
        <v>0</v>
      </c>
      <c r="AD575" s="67">
        <v>3.05954194068909</v>
      </c>
      <c r="AE575" s="67">
        <v>5.0999999999999996</v>
      </c>
      <c r="AH575" s="67">
        <v>0.1</v>
      </c>
      <c r="AL575" s="117">
        <v>13</v>
      </c>
      <c r="AO575" s="67">
        <v>1</v>
      </c>
      <c r="AT575" s="67" t="s">
        <v>2153</v>
      </c>
      <c r="AU575" s="67" t="s">
        <v>2153</v>
      </c>
    </row>
    <row r="576" spans="1:48" s="67" customFormat="1">
      <c r="A576" s="67">
        <v>500014</v>
      </c>
      <c r="C576" s="67">
        <v>2</v>
      </c>
      <c r="D576" s="67" t="s">
        <v>2130</v>
      </c>
      <c r="E576" s="67" t="s">
        <v>412</v>
      </c>
      <c r="F576" s="20" t="str">
        <f>VLOOKUP(G576,'#TID_base_up'!B:C,2,0)</f>
        <v>关羽</v>
      </c>
      <c r="G576" s="67" t="s">
        <v>792</v>
      </c>
      <c r="H576" s="67" t="s">
        <v>132</v>
      </c>
      <c r="I576" s="67" t="s">
        <v>2144</v>
      </c>
      <c r="J576" s="67" t="s">
        <v>2154</v>
      </c>
      <c r="K576" s="116"/>
      <c r="U576" s="67">
        <v>2</v>
      </c>
      <c r="V576" s="67">
        <v>0</v>
      </c>
      <c r="X576" s="67">
        <v>0</v>
      </c>
      <c r="Y576" s="67" t="b">
        <v>0</v>
      </c>
      <c r="Z576" s="67" t="s">
        <v>2155</v>
      </c>
      <c r="AA576" s="67" t="b">
        <v>0</v>
      </c>
      <c r="AD576" s="67">
        <v>2.6606249809265101</v>
      </c>
      <c r="AE576" s="67">
        <v>5.0999999999999996</v>
      </c>
      <c r="AH576" s="67">
        <v>0.1</v>
      </c>
      <c r="AL576" s="117">
        <v>13</v>
      </c>
      <c r="AO576" s="67">
        <v>1</v>
      </c>
      <c r="AT576" s="67" t="s">
        <v>2156</v>
      </c>
      <c r="AU576" s="67" t="s">
        <v>2156</v>
      </c>
    </row>
    <row r="577" spans="1:51" s="67" customFormat="1">
      <c r="A577" s="67">
        <v>510001</v>
      </c>
      <c r="B577" s="67" t="s">
        <v>374</v>
      </c>
      <c r="C577" s="67">
        <v>1</v>
      </c>
      <c r="D577" s="67" t="s">
        <v>2157</v>
      </c>
      <c r="E577" s="67" t="s">
        <v>2099</v>
      </c>
      <c r="F577" s="20" t="str">
        <f>VLOOKUP(G577,'#TID_base_up'!B:C,2,0)</f>
        <v>安德莉娅</v>
      </c>
      <c r="G577" s="67" t="s">
        <v>467</v>
      </c>
      <c r="H577" s="48" t="str">
        <f>VLOOKUP($F577,'#对话模型配置'!$A:$W,MATCH(对话配置表!H$2,'#对话模型配置'!$1:$1,0),FALSE)</f>
        <v>icon_guidechara.smash</v>
      </c>
      <c r="I577" s="48" t="str">
        <f>VLOOKUP($F577,'#对话模型配置'!$A:$W,MATCH(对话配置表!I$2,'#对话模型配置'!$1:$1,0),FALSE)</f>
        <v>frame_s_xsdh_002</v>
      </c>
      <c r="J577" s="118" t="s">
        <v>2158</v>
      </c>
      <c r="K577" s="116"/>
      <c r="T577" s="67">
        <v>1</v>
      </c>
      <c r="U577" s="67">
        <v>1</v>
      </c>
      <c r="V577" s="67">
        <v>0</v>
      </c>
      <c r="X577" s="67">
        <v>0</v>
      </c>
      <c r="Y577" s="67" t="b">
        <v>0</v>
      </c>
      <c r="Z577" s="67" t="s">
        <v>2159</v>
      </c>
      <c r="AA577" s="67" t="b">
        <v>1</v>
      </c>
      <c r="AC577" s="67">
        <v>20001098</v>
      </c>
      <c r="AD577" s="67">
        <v>14.0839996337891</v>
      </c>
      <c r="AE577" s="67">
        <v>15</v>
      </c>
      <c r="AH577" s="67">
        <v>0.1</v>
      </c>
      <c r="AL577" s="67">
        <v>10</v>
      </c>
      <c r="AM577" s="48">
        <f>VLOOKUP($F577,'#对话模型配置'!$A:$W,MATCH(对话配置表!AM$2,'#对话模型配置'!$1:$1,0),FALSE)</f>
        <v>30001001</v>
      </c>
      <c r="AN577" s="67" t="s">
        <v>922</v>
      </c>
      <c r="AT577" s="118" t="s">
        <v>2160</v>
      </c>
      <c r="AU577" s="118" t="s">
        <v>2160</v>
      </c>
    </row>
    <row r="578" spans="1:51" s="52" customFormat="1" ht="28">
      <c r="A578" s="52">
        <v>510002</v>
      </c>
      <c r="B578" s="52" t="s">
        <v>374</v>
      </c>
      <c r="C578" s="52">
        <v>1</v>
      </c>
      <c r="D578" s="52" t="s">
        <v>2157</v>
      </c>
      <c r="E578" s="52" t="s">
        <v>2161</v>
      </c>
      <c r="F578" s="20" t="str">
        <f>VLOOKUP(G578,'#TID_base_up'!B:C,2,0)</f>
        <v>安德莉娅</v>
      </c>
      <c r="G578" s="52" t="s">
        <v>467</v>
      </c>
      <c r="H578" s="48" t="str">
        <f>VLOOKUP($F578,'#对话模型配置'!$A:$W,MATCH(对话配置表!H$2,'#对话模型配置'!$1:$1,0),FALSE)</f>
        <v>icon_guidechara.smash</v>
      </c>
      <c r="I578" s="48" t="str">
        <f>VLOOKUP($F578,'#对话模型配置'!$A:$W,MATCH(对话配置表!I$2,'#对话模型配置'!$1:$1,0),FALSE)</f>
        <v>frame_s_xsdh_002</v>
      </c>
      <c r="J578" s="119" t="s">
        <v>2162</v>
      </c>
      <c r="K578" s="84" t="str">
        <f>AU578</f>
        <v>来吧，领主大人！不要灰心，您可是帝国崩于前而面不改色的人，让我们调整策略，再试一次吧！</v>
      </c>
      <c r="U578" s="52">
        <v>1</v>
      </c>
      <c r="V578" s="52">
        <v>0</v>
      </c>
      <c r="X578" s="52">
        <v>0</v>
      </c>
      <c r="Y578" s="52" t="b">
        <v>0</v>
      </c>
      <c r="Z578" s="52" t="s">
        <v>2163</v>
      </c>
      <c r="AA578" s="52" t="b">
        <v>1</v>
      </c>
      <c r="AC578" s="52">
        <v>20001088</v>
      </c>
      <c r="AD578" s="52">
        <v>8.9693336486816406</v>
      </c>
      <c r="AE578" s="48">
        <f>AD578+1</f>
        <v>9.9693336486816406</v>
      </c>
      <c r="AF578" s="48"/>
      <c r="AG578" s="48"/>
      <c r="AH578" s="52">
        <v>0.1</v>
      </c>
      <c r="AL578" s="52">
        <v>25</v>
      </c>
      <c r="AM578" s="48">
        <f>VLOOKUP($F578,'#对话模型配置'!$A:$W,MATCH(对话配置表!AM$2,'#对话模型配置'!$1:$1,0),FALSE)</f>
        <v>30001001</v>
      </c>
      <c r="AN578" s="52" t="s">
        <v>922</v>
      </c>
      <c r="AT578" s="119" t="str">
        <f>IF($AU578="","",SUBSTITUTE(SUBSTITUTE(SUBSTITUTE(SUBSTITUTE($AU578,IF($AW578="","",$AW578),IF($AW578="","",CONCATENATE("&lt;color=#FFCC71&gt;",$AW578,"&lt;/color&gt;"))),IF($AX578="","",$AX578),IF($AX578="","",CONCATENATE("&lt;color=#FFCC71&gt;",$AX578,"&lt;/color&gt;"))),IF($AY578="","",$AY578),IF($AY578="","",CONCATENATE("&lt;color=#FFCC71&gt;",$AY578,"&lt;/color&gt;"))),IF($AZ578="","",$AZ578),IF($AZ578="","",CONCATENATE("&lt;color=#FFCC71&gt;",$AZ578,"&lt;/color&gt;"))))</f>
        <v>来吧，领主大人！不要灰心，您可是帝国崩于前而面不改色的人，让我们&lt;color=#FFCC71&gt;调整策略&lt;/color&gt;，再试一次吧！</v>
      </c>
      <c r="AU578" s="119" t="s">
        <v>2164</v>
      </c>
      <c r="AW578" s="52" t="s">
        <v>2165</v>
      </c>
    </row>
    <row r="579" spans="1:51" s="68" customFormat="1">
      <c r="A579" s="68">
        <v>600001</v>
      </c>
      <c r="C579" s="68">
        <v>1</v>
      </c>
      <c r="D579" s="68" t="s">
        <v>2166</v>
      </c>
      <c r="E579" s="68" t="s">
        <v>2099</v>
      </c>
      <c r="F579" s="20" t="str">
        <f>VLOOKUP(G579,'#TID_base_up'!B:C,2,0)</f>
        <v>蛮族援军</v>
      </c>
      <c r="G579" s="68" t="s">
        <v>2167</v>
      </c>
      <c r="H579" s="68" t="s">
        <v>132</v>
      </c>
      <c r="I579" s="68" t="s">
        <v>2168</v>
      </c>
      <c r="J579" s="68" t="s">
        <v>2169</v>
      </c>
      <c r="K579" s="120"/>
      <c r="U579" s="68">
        <v>2</v>
      </c>
      <c r="V579" s="68">
        <v>0</v>
      </c>
      <c r="X579" s="68">
        <v>0</v>
      </c>
      <c r="Y579" s="68" t="b">
        <v>0</v>
      </c>
      <c r="Z579" s="68" t="s">
        <v>2170</v>
      </c>
      <c r="AA579" s="68" t="b">
        <v>0</v>
      </c>
      <c r="AD579" s="68">
        <v>3.8506669998168901</v>
      </c>
      <c r="AE579" s="68">
        <v>5.0999999999999996</v>
      </c>
      <c r="AH579" s="68">
        <v>0.1</v>
      </c>
      <c r="AL579" s="68">
        <v>13</v>
      </c>
      <c r="AO579" s="68">
        <v>1</v>
      </c>
      <c r="AP579" s="68">
        <v>1</v>
      </c>
      <c r="AT579" s="68" t="s">
        <v>2171</v>
      </c>
      <c r="AU579" s="68" t="s">
        <v>2171</v>
      </c>
    </row>
    <row r="580" spans="1:51" s="69" customFormat="1" ht="42">
      <c r="A580" s="69">
        <v>710001</v>
      </c>
      <c r="B580" s="69" t="s">
        <v>374</v>
      </c>
      <c r="C580" s="69">
        <v>1</v>
      </c>
      <c r="D580" s="69" t="s">
        <v>2172</v>
      </c>
      <c r="E580" s="69" t="s">
        <v>412</v>
      </c>
      <c r="F580" s="20" t="str">
        <f>VLOOKUP(G580,'#TID_base_up'!B:C,2,0)</f>
        <v>安德莉娅</v>
      </c>
      <c r="G580" s="69" t="s">
        <v>467</v>
      </c>
      <c r="H580" s="69" t="s">
        <v>112</v>
      </c>
      <c r="I580" s="69" t="s">
        <v>113</v>
      </c>
      <c r="J580" s="69" t="s">
        <v>2173</v>
      </c>
      <c r="K580" s="84" t="str">
        <f t="shared" ref="K580:K605" si="55">AT580</f>
        <v>不行哦大人，英雄的&lt;color=#FFCC71&gt;战斗风格&lt;/color&gt;和&lt;color=#FFCC71&gt;兵种特性&lt;/color&gt;没有完全统一，就这样出征对阵强敌的话……是没有办法发挥出最大实力的。</v>
      </c>
      <c r="T580" s="69">
        <v>1</v>
      </c>
      <c r="U580" s="69">
        <v>1</v>
      </c>
      <c r="V580" s="69">
        <v>0</v>
      </c>
      <c r="X580" s="69">
        <v>0</v>
      </c>
      <c r="Y580" s="69" t="b">
        <v>0</v>
      </c>
      <c r="Z580" s="69" t="s">
        <v>2174</v>
      </c>
      <c r="AA580" s="69" t="b">
        <v>1</v>
      </c>
      <c r="AC580" s="69">
        <v>20001137</v>
      </c>
      <c r="AE580" s="69">
        <v>20</v>
      </c>
      <c r="AH580" s="69">
        <v>0.1</v>
      </c>
      <c r="AL580" s="69">
        <v>10</v>
      </c>
      <c r="AM580" s="69">
        <v>20001002</v>
      </c>
      <c r="AN580" s="69" t="s">
        <v>687</v>
      </c>
      <c r="AT580" s="69" t="str">
        <f t="shared" ref="AT580:AT605" si="56">IF($AU580="","",SUBSTITUTE(SUBSTITUTE(SUBSTITUTE(SUBSTITUTE($AU580,IF($AW580="","",$AW580),IF($AW580="","",CONCATENATE("&lt;color=#FFCC71&gt;",$AW580,"&lt;/color&gt;"))),IF($AX580="","",$AX580),IF($AX580="","",CONCATENATE("&lt;color=#FFCC71&gt;",$AX580,"&lt;/color&gt;"))),IF($AY580="","",$AY580),IF($AY580="","",CONCATENATE("&lt;color=#FFCC71&gt;",$AY580,"&lt;/color&gt;"))),IF($AZ580="","",$AZ580),IF($AZ580="","",CONCATENATE("&lt;color=#FFCC71&gt;",$AZ580,"&lt;/color&gt;"))))</f>
        <v>不行哦大人，英雄的&lt;color=#FFCC71&gt;战斗风格&lt;/color&gt;和&lt;color=#FFCC71&gt;兵种特性&lt;/color&gt;没有完全统一，就这样出征对阵强敌的话……是没有办法发挥出最大实力的。</v>
      </c>
      <c r="AU580" s="69" t="s">
        <v>2175</v>
      </c>
      <c r="AW580" s="69" t="s">
        <v>2176</v>
      </c>
      <c r="AX580" s="69" t="s">
        <v>2177</v>
      </c>
    </row>
    <row r="581" spans="1:51" s="69" customFormat="1" ht="70">
      <c r="A581" s="69">
        <v>710002</v>
      </c>
      <c r="B581" s="69" t="s">
        <v>374</v>
      </c>
      <c r="C581" s="69">
        <v>1</v>
      </c>
      <c r="D581" s="69" t="s">
        <v>2178</v>
      </c>
      <c r="E581" s="69" t="s">
        <v>412</v>
      </c>
      <c r="F581" s="20" t="str">
        <f>VLOOKUP(G581,'#TID_base_up'!B:C,2,0)</f>
        <v>安德莉娅</v>
      </c>
      <c r="G581" s="69" t="s">
        <v>467</v>
      </c>
      <c r="H581" s="69" t="s">
        <v>112</v>
      </c>
      <c r="I581" s="69" t="s">
        <v>113</v>
      </c>
      <c r="J581" s="69" t="s">
        <v>2179</v>
      </c>
      <c r="K581" s="84" t="str">
        <f t="shared" si="55"/>
        <v>大人，对英雄而言，除了&lt;color=#FFCC71&gt;自身的等级&lt;/color&gt;，&lt;color=#FFCC71&gt;技能等级&lt;/color&gt;、&lt;color=#FFCC71&gt;天赋和基础属性&lt;/color&gt;同样也会极大影响他们的实力。进行有难度的挑战前，请您一定要做好万全的准备，让英雄达到目前最好的状态。</v>
      </c>
      <c r="T581" s="69">
        <v>1</v>
      </c>
      <c r="U581" s="69">
        <v>1</v>
      </c>
      <c r="V581" s="69">
        <v>0</v>
      </c>
      <c r="X581" s="69">
        <v>0</v>
      </c>
      <c r="Y581" s="69" t="b">
        <v>0</v>
      </c>
      <c r="Z581" s="69" t="s">
        <v>2180</v>
      </c>
      <c r="AA581" s="69" t="b">
        <v>1</v>
      </c>
      <c r="AC581" s="69">
        <v>20001138</v>
      </c>
      <c r="AE581" s="69">
        <v>20</v>
      </c>
      <c r="AH581" s="69">
        <v>0.1</v>
      </c>
      <c r="AL581" s="69">
        <v>10</v>
      </c>
      <c r="AM581" s="69">
        <v>20001002</v>
      </c>
      <c r="AN581" s="69" t="s">
        <v>693</v>
      </c>
      <c r="AT581" s="69" t="str">
        <f t="shared" si="56"/>
        <v>大人，对英雄而言，除了&lt;color=#FFCC71&gt;自身的等级&lt;/color&gt;，&lt;color=#FFCC71&gt;技能等级&lt;/color&gt;、&lt;color=#FFCC71&gt;天赋和基础属性&lt;/color&gt;同样也会极大影响他们的实力。进行有难度的挑战前，请您一定要做好万全的准备，让英雄达到目前最好的状态。</v>
      </c>
      <c r="AU581" s="69" t="s">
        <v>2181</v>
      </c>
      <c r="AV581" s="69" t="s">
        <v>2182</v>
      </c>
      <c r="AW581" s="69" t="s">
        <v>2183</v>
      </c>
      <c r="AX581" s="69" t="s">
        <v>2184</v>
      </c>
      <c r="AY581" s="69" t="s">
        <v>2185</v>
      </c>
    </row>
    <row r="582" spans="1:51" s="69" customFormat="1" ht="56">
      <c r="A582" s="69">
        <v>710003</v>
      </c>
      <c r="B582" s="69" t="s">
        <v>374</v>
      </c>
      <c r="C582" s="69">
        <v>1</v>
      </c>
      <c r="D582" s="69" t="s">
        <v>2186</v>
      </c>
      <c r="E582" s="69" t="s">
        <v>412</v>
      </c>
      <c r="F582" s="20" t="str">
        <f>VLOOKUP(G582,'#TID_base_up'!B:C,2,0)</f>
        <v>安德莉娅</v>
      </c>
      <c r="G582" s="69" t="s">
        <v>467</v>
      </c>
      <c r="H582" s="69" t="s">
        <v>112</v>
      </c>
      <c r="I582" s="69" t="s">
        <v>113</v>
      </c>
      <c r="J582" s="69" t="s">
        <v>2187</v>
      </c>
      <c r="K582" s="84" t="str">
        <f t="shared" si="55"/>
        <v>又一位新英雄加入，恭喜大人……您怎么了？唔，是在为新英雄的&lt;color=#FFCC71&gt;等级过低&lt;/color&gt;而烦恼吗？不如让&lt;color=#FFCC71&gt;高等级英雄带领新英雄&lt;/color&gt;攻打高级蛮族试试，这样可以让新英雄成长得更快呢。</v>
      </c>
      <c r="T582" s="69">
        <v>1</v>
      </c>
      <c r="U582" s="69">
        <v>1</v>
      </c>
      <c r="V582" s="69">
        <v>0</v>
      </c>
      <c r="X582" s="69">
        <v>0</v>
      </c>
      <c r="Y582" s="69" t="b">
        <v>0</v>
      </c>
      <c r="Z582" s="69" t="s">
        <v>2188</v>
      </c>
      <c r="AA582" s="69" t="b">
        <v>1</v>
      </c>
      <c r="AC582" s="69">
        <v>20001139</v>
      </c>
      <c r="AE582" s="69">
        <v>20</v>
      </c>
      <c r="AH582" s="69">
        <v>0.1</v>
      </c>
      <c r="AL582" s="69">
        <v>10</v>
      </c>
      <c r="AM582" s="69">
        <v>20001002</v>
      </c>
      <c r="AN582" s="69" t="s">
        <v>625</v>
      </c>
      <c r="AT582" s="69" t="str">
        <f t="shared" si="56"/>
        <v>又一位新英雄加入，恭喜大人……您怎么了？唔，是在为新英雄的&lt;color=#FFCC71&gt;等级过低&lt;/color&gt;而烦恼吗？不如让&lt;color=#FFCC71&gt;高等级英雄带领新英雄&lt;/color&gt;攻打高级蛮族试试，这样可以让新英雄成长得更快呢。</v>
      </c>
      <c r="AU582" s="69" t="s">
        <v>2189</v>
      </c>
      <c r="AW582" s="69" t="s">
        <v>2190</v>
      </c>
      <c r="AX582" s="69" t="s">
        <v>2191</v>
      </c>
    </row>
    <row r="583" spans="1:51" s="69" customFormat="1" ht="84">
      <c r="A583" s="69">
        <v>710004</v>
      </c>
      <c r="B583" s="69" t="s">
        <v>374</v>
      </c>
      <c r="C583" s="69">
        <v>1</v>
      </c>
      <c r="D583" s="69" t="s">
        <v>2192</v>
      </c>
      <c r="E583" s="69" t="s">
        <v>412</v>
      </c>
      <c r="F583" s="20" t="str">
        <f>VLOOKUP(G583,'#TID_base_up'!B:C,2,0)</f>
        <v>安德莉娅</v>
      </c>
      <c r="G583" s="69" t="s">
        <v>467</v>
      </c>
      <c r="H583" s="69" t="s">
        <v>112</v>
      </c>
      <c r="I583" s="69" t="s">
        <v>113</v>
      </c>
      <c r="J583" s="69" t="s">
        <v>2193</v>
      </c>
      <c r="K583" s="84" t="str">
        <f t="shared" si="55"/>
        <v>大人，资源是领地快速发展不可或缺的一环，在我们当前的阶段，&lt;color=#FFCC71&gt;木材&lt;/color&gt;更是不可或缺。但&lt;color=#FFCC71&gt;木材&lt;/color&gt;&lt;color=#FFCC71&gt;只有&lt;/color&gt;&lt;color=#FFCC71&gt;木材&lt;/color&gt;资源点才能&lt;color=#FFCC71&gt;产出&lt;/color&gt;……去占领更多&lt;color=#FFCC71&gt;木材&lt;/color&gt;资源点吧，这样我们的发展才会更快。</v>
      </c>
      <c r="T583" s="69">
        <v>1</v>
      </c>
      <c r="U583" s="69">
        <v>1</v>
      </c>
      <c r="V583" s="69">
        <v>0</v>
      </c>
      <c r="X583" s="69">
        <v>0</v>
      </c>
      <c r="Y583" s="69" t="b">
        <v>0</v>
      </c>
      <c r="Z583" s="69" t="s">
        <v>2194</v>
      </c>
      <c r="AA583" s="69" t="b">
        <v>1</v>
      </c>
      <c r="AC583" s="69">
        <v>20001140</v>
      </c>
      <c r="AE583" s="69">
        <v>20</v>
      </c>
      <c r="AH583" s="69">
        <v>0.1</v>
      </c>
      <c r="AL583" s="69">
        <v>10</v>
      </c>
      <c r="AM583" s="69">
        <v>20001002</v>
      </c>
      <c r="AN583" s="69" t="s">
        <v>550</v>
      </c>
      <c r="AT583" s="69" t="str">
        <f t="shared" si="56"/>
        <v>大人，资源是领地快速发展不可或缺的一环，在我们当前的阶段，&lt;color=#FFCC71&gt;木材&lt;/color&gt;更是不可或缺。但&lt;color=#FFCC71&gt;木材&lt;/color&gt;&lt;color=#FFCC71&gt;只有&lt;/color&gt;&lt;color=#FFCC71&gt;木材&lt;/color&gt;资源点才能&lt;color=#FFCC71&gt;产出&lt;/color&gt;……去占领更多&lt;color=#FFCC71&gt;木材&lt;/color&gt;资源点吧，这样我们的发展才会更快。</v>
      </c>
      <c r="AU583" s="69" t="s">
        <v>2195</v>
      </c>
      <c r="AW583" s="69" t="s">
        <v>2196</v>
      </c>
      <c r="AX583" s="69" t="s">
        <v>2197</v>
      </c>
      <c r="AY583" s="69" t="s">
        <v>2198</v>
      </c>
    </row>
    <row r="584" spans="1:51" s="69" customFormat="1" ht="56">
      <c r="A584" s="69">
        <v>710005</v>
      </c>
      <c r="B584" s="69" t="s">
        <v>374</v>
      </c>
      <c r="C584" s="69">
        <v>1</v>
      </c>
      <c r="D584" s="69" t="s">
        <v>2199</v>
      </c>
      <c r="E584" s="69" t="s">
        <v>412</v>
      </c>
      <c r="F584" s="20" t="str">
        <f>VLOOKUP(G584,'#TID_base_up'!B:C,2,0)</f>
        <v>安德莉娅</v>
      </c>
      <c r="G584" s="69" t="s">
        <v>467</v>
      </c>
      <c r="H584" s="69" t="s">
        <v>112</v>
      </c>
      <c r="I584" s="69" t="s">
        <v>113</v>
      </c>
      <c r="J584" s="69" t="s">
        <v>2200</v>
      </c>
      <c r="K584" s="84" t="str">
        <f t="shared" si="55"/>
        <v>正如之前所说，大人，我们必须时刻关注我们的资源产出，但是在这一阶段，&lt;color=#FFCC71&gt;石头&lt;/color&gt;会更加重要哦。关注并占领更多的&lt;color=#FFCC71&gt;石头&lt;/color&gt;资源点吧，把&lt;color=#FFCC71&gt;发展效率&lt;/color&gt;提升起来。</v>
      </c>
      <c r="T584" s="69">
        <v>1</v>
      </c>
      <c r="U584" s="69">
        <v>1</v>
      </c>
      <c r="V584" s="69">
        <v>0</v>
      </c>
      <c r="X584" s="69">
        <v>0</v>
      </c>
      <c r="Y584" s="69" t="b">
        <v>0</v>
      </c>
      <c r="Z584" s="69" t="s">
        <v>2201</v>
      </c>
      <c r="AA584" s="69" t="b">
        <v>1</v>
      </c>
      <c r="AC584" s="69">
        <v>20001141</v>
      </c>
      <c r="AE584" s="69">
        <v>20</v>
      </c>
      <c r="AH584" s="69">
        <v>0.1</v>
      </c>
      <c r="AL584" s="69">
        <v>10</v>
      </c>
      <c r="AM584" s="69">
        <v>20001002</v>
      </c>
      <c r="AN584" s="69" t="s">
        <v>550</v>
      </c>
      <c r="AT584" s="69" t="str">
        <f t="shared" si="56"/>
        <v>正如之前所说，大人，我们必须时刻关注我们的资源产出，但是在这一阶段，&lt;color=#FFCC71&gt;石头&lt;/color&gt;会更加重要哦。关注并占领更多的&lt;color=#FFCC71&gt;石头&lt;/color&gt;资源点吧，把&lt;color=#FFCC71&gt;发展效率&lt;/color&gt;提升起来。</v>
      </c>
      <c r="AU584" s="69" t="s">
        <v>2202</v>
      </c>
      <c r="AW584" s="69" t="s">
        <v>2203</v>
      </c>
      <c r="AX584" s="69" t="s">
        <v>2204</v>
      </c>
      <c r="AY584" s="69" t="s">
        <v>2205</v>
      </c>
    </row>
    <row r="585" spans="1:51" s="69" customFormat="1" ht="56">
      <c r="A585" s="69">
        <v>710006</v>
      </c>
      <c r="C585" s="69">
        <v>1</v>
      </c>
      <c r="D585" s="69" t="s">
        <v>2206</v>
      </c>
      <c r="E585" s="69" t="s">
        <v>412</v>
      </c>
      <c r="F585" s="20" t="str">
        <f>VLOOKUP(G585,'#TID_base_up'!B:C,2,0)</f>
        <v>安德莉娅</v>
      </c>
      <c r="G585" s="69" t="s">
        <v>467</v>
      </c>
      <c r="H585" s="69" t="s">
        <v>112</v>
      </c>
      <c r="I585" s="69" t="s">
        <v>113</v>
      </c>
      <c r="J585" s="69" t="s">
        <v>2207</v>
      </c>
      <c r="K585" s="84" t="str">
        <f t="shared" si="55"/>
        <v>士兵的训练不仅包括数量，还包括&lt;color=#FFCC71&gt;等级&lt;/color&gt;，这关乎士兵的&lt;color=#FFCC71&gt;战斗力&lt;/color&gt;和整体素质。高级兵种组成的军队会更加强大，大人千万别忘了及时升级兵营。</v>
      </c>
      <c r="T585" s="69">
        <v>1</v>
      </c>
      <c r="U585" s="69">
        <v>1</v>
      </c>
      <c r="V585" s="69">
        <v>0</v>
      </c>
      <c r="X585" s="69">
        <v>0</v>
      </c>
      <c r="Y585" s="69" t="b">
        <v>0</v>
      </c>
      <c r="Z585" s="69" t="s">
        <v>2208</v>
      </c>
      <c r="AA585" s="69" t="b">
        <v>1</v>
      </c>
      <c r="AC585" s="69">
        <v>20001142</v>
      </c>
      <c r="AE585" s="69">
        <v>20</v>
      </c>
      <c r="AH585" s="69">
        <v>0.1</v>
      </c>
      <c r="AL585" s="69">
        <v>10</v>
      </c>
      <c r="AM585" s="69">
        <v>20001002</v>
      </c>
      <c r="AN585" s="69" t="s">
        <v>687</v>
      </c>
      <c r="AT585" s="69" t="str">
        <f t="shared" si="56"/>
        <v>士兵的训练不仅包括数量，还包括&lt;color=#FFCC71&gt;等级&lt;/color&gt;，这关乎士兵的&lt;color=#FFCC71&gt;战斗力&lt;/color&gt;和整体素质。高级兵种组成的军队会更加强大，大人千万别忘了及时升级兵营。</v>
      </c>
      <c r="AU585" s="122" t="s">
        <v>2209</v>
      </c>
      <c r="AW585" s="69" t="s">
        <v>2210</v>
      </c>
      <c r="AX585" s="69" t="s">
        <v>2211</v>
      </c>
    </row>
    <row r="586" spans="1:51" s="69" customFormat="1" ht="42">
      <c r="A586" s="69">
        <v>710007</v>
      </c>
      <c r="C586" s="69">
        <v>1</v>
      </c>
      <c r="D586" s="69" t="s">
        <v>2212</v>
      </c>
      <c r="E586" s="69" t="s">
        <v>412</v>
      </c>
      <c r="F586" s="20" t="str">
        <f>VLOOKUP(G586,'#TID_base_up'!B:C,2,0)</f>
        <v>安德莉娅</v>
      </c>
      <c r="G586" s="69" t="s">
        <v>467</v>
      </c>
      <c r="H586" s="69" t="s">
        <v>112</v>
      </c>
      <c r="I586" s="69" t="s">
        <v>113</v>
      </c>
      <c r="J586" s="69" t="s">
        <v>2213</v>
      </c>
      <c r="K586" s="84" t="str">
        <f t="shared" si="55"/>
        <v>兴兵打仗不是一个人两个人的事，是千千万万人的事，人越多，自身的实力也就越强。大人出征时切记仔细核验，&lt;color=#FFCC71&gt;兵员满编&lt;/color&gt;后行军胜算才会更高。</v>
      </c>
      <c r="T586" s="69">
        <v>1</v>
      </c>
      <c r="U586" s="69">
        <v>1</v>
      </c>
      <c r="V586" s="69">
        <v>0</v>
      </c>
      <c r="X586" s="69">
        <v>0</v>
      </c>
      <c r="Y586" s="69" t="b">
        <v>0</v>
      </c>
      <c r="Z586" s="69" t="s">
        <v>2214</v>
      </c>
      <c r="AA586" s="69" t="b">
        <v>1</v>
      </c>
      <c r="AC586" s="69">
        <v>20001143</v>
      </c>
      <c r="AE586" s="69">
        <v>20</v>
      </c>
      <c r="AH586" s="69">
        <v>0.1</v>
      </c>
      <c r="AL586" s="69">
        <v>10</v>
      </c>
      <c r="AM586" s="69">
        <v>20001002</v>
      </c>
      <c r="AN586" s="69" t="s">
        <v>693</v>
      </c>
      <c r="AT586" s="69" t="str">
        <f t="shared" si="56"/>
        <v>兴兵打仗不是一个人两个人的事，是千千万万人的事，人越多，自身的实力也就越强。大人出征时切记仔细核验，&lt;color=#FFCC71&gt;兵员满编&lt;/color&gt;后行军胜算才会更高。</v>
      </c>
      <c r="AU586" s="122" t="s">
        <v>2215</v>
      </c>
      <c r="AW586" s="69" t="s">
        <v>2216</v>
      </c>
    </row>
    <row r="587" spans="1:51" s="69" customFormat="1" ht="56">
      <c r="A587" s="69">
        <v>710008</v>
      </c>
      <c r="C587" s="69">
        <v>1</v>
      </c>
      <c r="D587" s="69" t="s">
        <v>2217</v>
      </c>
      <c r="E587" s="69" t="s">
        <v>412</v>
      </c>
      <c r="F587" s="20" t="str">
        <f>VLOOKUP(G587,'#TID_base_up'!B:C,2,0)</f>
        <v>安德莉娅</v>
      </c>
      <c r="G587" s="69" t="s">
        <v>467</v>
      </c>
      <c r="H587" s="69" t="s">
        <v>112</v>
      </c>
      <c r="I587" s="69" t="s">
        <v>113</v>
      </c>
      <c r="J587" s="69" t="s">
        <v>2218</v>
      </c>
      <c r="K587" s="84" t="str">
        <f t="shared" si="55"/>
        <v>兵法有说过，兵贵精而不贵多。如今我看大人的&lt;color=#FFCC71&gt;食物也较为紧缺&lt;/color&gt;，为了避免被拖垮，我们还是优先&lt;color=#FFCC71&gt;集中发展两支&lt;/color&gt;队伍，这样才是上策。</v>
      </c>
      <c r="T587" s="69">
        <v>1</v>
      </c>
      <c r="U587" s="69">
        <v>1</v>
      </c>
      <c r="V587" s="69">
        <v>0</v>
      </c>
      <c r="X587" s="69">
        <v>0</v>
      </c>
      <c r="Y587" s="69" t="b">
        <v>0</v>
      </c>
      <c r="Z587" s="69" t="s">
        <v>2219</v>
      </c>
      <c r="AA587" s="69" t="b">
        <v>1</v>
      </c>
      <c r="AC587" s="69">
        <v>20001144</v>
      </c>
      <c r="AE587" s="69">
        <v>20</v>
      </c>
      <c r="AH587" s="69">
        <v>0.1</v>
      </c>
      <c r="AL587" s="69">
        <v>10</v>
      </c>
      <c r="AM587" s="69">
        <v>20001002</v>
      </c>
      <c r="AN587" s="69" t="s">
        <v>625</v>
      </c>
      <c r="AT587" s="69" t="str">
        <f t="shared" si="56"/>
        <v>兵法有说过，兵贵精而不贵多。如今我看大人的&lt;color=#FFCC71&gt;食物也较为紧缺&lt;/color&gt;，为了避免被拖垮，我们还是优先&lt;color=#FFCC71&gt;集中发展两支&lt;/color&gt;队伍，这样才是上策。</v>
      </c>
      <c r="AU587" s="122" t="s">
        <v>2220</v>
      </c>
      <c r="AW587" s="69" t="s">
        <v>2221</v>
      </c>
      <c r="AX587" s="69" t="s">
        <v>2222</v>
      </c>
    </row>
    <row r="588" spans="1:51" s="69" customFormat="1" ht="56">
      <c r="A588" s="69">
        <v>710009</v>
      </c>
      <c r="C588" s="69">
        <v>1</v>
      </c>
      <c r="D588" s="69" t="s">
        <v>2223</v>
      </c>
      <c r="E588" s="69" t="s">
        <v>412</v>
      </c>
      <c r="F588" s="20" t="str">
        <f>VLOOKUP(G588,'#TID_base_up'!B:C,2,0)</f>
        <v>安德莉娅</v>
      </c>
      <c r="G588" s="69" t="s">
        <v>467</v>
      </c>
      <c r="H588" s="69" t="s">
        <v>112</v>
      </c>
      <c r="I588" s="69" t="s">
        <v>113</v>
      </c>
      <c r="J588" s="69" t="s">
        <v>2224</v>
      </c>
      <c r="K588" s="84" t="str">
        <f t="shared" si="55"/>
        <v>目前帝国的局势愈发动荡，大人手下也可以招募更多的兵员……但这一切都需要依靠&lt;color=#FFCC71&gt;充足的粮食&lt;/color&gt;，还请大人多关注并占领一些&lt;color=#FFCC71&gt;食物资源点&lt;/color&gt;，努力壮大我们的队伍，这样才能在乱世中博得一席之地。</v>
      </c>
      <c r="T588" s="69">
        <v>1</v>
      </c>
      <c r="U588" s="69">
        <v>1</v>
      </c>
      <c r="V588" s="69">
        <v>0</v>
      </c>
      <c r="X588" s="69">
        <v>0</v>
      </c>
      <c r="Y588" s="69" t="b">
        <v>0</v>
      </c>
      <c r="Z588" s="69" t="s">
        <v>2225</v>
      </c>
      <c r="AA588" s="69" t="b">
        <v>1</v>
      </c>
      <c r="AC588" s="69">
        <v>20001145</v>
      </c>
      <c r="AE588" s="69">
        <v>20</v>
      </c>
      <c r="AH588" s="69">
        <v>0.1</v>
      </c>
      <c r="AL588" s="69">
        <v>10</v>
      </c>
      <c r="AM588" s="69">
        <v>20001002</v>
      </c>
      <c r="AN588" s="69" t="s">
        <v>550</v>
      </c>
      <c r="AT588" s="69" t="str">
        <f t="shared" si="56"/>
        <v>目前帝国的局势愈发动荡，大人手下也可以招募更多的兵员……但这一切都需要依靠&lt;color=#FFCC71&gt;充足的粮食&lt;/color&gt;，还请大人多关注并占领一些&lt;color=#FFCC71&gt;食物资源点&lt;/color&gt;，努力壮大我们的队伍，这样才能在乱世中博得一席之地。</v>
      </c>
      <c r="AU588" s="122" t="s">
        <v>2226</v>
      </c>
      <c r="AW588" s="69" t="s">
        <v>2227</v>
      </c>
      <c r="AX588" s="69" t="s">
        <v>2228</v>
      </c>
    </row>
    <row r="589" spans="1:51" s="69" customFormat="1" ht="56">
      <c r="A589" s="69">
        <v>710010</v>
      </c>
      <c r="C589" s="69">
        <v>1</v>
      </c>
      <c r="D589" s="69" t="s">
        <v>2229</v>
      </c>
      <c r="E589" s="69" t="s">
        <v>412</v>
      </c>
      <c r="F589" s="20" t="str">
        <f>VLOOKUP(G589,'#TID_base_up'!B:C,2,0)</f>
        <v>安德莉娅</v>
      </c>
      <c r="G589" s="69" t="s">
        <v>467</v>
      </c>
      <c r="H589" s="69" t="s">
        <v>112</v>
      </c>
      <c r="I589" s="69" t="s">
        <v>113</v>
      </c>
      <c r="J589" s="69" t="s">
        <v>2230</v>
      </c>
      <c r="K589" s="84" t="str">
        <f t="shared" si="55"/>
        <v>大人找不到新的合适资源点了吗？我听说东洲有句古话叫作登高而望远，&lt;color=#FFCC71&gt;拉高视野&lt;/color&gt;可以在地图上找到更多的选择。&lt;color=#FFCC71&gt;资源点的等级和城市的等级成正比&lt;/color&gt;，大人不妨迁城至高级城附近再试试搜索。</v>
      </c>
      <c r="T589" s="69">
        <v>1</v>
      </c>
      <c r="U589" s="69">
        <v>1</v>
      </c>
      <c r="V589" s="69">
        <v>0</v>
      </c>
      <c r="X589" s="69">
        <v>0</v>
      </c>
      <c r="Y589" s="69" t="b">
        <v>0</v>
      </c>
      <c r="Z589" s="69" t="s">
        <v>2231</v>
      </c>
      <c r="AA589" s="69" t="b">
        <v>1</v>
      </c>
      <c r="AC589" s="69">
        <v>20001146</v>
      </c>
      <c r="AE589" s="69">
        <v>20</v>
      </c>
      <c r="AH589" s="69">
        <v>0.1</v>
      </c>
      <c r="AL589" s="69">
        <v>10</v>
      </c>
      <c r="AM589" s="69">
        <v>20001002</v>
      </c>
      <c r="AN589" s="69" t="s">
        <v>550</v>
      </c>
      <c r="AT589" s="69" t="str">
        <f t="shared" si="56"/>
        <v>大人找不到新的合适资源点了吗？我听说东洲有句古话叫作登高而望远，&lt;color=#FFCC71&gt;拉高视野&lt;/color&gt;可以在地图上找到更多的选择。&lt;color=#FFCC71&gt;资源点的等级和城市的等级成正比&lt;/color&gt;，大人不妨迁城至高级城附近再试试搜索。</v>
      </c>
      <c r="AU589" s="122" t="s">
        <v>2232</v>
      </c>
      <c r="AW589" s="69" t="s">
        <v>2233</v>
      </c>
      <c r="AX589" s="69" t="s">
        <v>2234</v>
      </c>
    </row>
    <row r="590" spans="1:51" s="69" customFormat="1" ht="70">
      <c r="A590" s="69">
        <v>710011</v>
      </c>
      <c r="C590" s="69">
        <v>1</v>
      </c>
      <c r="D590" s="69" t="s">
        <v>2235</v>
      </c>
      <c r="E590" s="69" t="s">
        <v>412</v>
      </c>
      <c r="F590" s="20" t="str">
        <f>VLOOKUP(G590,'#TID_base_up'!B:C,2,0)</f>
        <v>安德莉娅</v>
      </c>
      <c r="G590" s="69" t="s">
        <v>467</v>
      </c>
      <c r="H590" s="69" t="s">
        <v>112</v>
      </c>
      <c r="I590" s="69" t="s">
        <v>113</v>
      </c>
      <c r="J590" s="69" t="s">
        <v>2236</v>
      </c>
      <c r="K590" s="84" t="str">
        <f t="shared" si="55"/>
        <v>我记得兵法里说，靡费巨资强启收益不多的战斗，即使胜利了也算作失败。多队同时进攻一支蛮族就是如此，这样会导致&lt;color=#FFCC71&gt;经验被分薄&lt;/color&gt;，每份体力获得的收益会大大减少，不如只用一队去打&lt;color=#FFCC71&gt;等级较低&lt;/color&gt;的蛮族哦。</v>
      </c>
      <c r="T590" s="69">
        <v>1</v>
      </c>
      <c r="U590" s="69">
        <v>1</v>
      </c>
      <c r="V590" s="69">
        <v>0</v>
      </c>
      <c r="X590" s="69">
        <v>0</v>
      </c>
      <c r="Y590" s="69" t="b">
        <v>0</v>
      </c>
      <c r="Z590" s="69" t="s">
        <v>2237</v>
      </c>
      <c r="AA590" s="69" t="b">
        <v>1</v>
      </c>
      <c r="AC590" s="69">
        <v>20001147</v>
      </c>
      <c r="AE590" s="69">
        <v>20</v>
      </c>
      <c r="AH590" s="69">
        <v>0.1</v>
      </c>
      <c r="AL590" s="69">
        <v>10</v>
      </c>
      <c r="AM590" s="69">
        <v>20001002</v>
      </c>
      <c r="AN590" s="69" t="s">
        <v>687</v>
      </c>
      <c r="AT590" s="69" t="str">
        <f t="shared" si="56"/>
        <v>我记得兵法里说，靡费巨资强启收益不多的战斗，即使胜利了也算作失败。多队同时进攻一支蛮族就是如此，这样会导致&lt;color=#FFCC71&gt;经验被分薄&lt;/color&gt;，每份体力获得的收益会大大减少，不如只用一队去打&lt;color=#FFCC71&gt;等级较低&lt;/color&gt;的蛮族哦。</v>
      </c>
      <c r="AU590" s="122" t="s">
        <v>2238</v>
      </c>
      <c r="AW590" s="69" t="s">
        <v>2239</v>
      </c>
      <c r="AX590" s="69" t="s">
        <v>2240</v>
      </c>
    </row>
    <row r="591" spans="1:51" s="69" customFormat="1" ht="56">
      <c r="A591" s="69">
        <v>710012</v>
      </c>
      <c r="C591" s="69">
        <v>1</v>
      </c>
      <c r="D591" s="69" t="s">
        <v>2241</v>
      </c>
      <c r="E591" s="69" t="s">
        <v>412</v>
      </c>
      <c r="F591" s="20" t="str">
        <f>VLOOKUP(G591,'#TID_base_up'!B:C,2,0)</f>
        <v>安德莉娅</v>
      </c>
      <c r="G591" s="69" t="s">
        <v>467</v>
      </c>
      <c r="H591" s="69" t="s">
        <v>112</v>
      </c>
      <c r="I591" s="69" t="s">
        <v>113</v>
      </c>
      <c r="J591" s="69" t="s">
        <v>2242</v>
      </c>
      <c r="K591" s="84" t="str">
        <f t="shared" si="55"/>
        <v>我刚刚清点了一下库存，看到有许多&lt;color=#FFCC71&gt;闲置的&lt;/color&gt;技能点，您是留着另有用处，还是说……单纯是忘了？&lt;color=#FFCC71&gt;高等级&lt;/color&gt;的英雄技能可以带来极大的战力提升，大人千万记得要&lt;color=#FFCC71&gt;及时升级&lt;/color&gt;。</v>
      </c>
      <c r="T591" s="69">
        <v>1</v>
      </c>
      <c r="U591" s="69">
        <v>1</v>
      </c>
      <c r="V591" s="69">
        <v>0</v>
      </c>
      <c r="X591" s="69">
        <v>0</v>
      </c>
      <c r="Y591" s="69" t="b">
        <v>0</v>
      </c>
      <c r="Z591" s="69" t="s">
        <v>2243</v>
      </c>
      <c r="AA591" s="69" t="b">
        <v>1</v>
      </c>
      <c r="AC591" s="69">
        <v>20001148</v>
      </c>
      <c r="AE591" s="69">
        <v>20</v>
      </c>
      <c r="AH591" s="69">
        <v>0.1</v>
      </c>
      <c r="AL591" s="69">
        <v>10</v>
      </c>
      <c r="AM591" s="69">
        <v>20001002</v>
      </c>
      <c r="AN591" s="69" t="s">
        <v>693</v>
      </c>
      <c r="AT591" s="69" t="str">
        <f t="shared" si="56"/>
        <v>我刚刚清点了一下库存，看到有许多&lt;color=#FFCC71&gt;闲置的&lt;/color&gt;技能点，您是留着另有用处，还是说……单纯是忘了？&lt;color=#FFCC71&gt;高等级&lt;/color&gt;的英雄技能可以带来极大的战力提升，大人千万记得要&lt;color=#FFCC71&gt;及时升级&lt;/color&gt;。</v>
      </c>
      <c r="AU591" s="122" t="s">
        <v>2244</v>
      </c>
      <c r="AW591" s="69" t="s">
        <v>2245</v>
      </c>
      <c r="AX591" s="69" t="s">
        <v>2246</v>
      </c>
      <c r="AY591" s="69" t="s">
        <v>2247</v>
      </c>
    </row>
    <row r="592" spans="1:51" s="69" customFormat="1" ht="70">
      <c r="A592" s="69">
        <v>710013</v>
      </c>
      <c r="C592" s="69">
        <v>1</v>
      </c>
      <c r="D592" s="69" t="s">
        <v>2248</v>
      </c>
      <c r="E592" s="69" t="s">
        <v>412</v>
      </c>
      <c r="F592" s="20" t="str">
        <f>VLOOKUP(G592,'#TID_base_up'!B:C,2,0)</f>
        <v>安德莉娅</v>
      </c>
      <c r="G592" s="69" t="s">
        <v>467</v>
      </c>
      <c r="H592" s="69" t="s">
        <v>112</v>
      </c>
      <c r="I592" s="69" t="s">
        <v>113</v>
      </c>
      <c r="J592" s="69" t="s">
        <v>2249</v>
      </c>
      <c r="K592" s="84" t="str">
        <f t="shared" si="55"/>
        <v>领地钱库里的铜币已经&lt;color=#FFCC71&gt;堆积成山&lt;/color&gt;了……大人，虽然储蓄是个好习惯，但铜币只有被使用才会有价值哦。若是用它来进行&lt;color=#FFCC71&gt;精锐招募&lt;/color&gt;，可以获得更多的&lt;color=#FFCC71&gt;技能点&lt;/color&gt;，想必大人的实力也能得到极大提升吧？</v>
      </c>
      <c r="T592" s="69">
        <v>1</v>
      </c>
      <c r="U592" s="69">
        <v>1</v>
      </c>
      <c r="V592" s="69">
        <v>0</v>
      </c>
      <c r="X592" s="69">
        <v>0</v>
      </c>
      <c r="Y592" s="69" t="b">
        <v>0</v>
      </c>
      <c r="Z592" s="69" t="s">
        <v>2250</v>
      </c>
      <c r="AA592" s="69" t="b">
        <v>1</v>
      </c>
      <c r="AC592" s="69">
        <v>20001149</v>
      </c>
      <c r="AE592" s="69">
        <v>20</v>
      </c>
      <c r="AH592" s="69">
        <v>0.1</v>
      </c>
      <c r="AL592" s="69">
        <v>10</v>
      </c>
      <c r="AM592" s="69">
        <v>20001002</v>
      </c>
      <c r="AN592" s="69" t="s">
        <v>625</v>
      </c>
      <c r="AT592" s="69" t="str">
        <f t="shared" si="56"/>
        <v>领地钱库里的铜币已经&lt;color=#FFCC71&gt;堆积成山&lt;/color&gt;了……大人，虽然储蓄是个好习惯，但铜币只有被使用才会有价值哦。若是用它来进行&lt;color=#FFCC71&gt;精锐招募&lt;/color&gt;，可以获得更多的&lt;color=#FFCC71&gt;技能点&lt;/color&gt;，想必大人的实力也能得到极大提升吧？</v>
      </c>
      <c r="AU592" s="122" t="s">
        <v>2251</v>
      </c>
      <c r="AW592" s="69" t="s">
        <v>2252</v>
      </c>
      <c r="AX592" s="69" t="s">
        <v>2253</v>
      </c>
      <c r="AY592" s="69" t="s">
        <v>2254</v>
      </c>
    </row>
    <row r="593" spans="1:51" s="70" customFormat="1" ht="42">
      <c r="A593" s="70">
        <v>710101</v>
      </c>
      <c r="B593" s="70" t="s">
        <v>374</v>
      </c>
      <c r="C593" s="70">
        <v>1</v>
      </c>
      <c r="D593" s="70" t="s">
        <v>2172</v>
      </c>
      <c r="E593" s="70" t="s">
        <v>559</v>
      </c>
      <c r="F593" s="20" t="str">
        <f>VLOOKUP(G593,'#TID_base_up'!B:C,2,0)</f>
        <v>安德莉娅</v>
      </c>
      <c r="G593" s="70" t="s">
        <v>467</v>
      </c>
      <c r="H593" s="70" t="s">
        <v>112</v>
      </c>
      <c r="I593" s="70" t="s">
        <v>113</v>
      </c>
      <c r="J593" s="70" t="s">
        <v>2173</v>
      </c>
      <c r="K593" s="84" t="str">
        <f t="shared" si="55"/>
        <v>不行哦大人，英雄的&lt;color=#FFCC71&gt;战斗风格&lt;/color&gt;和&lt;color=#FFCC71&gt;兵种特性&lt;/color&gt;没有完全统一，就这样出征对阵强敌的话……是没有办法发挥出最大实力的。</v>
      </c>
      <c r="U593" s="70">
        <v>1</v>
      </c>
      <c r="V593" s="70">
        <v>0</v>
      </c>
      <c r="X593" s="70">
        <v>0</v>
      </c>
      <c r="Y593" s="70" t="b">
        <v>0</v>
      </c>
      <c r="Z593" s="70" t="s">
        <v>2255</v>
      </c>
      <c r="AA593" s="70" t="b">
        <v>1</v>
      </c>
      <c r="AC593" s="70">
        <v>20001089</v>
      </c>
      <c r="AD593" s="70">
        <v>8.2106666564941406</v>
      </c>
      <c r="AE593" s="48">
        <f t="shared" ref="AE593:AE605" si="57">AD593+1</f>
        <v>9.2106666564941406</v>
      </c>
      <c r="AF593" s="48"/>
      <c r="AG593" s="48"/>
      <c r="AH593" s="70">
        <v>0.1</v>
      </c>
      <c r="AL593" s="70">
        <v>25</v>
      </c>
      <c r="AM593" s="70">
        <v>20001002</v>
      </c>
      <c r="AN593" s="70" t="s">
        <v>687</v>
      </c>
      <c r="AT593" s="70" t="str">
        <f t="shared" si="56"/>
        <v>不行哦大人，英雄的&lt;color=#FFCC71&gt;战斗风格&lt;/color&gt;和&lt;color=#FFCC71&gt;兵种特性&lt;/color&gt;没有完全统一，就这样出征对阵强敌的话……是没有办法发挥出最大实力的。</v>
      </c>
      <c r="AU593" s="70" t="s">
        <v>2175</v>
      </c>
      <c r="AW593" s="70" t="s">
        <v>2176</v>
      </c>
      <c r="AX593" s="70" t="s">
        <v>2177</v>
      </c>
    </row>
    <row r="594" spans="1:51" s="70" customFormat="1" ht="56">
      <c r="A594" s="70">
        <v>710102</v>
      </c>
      <c r="B594" s="70" t="s">
        <v>374</v>
      </c>
      <c r="C594" s="70">
        <v>1</v>
      </c>
      <c r="D594" s="70" t="s">
        <v>2178</v>
      </c>
      <c r="E594" s="70" t="s">
        <v>559</v>
      </c>
      <c r="F594" s="20" t="str">
        <f>VLOOKUP(G594,'#TID_base_up'!B:C,2,0)</f>
        <v>安德莉娅</v>
      </c>
      <c r="G594" s="70" t="s">
        <v>467</v>
      </c>
      <c r="H594" s="70" t="s">
        <v>112</v>
      </c>
      <c r="I594" s="70" t="s">
        <v>113</v>
      </c>
      <c r="J594" s="70" t="s">
        <v>2256</v>
      </c>
      <c r="K594" s="84" t="str">
        <f t="shared" si="55"/>
        <v>大人，对英雄而言，除了&lt;color=#FFCC71&gt;自身等级&lt;/color&gt;，&lt;color=#FFCC71&gt;技能等级&lt;/color&gt;、&lt;color=#FFCC71&gt;天赋和基础属性&lt;/color&gt;同样也会极大影响他们的实力。进行有难度的挑战前，请您一定让英雄达到目前最好的状态。</v>
      </c>
      <c r="U594" s="70">
        <v>1</v>
      </c>
      <c r="V594" s="70">
        <v>0</v>
      </c>
      <c r="X594" s="70">
        <v>0</v>
      </c>
      <c r="Y594" s="70" t="b">
        <v>0</v>
      </c>
      <c r="Z594" s="70" t="s">
        <v>2257</v>
      </c>
      <c r="AA594" s="70" t="b">
        <v>1</v>
      </c>
      <c r="AC594" s="70">
        <v>20001090</v>
      </c>
      <c r="AD594" s="70">
        <v>12.439999580383301</v>
      </c>
      <c r="AE594" s="48">
        <f t="shared" si="57"/>
        <v>13.439999580383301</v>
      </c>
      <c r="AF594" s="48"/>
      <c r="AG594" s="48"/>
      <c r="AH594" s="70">
        <v>0.1</v>
      </c>
      <c r="AL594" s="70">
        <v>25</v>
      </c>
      <c r="AM594" s="70">
        <v>20001002</v>
      </c>
      <c r="AN594" s="70" t="s">
        <v>693</v>
      </c>
      <c r="AT594" s="70" t="str">
        <f t="shared" si="56"/>
        <v>大人，对英雄而言，除了&lt;color=#FFCC71&gt;自身等级&lt;/color&gt;，&lt;color=#FFCC71&gt;技能等级&lt;/color&gt;、&lt;color=#FFCC71&gt;天赋和基础属性&lt;/color&gt;同样也会极大影响他们的实力。进行有难度的挑战前，请您一定让英雄达到目前最好的状态。</v>
      </c>
      <c r="AU594" s="70" t="s">
        <v>2258</v>
      </c>
      <c r="AV594" s="70" t="s">
        <v>2182</v>
      </c>
      <c r="AW594" s="70" t="s">
        <v>2259</v>
      </c>
      <c r="AX594" s="70" t="s">
        <v>2184</v>
      </c>
      <c r="AY594" s="70" t="s">
        <v>2185</v>
      </c>
    </row>
    <row r="595" spans="1:51" s="70" customFormat="1" ht="42">
      <c r="A595" s="70">
        <v>710103</v>
      </c>
      <c r="B595" s="70" t="s">
        <v>374</v>
      </c>
      <c r="C595" s="70">
        <v>1</v>
      </c>
      <c r="D595" s="70" t="s">
        <v>2186</v>
      </c>
      <c r="E595" s="70" t="s">
        <v>559</v>
      </c>
      <c r="F595" s="20" t="str">
        <f>VLOOKUP(G595,'#TID_base_up'!B:C,2,0)</f>
        <v>安德莉娅</v>
      </c>
      <c r="G595" s="70" t="s">
        <v>467</v>
      </c>
      <c r="H595" s="70" t="s">
        <v>112</v>
      </c>
      <c r="I595" s="70" t="s">
        <v>113</v>
      </c>
      <c r="J595" s="70" t="s">
        <v>2260</v>
      </c>
      <c r="K595" s="84" t="str">
        <f t="shared" si="55"/>
        <v>又一位新英雄加入，恭喜大人……不如让&lt;color=#FFCC71&gt;高等级英雄带领新英雄&lt;/color&gt;攻打高级蛮族试试，这样可以让新英雄成长得更快呢。</v>
      </c>
      <c r="U595" s="70">
        <v>1</v>
      </c>
      <c r="V595" s="70">
        <v>0</v>
      </c>
      <c r="X595" s="70">
        <v>0</v>
      </c>
      <c r="Y595" s="70" t="b">
        <v>0</v>
      </c>
      <c r="Z595" s="70" t="s">
        <v>2261</v>
      </c>
      <c r="AA595" s="70" t="b">
        <v>1</v>
      </c>
      <c r="AC595" s="70">
        <v>20001091</v>
      </c>
      <c r="AD595" s="70">
        <v>10.6280002593994</v>
      </c>
      <c r="AE595" s="48">
        <f t="shared" si="57"/>
        <v>11.6280002593994</v>
      </c>
      <c r="AF595" s="48"/>
      <c r="AG595" s="48"/>
      <c r="AH595" s="70">
        <v>0.1</v>
      </c>
      <c r="AL595" s="70">
        <v>25</v>
      </c>
      <c r="AM595" s="70">
        <v>20001002</v>
      </c>
      <c r="AN595" s="70" t="s">
        <v>625</v>
      </c>
      <c r="AT595" s="70" t="str">
        <f t="shared" si="56"/>
        <v>又一位新英雄加入，恭喜大人……不如让&lt;color=#FFCC71&gt;高等级英雄带领新英雄&lt;/color&gt;攻打高级蛮族试试，这样可以让新英雄成长得更快呢。</v>
      </c>
      <c r="AU595" s="70" t="s">
        <v>2262</v>
      </c>
      <c r="AW595" s="70" t="s">
        <v>2191</v>
      </c>
    </row>
    <row r="596" spans="1:51" s="70" customFormat="1" ht="42">
      <c r="A596" s="70">
        <v>710104</v>
      </c>
      <c r="B596" s="70" t="s">
        <v>374</v>
      </c>
      <c r="C596" s="70">
        <v>1</v>
      </c>
      <c r="D596" s="70" t="s">
        <v>2192</v>
      </c>
      <c r="E596" s="70" t="s">
        <v>559</v>
      </c>
      <c r="F596" s="20" t="str">
        <f>VLOOKUP(G596,'#TID_base_up'!B:C,2,0)</f>
        <v>安德莉娅</v>
      </c>
      <c r="G596" s="70" t="s">
        <v>467</v>
      </c>
      <c r="H596" s="70" t="s">
        <v>112</v>
      </c>
      <c r="I596" s="70" t="s">
        <v>113</v>
      </c>
      <c r="J596" s="70" t="s">
        <v>2263</v>
      </c>
      <c r="K596" s="84" t="str">
        <f t="shared" si="55"/>
        <v>大人，在我们当前的阶段，木材更是不可或缺……去&lt;color=#FFCC71&gt;占领更多木材资源点&lt;/color&gt;吧，这样我们的发展才会更快。</v>
      </c>
      <c r="U596" s="70">
        <v>1</v>
      </c>
      <c r="V596" s="70">
        <v>0</v>
      </c>
      <c r="X596" s="70">
        <v>0</v>
      </c>
      <c r="Y596" s="70" t="b">
        <v>0</v>
      </c>
      <c r="Z596" s="70" t="s">
        <v>2264</v>
      </c>
      <c r="AA596" s="70" t="b">
        <v>1</v>
      </c>
      <c r="AC596" s="70">
        <v>20001092</v>
      </c>
      <c r="AD596" s="70">
        <v>7.5213332176208496</v>
      </c>
      <c r="AE596" s="48">
        <f t="shared" si="57"/>
        <v>8.5213332176208496</v>
      </c>
      <c r="AF596" s="48"/>
      <c r="AG596" s="48"/>
      <c r="AH596" s="70">
        <v>0.1</v>
      </c>
      <c r="AL596" s="70">
        <v>25</v>
      </c>
      <c r="AM596" s="70">
        <v>20001002</v>
      </c>
      <c r="AN596" s="70" t="s">
        <v>550</v>
      </c>
      <c r="AT596" s="70" t="str">
        <f t="shared" si="56"/>
        <v>大人，在我们当前的阶段，木材更是不可或缺……去&lt;color=#FFCC71&gt;占领更多木材资源点&lt;/color&gt;吧，这样我们的发展才会更快。</v>
      </c>
      <c r="AU596" s="70" t="s">
        <v>2265</v>
      </c>
      <c r="AW596" s="70" t="s">
        <v>2266</v>
      </c>
    </row>
    <row r="597" spans="1:51" s="70" customFormat="1" ht="42">
      <c r="A597" s="70">
        <v>710105</v>
      </c>
      <c r="B597" s="70" t="s">
        <v>374</v>
      </c>
      <c r="C597" s="70">
        <v>1</v>
      </c>
      <c r="D597" s="70" t="s">
        <v>2199</v>
      </c>
      <c r="E597" s="70" t="s">
        <v>559</v>
      </c>
      <c r="F597" s="20" t="str">
        <f>VLOOKUP(G597,'#TID_base_up'!B:C,2,0)</f>
        <v>安德莉娅</v>
      </c>
      <c r="G597" s="70" t="s">
        <v>467</v>
      </c>
      <c r="H597" s="70" t="s">
        <v>112</v>
      </c>
      <c r="I597" s="70" t="s">
        <v>113</v>
      </c>
      <c r="J597" s="70" t="s">
        <v>2267</v>
      </c>
      <c r="K597" s="84" t="str">
        <f t="shared" si="55"/>
        <v>大人，在这一阶段，石头会更加重要哦，关注并&lt;color=#FFCC71&gt;占领更多石头资源点&lt;/color&gt;吧，把发展效率提升起来。</v>
      </c>
      <c r="U597" s="70">
        <v>1</v>
      </c>
      <c r="V597" s="70">
        <v>0</v>
      </c>
      <c r="X597" s="70">
        <v>0</v>
      </c>
      <c r="Y597" s="70" t="b">
        <v>0</v>
      </c>
      <c r="Z597" s="70" t="s">
        <v>2268</v>
      </c>
      <c r="AA597" s="70" t="b">
        <v>1</v>
      </c>
      <c r="AC597" s="70">
        <v>20001093</v>
      </c>
      <c r="AD597" s="70">
        <v>7.1493330001831099</v>
      </c>
      <c r="AE597" s="48">
        <f t="shared" si="57"/>
        <v>8.149333000183109</v>
      </c>
      <c r="AF597" s="48"/>
      <c r="AG597" s="48"/>
      <c r="AH597" s="70">
        <v>0.1</v>
      </c>
      <c r="AL597" s="70">
        <v>25</v>
      </c>
      <c r="AM597" s="70">
        <v>20001002</v>
      </c>
      <c r="AN597" s="70" t="s">
        <v>550</v>
      </c>
      <c r="AT597" s="70" t="str">
        <f t="shared" si="56"/>
        <v>大人，在这一阶段，石头会更加重要哦，关注并&lt;color=#FFCC71&gt;占领更多石头资源点&lt;/color&gt;吧，把发展效率提升起来。</v>
      </c>
      <c r="AU597" s="70" t="s">
        <v>2269</v>
      </c>
      <c r="AW597" s="70" t="s">
        <v>2270</v>
      </c>
    </row>
    <row r="598" spans="1:51" s="70" customFormat="1" ht="42">
      <c r="A598" s="70">
        <v>710106</v>
      </c>
      <c r="C598" s="70">
        <v>1</v>
      </c>
      <c r="D598" s="70" t="s">
        <v>2206</v>
      </c>
      <c r="E598" s="70" t="s">
        <v>559</v>
      </c>
      <c r="F598" s="20" t="str">
        <f>VLOOKUP(G598,'#TID_base_up'!B:C,2,0)</f>
        <v>安德莉娅</v>
      </c>
      <c r="G598" s="70" t="s">
        <v>467</v>
      </c>
      <c r="H598" s="70" t="s">
        <v>112</v>
      </c>
      <c r="I598" s="70" t="s">
        <v>113</v>
      </c>
      <c r="J598" s="70" t="s">
        <v>2271</v>
      </c>
      <c r="K598" s="84" t="str">
        <f t="shared" si="55"/>
        <v>士兵的训练不仅包括数量，还包括等级，&lt;color=#FFCC71&gt;高级兵种&lt;/color&gt;组成的军队会更加强大，大人千万别忘了&lt;color=#FFCC71&gt;及时升级兵营&lt;/color&gt;。</v>
      </c>
      <c r="U598" s="70">
        <v>1</v>
      </c>
      <c r="V598" s="70">
        <v>0</v>
      </c>
      <c r="X598" s="70">
        <v>0</v>
      </c>
      <c r="Y598" s="70" t="b">
        <v>0</v>
      </c>
      <c r="Z598" s="70" t="s">
        <v>2272</v>
      </c>
      <c r="AA598" s="70" t="b">
        <v>1</v>
      </c>
      <c r="AC598" s="70">
        <v>20001094</v>
      </c>
      <c r="AD598" s="70">
        <v>9.5360002517700195</v>
      </c>
      <c r="AE598" s="48">
        <f t="shared" si="57"/>
        <v>10.53600025177002</v>
      </c>
      <c r="AF598" s="48"/>
      <c r="AG598" s="48"/>
      <c r="AH598" s="70">
        <v>0.1</v>
      </c>
      <c r="AL598" s="70">
        <v>25</v>
      </c>
      <c r="AM598" s="70">
        <v>20001002</v>
      </c>
      <c r="AN598" s="70" t="s">
        <v>687</v>
      </c>
      <c r="AT598" s="70" t="str">
        <f t="shared" si="56"/>
        <v>士兵的训练不仅包括数量，还包括等级，&lt;color=#FFCC71&gt;高级兵种&lt;/color&gt;组成的军队会更加强大，大人千万别忘了&lt;color=#FFCC71&gt;及时升级兵营&lt;/color&gt;。</v>
      </c>
      <c r="AU598" s="123" t="s">
        <v>2273</v>
      </c>
      <c r="AW598" s="70" t="s">
        <v>962</v>
      </c>
      <c r="AX598" s="70" t="s">
        <v>2274</v>
      </c>
    </row>
    <row r="599" spans="1:51" s="70" customFormat="1" ht="28">
      <c r="A599" s="70">
        <v>710107</v>
      </c>
      <c r="C599" s="70">
        <v>1</v>
      </c>
      <c r="D599" s="70" t="s">
        <v>2212</v>
      </c>
      <c r="E599" s="70" t="s">
        <v>559</v>
      </c>
      <c r="F599" s="20" t="str">
        <f>VLOOKUP(G599,'#TID_base_up'!B:C,2,0)</f>
        <v>安德莉娅</v>
      </c>
      <c r="G599" s="70" t="s">
        <v>467</v>
      </c>
      <c r="H599" s="70" t="s">
        <v>112</v>
      </c>
      <c r="I599" s="70" t="s">
        <v>113</v>
      </c>
      <c r="J599" s="70" t="s">
        <v>2275</v>
      </c>
      <c r="K599" s="84" t="str">
        <f t="shared" si="55"/>
        <v>人越多，自身的实力也就越强，大人出征时切记仔细核验，&lt;color=#FFCC71&gt;满编后出征&lt;/color&gt;胜算才会更高。</v>
      </c>
      <c r="U599" s="70">
        <v>1</v>
      </c>
      <c r="V599" s="70">
        <v>0</v>
      </c>
      <c r="X599" s="70">
        <v>0</v>
      </c>
      <c r="Y599" s="70" t="b">
        <v>0</v>
      </c>
      <c r="Z599" s="70" t="s">
        <v>2276</v>
      </c>
      <c r="AA599" s="70" t="b">
        <v>1</v>
      </c>
      <c r="AC599" s="70">
        <v>20001095</v>
      </c>
      <c r="AD599" s="70">
        <v>8.3853330612182599</v>
      </c>
      <c r="AE599" s="48">
        <f t="shared" si="57"/>
        <v>9.3853330612182599</v>
      </c>
      <c r="AF599" s="48"/>
      <c r="AG599" s="48"/>
      <c r="AH599" s="70">
        <v>0.1</v>
      </c>
      <c r="AL599" s="70">
        <v>25</v>
      </c>
      <c r="AM599" s="70">
        <v>20001002</v>
      </c>
      <c r="AN599" s="70" t="s">
        <v>693</v>
      </c>
      <c r="AT599" s="70" t="str">
        <f t="shared" si="56"/>
        <v>人越多，自身的实力也就越强，大人出征时切记仔细核验，&lt;color=#FFCC71&gt;满编后出征&lt;/color&gt;胜算才会更高。</v>
      </c>
      <c r="AU599" s="123" t="s">
        <v>2277</v>
      </c>
      <c r="AW599" s="70" t="s">
        <v>2278</v>
      </c>
    </row>
    <row r="600" spans="1:51" s="70" customFormat="1" ht="42">
      <c r="A600" s="70">
        <v>710108</v>
      </c>
      <c r="C600" s="70">
        <v>1</v>
      </c>
      <c r="D600" s="70" t="s">
        <v>2217</v>
      </c>
      <c r="E600" s="70" t="s">
        <v>559</v>
      </c>
      <c r="F600" s="20" t="str">
        <f>VLOOKUP(G600,'#TID_base_up'!B:C,2,0)</f>
        <v>安德莉娅</v>
      </c>
      <c r="G600" s="70" t="s">
        <v>467</v>
      </c>
      <c r="H600" s="70" t="s">
        <v>112</v>
      </c>
      <c r="I600" s="70" t="s">
        <v>113</v>
      </c>
      <c r="J600" s="70" t="s">
        <v>2279</v>
      </c>
      <c r="K600" s="84" t="str">
        <f t="shared" si="55"/>
        <v>如今我看大人的&lt;color=#FFCC71&gt;食物也较为紧缺&lt;/color&gt;，我们还是优先&lt;color=#FFCC71&gt;集中发展两支部队&lt;/color&gt;，这样才是上策。</v>
      </c>
      <c r="U600" s="70">
        <v>1</v>
      </c>
      <c r="V600" s="70">
        <v>0</v>
      </c>
      <c r="X600" s="70">
        <v>0</v>
      </c>
      <c r="Y600" s="70" t="b">
        <v>0</v>
      </c>
      <c r="Z600" s="70" t="s">
        <v>2280</v>
      </c>
      <c r="AA600" s="70" t="b">
        <v>1</v>
      </c>
      <c r="AC600" s="70">
        <v>20001096</v>
      </c>
      <c r="AD600" s="70">
        <v>7.2439999580383301</v>
      </c>
      <c r="AE600" s="48">
        <f t="shared" si="57"/>
        <v>8.2439999580383301</v>
      </c>
      <c r="AF600" s="48"/>
      <c r="AG600" s="48"/>
      <c r="AH600" s="70">
        <v>0.1</v>
      </c>
      <c r="AL600" s="70">
        <v>25</v>
      </c>
      <c r="AM600" s="70">
        <v>20001002</v>
      </c>
      <c r="AN600" s="70" t="s">
        <v>625</v>
      </c>
      <c r="AT600" s="70" t="str">
        <f t="shared" si="56"/>
        <v>如今我看大人的&lt;color=#FFCC71&gt;食物也较为紧缺&lt;/color&gt;，我们还是优先&lt;color=#FFCC71&gt;集中发展两支部队&lt;/color&gt;，这样才是上策。</v>
      </c>
      <c r="AU600" s="123" t="s">
        <v>2281</v>
      </c>
      <c r="AW600" s="70" t="s">
        <v>2221</v>
      </c>
      <c r="AX600" s="70" t="s">
        <v>2282</v>
      </c>
    </row>
    <row r="601" spans="1:51" s="70" customFormat="1" ht="42">
      <c r="A601" s="70">
        <v>710109</v>
      </c>
      <c r="C601" s="70">
        <v>1</v>
      </c>
      <c r="D601" s="70" t="s">
        <v>2223</v>
      </c>
      <c r="E601" s="70" t="s">
        <v>559</v>
      </c>
      <c r="F601" s="20" t="str">
        <f>VLOOKUP(G601,'#TID_base_up'!B:C,2,0)</f>
        <v>安德莉娅</v>
      </c>
      <c r="G601" s="70" t="s">
        <v>467</v>
      </c>
      <c r="H601" s="70" t="s">
        <v>112</v>
      </c>
      <c r="I601" s="70" t="s">
        <v>113</v>
      </c>
      <c r="J601" s="70" t="s">
        <v>2283</v>
      </c>
      <c r="K601" s="84" t="str">
        <f t="shared" si="55"/>
        <v>训练士兵需要依靠&lt;color=#FFCC71&gt;充足的粮食&lt;/color&gt;，还请大人多关注并占领一些&lt;color=#FFCC71&gt;食物资源点&lt;/color&gt;，努力壮大我们的队伍。</v>
      </c>
      <c r="U601" s="70">
        <v>1</v>
      </c>
      <c r="V601" s="70">
        <v>0</v>
      </c>
      <c r="X601" s="70">
        <v>0</v>
      </c>
      <c r="Y601" s="70" t="b">
        <v>0</v>
      </c>
      <c r="Z601" s="70" t="s">
        <v>2284</v>
      </c>
      <c r="AA601" s="70" t="b">
        <v>1</v>
      </c>
      <c r="AC601" s="70">
        <v>20001097</v>
      </c>
      <c r="AD601" s="70">
        <v>7.7039999961853001</v>
      </c>
      <c r="AE601" s="48">
        <f t="shared" si="57"/>
        <v>8.7039999961852992</v>
      </c>
      <c r="AF601" s="48"/>
      <c r="AG601" s="48"/>
      <c r="AH601" s="70">
        <v>0.1</v>
      </c>
      <c r="AL601" s="70">
        <v>25</v>
      </c>
      <c r="AM601" s="70">
        <v>20001002</v>
      </c>
      <c r="AN601" s="70" t="s">
        <v>550</v>
      </c>
      <c r="AT601" s="70" t="str">
        <f t="shared" si="56"/>
        <v>训练士兵需要依靠&lt;color=#FFCC71&gt;充足的粮食&lt;/color&gt;，还请大人多关注并占领一些&lt;color=#FFCC71&gt;食物资源点&lt;/color&gt;，努力壮大我们的队伍。</v>
      </c>
      <c r="AU601" s="123" t="s">
        <v>2285</v>
      </c>
      <c r="AW601" s="70" t="s">
        <v>2227</v>
      </c>
      <c r="AX601" s="70" t="s">
        <v>2228</v>
      </c>
    </row>
    <row r="602" spans="1:51" s="70" customFormat="1" ht="42">
      <c r="A602" s="70">
        <v>710110</v>
      </c>
      <c r="C602" s="70">
        <v>1</v>
      </c>
      <c r="D602" s="70" t="s">
        <v>2229</v>
      </c>
      <c r="E602" s="70" t="s">
        <v>559</v>
      </c>
      <c r="F602" s="20" t="str">
        <f>VLOOKUP(G602,'#TID_base_up'!B:C,2,0)</f>
        <v>安德莉娅</v>
      </c>
      <c r="G602" s="70" t="s">
        <v>467</v>
      </c>
      <c r="H602" s="70" t="s">
        <v>112</v>
      </c>
      <c r="I602" s="70" t="s">
        <v>113</v>
      </c>
      <c r="J602" s="70" t="s">
        <v>2286</v>
      </c>
      <c r="K602" s="84" t="str">
        <f t="shared" si="55"/>
        <v>大人找不到新的合适资源点了吗？&lt;color=#FFCC71&gt;高级城市拥有高级资源点&lt;/color&gt;，大人不妨&lt;color=#FFCC71&gt;迁城至高级城&lt;/color&gt;附近再试试搜索。</v>
      </c>
      <c r="U602" s="70">
        <v>1</v>
      </c>
      <c r="V602" s="70">
        <v>0</v>
      </c>
      <c r="X602" s="70">
        <v>0</v>
      </c>
      <c r="Y602" s="70" t="b">
        <v>0</v>
      </c>
      <c r="Z602" s="70" t="s">
        <v>2287</v>
      </c>
      <c r="AA602" s="70" t="b">
        <v>1</v>
      </c>
      <c r="AC602" s="70">
        <v>20001098</v>
      </c>
      <c r="AD602" s="70">
        <v>9.2546663284301793</v>
      </c>
      <c r="AE602" s="48">
        <f t="shared" si="57"/>
        <v>10.254666328430179</v>
      </c>
      <c r="AF602" s="48"/>
      <c r="AG602" s="48"/>
      <c r="AH602" s="70">
        <v>0.1</v>
      </c>
      <c r="AL602" s="70">
        <v>25</v>
      </c>
      <c r="AM602" s="70">
        <v>20001002</v>
      </c>
      <c r="AN602" s="70" t="s">
        <v>550</v>
      </c>
      <c r="AT602" s="70" t="str">
        <f t="shared" si="56"/>
        <v>大人找不到新的合适资源点了吗？&lt;color=#FFCC71&gt;高级城市拥有高级资源点&lt;/color&gt;，大人不妨&lt;color=#FFCC71&gt;迁城至高级城&lt;/color&gt;附近再试试搜索。</v>
      </c>
      <c r="AU602" s="123" t="s">
        <v>2288</v>
      </c>
      <c r="AW602" s="70" t="s">
        <v>2289</v>
      </c>
      <c r="AX602" s="70" t="s">
        <v>2290</v>
      </c>
    </row>
    <row r="603" spans="1:51" s="70" customFormat="1" ht="42">
      <c r="A603" s="70">
        <v>710111</v>
      </c>
      <c r="C603" s="70">
        <v>1</v>
      </c>
      <c r="D603" s="70" t="s">
        <v>2235</v>
      </c>
      <c r="E603" s="70" t="s">
        <v>559</v>
      </c>
      <c r="F603" s="20" t="str">
        <f>VLOOKUP(G603,'#TID_base_up'!B:C,2,0)</f>
        <v>安德莉娅</v>
      </c>
      <c r="G603" s="70" t="s">
        <v>467</v>
      </c>
      <c r="H603" s="70" t="s">
        <v>112</v>
      </c>
      <c r="I603" s="70" t="s">
        <v>113</v>
      </c>
      <c r="J603" s="70" t="s">
        <v>2291</v>
      </c>
      <c r="K603" s="84" t="str">
        <f t="shared" si="55"/>
        <v>&lt;color=#FFCC71&gt;多队同时进攻蛮族&lt;/color&gt;，这样会导致&lt;color=#FFCC71&gt;经验被分薄&lt;/color&gt;，每份体力获得的收益会大大减少，不如只用一队去打等级较低的蛮族哦。</v>
      </c>
      <c r="U603" s="70">
        <v>1</v>
      </c>
      <c r="V603" s="70">
        <v>0</v>
      </c>
      <c r="X603" s="70">
        <v>0</v>
      </c>
      <c r="Y603" s="70" t="b">
        <v>0</v>
      </c>
      <c r="Z603" s="70" t="s">
        <v>2292</v>
      </c>
      <c r="AA603" s="70" t="b">
        <v>1</v>
      </c>
      <c r="AC603" s="70">
        <v>20001099</v>
      </c>
      <c r="AD603" s="70">
        <v>10.0386667251587</v>
      </c>
      <c r="AE603" s="48">
        <f t="shared" si="57"/>
        <v>11.0386667251587</v>
      </c>
      <c r="AF603" s="48"/>
      <c r="AG603" s="48"/>
      <c r="AH603" s="70">
        <v>0.1</v>
      </c>
      <c r="AL603" s="70">
        <v>25</v>
      </c>
      <c r="AM603" s="70">
        <v>20001002</v>
      </c>
      <c r="AN603" s="70" t="s">
        <v>687</v>
      </c>
      <c r="AT603" s="70" t="str">
        <f t="shared" si="56"/>
        <v>&lt;color=#FFCC71&gt;多队同时进攻蛮族&lt;/color&gt;，这样会导致&lt;color=#FFCC71&gt;经验被分薄&lt;/color&gt;，每份体力获得的收益会大大减少，不如只用一队去打等级较低的蛮族哦。</v>
      </c>
      <c r="AU603" s="123" t="s">
        <v>2293</v>
      </c>
      <c r="AW603" s="70" t="s">
        <v>2294</v>
      </c>
      <c r="AX603" s="70" t="s">
        <v>2239</v>
      </c>
    </row>
    <row r="604" spans="1:51" s="70" customFormat="1" ht="56">
      <c r="A604" s="70">
        <v>710112</v>
      </c>
      <c r="C604" s="70">
        <v>1</v>
      </c>
      <c r="D604" s="70" t="s">
        <v>2241</v>
      </c>
      <c r="E604" s="70" t="s">
        <v>559</v>
      </c>
      <c r="F604" s="20" t="str">
        <f>VLOOKUP(G604,'#TID_base_up'!B:C,2,0)</f>
        <v>安德莉娅</v>
      </c>
      <c r="G604" s="70" t="s">
        <v>467</v>
      </c>
      <c r="H604" s="70" t="s">
        <v>112</v>
      </c>
      <c r="I604" s="70" t="s">
        <v>113</v>
      </c>
      <c r="J604" s="70" t="s">
        <v>2295</v>
      </c>
      <c r="K604" s="84" t="str">
        <f t="shared" si="55"/>
        <v>我刚刚清点了一下库存，看到有许多&lt;color=#FFCC71&gt;闲置技能点&lt;/color&gt;，高等级的&lt;color=#FFCC71&gt;英雄技能&lt;/color&gt;可以带来极大的战力提升，大人千万记得要&lt;color=#FFCC71&gt;及时升级&lt;/color&gt;。</v>
      </c>
      <c r="U604" s="70">
        <v>1</v>
      </c>
      <c r="V604" s="70">
        <v>0</v>
      </c>
      <c r="X604" s="70">
        <v>0</v>
      </c>
      <c r="Y604" s="70" t="b">
        <v>0</v>
      </c>
      <c r="Z604" s="70" t="s">
        <v>2296</v>
      </c>
      <c r="AA604" s="70" t="b">
        <v>1</v>
      </c>
      <c r="AC604" s="70">
        <v>20001100</v>
      </c>
      <c r="AD604" s="70">
        <v>9.4293336868286097</v>
      </c>
      <c r="AE604" s="48">
        <f t="shared" si="57"/>
        <v>10.42933368682861</v>
      </c>
      <c r="AF604" s="48"/>
      <c r="AG604" s="48"/>
      <c r="AH604" s="70">
        <v>0.1</v>
      </c>
      <c r="AL604" s="70">
        <v>25</v>
      </c>
      <c r="AM604" s="70">
        <v>20001002</v>
      </c>
      <c r="AN604" s="70" t="s">
        <v>693</v>
      </c>
      <c r="AT604" s="70" t="str">
        <f t="shared" si="56"/>
        <v>我刚刚清点了一下库存，看到有许多&lt;color=#FFCC71&gt;闲置技能点&lt;/color&gt;，高等级的&lt;color=#FFCC71&gt;英雄技能&lt;/color&gt;可以带来极大的战力提升，大人千万记得要&lt;color=#FFCC71&gt;及时升级&lt;/color&gt;。</v>
      </c>
      <c r="AU604" s="123" t="s">
        <v>2297</v>
      </c>
      <c r="AW604" s="70" t="s">
        <v>2298</v>
      </c>
      <c r="AX604" s="70" t="s">
        <v>2299</v>
      </c>
      <c r="AY604" s="70" t="s">
        <v>2247</v>
      </c>
    </row>
    <row r="605" spans="1:51" s="70" customFormat="1" ht="42">
      <c r="A605" s="70">
        <v>710113</v>
      </c>
      <c r="C605" s="70">
        <v>1</v>
      </c>
      <c r="D605" s="70" t="s">
        <v>2248</v>
      </c>
      <c r="E605" s="70" t="s">
        <v>559</v>
      </c>
      <c r="F605" s="20" t="str">
        <f>VLOOKUP(G605,'#TID_base_up'!B:C,2,0)</f>
        <v>安德莉娅</v>
      </c>
      <c r="G605" s="70" t="s">
        <v>467</v>
      </c>
      <c r="H605" s="70" t="s">
        <v>112</v>
      </c>
      <c r="I605" s="70" t="s">
        <v>113</v>
      </c>
      <c r="J605" s="70" t="s">
        <v>2300</v>
      </c>
      <c r="K605" s="84" t="str">
        <f t="shared" si="55"/>
        <v>铜币只有被使用才会有价值哦，若是用它来进行&lt;color=#FFCC71&gt;精锐招募&lt;/color&gt;，可以&lt;color=#FFCC71&gt;获得更多技能点&lt;/color&gt;，想必大人的实力也能得到极大提升吧？</v>
      </c>
      <c r="U605" s="70">
        <v>1</v>
      </c>
      <c r="V605" s="70">
        <v>0</v>
      </c>
      <c r="X605" s="70">
        <v>0</v>
      </c>
      <c r="Y605" s="70" t="b">
        <v>0</v>
      </c>
      <c r="Z605" s="70" t="s">
        <v>2301</v>
      </c>
      <c r="AA605" s="70" t="b">
        <v>1</v>
      </c>
      <c r="AC605" s="70">
        <v>20001101</v>
      </c>
      <c r="AD605" s="70">
        <v>9.0933332443237305</v>
      </c>
      <c r="AE605" s="48">
        <f t="shared" si="57"/>
        <v>10.09333324432373</v>
      </c>
      <c r="AF605" s="48"/>
      <c r="AG605" s="48"/>
      <c r="AH605" s="70">
        <v>0.1</v>
      </c>
      <c r="AL605" s="70">
        <v>25</v>
      </c>
      <c r="AM605" s="70">
        <v>20001002</v>
      </c>
      <c r="AN605" s="70" t="s">
        <v>625</v>
      </c>
      <c r="AT605" s="70" t="str">
        <f t="shared" si="56"/>
        <v>铜币只有被使用才会有价值哦，若是用它来进行&lt;color=#FFCC71&gt;精锐招募&lt;/color&gt;，可以&lt;color=#FFCC71&gt;获得更多技能点&lt;/color&gt;，想必大人的实力也能得到极大提升吧？</v>
      </c>
      <c r="AU605" s="123" t="s">
        <v>2302</v>
      </c>
      <c r="AW605" s="70" t="s">
        <v>2253</v>
      </c>
      <c r="AX605" s="70" t="s">
        <v>2303</v>
      </c>
    </row>
    <row r="606" spans="1:51" s="67" customFormat="1">
      <c r="A606" s="67">
        <v>800001</v>
      </c>
      <c r="C606" s="67">
        <v>1</v>
      </c>
      <c r="D606" s="67" t="s">
        <v>2304</v>
      </c>
      <c r="E606" s="67" t="s">
        <v>412</v>
      </c>
      <c r="F606" s="20" t="str">
        <f>VLOOKUP(G606,'#TID_base_up'!B:C,2,0)</f>
        <v>残忍头目</v>
      </c>
      <c r="G606" s="67" t="s">
        <v>2305</v>
      </c>
      <c r="H606" s="67" t="s">
        <v>132</v>
      </c>
      <c r="I606" s="67" t="s">
        <v>2306</v>
      </c>
      <c r="J606" s="67" t="s">
        <v>2307</v>
      </c>
      <c r="K606" s="116"/>
      <c r="U606" s="67">
        <v>2</v>
      </c>
      <c r="V606" s="67">
        <v>0</v>
      </c>
      <c r="X606" s="67">
        <v>0</v>
      </c>
      <c r="Y606" s="67" t="b">
        <v>0</v>
      </c>
      <c r="AA606" s="67" t="b">
        <v>0</v>
      </c>
      <c r="AE606" s="67">
        <v>5.0999999999999996</v>
      </c>
      <c r="AH606" s="67">
        <v>0.1</v>
      </c>
      <c r="AL606" s="117">
        <v>13</v>
      </c>
      <c r="AO606" s="67">
        <v>1</v>
      </c>
      <c r="AT606" s="67" t="s">
        <v>2308</v>
      </c>
      <c r="AU606" s="67" t="s">
        <v>2308</v>
      </c>
    </row>
    <row r="607" spans="1:51" s="67" customFormat="1">
      <c r="A607" s="67">
        <v>800002</v>
      </c>
      <c r="C607" s="67">
        <v>1</v>
      </c>
      <c r="D607" s="67" t="s">
        <v>2304</v>
      </c>
      <c r="E607" s="67" t="s">
        <v>412</v>
      </c>
      <c r="F607" s="20" t="str">
        <f>VLOOKUP(G607,'#TID_base_up'!B:C,2,0)</f>
        <v>残忍头目</v>
      </c>
      <c r="G607" s="67" t="s">
        <v>2305</v>
      </c>
      <c r="H607" s="67" t="s">
        <v>132</v>
      </c>
      <c r="I607" s="67" t="s">
        <v>2309</v>
      </c>
      <c r="J607" s="67" t="s">
        <v>2310</v>
      </c>
      <c r="K607" s="116"/>
      <c r="U607" s="67">
        <v>2</v>
      </c>
      <c r="V607" s="67">
        <v>0</v>
      </c>
      <c r="X607" s="67">
        <v>0</v>
      </c>
      <c r="Y607" s="67" t="b">
        <v>0</v>
      </c>
      <c r="AA607" s="67" t="b">
        <v>0</v>
      </c>
      <c r="AE607" s="67">
        <v>5.0999999999999996</v>
      </c>
      <c r="AH607" s="67">
        <v>0.1</v>
      </c>
      <c r="AL607" s="117">
        <v>13</v>
      </c>
      <c r="AO607" s="67">
        <v>1</v>
      </c>
      <c r="AT607" s="67" t="s">
        <v>2311</v>
      </c>
      <c r="AU607" s="67" t="s">
        <v>2311</v>
      </c>
    </row>
    <row r="608" spans="1:51" s="67" customFormat="1" ht="26.15" customHeight="1">
      <c r="A608" s="67">
        <v>800003</v>
      </c>
      <c r="C608" s="67">
        <v>1</v>
      </c>
      <c r="D608" s="67" t="s">
        <v>2304</v>
      </c>
      <c r="E608" s="67" t="s">
        <v>412</v>
      </c>
      <c r="F608" s="20" t="str">
        <f>VLOOKUP(G608,'#TID_base_up'!B:C,2,0)</f>
        <v>残忍头目</v>
      </c>
      <c r="G608" s="67" t="s">
        <v>2305</v>
      </c>
      <c r="H608" s="67" t="s">
        <v>132</v>
      </c>
      <c r="I608" s="67" t="s">
        <v>2312</v>
      </c>
      <c r="J608" s="67" t="s">
        <v>2313</v>
      </c>
      <c r="K608" s="116"/>
      <c r="U608" s="67">
        <v>2</v>
      </c>
      <c r="V608" s="67">
        <v>0</v>
      </c>
      <c r="X608" s="67">
        <v>0</v>
      </c>
      <c r="Y608" s="67" t="b">
        <v>0</v>
      </c>
      <c r="AA608" s="67" t="b">
        <v>0</v>
      </c>
      <c r="AE608" s="67">
        <v>5.0999999999999996</v>
      </c>
      <c r="AH608" s="67">
        <v>0.1</v>
      </c>
      <c r="AL608" s="117">
        <v>13</v>
      </c>
      <c r="AO608" s="67">
        <v>1</v>
      </c>
      <c r="AT608" s="116" t="s">
        <v>2314</v>
      </c>
      <c r="AU608" s="116" t="s">
        <v>2314</v>
      </c>
      <c r="AV608" s="116"/>
    </row>
    <row r="609" spans="1:50" s="67" customFormat="1">
      <c r="A609" s="67">
        <v>800004</v>
      </c>
      <c r="C609" s="67">
        <v>1</v>
      </c>
      <c r="D609" s="67" t="s">
        <v>2304</v>
      </c>
      <c r="E609" s="67" t="s">
        <v>412</v>
      </c>
      <c r="F609" s="20" t="str">
        <f>VLOOKUP(G609,'#TID_base_up'!B:C,2,0)</f>
        <v>残忍头目</v>
      </c>
      <c r="G609" s="67" t="s">
        <v>2305</v>
      </c>
      <c r="H609" s="67" t="s">
        <v>132</v>
      </c>
      <c r="I609" s="67" t="s">
        <v>2315</v>
      </c>
      <c r="J609" s="67" t="s">
        <v>2316</v>
      </c>
      <c r="K609" s="116"/>
      <c r="U609" s="67">
        <v>2</v>
      </c>
      <c r="V609" s="67">
        <v>0</v>
      </c>
      <c r="X609" s="67">
        <v>0</v>
      </c>
      <c r="Y609" s="67" t="b">
        <v>0</v>
      </c>
      <c r="AA609" s="67" t="b">
        <v>0</v>
      </c>
      <c r="AE609" s="67">
        <v>5.0999999999999996</v>
      </c>
      <c r="AH609" s="67">
        <v>0.1</v>
      </c>
      <c r="AL609" s="117">
        <v>13</v>
      </c>
      <c r="AO609" s="67">
        <v>1</v>
      </c>
      <c r="AT609" s="67" t="s">
        <v>2317</v>
      </c>
      <c r="AU609" s="67" t="s">
        <v>2317</v>
      </c>
    </row>
    <row r="610" spans="1:50" s="67" customFormat="1">
      <c r="A610" s="67">
        <v>800005</v>
      </c>
      <c r="C610" s="67">
        <v>1</v>
      </c>
      <c r="D610" s="67" t="s">
        <v>2304</v>
      </c>
      <c r="E610" s="67" t="s">
        <v>412</v>
      </c>
      <c r="F610" s="20" t="str">
        <f>VLOOKUP(G610,'#TID_base_up'!B:C,2,0)</f>
        <v>残忍头目</v>
      </c>
      <c r="G610" s="67" t="s">
        <v>2305</v>
      </c>
      <c r="H610" s="67" t="s">
        <v>132</v>
      </c>
      <c r="I610" s="67" t="s">
        <v>2312</v>
      </c>
      <c r="J610" s="67" t="s">
        <v>2318</v>
      </c>
      <c r="K610" s="116"/>
      <c r="U610" s="67">
        <v>2</v>
      </c>
      <c r="V610" s="67">
        <v>0</v>
      </c>
      <c r="X610" s="67">
        <v>0</v>
      </c>
      <c r="Y610" s="67" t="b">
        <v>0</v>
      </c>
      <c r="AA610" s="67" t="b">
        <v>0</v>
      </c>
      <c r="AE610" s="67">
        <v>5.0999999999999996</v>
      </c>
      <c r="AH610" s="67">
        <v>0.1</v>
      </c>
      <c r="AL610" s="117">
        <v>13</v>
      </c>
      <c r="AO610" s="67">
        <v>1</v>
      </c>
      <c r="AT610" s="67" t="s">
        <v>2319</v>
      </c>
      <c r="AU610" s="67" t="s">
        <v>2319</v>
      </c>
    </row>
    <row r="611" spans="1:50" s="56" customFormat="1" ht="42">
      <c r="A611" s="56">
        <f>IF(B611=B610,IF(C611&gt;1,A610,A610+1),55000+SUBSTITUTE(SUBSTITUTE(B611,"第",""),"章","")*1000000+1)</f>
        <v>2055001</v>
      </c>
      <c r="B611" s="56" t="s">
        <v>679</v>
      </c>
      <c r="C611" s="56">
        <v>1</v>
      </c>
      <c r="D611" s="56" t="s">
        <v>646</v>
      </c>
      <c r="E611" s="56" t="s">
        <v>559</v>
      </c>
      <c r="F611" s="20" t="str">
        <f>VLOOKUP(G611,'#TID_base_up'!B:C,2,0)</f>
        <v>安德莉娅</v>
      </c>
      <c r="G611" s="56" t="s">
        <v>467</v>
      </c>
      <c r="H611" s="48" t="str">
        <f>VLOOKUP($F611,'#对话模型配置'!$A:$W,MATCH(对话配置表!H$2,'#对话模型配置'!$1:$1,0),FALSE)</f>
        <v>icon_guidechara.smash</v>
      </c>
      <c r="I611" s="48" t="str">
        <f>VLOOKUP($F611,'#对话模型配置'!$A:$W,MATCH(对话配置表!I$2,'#对话模型配置'!$1:$1,0),FALSE)</f>
        <v>frame_s_xsdh_002</v>
      </c>
      <c r="J611" s="56" t="s">
        <v>2320</v>
      </c>
      <c r="K611" s="84" t="str">
        <f t="shared" ref="K611:K642" si="58">AT611</f>
        <v>大人，探子在&lt;color=#FFCC71&gt;校场附近&lt;/color&gt;发现了&lt;color=#FFCC71&gt;蛮族的踪迹&lt;/color&gt;，他们的势力竟然也渗透到了这里！</v>
      </c>
      <c r="L611" s="61">
        <v>950001</v>
      </c>
      <c r="M611" s="61" t="s">
        <v>2321</v>
      </c>
      <c r="N611" s="61"/>
      <c r="O611" s="61" t="s">
        <v>2322</v>
      </c>
      <c r="P611" s="61"/>
      <c r="Q611" s="61"/>
      <c r="R611" s="61" t="s">
        <v>2323</v>
      </c>
      <c r="S611" s="61"/>
      <c r="U611" s="56">
        <v>1</v>
      </c>
      <c r="V611" s="56">
        <v>0</v>
      </c>
      <c r="X611" s="56">
        <v>0</v>
      </c>
      <c r="Y611" s="56" t="b">
        <v>0</v>
      </c>
      <c r="Z611" s="56" t="s">
        <v>1151</v>
      </c>
      <c r="AA611" s="56" t="b">
        <v>0</v>
      </c>
      <c r="AC611" s="56">
        <v>20001016</v>
      </c>
      <c r="AD611" s="56">
        <v>8.1546669006347692</v>
      </c>
      <c r="AE611" s="48">
        <f t="shared" ref="AE611:AE642" si="59">AD611+1</f>
        <v>9.1546669006347692</v>
      </c>
      <c r="AF611" s="48"/>
      <c r="AG611" s="48"/>
      <c r="AH611" s="56">
        <v>0.1</v>
      </c>
      <c r="AL611" s="56">
        <v>25</v>
      </c>
      <c r="AM611" s="48">
        <f>VLOOKUP($F611,'#对话模型配置'!$A:$W,MATCH(对话配置表!AM$2,'#对话模型配置'!$1:$1,0),FALSE)</f>
        <v>30001001</v>
      </c>
      <c r="AN611" s="56" t="s">
        <v>649</v>
      </c>
      <c r="AT611" s="56" t="str">
        <f t="shared" ref="AT611:AT672" si="60">IF($AU611="","",SUBSTITUTE(SUBSTITUTE(SUBSTITUTE(SUBSTITUTE($AU611,IF($AW611="","",$AW611),IF($AW611="","",CONCATENATE("&lt;color=#FFCC71&gt;",$AW611,"&lt;/color&gt;"))),IF($AX611="","",$AX611),IF($AX611="","",CONCATENATE("&lt;color=#FFCC71&gt;",$AX611,"&lt;/color&gt;"))),IF($AY611="","",$AY611),IF($AY611="","",CONCATENATE("&lt;color=#FFCC71&gt;",$AY611,"&lt;/color&gt;"))),IF($AZ611="","",$AZ611),IF($AZ611="","",CONCATENATE("&lt;color=#FFCC71&gt;",$AZ611,"&lt;/color&gt;"))))</f>
        <v>大人，探子在&lt;color=#FFCC71&gt;校场附近&lt;/color&gt;发现了&lt;color=#FFCC71&gt;蛮族的踪迹&lt;/color&gt;，他们的势力竟然也渗透到了这里！</v>
      </c>
      <c r="AU611" s="56" t="s">
        <v>2324</v>
      </c>
      <c r="AV611" s="56">
        <f>A611</f>
        <v>2055001</v>
      </c>
      <c r="AW611" s="56" t="s">
        <v>2325</v>
      </c>
      <c r="AX611" s="56" t="s">
        <v>652</v>
      </c>
    </row>
    <row r="612" spans="1:50" s="56" customFormat="1" ht="28">
      <c r="A612" s="56">
        <f>A611</f>
        <v>2055001</v>
      </c>
      <c r="B612" s="56" t="s">
        <v>679</v>
      </c>
      <c r="C612" s="56">
        <v>2</v>
      </c>
      <c r="D612" s="56" t="s">
        <v>646</v>
      </c>
      <c r="E612" s="56" t="s">
        <v>559</v>
      </c>
      <c r="F612" s="20" t="str">
        <f>VLOOKUP(G612,'#TID_base_up'!B:C,2,0)</f>
        <v>花木兰</v>
      </c>
      <c r="G612" s="56" t="s">
        <v>1145</v>
      </c>
      <c r="H612" s="48" t="str">
        <f>VLOOKUP($F612,'#对话模型配置'!$A:$W,MATCH(对话配置表!H$2,'#对话模型配置'!$1:$1,0),FALSE)</f>
        <v>icon_guidechara.smash</v>
      </c>
      <c r="I612" s="48" t="str">
        <f>VLOOKUP($F612,'#对话模型配置'!$A:$W,MATCH(对话配置表!I$2,'#对话模型配置'!$1:$1,0),FALSE)</f>
        <v>frame_s_xsdh_002</v>
      </c>
      <c r="J612" s="56" t="s">
        <v>1153</v>
      </c>
      <c r="K612" s="84" t="str">
        <f t="shared" si="58"/>
        <v>带兵打仗是将领的天职，领主大人，只要&lt;color=#FFCC71&gt;给我一点人马&lt;/color&gt;，我花木兰保你城池坚不可摧。</v>
      </c>
      <c r="L612" s="61">
        <v>950002</v>
      </c>
      <c r="M612" s="61" t="s">
        <v>2321</v>
      </c>
      <c r="N612" s="61"/>
      <c r="O612" s="61" t="s">
        <v>2326</v>
      </c>
      <c r="P612" s="61"/>
      <c r="Q612" s="61"/>
      <c r="R612" s="61" t="s">
        <v>2327</v>
      </c>
      <c r="S612" s="61"/>
      <c r="U612" s="56">
        <v>1</v>
      </c>
      <c r="V612" s="56">
        <v>0</v>
      </c>
      <c r="X612" s="56">
        <v>0</v>
      </c>
      <c r="Y612" s="56" t="b">
        <v>0</v>
      </c>
      <c r="Z612" s="56" t="s">
        <v>1154</v>
      </c>
      <c r="AA612" s="56" t="b">
        <v>0</v>
      </c>
      <c r="AC612" s="56">
        <v>20001017</v>
      </c>
      <c r="AD612" s="56">
        <v>4.8893327713012704</v>
      </c>
      <c r="AE612" s="48">
        <f t="shared" si="59"/>
        <v>5.8893327713012704</v>
      </c>
      <c r="AF612" s="48"/>
      <c r="AG612" s="48"/>
      <c r="AH612" s="56">
        <v>0.1</v>
      </c>
      <c r="AL612" s="56">
        <v>25</v>
      </c>
      <c r="AM612" s="48">
        <f>VLOOKUP($F612,'#对话模型配置'!$A:$W,MATCH(对话配置表!AM$2,'#对话模型配置'!$1:$1,0),FALSE)</f>
        <v>20001005</v>
      </c>
      <c r="AN612" s="56" t="s">
        <v>655</v>
      </c>
      <c r="AT612" s="56" t="str">
        <f t="shared" si="60"/>
        <v>带兵打仗是将领的天职，领主大人，只要&lt;color=#FFCC71&gt;给我一点人马&lt;/color&gt;，我花木兰保你城池坚不可摧。</v>
      </c>
      <c r="AU612" s="56" t="s">
        <v>1155</v>
      </c>
      <c r="AV612" s="56">
        <f>A612</f>
        <v>2055001</v>
      </c>
      <c r="AW612" s="56" t="s">
        <v>657</v>
      </c>
    </row>
    <row r="613" spans="1:50" s="61" customFormat="1" ht="28">
      <c r="A613" s="61">
        <v>1060001</v>
      </c>
      <c r="B613" s="61" t="s">
        <v>2328</v>
      </c>
      <c r="C613" s="61">
        <v>1</v>
      </c>
      <c r="D613" s="61" t="str">
        <f t="shared" ref="D613:D642" si="61">"新手海外-"&amp;G613</f>
        <v>新手海外-TID_DialogueConf_1060001_name_CN_Main</v>
      </c>
      <c r="E613" s="61" t="s">
        <v>2329</v>
      </c>
      <c r="F613" s="20" t="str">
        <f>VLOOKUP(G613,'#TID_base_up'!B:C,2,0)</f>
        <v>副官</v>
      </c>
      <c r="G613" s="61" t="s">
        <v>2330</v>
      </c>
      <c r="H613" s="61" t="s">
        <v>2331</v>
      </c>
      <c r="I613" s="61" t="str">
        <f>VLOOKUP(F613,'#对话模型配置'!A:O,15,FALSE)</f>
        <v>newbie_oversea_axe</v>
      </c>
      <c r="J613" s="61" t="s">
        <v>2332</v>
      </c>
      <c r="K613" s="84" t="str">
        <f t="shared" si="58"/>
        <v>这次交涉只带着凯恩和肖恩吗？公主殿下，作为我们的领袖，您不应将自己置于险境。</v>
      </c>
      <c r="U613" s="61">
        <v>2</v>
      </c>
      <c r="V613" s="61">
        <v>0</v>
      </c>
      <c r="X613" s="61">
        <v>30011</v>
      </c>
      <c r="Y613" s="61" t="b">
        <v>1</v>
      </c>
      <c r="Z613" s="114" t="s">
        <v>2333</v>
      </c>
      <c r="AA613" s="61" t="b">
        <v>0</v>
      </c>
      <c r="AD613" s="61">
        <v>7.5840001106262198</v>
      </c>
      <c r="AE613" s="61">
        <f t="shared" si="59"/>
        <v>8.5840001106262207</v>
      </c>
      <c r="AH613" s="61">
        <v>0.1</v>
      </c>
      <c r="AI613" s="61">
        <v>1</v>
      </c>
      <c r="AL613" s="108">
        <v>35</v>
      </c>
      <c r="AT613" s="61" t="str">
        <f t="shared" si="60"/>
        <v>这次交涉只带着凯恩和肖恩吗？公主殿下，作为我们的领袖，您不应将自己置于险境。</v>
      </c>
      <c r="AU613" s="61" t="s">
        <v>2334</v>
      </c>
      <c r="AV613" s="114"/>
    </row>
    <row r="614" spans="1:50" s="61" customFormat="1" ht="42">
      <c r="A614" s="61">
        <v>1060001</v>
      </c>
      <c r="B614" s="61" t="s">
        <v>2328</v>
      </c>
      <c r="C614" s="61">
        <v>2</v>
      </c>
      <c r="D614" s="61" t="str">
        <f t="shared" si="61"/>
        <v>新手海外-TID_DialogueConf_1060001_name_337966742914_CN_Main</v>
      </c>
      <c r="E614" s="61" t="s">
        <v>2329</v>
      </c>
      <c r="F614" s="20" t="str">
        <f>VLOOKUP(G614,'#TID_base_up'!B:C,2,0)</f>
        <v>安德莉亚</v>
      </c>
      <c r="G614" s="61" t="s">
        <v>2335</v>
      </c>
      <c r="H614" s="61" t="s">
        <v>2331</v>
      </c>
      <c r="I614" s="61" t="str">
        <f>VLOOKUP(F614,'#对话模型配置'!A:O,15,FALSE)</f>
        <v>newbie_oversea_andrea</v>
      </c>
      <c r="J614" s="61" t="s">
        <v>2336</v>
      </c>
      <c r="K614" s="84" t="str">
        <f t="shared" si="58"/>
        <v>没有绝对安全的地方，还有现在你是副官，不是我的亲卫，更应该以我们&lt;color=#FFCC71&gt;此行的任务&lt;/color&gt;为重。再说，这已经是我们一半的人手了。</v>
      </c>
      <c r="U614" s="61">
        <v>2</v>
      </c>
      <c r="V614" s="61">
        <v>0</v>
      </c>
      <c r="X614" s="61">
        <v>30011</v>
      </c>
      <c r="Y614" s="61" t="b">
        <v>1</v>
      </c>
      <c r="Z614" s="114" t="s">
        <v>2337</v>
      </c>
      <c r="AA614" s="61" t="b">
        <v>0</v>
      </c>
      <c r="AD614" s="61">
        <v>16.1314792633057</v>
      </c>
      <c r="AE614" s="61">
        <f t="shared" si="59"/>
        <v>17.1314792633057</v>
      </c>
      <c r="AH614" s="61">
        <v>0.1</v>
      </c>
      <c r="AI614" s="61">
        <v>1</v>
      </c>
      <c r="AL614" s="108">
        <v>35</v>
      </c>
      <c r="AT614" s="61" t="str">
        <f t="shared" si="60"/>
        <v>没有绝对安全的地方，还有现在你是副官，不是我的亲卫，更应该以我们&lt;color=#FFCC71&gt;此行的任务&lt;/color&gt;为重。再说，这已经是我们一半的人手了。</v>
      </c>
      <c r="AU614" s="61" t="s">
        <v>2338</v>
      </c>
      <c r="AV614" s="114"/>
      <c r="AW614" s="61" t="s">
        <v>2339</v>
      </c>
    </row>
    <row r="615" spans="1:50" s="61" customFormat="1" ht="14">
      <c r="A615" s="61">
        <v>1060001</v>
      </c>
      <c r="B615" s="61" t="s">
        <v>2328</v>
      </c>
      <c r="C615" s="61">
        <v>3</v>
      </c>
      <c r="D615" s="61" t="str">
        <f t="shared" si="61"/>
        <v>新手海外-TID_DialogueConf_1060001_name_CN_Main</v>
      </c>
      <c r="E615" s="61" t="s">
        <v>2329</v>
      </c>
      <c r="F615" s="20" t="str">
        <f>VLOOKUP(G615,'#TID_base_up'!B:C,2,0)</f>
        <v>副官</v>
      </c>
      <c r="G615" s="61" t="s">
        <v>2330</v>
      </c>
      <c r="H615" s="61" t="s">
        <v>2331</v>
      </c>
      <c r="I615" s="61" t="str">
        <f>VLOOKUP(F615,'#对话模型配置'!A:O,15,FALSE)</f>
        <v>newbie_oversea_axe</v>
      </c>
      <c r="J615" s="61" t="s">
        <v>2340</v>
      </c>
      <c r="K615" s="84" t="str">
        <f t="shared" si="58"/>
        <v>遵命，殿下。</v>
      </c>
      <c r="U615" s="61">
        <v>2</v>
      </c>
      <c r="V615" s="61">
        <v>0</v>
      </c>
      <c r="X615" s="61">
        <v>30011</v>
      </c>
      <c r="Y615" s="61" t="b">
        <v>1</v>
      </c>
      <c r="Z615" s="114" t="s">
        <v>2341</v>
      </c>
      <c r="AA615" s="61" t="b">
        <v>0</v>
      </c>
      <c r="AD615" s="61">
        <v>1.4400000572204601</v>
      </c>
      <c r="AE615" s="61">
        <f t="shared" si="59"/>
        <v>2.4400000572204599</v>
      </c>
      <c r="AH615" s="61">
        <v>0.1</v>
      </c>
      <c r="AI615" s="61">
        <v>1</v>
      </c>
      <c r="AL615" s="108">
        <v>35</v>
      </c>
      <c r="AT615" s="61" t="str">
        <f t="shared" si="60"/>
        <v>遵命，殿下。</v>
      </c>
      <c r="AU615" s="61" t="s">
        <v>2342</v>
      </c>
      <c r="AV615" s="114"/>
    </row>
    <row r="616" spans="1:50" s="61" customFormat="1" ht="28">
      <c r="A616" s="61">
        <v>1060003</v>
      </c>
      <c r="B616" s="61" t="s">
        <v>2328</v>
      </c>
      <c r="C616" s="61">
        <v>1</v>
      </c>
      <c r="D616" s="61" t="str">
        <f t="shared" si="61"/>
        <v>新手海外-TID_DialogueConf_1060001_name_337966742914_CN_Main</v>
      </c>
      <c r="E616" s="61" t="s">
        <v>2329</v>
      </c>
      <c r="F616" s="20" t="str">
        <f>VLOOKUP(G616,'#TID_base_up'!B:C,2,0)</f>
        <v>安德莉亚</v>
      </c>
      <c r="G616" s="61" t="s">
        <v>2335</v>
      </c>
      <c r="H616" s="61" t="s">
        <v>2331</v>
      </c>
      <c r="I616" s="61" t="str">
        <f>VLOOKUP(F616,'#对话模型配置'!A:O,15,FALSE)</f>
        <v>newbie_oversea_andrea</v>
      </c>
      <c r="J616" s="61" t="s">
        <v>2343</v>
      </c>
      <c r="K616" s="84" t="str">
        <f t="shared" si="58"/>
        <v>情报说这里很安全？怎么地上还有&lt;color=#FFCC71&gt;死尸&lt;/color&gt;？</v>
      </c>
      <c r="U616" s="61">
        <v>2</v>
      </c>
      <c r="V616" s="61">
        <v>0</v>
      </c>
      <c r="X616" s="61">
        <v>30011</v>
      </c>
      <c r="Y616" s="61" t="b">
        <v>1</v>
      </c>
      <c r="Z616" s="114" t="s">
        <v>2344</v>
      </c>
      <c r="AA616" s="61" t="b">
        <v>0</v>
      </c>
      <c r="AD616" s="61">
        <v>5.0167498588562003</v>
      </c>
      <c r="AE616" s="61">
        <f t="shared" si="59"/>
        <v>6.0167498588562003</v>
      </c>
      <c r="AH616" s="61">
        <v>0.1</v>
      </c>
      <c r="AI616" s="61">
        <v>1</v>
      </c>
      <c r="AL616" s="108">
        <v>35</v>
      </c>
      <c r="AT616" s="61" t="str">
        <f t="shared" si="60"/>
        <v>情报说这里很安全？怎么地上还有&lt;color=#FFCC71&gt;死尸&lt;/color&gt;？</v>
      </c>
      <c r="AU616" s="61" t="s">
        <v>2345</v>
      </c>
      <c r="AV616" s="114"/>
      <c r="AW616" s="61" t="s">
        <v>2346</v>
      </c>
    </row>
    <row r="617" spans="1:50" s="61" customFormat="1" ht="28">
      <c r="A617" s="61">
        <v>1060003</v>
      </c>
      <c r="B617" s="61" t="s">
        <v>2328</v>
      </c>
      <c r="C617" s="61">
        <v>2</v>
      </c>
      <c r="D617" s="61" t="str">
        <f t="shared" si="61"/>
        <v>新手海外-TID_DialogueConf_1060001_name_CN_Main</v>
      </c>
      <c r="E617" s="61" t="s">
        <v>2329</v>
      </c>
      <c r="F617" s="20" t="str">
        <f>VLOOKUP(G617,'#TID_base_up'!B:C,2,0)</f>
        <v>副官</v>
      </c>
      <c r="G617" s="61" t="s">
        <v>2330</v>
      </c>
      <c r="H617" s="61" t="s">
        <v>2331</v>
      </c>
      <c r="I617" s="61" t="str">
        <f>VLOOKUP(F617,'#对话模型配置'!A:O,15,FALSE)</f>
        <v>newbie_oversea_axe</v>
      </c>
      <c r="J617" s="61" t="s">
        <v>2347</v>
      </c>
      <c r="K617" s="84" t="str">
        <f t="shared" si="58"/>
        <v>殿下，要不要现在&lt;color=#FFCC71&gt;召集士兵&lt;/color&gt;？虽然我们只剩几个人，但至少——</v>
      </c>
      <c r="U617" s="61">
        <v>2</v>
      </c>
      <c r="V617" s="61">
        <v>0</v>
      </c>
      <c r="X617" s="61">
        <v>30011</v>
      </c>
      <c r="Y617" s="61" t="b">
        <v>1</v>
      </c>
      <c r="Z617" s="114" t="s">
        <v>2348</v>
      </c>
      <c r="AA617" s="61" t="b">
        <v>0</v>
      </c>
      <c r="AD617" s="61">
        <v>7.1733331680297896</v>
      </c>
      <c r="AE617" s="61">
        <f t="shared" si="59"/>
        <v>8.1733331680297887</v>
      </c>
      <c r="AH617" s="61">
        <v>0.1</v>
      </c>
      <c r="AI617" s="61">
        <v>1</v>
      </c>
      <c r="AL617" s="108">
        <v>35</v>
      </c>
      <c r="AT617" s="61" t="str">
        <f t="shared" si="60"/>
        <v>殿下，要不要现在&lt;color=#FFCC71&gt;召集士兵&lt;/color&gt;？虽然我们只剩几个人，但至少——</v>
      </c>
      <c r="AU617" s="61" t="s">
        <v>2349</v>
      </c>
      <c r="AV617" s="114"/>
      <c r="AW617" s="61" t="s">
        <v>2350</v>
      </c>
    </row>
    <row r="618" spans="1:50" s="61" customFormat="1" ht="14">
      <c r="A618" s="61">
        <v>1060003</v>
      </c>
      <c r="B618" s="61" t="s">
        <v>2328</v>
      </c>
      <c r="C618" s="61">
        <v>3</v>
      </c>
      <c r="D618" s="61" t="str">
        <f t="shared" si="61"/>
        <v>新手海外-TID_DialogueConf_1060001_name_337966742914_CN_Main</v>
      </c>
      <c r="E618" s="61" t="s">
        <v>2329</v>
      </c>
      <c r="F618" s="20" t="str">
        <f>VLOOKUP(G618,'#TID_base_up'!B:C,2,0)</f>
        <v>安德莉亚</v>
      </c>
      <c r="G618" s="61" t="s">
        <v>2335</v>
      </c>
      <c r="H618" s="61" t="s">
        <v>2331</v>
      </c>
      <c r="I618" s="61" t="str">
        <f>VLOOKUP(F618,'#对话模型配置'!A:O,15,FALSE)</f>
        <v>newbie_oversea_andrea</v>
      </c>
      <c r="J618" s="61" t="s">
        <v>2351</v>
      </c>
      <c r="K618" s="84" t="str">
        <f t="shared" si="58"/>
        <v>先等等，看看情况再说。</v>
      </c>
      <c r="U618" s="61">
        <v>2</v>
      </c>
      <c r="V618" s="61">
        <v>0</v>
      </c>
      <c r="X618" s="61">
        <v>30011</v>
      </c>
      <c r="Y618" s="61" t="b">
        <v>1</v>
      </c>
      <c r="Z618" s="114" t="s">
        <v>2352</v>
      </c>
      <c r="AA618" s="61" t="b">
        <v>0</v>
      </c>
      <c r="AD618" s="61">
        <v>1.82829201221466</v>
      </c>
      <c r="AE618" s="61">
        <f t="shared" si="59"/>
        <v>2.8282920122146598</v>
      </c>
      <c r="AH618" s="61">
        <v>0.1</v>
      </c>
      <c r="AI618" s="61">
        <v>1</v>
      </c>
      <c r="AL618" s="108">
        <v>35</v>
      </c>
      <c r="AT618" s="61" t="str">
        <f t="shared" si="60"/>
        <v>先等等，看看情况再说。</v>
      </c>
      <c r="AU618" s="61" t="s">
        <v>2353</v>
      </c>
      <c r="AV618" s="114"/>
    </row>
    <row r="619" spans="1:50" s="61" customFormat="1" ht="14">
      <c r="A619" s="61">
        <v>1060004</v>
      </c>
      <c r="B619" s="61" t="s">
        <v>2328</v>
      </c>
      <c r="C619" s="61">
        <v>1</v>
      </c>
      <c r="D619" s="61" t="str">
        <f t="shared" si="61"/>
        <v>新手海外-TID_DialogueConf_1060001_name_CN_Main</v>
      </c>
      <c r="E619" s="61" t="s">
        <v>2329</v>
      </c>
      <c r="F619" s="20" t="str">
        <f>VLOOKUP(G619,'#TID_base_up'!B:C,2,0)</f>
        <v>副官</v>
      </c>
      <c r="G619" s="61" t="s">
        <v>2330</v>
      </c>
      <c r="H619" s="61" t="s">
        <v>2331</v>
      </c>
      <c r="I619" s="61" t="str">
        <f>VLOOKUP(F619,'#对话模型配置'!A:O,15,FALSE)</f>
        <v>newbie_oversea_axe</v>
      </c>
      <c r="J619" s="61" t="s">
        <v>2354</v>
      </c>
      <c r="K619" s="84" t="str">
        <f t="shared" si="58"/>
        <v>警戒！有野兽！</v>
      </c>
      <c r="U619" s="61">
        <v>2</v>
      </c>
      <c r="V619" s="61">
        <v>0</v>
      </c>
      <c r="X619" s="61">
        <v>30011</v>
      </c>
      <c r="Y619" s="61" t="b">
        <v>1</v>
      </c>
      <c r="Z619" s="114" t="s">
        <v>2355</v>
      </c>
      <c r="AA619" s="61" t="b">
        <v>0</v>
      </c>
      <c r="AD619" s="61">
        <v>2.39327096939087</v>
      </c>
      <c r="AE619" s="61">
        <f t="shared" si="59"/>
        <v>3.39327096939087</v>
      </c>
      <c r="AH619" s="61">
        <v>0.1</v>
      </c>
      <c r="AI619" s="61">
        <v>1</v>
      </c>
      <c r="AL619" s="108">
        <v>35</v>
      </c>
      <c r="AT619" s="61" t="str">
        <f t="shared" si="60"/>
        <v>警戒！有野兽！</v>
      </c>
      <c r="AU619" s="61" t="s">
        <v>2356</v>
      </c>
      <c r="AV619" s="114"/>
    </row>
    <row r="620" spans="1:50" s="61" customFormat="1" ht="14">
      <c r="A620" s="61">
        <v>1060005</v>
      </c>
      <c r="B620" s="61" t="s">
        <v>2328</v>
      </c>
      <c r="C620" s="61">
        <v>1</v>
      </c>
      <c r="D620" s="61" t="str">
        <f t="shared" si="61"/>
        <v>新手海外-TID_DialogueConf_1060001_name_CN_Main</v>
      </c>
      <c r="E620" s="61" t="s">
        <v>2329</v>
      </c>
      <c r="F620" s="20" t="str">
        <f>VLOOKUP(G620,'#TID_base_up'!B:C,2,0)</f>
        <v>副官</v>
      </c>
      <c r="G620" s="61" t="s">
        <v>2330</v>
      </c>
      <c r="H620" s="61" t="s">
        <v>2331</v>
      </c>
      <c r="I620" s="61" t="str">
        <f>VLOOKUP(F620,'#对话模型配置'!A:O,15,FALSE)</f>
        <v>newbie_oversea_axe</v>
      </c>
      <c r="J620" s="61" t="s">
        <v>2357</v>
      </c>
      <c r="K620" s="84" t="str">
        <f t="shared" si="58"/>
        <v>殿下，小心！</v>
      </c>
      <c r="U620" s="61">
        <v>2</v>
      </c>
      <c r="V620" s="61">
        <v>0</v>
      </c>
      <c r="X620" s="61">
        <v>30011</v>
      </c>
      <c r="Y620" s="61" t="b">
        <v>1</v>
      </c>
      <c r="Z620" s="114" t="s">
        <v>2358</v>
      </c>
      <c r="AA620" s="61" t="b">
        <v>0</v>
      </c>
      <c r="AD620" s="61">
        <v>1.2787499427795399</v>
      </c>
      <c r="AE620" s="61">
        <f t="shared" si="59"/>
        <v>2.2787499427795401</v>
      </c>
      <c r="AH620" s="61">
        <v>0.1</v>
      </c>
      <c r="AI620" s="61">
        <v>1</v>
      </c>
      <c r="AL620" s="108">
        <v>35</v>
      </c>
      <c r="AT620" s="61" t="str">
        <f t="shared" si="60"/>
        <v>殿下，小心！</v>
      </c>
      <c r="AU620" s="61" t="s">
        <v>2359</v>
      </c>
      <c r="AV620" s="114"/>
    </row>
    <row r="621" spans="1:50" s="61" customFormat="1" ht="14">
      <c r="A621" s="61">
        <v>1060006</v>
      </c>
      <c r="B621" s="61" t="s">
        <v>2328</v>
      </c>
      <c r="C621" s="61">
        <v>1</v>
      </c>
      <c r="D621" s="61" t="str">
        <f t="shared" si="61"/>
        <v>新手海外-TID_DialogueConf_1060001_name_CN_Main</v>
      </c>
      <c r="E621" s="61" t="s">
        <v>2329</v>
      </c>
      <c r="F621" s="20" t="str">
        <f>VLOOKUP(G621,'#TID_base_up'!B:C,2,0)</f>
        <v>副官</v>
      </c>
      <c r="G621" s="61" t="s">
        <v>2330</v>
      </c>
      <c r="H621" s="61" t="s">
        <v>2331</v>
      </c>
      <c r="I621" s="61" t="str">
        <f>VLOOKUP(F621,'#对话模型配置'!A:O,15,FALSE)</f>
        <v>newbie_oversea_axe</v>
      </c>
      <c r="J621" s="61" t="s">
        <v>2360</v>
      </c>
      <c r="K621" s="84" t="str">
        <f t="shared" si="58"/>
        <v>公主殿下，凯恩他已经……他还只是个孩子。</v>
      </c>
      <c r="U621" s="61">
        <v>2</v>
      </c>
      <c r="V621" s="61">
        <v>0</v>
      </c>
      <c r="X621" s="61">
        <v>30011</v>
      </c>
      <c r="Y621" s="61" t="b">
        <v>1</v>
      </c>
      <c r="Z621" s="114" t="s">
        <v>2361</v>
      </c>
      <c r="AA621" s="61" t="b">
        <v>0</v>
      </c>
      <c r="AD621" s="61">
        <v>4.6186671257018999</v>
      </c>
      <c r="AE621" s="61">
        <f t="shared" si="59"/>
        <v>5.6186671257018999</v>
      </c>
      <c r="AH621" s="61">
        <v>0.1</v>
      </c>
      <c r="AI621" s="61">
        <v>1</v>
      </c>
      <c r="AL621" s="108">
        <v>35</v>
      </c>
      <c r="AT621" s="61" t="str">
        <f t="shared" si="60"/>
        <v>公主殿下，凯恩他已经……他还只是个孩子。</v>
      </c>
      <c r="AU621" s="61" t="s">
        <v>2362</v>
      </c>
      <c r="AV621" s="114"/>
    </row>
    <row r="622" spans="1:50" s="61" customFormat="1" ht="28">
      <c r="A622" s="61">
        <v>1060006</v>
      </c>
      <c r="B622" s="61" t="s">
        <v>2328</v>
      </c>
      <c r="C622" s="61">
        <v>2</v>
      </c>
      <c r="D622" s="61" t="str">
        <f t="shared" si="61"/>
        <v>新手海外-TID_DialogueConf_1060001_name_337966742914_CN_Main</v>
      </c>
      <c r="E622" s="61" t="s">
        <v>2329</v>
      </c>
      <c r="F622" s="20" t="str">
        <f>VLOOKUP(G622,'#TID_base_up'!B:C,2,0)</f>
        <v>安德莉亚</v>
      </c>
      <c r="G622" s="61" t="s">
        <v>2335</v>
      </c>
      <c r="H622" s="61" t="s">
        <v>2331</v>
      </c>
      <c r="I622" s="61" t="str">
        <f>VLOOKUP(F622,'#对话模型配置'!A:O,15,FALSE)</f>
        <v>newbie_oversea_andrea</v>
      </c>
      <c r="J622" s="61" t="s">
        <v>2363</v>
      </c>
      <c r="K622" s="84" t="str">
        <f t="shared" si="58"/>
        <v>在战争中幸存，却死在了这里......就只剩我们三个人了，大家小心行事</v>
      </c>
      <c r="U622" s="61">
        <v>2</v>
      </c>
      <c r="V622" s="61">
        <v>0</v>
      </c>
      <c r="X622" s="61">
        <v>30011</v>
      </c>
      <c r="Y622" s="61" t="b">
        <v>1</v>
      </c>
      <c r="Z622" s="114" t="s">
        <v>2364</v>
      </c>
      <c r="AA622" s="61" t="b">
        <v>0</v>
      </c>
      <c r="AD622" s="61">
        <v>6.41066598892212</v>
      </c>
      <c r="AE622" s="61">
        <f t="shared" si="59"/>
        <v>7.41066598892212</v>
      </c>
      <c r="AH622" s="61">
        <v>0.1</v>
      </c>
      <c r="AI622" s="61">
        <v>1</v>
      </c>
      <c r="AL622" s="108">
        <v>35</v>
      </c>
      <c r="AT622" s="61" t="str">
        <f t="shared" si="60"/>
        <v>在战争中幸存，却死在了这里......就只剩我们三个人了，大家小心行事</v>
      </c>
      <c r="AU622" s="61" t="s">
        <v>2365</v>
      </c>
      <c r="AV622" s="114"/>
    </row>
    <row r="623" spans="1:50" s="61" customFormat="1" ht="28">
      <c r="A623" s="61">
        <v>1060006</v>
      </c>
      <c r="B623" s="61" t="s">
        <v>2328</v>
      </c>
      <c r="C623" s="61">
        <v>3</v>
      </c>
      <c r="D623" s="61" t="str">
        <f t="shared" si="61"/>
        <v>新手海外-TID_DialogueConf_1060001_name_CN_Main</v>
      </c>
      <c r="E623" s="61" t="s">
        <v>2329</v>
      </c>
      <c r="F623" s="20" t="str">
        <f>VLOOKUP(G623,'#TID_base_up'!B:C,2,0)</f>
        <v>副官</v>
      </c>
      <c r="G623" s="61" t="s">
        <v>2330</v>
      </c>
      <c r="H623" s="61" t="s">
        <v>2331</v>
      </c>
      <c r="I623" s="61" t="str">
        <f>VLOOKUP(F623,'#对话模型配置'!A:O,15,FALSE)</f>
        <v>newbie_oversea_axe</v>
      </c>
      <c r="J623" s="61" t="s">
        <v>2366</v>
      </c>
      <c r="K623" s="84" t="str">
        <f t="shared" si="58"/>
        <v>那些&lt;color=#FFCC71&gt;尸体&lt;/color&gt;，好像是当地的&lt;color=#FFCC71&gt;官员&lt;/color&gt;。</v>
      </c>
      <c r="U623" s="61">
        <v>2</v>
      </c>
      <c r="V623" s="61">
        <v>0</v>
      </c>
      <c r="X623" s="61">
        <v>30011</v>
      </c>
      <c r="Y623" s="61" t="b">
        <v>1</v>
      </c>
      <c r="Z623" s="114" t="s">
        <v>2367</v>
      </c>
      <c r="AA623" s="61" t="b">
        <v>0</v>
      </c>
      <c r="AD623" s="61">
        <v>2.8906669616699201</v>
      </c>
      <c r="AE623" s="61">
        <f t="shared" si="59"/>
        <v>3.8906669616699201</v>
      </c>
      <c r="AH623" s="61">
        <v>0.1</v>
      </c>
      <c r="AI623" s="61">
        <v>1</v>
      </c>
      <c r="AL623" s="108">
        <v>35</v>
      </c>
      <c r="AT623" s="61" t="str">
        <f t="shared" si="60"/>
        <v>那些&lt;color=#FFCC71&gt;尸体&lt;/color&gt;，好像是当地的&lt;color=#FFCC71&gt;官员&lt;/color&gt;。</v>
      </c>
      <c r="AU623" s="61" t="s">
        <v>2368</v>
      </c>
      <c r="AV623" s="114"/>
      <c r="AW623" s="61" t="s">
        <v>2369</v>
      </c>
      <c r="AX623" s="61" t="s">
        <v>2370</v>
      </c>
    </row>
    <row r="624" spans="1:50" s="61" customFormat="1" ht="14">
      <c r="A624" s="61">
        <v>1060006</v>
      </c>
      <c r="B624" s="61" t="s">
        <v>2328</v>
      </c>
      <c r="C624" s="61">
        <v>4</v>
      </c>
      <c r="D624" s="61" t="str">
        <f t="shared" si="61"/>
        <v>新手海外-TID_DialogueConf_1060001_name_337966742914_CN_Main</v>
      </c>
      <c r="E624" s="61" t="s">
        <v>2329</v>
      </c>
      <c r="F624" s="20" t="str">
        <f>VLOOKUP(G624,'#TID_base_up'!B:C,2,0)</f>
        <v>安德莉亚</v>
      </c>
      <c r="G624" s="61" t="s">
        <v>2335</v>
      </c>
      <c r="H624" s="61" t="s">
        <v>2331</v>
      </c>
      <c r="I624" s="61" t="str">
        <f>VLOOKUP(F624,'#对话模型配置'!A:O,15,FALSE)</f>
        <v>newbie_oversea_andrea</v>
      </c>
      <c r="J624" s="61" t="s">
        <v>2371</v>
      </c>
      <c r="K624" s="84" t="str">
        <f t="shared" si="58"/>
        <v>这些当地的朋友看来已经没法跟我们谈判了，先走吧。</v>
      </c>
      <c r="U624" s="61">
        <v>2</v>
      </c>
      <c r="V624" s="61">
        <v>0</v>
      </c>
      <c r="X624" s="61">
        <v>30011</v>
      </c>
      <c r="Y624" s="61" t="b">
        <v>1</v>
      </c>
      <c r="Z624" s="114" t="s">
        <v>2372</v>
      </c>
      <c r="AA624" s="61" t="b">
        <v>0</v>
      </c>
      <c r="AD624" s="61">
        <v>5.2293329238891602</v>
      </c>
      <c r="AE624" s="61">
        <f t="shared" si="59"/>
        <v>6.2293329238891602</v>
      </c>
      <c r="AH624" s="61">
        <v>0.1</v>
      </c>
      <c r="AI624" s="61">
        <v>1</v>
      </c>
      <c r="AL624" s="108">
        <v>35</v>
      </c>
      <c r="AT624" s="61" t="str">
        <f t="shared" si="60"/>
        <v>这些当地的朋友看来已经没法跟我们谈判了，先走吧。</v>
      </c>
      <c r="AU624" s="61" t="s">
        <v>2373</v>
      </c>
      <c r="AV624" s="114"/>
    </row>
    <row r="625" spans="1:49" s="61" customFormat="1" ht="28">
      <c r="A625" s="61">
        <v>1060007</v>
      </c>
      <c r="B625" s="61" t="s">
        <v>2328</v>
      </c>
      <c r="C625" s="61">
        <v>1</v>
      </c>
      <c r="D625" s="61" t="str">
        <f t="shared" si="61"/>
        <v>新手海外-TID_DialogueConf_1060001_name_CN_Main</v>
      </c>
      <c r="E625" s="61" t="s">
        <v>2329</v>
      </c>
      <c r="F625" s="20" t="str">
        <f>VLOOKUP(G625,'#TID_base_up'!B:C,2,0)</f>
        <v>副官</v>
      </c>
      <c r="G625" s="61" t="s">
        <v>2330</v>
      </c>
      <c r="H625" s="61" t="s">
        <v>2331</v>
      </c>
      <c r="I625" s="61" t="str">
        <f>VLOOKUP(F625,'#对话模型配置'!A:O,15,FALSE)</f>
        <v>newbie_oversea_axe</v>
      </c>
      <c r="J625" s="61" t="s">
        <v>2374</v>
      </c>
      <c r="K625" s="84" t="str">
        <f t="shared" si="58"/>
        <v>根据斥候的报告，这里再往前走就是&lt;color=#FFCC71&gt;民居&lt;/color&gt;，但怎么到现在一个人都没看到。</v>
      </c>
      <c r="U625" s="61">
        <v>2</v>
      </c>
      <c r="V625" s="61">
        <v>0</v>
      </c>
      <c r="X625" s="61">
        <v>30011</v>
      </c>
      <c r="Y625" s="61" t="b">
        <v>1</v>
      </c>
      <c r="Z625" s="114" t="s">
        <v>2375</v>
      </c>
      <c r="AA625" s="61" t="b">
        <v>0</v>
      </c>
      <c r="AD625" s="61">
        <v>6.3759999275207502</v>
      </c>
      <c r="AE625" s="61">
        <f t="shared" si="59"/>
        <v>7.3759999275207502</v>
      </c>
      <c r="AH625" s="61">
        <v>0.1</v>
      </c>
      <c r="AI625" s="61">
        <v>1</v>
      </c>
      <c r="AL625" s="108">
        <v>35</v>
      </c>
      <c r="AT625" s="61" t="str">
        <f t="shared" si="60"/>
        <v>根据斥候的报告，这里再往前走就是&lt;color=#FFCC71&gt;民居&lt;/color&gt;，但怎么到现在一个人都没看到。</v>
      </c>
      <c r="AU625" s="61" t="s">
        <v>2376</v>
      </c>
      <c r="AV625" s="114"/>
      <c r="AW625" s="61" t="s">
        <v>2377</v>
      </c>
    </row>
    <row r="626" spans="1:49" s="61" customFormat="1" ht="28">
      <c r="A626" s="61">
        <v>1060007</v>
      </c>
      <c r="B626" s="61" t="s">
        <v>2328</v>
      </c>
      <c r="C626" s="61">
        <v>2</v>
      </c>
      <c r="D626" s="61" t="str">
        <f t="shared" si="61"/>
        <v>新手海外-TID_DialogueConf_1060001_name_337966742914_CN_Main</v>
      </c>
      <c r="E626" s="61" t="s">
        <v>2329</v>
      </c>
      <c r="F626" s="20" t="str">
        <f>VLOOKUP(G626,'#TID_base_up'!B:C,2,0)</f>
        <v>安德莉亚</v>
      </c>
      <c r="G626" s="61" t="s">
        <v>2335</v>
      </c>
      <c r="H626" s="61" t="s">
        <v>2331</v>
      </c>
      <c r="I626" s="61" t="str">
        <f>VLOOKUP(F626,'#对话模型配置'!A:O,15,FALSE)</f>
        <v>newbie_oversea_andrea</v>
      </c>
      <c r="J626" s="61" t="s">
        <v>2378</v>
      </c>
      <c r="K626" s="84" t="str">
        <f t="shared" si="58"/>
        <v>四周有行军的痕迹，小心点，在狼群到来之前，这里恐怕已经有了&lt;color=#FFCC71&gt;其他不速之客&lt;/color&gt;。</v>
      </c>
      <c r="U626" s="61">
        <v>2</v>
      </c>
      <c r="V626" s="61">
        <v>0</v>
      </c>
      <c r="X626" s="61">
        <v>30011</v>
      </c>
      <c r="Y626" s="61" t="b">
        <v>1</v>
      </c>
      <c r="Z626" s="114" t="s">
        <v>2379</v>
      </c>
      <c r="AA626" s="61" t="b">
        <v>0</v>
      </c>
      <c r="AD626" s="61">
        <v>8.3826665878295898</v>
      </c>
      <c r="AE626" s="61">
        <f t="shared" si="59"/>
        <v>9.3826665878295898</v>
      </c>
      <c r="AH626" s="61">
        <v>0.1</v>
      </c>
      <c r="AI626" s="61">
        <v>1</v>
      </c>
      <c r="AL626" s="108">
        <v>35</v>
      </c>
      <c r="AT626" s="61" t="str">
        <f t="shared" si="60"/>
        <v>四周有行军的痕迹，小心点，在狼群到来之前，这里恐怕已经有了&lt;color=#FFCC71&gt;其他不速之客&lt;/color&gt;。</v>
      </c>
      <c r="AU626" s="61" t="s">
        <v>2380</v>
      </c>
      <c r="AV626" s="114"/>
      <c r="AW626" s="61" t="s">
        <v>2381</v>
      </c>
    </row>
    <row r="627" spans="1:49" s="61" customFormat="1" ht="14.5">
      <c r="A627" s="61">
        <v>1060008</v>
      </c>
      <c r="B627" s="61" t="s">
        <v>2328</v>
      </c>
      <c r="C627" s="61">
        <v>1</v>
      </c>
      <c r="D627" s="61" t="str">
        <f t="shared" si="61"/>
        <v>新手海外-TID_DialogueConf_1060001_name_337966742914_CN_Main</v>
      </c>
      <c r="E627" s="61" t="s">
        <v>2329</v>
      </c>
      <c r="F627" s="20" t="str">
        <f>VLOOKUP(G627,'#TID_base_up'!B:C,2,0)</f>
        <v>安德莉亚</v>
      </c>
      <c r="G627" s="61" t="s">
        <v>2335</v>
      </c>
      <c r="H627" s="61" t="s">
        <v>2331</v>
      </c>
      <c r="I627" s="61" t="str">
        <f>VLOOKUP(F627,'#对话模型配置'!A:O,15,FALSE)</f>
        <v>newbie_oversea_andrea</v>
      </c>
      <c r="J627" s="61" t="s">
        <v>2382</v>
      </c>
      <c r="K627" s="121" t="s">
        <v>2383</v>
      </c>
      <c r="U627" s="61">
        <v>2</v>
      </c>
      <c r="V627" s="61">
        <v>0</v>
      </c>
      <c r="X627" s="61">
        <v>30011</v>
      </c>
      <c r="Y627" s="61" t="b">
        <v>1</v>
      </c>
      <c r="Z627" s="114" t="s">
        <v>2384</v>
      </c>
      <c r="AA627" s="61" t="b">
        <v>0</v>
      </c>
      <c r="AD627" s="61">
        <v>2.0053329467773402</v>
      </c>
      <c r="AE627" s="61">
        <f t="shared" si="59"/>
        <v>3.0053329467773402</v>
      </c>
      <c r="AH627" s="61">
        <v>0.1</v>
      </c>
      <c r="AI627" s="61">
        <v>1</v>
      </c>
      <c r="AL627" s="108">
        <v>35</v>
      </c>
      <c r="AT627" s="61" t="str">
        <f t="shared" si="60"/>
        <v>&lt;color=#FFCC71&gt;居民房舍&lt;/color&gt;竟然被弄成这个样子......</v>
      </c>
      <c r="AU627" s="61" t="s">
        <v>2385</v>
      </c>
      <c r="AV627" s="114"/>
      <c r="AW627" s="61" t="s">
        <v>715</v>
      </c>
    </row>
    <row r="628" spans="1:49" s="61" customFormat="1" ht="27" customHeight="1">
      <c r="A628" s="61">
        <v>1060008</v>
      </c>
      <c r="B628" s="61" t="s">
        <v>2328</v>
      </c>
      <c r="C628" s="61">
        <v>2</v>
      </c>
      <c r="D628" s="61" t="str">
        <f t="shared" si="61"/>
        <v>新手海外-TID_DialogueConf_1060001_name_CN_Main</v>
      </c>
      <c r="E628" s="61" t="s">
        <v>2329</v>
      </c>
      <c r="F628" s="20" t="str">
        <f>VLOOKUP(G628,'#TID_base_up'!B:C,2,0)</f>
        <v>副官</v>
      </c>
      <c r="G628" s="61" t="s">
        <v>2330</v>
      </c>
      <c r="H628" s="61" t="s">
        <v>2331</v>
      </c>
      <c r="I628" s="61" t="str">
        <f>VLOOKUP(F628,'#对话模型配置'!A:O,15,FALSE)</f>
        <v>newbie_oversea_axe</v>
      </c>
      <c r="J628" s="61" t="s">
        <v>2386</v>
      </c>
      <c r="K628" s="121" t="s">
        <v>2387</v>
      </c>
      <c r="U628" s="61">
        <v>2</v>
      </c>
      <c r="V628" s="61">
        <v>0</v>
      </c>
      <c r="X628" s="61">
        <v>30011</v>
      </c>
      <c r="Y628" s="61" t="b">
        <v>1</v>
      </c>
      <c r="Z628" s="114" t="s">
        <v>2388</v>
      </c>
      <c r="AA628" s="61" t="b">
        <v>0</v>
      </c>
      <c r="AD628" s="61">
        <v>5.3119997978210396</v>
      </c>
      <c r="AE628" s="61">
        <f t="shared" si="59"/>
        <v>6.3119997978210396</v>
      </c>
      <c r="AH628" s="61">
        <v>0.1</v>
      </c>
      <c r="AI628" s="61">
        <v>1</v>
      </c>
      <c r="AL628" s="108">
        <v>35</v>
      </c>
      <c r="AT628" s="61" t="str">
        <f t="shared" si="60"/>
        <v>殿下，我想我们可以先用&lt;color=#FFCC71&gt;周边散落的木材&lt;/color&gt;修复一下它。</v>
      </c>
      <c r="AU628" s="61" t="s">
        <v>2389</v>
      </c>
      <c r="AV628" s="114"/>
      <c r="AW628" s="61" t="s">
        <v>2390</v>
      </c>
    </row>
    <row r="629" spans="1:49" s="61" customFormat="1" ht="27" customHeight="1">
      <c r="A629" s="61">
        <v>1060009</v>
      </c>
      <c r="B629" s="61" t="s">
        <v>2328</v>
      </c>
      <c r="C629" s="61">
        <v>1</v>
      </c>
      <c r="D629" s="61" t="str">
        <f t="shared" si="61"/>
        <v>新手海外-TID_DialogueConf_1060001_name_337966742914_CN_Main</v>
      </c>
      <c r="E629" s="61" t="s">
        <v>2329</v>
      </c>
      <c r="F629" s="20" t="str">
        <f>VLOOKUP(G629,'#TID_base_up'!B:C,2,0)</f>
        <v>安德莉亚</v>
      </c>
      <c r="G629" s="61" t="s">
        <v>2335</v>
      </c>
      <c r="H629" s="61" t="s">
        <v>2331</v>
      </c>
      <c r="I629" s="61" t="str">
        <f>VLOOKUP(F629,'#对话模型配置'!A:O,15,FALSE)</f>
        <v>newbie_oversea_andrea</v>
      </c>
      <c r="J629" s="61" t="s">
        <v>2391</v>
      </c>
      <c r="K629" s="84" t="str">
        <f t="shared" si="58"/>
        <v>（我当上公主的时候可没想过会有亲自捡垃圾的一天）</v>
      </c>
      <c r="U629" s="61">
        <v>2</v>
      </c>
      <c r="V629" s="61">
        <v>0</v>
      </c>
      <c r="X629" s="61">
        <v>30011</v>
      </c>
      <c r="Y629" s="61" t="b">
        <v>1</v>
      </c>
      <c r="Z629" s="114" t="s">
        <v>2392</v>
      </c>
      <c r="AA629" s="61" t="b">
        <v>0</v>
      </c>
      <c r="AD629" s="61">
        <v>3.94666695594788</v>
      </c>
      <c r="AE629" s="61">
        <f t="shared" si="59"/>
        <v>4.9466669559478795</v>
      </c>
      <c r="AH629" s="61">
        <v>0.1</v>
      </c>
      <c r="AI629" s="61">
        <v>1</v>
      </c>
      <c r="AL629" s="108">
        <v>35</v>
      </c>
      <c r="AT629" s="61" t="str">
        <f t="shared" si="60"/>
        <v>（我当上公主的时候可没想过会有亲自捡垃圾的一天）</v>
      </c>
      <c r="AU629" s="61" t="s">
        <v>2393</v>
      </c>
      <c r="AV629" s="114"/>
    </row>
    <row r="630" spans="1:49" s="61" customFormat="1" ht="27" customHeight="1">
      <c r="A630" s="61">
        <v>1060010</v>
      </c>
      <c r="B630" s="61" t="s">
        <v>2328</v>
      </c>
      <c r="C630" s="61">
        <v>1</v>
      </c>
      <c r="D630" s="61" t="str">
        <f t="shared" si="61"/>
        <v>新手海外-TID_DialogueConf_1060001_name_CN_Main</v>
      </c>
      <c r="E630" s="61" t="s">
        <v>2329</v>
      </c>
      <c r="F630" s="20" t="str">
        <f>VLOOKUP(G630,'#TID_base_up'!B:C,2,0)</f>
        <v>副官</v>
      </c>
      <c r="G630" s="61" t="s">
        <v>2330</v>
      </c>
      <c r="H630" s="61" t="s">
        <v>2331</v>
      </c>
      <c r="I630" s="61" t="str">
        <f>VLOOKUP(F630,'#对话模型配置'!A:O,15,FALSE)</f>
        <v>newbie_oversea_axe</v>
      </c>
      <c r="J630" s="61" t="s">
        <v>2394</v>
      </c>
      <c r="K630" s="84" t="str">
        <f t="shared" si="58"/>
        <v>木材够了，通知我们的村民，现在开始&lt;color=#FFCC71&gt;修复房舍&lt;/color&gt;！</v>
      </c>
      <c r="U630" s="61">
        <v>2</v>
      </c>
      <c r="V630" s="61">
        <v>0</v>
      </c>
      <c r="X630" s="61">
        <v>30011</v>
      </c>
      <c r="Y630" s="61" t="b">
        <v>1</v>
      </c>
      <c r="Z630" s="114" t="s">
        <v>2395</v>
      </c>
      <c r="AA630" s="61" t="b">
        <v>0</v>
      </c>
      <c r="AD630" s="61">
        <v>5.9840002059936497</v>
      </c>
      <c r="AE630" s="61">
        <f t="shared" si="59"/>
        <v>6.9840002059936497</v>
      </c>
      <c r="AH630" s="61">
        <v>0.1</v>
      </c>
      <c r="AI630" s="61">
        <v>1</v>
      </c>
      <c r="AL630" s="108">
        <v>35</v>
      </c>
      <c r="AT630" s="61" t="str">
        <f t="shared" si="60"/>
        <v>木材够了，通知我们的村民，现在开始&lt;color=#FFCC71&gt;修复房舍&lt;/color&gt;！</v>
      </c>
      <c r="AU630" s="61" t="s">
        <v>2396</v>
      </c>
      <c r="AV630" s="114"/>
      <c r="AW630" s="61" t="s">
        <v>2397</v>
      </c>
    </row>
    <row r="631" spans="1:49" s="61" customFormat="1" ht="27" customHeight="1">
      <c r="A631" s="61">
        <v>1060011</v>
      </c>
      <c r="B631" s="61" t="s">
        <v>2328</v>
      </c>
      <c r="C631" s="61">
        <v>1</v>
      </c>
      <c r="D631" s="61" t="str">
        <f t="shared" si="61"/>
        <v>新手海外-TID_DialogueConf_1060001_name_CN_Main</v>
      </c>
      <c r="E631" s="61" t="s">
        <v>2329</v>
      </c>
      <c r="F631" s="20" t="str">
        <f>VLOOKUP(G631,'#TID_base_up'!B:C,2,0)</f>
        <v>副官</v>
      </c>
      <c r="G631" s="61" t="s">
        <v>2330</v>
      </c>
      <c r="H631" s="61" t="s">
        <v>2331</v>
      </c>
      <c r="I631" s="61" t="str">
        <f>VLOOKUP(F631,'#对话模型配置'!A:O,15,FALSE)</f>
        <v>newbie_oversea_axe</v>
      </c>
      <c r="J631" s="61" t="s">
        <v>2398</v>
      </c>
      <c r="K631" s="84" t="str">
        <f t="shared" si="58"/>
        <v>居民房舍已经建好，殿下，我们可以&lt;color=#FFCC71&gt;训练更多的村民&lt;/color&gt;了。</v>
      </c>
      <c r="U631" s="61">
        <v>2</v>
      </c>
      <c r="V631" s="61">
        <v>0</v>
      </c>
      <c r="X631" s="61">
        <v>30011</v>
      </c>
      <c r="Y631" s="61" t="b">
        <v>1</v>
      </c>
      <c r="Z631" s="114" t="s">
        <v>2399</v>
      </c>
      <c r="AA631" s="61" t="b">
        <v>0</v>
      </c>
      <c r="AD631" s="61">
        <v>7.8826670646667498</v>
      </c>
      <c r="AE631" s="61">
        <f t="shared" si="59"/>
        <v>8.8826670646667498</v>
      </c>
      <c r="AH631" s="61">
        <v>0.1</v>
      </c>
      <c r="AI631" s="61">
        <v>1</v>
      </c>
      <c r="AL631" s="108">
        <v>35</v>
      </c>
      <c r="AT631" s="61" t="str">
        <f t="shared" si="60"/>
        <v>居民房舍已经建好，殿下，我们可以&lt;color=#FFCC71&gt;训练更多的村民&lt;/color&gt;了。</v>
      </c>
      <c r="AU631" s="61" t="s">
        <v>2400</v>
      </c>
      <c r="AV631" s="114"/>
      <c r="AW631" s="61" t="s">
        <v>2401</v>
      </c>
    </row>
    <row r="632" spans="1:49" s="61" customFormat="1" ht="27" customHeight="1">
      <c r="A632" s="61">
        <v>1060111</v>
      </c>
      <c r="B632" s="61" t="s">
        <v>2328</v>
      </c>
      <c r="C632" s="61">
        <v>1</v>
      </c>
      <c r="D632" s="61" t="str">
        <f t="shared" si="61"/>
        <v>新手海外-TID_DialogueConf_1060001_name_CN_Main</v>
      </c>
      <c r="E632" s="61" t="s">
        <v>2329</v>
      </c>
      <c r="F632" s="20" t="str">
        <f>VLOOKUP(G632,'#TID_base_up'!B:C,2,0)</f>
        <v>副官</v>
      </c>
      <c r="G632" s="61" t="s">
        <v>2330</v>
      </c>
      <c r="H632" s="61" t="s">
        <v>2331</v>
      </c>
      <c r="I632" s="61" t="str">
        <f>VLOOKUP(F632,'#对话模型配置'!A:O,15,FALSE)</f>
        <v>newbie_oversea_axe</v>
      </c>
      <c r="J632" s="61" t="s">
        <v>2402</v>
      </c>
      <c r="K632" s="84" t="str">
        <f t="shared" si="58"/>
        <v>还有，村民们刚刚发现了一些……我认为您有必要亲自看看。</v>
      </c>
      <c r="U632" s="61">
        <v>2</v>
      </c>
      <c r="V632" s="61">
        <v>0</v>
      </c>
      <c r="X632" s="61">
        <v>30011</v>
      </c>
      <c r="Y632" s="61" t="b">
        <v>1</v>
      </c>
      <c r="Z632" s="114" t="s">
        <v>2403</v>
      </c>
      <c r="AA632" s="61" t="b">
        <v>0</v>
      </c>
      <c r="AD632" s="61">
        <v>7.6213331222534197</v>
      </c>
      <c r="AE632" s="61">
        <f t="shared" si="59"/>
        <v>8.6213331222534197</v>
      </c>
      <c r="AH632" s="61">
        <v>0.1</v>
      </c>
      <c r="AI632" s="61">
        <v>1</v>
      </c>
      <c r="AL632" s="108">
        <v>35</v>
      </c>
      <c r="AT632" s="61" t="str">
        <f t="shared" si="60"/>
        <v>还有，村民们刚刚发现了一些……我认为您有必要亲自看看。</v>
      </c>
      <c r="AU632" s="61" t="s">
        <v>2404</v>
      </c>
      <c r="AV632" s="114"/>
    </row>
    <row r="633" spans="1:49" s="61" customFormat="1" ht="27" customHeight="1">
      <c r="A633" s="61">
        <v>1060012</v>
      </c>
      <c r="B633" s="61" t="s">
        <v>2328</v>
      </c>
      <c r="C633" s="61">
        <v>1</v>
      </c>
      <c r="D633" s="61" t="str">
        <f t="shared" si="61"/>
        <v>新手海外-TID_DialogueConf_1060001_name_337966742914_CN_Main</v>
      </c>
      <c r="E633" s="61" t="s">
        <v>2329</v>
      </c>
      <c r="F633" s="20" t="str">
        <f>VLOOKUP(G633,'#TID_base_up'!B:C,2,0)</f>
        <v>安德莉亚</v>
      </c>
      <c r="G633" s="61" t="s">
        <v>2335</v>
      </c>
      <c r="H633" s="61" t="s">
        <v>2331</v>
      </c>
      <c r="I633" s="61" t="str">
        <f>VLOOKUP(F633,'#对话模型配置'!A:O,15,FALSE)</f>
        <v>newbie_oversea_andrea</v>
      </c>
      <c r="J633" s="61" t="s">
        <v>2405</v>
      </c>
      <c r="K633" s="84" t="str">
        <f t="shared" si="58"/>
        <v>死者的服饰是当地的居民，从现场来看，他们似乎在被人追杀。</v>
      </c>
      <c r="U633" s="61">
        <v>2</v>
      </c>
      <c r="V633" s="61">
        <v>0</v>
      </c>
      <c r="X633" s="61">
        <v>30011</v>
      </c>
      <c r="Y633" s="61" t="b">
        <v>1</v>
      </c>
      <c r="Z633" s="114" t="s">
        <v>2406</v>
      </c>
      <c r="AA633" s="61" t="b">
        <v>0</v>
      </c>
      <c r="AD633" s="61">
        <v>4.9546670913696298</v>
      </c>
      <c r="AE633" s="61">
        <f t="shared" si="59"/>
        <v>5.9546670913696298</v>
      </c>
      <c r="AH633" s="61">
        <v>0.1</v>
      </c>
      <c r="AI633" s="61">
        <v>1</v>
      </c>
      <c r="AL633" s="108">
        <v>35</v>
      </c>
      <c r="AT633" s="61" t="str">
        <f t="shared" si="60"/>
        <v>死者的服饰是当地的居民，从现场来看，他们似乎在被人追杀。</v>
      </c>
      <c r="AU633" s="61" t="s">
        <v>2407</v>
      </c>
      <c r="AV633" s="114"/>
    </row>
    <row r="634" spans="1:49" s="61" customFormat="1" ht="27" customHeight="1">
      <c r="A634" s="61">
        <v>1060012</v>
      </c>
      <c r="B634" s="61" t="s">
        <v>2328</v>
      </c>
      <c r="C634" s="61">
        <v>2</v>
      </c>
      <c r="D634" s="61" t="str">
        <f t="shared" si="61"/>
        <v>新手海外-TID_DialogueConf_1060001_name_CN_Main</v>
      </c>
      <c r="E634" s="61" t="s">
        <v>2329</v>
      </c>
      <c r="F634" s="20" t="str">
        <f>VLOOKUP(G634,'#TID_base_up'!B:C,2,0)</f>
        <v>副官</v>
      </c>
      <c r="G634" s="61" t="s">
        <v>2330</v>
      </c>
      <c r="H634" s="61" t="s">
        <v>2331</v>
      </c>
      <c r="I634" s="61" t="str">
        <f>VLOOKUP(F634,'#对话模型配置'!A:O,15,FALSE)</f>
        <v>newbie_oversea_axe</v>
      </c>
      <c r="J634" s="61" t="s">
        <v>2408</v>
      </c>
      <c r="K634" s="84" t="str">
        <f t="shared" si="58"/>
        <v>殿下，前面的&lt;color=#FFCC71&gt;两条岔路&lt;/color&gt;都有战斗痕迹！</v>
      </c>
      <c r="U634" s="61">
        <v>2</v>
      </c>
      <c r="V634" s="61">
        <v>0</v>
      </c>
      <c r="X634" s="61">
        <v>30011</v>
      </c>
      <c r="Y634" s="61" t="b">
        <v>1</v>
      </c>
      <c r="Z634" s="114" t="s">
        <v>2409</v>
      </c>
      <c r="AA634" s="61" t="b">
        <v>0</v>
      </c>
      <c r="AD634" s="61">
        <v>3.84299993515015</v>
      </c>
      <c r="AE634" s="61">
        <f t="shared" si="59"/>
        <v>4.84299993515015</v>
      </c>
      <c r="AH634" s="61">
        <v>0.1</v>
      </c>
      <c r="AI634" s="61">
        <v>1</v>
      </c>
      <c r="AL634" s="108">
        <v>35</v>
      </c>
      <c r="AT634" s="61" t="str">
        <f t="shared" si="60"/>
        <v>殿下，前面的&lt;color=#FFCC71&gt;两条岔路&lt;/color&gt;都有战斗痕迹！</v>
      </c>
      <c r="AU634" s="61" t="s">
        <v>2410</v>
      </c>
      <c r="AV634" s="114"/>
      <c r="AW634" s="61" t="s">
        <v>2411</v>
      </c>
    </row>
    <row r="635" spans="1:49" s="61" customFormat="1" ht="27" customHeight="1">
      <c r="A635" s="61">
        <v>1060013</v>
      </c>
      <c r="B635" s="61" t="s">
        <v>2328</v>
      </c>
      <c r="C635" s="61">
        <v>1</v>
      </c>
      <c r="D635" s="61" t="str">
        <f t="shared" si="61"/>
        <v>新手海外-TID_DialogueConf_1060607_name_CN_Main</v>
      </c>
      <c r="E635" s="61" t="s">
        <v>2329</v>
      </c>
      <c r="F635" s="20" t="str">
        <f>VLOOKUP(G635,'#TID_base_up'!B:C,2,0)</f>
        <v>乌尔丁</v>
      </c>
      <c r="G635" s="61" t="s">
        <v>2412</v>
      </c>
      <c r="H635" s="61" t="s">
        <v>2331</v>
      </c>
      <c r="I635" s="61" t="str">
        <f>VLOOKUP(F635,'#对话模型配置'!A:O,15,FALSE)</f>
        <v>newbie_oversea_enemy</v>
      </c>
      <c r="J635" s="61" t="s">
        <v>2413</v>
      </c>
      <c r="K635" s="84" t="str">
        <f t="shared" si="58"/>
        <v>没想到这种地方还能碰上这么可爱的小羊羔，正巧我还没玩够。</v>
      </c>
      <c r="U635" s="61">
        <v>2</v>
      </c>
      <c r="V635" s="61">
        <v>0</v>
      </c>
      <c r="X635" s="61">
        <v>30011</v>
      </c>
      <c r="Y635" s="61" t="b">
        <v>1</v>
      </c>
      <c r="Z635" s="114" t="s">
        <v>2414</v>
      </c>
      <c r="AA635" s="61" t="b">
        <v>0</v>
      </c>
      <c r="AD635" s="61">
        <v>5.9029998779296902</v>
      </c>
      <c r="AE635" s="61">
        <f t="shared" si="59"/>
        <v>6.9029998779296902</v>
      </c>
      <c r="AH635" s="61">
        <v>0.1</v>
      </c>
      <c r="AI635" s="61">
        <v>1</v>
      </c>
      <c r="AL635" s="108">
        <v>35</v>
      </c>
      <c r="AT635" s="61" t="str">
        <f t="shared" si="60"/>
        <v>没想到这种地方还能碰上这么可爱的小羊羔，正巧我还没玩够。</v>
      </c>
      <c r="AU635" s="61" t="s">
        <v>2415</v>
      </c>
      <c r="AV635" s="114"/>
    </row>
    <row r="636" spans="1:49" s="61" customFormat="1" ht="27" customHeight="1">
      <c r="A636" s="61">
        <v>1060013</v>
      </c>
      <c r="B636" s="61" t="s">
        <v>2328</v>
      </c>
      <c r="C636" s="61">
        <v>2</v>
      </c>
      <c r="D636" s="61" t="str">
        <f t="shared" si="61"/>
        <v>新手海外-TID_DialogueConf_1060607_name_CN_Main</v>
      </c>
      <c r="E636" s="61" t="s">
        <v>2329</v>
      </c>
      <c r="F636" s="20" t="str">
        <f>VLOOKUP(G636,'#TID_base_up'!B:C,2,0)</f>
        <v>乌尔丁</v>
      </c>
      <c r="G636" s="61" t="s">
        <v>2412</v>
      </c>
      <c r="H636" s="61" t="s">
        <v>2331</v>
      </c>
      <c r="I636" s="61" t="str">
        <f>VLOOKUP(F636,'#对话模型配置'!A:O,15,FALSE)</f>
        <v>newbie_oversea_enemy</v>
      </c>
      <c r="J636" s="61" t="s">
        <v>2416</v>
      </c>
      <c r="K636" s="84" t="str">
        <f t="shared" si="58"/>
        <v>你的手感……嘿嘿，一定比那些村妇好多了。</v>
      </c>
      <c r="U636" s="61">
        <v>2</v>
      </c>
      <c r="V636" s="61">
        <v>0</v>
      </c>
      <c r="X636" s="61">
        <v>30011</v>
      </c>
      <c r="Y636" s="61" t="b">
        <v>1</v>
      </c>
      <c r="Z636" s="114" t="s">
        <v>2417</v>
      </c>
      <c r="AA636" s="61" t="b">
        <v>0</v>
      </c>
      <c r="AD636" s="61">
        <v>4.7908959388732901</v>
      </c>
      <c r="AE636" s="61">
        <f t="shared" si="59"/>
        <v>5.7908959388732901</v>
      </c>
      <c r="AH636" s="61">
        <v>0.1</v>
      </c>
      <c r="AI636" s="61">
        <v>1</v>
      </c>
      <c r="AL636" s="108">
        <v>35</v>
      </c>
      <c r="AT636" s="61" t="str">
        <f t="shared" si="60"/>
        <v>你的手感……嘿嘿，一定比那些村妇好多了。</v>
      </c>
      <c r="AU636" s="61" t="s">
        <v>2418</v>
      </c>
      <c r="AV636" s="114"/>
    </row>
    <row r="637" spans="1:49" s="61" customFormat="1" ht="27" customHeight="1">
      <c r="A637" s="61">
        <v>1060113</v>
      </c>
      <c r="B637" s="61" t="s">
        <v>2328</v>
      </c>
      <c r="C637" s="61">
        <v>1</v>
      </c>
      <c r="D637" s="61" t="str">
        <f t="shared" si="61"/>
        <v>新手海外-TID_DialogueConf_1060001_name_337966742914_CN_Main</v>
      </c>
      <c r="E637" s="61" t="s">
        <v>2329</v>
      </c>
      <c r="F637" s="20" t="str">
        <f>VLOOKUP(G637,'#TID_base_up'!B:C,2,0)</f>
        <v>安德莉亚</v>
      </c>
      <c r="G637" s="61" t="s">
        <v>2335</v>
      </c>
      <c r="H637" s="61" t="s">
        <v>2331</v>
      </c>
      <c r="I637" s="61" t="str">
        <f>VLOOKUP(F637,'#对话模型配置'!A:O,15,FALSE)</f>
        <v>newbie_oversea_andrea</v>
      </c>
      <c r="J637" s="61" t="s">
        <v>2419</v>
      </c>
      <c r="K637" s="84" t="str">
        <f t="shared" si="58"/>
        <v>野蛮人，我会砍下你的脑袋献给逝者，并把你那张嘴彻底堵上！</v>
      </c>
      <c r="U637" s="61">
        <v>2</v>
      </c>
      <c r="V637" s="61">
        <v>0</v>
      </c>
      <c r="X637" s="61">
        <v>30011</v>
      </c>
      <c r="Y637" s="61" t="b">
        <v>1</v>
      </c>
      <c r="Z637" s="114" t="s">
        <v>2420</v>
      </c>
      <c r="AA637" s="61" t="b">
        <v>0</v>
      </c>
      <c r="AD637" s="61">
        <v>7.3493328094482404</v>
      </c>
      <c r="AE637" s="61">
        <f t="shared" si="59"/>
        <v>8.3493328094482404</v>
      </c>
      <c r="AH637" s="61">
        <v>0.1</v>
      </c>
      <c r="AI637" s="61">
        <v>1</v>
      </c>
      <c r="AL637" s="108">
        <v>35</v>
      </c>
      <c r="AT637" s="61" t="str">
        <f t="shared" si="60"/>
        <v>野蛮人，我会砍下你的脑袋献给逝者，并把你那张嘴彻底堵上！</v>
      </c>
      <c r="AU637" s="61" t="s">
        <v>2421</v>
      </c>
      <c r="AV637" s="114"/>
    </row>
    <row r="638" spans="1:49" s="61" customFormat="1" ht="27" customHeight="1">
      <c r="A638" s="61">
        <v>1060113</v>
      </c>
      <c r="B638" s="61" t="s">
        <v>2328</v>
      </c>
      <c r="C638" s="61">
        <v>2</v>
      </c>
      <c r="D638" s="61" t="str">
        <f t="shared" si="61"/>
        <v>新手海外-TID_DialogueConf_1060001_name_CN_Main</v>
      </c>
      <c r="E638" s="61" t="s">
        <v>2329</v>
      </c>
      <c r="F638" s="20" t="str">
        <f>VLOOKUP(G638,'#TID_base_up'!B:C,2,0)</f>
        <v>副官</v>
      </c>
      <c r="G638" s="61" t="s">
        <v>2330</v>
      </c>
      <c r="H638" s="61" t="s">
        <v>2331</v>
      </c>
      <c r="I638" s="61" t="str">
        <f>VLOOKUP(F638,'#对话模型配置'!A:O,15,FALSE)</f>
        <v>newbie_oversea_axe</v>
      </c>
      <c r="J638" s="61" t="s">
        <v>2422</v>
      </c>
      <c r="K638" s="84" t="str">
        <f t="shared" si="58"/>
        <v>集合！保护公主！</v>
      </c>
      <c r="U638" s="61">
        <v>2</v>
      </c>
      <c r="V638" s="61">
        <v>0</v>
      </c>
      <c r="X638" s="61">
        <v>30011</v>
      </c>
      <c r="Y638" s="61" t="b">
        <v>1</v>
      </c>
      <c r="Z638" s="114" t="s">
        <v>2423</v>
      </c>
      <c r="AA638" s="61" t="b">
        <v>0</v>
      </c>
      <c r="AD638" s="61">
        <v>2.1424579620361301</v>
      </c>
      <c r="AE638" s="61">
        <f t="shared" si="59"/>
        <v>3.1424579620361301</v>
      </c>
      <c r="AH638" s="61">
        <v>0.1</v>
      </c>
      <c r="AI638" s="61">
        <v>1</v>
      </c>
      <c r="AL638" s="108">
        <v>35</v>
      </c>
      <c r="AT638" s="61" t="str">
        <f t="shared" si="60"/>
        <v>集合！保护公主！</v>
      </c>
      <c r="AU638" s="61" t="s">
        <v>2424</v>
      </c>
      <c r="AV638" s="114"/>
    </row>
    <row r="639" spans="1:49" s="61" customFormat="1" ht="27" customHeight="1">
      <c r="A639" s="61">
        <v>1060015</v>
      </c>
      <c r="B639" s="61" t="s">
        <v>2328</v>
      </c>
      <c r="C639" s="61">
        <v>1</v>
      </c>
      <c r="D639" s="61" t="str">
        <f t="shared" si="61"/>
        <v>新手海外-TID_DialogueConf_1060607_name_CN_Main</v>
      </c>
      <c r="E639" s="61" t="s">
        <v>2329</v>
      </c>
      <c r="F639" s="20" t="str">
        <f>VLOOKUP(G639,'#TID_base_up'!B:C,2,0)</f>
        <v>乌尔丁</v>
      </c>
      <c r="G639" s="61" t="s">
        <v>2412</v>
      </c>
      <c r="H639" s="61" t="s">
        <v>2331</v>
      </c>
      <c r="I639" s="61" t="str">
        <f>VLOOKUP(F639,'#对话模型配置'!A:O,15,FALSE)</f>
        <v>newbie_oversea_enemy</v>
      </c>
      <c r="J639" s="61" t="s">
        <v>2425</v>
      </c>
      <c r="K639" s="84" t="str">
        <f t="shared" si="58"/>
        <v>你要是杀了我，我老大&lt;color=#FFCC71&gt;血手阿提卡&lt;/color&gt;就会带领我们上百名的勇士，把你们都践踏成灰！</v>
      </c>
      <c r="U639" s="61">
        <v>2</v>
      </c>
      <c r="V639" s="61">
        <v>0</v>
      </c>
      <c r="X639" s="61">
        <v>30011</v>
      </c>
      <c r="Y639" s="61" t="b">
        <v>1</v>
      </c>
      <c r="Z639" s="114" t="s">
        <v>2426</v>
      </c>
      <c r="AA639" s="61" t="b">
        <v>0</v>
      </c>
      <c r="AD639" s="61">
        <v>8.8853330612182599</v>
      </c>
      <c r="AE639" s="61">
        <f t="shared" si="59"/>
        <v>9.8853330612182599</v>
      </c>
      <c r="AH639" s="61">
        <v>0.1</v>
      </c>
      <c r="AI639" s="61">
        <v>1</v>
      </c>
      <c r="AL639" s="108">
        <v>35</v>
      </c>
      <c r="AT639" s="61" t="str">
        <f t="shared" si="60"/>
        <v>你要是杀了我，我老大&lt;color=#FFCC71&gt;血手阿提卡&lt;/color&gt;就会带领我们上百名的勇士，把你们都践踏成灰！</v>
      </c>
      <c r="AU639" s="61" t="s">
        <v>2427</v>
      </c>
      <c r="AV639" s="114"/>
      <c r="AW639" s="61" t="s">
        <v>2428</v>
      </c>
    </row>
    <row r="640" spans="1:49" s="61" customFormat="1" ht="27" customHeight="1">
      <c r="A640" s="61">
        <v>1060015</v>
      </c>
      <c r="B640" s="61" t="s">
        <v>2328</v>
      </c>
      <c r="C640" s="61">
        <v>2</v>
      </c>
      <c r="D640" s="61" t="str">
        <f t="shared" si="61"/>
        <v>新手海外-TID_DialogueConf_1060607_name_CN_Main</v>
      </c>
      <c r="E640" s="61" t="s">
        <v>2329</v>
      </c>
      <c r="F640" s="20" t="str">
        <f>VLOOKUP(G640,'#TID_base_up'!B:C,2,0)</f>
        <v>乌尔丁</v>
      </c>
      <c r="G640" s="61" t="s">
        <v>2412</v>
      </c>
      <c r="H640" s="61" t="s">
        <v>2331</v>
      </c>
      <c r="I640" s="61" t="str">
        <f>VLOOKUP(F640,'#对话模型配置'!A:O,15,FALSE)</f>
        <v>newbie_oversea_enemy</v>
      </c>
      <c r="J640" s="61" t="s">
        <v>2429</v>
      </c>
      <c r="K640" s="84" t="str">
        <f t="shared" si="58"/>
        <v>他就驻扎在&lt;color=#FFCC71&gt;上方的城镇中心&lt;/color&gt;，快点放了我，你们想死吗？！</v>
      </c>
      <c r="U640" s="61">
        <v>2</v>
      </c>
      <c r="V640" s="61">
        <v>0</v>
      </c>
      <c r="X640" s="61">
        <v>30011</v>
      </c>
      <c r="Y640" s="61" t="b">
        <v>1</v>
      </c>
      <c r="Z640" s="61" t="s">
        <v>2430</v>
      </c>
      <c r="AA640" s="61" t="b">
        <v>0</v>
      </c>
      <c r="AD640" s="61">
        <v>6.1713118553161603</v>
      </c>
      <c r="AE640" s="61">
        <f t="shared" si="59"/>
        <v>7.1713118553161603</v>
      </c>
      <c r="AH640" s="61">
        <v>0.1</v>
      </c>
      <c r="AI640" s="61">
        <v>1</v>
      </c>
      <c r="AL640" s="108">
        <v>35</v>
      </c>
      <c r="AT640" s="61" t="str">
        <f t="shared" si="60"/>
        <v>他就驻扎在&lt;color=#FFCC71&gt;上方的城镇中心&lt;/color&gt;，快点放了我，你们想死吗？！</v>
      </c>
      <c r="AU640" s="61" t="s">
        <v>2431</v>
      </c>
      <c r="AV640" s="114"/>
      <c r="AW640" s="61" t="s">
        <v>2432</v>
      </c>
    </row>
    <row r="641" spans="1:50" s="61" customFormat="1" ht="27" customHeight="1">
      <c r="A641" s="61">
        <v>1060016</v>
      </c>
      <c r="B641" s="61" t="s">
        <v>2328</v>
      </c>
      <c r="C641" s="61">
        <v>1</v>
      </c>
      <c r="D641" s="61" t="str">
        <f t="shared" si="61"/>
        <v>新手海外-TID_DialogueConf_1060001_name_337966742914_CN_Main</v>
      </c>
      <c r="E641" s="61" t="s">
        <v>2329</v>
      </c>
      <c r="F641" s="20" t="str">
        <f>VLOOKUP(G641,'#TID_base_up'!B:C,2,0)</f>
        <v>安德莉亚</v>
      </c>
      <c r="G641" s="61" t="s">
        <v>2335</v>
      </c>
      <c r="H641" s="61" t="s">
        <v>2331</v>
      </c>
      <c r="I641" s="61" t="str">
        <f>VLOOKUP(F641,'#对话模型配置'!A:O,15,FALSE)</f>
        <v>newbie_oversea_andrea</v>
      </c>
      <c r="J641" s="61" t="s">
        <v>2433</v>
      </c>
      <c r="K641" s="84" t="str">
        <f t="shared" si="58"/>
        <v>记得吗？我之前说过，会把你的头颅献给那些死去的人民。</v>
      </c>
      <c r="U641" s="61">
        <v>2</v>
      </c>
      <c r="V641" s="61">
        <v>0</v>
      </c>
      <c r="X641" s="61">
        <v>30011</v>
      </c>
      <c r="Y641" s="61" t="b">
        <v>1</v>
      </c>
      <c r="Z641" s="114" t="s">
        <v>2434</v>
      </c>
      <c r="AA641" s="61" t="b">
        <v>0</v>
      </c>
      <c r="AD641" s="61">
        <v>4.8639998435974103</v>
      </c>
      <c r="AE641" s="61">
        <f t="shared" si="59"/>
        <v>5.8639998435974103</v>
      </c>
      <c r="AH641" s="61">
        <v>0.1</v>
      </c>
      <c r="AI641" s="61">
        <v>1</v>
      </c>
      <c r="AL641" s="108">
        <v>35</v>
      </c>
      <c r="AT641" s="61" t="str">
        <f t="shared" si="60"/>
        <v>记得吗？我之前说过，会把你的头颅献给那些死去的人民。</v>
      </c>
      <c r="AU641" s="61" t="s">
        <v>2435</v>
      </c>
      <c r="AV641" s="114"/>
    </row>
    <row r="642" spans="1:50" s="61" customFormat="1" ht="27" customHeight="1">
      <c r="A642" s="61">
        <v>1060017</v>
      </c>
      <c r="B642" s="61" t="s">
        <v>2328</v>
      </c>
      <c r="C642" s="61">
        <v>1</v>
      </c>
      <c r="D642" s="61" t="str">
        <f t="shared" si="61"/>
        <v>新手海外-TID_DialogueConf_1060607_name_CN_Main</v>
      </c>
      <c r="E642" s="61" t="s">
        <v>2329</v>
      </c>
      <c r="F642" s="20" t="str">
        <f>VLOOKUP(G642,'#TID_base_up'!B:C,2,0)</f>
        <v>乌尔丁</v>
      </c>
      <c r="G642" s="61" t="s">
        <v>2412</v>
      </c>
      <c r="H642" s="61" t="s">
        <v>2331</v>
      </c>
      <c r="I642" s="61" t="str">
        <f>VLOOKUP(F642,'#对话模型配置'!A:O,15,FALSE)</f>
        <v>newbie_oversea_enemy</v>
      </c>
      <c r="J642" s="61" t="s">
        <v>2436</v>
      </c>
      <c r="K642" s="84" t="str">
        <f t="shared" si="58"/>
        <v>不……不……你不会——</v>
      </c>
      <c r="U642" s="61">
        <v>2</v>
      </c>
      <c r="V642" s="61">
        <v>0</v>
      </c>
      <c r="X642" s="61">
        <v>30011</v>
      </c>
      <c r="Y642" s="61" t="b">
        <v>1</v>
      </c>
      <c r="Z642" s="114" t="s">
        <v>2437</v>
      </c>
      <c r="AA642" s="61" t="b">
        <v>0</v>
      </c>
      <c r="AD642" s="61">
        <v>2.6304659843444802</v>
      </c>
      <c r="AE642" s="61">
        <f t="shared" si="59"/>
        <v>3.6304659843444802</v>
      </c>
      <c r="AH642" s="61">
        <v>0.1</v>
      </c>
      <c r="AI642" s="61">
        <v>1</v>
      </c>
      <c r="AL642" s="108">
        <v>35</v>
      </c>
      <c r="AT642" s="61" t="str">
        <f t="shared" si="60"/>
        <v>不……不……你不会——</v>
      </c>
      <c r="AU642" s="61" t="s">
        <v>2438</v>
      </c>
      <c r="AV642" s="114"/>
    </row>
    <row r="643" spans="1:50" s="61" customFormat="1" ht="27" customHeight="1">
      <c r="A643" s="61">
        <v>1060018</v>
      </c>
      <c r="B643" s="61" t="s">
        <v>2328</v>
      </c>
      <c r="C643" s="61">
        <v>1</v>
      </c>
      <c r="D643" s="61" t="str">
        <f t="shared" ref="D643:D674" si="62">"新手海外-"&amp;G643</f>
        <v>新手海外-TID_DialogueConf_1060001_name_337966742914_CN_Main</v>
      </c>
      <c r="E643" s="61" t="s">
        <v>2329</v>
      </c>
      <c r="F643" s="20" t="str">
        <f>VLOOKUP(G643,'#TID_base_up'!B:C,2,0)</f>
        <v>安德莉亚</v>
      </c>
      <c r="G643" s="61" t="s">
        <v>2335</v>
      </c>
      <c r="H643" s="61" t="s">
        <v>2331</v>
      </c>
      <c r="I643" s="61" t="str">
        <f>VLOOKUP(F643,'#对话模型配置'!A:O,15,FALSE)</f>
        <v>newbie_oversea_andrea</v>
      </c>
      <c r="J643" s="61" t="s">
        <v>2439</v>
      </c>
      <c r="K643" s="84" t="str">
        <f t="shared" ref="K643:K674" si="63">AT643</f>
        <v>遵守诺言，是贵族的美德</v>
      </c>
      <c r="U643" s="61">
        <v>2</v>
      </c>
      <c r="V643" s="61">
        <v>0</v>
      </c>
      <c r="X643" s="61">
        <v>30011</v>
      </c>
      <c r="Y643" s="61" t="b">
        <v>1</v>
      </c>
      <c r="Z643" s="114" t="s">
        <v>2440</v>
      </c>
      <c r="AA643" s="61" t="b">
        <v>0</v>
      </c>
      <c r="AD643" s="61">
        <v>2.8053328990936302</v>
      </c>
      <c r="AE643" s="61">
        <f t="shared" ref="AE643:AE674" si="64">AD643+1</f>
        <v>3.8053328990936302</v>
      </c>
      <c r="AH643" s="61">
        <v>0.1</v>
      </c>
      <c r="AI643" s="61">
        <v>1</v>
      </c>
      <c r="AL643" s="108">
        <v>35</v>
      </c>
      <c r="AT643" s="61" t="str">
        <f t="shared" si="60"/>
        <v>遵守诺言，是贵族的美德</v>
      </c>
      <c r="AU643" s="61" t="s">
        <v>2441</v>
      </c>
      <c r="AV643" s="114"/>
    </row>
    <row r="644" spans="1:50" s="61" customFormat="1" ht="27" customHeight="1">
      <c r="A644" s="61">
        <v>1060020</v>
      </c>
      <c r="B644" s="61" t="s">
        <v>2328</v>
      </c>
      <c r="C644" s="61">
        <v>1</v>
      </c>
      <c r="D644" s="61" t="str">
        <f t="shared" si="62"/>
        <v>新手海外-TID_DialogueConf_1060001_name_337966742914_CN_Main</v>
      </c>
      <c r="E644" s="61" t="s">
        <v>2329</v>
      </c>
      <c r="F644" s="20" t="str">
        <f>VLOOKUP(G644,'#TID_base_up'!B:C,2,0)</f>
        <v>安德莉亚</v>
      </c>
      <c r="G644" s="61" t="s">
        <v>2335</v>
      </c>
      <c r="H644" s="61" t="s">
        <v>2331</v>
      </c>
      <c r="I644" s="61" t="str">
        <f>VLOOKUP(F644,'#对话模型配置'!A:O,15,FALSE)</f>
        <v>newbie_oversea_andrea</v>
      </c>
      <c r="J644" s="61" t="s">
        <v>2442</v>
      </c>
      <c r="K644" s="84" t="str">
        <f t="shared" si="63"/>
        <v>我不会让自己沦为和你一样的野兽，滚吧，在我还没有改变主意之前。</v>
      </c>
      <c r="U644" s="61">
        <v>2</v>
      </c>
      <c r="V644" s="61">
        <v>0</v>
      </c>
      <c r="X644" s="61">
        <v>30011</v>
      </c>
      <c r="Y644" s="61" t="b">
        <v>1</v>
      </c>
      <c r="Z644" s="114" t="s">
        <v>2443</v>
      </c>
      <c r="AA644" s="61" t="b">
        <v>0</v>
      </c>
      <c r="AD644" s="61">
        <v>5.6106672286987296</v>
      </c>
      <c r="AE644" s="61">
        <f t="shared" si="64"/>
        <v>6.6106672286987296</v>
      </c>
      <c r="AH644" s="61">
        <v>0.1</v>
      </c>
      <c r="AI644" s="61">
        <v>1</v>
      </c>
      <c r="AL644" s="108">
        <v>35</v>
      </c>
      <c r="AT644" s="61" t="str">
        <f t="shared" si="60"/>
        <v>我不会让自己沦为和你一样的野兽，滚吧，在我还没有改变主意之前。</v>
      </c>
      <c r="AU644" s="61" t="s">
        <v>2444</v>
      </c>
      <c r="AV644" s="114"/>
    </row>
    <row r="645" spans="1:50" s="61" customFormat="1" ht="27" customHeight="1">
      <c r="A645" s="61">
        <v>1060021</v>
      </c>
      <c r="B645" s="61" t="s">
        <v>2328</v>
      </c>
      <c r="C645" s="61">
        <v>1</v>
      </c>
      <c r="D645" s="61" t="str">
        <f t="shared" si="62"/>
        <v>新手海外-TID_DialogueConf_1060001_name_CN_Main</v>
      </c>
      <c r="E645" s="61" t="s">
        <v>2329</v>
      </c>
      <c r="F645" s="20" t="str">
        <f>VLOOKUP(G645,'#TID_base_up'!B:C,2,0)</f>
        <v>副官</v>
      </c>
      <c r="G645" s="61" t="s">
        <v>2330</v>
      </c>
      <c r="H645" s="61" t="s">
        <v>2331</v>
      </c>
      <c r="I645" s="61" t="str">
        <f>VLOOKUP(F645,'#对话模型配置'!A:O,15,FALSE)</f>
        <v>newbie_oversea_axe</v>
      </c>
      <c r="J645" s="61" t="s">
        <v>2445</v>
      </c>
      <c r="K645" s="84" t="str">
        <f t="shared" si="63"/>
        <v>殿下是仁慈的，但，我也有我应尽的职责。</v>
      </c>
      <c r="U645" s="61">
        <v>2</v>
      </c>
      <c r="V645" s="61">
        <v>0</v>
      </c>
      <c r="X645" s="61">
        <v>30011</v>
      </c>
      <c r="Y645" s="61" t="b">
        <v>1</v>
      </c>
      <c r="Z645" s="114" t="s">
        <v>2446</v>
      </c>
      <c r="AA645" s="61" t="b">
        <v>0</v>
      </c>
      <c r="AD645" s="61">
        <v>5.75264596939087</v>
      </c>
      <c r="AE645" s="61">
        <f t="shared" si="64"/>
        <v>6.75264596939087</v>
      </c>
      <c r="AH645" s="61">
        <v>0.1</v>
      </c>
      <c r="AI645" s="61">
        <v>1</v>
      </c>
      <c r="AL645" s="108">
        <v>35</v>
      </c>
      <c r="AT645" s="61" t="str">
        <f t="shared" si="60"/>
        <v>殿下是仁慈的，但，我也有我应尽的职责。</v>
      </c>
      <c r="AU645" s="61" t="s">
        <v>2447</v>
      </c>
      <c r="AV645" s="114"/>
    </row>
    <row r="646" spans="1:50" s="61" customFormat="1" ht="27" customHeight="1">
      <c r="A646" s="61">
        <v>1060021</v>
      </c>
      <c r="B646" s="61" t="s">
        <v>2328</v>
      </c>
      <c r="C646" s="61">
        <v>2</v>
      </c>
      <c r="D646" s="61" t="str">
        <f t="shared" si="62"/>
        <v>新手海外-TID_DialogueConf_1060001_name_337966742914_CN_Main</v>
      </c>
      <c r="E646" s="61" t="s">
        <v>2329</v>
      </c>
      <c r="F646" s="20" t="str">
        <f>VLOOKUP(G646,'#TID_base_up'!B:C,2,0)</f>
        <v>安德莉亚</v>
      </c>
      <c r="G646" s="61" t="s">
        <v>2335</v>
      </c>
      <c r="H646" s="61" t="s">
        <v>2331</v>
      </c>
      <c r="I646" s="61" t="str">
        <f>VLOOKUP(F646,'#对话模型配置'!A:O,15,FALSE)</f>
        <v>newbie_oversea_andrea</v>
      </c>
      <c r="J646" s="61" t="s">
        <v>2448</v>
      </c>
      <c r="K646" s="84" t="str">
        <f t="shared" si="63"/>
        <v>副官？</v>
      </c>
      <c r="U646" s="61">
        <v>2</v>
      </c>
      <c r="V646" s="61">
        <v>0</v>
      </c>
      <c r="X646" s="61">
        <v>30011</v>
      </c>
      <c r="Y646" s="61" t="b">
        <v>1</v>
      </c>
      <c r="Z646" s="114" t="s">
        <v>2449</v>
      </c>
      <c r="AA646" s="61" t="b">
        <v>0</v>
      </c>
      <c r="AD646" s="61">
        <v>0.59933298826217696</v>
      </c>
      <c r="AE646" s="61">
        <f t="shared" si="64"/>
        <v>1.599332988262177</v>
      </c>
      <c r="AH646" s="61">
        <v>0.1</v>
      </c>
      <c r="AI646" s="61">
        <v>1</v>
      </c>
      <c r="AL646" s="108">
        <v>35</v>
      </c>
      <c r="AT646" s="61" t="str">
        <f t="shared" si="60"/>
        <v>副官？</v>
      </c>
      <c r="AU646" s="61" t="s">
        <v>2450</v>
      </c>
      <c r="AV646" s="114"/>
    </row>
    <row r="647" spans="1:50" s="61" customFormat="1" ht="27" customHeight="1">
      <c r="A647" s="61">
        <v>1060021</v>
      </c>
      <c r="B647" s="61" t="s">
        <v>2328</v>
      </c>
      <c r="C647" s="61">
        <v>3</v>
      </c>
      <c r="D647" s="61" t="str">
        <f t="shared" si="62"/>
        <v>新手海外-TID_DialogueConf_1060001_name_CN_Main</v>
      </c>
      <c r="E647" s="61" t="s">
        <v>2329</v>
      </c>
      <c r="F647" s="20" t="str">
        <f>VLOOKUP(G647,'#TID_base_up'!B:C,2,0)</f>
        <v>副官</v>
      </c>
      <c r="G647" s="61" t="s">
        <v>2330</v>
      </c>
      <c r="H647" s="61" t="s">
        <v>2331</v>
      </c>
      <c r="I647" s="61" t="str">
        <f>VLOOKUP(F647,'#对话模型配置'!A:O,15,FALSE)</f>
        <v>newbie_oversea_axe</v>
      </c>
      <c r="J647" s="61" t="s">
        <v>2451</v>
      </c>
      <c r="K647" s="84" t="str">
        <f t="shared" si="63"/>
        <v>誓死捍卫公主的名誉，这就是我的使命。</v>
      </c>
      <c r="U647" s="61">
        <v>2</v>
      </c>
      <c r="V647" s="61">
        <v>0</v>
      </c>
      <c r="X647" s="61">
        <v>30011</v>
      </c>
      <c r="Y647" s="61" t="b">
        <v>1</v>
      </c>
      <c r="Z647" s="114" t="s">
        <v>2452</v>
      </c>
      <c r="AA647" s="61" t="b">
        <v>0</v>
      </c>
      <c r="AD647" s="61">
        <v>3.2454578876495401</v>
      </c>
      <c r="AE647" s="61">
        <f t="shared" si="64"/>
        <v>4.2454578876495397</v>
      </c>
      <c r="AH647" s="61">
        <v>0.1</v>
      </c>
      <c r="AI647" s="61">
        <v>1</v>
      </c>
      <c r="AL647" s="108">
        <v>35</v>
      </c>
      <c r="AT647" s="61" t="str">
        <f t="shared" si="60"/>
        <v>誓死捍卫公主的名誉，这就是我的使命。</v>
      </c>
      <c r="AU647" s="61" t="s">
        <v>2453</v>
      </c>
      <c r="AV647" s="114"/>
    </row>
    <row r="648" spans="1:50" s="61" customFormat="1" ht="27" customHeight="1">
      <c r="A648" s="61">
        <v>1060023</v>
      </c>
      <c r="B648" s="61" t="s">
        <v>2328</v>
      </c>
      <c r="C648" s="61">
        <v>1</v>
      </c>
      <c r="D648" s="61" t="str">
        <f t="shared" si="62"/>
        <v>新手海外-TID_DialogueConf_1060001_name_337966742914_CN_Main</v>
      </c>
      <c r="E648" s="61" t="s">
        <v>2329</v>
      </c>
      <c r="F648" s="20" t="str">
        <f>VLOOKUP(G648,'#TID_base_up'!B:C,2,0)</f>
        <v>安德莉亚</v>
      </c>
      <c r="G648" s="61" t="s">
        <v>2335</v>
      </c>
      <c r="H648" s="61" t="s">
        <v>2331</v>
      </c>
      <c r="I648" s="61" t="str">
        <f>VLOOKUP(F648,'#对话模型配置'!A:O,15,FALSE)</f>
        <v>newbie_oversea_andrea</v>
      </c>
      <c r="J648" s="61" t="s">
        <v>2454</v>
      </c>
      <c r="K648" s="84" t="str">
        <f t="shared" si="63"/>
        <v>我们的人太少了，接下来还有场硬仗，我们还得做充足准备</v>
      </c>
      <c r="U648" s="61">
        <v>2</v>
      </c>
      <c r="V648" s="61">
        <v>0</v>
      </c>
      <c r="X648" s="61">
        <v>30011</v>
      </c>
      <c r="Y648" s="61" t="b">
        <v>1</v>
      </c>
      <c r="Z648" s="114" t="s">
        <v>2455</v>
      </c>
      <c r="AA648" s="61" t="b">
        <v>0</v>
      </c>
      <c r="AD648" s="61">
        <v>5.4724788665771502</v>
      </c>
      <c r="AE648" s="61">
        <f t="shared" si="64"/>
        <v>6.4724788665771502</v>
      </c>
      <c r="AH648" s="61">
        <v>0.1</v>
      </c>
      <c r="AI648" s="61">
        <v>1</v>
      </c>
      <c r="AL648" s="108">
        <v>35</v>
      </c>
      <c r="AT648" s="61" t="str">
        <f t="shared" si="60"/>
        <v>我们的人太少了，接下来还有场硬仗，我们还得做充足准备</v>
      </c>
      <c r="AU648" s="61" t="s">
        <v>2456</v>
      </c>
      <c r="AV648" s="114"/>
    </row>
    <row r="649" spans="1:50" s="61" customFormat="1" ht="27" customHeight="1">
      <c r="A649" s="61">
        <v>1060023</v>
      </c>
      <c r="B649" s="61" t="s">
        <v>2328</v>
      </c>
      <c r="C649" s="61">
        <v>2</v>
      </c>
      <c r="D649" s="61" t="str">
        <f t="shared" si="62"/>
        <v>新手海外-TID_DialogueConf_1060001_name_CN_Main</v>
      </c>
      <c r="E649" s="61" t="s">
        <v>2329</v>
      </c>
      <c r="F649" s="20" t="str">
        <f>VLOOKUP(G649,'#TID_base_up'!B:C,2,0)</f>
        <v>副官</v>
      </c>
      <c r="G649" s="61" t="s">
        <v>2330</v>
      </c>
      <c r="H649" s="61" t="s">
        <v>2331</v>
      </c>
      <c r="I649" s="61" t="str">
        <f>VLOOKUP(F649,'#对话模型配置'!A:O,15,FALSE)</f>
        <v>newbie_oversea_axe</v>
      </c>
      <c r="J649" s="61" t="s">
        <v>2457</v>
      </c>
      <c r="K649" s="84" t="str">
        <f t="shared" si="63"/>
        <v>殿下，您看前方有个&lt;color=#FFCC71&gt;废弃建筑&lt;/color&gt;，我们可以把它&lt;color=#FFCC71&gt;改造成剑士营&lt;/color&gt;来训练士兵</v>
      </c>
      <c r="U649" s="61">
        <v>2</v>
      </c>
      <c r="V649" s="61">
        <v>0</v>
      </c>
      <c r="X649" s="61">
        <v>30011</v>
      </c>
      <c r="Y649" s="61" t="b">
        <v>1</v>
      </c>
      <c r="Z649" s="114" t="s">
        <v>2458</v>
      </c>
      <c r="AA649" s="61" t="b">
        <v>0</v>
      </c>
      <c r="AD649" s="61">
        <v>8.1973333358764595</v>
      </c>
      <c r="AE649" s="61">
        <f t="shared" si="64"/>
        <v>9.1973333358764595</v>
      </c>
      <c r="AH649" s="61">
        <v>0.1</v>
      </c>
      <c r="AI649" s="61">
        <v>1</v>
      </c>
      <c r="AL649" s="108">
        <v>35</v>
      </c>
      <c r="AT649" s="61" t="str">
        <f t="shared" si="60"/>
        <v>殿下，您看前方有个&lt;color=#FFCC71&gt;废弃建筑&lt;/color&gt;，我们可以把它&lt;color=#FFCC71&gt;改造成剑士营&lt;/color&gt;来训练士兵</v>
      </c>
      <c r="AU649" s="61" t="s">
        <v>2459</v>
      </c>
      <c r="AV649" s="114"/>
      <c r="AW649" s="61" t="s">
        <v>2460</v>
      </c>
      <c r="AX649" s="61" t="s">
        <v>2461</v>
      </c>
    </row>
    <row r="650" spans="1:50" s="61" customFormat="1" ht="27" customHeight="1">
      <c r="A650" s="61">
        <v>1060024</v>
      </c>
      <c r="B650" s="61" t="s">
        <v>2328</v>
      </c>
      <c r="C650" s="61">
        <v>1</v>
      </c>
      <c r="D650" s="61" t="str">
        <f t="shared" si="62"/>
        <v>新手海外-TID_DialogueConf_1060001_name_CN_Main</v>
      </c>
      <c r="E650" s="61" t="s">
        <v>2329</v>
      </c>
      <c r="F650" s="20" t="str">
        <f>VLOOKUP(G650,'#TID_base_up'!B:C,2,0)</f>
        <v>副官</v>
      </c>
      <c r="G650" s="61" t="s">
        <v>2330</v>
      </c>
      <c r="H650" s="61" t="s">
        <v>2331</v>
      </c>
      <c r="I650" s="61" t="str">
        <f>VLOOKUP(F650,'#对话模型配置'!A:O,15,FALSE)</f>
        <v>newbie_oversea_axe</v>
      </c>
      <c r="J650" s="61" t="s">
        <v>2462</v>
      </c>
      <c r="K650" s="84" t="str">
        <f t="shared" si="63"/>
        <v>报告殿下，&lt;color=#FFCC71&gt;剑士营&lt;/color&gt;改造完毕，但我们&lt;color=#FFCC71&gt;食物不够训练士兵&lt;/color&gt;了。</v>
      </c>
      <c r="U650" s="61">
        <v>2</v>
      </c>
      <c r="V650" s="61">
        <v>0</v>
      </c>
      <c r="X650" s="61">
        <v>30011</v>
      </c>
      <c r="Y650" s="61" t="b">
        <v>1</v>
      </c>
      <c r="Z650" s="114" t="s">
        <v>2463</v>
      </c>
      <c r="AA650" s="61" t="b">
        <v>0</v>
      </c>
      <c r="AD650" s="61">
        <v>7.3439998626709002</v>
      </c>
      <c r="AE650" s="61">
        <f t="shared" si="64"/>
        <v>8.3439998626709002</v>
      </c>
      <c r="AH650" s="61">
        <v>0.1</v>
      </c>
      <c r="AI650" s="61">
        <v>1</v>
      </c>
      <c r="AL650" s="108">
        <v>35</v>
      </c>
      <c r="AT650" s="61" t="str">
        <f t="shared" si="60"/>
        <v>报告殿下，&lt;color=#FFCC71&gt;剑士营&lt;/color&gt;改造完毕，但我们&lt;color=#FFCC71&gt;食物不够训练士兵&lt;/color&gt;了。</v>
      </c>
      <c r="AU650" s="61" t="s">
        <v>2464</v>
      </c>
      <c r="AV650" s="114"/>
      <c r="AW650" s="61" t="s">
        <v>2465</v>
      </c>
      <c r="AX650" s="61" t="s">
        <v>2466</v>
      </c>
    </row>
    <row r="651" spans="1:50" s="61" customFormat="1" ht="27" customHeight="1">
      <c r="A651" s="61">
        <v>1060024</v>
      </c>
      <c r="B651" s="61" t="s">
        <v>2328</v>
      </c>
      <c r="C651" s="61">
        <v>2</v>
      </c>
      <c r="D651" s="61" t="str">
        <f t="shared" si="62"/>
        <v>新手海外-TID_DialogueConf_1060001_name_337966742914_CN_Main</v>
      </c>
      <c r="E651" s="61" t="s">
        <v>2329</v>
      </c>
      <c r="F651" s="20" t="str">
        <f>VLOOKUP(G651,'#TID_base_up'!B:C,2,0)</f>
        <v>安德莉亚</v>
      </c>
      <c r="G651" s="61" t="s">
        <v>2335</v>
      </c>
      <c r="H651" s="61" t="s">
        <v>2331</v>
      </c>
      <c r="I651" s="61" t="str">
        <f>VLOOKUP(F651,'#对话模型配置'!A:O,15,FALSE)</f>
        <v>newbie_oversea_andrea</v>
      </c>
      <c r="J651" s="61" t="s">
        <v>2467</v>
      </c>
      <c r="K651" s="84" t="str">
        <f t="shared" si="63"/>
        <v>所以？站在原地是指望敌人把粮食送到你嘴里吗？向周围的动物借一些肉吧，它们会理解的。</v>
      </c>
      <c r="U651" s="61">
        <v>2</v>
      </c>
      <c r="V651" s="61">
        <v>0</v>
      </c>
      <c r="X651" s="61">
        <v>30011</v>
      </c>
      <c r="Y651" s="61" t="b">
        <v>1</v>
      </c>
      <c r="Z651" s="114" t="s">
        <v>2468</v>
      </c>
      <c r="AA651" s="61" t="b">
        <v>0</v>
      </c>
      <c r="AD651" s="61">
        <v>4.9439997673034703</v>
      </c>
      <c r="AE651" s="61">
        <f t="shared" si="64"/>
        <v>5.9439997673034703</v>
      </c>
      <c r="AH651" s="61">
        <v>0.1</v>
      </c>
      <c r="AI651" s="61">
        <v>1</v>
      </c>
      <c r="AL651" s="108">
        <v>35</v>
      </c>
      <c r="AT651" s="61" t="str">
        <f t="shared" si="60"/>
        <v>所以？站在原地是指望敌人把粮食送到你嘴里吗？向周围的动物借一些肉吧，它们会理解的。</v>
      </c>
      <c r="AU651" s="61" t="s">
        <v>2469</v>
      </c>
      <c r="AV651" s="114"/>
    </row>
    <row r="652" spans="1:50" s="61" customFormat="1" ht="27" customHeight="1">
      <c r="A652" s="61">
        <v>1060024</v>
      </c>
      <c r="B652" s="61" t="s">
        <v>2328</v>
      </c>
      <c r="C652" s="61">
        <v>3</v>
      </c>
      <c r="D652" s="61" t="str">
        <f t="shared" si="62"/>
        <v>新手海外-TID_DialogueConf_1060001_name_CN_Main</v>
      </c>
      <c r="E652" s="61" t="s">
        <v>2329</v>
      </c>
      <c r="F652" s="20" t="str">
        <f>VLOOKUP(G652,'#TID_base_up'!B:C,2,0)</f>
        <v>副官</v>
      </c>
      <c r="G652" s="61" t="s">
        <v>2330</v>
      </c>
      <c r="H652" s="61" t="s">
        <v>2331</v>
      </c>
      <c r="I652" s="61" t="str">
        <f>VLOOKUP(F652,'#对话模型配置'!A:O,15,FALSE)</f>
        <v>newbie_oversea_axe</v>
      </c>
      <c r="J652" s="61" t="s">
        <v>2470</v>
      </c>
      <c r="K652" s="84" t="str">
        <f t="shared" si="63"/>
        <v>您只需&lt;color=#FFCC71&gt;点击动物或者动物尸体&lt;/color&gt;，即可派遣农民前往狩猎，获取食物。</v>
      </c>
      <c r="U652" s="61">
        <v>2</v>
      </c>
      <c r="V652" s="61">
        <v>0</v>
      </c>
      <c r="X652" s="61">
        <v>30011</v>
      </c>
      <c r="Y652" s="61" t="b">
        <v>1</v>
      </c>
      <c r="Z652" s="114" t="s">
        <v>2471</v>
      </c>
      <c r="AA652" s="61" t="b">
        <v>0</v>
      </c>
      <c r="AD652" s="61">
        <v>4.10318803787231</v>
      </c>
      <c r="AE652" s="61">
        <f t="shared" si="64"/>
        <v>5.10318803787231</v>
      </c>
      <c r="AH652" s="61">
        <v>0.1</v>
      </c>
      <c r="AI652" s="61">
        <v>1</v>
      </c>
      <c r="AL652" s="108">
        <v>35</v>
      </c>
      <c r="AT652" s="61" t="str">
        <f t="shared" si="60"/>
        <v>您只需&lt;color=#FFCC71&gt;点击动物或者动物尸体&lt;/color&gt;，即可派遣农民前往狩猎，获取食物。</v>
      </c>
      <c r="AU652" s="61" t="s">
        <v>2472</v>
      </c>
      <c r="AV652" s="114"/>
      <c r="AW652" s="61" t="s">
        <v>2473</v>
      </c>
    </row>
    <row r="653" spans="1:50" s="61" customFormat="1" ht="27" customHeight="1">
      <c r="A653" s="61">
        <v>1060025</v>
      </c>
      <c r="B653" s="61" t="s">
        <v>2328</v>
      </c>
      <c r="C653" s="61">
        <v>1</v>
      </c>
      <c r="D653" s="61" t="str">
        <f t="shared" si="62"/>
        <v>新手海外-TID_DialogueConf_1060001_name_CN_Main</v>
      </c>
      <c r="E653" s="61" t="s">
        <v>2329</v>
      </c>
      <c r="F653" s="20" t="str">
        <f>VLOOKUP(G653,'#TID_base_up'!B:C,2,0)</f>
        <v>副官</v>
      </c>
      <c r="G653" s="61" t="s">
        <v>2330</v>
      </c>
      <c r="H653" s="61" t="s">
        <v>2331</v>
      </c>
      <c r="I653" s="61" t="str">
        <f>VLOOKUP(F653,'#对话模型配置'!A:O,15,FALSE)</f>
        <v>newbie_oversea_axe</v>
      </c>
      <c r="J653" s="61" t="s">
        <v>2474</v>
      </c>
      <c r="K653" s="84" t="str">
        <f t="shared" si="63"/>
        <v>殿下，现在食物足够了，您可以&lt;color=#FFCC71&gt;点击右下角的头像&lt;/color&gt;立即训练剑士。</v>
      </c>
      <c r="U653" s="61">
        <v>2</v>
      </c>
      <c r="V653" s="61">
        <v>0</v>
      </c>
      <c r="X653" s="61">
        <v>30011</v>
      </c>
      <c r="Y653" s="61" t="b">
        <v>1</v>
      </c>
      <c r="Z653" s="114" t="s">
        <v>2475</v>
      </c>
      <c r="AA653" s="61" t="b">
        <v>0</v>
      </c>
      <c r="AD653" s="61">
        <v>8.2186670303344709</v>
      </c>
      <c r="AE653" s="61">
        <f t="shared" si="64"/>
        <v>9.2186670303344709</v>
      </c>
      <c r="AH653" s="61">
        <v>0.1</v>
      </c>
      <c r="AI653" s="61">
        <v>1</v>
      </c>
      <c r="AL653" s="108">
        <v>35</v>
      </c>
      <c r="AT653" s="61" t="str">
        <f t="shared" si="60"/>
        <v>殿下，现在食物足够了，您可以&lt;color=#FFCC71&gt;点击右下角的头像&lt;/color&gt;立即训练剑士。</v>
      </c>
      <c r="AU653" s="61" t="s">
        <v>2476</v>
      </c>
      <c r="AV653" s="114"/>
      <c r="AW653" s="61" t="s">
        <v>2477</v>
      </c>
    </row>
    <row r="654" spans="1:50" s="61" customFormat="1" ht="27" customHeight="1">
      <c r="A654" s="61">
        <v>1060026</v>
      </c>
      <c r="B654" s="61" t="s">
        <v>2328</v>
      </c>
      <c r="C654" s="61">
        <v>1</v>
      </c>
      <c r="D654" s="61" t="str">
        <f t="shared" si="62"/>
        <v>新手海外-TID_DialogueConf_1060001_name_CN_Main</v>
      </c>
      <c r="E654" s="61" t="s">
        <v>2329</v>
      </c>
      <c r="F654" s="20" t="str">
        <f>VLOOKUP(G654,'#TID_base_up'!B:C,2,0)</f>
        <v>副官</v>
      </c>
      <c r="G654" s="61" t="s">
        <v>2330</v>
      </c>
      <c r="H654" s="61" t="s">
        <v>2331</v>
      </c>
      <c r="I654" s="61" t="str">
        <f>VLOOKUP(F654,'#对话模型配置'!A:O,15,FALSE)</f>
        <v>newbie_oversea_axe</v>
      </c>
      <c r="J654" s="61" t="s">
        <v>2478</v>
      </c>
      <c r="K654" s="84" t="str">
        <f t="shared" si="63"/>
        <v>殿下，村民们已经找到了&lt;color=#FFCC71&gt;修复玺戒&lt;/color&gt;的方法。</v>
      </c>
      <c r="U654" s="61">
        <v>2</v>
      </c>
      <c r="V654" s="61">
        <v>0</v>
      </c>
      <c r="X654" s="61">
        <v>30011</v>
      </c>
      <c r="Y654" s="61" t="b">
        <v>1</v>
      </c>
      <c r="Z654" s="114" t="s">
        <v>2479</v>
      </c>
      <c r="AA654" s="61" t="b">
        <v>0</v>
      </c>
      <c r="AD654" s="61">
        <v>4.2293329238891602</v>
      </c>
      <c r="AE654" s="61">
        <f t="shared" si="64"/>
        <v>5.2293329238891602</v>
      </c>
      <c r="AH654" s="61">
        <v>0.1</v>
      </c>
      <c r="AI654" s="61">
        <v>1</v>
      </c>
      <c r="AL654" s="108">
        <v>35</v>
      </c>
      <c r="AT654" s="61" t="str">
        <f t="shared" si="60"/>
        <v>殿下，村民们已经找到了&lt;color=#FFCC71&gt;修复玺戒&lt;/color&gt;的方法。</v>
      </c>
      <c r="AU654" s="61" t="s">
        <v>2480</v>
      </c>
      <c r="AV654" s="114"/>
      <c r="AW654" s="61" t="s">
        <v>2481</v>
      </c>
    </row>
    <row r="655" spans="1:50" s="61" customFormat="1" ht="27" customHeight="1">
      <c r="A655" s="61">
        <v>1060026</v>
      </c>
      <c r="B655" s="61" t="s">
        <v>2328</v>
      </c>
      <c r="C655" s="61">
        <v>2</v>
      </c>
      <c r="D655" s="61" t="str">
        <f t="shared" si="62"/>
        <v>新手海外-TID_DialogueConf_1060001_name_337966742914_CN_Main</v>
      </c>
      <c r="E655" s="61" t="s">
        <v>2329</v>
      </c>
      <c r="F655" s="20" t="str">
        <f>VLOOKUP(G655,'#TID_base_up'!B:C,2,0)</f>
        <v>安德莉亚</v>
      </c>
      <c r="G655" s="61" t="s">
        <v>2335</v>
      </c>
      <c r="H655" s="61" t="s">
        <v>2331</v>
      </c>
      <c r="I655" s="61" t="str">
        <f>VLOOKUP(F655,'#对话模型配置'!A:O,15,FALSE)</f>
        <v>newbie_oversea_andrea</v>
      </c>
      <c r="J655" s="61" t="s">
        <v>2482</v>
      </c>
      <c r="K655" s="84" t="str">
        <f t="shared" si="63"/>
        <v>消息不错，有了它赋予的法理，我就可以在战斗中释放我的&lt;color=#FFCC71&gt;主将技&lt;/color&gt;了。</v>
      </c>
      <c r="U655" s="61">
        <v>2</v>
      </c>
      <c r="V655" s="61">
        <v>0</v>
      </c>
      <c r="X655" s="61">
        <v>30011</v>
      </c>
      <c r="Y655" s="61" t="b">
        <v>1</v>
      </c>
      <c r="Z655" s="114" t="s">
        <v>2483</v>
      </c>
      <c r="AA655" s="61" t="b">
        <v>0</v>
      </c>
      <c r="AD655" s="61">
        <v>5.5679998397827104</v>
      </c>
      <c r="AE655" s="61">
        <f t="shared" si="64"/>
        <v>6.5679998397827104</v>
      </c>
      <c r="AH655" s="61">
        <v>0.1</v>
      </c>
      <c r="AI655" s="61">
        <v>1</v>
      </c>
      <c r="AL655" s="108">
        <v>35</v>
      </c>
      <c r="AT655" s="61" t="str">
        <f t="shared" si="60"/>
        <v>消息不错，有了它赋予的法理，我就可以在战斗中释放我的&lt;color=#FFCC71&gt;主将技&lt;/color&gt;了。</v>
      </c>
      <c r="AU655" s="61" t="s">
        <v>2484</v>
      </c>
      <c r="AV655" s="114"/>
      <c r="AW655" s="61" t="s">
        <v>2485</v>
      </c>
    </row>
    <row r="656" spans="1:50" s="61" customFormat="1" ht="27" customHeight="1">
      <c r="A656" s="61">
        <v>1060027</v>
      </c>
      <c r="B656" s="61" t="s">
        <v>2328</v>
      </c>
      <c r="C656" s="61">
        <v>1</v>
      </c>
      <c r="D656" s="61" t="str">
        <f t="shared" si="62"/>
        <v>新手海外-TID_DialogueConf_1060001_name_CN_Main</v>
      </c>
      <c r="E656" s="61" t="s">
        <v>2329</v>
      </c>
      <c r="F656" s="20" t="str">
        <f>VLOOKUP(G656,'#TID_base_up'!B:C,2,0)</f>
        <v>副官</v>
      </c>
      <c r="G656" s="61" t="s">
        <v>2330</v>
      </c>
      <c r="H656" s="61" t="s">
        <v>2331</v>
      </c>
      <c r="I656" s="61" t="str">
        <f>VLOOKUP(F656,'#对话模型配置'!A:O,15,FALSE)</f>
        <v>newbie_oversea_axe</v>
      </c>
      <c r="J656" s="61" t="s">
        <v>2486</v>
      </c>
      <c r="K656" s="84" t="str">
        <f t="shared" si="63"/>
        <v>我们的军队已经&lt;color=#FFCC71&gt;集结完毕&lt;/color&gt;，请您下令吧，殿下！</v>
      </c>
      <c r="U656" s="61">
        <v>2</v>
      </c>
      <c r="V656" s="61">
        <v>0</v>
      </c>
      <c r="X656" s="61">
        <v>30011</v>
      </c>
      <c r="Y656" s="61" t="b">
        <v>1</v>
      </c>
      <c r="Z656" s="114" t="s">
        <v>2487</v>
      </c>
      <c r="AA656" s="61" t="b">
        <v>0</v>
      </c>
      <c r="AD656" s="61">
        <v>4.5158538818359402</v>
      </c>
      <c r="AE656" s="61">
        <f t="shared" si="64"/>
        <v>5.5158538818359402</v>
      </c>
      <c r="AH656" s="61">
        <v>0.1</v>
      </c>
      <c r="AI656" s="61">
        <v>1</v>
      </c>
      <c r="AL656" s="108">
        <v>35</v>
      </c>
      <c r="AT656" s="61" t="str">
        <f t="shared" si="60"/>
        <v>我们的军队已经&lt;color=#FFCC71&gt;集结完毕&lt;/color&gt;，请您下令吧，殿下！</v>
      </c>
      <c r="AU656" s="61" t="s">
        <v>2488</v>
      </c>
      <c r="AV656" s="114"/>
      <c r="AW656" s="61" t="s">
        <v>2489</v>
      </c>
    </row>
    <row r="657" spans="1:49" s="61" customFormat="1" ht="27" customHeight="1">
      <c r="A657" s="61">
        <v>1060027</v>
      </c>
      <c r="B657" s="61" t="s">
        <v>2328</v>
      </c>
      <c r="C657" s="61">
        <v>2</v>
      </c>
      <c r="D657" s="61" t="str">
        <f t="shared" si="62"/>
        <v>新手海外-TID_DialogueConf_1060001_name_337966742914_CN_Main</v>
      </c>
      <c r="E657" s="61" t="s">
        <v>2329</v>
      </c>
      <c r="F657" s="20" t="str">
        <f>VLOOKUP(G657,'#TID_base_up'!B:C,2,0)</f>
        <v>安德莉亚</v>
      </c>
      <c r="G657" s="61" t="s">
        <v>2335</v>
      </c>
      <c r="H657" s="61" t="s">
        <v>2331</v>
      </c>
      <c r="I657" s="61" t="str">
        <f>VLOOKUP(F657,'#对话模型配置'!A:O,15,FALSE)</f>
        <v>newbie_oversea_andrea</v>
      </c>
      <c r="J657" s="61" t="s">
        <v>2490</v>
      </c>
      <c r="K657" s="84" t="str">
        <f t="shared" si="63"/>
        <v>以帝国公主之名！出发吧！击败城里的蛮族，把他们彻底赶出去！</v>
      </c>
      <c r="U657" s="61">
        <v>2</v>
      </c>
      <c r="V657" s="61">
        <v>0</v>
      </c>
      <c r="X657" s="61">
        <v>30011</v>
      </c>
      <c r="Y657" s="61" t="b">
        <v>1</v>
      </c>
      <c r="Z657" s="114" t="s">
        <v>2491</v>
      </c>
      <c r="AA657" s="61" t="b">
        <v>0</v>
      </c>
      <c r="AD657" s="61">
        <v>9.8373956680297905</v>
      </c>
      <c r="AE657" s="61">
        <f t="shared" si="64"/>
        <v>10.83739566802979</v>
      </c>
      <c r="AH657" s="61">
        <v>0.1</v>
      </c>
      <c r="AI657" s="61">
        <v>1</v>
      </c>
      <c r="AL657" s="108">
        <v>35</v>
      </c>
      <c r="AT657" s="61" t="str">
        <f t="shared" si="60"/>
        <v>以帝国公主之名！出发吧！击败城里的蛮族，把他们彻底赶出去！</v>
      </c>
      <c r="AU657" s="61" t="s">
        <v>2492</v>
      </c>
      <c r="AV657" s="114"/>
    </row>
    <row r="658" spans="1:49" ht="28">
      <c r="A658" s="20">
        <v>1060601</v>
      </c>
      <c r="B658" s="20" t="s">
        <v>2493</v>
      </c>
      <c r="C658" s="20">
        <v>1</v>
      </c>
      <c r="D658" s="20" t="str">
        <f t="shared" si="62"/>
        <v>新手海外-TID_DialogueConf_1060001_name_337966742914_CN_Main</v>
      </c>
      <c r="E658" s="20" t="s">
        <v>2329</v>
      </c>
      <c r="F658" s="20" t="str">
        <f>VLOOKUP(G658,'#TID_base_up'!B:C,2,0)</f>
        <v>安德莉亚</v>
      </c>
      <c r="G658" s="20" t="s">
        <v>2335</v>
      </c>
      <c r="H658" s="61" t="s">
        <v>2331</v>
      </c>
      <c r="I658" s="61" t="str">
        <f>VLOOKUP(F658,'#对话模型配置'!A:O,15,FALSE)</f>
        <v>newbie_oversea_andrea</v>
      </c>
      <c r="J658" s="20" t="s">
        <v>2494</v>
      </c>
      <c r="K658" s="84" t="str">
        <f t="shared" si="63"/>
        <v>做得好！我们已经拔掉了敌人的獠牙！副官，做好准备，正面应战！</v>
      </c>
      <c r="U658" s="20">
        <v>2</v>
      </c>
      <c r="V658" s="20">
        <v>0</v>
      </c>
      <c r="X658" s="20">
        <v>30011</v>
      </c>
      <c r="Y658" s="20" t="b">
        <v>0</v>
      </c>
      <c r="AA658" s="20" t="b">
        <v>0</v>
      </c>
      <c r="AD658" s="20">
        <v>4</v>
      </c>
      <c r="AE658" s="61">
        <f t="shared" si="64"/>
        <v>5</v>
      </c>
      <c r="AF658" s="61"/>
      <c r="AG658" s="61"/>
      <c r="AH658" s="61">
        <v>0.1</v>
      </c>
      <c r="AI658" s="61">
        <v>1</v>
      </c>
      <c r="AL658" s="108">
        <v>35</v>
      </c>
      <c r="AT658" s="20" t="str">
        <f t="shared" si="60"/>
        <v>做得好！我们已经拔掉了敌人的獠牙！副官，做好准备，正面应战！</v>
      </c>
      <c r="AU658" s="20" t="s">
        <v>2495</v>
      </c>
    </row>
    <row r="659" spans="1:49" ht="14">
      <c r="A659" s="20">
        <v>1060601</v>
      </c>
      <c r="B659" s="20" t="s">
        <v>2493</v>
      </c>
      <c r="C659" s="20">
        <v>2</v>
      </c>
      <c r="D659" s="20" t="str">
        <f t="shared" si="62"/>
        <v>新手海外-TID_DialogueConf_1060001_name_CN_Main</v>
      </c>
      <c r="E659" s="20" t="s">
        <v>2329</v>
      </c>
      <c r="F659" s="20" t="str">
        <f>VLOOKUP(G659,'#TID_base_up'!B:C,2,0)</f>
        <v>副官</v>
      </c>
      <c r="G659" s="20" t="s">
        <v>2330</v>
      </c>
      <c r="H659" s="61" t="s">
        <v>2331</v>
      </c>
      <c r="I659" s="61" t="str">
        <f>VLOOKUP(F659,'#对话模型配置'!A:O,15,FALSE)</f>
        <v>newbie_oversea_axe</v>
      </c>
      <c r="J659" s="20" t="s">
        <v>2496</v>
      </c>
      <c r="K659" s="84" t="str">
        <f t="shared" si="63"/>
        <v>遵命，公主殿下！</v>
      </c>
      <c r="U659" s="20">
        <v>2</v>
      </c>
      <c r="V659" s="20">
        <v>0</v>
      </c>
      <c r="X659" s="20">
        <v>30011</v>
      </c>
      <c r="Y659" s="20" t="b">
        <v>0</v>
      </c>
      <c r="Z659" s="20" t="s">
        <v>2341</v>
      </c>
      <c r="AA659" s="20" t="b">
        <v>0</v>
      </c>
      <c r="AD659" s="20">
        <v>1.4400000572204601</v>
      </c>
      <c r="AE659" s="61">
        <f t="shared" si="64"/>
        <v>2.4400000572204599</v>
      </c>
      <c r="AF659" s="61"/>
      <c r="AG659" s="61"/>
      <c r="AH659" s="61">
        <v>0.1</v>
      </c>
      <c r="AI659" s="61">
        <v>1</v>
      </c>
      <c r="AL659" s="108">
        <v>35</v>
      </c>
      <c r="AT659" s="20" t="str">
        <f t="shared" si="60"/>
        <v>遵命，公主殿下！</v>
      </c>
      <c r="AU659" s="20" t="s">
        <v>2497</v>
      </c>
    </row>
    <row r="660" spans="1:49" ht="28">
      <c r="A660" s="20">
        <v>1060602</v>
      </c>
      <c r="B660" s="20" t="s">
        <v>2498</v>
      </c>
      <c r="C660" s="20">
        <v>1</v>
      </c>
      <c r="D660" s="20" t="str">
        <f t="shared" si="62"/>
        <v>新手海外-TID_DialogueConf_1060620_name_CN_Main</v>
      </c>
      <c r="E660" s="20" t="s">
        <v>2329</v>
      </c>
      <c r="F660" s="20" t="str">
        <f>VLOOKUP(G660,'#TID_base_up'!B:C,2,0)</f>
        <v>血手阿提卡</v>
      </c>
      <c r="G660" s="20" t="s">
        <v>2499</v>
      </c>
      <c r="H660" s="61" t="s">
        <v>2331</v>
      </c>
      <c r="I660" s="61" t="str">
        <f>VLOOKUP(F660,'#对话模型配置'!A:O,15,FALSE)</f>
        <v>newbie_oversea_attila</v>
      </c>
      <c r="J660" s="20" t="s">
        <v>2500</v>
      </c>
      <c r="K660" s="84" t="str">
        <f t="shared" si="63"/>
        <v>亡国的鬼魂竟然也敢走到阳光之下，但作为公主，你应该有许多帝国的财宝，只要你能交出来，我不介意放你一条活路。</v>
      </c>
      <c r="U660" s="20">
        <v>2</v>
      </c>
      <c r="V660" s="20">
        <v>0</v>
      </c>
      <c r="X660" s="20">
        <v>30011</v>
      </c>
      <c r="Y660" s="20" t="b">
        <v>0</v>
      </c>
      <c r="Z660" s="20" t="s">
        <v>2501</v>
      </c>
      <c r="AA660" s="20" t="b">
        <v>0</v>
      </c>
      <c r="AD660" s="20">
        <v>10.344916343689</v>
      </c>
      <c r="AE660" s="61">
        <f t="shared" si="64"/>
        <v>11.344916343689</v>
      </c>
      <c r="AF660" s="61"/>
      <c r="AG660" s="61"/>
      <c r="AH660" s="61">
        <v>0.1</v>
      </c>
      <c r="AI660" s="61">
        <v>1</v>
      </c>
      <c r="AL660" s="108">
        <v>35</v>
      </c>
      <c r="AT660" s="20" t="str">
        <f t="shared" si="60"/>
        <v>亡国的鬼魂竟然也敢走到阳光之下，但作为公主，你应该有许多帝国的财宝，只要你能交出来，我不介意放你一条活路。</v>
      </c>
      <c r="AU660" s="20" t="s">
        <v>2502</v>
      </c>
    </row>
    <row r="661" spans="1:49" ht="14">
      <c r="A661" s="20">
        <v>1060602</v>
      </c>
      <c r="B661" s="20" t="s">
        <v>2498</v>
      </c>
      <c r="C661" s="20">
        <v>2</v>
      </c>
      <c r="D661" s="20" t="str">
        <f t="shared" si="62"/>
        <v>新手海外-TID_DialogueConf_1060001_name_337966742914_CN_Main</v>
      </c>
      <c r="E661" s="20" t="s">
        <v>2329</v>
      </c>
      <c r="F661" s="20" t="str">
        <f>VLOOKUP(G661,'#TID_base_up'!B:C,2,0)</f>
        <v>安德莉亚</v>
      </c>
      <c r="G661" s="20" t="s">
        <v>2335</v>
      </c>
      <c r="H661" s="61" t="s">
        <v>2331</v>
      </c>
      <c r="I661" s="61" t="str">
        <f>VLOOKUP(F661,'#对话模型配置'!A:O,15,FALSE)</f>
        <v>newbie_oversea_andrea</v>
      </c>
      <c r="J661" s="20" t="s">
        <v>2503</v>
      </c>
      <c r="K661" s="84" t="str">
        <f t="shared" si="63"/>
        <v>阿提卡，对一个将死之人来说，财宝可都是身外之物？</v>
      </c>
      <c r="U661" s="20">
        <v>2</v>
      </c>
      <c r="V661" s="20">
        <v>0</v>
      </c>
      <c r="X661" s="20">
        <v>30011</v>
      </c>
      <c r="Y661" s="20" t="b">
        <v>0</v>
      </c>
      <c r="Z661" s="20" t="s">
        <v>2504</v>
      </c>
      <c r="AA661" s="20" t="b">
        <v>0</v>
      </c>
      <c r="AD661" s="20">
        <v>9.7672710418701207</v>
      </c>
      <c r="AE661" s="61">
        <f t="shared" si="64"/>
        <v>10.767271041870121</v>
      </c>
      <c r="AF661" s="61"/>
      <c r="AG661" s="61"/>
      <c r="AH661" s="61">
        <v>0.1</v>
      </c>
      <c r="AI661" s="61">
        <v>1</v>
      </c>
      <c r="AL661" s="108">
        <v>35</v>
      </c>
      <c r="AT661" s="20" t="str">
        <f t="shared" si="60"/>
        <v>阿提卡，对一个将死之人来说，财宝可都是身外之物？</v>
      </c>
      <c r="AU661" s="20" t="s">
        <v>2505</v>
      </c>
    </row>
    <row r="662" spans="1:49" ht="28">
      <c r="A662" s="20">
        <v>1060602</v>
      </c>
      <c r="B662" s="20" t="s">
        <v>2498</v>
      </c>
      <c r="C662" s="20">
        <v>3</v>
      </c>
      <c r="D662" s="20" t="str">
        <f t="shared" si="62"/>
        <v>新手海外-TID_DialogueConf_1060620_name_CN_Main</v>
      </c>
      <c r="E662" s="20" t="s">
        <v>2329</v>
      </c>
      <c r="F662" s="20" t="str">
        <f>VLOOKUP(G662,'#TID_base_up'!B:C,2,0)</f>
        <v>血手阿提卡</v>
      </c>
      <c r="G662" s="20" t="s">
        <v>2499</v>
      </c>
      <c r="H662" s="61" t="s">
        <v>2331</v>
      </c>
      <c r="I662" s="61" t="str">
        <f>VLOOKUP(F662,'#对话模型配置'!A:O,15,FALSE)</f>
        <v>newbie_oversea_attila</v>
      </c>
      <c r="J662" s="20" t="s">
        <v>2506</v>
      </c>
      <c r="K662" s="84" t="str">
        <f t="shared" si="63"/>
        <v>帝国公主，&lt;color=#FFCC71&gt;钢铁蔷薇安德莉亚&lt;/color&gt;，我听说过你的名号！你的头颅，将成为我最名贵的收藏！</v>
      </c>
      <c r="U662" s="20">
        <v>2</v>
      </c>
      <c r="V662" s="20">
        <v>0</v>
      </c>
      <c r="X662" s="20">
        <v>30011</v>
      </c>
      <c r="Y662" s="20" t="b">
        <v>0</v>
      </c>
      <c r="AA662" s="20" t="b">
        <v>0</v>
      </c>
      <c r="AD662" s="20">
        <v>4</v>
      </c>
      <c r="AE662" s="61">
        <f t="shared" si="64"/>
        <v>5</v>
      </c>
      <c r="AF662" s="61"/>
      <c r="AG662" s="61"/>
      <c r="AH662" s="61">
        <v>0.1</v>
      </c>
      <c r="AI662" s="61">
        <v>1</v>
      </c>
      <c r="AL662" s="108">
        <v>35</v>
      </c>
      <c r="AT662" s="20" t="str">
        <f t="shared" si="60"/>
        <v>帝国公主，&lt;color=#FFCC71&gt;钢铁蔷薇安德莉亚&lt;/color&gt;，我听说过你的名号！你的头颅，将成为我最名贵的收藏！</v>
      </c>
      <c r="AU662" s="20" t="s">
        <v>2507</v>
      </c>
      <c r="AW662" s="20" t="s">
        <v>2508</v>
      </c>
    </row>
    <row r="663" spans="1:49" ht="14">
      <c r="A663" s="20">
        <v>1060603</v>
      </c>
      <c r="B663" s="20" t="s">
        <v>2509</v>
      </c>
      <c r="C663" s="20">
        <v>1</v>
      </c>
      <c r="D663" s="20" t="str">
        <f t="shared" si="62"/>
        <v>新手海外-TID_DialogueConf_1060620_name_CN_Main</v>
      </c>
      <c r="E663" s="20" t="s">
        <v>2329</v>
      </c>
      <c r="F663" s="20" t="str">
        <f>VLOOKUP(G663,'#TID_base_up'!B:C,2,0)</f>
        <v>血手阿提卡</v>
      </c>
      <c r="G663" s="20" t="s">
        <v>2499</v>
      </c>
      <c r="H663" s="61" t="s">
        <v>2331</v>
      </c>
      <c r="I663" s="61" t="str">
        <f>VLOOKUP(F663,'#对话模型配置'!A:O,15,FALSE)</f>
        <v>newbie_oversea_attila</v>
      </c>
      <c r="J663" s="20" t="s">
        <v>2510</v>
      </c>
      <c r="K663" s="84" t="str">
        <f t="shared" si="63"/>
        <v>我的勇士可不是你们懦弱的帝国军队，他们会战斗到最后一人！</v>
      </c>
      <c r="U663" s="20">
        <v>2</v>
      </c>
      <c r="V663" s="20">
        <v>0</v>
      </c>
      <c r="X663" s="20">
        <v>30011</v>
      </c>
      <c r="Y663" s="61" t="b">
        <v>0</v>
      </c>
      <c r="AA663" s="20" t="b">
        <v>0</v>
      </c>
      <c r="AD663" s="20">
        <v>4</v>
      </c>
      <c r="AE663" s="61">
        <f t="shared" si="64"/>
        <v>5</v>
      </c>
      <c r="AF663" s="61"/>
      <c r="AG663" s="61"/>
      <c r="AH663" s="61">
        <v>0.1</v>
      </c>
      <c r="AI663" s="61">
        <v>1</v>
      </c>
      <c r="AL663" s="108">
        <v>35</v>
      </c>
      <c r="AT663" s="20" t="str">
        <f t="shared" si="60"/>
        <v>我的勇士可不是你们懦弱的帝国军队，他们会战斗到最后一人！</v>
      </c>
      <c r="AU663" s="20" t="s">
        <v>2511</v>
      </c>
    </row>
    <row r="664" spans="1:49" s="58" customFormat="1" ht="13.5" customHeight="1">
      <c r="A664" s="58">
        <v>1060604</v>
      </c>
      <c r="B664" s="58" t="s">
        <v>2509</v>
      </c>
      <c r="C664" s="58">
        <v>1</v>
      </c>
      <c r="D664" s="58" t="str">
        <f t="shared" si="62"/>
        <v>新手海外-TID_DialogueConf_1060620_name_CN_Main</v>
      </c>
      <c r="E664" s="58" t="s">
        <v>2329</v>
      </c>
      <c r="F664" s="20" t="str">
        <f>VLOOKUP(G664,'#TID_base_up'!B:C,2,0)</f>
        <v>血手阿提卡</v>
      </c>
      <c r="G664" s="20" t="s">
        <v>2499</v>
      </c>
      <c r="H664" s="61" t="s">
        <v>2331</v>
      </c>
      <c r="I664" s="61" t="str">
        <f>VLOOKUP(F664,'#对话模型配置'!A:O,15,FALSE)</f>
        <v>newbie_oversea_attila</v>
      </c>
      <c r="J664" s="58" t="s">
        <v>2512</v>
      </c>
      <c r="K664" s="84" t="str">
        <f t="shared" si="63"/>
        <v>不愧是镇守君临的&lt;color=#FFCC71&gt;钢铁蔷薇&lt;/color&gt;，安德莉亚，我承认你作为我对手的资格！</v>
      </c>
      <c r="U664" s="58">
        <v>2</v>
      </c>
      <c r="V664" s="58">
        <v>0</v>
      </c>
      <c r="X664" s="58">
        <v>30011</v>
      </c>
      <c r="Y664" s="58" t="b">
        <v>0</v>
      </c>
      <c r="Z664" s="58" t="s">
        <v>2513</v>
      </c>
      <c r="AA664" s="58" t="b">
        <v>0</v>
      </c>
      <c r="AD664" s="58">
        <v>6.5150618553161603</v>
      </c>
      <c r="AE664" s="61">
        <f t="shared" si="64"/>
        <v>7.5150618553161603</v>
      </c>
      <c r="AF664" s="61"/>
      <c r="AG664" s="61"/>
      <c r="AH664" s="61">
        <v>0.1</v>
      </c>
      <c r="AI664" s="61">
        <v>1</v>
      </c>
      <c r="AL664" s="108">
        <v>35</v>
      </c>
      <c r="AT664" s="58" t="str">
        <f t="shared" si="60"/>
        <v>不愧是镇守君临的&lt;color=#FFCC71&gt;钢铁蔷薇&lt;/color&gt;，安德莉亚，我承认你作为我对手的资格！</v>
      </c>
      <c r="AU664" s="58" t="s">
        <v>2514</v>
      </c>
      <c r="AW664" s="58" t="s">
        <v>2515</v>
      </c>
    </row>
    <row r="665" spans="1:49" s="71" customFormat="1" ht="14">
      <c r="A665" s="71">
        <v>1060605</v>
      </c>
      <c r="B665" s="71" t="s">
        <v>2509</v>
      </c>
      <c r="C665" s="71">
        <v>1</v>
      </c>
      <c r="D665" s="71" t="str">
        <f t="shared" si="62"/>
        <v>新手海外-TID_DialogueConf_1060620_name_CN_Main</v>
      </c>
      <c r="E665" s="71" t="s">
        <v>2329</v>
      </c>
      <c r="F665" s="20" t="str">
        <f>VLOOKUP(G665,'#TID_base_up'!B:C,2,0)</f>
        <v>血手阿提卡</v>
      </c>
      <c r="G665" s="20" t="s">
        <v>2499</v>
      </c>
      <c r="H665" s="61" t="s">
        <v>2331</v>
      </c>
      <c r="I665" s="61" t="str">
        <f>VLOOKUP(F665,'#对话模型配置'!A:O,15,FALSE)</f>
        <v>newbie_oversea_attila</v>
      </c>
      <c r="J665" s="71" t="s">
        <v>2516</v>
      </c>
      <c r="K665" s="84" t="str">
        <f t="shared" si="63"/>
        <v>痛快，这种疼痛，正是我所追求的！</v>
      </c>
      <c r="U665" s="71">
        <v>2</v>
      </c>
      <c r="V665" s="71">
        <v>0</v>
      </c>
      <c r="X665" s="71">
        <v>30011</v>
      </c>
      <c r="Y665" s="71" t="b">
        <v>0</v>
      </c>
      <c r="Z665" s="71" t="s">
        <v>2517</v>
      </c>
      <c r="AA665" s="71" t="b">
        <v>0</v>
      </c>
      <c r="AD665" s="71">
        <v>4.8935208320617702</v>
      </c>
      <c r="AE665" s="61">
        <f t="shared" si="64"/>
        <v>5.8935208320617702</v>
      </c>
      <c r="AF665" s="61"/>
      <c r="AG665" s="61"/>
      <c r="AH665" s="61">
        <v>0.1</v>
      </c>
      <c r="AI665" s="61">
        <v>1</v>
      </c>
      <c r="AL665" s="108">
        <v>35</v>
      </c>
      <c r="AT665" s="71" t="str">
        <f t="shared" si="60"/>
        <v>痛快，这种疼痛，正是我所追求的！</v>
      </c>
      <c r="AU665" s="71" t="s">
        <v>2518</v>
      </c>
    </row>
    <row r="666" spans="1:49" ht="28">
      <c r="A666" s="20">
        <v>1060606</v>
      </c>
      <c r="B666" s="20" t="s">
        <v>2519</v>
      </c>
      <c r="C666" s="20">
        <v>1</v>
      </c>
      <c r="D666" s="20" t="str">
        <f t="shared" si="62"/>
        <v>新手海外-TID_DialogueConf_1060620_name_CN_Main</v>
      </c>
      <c r="E666" s="20" t="s">
        <v>2329</v>
      </c>
      <c r="F666" s="20" t="str">
        <f>VLOOKUP(G666,'#TID_base_up'!B:C,2,0)</f>
        <v>血手阿提卡</v>
      </c>
      <c r="G666" s="20" t="s">
        <v>2499</v>
      </c>
      <c r="H666" s="61" t="s">
        <v>2331</v>
      </c>
      <c r="I666" s="61" t="str">
        <f>VLOOKUP(F666,'#对话模型配置'!A:O,15,FALSE)</f>
        <v>newbie_oversea_attila</v>
      </c>
      <c r="J666" s="20" t="s">
        <v>2520</v>
      </c>
      <c r="K666" s="84" t="str">
        <f t="shared" si="63"/>
        <v>我认可你是一名优秀的将军，安德莉亚，但你阻挡不了世界的浪潮，未来注定属于我们草原人！</v>
      </c>
      <c r="U666" s="20">
        <v>2</v>
      </c>
      <c r="V666" s="20">
        <v>0</v>
      </c>
      <c r="X666" s="20">
        <v>30011</v>
      </c>
      <c r="Y666" s="20" t="b">
        <v>0</v>
      </c>
      <c r="Z666" s="20" t="s">
        <v>2521</v>
      </c>
      <c r="AA666" s="20" t="b">
        <v>0</v>
      </c>
      <c r="AD666" s="20">
        <v>7.7973327636718697</v>
      </c>
      <c r="AE666" s="61">
        <f t="shared" si="64"/>
        <v>8.7973327636718697</v>
      </c>
      <c r="AF666" s="61"/>
      <c r="AG666" s="61"/>
      <c r="AH666" s="61">
        <v>0.1</v>
      </c>
      <c r="AI666" s="61">
        <v>1</v>
      </c>
      <c r="AL666" s="108">
        <v>35</v>
      </c>
      <c r="AT666" s="20" t="str">
        <f t="shared" si="60"/>
        <v>我认可你是一名优秀的将军，安德莉亚，但你阻挡不了世界的浪潮，未来注定属于我们草原人！</v>
      </c>
      <c r="AU666" s="20" t="s">
        <v>2522</v>
      </c>
    </row>
    <row r="667" spans="1:49" ht="14">
      <c r="A667" s="20">
        <v>1060606</v>
      </c>
      <c r="B667" s="20" t="s">
        <v>2519</v>
      </c>
      <c r="C667" s="20">
        <v>2</v>
      </c>
      <c r="D667" s="20" t="str">
        <f t="shared" si="62"/>
        <v>新手海外-TID_DialogueConf_1060001_name_337966742914_CN_Main</v>
      </c>
      <c r="E667" s="20" t="s">
        <v>2329</v>
      </c>
      <c r="F667" s="20" t="str">
        <f>VLOOKUP(G667,'#TID_base_up'!B:C,2,0)</f>
        <v>安德莉亚</v>
      </c>
      <c r="G667" s="20" t="s">
        <v>2335</v>
      </c>
      <c r="H667" s="61" t="s">
        <v>2331</v>
      </c>
      <c r="I667" s="61" t="str">
        <f>VLOOKUP(F667,'#对话模型配置'!A:O,15,FALSE)</f>
        <v>newbie_oversea_andrea</v>
      </c>
      <c r="J667" s="20" t="s">
        <v>2523</v>
      </c>
      <c r="K667" s="84" t="str">
        <f t="shared" si="63"/>
        <v>未来将由活着的人开创，而你，抱歉，你已经失去了这个资格。</v>
      </c>
      <c r="U667" s="20">
        <v>2</v>
      </c>
      <c r="V667" s="20">
        <v>0</v>
      </c>
      <c r="X667" s="20">
        <v>30011</v>
      </c>
      <c r="Y667" s="20" t="b">
        <v>0</v>
      </c>
      <c r="Z667" s="20" t="s">
        <v>2524</v>
      </c>
      <c r="AA667" s="20" t="b">
        <v>0</v>
      </c>
      <c r="AD667" s="20">
        <v>5.5040001869201696</v>
      </c>
      <c r="AE667" s="61">
        <f t="shared" si="64"/>
        <v>6.5040001869201696</v>
      </c>
      <c r="AF667" s="61"/>
      <c r="AG667" s="61"/>
      <c r="AH667" s="61">
        <v>0.1</v>
      </c>
      <c r="AI667" s="61">
        <v>1</v>
      </c>
      <c r="AL667" s="108">
        <v>35</v>
      </c>
      <c r="AT667" s="20" t="str">
        <f t="shared" si="60"/>
        <v>未来将由活着的人开创，而你，抱歉，你已经失去了这个资格。</v>
      </c>
      <c r="AU667" s="20" t="s">
        <v>2525</v>
      </c>
    </row>
    <row r="668" spans="1:49" ht="14">
      <c r="A668" s="20">
        <v>1060606</v>
      </c>
      <c r="B668" s="20" t="s">
        <v>2519</v>
      </c>
      <c r="C668" s="20">
        <v>3</v>
      </c>
      <c r="D668" s="20" t="str">
        <f t="shared" si="62"/>
        <v>新手海外-TID_DialogueConf_1060001_name_CN_Main</v>
      </c>
      <c r="E668" s="20" t="s">
        <v>2329</v>
      </c>
      <c r="F668" s="20" t="str">
        <f>VLOOKUP(G668,'#TID_base_up'!B:C,2,0)</f>
        <v>副官</v>
      </c>
      <c r="G668" s="20" t="s">
        <v>2330</v>
      </c>
      <c r="H668" s="61" t="s">
        <v>2331</v>
      </c>
      <c r="I668" s="61" t="str">
        <f>VLOOKUP(F668,'#对话模型配置'!A:O,15,FALSE)</f>
        <v>newbie_oversea_axe</v>
      </c>
      <c r="J668" s="20" t="s">
        <v>2526</v>
      </c>
      <c r="K668" s="84" t="str">
        <f t="shared" si="63"/>
        <v>胜利了！殿下！您胜利了！</v>
      </c>
      <c r="U668" s="20">
        <v>2</v>
      </c>
      <c r="V668" s="20">
        <v>0</v>
      </c>
      <c r="X668" s="20">
        <v>30011</v>
      </c>
      <c r="Y668" s="20" t="b">
        <v>0</v>
      </c>
      <c r="AA668" s="20" t="b">
        <v>0</v>
      </c>
      <c r="AD668" s="20">
        <v>4</v>
      </c>
      <c r="AE668" s="61">
        <f t="shared" si="64"/>
        <v>5</v>
      </c>
      <c r="AF668" s="61"/>
      <c r="AG668" s="61"/>
      <c r="AH668" s="61">
        <v>0.1</v>
      </c>
      <c r="AI668" s="61">
        <v>1</v>
      </c>
      <c r="AL668" s="108">
        <v>35</v>
      </c>
      <c r="AT668" s="20" t="str">
        <f t="shared" si="60"/>
        <v>胜利了！殿下！您胜利了！</v>
      </c>
      <c r="AU668" s="20" t="s">
        <v>2527</v>
      </c>
    </row>
    <row r="669" spans="1:49" ht="28">
      <c r="A669" s="20">
        <v>1060606</v>
      </c>
      <c r="B669" s="20" t="s">
        <v>2519</v>
      </c>
      <c r="C669" s="20">
        <v>4</v>
      </c>
      <c r="D669" s="20" t="str">
        <f t="shared" si="62"/>
        <v>新手海外-TID_DialogueConf_1060001_name_337966742914_CN_Main</v>
      </c>
      <c r="E669" s="20" t="s">
        <v>2329</v>
      </c>
      <c r="F669" s="20" t="str">
        <f>VLOOKUP(G669,'#TID_base_up'!B:C,2,0)</f>
        <v>安德莉亚</v>
      </c>
      <c r="G669" s="20" t="s">
        <v>2335</v>
      </c>
      <c r="H669" s="61" t="s">
        <v>2331</v>
      </c>
      <c r="I669" s="61" t="str">
        <f>VLOOKUP(F669,'#对话模型配置'!A:O,15,FALSE)</f>
        <v>newbie_oversea_andrea</v>
      </c>
      <c r="J669" s="20" t="s">
        <v>2528</v>
      </c>
      <c r="K669" s="84" t="str">
        <f t="shared" si="63"/>
        <v>不，副官，这份胜利不止属于我，它也属于你，属于这里每一个人。</v>
      </c>
      <c r="U669" s="20">
        <v>2</v>
      </c>
      <c r="V669" s="20">
        <v>0</v>
      </c>
      <c r="X669" s="20">
        <v>30011</v>
      </c>
      <c r="Y669" s="20" t="b">
        <v>0</v>
      </c>
      <c r="AA669" s="20" t="b">
        <v>0</v>
      </c>
      <c r="AD669" s="20">
        <v>4</v>
      </c>
      <c r="AE669" s="61">
        <f t="shared" si="64"/>
        <v>5</v>
      </c>
      <c r="AF669" s="61"/>
      <c r="AG669" s="61"/>
      <c r="AH669" s="61">
        <v>0.1</v>
      </c>
      <c r="AI669" s="61">
        <v>1</v>
      </c>
      <c r="AL669" s="108">
        <v>35</v>
      </c>
      <c r="AT669" s="20" t="str">
        <f t="shared" si="60"/>
        <v>不，副官，这份胜利不止属于我，它也属于你，属于这里每一个人。</v>
      </c>
      <c r="AU669" s="20" t="s">
        <v>2529</v>
      </c>
    </row>
    <row r="670" spans="1:49" s="70" customFormat="1" ht="28">
      <c r="A670" s="70">
        <v>1060607</v>
      </c>
      <c r="B670" s="70" t="s">
        <v>2328</v>
      </c>
      <c r="C670" s="70">
        <v>1</v>
      </c>
      <c r="D670" s="70" t="str">
        <f t="shared" si="62"/>
        <v>新手海外-TID_DialogueConf_1060607_name_CN_Main</v>
      </c>
      <c r="E670" s="70" t="s">
        <v>2329</v>
      </c>
      <c r="F670" s="20" t="str">
        <f>VLOOKUP(G670,'#TID_base_up'!B:C,2,0)</f>
        <v>乌尔丁</v>
      </c>
      <c r="G670" s="70" t="s">
        <v>2412</v>
      </c>
      <c r="H670" s="61" t="s">
        <v>2331</v>
      </c>
      <c r="I670" s="61" t="str">
        <f>VLOOKUP(F670,'#对话模型配置'!A:O,15,FALSE)</f>
        <v>newbie_oversea_enemy</v>
      </c>
      <c r="J670" s="70" t="s">
        <v>2530</v>
      </c>
      <c r="K670" s="84" t="str">
        <f t="shared" si="63"/>
        <v>你要是杀了我，冷酷的&lt;color=#FFCC71&gt;血手阿提卡&lt;/color&gt;就会带领我们上百名的勇士，把你们都践踏成灰！</v>
      </c>
      <c r="U670" s="70">
        <v>2</v>
      </c>
      <c r="V670" s="70">
        <v>0</v>
      </c>
      <c r="X670" s="20">
        <v>30011</v>
      </c>
      <c r="Y670" s="70" t="b">
        <v>0</v>
      </c>
      <c r="Z670" s="70" t="s">
        <v>2426</v>
      </c>
      <c r="AA670" s="70" t="b">
        <v>0</v>
      </c>
      <c r="AD670" s="20">
        <v>8.8853330612182599</v>
      </c>
      <c r="AE670" s="61">
        <f t="shared" si="64"/>
        <v>9.8853330612182599</v>
      </c>
      <c r="AF670" s="61"/>
      <c r="AG670" s="61"/>
      <c r="AH670" s="61">
        <v>0.1</v>
      </c>
      <c r="AI670" s="61">
        <v>1</v>
      </c>
      <c r="AL670" s="108">
        <v>35</v>
      </c>
      <c r="AT670" s="70" t="str">
        <f t="shared" si="60"/>
        <v>你要是杀了我，冷酷的&lt;color=#FFCC71&gt;血手阿提卡&lt;/color&gt;就会带领我们上百名的勇士，把你们都践踏成灰！</v>
      </c>
      <c r="AU670" s="123" t="s">
        <v>2531</v>
      </c>
      <c r="AW670" s="70" t="s">
        <v>2428</v>
      </c>
    </row>
    <row r="671" spans="1:49" s="70" customFormat="1" ht="28">
      <c r="A671" s="70">
        <v>1060607</v>
      </c>
      <c r="B671" s="70" t="s">
        <v>2328</v>
      </c>
      <c r="C671" s="70">
        <v>2</v>
      </c>
      <c r="D671" s="70" t="str">
        <f t="shared" si="62"/>
        <v>新手海外-TID_DialogueConf_1060607_name_CN_Main</v>
      </c>
      <c r="E671" s="70" t="s">
        <v>2329</v>
      </c>
      <c r="F671" s="20" t="str">
        <f>VLOOKUP(G671,'#TID_base_up'!B:C,2,0)</f>
        <v>乌尔丁</v>
      </c>
      <c r="G671" s="70" t="s">
        <v>2412</v>
      </c>
      <c r="H671" s="61" t="s">
        <v>2331</v>
      </c>
      <c r="I671" s="61" t="str">
        <f>VLOOKUP(F671,'#对话模型配置'!A:O,15,FALSE)</f>
        <v>newbie_oversea_enemy</v>
      </c>
      <c r="J671" s="70" t="s">
        <v>2532</v>
      </c>
      <c r="K671" s="84" t="str">
        <f t="shared" si="63"/>
        <v>所以趁早放了我，这是你们唯一的选择，&lt;color=#FFCC71&gt;阿提卡大人&lt;/color&gt;就驻扎在上风的营地，你们跑不掉的！</v>
      </c>
      <c r="U671" s="70">
        <v>2</v>
      </c>
      <c r="V671" s="70">
        <v>0</v>
      </c>
      <c r="X671" s="20">
        <v>30011</v>
      </c>
      <c r="Y671" s="70" t="b">
        <v>0</v>
      </c>
      <c r="Z671" s="70" t="s">
        <v>2430</v>
      </c>
      <c r="AA671" s="70" t="b">
        <v>0</v>
      </c>
      <c r="AD671" s="20">
        <v>6.1713118553161603</v>
      </c>
      <c r="AE671" s="61">
        <f t="shared" si="64"/>
        <v>7.1713118553161603</v>
      </c>
      <c r="AF671" s="61"/>
      <c r="AG671" s="61"/>
      <c r="AH671" s="61">
        <v>0.1</v>
      </c>
      <c r="AI671" s="61">
        <v>1</v>
      </c>
      <c r="AL671" s="108">
        <v>35</v>
      </c>
      <c r="AT671" s="70" t="str">
        <f t="shared" si="60"/>
        <v>所以趁早放了我，这是你们唯一的选择，&lt;color=#FFCC71&gt;阿提卡大人&lt;/color&gt;就驻扎在上风的营地，你们跑不掉的！</v>
      </c>
      <c r="AU671" s="123" t="s">
        <v>2533</v>
      </c>
      <c r="AW671" s="70" t="s">
        <v>2534</v>
      </c>
    </row>
    <row r="672" spans="1:49" s="70" customFormat="1" ht="14">
      <c r="A672" s="70">
        <v>1060608</v>
      </c>
      <c r="B672" s="70" t="s">
        <v>2328</v>
      </c>
      <c r="C672" s="70">
        <v>1</v>
      </c>
      <c r="D672" s="70" t="str">
        <f t="shared" si="62"/>
        <v>新手海外-TID_DialogueConf_1060001_name_CN_Main</v>
      </c>
      <c r="E672" s="70" t="s">
        <v>2329</v>
      </c>
      <c r="F672" s="20" t="str">
        <f>VLOOKUP(G672,'#TID_base_up'!B:C,2,0)</f>
        <v>副官</v>
      </c>
      <c r="G672" s="70" t="s">
        <v>2330</v>
      </c>
      <c r="H672" s="61" t="s">
        <v>2331</v>
      </c>
      <c r="I672" s="61" t="str">
        <f>VLOOKUP(F672,'#对话模型配置'!A:O,15,FALSE)</f>
        <v>newbie_oversea_axe</v>
      </c>
      <c r="J672" s="70" t="s">
        <v>2535</v>
      </c>
      <c r="K672" s="84" t="str">
        <f t="shared" si="63"/>
        <v>是否击杀蛮族</v>
      </c>
      <c r="U672" s="70">
        <v>2</v>
      </c>
      <c r="V672" s="70">
        <v>0</v>
      </c>
      <c r="X672" s="20">
        <v>30011</v>
      </c>
      <c r="Y672" s="70" t="b">
        <v>0</v>
      </c>
      <c r="AA672" s="70" t="b">
        <v>0</v>
      </c>
      <c r="AD672" s="20">
        <v>4</v>
      </c>
      <c r="AE672" s="61">
        <f t="shared" si="64"/>
        <v>5</v>
      </c>
      <c r="AF672" s="61"/>
      <c r="AG672" s="61"/>
      <c r="AH672" s="61">
        <v>0.1</v>
      </c>
      <c r="AI672" s="61">
        <v>1</v>
      </c>
      <c r="AL672" s="108">
        <v>35</v>
      </c>
      <c r="AT672" s="70" t="str">
        <f t="shared" si="60"/>
        <v>是否击杀蛮族</v>
      </c>
      <c r="AU672" s="123" t="s">
        <v>2536</v>
      </c>
    </row>
    <row r="673" spans="1:49" s="70" customFormat="1" ht="14">
      <c r="A673" s="70">
        <v>1060609</v>
      </c>
      <c r="B673" s="70" t="s">
        <v>2328</v>
      </c>
      <c r="C673" s="70">
        <v>1</v>
      </c>
      <c r="D673" s="70" t="str">
        <f t="shared" si="62"/>
        <v>新手海外-TID_DialogueConf_1060001_name_337966742914_CN_Main</v>
      </c>
      <c r="E673" s="70" t="s">
        <v>2329</v>
      </c>
      <c r="F673" s="20" t="str">
        <f>VLOOKUP(G673,'#TID_base_up'!B:C,2,0)</f>
        <v>安德莉亚</v>
      </c>
      <c r="G673" s="70" t="s">
        <v>2335</v>
      </c>
      <c r="H673" s="61" t="s">
        <v>2331</v>
      </c>
      <c r="I673" s="61" t="str">
        <f>VLOOKUP(F673,'#对话模型配置'!A:O,15,FALSE)</f>
        <v>newbie_oversea_andrea</v>
      </c>
      <c r="J673" s="70" t="s">
        <v>2433</v>
      </c>
      <c r="K673" s="84" t="str">
        <f t="shared" si="63"/>
        <v>记得吗？我之前说过，会把你的头颅献给那些死去的人民。</v>
      </c>
      <c r="U673" s="70">
        <v>2</v>
      </c>
      <c r="V673" s="70">
        <v>0</v>
      </c>
      <c r="X673" s="20">
        <v>30011</v>
      </c>
      <c r="Y673" s="70" t="b">
        <v>0</v>
      </c>
      <c r="Z673" s="70" t="s">
        <v>2434</v>
      </c>
      <c r="AA673" s="70" t="b">
        <v>0</v>
      </c>
      <c r="AD673" s="20">
        <v>4.8639998435974103</v>
      </c>
      <c r="AE673" s="61">
        <f t="shared" si="64"/>
        <v>5.8639998435974103</v>
      </c>
      <c r="AF673" s="61"/>
      <c r="AG673" s="61"/>
      <c r="AH673" s="61">
        <v>0.1</v>
      </c>
      <c r="AI673" s="61">
        <v>1</v>
      </c>
      <c r="AL673" s="108">
        <v>35</v>
      </c>
      <c r="AT673" s="70" t="str">
        <f t="shared" ref="AT673:AT709" si="65">IF($AU673="","",SUBSTITUTE(SUBSTITUTE(SUBSTITUTE(SUBSTITUTE($AU673,IF($AW673="","",$AW673),IF($AW673="","",CONCATENATE("&lt;color=#FFCC71&gt;",$AW673,"&lt;/color&gt;"))),IF($AX673="","",$AX673),IF($AX673="","",CONCATENATE("&lt;color=#FFCC71&gt;",$AX673,"&lt;/color&gt;"))),IF($AY673="","",$AY673),IF($AY673="","",CONCATENATE("&lt;color=#FFCC71&gt;",$AY673,"&lt;/color&gt;"))),IF($AZ673="","",$AZ673),IF($AZ673="","",CONCATENATE("&lt;color=#FFCC71&gt;",$AZ673,"&lt;/color&gt;"))))</f>
        <v>记得吗？我之前说过，会把你的头颅献给那些死去的人民。</v>
      </c>
      <c r="AU673" s="123" t="s">
        <v>2435</v>
      </c>
    </row>
    <row r="674" spans="1:49" s="70" customFormat="1" ht="14">
      <c r="A674" s="70">
        <v>1060609</v>
      </c>
      <c r="B674" s="70" t="s">
        <v>2328</v>
      </c>
      <c r="C674" s="70">
        <v>2</v>
      </c>
      <c r="D674" s="70" t="str">
        <f t="shared" si="62"/>
        <v>新手海外-TID_DialogueConf_1060607_name_CN_Main</v>
      </c>
      <c r="E674" s="70" t="s">
        <v>2329</v>
      </c>
      <c r="F674" s="20" t="str">
        <f>VLOOKUP(G674,'#TID_base_up'!B:C,2,0)</f>
        <v>乌尔丁</v>
      </c>
      <c r="G674" s="70" t="s">
        <v>2412</v>
      </c>
      <c r="H674" s="61" t="s">
        <v>2331</v>
      </c>
      <c r="I674" s="61" t="str">
        <f>VLOOKUP(F674,'#对话模型配置'!A:O,15,FALSE)</f>
        <v>newbie_oversea_enemy</v>
      </c>
      <c r="J674" s="70" t="s">
        <v>2436</v>
      </c>
      <c r="K674" s="84" t="str">
        <f t="shared" si="63"/>
        <v>不……不……你不会——</v>
      </c>
      <c r="U674" s="70">
        <v>2</v>
      </c>
      <c r="V674" s="70">
        <v>0</v>
      </c>
      <c r="X674" s="20">
        <v>30011</v>
      </c>
      <c r="Y674" s="70" t="b">
        <v>0</v>
      </c>
      <c r="Z674" s="70" t="s">
        <v>2437</v>
      </c>
      <c r="AA674" s="70" t="b">
        <v>0</v>
      </c>
      <c r="AD674" s="20">
        <v>2.6304659843444802</v>
      </c>
      <c r="AE674" s="61">
        <f t="shared" si="64"/>
        <v>3.6304659843444802</v>
      </c>
      <c r="AF674" s="61"/>
      <c r="AG674" s="61"/>
      <c r="AH674" s="61">
        <v>0.1</v>
      </c>
      <c r="AI674" s="61">
        <v>1</v>
      </c>
      <c r="AL674" s="108">
        <v>35</v>
      </c>
      <c r="AT674" s="70" t="str">
        <f t="shared" si="65"/>
        <v>不……不……你不会——</v>
      </c>
      <c r="AU674" s="123" t="s">
        <v>2438</v>
      </c>
    </row>
    <row r="675" spans="1:49" s="70" customFormat="1" ht="14">
      <c r="A675" s="70">
        <v>1060609</v>
      </c>
      <c r="B675" s="70" t="s">
        <v>2328</v>
      </c>
      <c r="C675" s="70">
        <v>3</v>
      </c>
      <c r="D675" s="70" t="str">
        <f t="shared" ref="D675:D706" si="66">"新手海外-"&amp;G675</f>
        <v>新手海外-TID_DialogueConf_1060001_name_337966742914_CN_Main</v>
      </c>
      <c r="E675" s="70" t="s">
        <v>2329</v>
      </c>
      <c r="F675" s="20" t="str">
        <f>VLOOKUP(G675,'#TID_base_up'!B:C,2,0)</f>
        <v>安德莉亚</v>
      </c>
      <c r="G675" s="70" t="s">
        <v>2335</v>
      </c>
      <c r="H675" s="61" t="s">
        <v>2331</v>
      </c>
      <c r="I675" s="61" t="str">
        <f>VLOOKUP(F675,'#对话模型配置'!A:O,15,FALSE)</f>
        <v>newbie_oversea_andrea</v>
      </c>
      <c r="J675" s="70" t="s">
        <v>2537</v>
      </c>
      <c r="K675" s="84" t="str">
        <f t="shared" ref="K675:K706" si="67">AT675</f>
        <v>遵守诺言，是贵族的美德……副官！</v>
      </c>
      <c r="U675" s="70">
        <v>2</v>
      </c>
      <c r="V675" s="70">
        <v>0</v>
      </c>
      <c r="X675" s="20">
        <v>30011</v>
      </c>
      <c r="Y675" s="70" t="b">
        <v>0</v>
      </c>
      <c r="Z675" s="70" t="s">
        <v>2440</v>
      </c>
      <c r="AA675" s="70" t="b">
        <v>0</v>
      </c>
      <c r="AD675" s="20">
        <v>2.8053328990936302</v>
      </c>
      <c r="AE675" s="61">
        <f t="shared" ref="AE675:AE706" si="68">AD675+1</f>
        <v>3.8053328990936302</v>
      </c>
      <c r="AF675" s="61"/>
      <c r="AG675" s="61"/>
      <c r="AH675" s="61">
        <v>0.1</v>
      </c>
      <c r="AI675" s="61">
        <v>1</v>
      </c>
      <c r="AL675" s="108">
        <v>35</v>
      </c>
      <c r="AT675" s="70" t="str">
        <f t="shared" si="65"/>
        <v>遵守诺言，是贵族的美德……副官！</v>
      </c>
      <c r="AU675" s="123" t="s">
        <v>2538</v>
      </c>
    </row>
    <row r="676" spans="1:49" s="70" customFormat="1" ht="28">
      <c r="A676" s="70">
        <v>1060610</v>
      </c>
      <c r="B676" s="70" t="s">
        <v>2328</v>
      </c>
      <c r="C676" s="70">
        <v>1</v>
      </c>
      <c r="D676" s="70" t="str">
        <f t="shared" si="66"/>
        <v>新手海外-TID_DialogueConf_1060001_name_337966742914_CN_Main</v>
      </c>
      <c r="E676" s="70" t="s">
        <v>2329</v>
      </c>
      <c r="F676" s="20" t="str">
        <f>VLOOKUP(G676,'#TID_base_up'!B:C,2,0)</f>
        <v>安德莉亚</v>
      </c>
      <c r="G676" s="70" t="s">
        <v>2335</v>
      </c>
      <c r="H676" s="61" t="s">
        <v>2331</v>
      </c>
      <c r="I676" s="61" t="str">
        <f>VLOOKUP(F676,'#对话模型配置'!A:O,15,FALSE)</f>
        <v>newbie_oversea_andrea</v>
      </c>
      <c r="J676" s="70" t="s">
        <v>2442</v>
      </c>
      <c r="K676" s="84" t="str">
        <f t="shared" si="67"/>
        <v>我不会让自己沦为和你一样的野兽，滚吧，在我还没有改变主意之前。</v>
      </c>
      <c r="U676" s="70">
        <v>2</v>
      </c>
      <c r="V676" s="70">
        <v>0</v>
      </c>
      <c r="X676" s="20">
        <v>30011</v>
      </c>
      <c r="Y676" s="70" t="b">
        <v>0</v>
      </c>
      <c r="Z676" s="70" t="s">
        <v>2443</v>
      </c>
      <c r="AA676" s="70" t="b">
        <v>0</v>
      </c>
      <c r="AD676" s="20">
        <v>5.6106672286987296</v>
      </c>
      <c r="AE676" s="61">
        <f t="shared" si="68"/>
        <v>6.6106672286987296</v>
      </c>
      <c r="AF676" s="61"/>
      <c r="AG676" s="61"/>
      <c r="AH676" s="61">
        <v>0.1</v>
      </c>
      <c r="AI676" s="61">
        <v>1</v>
      </c>
      <c r="AL676" s="108">
        <v>35</v>
      </c>
      <c r="AT676" s="70" t="str">
        <f t="shared" si="65"/>
        <v>我不会让自己沦为和你一样的野兽，滚吧，在我还没有改变主意之前。</v>
      </c>
      <c r="AU676" s="123" t="s">
        <v>2444</v>
      </c>
    </row>
    <row r="677" spans="1:49" s="70" customFormat="1" ht="14">
      <c r="A677" s="70">
        <v>1060610</v>
      </c>
      <c r="B677" s="70" t="s">
        <v>2328</v>
      </c>
      <c r="C677" s="70">
        <v>2</v>
      </c>
      <c r="D677" s="70" t="str">
        <f t="shared" si="66"/>
        <v>新手海外-TID_DialogueConf_1060607_name_CN_Main</v>
      </c>
      <c r="E677" s="70" t="s">
        <v>2329</v>
      </c>
      <c r="F677" s="20" t="str">
        <f>VLOOKUP(G677,'#TID_base_up'!B:C,2,0)</f>
        <v>乌尔丁</v>
      </c>
      <c r="G677" s="70" t="s">
        <v>2412</v>
      </c>
      <c r="H677" s="61" t="s">
        <v>2331</v>
      </c>
      <c r="I677" s="61" t="str">
        <f>VLOOKUP(F677,'#对话模型配置'!A:O,15,FALSE)</f>
        <v>newbie_oversea_enemy</v>
      </c>
      <c r="J677" s="70" t="s">
        <v>2539</v>
      </c>
      <c r="K677" s="84" t="str">
        <f t="shared" si="67"/>
        <v>可是你的副官……</v>
      </c>
      <c r="U677" s="70">
        <v>2</v>
      </c>
      <c r="V677" s="70">
        <v>0</v>
      </c>
      <c r="X677" s="20">
        <v>30011</v>
      </c>
      <c r="Y677" s="70" t="b">
        <v>0</v>
      </c>
      <c r="AA677" s="70" t="b">
        <v>0</v>
      </c>
      <c r="AD677" s="20">
        <v>4</v>
      </c>
      <c r="AE677" s="61">
        <f t="shared" si="68"/>
        <v>5</v>
      </c>
      <c r="AF677" s="61"/>
      <c r="AG677" s="61"/>
      <c r="AH677" s="61">
        <v>0.1</v>
      </c>
      <c r="AI677" s="61">
        <v>1</v>
      </c>
      <c r="AL677" s="108">
        <v>35</v>
      </c>
      <c r="AT677" s="70" t="str">
        <f t="shared" si="65"/>
        <v>可是你的副官……</v>
      </c>
      <c r="AU677" s="123" t="s">
        <v>2540</v>
      </c>
    </row>
    <row r="678" spans="1:49" s="70" customFormat="1" ht="28">
      <c r="A678" s="70">
        <v>1060610</v>
      </c>
      <c r="B678" s="70" t="s">
        <v>2328</v>
      </c>
      <c r="C678" s="70">
        <v>3</v>
      </c>
      <c r="D678" s="70" t="str">
        <f t="shared" si="66"/>
        <v>新手海外-TID_DialogueConf_1060001_name_CN_Main</v>
      </c>
      <c r="E678" s="70" t="s">
        <v>2329</v>
      </c>
      <c r="F678" s="20" t="str">
        <f>VLOOKUP(G678,'#TID_base_up'!B:C,2,0)</f>
        <v>副官</v>
      </c>
      <c r="G678" s="70" t="s">
        <v>2330</v>
      </c>
      <c r="H678" s="61" t="s">
        <v>2331</v>
      </c>
      <c r="I678" s="61" t="str">
        <f>VLOOKUP(F678,'#对话模型配置'!A:O,15,FALSE)</f>
        <v>newbie_oversea_axe</v>
      </c>
      <c r="J678" s="70" t="s">
        <v>2541</v>
      </c>
      <c r="K678" s="84" t="str">
        <f t="shared" si="67"/>
        <v>你获得了殿下的仁慈，殿下达成了她的承诺，但，我也有我应尽的职责。</v>
      </c>
      <c r="U678" s="70">
        <v>2</v>
      </c>
      <c r="V678" s="70">
        <v>0</v>
      </c>
      <c r="X678" s="20">
        <v>30011</v>
      </c>
      <c r="Y678" s="70" t="b">
        <v>0</v>
      </c>
      <c r="Z678" s="70" t="s">
        <v>2446</v>
      </c>
      <c r="AA678" s="70" t="b">
        <v>0</v>
      </c>
      <c r="AD678" s="20">
        <v>5.75264596939087</v>
      </c>
      <c r="AE678" s="61">
        <f t="shared" si="68"/>
        <v>6.75264596939087</v>
      </c>
      <c r="AF678" s="61"/>
      <c r="AG678" s="61"/>
      <c r="AH678" s="61">
        <v>0.1</v>
      </c>
      <c r="AI678" s="61">
        <v>1</v>
      </c>
      <c r="AL678" s="108">
        <v>35</v>
      </c>
      <c r="AT678" s="70" t="str">
        <f t="shared" si="65"/>
        <v>你获得了殿下的仁慈，殿下达成了她的承诺，但，我也有我应尽的职责。</v>
      </c>
      <c r="AU678" s="123" t="s">
        <v>2542</v>
      </c>
    </row>
    <row r="679" spans="1:49" s="70" customFormat="1" ht="14">
      <c r="A679" s="70">
        <v>1060610</v>
      </c>
      <c r="B679" s="70" t="s">
        <v>2328</v>
      </c>
      <c r="C679" s="70">
        <v>4</v>
      </c>
      <c r="D679" s="70" t="str">
        <f t="shared" si="66"/>
        <v>新手海外-TID_DialogueConf_1060001_name_CN_Main</v>
      </c>
      <c r="E679" s="70" t="s">
        <v>2329</v>
      </c>
      <c r="F679" s="20" t="str">
        <f>VLOOKUP(G679,'#TID_base_up'!B:C,2,0)</f>
        <v>副官</v>
      </c>
      <c r="G679" s="70" t="s">
        <v>2330</v>
      </c>
      <c r="H679" s="61" t="s">
        <v>2331</v>
      </c>
      <c r="I679" s="61" t="str">
        <f>VLOOKUP(F679,'#对话模型配置'!A:O,15,FALSE)</f>
        <v>newbie_oversea_axe</v>
      </c>
      <c r="J679" s="70" t="s">
        <v>2451</v>
      </c>
      <c r="K679" s="84" t="str">
        <f t="shared" si="67"/>
        <v>誓死捍卫公主的名誉，这就是我的使命。</v>
      </c>
      <c r="U679" s="70">
        <v>2</v>
      </c>
      <c r="V679" s="70">
        <v>0</v>
      </c>
      <c r="X679" s="20">
        <v>30011</v>
      </c>
      <c r="Y679" s="70" t="b">
        <v>0</v>
      </c>
      <c r="Z679" s="70" t="s">
        <v>2452</v>
      </c>
      <c r="AA679" s="70" t="b">
        <v>0</v>
      </c>
      <c r="AD679" s="20">
        <v>3.2454578876495401</v>
      </c>
      <c r="AE679" s="61">
        <f t="shared" si="68"/>
        <v>4.2454578876495397</v>
      </c>
      <c r="AF679" s="61"/>
      <c r="AG679" s="61"/>
      <c r="AH679" s="61">
        <v>0.1</v>
      </c>
      <c r="AI679" s="61">
        <v>1</v>
      </c>
      <c r="AL679" s="108">
        <v>35</v>
      </c>
      <c r="AT679" s="70" t="str">
        <f t="shared" si="65"/>
        <v>誓死捍卫公主的名誉，这就是我的使命。</v>
      </c>
      <c r="AU679" s="123" t="s">
        <v>2453</v>
      </c>
    </row>
    <row r="680" spans="1:49" ht="28">
      <c r="A680" s="20">
        <v>1060611</v>
      </c>
      <c r="B680" s="20" t="s">
        <v>2543</v>
      </c>
      <c r="C680" s="20">
        <v>1</v>
      </c>
      <c r="D680" s="70" t="str">
        <f t="shared" si="66"/>
        <v>新手海外-TID_DialogueConf_1060611_name_CN_Main</v>
      </c>
      <c r="E680" s="70" t="s">
        <v>2329</v>
      </c>
      <c r="F680" s="20" t="str">
        <f>VLOOKUP(G680,'#TID_base_up'!B:C,2,0)</f>
        <v>村民</v>
      </c>
      <c r="G680" s="70" t="s">
        <v>2544</v>
      </c>
      <c r="H680" s="61" t="s">
        <v>2331</v>
      </c>
      <c r="I680" s="61" t="str">
        <f>VLOOKUP(F680,'#对话模型配置'!A:O,15,FALSE)</f>
        <v>newbie_oversea_farmernohat</v>
      </c>
      <c r="J680" s="20" t="s">
        <v>2545</v>
      </c>
      <c r="K680" s="84" t="str">
        <f t="shared" si="67"/>
        <v>不负所托，您的&lt;color=#FFCC71&gt;玺戒&lt;/color&gt;，我已经修好了。</v>
      </c>
      <c r="U680" s="20">
        <v>2</v>
      </c>
      <c r="V680" s="20">
        <v>0</v>
      </c>
      <c r="X680" s="20">
        <v>30011</v>
      </c>
      <c r="Y680" s="70" t="b">
        <v>0</v>
      </c>
      <c r="Z680" s="20" t="s">
        <v>2546</v>
      </c>
      <c r="AA680" s="70" t="b">
        <v>0</v>
      </c>
      <c r="AD680" s="20">
        <v>1.3827500343322801</v>
      </c>
      <c r="AE680" s="61">
        <f t="shared" si="68"/>
        <v>2.3827500343322798</v>
      </c>
      <c r="AF680" s="61"/>
      <c r="AG680" s="61"/>
      <c r="AH680" s="61">
        <v>0.1</v>
      </c>
      <c r="AI680" s="61">
        <v>1</v>
      </c>
      <c r="AL680" s="108">
        <v>35</v>
      </c>
      <c r="AT680" s="20" t="str">
        <f t="shared" si="65"/>
        <v>不负所托，您的&lt;color=#FFCC71&gt;玺戒&lt;/color&gt;，我已经修好了。</v>
      </c>
      <c r="AU680" s="20" t="s">
        <v>2547</v>
      </c>
      <c r="AW680" s="20" t="s">
        <v>2548</v>
      </c>
    </row>
    <row r="681" spans="1:49" ht="28">
      <c r="A681" s="20">
        <v>1060611</v>
      </c>
      <c r="B681" s="20" t="s">
        <v>2543</v>
      </c>
      <c r="C681" s="20">
        <v>2</v>
      </c>
      <c r="D681" s="70" t="str">
        <f t="shared" si="66"/>
        <v>新手海外-TID_DialogueConf_1060001_name_337966742914_CN_Main</v>
      </c>
      <c r="E681" s="70" t="s">
        <v>2329</v>
      </c>
      <c r="F681" s="20" t="str">
        <f>VLOOKUP(G681,'#TID_base_up'!B:C,2,0)</f>
        <v>安德莉亚</v>
      </c>
      <c r="G681" s="70" t="s">
        <v>2335</v>
      </c>
      <c r="H681" s="61" t="s">
        <v>2331</v>
      </c>
      <c r="I681" s="61" t="str">
        <f>VLOOKUP(F681,'#对话模型配置'!A:O,15,FALSE)</f>
        <v>newbie_oversea_andrea</v>
      </c>
      <c r="J681" s="20" t="s">
        <v>2549</v>
      </c>
      <c r="K681" s="84" t="str">
        <f t="shared" si="67"/>
        <v>感谢你所做的一切，这只&lt;color=#FFCC71&gt;玺戒&lt;/color&gt;，它会见证这场注定的胜利。</v>
      </c>
      <c r="U681" s="20">
        <v>2</v>
      </c>
      <c r="V681" s="20">
        <v>0</v>
      </c>
      <c r="X681" s="20">
        <v>30011</v>
      </c>
      <c r="Y681" s="70" t="b">
        <v>0</v>
      </c>
      <c r="Z681" s="20" t="s">
        <v>2550</v>
      </c>
      <c r="AA681" s="70" t="b">
        <v>0</v>
      </c>
      <c r="AD681" s="20">
        <v>2.9824790954589799</v>
      </c>
      <c r="AE681" s="61">
        <f t="shared" si="68"/>
        <v>3.9824790954589799</v>
      </c>
      <c r="AF681" s="61"/>
      <c r="AG681" s="61"/>
      <c r="AH681" s="61">
        <v>0.1</v>
      </c>
      <c r="AI681" s="61">
        <v>1</v>
      </c>
      <c r="AL681" s="108">
        <v>35</v>
      </c>
      <c r="AT681" s="20" t="str">
        <f t="shared" si="65"/>
        <v>感谢你所做的一切，这只&lt;color=#FFCC71&gt;玺戒&lt;/color&gt;，它会见证这场注定的胜利。</v>
      </c>
      <c r="AU681" s="20" t="s">
        <v>2551</v>
      </c>
      <c r="AW681" s="20" t="s">
        <v>2548</v>
      </c>
    </row>
    <row r="682" spans="1:49" s="71" customFormat="1" ht="28">
      <c r="A682" s="71">
        <v>1060612</v>
      </c>
      <c r="B682" s="71" t="s">
        <v>2552</v>
      </c>
      <c r="C682" s="71">
        <v>1</v>
      </c>
      <c r="D682" s="71" t="str">
        <f t="shared" si="66"/>
        <v>新手海外-TID_DialogueConf_1060001_name_337966742914_CN_Main</v>
      </c>
      <c r="E682" s="71" t="s">
        <v>2329</v>
      </c>
      <c r="F682" s="20" t="str">
        <f>VLOOKUP(G682,'#TID_base_up'!B:C,2,0)</f>
        <v>安德莉亚</v>
      </c>
      <c r="G682" s="71" t="s">
        <v>2335</v>
      </c>
      <c r="H682" s="61" t="s">
        <v>2331</v>
      </c>
      <c r="I682" s="61" t="str">
        <f>VLOOKUP(F682,'#对话模型配置'!A:O,15,FALSE)</f>
        <v>newbie_oversea_andrea</v>
      </c>
      <c r="J682" s="71" t="s">
        <v>2553</v>
      </c>
      <c r="K682" s="84" t="str">
        <f t="shared" si="67"/>
        <v>继续战斗吧！直到和平降临或者我们死去！我们要告诉大陆上的所有人，帝国的希望仍未断绝！</v>
      </c>
      <c r="U682" s="71">
        <v>2</v>
      </c>
      <c r="V682" s="71">
        <v>0</v>
      </c>
      <c r="X682" s="71">
        <v>30011</v>
      </c>
      <c r="Y682" s="71" t="b">
        <v>0</v>
      </c>
      <c r="Z682" s="71" t="s">
        <v>2554</v>
      </c>
      <c r="AA682" s="71" t="b">
        <v>0</v>
      </c>
      <c r="AD682" s="71">
        <v>10.336000442504901</v>
      </c>
      <c r="AE682" s="61">
        <f t="shared" si="68"/>
        <v>11.336000442504901</v>
      </c>
      <c r="AF682" s="61"/>
      <c r="AG682" s="61"/>
      <c r="AH682" s="61">
        <f>AE682</f>
        <v>11.336000442504901</v>
      </c>
      <c r="AI682" s="61">
        <v>1</v>
      </c>
      <c r="AL682" s="108">
        <v>35</v>
      </c>
      <c r="AT682" s="71" t="str">
        <f t="shared" si="65"/>
        <v>继续战斗吧！直到和平降临或者我们死去！我们要告诉大陆上的所有人，帝国的希望仍未断绝！</v>
      </c>
      <c r="AU682" s="71" t="s">
        <v>2555</v>
      </c>
    </row>
    <row r="683" spans="1:49" s="71" customFormat="1" ht="28">
      <c r="A683" s="71">
        <v>1060613</v>
      </c>
      <c r="B683" s="71" t="s">
        <v>2552</v>
      </c>
      <c r="C683" s="71">
        <v>1</v>
      </c>
      <c r="D683" s="71" t="str">
        <f t="shared" si="66"/>
        <v>新手海外-TID_DialogueConf_1060001_name_337966742914_CN_Main</v>
      </c>
      <c r="E683" s="71" t="s">
        <v>2329</v>
      </c>
      <c r="F683" s="20" t="str">
        <f>VLOOKUP(G683,'#TID_base_up'!B:C,2,0)</f>
        <v>安德莉亚</v>
      </c>
      <c r="G683" s="71" t="s">
        <v>2335</v>
      </c>
      <c r="H683" s="61" t="s">
        <v>2331</v>
      </c>
      <c r="I683" s="61" t="str">
        <f>VLOOKUP(F683,'#对话模型配置'!A:O,15,FALSE)</f>
        <v>newbie_oversea_andrea</v>
      </c>
      <c r="J683" s="71" t="s">
        <v>2556</v>
      </c>
      <c r="K683" s="84" t="str">
        <f t="shared" si="67"/>
        <v>我忠诚的士兵，我的战友，我的兄弟们！为了帝国，也为了我们所有人的家园！</v>
      </c>
      <c r="U683" s="71">
        <v>2</v>
      </c>
      <c r="V683" s="71">
        <v>0</v>
      </c>
      <c r="X683" s="71">
        <v>30011</v>
      </c>
      <c r="Y683" s="71" t="b">
        <v>0</v>
      </c>
      <c r="Z683" s="71" t="s">
        <v>2557</v>
      </c>
      <c r="AA683" s="71" t="b">
        <v>0</v>
      </c>
      <c r="AD683" s="71">
        <v>7.4133329391479501</v>
      </c>
      <c r="AE683" s="61">
        <f t="shared" si="68"/>
        <v>8.4133329391479492</v>
      </c>
      <c r="AF683" s="61"/>
      <c r="AG683" s="61"/>
      <c r="AH683" s="61">
        <f t="shared" ref="AH683:AH684" si="69">AE683</f>
        <v>8.4133329391479492</v>
      </c>
      <c r="AI683" s="61">
        <v>1</v>
      </c>
      <c r="AL683" s="108">
        <v>35</v>
      </c>
      <c r="AT683" s="71" t="str">
        <f t="shared" si="65"/>
        <v>我忠诚的士兵，我的战友，我的兄弟们！为了帝国，也为了我们所有人的家园！</v>
      </c>
      <c r="AU683" s="71" t="s">
        <v>2558</v>
      </c>
    </row>
    <row r="684" spans="1:49" s="71" customFormat="1" ht="14">
      <c r="A684" s="71">
        <v>1060613</v>
      </c>
      <c r="B684" s="71" t="s">
        <v>2552</v>
      </c>
      <c r="C684" s="71">
        <v>2</v>
      </c>
      <c r="D684" s="71" t="str">
        <f t="shared" si="66"/>
        <v>新手海外-TID_DialogueConf_1060613_name_282914983875_CN_Main</v>
      </c>
      <c r="E684" s="71" t="s">
        <v>2329</v>
      </c>
      <c r="F684" s="20" t="str">
        <f>VLOOKUP(G684,'#TID_base_up'!B:C,2,0)</f>
        <v>士兵</v>
      </c>
      <c r="G684" s="71" t="s">
        <v>2559</v>
      </c>
      <c r="H684" s="61" t="s">
        <v>2331</v>
      </c>
      <c r="I684" s="61" t="str">
        <f>VLOOKUP(F684,'#对话模型配置'!A:O,15,FALSE)</f>
        <v>newbie_oversea_leo</v>
      </c>
      <c r="J684" s="71" t="s">
        <v>2560</v>
      </c>
      <c r="K684" s="84" t="str">
        <f t="shared" si="67"/>
        <v>哦！！！</v>
      </c>
      <c r="U684" s="71">
        <v>2</v>
      </c>
      <c r="V684" s="71">
        <v>0</v>
      </c>
      <c r="X684" s="71">
        <v>30011</v>
      </c>
      <c r="Y684" s="71" t="b">
        <v>0</v>
      </c>
      <c r="Z684" s="71" t="s">
        <v>2561</v>
      </c>
      <c r="AA684" s="71" t="b">
        <v>0</v>
      </c>
      <c r="AD684" s="71">
        <v>0.68056201934814498</v>
      </c>
      <c r="AE684" s="61">
        <f t="shared" si="68"/>
        <v>1.680562019348145</v>
      </c>
      <c r="AF684" s="61"/>
      <c r="AG684" s="61"/>
      <c r="AH684" s="61">
        <f t="shared" si="69"/>
        <v>1.680562019348145</v>
      </c>
      <c r="AI684" s="61">
        <v>1</v>
      </c>
      <c r="AL684" s="108">
        <v>35</v>
      </c>
      <c r="AT684" s="71" t="str">
        <f t="shared" si="65"/>
        <v>哦！！！</v>
      </c>
      <c r="AU684" s="71" t="s">
        <v>2562</v>
      </c>
    </row>
    <row r="685" spans="1:49" ht="28">
      <c r="A685" s="20">
        <v>1060614</v>
      </c>
      <c r="B685" s="20" t="s">
        <v>2563</v>
      </c>
      <c r="C685" s="20">
        <v>1</v>
      </c>
      <c r="D685" s="70" t="str">
        <f t="shared" si="66"/>
        <v>新手海外-TID_DialogueConf_1060001_name_337966742914_CN_Main</v>
      </c>
      <c r="E685" s="70" t="s">
        <v>2329</v>
      </c>
      <c r="F685" s="20" t="str">
        <f>VLOOKUP(G685,'#TID_base_up'!B:C,2,0)</f>
        <v>安德莉亚</v>
      </c>
      <c r="G685" s="70" t="s">
        <v>2335</v>
      </c>
      <c r="H685" s="61" t="s">
        <v>2331</v>
      </c>
      <c r="I685" s="61" t="str">
        <f>VLOOKUP(F685,'#对话模型配置'!A:O,15,FALSE)</f>
        <v>newbie_oversea_andrea</v>
      </c>
      <c r="J685" s="20" t="s">
        <v>2564</v>
      </c>
      <c r="K685" s="84" t="str">
        <f t="shared" si="67"/>
        <v>大量的财富，这是相当不错的战果，副官，还记得我们的愿景么？</v>
      </c>
      <c r="U685" s="20">
        <v>2</v>
      </c>
      <c r="V685" s="20">
        <v>0</v>
      </c>
      <c r="X685" s="20">
        <v>30011</v>
      </c>
      <c r="Y685" s="70" t="b">
        <v>0</v>
      </c>
      <c r="AA685" s="70" t="b">
        <v>0</v>
      </c>
      <c r="AD685" s="20">
        <v>4</v>
      </c>
      <c r="AE685" s="61">
        <f t="shared" si="68"/>
        <v>5</v>
      </c>
      <c r="AF685" s="61"/>
      <c r="AG685" s="61"/>
      <c r="AH685" s="61">
        <v>0.1</v>
      </c>
      <c r="AI685" s="61">
        <v>1</v>
      </c>
      <c r="AL685" s="108">
        <v>35</v>
      </c>
      <c r="AT685" s="20" t="str">
        <f t="shared" si="65"/>
        <v>大量的财富，这是相当不错的战果，副官，还记得我们的愿景么？</v>
      </c>
      <c r="AU685" s="20" t="s">
        <v>2565</v>
      </c>
    </row>
    <row r="686" spans="1:49" ht="28">
      <c r="A686" s="20">
        <v>1060614</v>
      </c>
      <c r="B686" s="20" t="s">
        <v>2563</v>
      </c>
      <c r="C686" s="20">
        <v>2</v>
      </c>
      <c r="D686" s="70" t="str">
        <f t="shared" si="66"/>
        <v>新手海外-TID_DialogueConf_1060001_name_CN_Main</v>
      </c>
      <c r="E686" s="70" t="s">
        <v>2329</v>
      </c>
      <c r="F686" s="20" t="str">
        <f>VLOOKUP(G686,'#TID_base_up'!B:C,2,0)</f>
        <v>副官</v>
      </c>
      <c r="G686" s="70" t="s">
        <v>2330</v>
      </c>
      <c r="H686" s="61" t="s">
        <v>2331</v>
      </c>
      <c r="I686" s="61" t="str">
        <f>VLOOKUP(F686,'#对话模型配置'!A:O,15,FALSE)</f>
        <v>newbie_oversea_axe</v>
      </c>
      <c r="J686" s="20" t="s">
        <v>2566</v>
      </c>
      <c r="K686" s="84" t="str">
        <f t="shared" si="67"/>
        <v>我记得殿下您说过，&lt;color=#FFCC71&gt;重返君临&lt;/color&gt;，扫除蛮族，登临帝位，拯救帝国！</v>
      </c>
      <c r="U686" s="20">
        <v>2</v>
      </c>
      <c r="V686" s="20">
        <v>0</v>
      </c>
      <c r="X686" s="20">
        <v>30011</v>
      </c>
      <c r="Y686" s="70" t="b">
        <v>0</v>
      </c>
      <c r="AA686" s="70" t="b">
        <v>0</v>
      </c>
      <c r="AD686" s="20">
        <v>4</v>
      </c>
      <c r="AE686" s="61">
        <f t="shared" si="68"/>
        <v>5</v>
      </c>
      <c r="AF686" s="61"/>
      <c r="AG686" s="61"/>
      <c r="AH686" s="61">
        <v>0.1</v>
      </c>
      <c r="AI686" s="61">
        <v>1</v>
      </c>
      <c r="AL686" s="108">
        <v>35</v>
      </c>
      <c r="AT686" s="20" t="str">
        <f t="shared" si="65"/>
        <v>我记得殿下您说过，&lt;color=#FFCC71&gt;重返君临&lt;/color&gt;，扫除蛮族，登临帝位，拯救帝国！</v>
      </c>
      <c r="AU686" s="20" t="s">
        <v>2567</v>
      </c>
      <c r="AW686" s="20" t="s">
        <v>2568</v>
      </c>
    </row>
    <row r="687" spans="1:49" ht="14">
      <c r="A687" s="20">
        <v>1060614</v>
      </c>
      <c r="B687" s="20" t="s">
        <v>2563</v>
      </c>
      <c r="C687" s="20">
        <v>3</v>
      </c>
      <c r="D687" s="70" t="str">
        <f t="shared" si="66"/>
        <v>新手海外-TID_DialogueConf_1060001_name_337966742914_CN_Main</v>
      </c>
      <c r="E687" s="70" t="s">
        <v>2329</v>
      </c>
      <c r="F687" s="20" t="str">
        <f>VLOOKUP(G687,'#TID_base_up'!B:C,2,0)</f>
        <v>安德莉亚</v>
      </c>
      <c r="G687" s="70" t="s">
        <v>2335</v>
      </c>
      <c r="H687" s="61" t="s">
        <v>2331</v>
      </c>
      <c r="I687" s="61" t="str">
        <f>VLOOKUP(F687,'#对话模型配置'!A:O,15,FALSE)</f>
        <v>newbie_oversea_andrea</v>
      </c>
      <c r="J687" s="20" t="s">
        <v>2569</v>
      </c>
      <c r="K687" s="84" t="str">
        <f t="shared" si="67"/>
        <v>那你要准备好，副官，我们的使命，会从这里开始。</v>
      </c>
      <c r="U687" s="20">
        <v>2</v>
      </c>
      <c r="V687" s="20">
        <v>0</v>
      </c>
      <c r="X687" s="20">
        <v>30011</v>
      </c>
      <c r="Y687" s="70" t="b">
        <v>0</v>
      </c>
      <c r="AA687" s="70" t="b">
        <v>0</v>
      </c>
      <c r="AD687" s="20">
        <v>4</v>
      </c>
      <c r="AE687" s="61">
        <f t="shared" si="68"/>
        <v>5</v>
      </c>
      <c r="AF687" s="61"/>
      <c r="AG687" s="61"/>
      <c r="AH687" s="61">
        <v>0.1</v>
      </c>
      <c r="AI687" s="61">
        <v>1</v>
      </c>
      <c r="AL687" s="108">
        <v>35</v>
      </c>
      <c r="AT687" s="20" t="str">
        <f t="shared" si="65"/>
        <v>那你要准备好，副官，我们的使命，会从这里开始。</v>
      </c>
      <c r="AU687" s="20" t="s">
        <v>2570</v>
      </c>
    </row>
    <row r="688" spans="1:49" ht="14">
      <c r="A688" s="20">
        <v>1060614</v>
      </c>
      <c r="B688" s="20" t="s">
        <v>2563</v>
      </c>
      <c r="C688" s="20">
        <v>4</v>
      </c>
      <c r="D688" s="70" t="str">
        <f t="shared" si="66"/>
        <v>新手海外-TID_DialogueConf_1060001_name_CN_Main</v>
      </c>
      <c r="E688" s="70" t="s">
        <v>2329</v>
      </c>
      <c r="F688" s="20" t="str">
        <f>VLOOKUP(G688,'#TID_base_up'!B:C,2,0)</f>
        <v>副官</v>
      </c>
      <c r="G688" s="70" t="s">
        <v>2330</v>
      </c>
      <c r="H688" s="61" t="s">
        <v>2331</v>
      </c>
      <c r="I688" s="61" t="str">
        <f>VLOOKUP(F688,'#对话模型配置'!A:O,15,FALSE)</f>
        <v>newbie_oversea_axe</v>
      </c>
      <c r="J688" s="20" t="s">
        <v>2496</v>
      </c>
      <c r="K688" s="84" t="str">
        <f t="shared" si="67"/>
        <v>遵命，公主殿下！</v>
      </c>
      <c r="U688" s="20">
        <v>2</v>
      </c>
      <c r="V688" s="20">
        <v>0</v>
      </c>
      <c r="X688" s="20">
        <v>30011</v>
      </c>
      <c r="Y688" s="70" t="b">
        <v>0</v>
      </c>
      <c r="AA688" s="70" t="b">
        <v>0</v>
      </c>
      <c r="AD688" s="20">
        <v>4</v>
      </c>
      <c r="AE688" s="61">
        <f t="shared" si="68"/>
        <v>5</v>
      </c>
      <c r="AF688" s="61"/>
      <c r="AG688" s="61"/>
      <c r="AH688" s="61">
        <v>0.1</v>
      </c>
      <c r="AI688" s="61">
        <v>1</v>
      </c>
      <c r="AL688" s="108">
        <v>35</v>
      </c>
      <c r="AT688" s="20" t="str">
        <f t="shared" si="65"/>
        <v>遵命，公主殿下！</v>
      </c>
      <c r="AU688" s="20" t="s">
        <v>2497</v>
      </c>
    </row>
    <row r="689" spans="1:50" s="58" customFormat="1" ht="28">
      <c r="A689" s="58">
        <v>1060615</v>
      </c>
      <c r="B689" s="58" t="s">
        <v>2571</v>
      </c>
      <c r="C689" s="58">
        <v>1</v>
      </c>
      <c r="D689" s="58" t="str">
        <f t="shared" si="66"/>
        <v>新手海外-TID_DialogueConf_1060001_name_CN_Main</v>
      </c>
      <c r="E689" s="58" t="s">
        <v>2329</v>
      </c>
      <c r="F689" s="20" t="str">
        <f>VLOOKUP(G689,'#TID_base_up'!B:C,2,0)</f>
        <v>副官</v>
      </c>
      <c r="G689" s="58" t="s">
        <v>2330</v>
      </c>
      <c r="H689" s="61" t="s">
        <v>2331</v>
      </c>
      <c r="I689" s="61" t="str">
        <f>VLOOKUP(F689,'#对话模型配置'!A:O,15,FALSE)</f>
        <v>newbie_oversea_axe</v>
      </c>
      <c r="J689" s="58" t="s">
        <v>2572</v>
      </c>
      <c r="K689" s="84" t="str">
        <f t="shared" si="67"/>
        <v>士兵们！&lt;color=#FFCC71&gt;箭塔&lt;/color&gt;在攻击我们！把蛮族引出&lt;color=#FFCC71&gt;攻击范围&lt;/color&gt;！</v>
      </c>
      <c r="U689" s="58">
        <v>2</v>
      </c>
      <c r="V689" s="58">
        <v>0</v>
      </c>
      <c r="X689" s="58">
        <v>30011</v>
      </c>
      <c r="Y689" s="58" t="b">
        <v>0</v>
      </c>
      <c r="Z689" s="58" t="s">
        <v>2573</v>
      </c>
      <c r="AA689" s="58" t="b">
        <v>0</v>
      </c>
      <c r="AD689" s="58">
        <v>5.15199995040894</v>
      </c>
      <c r="AE689" s="61">
        <f t="shared" si="68"/>
        <v>6.15199995040894</v>
      </c>
      <c r="AF689" s="61"/>
      <c r="AG689" s="61"/>
      <c r="AH689" s="61">
        <v>0.1</v>
      </c>
      <c r="AI689" s="61">
        <v>1</v>
      </c>
      <c r="AL689" s="108">
        <v>35</v>
      </c>
      <c r="AT689" s="58" t="str">
        <f t="shared" si="65"/>
        <v>士兵们！&lt;color=#FFCC71&gt;箭塔&lt;/color&gt;在攻击我们！把蛮族引出&lt;color=#FFCC71&gt;攻击范围&lt;/color&gt;！</v>
      </c>
      <c r="AU689" s="58" t="s">
        <v>2574</v>
      </c>
      <c r="AW689" s="58" t="s">
        <v>2575</v>
      </c>
      <c r="AX689" s="58" t="s">
        <v>2576</v>
      </c>
    </row>
    <row r="690" spans="1:50" s="71" customFormat="1" ht="28">
      <c r="A690" s="71">
        <v>1060616</v>
      </c>
      <c r="B690" s="71" t="s">
        <v>2577</v>
      </c>
      <c r="C690" s="71">
        <v>1</v>
      </c>
      <c r="D690" s="71" t="str">
        <f t="shared" si="66"/>
        <v>新手海外-TID_DialogueConf_1060001_name_CN_Main</v>
      </c>
      <c r="E690" s="71" t="s">
        <v>2329</v>
      </c>
      <c r="F690" s="20" t="str">
        <f>VLOOKUP(G690,'#TID_base_up'!B:C,2,0)</f>
        <v>副官</v>
      </c>
      <c r="G690" s="71" t="s">
        <v>2330</v>
      </c>
      <c r="H690" s="61" t="s">
        <v>2331</v>
      </c>
      <c r="I690" s="61" t="str">
        <f>VLOOKUP(F690,'#对话模型配置'!A:O,15,FALSE)</f>
        <v>newbie_oversea_axe</v>
      </c>
      <c r="J690" s="71" t="s">
        <v>2578</v>
      </c>
      <c r="K690" s="84" t="str">
        <f t="shared" si="67"/>
        <v>士兵们，拿出你们的&lt;color=#FFCC71&gt;火把&lt;/color&gt;，拆了这些箭塔！</v>
      </c>
      <c r="U690" s="71">
        <v>2</v>
      </c>
      <c r="V690" s="71">
        <v>0</v>
      </c>
      <c r="X690" s="71">
        <v>30011</v>
      </c>
      <c r="Y690" s="71" t="b">
        <v>0</v>
      </c>
      <c r="Z690" s="71" t="s">
        <v>2579</v>
      </c>
      <c r="AA690" s="71" t="b">
        <v>0</v>
      </c>
      <c r="AD690" s="71">
        <v>5.09645795822144</v>
      </c>
      <c r="AE690" s="61">
        <f t="shared" si="68"/>
        <v>6.09645795822144</v>
      </c>
      <c r="AF690" s="61"/>
      <c r="AG690" s="61"/>
      <c r="AH690" s="61">
        <v>0.1</v>
      </c>
      <c r="AI690" s="61">
        <v>1</v>
      </c>
      <c r="AL690" s="108">
        <v>35</v>
      </c>
      <c r="AT690" s="71" t="str">
        <f t="shared" si="65"/>
        <v>士兵们，拿出你们的&lt;color=#FFCC71&gt;火把&lt;/color&gt;，拆了这些箭塔！</v>
      </c>
      <c r="AU690" s="124" t="s">
        <v>2580</v>
      </c>
      <c r="AW690" s="71" t="s">
        <v>2581</v>
      </c>
    </row>
    <row r="691" spans="1:50" s="58" customFormat="1" ht="14">
      <c r="A691" s="58">
        <v>1060617</v>
      </c>
      <c r="B691" s="58" t="s">
        <v>2582</v>
      </c>
      <c r="C691" s="58">
        <v>1</v>
      </c>
      <c r="D691" s="58" t="str">
        <f t="shared" si="66"/>
        <v>新手海外-TID_DialogueConf_1060611_name_CN_Main</v>
      </c>
      <c r="E691" s="58" t="s">
        <v>2329</v>
      </c>
      <c r="F691" s="20" t="str">
        <f>VLOOKUP(G691,'#TID_base_up'!B:C,2,0)</f>
        <v>村民</v>
      </c>
      <c r="G691" s="58" t="s">
        <v>2544</v>
      </c>
      <c r="H691" s="61" t="s">
        <v>2331</v>
      </c>
      <c r="I691" s="61" t="str">
        <f>VLOOKUP(F691,'#对话模型配置'!A:O,15,FALSE)</f>
        <v>newbie_oversea_farmernohat</v>
      </c>
      <c r="J691" s="58" t="s">
        <v>2583</v>
      </c>
      <c r="K691" s="84" t="str">
        <f t="shared" si="67"/>
        <v>殿下！</v>
      </c>
      <c r="U691" s="58">
        <v>2</v>
      </c>
      <c r="V691" s="58">
        <v>0</v>
      </c>
      <c r="X691" s="58">
        <v>30011</v>
      </c>
      <c r="Y691" s="58" t="b">
        <v>0</v>
      </c>
      <c r="Z691" s="58" t="s">
        <v>2546</v>
      </c>
      <c r="AA691" s="58" t="b">
        <v>0</v>
      </c>
      <c r="AD691" s="58">
        <v>1.3827500343322801</v>
      </c>
      <c r="AE691" s="61">
        <f t="shared" si="68"/>
        <v>2.3827500343322798</v>
      </c>
      <c r="AF691" s="61"/>
      <c r="AG691" s="61"/>
      <c r="AH691" s="61">
        <v>0.1</v>
      </c>
      <c r="AI691" s="61">
        <v>1</v>
      </c>
      <c r="AL691" s="108">
        <v>35</v>
      </c>
      <c r="AT691" s="58" t="str">
        <f t="shared" si="65"/>
        <v>殿下！</v>
      </c>
      <c r="AU691" s="125" t="s">
        <v>2584</v>
      </c>
    </row>
    <row r="692" spans="1:50" s="58" customFormat="1" ht="28">
      <c r="A692" s="58">
        <v>1060617</v>
      </c>
      <c r="B692" s="58" t="s">
        <v>2582</v>
      </c>
      <c r="C692" s="58">
        <v>2</v>
      </c>
      <c r="D692" s="58" t="str">
        <f t="shared" si="66"/>
        <v>新手海外-TID_DialogueConf_1060611_name_CN_Main</v>
      </c>
      <c r="E692" s="58" t="s">
        <v>2329</v>
      </c>
      <c r="F692" s="20" t="str">
        <f>VLOOKUP(G692,'#TID_base_up'!B:C,2,0)</f>
        <v>村民</v>
      </c>
      <c r="G692" s="58" t="s">
        <v>2544</v>
      </c>
      <c r="H692" s="61" t="s">
        <v>2331</v>
      </c>
      <c r="I692" s="61" t="str">
        <f>VLOOKUP(F692,'#对话模型配置'!A:O,15,FALSE)</f>
        <v>newbie_oversea_farmernohat</v>
      </c>
      <c r="J692" s="58" t="s">
        <v>2545</v>
      </c>
      <c r="K692" s="84" t="str">
        <f t="shared" si="67"/>
        <v>不负所托，您的&lt;color=#FFCC71&gt;玺戒&lt;/color&gt;，我已经修好了。</v>
      </c>
      <c r="U692" s="58">
        <v>2</v>
      </c>
      <c r="V692" s="58">
        <v>0</v>
      </c>
      <c r="X692" s="58">
        <v>30011</v>
      </c>
      <c r="Y692" s="58" t="b">
        <v>0</v>
      </c>
      <c r="Z692" s="58" t="s">
        <v>2550</v>
      </c>
      <c r="AA692" s="58" t="b">
        <v>0</v>
      </c>
      <c r="AD692" s="58">
        <v>2.9824790954589799</v>
      </c>
      <c r="AE692" s="61">
        <f t="shared" si="68"/>
        <v>3.9824790954589799</v>
      </c>
      <c r="AF692" s="61"/>
      <c r="AG692" s="61"/>
      <c r="AH692" s="61">
        <v>0.1</v>
      </c>
      <c r="AI692" s="61">
        <v>1</v>
      </c>
      <c r="AL692" s="108">
        <v>35</v>
      </c>
      <c r="AT692" s="58" t="str">
        <f t="shared" si="65"/>
        <v>不负所托，您的&lt;color=#FFCC71&gt;玺戒&lt;/color&gt;，我已经修好了。</v>
      </c>
      <c r="AU692" s="125" t="s">
        <v>2547</v>
      </c>
      <c r="AW692" s="58" t="s">
        <v>2548</v>
      </c>
    </row>
    <row r="693" spans="1:50" s="58" customFormat="1" ht="28">
      <c r="A693" s="58">
        <v>1060617</v>
      </c>
      <c r="B693" s="58" t="s">
        <v>2582</v>
      </c>
      <c r="C693" s="58">
        <v>3</v>
      </c>
      <c r="D693" s="58" t="str">
        <f t="shared" si="66"/>
        <v>新手海外-TID_DialogueConf_1060001_name_337966742914_CN_Main</v>
      </c>
      <c r="E693" s="58" t="s">
        <v>2329</v>
      </c>
      <c r="F693" s="20" t="str">
        <f>VLOOKUP(G693,'#TID_base_up'!B:C,2,0)</f>
        <v>安德莉亚</v>
      </c>
      <c r="G693" s="58" t="s">
        <v>2335</v>
      </c>
      <c r="H693" s="61" t="s">
        <v>2331</v>
      </c>
      <c r="I693" s="61" t="str">
        <f>VLOOKUP(F693,'#对话模型配置'!A:O,15,FALSE)</f>
        <v>newbie_oversea_andrea</v>
      </c>
      <c r="J693" s="58" t="s">
        <v>2549</v>
      </c>
      <c r="K693" s="84" t="str">
        <f t="shared" si="67"/>
        <v>感谢你所做的一切，这只&lt;color=#FFCC71&gt;玺戒&lt;/color&gt;，它会见证这场注定的胜利。</v>
      </c>
      <c r="U693" s="58">
        <v>2</v>
      </c>
      <c r="V693" s="58">
        <v>0</v>
      </c>
      <c r="X693" s="58">
        <v>30011</v>
      </c>
      <c r="Y693" s="58" t="b">
        <v>0</v>
      </c>
      <c r="Z693" s="58" t="s">
        <v>2585</v>
      </c>
      <c r="AA693" s="58" t="b">
        <v>0</v>
      </c>
      <c r="AD693" s="58">
        <v>6.0853328704834002</v>
      </c>
      <c r="AE693" s="61">
        <f t="shared" si="68"/>
        <v>7.0853328704834002</v>
      </c>
      <c r="AF693" s="61"/>
      <c r="AG693" s="61"/>
      <c r="AH693" s="61">
        <v>0.1</v>
      </c>
      <c r="AI693" s="61">
        <v>1</v>
      </c>
      <c r="AL693" s="108">
        <v>35</v>
      </c>
      <c r="AT693" s="58" t="str">
        <f t="shared" si="65"/>
        <v>感谢你所做的一切，这只&lt;color=#FFCC71&gt;玺戒&lt;/color&gt;，它会见证这场注定的胜利。</v>
      </c>
      <c r="AU693" s="125" t="s">
        <v>2551</v>
      </c>
      <c r="AW693" s="58" t="s">
        <v>2548</v>
      </c>
    </row>
    <row r="694" spans="1:50" s="71" customFormat="1" ht="28">
      <c r="A694" s="71">
        <v>1060618</v>
      </c>
      <c r="B694" s="71" t="s">
        <v>2586</v>
      </c>
      <c r="C694" s="71">
        <v>1</v>
      </c>
      <c r="D694" s="71" t="str">
        <f t="shared" si="66"/>
        <v>新手海外-TID_DialogueConf_1060001_name_337966742914_CN_Main</v>
      </c>
      <c r="E694" s="71" t="s">
        <v>2329</v>
      </c>
      <c r="F694" s="20" t="str">
        <f>VLOOKUP(G694,'#TID_base_up'!B:C,2,0)</f>
        <v>安德莉亚</v>
      </c>
      <c r="G694" s="71" t="s">
        <v>2335</v>
      </c>
      <c r="H694" s="61" t="s">
        <v>2331</v>
      </c>
      <c r="I694" s="61" t="str">
        <f>VLOOKUP(F694,'#对话模型配置'!A:O,15,FALSE)</f>
        <v>newbie_oversea_andrea</v>
      </c>
      <c r="J694" s="71" t="s">
        <v>2587</v>
      </c>
      <c r="K694" s="84" t="str">
        <f t="shared" si="67"/>
        <v>只要我在战斗中拥有足够的怒气值，就可以&lt;color=#FFCC71&gt;释放主将技打断敌人的大招&lt;/color&gt;！</v>
      </c>
      <c r="U694" s="71">
        <v>2</v>
      </c>
      <c r="V694" s="71">
        <v>0</v>
      </c>
      <c r="X694" s="71">
        <v>30011</v>
      </c>
      <c r="Y694" s="71" t="b">
        <v>0</v>
      </c>
      <c r="Z694" s="71" t="s">
        <v>2588</v>
      </c>
      <c r="AA694" s="71" t="b">
        <v>0</v>
      </c>
      <c r="AD694" s="71">
        <v>7.0889577865600604</v>
      </c>
      <c r="AE694" s="61">
        <f t="shared" si="68"/>
        <v>8.0889577865600604</v>
      </c>
      <c r="AF694" s="61"/>
      <c r="AG694" s="61"/>
      <c r="AH694" s="61">
        <v>0.1</v>
      </c>
      <c r="AI694" s="61">
        <v>1</v>
      </c>
      <c r="AL694" s="108">
        <v>35</v>
      </c>
      <c r="AT694" s="71" t="str">
        <f t="shared" si="65"/>
        <v>只要我在战斗中拥有足够的怒气值，就可以&lt;color=#FFCC71&gt;释放主将技打断敌人的大招&lt;/color&gt;！</v>
      </c>
      <c r="AU694" s="124" t="s">
        <v>2589</v>
      </c>
      <c r="AW694" s="71" t="s">
        <v>2590</v>
      </c>
    </row>
    <row r="695" spans="1:50" s="70" customFormat="1" ht="28">
      <c r="A695" s="70">
        <v>1060619</v>
      </c>
      <c r="B695" s="70" t="s">
        <v>2328</v>
      </c>
      <c r="C695" s="70">
        <v>1</v>
      </c>
      <c r="D695" s="70" t="str">
        <f t="shared" si="66"/>
        <v>新手海外-TID_DialogueConf_1060001_name_337966742914_CN_Main</v>
      </c>
      <c r="E695" s="70" t="s">
        <v>2329</v>
      </c>
      <c r="F695" s="20" t="str">
        <f>VLOOKUP(G695,'#TID_base_up'!B:C,2,0)</f>
        <v>安德莉亚</v>
      </c>
      <c r="G695" s="70" t="s">
        <v>2335</v>
      </c>
      <c r="H695" s="61" t="s">
        <v>2331</v>
      </c>
      <c r="I695" s="61" t="str">
        <f>VLOOKUP(F695,'#对话模型配置'!A:O,15,FALSE)</f>
        <v>newbie_oversea_andrea</v>
      </c>
      <c r="J695" s="70" t="s">
        <v>2591</v>
      </c>
      <c r="K695" s="84" t="str">
        <f t="shared" si="67"/>
        <v>离这远一点，副官。以我们现在的实力，去挑战阿提卡完全是自寻死路。</v>
      </c>
      <c r="U695" s="70">
        <v>2</v>
      </c>
      <c r="V695" s="70">
        <v>0</v>
      </c>
      <c r="X695" s="20">
        <v>30011</v>
      </c>
      <c r="Y695" s="70" t="b">
        <v>0</v>
      </c>
      <c r="Z695" s="70" t="s">
        <v>2592</v>
      </c>
      <c r="AA695" s="70" t="b">
        <v>0</v>
      </c>
      <c r="AD695" s="20">
        <v>5.8613328933715803</v>
      </c>
      <c r="AE695" s="61">
        <f t="shared" si="68"/>
        <v>6.8613328933715803</v>
      </c>
      <c r="AF695" s="61"/>
      <c r="AG695" s="61"/>
      <c r="AH695" s="61">
        <v>0.1</v>
      </c>
      <c r="AI695" s="61">
        <v>1</v>
      </c>
      <c r="AL695" s="108">
        <v>35</v>
      </c>
      <c r="AT695" s="70" t="str">
        <f t="shared" si="65"/>
        <v>离这远一点，副官。以我们现在的实力，去挑战阿提卡完全是自寻死路。</v>
      </c>
      <c r="AU695" s="123" t="s">
        <v>2593</v>
      </c>
    </row>
    <row r="696" spans="1:50" s="71" customFormat="1" ht="28">
      <c r="A696" s="71">
        <v>1060620</v>
      </c>
      <c r="B696" s="71" t="s">
        <v>2498</v>
      </c>
      <c r="C696" s="71">
        <v>1</v>
      </c>
      <c r="D696" s="71" t="str">
        <f t="shared" si="66"/>
        <v>新手海外-TID_DialogueConf_1060620_name_CN_Main</v>
      </c>
      <c r="E696" s="71" t="s">
        <v>2329</v>
      </c>
      <c r="F696" s="20" t="str">
        <f>VLOOKUP(G696,'#TID_base_up'!B:C,2,0)</f>
        <v>血手阿提卡</v>
      </c>
      <c r="G696" s="71" t="s">
        <v>2499</v>
      </c>
      <c r="H696" s="61" t="s">
        <v>2331</v>
      </c>
      <c r="I696" s="61" t="str">
        <f>VLOOKUP(F696,'#对话模型配置'!A:O,15,FALSE)</f>
        <v>newbie_oversea_attila</v>
      </c>
      <c r="J696" s="71" t="s">
        <v>2594</v>
      </c>
      <c r="K696" s="84" t="str">
        <f t="shared" si="67"/>
        <v>帝国公主，&lt;color=#FFCC71&gt;钢铁蔷薇安德莉亚&lt;/color&gt;，我听说过你的名号！亡国的鬼魂竟然也敢走到阳光之下？</v>
      </c>
      <c r="U696" s="71">
        <v>2</v>
      </c>
      <c r="V696" s="71">
        <v>0</v>
      </c>
      <c r="X696" s="71">
        <v>30011</v>
      </c>
      <c r="Y696" s="71" t="b">
        <v>0</v>
      </c>
      <c r="Z696" s="71" t="s">
        <v>2501</v>
      </c>
      <c r="AA696" s="71" t="b">
        <v>0</v>
      </c>
      <c r="AD696" s="71">
        <v>10.344916343689</v>
      </c>
      <c r="AE696" s="61">
        <f t="shared" si="68"/>
        <v>11.344916343689</v>
      </c>
      <c r="AF696" s="61"/>
      <c r="AG696" s="61"/>
      <c r="AH696" s="61">
        <v>0.1</v>
      </c>
      <c r="AI696" s="61">
        <v>1</v>
      </c>
      <c r="AL696" s="108">
        <v>35</v>
      </c>
      <c r="AT696" s="71" t="str">
        <f t="shared" si="65"/>
        <v>帝国公主，&lt;color=#FFCC71&gt;钢铁蔷薇安德莉亚&lt;/color&gt;，我听说过你的名号！亡国的鬼魂竟然也敢走到阳光之下？</v>
      </c>
      <c r="AU696" s="124" t="s">
        <v>2595</v>
      </c>
      <c r="AW696" s="71" t="s">
        <v>2508</v>
      </c>
    </row>
    <row r="697" spans="1:50" s="71" customFormat="1" ht="28">
      <c r="A697" s="71">
        <v>1060620</v>
      </c>
      <c r="B697" s="71" t="s">
        <v>2498</v>
      </c>
      <c r="C697" s="71">
        <v>2</v>
      </c>
      <c r="D697" s="71" t="str">
        <f t="shared" si="66"/>
        <v>新手海外-TID_DialogueConf_1060620_name_CN_Main</v>
      </c>
      <c r="E697" s="71" t="s">
        <v>2329</v>
      </c>
      <c r="F697" s="20" t="str">
        <f>VLOOKUP(G697,'#TID_base_up'!B:C,2,0)</f>
        <v>血手阿提卡</v>
      </c>
      <c r="G697" s="71" t="s">
        <v>2499</v>
      </c>
      <c r="H697" s="61" t="s">
        <v>2331</v>
      </c>
      <c r="I697" s="61" t="str">
        <f>VLOOKUP(F697,'#对话模型配置'!A:O,15,FALSE)</f>
        <v>newbie_oversea_attila</v>
      </c>
      <c r="J697" s="71" t="s">
        <v>2596</v>
      </c>
      <c r="K697" s="84" t="str">
        <f t="shared" si="67"/>
        <v>但作为公主，你应该有许多帝国的财宝，只要你能交出来，我不介意放你一条活路。</v>
      </c>
      <c r="U697" s="71">
        <v>2</v>
      </c>
      <c r="V697" s="71">
        <v>0</v>
      </c>
      <c r="X697" s="71">
        <v>30011</v>
      </c>
      <c r="Y697" s="71" t="b">
        <v>0</v>
      </c>
      <c r="Z697" s="71" t="s">
        <v>2504</v>
      </c>
      <c r="AA697" s="71" t="b">
        <v>0</v>
      </c>
      <c r="AD697" s="71">
        <v>9.7672710418701207</v>
      </c>
      <c r="AE697" s="61">
        <f t="shared" si="68"/>
        <v>10.767271041870121</v>
      </c>
      <c r="AF697" s="61"/>
      <c r="AG697" s="61"/>
      <c r="AH697" s="61">
        <v>0.1</v>
      </c>
      <c r="AI697" s="61">
        <v>1</v>
      </c>
      <c r="AL697" s="108">
        <v>35</v>
      </c>
      <c r="AT697" s="71" t="str">
        <f t="shared" si="65"/>
        <v>但作为公主，你应该有许多帝国的财宝，只要你能交出来，我不介意放你一条活路。</v>
      </c>
      <c r="AU697" s="124" t="s">
        <v>2597</v>
      </c>
    </row>
    <row r="698" spans="1:50" s="71" customFormat="1" ht="14">
      <c r="A698" s="71">
        <v>1060620</v>
      </c>
      <c r="B698" s="71" t="s">
        <v>2498</v>
      </c>
      <c r="C698" s="71">
        <v>3</v>
      </c>
      <c r="D698" s="71" t="str">
        <f t="shared" si="66"/>
        <v>新手海外-TID_DialogueConf_1060001_name_337966742914_CN_Main</v>
      </c>
      <c r="E698" s="71" t="s">
        <v>2329</v>
      </c>
      <c r="F698" s="20" t="str">
        <f>VLOOKUP(G698,'#TID_base_up'!B:C,2,0)</f>
        <v>安德莉亚</v>
      </c>
      <c r="G698" s="71" t="s">
        <v>2335</v>
      </c>
      <c r="H698" s="61" t="s">
        <v>2331</v>
      </c>
      <c r="I698" s="61" t="str">
        <f>VLOOKUP(F698,'#对话模型配置'!A:O,15,FALSE)</f>
        <v>newbie_oversea_andrea</v>
      </c>
      <c r="J698" s="71" t="s">
        <v>2598</v>
      </c>
      <c r="K698" s="84" t="str">
        <f t="shared" si="67"/>
        <v>死到临头却还在妄求财富，阿提卡，你的贪婪让我印象深刻。</v>
      </c>
      <c r="U698" s="71">
        <v>2</v>
      </c>
      <c r="V698" s="71">
        <v>0</v>
      </c>
      <c r="X698" s="71">
        <v>30011</v>
      </c>
      <c r="Y698" s="71" t="b">
        <v>0</v>
      </c>
      <c r="Z698" s="71" t="s">
        <v>2599</v>
      </c>
      <c r="AA698" s="71" t="b">
        <v>0</v>
      </c>
      <c r="AD698" s="71">
        <v>9.5039997100830096</v>
      </c>
      <c r="AE698" s="61">
        <f t="shared" si="68"/>
        <v>10.50399971008301</v>
      </c>
      <c r="AF698" s="61"/>
      <c r="AG698" s="61"/>
      <c r="AH698" s="61">
        <v>0.1</v>
      </c>
      <c r="AI698" s="61">
        <v>1</v>
      </c>
      <c r="AL698" s="108">
        <v>35</v>
      </c>
      <c r="AT698" s="71" t="str">
        <f t="shared" si="65"/>
        <v>死到临头却还在妄求财富，阿提卡，你的贪婪让我印象深刻。</v>
      </c>
      <c r="AU698" s="124" t="s">
        <v>2600</v>
      </c>
    </row>
    <row r="699" spans="1:50" s="58" customFormat="1" ht="28">
      <c r="A699" s="58">
        <v>1060621</v>
      </c>
      <c r="B699" s="58" t="s">
        <v>2601</v>
      </c>
      <c r="C699" s="58">
        <v>1</v>
      </c>
      <c r="D699" s="58" t="str">
        <f t="shared" si="66"/>
        <v>新手海外-TID_DialogueConf_1060001_name_337966742914_CN_Main</v>
      </c>
      <c r="E699" s="58" t="s">
        <v>2329</v>
      </c>
      <c r="F699" s="20" t="str">
        <f>VLOOKUP(G699,'#TID_base_up'!B:C,2,0)</f>
        <v>安德莉亚</v>
      </c>
      <c r="G699" s="58" t="s">
        <v>2335</v>
      </c>
      <c r="H699" s="61" t="s">
        <v>2331</v>
      </c>
      <c r="I699" s="61" t="str">
        <f>VLOOKUP(F699,'#对话模型配置'!A:O,15,FALSE)</f>
        <v>newbie_oversea_andrea</v>
      </c>
      <c r="J699" s="58" t="s">
        <v>2602</v>
      </c>
      <c r="K699" s="84" t="str">
        <f t="shared" si="67"/>
        <v>我的主将技可以&lt;color=#FFCC71&gt;打断&lt;/color&gt;阿提卡的大招，同时，副官，你得注意躲避地面上的火焰。</v>
      </c>
      <c r="U699" s="58">
        <v>2</v>
      </c>
      <c r="V699" s="58">
        <v>0</v>
      </c>
      <c r="X699" s="58">
        <v>30011</v>
      </c>
      <c r="Y699" s="58" t="b">
        <v>0</v>
      </c>
      <c r="Z699" s="58" t="s">
        <v>2603</v>
      </c>
      <c r="AA699" s="58" t="b">
        <v>0</v>
      </c>
      <c r="AD699" s="58">
        <v>7.1093339920043901</v>
      </c>
      <c r="AE699" s="61">
        <f t="shared" si="68"/>
        <v>8.109333992004391</v>
      </c>
      <c r="AF699" s="61"/>
      <c r="AG699" s="61"/>
      <c r="AH699" s="61">
        <v>0.1</v>
      </c>
      <c r="AI699" s="61">
        <v>1</v>
      </c>
      <c r="AL699" s="108">
        <v>35</v>
      </c>
      <c r="AT699" s="58" t="str">
        <f t="shared" si="65"/>
        <v>我的主将技可以&lt;color=#FFCC71&gt;打断&lt;/color&gt;阿提卡的大招，同时，副官，你得注意躲避地面上的火焰。</v>
      </c>
      <c r="AU699" s="125" t="s">
        <v>2604</v>
      </c>
      <c r="AW699" s="58" t="s">
        <v>2605</v>
      </c>
    </row>
    <row r="700" spans="1:50" s="70" customFormat="1" ht="28">
      <c r="A700" s="70">
        <v>1060622</v>
      </c>
      <c r="B700" s="70" t="s">
        <v>2328</v>
      </c>
      <c r="C700" s="70">
        <v>1</v>
      </c>
      <c r="D700" s="70" t="str">
        <f t="shared" si="66"/>
        <v>新手海外-TID_DialogueConf_1060620_name_CN_Main</v>
      </c>
      <c r="E700" s="70" t="s">
        <v>2329</v>
      </c>
      <c r="F700" s="20" t="str">
        <f>VLOOKUP(G700,'#TID_base_up'!B:C,2,0)</f>
        <v>血手阿提卡</v>
      </c>
      <c r="G700" s="70" t="s">
        <v>2499</v>
      </c>
      <c r="H700" s="61" t="s">
        <v>2331</v>
      </c>
      <c r="I700" s="61" t="str">
        <f>VLOOKUP(F700,'#对话模型配置'!A:O,15,FALSE)</f>
        <v>newbie_oversea_attila</v>
      </c>
      <c r="J700" s="70" t="s">
        <v>2606</v>
      </c>
      <c r="K700" s="84" t="str">
        <f t="shared" si="67"/>
        <v>不愧是镇守&lt;color=#FFCC71&gt;君临&lt;/color&gt;的钢铁蔷薇，我承认你作为我对手的资格！</v>
      </c>
      <c r="U700" s="70">
        <v>2</v>
      </c>
      <c r="V700" s="70">
        <v>0</v>
      </c>
      <c r="X700" s="20">
        <v>30011</v>
      </c>
      <c r="Y700" s="70" t="b">
        <v>0</v>
      </c>
      <c r="Z700" s="70" t="s">
        <v>2513</v>
      </c>
      <c r="AA700" s="70" t="b">
        <v>0</v>
      </c>
      <c r="AD700" s="20">
        <v>6.5150618553161603</v>
      </c>
      <c r="AE700" s="61">
        <f t="shared" si="68"/>
        <v>7.5150618553161603</v>
      </c>
      <c r="AF700" s="61"/>
      <c r="AG700" s="61"/>
      <c r="AH700" s="61">
        <v>0.1</v>
      </c>
      <c r="AI700" s="61">
        <v>1</v>
      </c>
      <c r="AL700" s="108">
        <v>35</v>
      </c>
      <c r="AT700" s="70" t="str">
        <f t="shared" si="65"/>
        <v>不愧是镇守&lt;color=#FFCC71&gt;君临&lt;/color&gt;的钢铁蔷薇，我承认你作为我对手的资格！</v>
      </c>
      <c r="AU700" s="123" t="s">
        <v>2607</v>
      </c>
      <c r="AW700" s="70" t="s">
        <v>2608</v>
      </c>
    </row>
    <row r="701" spans="1:50" s="70" customFormat="1" ht="14">
      <c r="A701" s="70">
        <v>1060623</v>
      </c>
      <c r="B701" s="70" t="s">
        <v>2328</v>
      </c>
      <c r="C701" s="70">
        <v>1</v>
      </c>
      <c r="D701" s="70" t="str">
        <f t="shared" si="66"/>
        <v>新手海外-TID_DialogueConf_1060620_name_CN_Main</v>
      </c>
      <c r="E701" s="70" t="s">
        <v>2329</v>
      </c>
      <c r="F701" s="20" t="str">
        <f>VLOOKUP(G701,'#TID_base_up'!B:C,2,0)</f>
        <v>血手阿提卡</v>
      </c>
      <c r="G701" s="70" t="s">
        <v>2499</v>
      </c>
      <c r="H701" s="61" t="s">
        <v>2331</v>
      </c>
      <c r="I701" s="61" t="str">
        <f>VLOOKUP(F701,'#对话模型配置'!A:O,15,FALSE)</f>
        <v>newbie_oversea_attila</v>
      </c>
      <c r="J701" s="70" t="s">
        <v>2516</v>
      </c>
      <c r="K701" s="84" t="str">
        <f t="shared" si="67"/>
        <v>痛快，这种疼痛，正是我所追求的！</v>
      </c>
      <c r="U701" s="70">
        <v>2</v>
      </c>
      <c r="V701" s="70">
        <v>0</v>
      </c>
      <c r="X701" s="20">
        <v>30011</v>
      </c>
      <c r="Y701" s="70" t="b">
        <v>0</v>
      </c>
      <c r="Z701" s="70" t="s">
        <v>2517</v>
      </c>
      <c r="AA701" s="70" t="b">
        <v>0</v>
      </c>
      <c r="AD701" s="20">
        <v>4.8935208320617702</v>
      </c>
      <c r="AE701" s="61">
        <f t="shared" si="68"/>
        <v>5.8935208320617702</v>
      </c>
      <c r="AF701" s="61"/>
      <c r="AG701" s="61"/>
      <c r="AH701" s="61">
        <v>0.1</v>
      </c>
      <c r="AI701" s="61">
        <v>1</v>
      </c>
      <c r="AL701" s="108">
        <v>35</v>
      </c>
      <c r="AT701" s="70" t="str">
        <f t="shared" si="65"/>
        <v>痛快，这种疼痛，正是我所追求的！</v>
      </c>
      <c r="AU701" s="123" t="s">
        <v>2518</v>
      </c>
    </row>
    <row r="702" spans="1:50" s="71" customFormat="1" ht="28">
      <c r="A702" s="71">
        <v>1060626</v>
      </c>
      <c r="B702" s="71" t="s">
        <v>2609</v>
      </c>
      <c r="C702" s="71">
        <v>1</v>
      </c>
      <c r="D702" s="71" t="str">
        <f t="shared" si="66"/>
        <v>新手海外-TID_DialogueConf_1060620_name_CN_Main</v>
      </c>
      <c r="E702" s="71" t="s">
        <v>2329</v>
      </c>
      <c r="F702" s="20" t="str">
        <f>VLOOKUP(G702,'#TID_base_up'!B:C,2,0)</f>
        <v>血手阿提卡</v>
      </c>
      <c r="G702" s="71" t="s">
        <v>2499</v>
      </c>
      <c r="H702" s="61" t="s">
        <v>2331</v>
      </c>
      <c r="I702" s="61" t="str">
        <f>VLOOKUP(F702,'#对话模型配置'!A:O,15,FALSE)</f>
        <v>newbie_oversea_attila</v>
      </c>
      <c r="J702" s="71" t="s">
        <v>2610</v>
      </c>
      <c r="K702" s="84" t="str">
        <f t="shared" si="67"/>
        <v>安德莉亚，但你阻挡不了世界的浪潮，未来注定属于我们草原人！</v>
      </c>
      <c r="U702" s="71">
        <v>2</v>
      </c>
      <c r="V702" s="71">
        <v>0</v>
      </c>
      <c r="X702" s="71">
        <v>30011</v>
      </c>
      <c r="Y702" s="71" t="b">
        <v>0</v>
      </c>
      <c r="Z702" s="71" t="s">
        <v>2521</v>
      </c>
      <c r="AA702" s="71" t="b">
        <v>0</v>
      </c>
      <c r="AD702" s="71">
        <v>7.7973327636718697</v>
      </c>
      <c r="AE702" s="61">
        <f t="shared" si="68"/>
        <v>8.7973327636718697</v>
      </c>
      <c r="AF702" s="61"/>
      <c r="AG702" s="61"/>
      <c r="AH702" s="61">
        <v>0.1</v>
      </c>
      <c r="AI702" s="61">
        <v>1</v>
      </c>
      <c r="AL702" s="108">
        <v>35</v>
      </c>
      <c r="AT702" s="71" t="str">
        <f t="shared" si="65"/>
        <v>安德莉亚，但你阻挡不了世界的浪潮，未来注定属于我们草原人！</v>
      </c>
      <c r="AU702" s="124" t="s">
        <v>2611</v>
      </c>
    </row>
    <row r="703" spans="1:50" s="71" customFormat="1" ht="14">
      <c r="A703" s="71">
        <v>1060626</v>
      </c>
      <c r="B703" s="71" t="s">
        <v>2609</v>
      </c>
      <c r="C703" s="71">
        <v>2</v>
      </c>
      <c r="D703" s="71" t="str">
        <f t="shared" si="66"/>
        <v>新手海外-TID_DialogueConf_1060001_name_337966742914_CN_Main</v>
      </c>
      <c r="E703" s="71" t="s">
        <v>2329</v>
      </c>
      <c r="F703" s="20" t="str">
        <f>VLOOKUP(G703,'#TID_base_up'!B:C,2,0)</f>
        <v>安德莉亚</v>
      </c>
      <c r="G703" s="71" t="s">
        <v>2335</v>
      </c>
      <c r="H703" s="61" t="s">
        <v>2331</v>
      </c>
      <c r="I703" s="61" t="str">
        <f>VLOOKUP(F703,'#对话模型配置'!A:O,15,FALSE)</f>
        <v>newbie_oversea_andrea</v>
      </c>
      <c r="J703" s="71" t="s">
        <v>2523</v>
      </c>
      <c r="K703" s="84" t="str">
        <f t="shared" si="67"/>
        <v>未来将由活着的人开创，而你，抱歉，你已经失去了这个资格。</v>
      </c>
      <c r="U703" s="71">
        <v>2</v>
      </c>
      <c r="V703" s="71">
        <v>0</v>
      </c>
      <c r="X703" s="71">
        <v>30011</v>
      </c>
      <c r="Y703" s="71" t="b">
        <v>0</v>
      </c>
      <c r="Z703" s="71" t="s">
        <v>2524</v>
      </c>
      <c r="AA703" s="71" t="b">
        <v>0</v>
      </c>
      <c r="AD703" s="71">
        <v>5.5040001869201696</v>
      </c>
      <c r="AE703" s="61">
        <f t="shared" si="68"/>
        <v>6.5040001869201696</v>
      </c>
      <c r="AF703" s="61"/>
      <c r="AG703" s="61"/>
      <c r="AH703" s="61">
        <v>0.1</v>
      </c>
      <c r="AI703" s="61">
        <v>1</v>
      </c>
      <c r="AL703" s="108">
        <v>35</v>
      </c>
      <c r="AT703" s="71" t="str">
        <f t="shared" si="65"/>
        <v>未来将由活着的人开创，而你，抱歉，你已经失去了这个资格。</v>
      </c>
      <c r="AU703" s="124" t="s">
        <v>2525</v>
      </c>
    </row>
    <row r="704" spans="1:50" s="71" customFormat="1" ht="14">
      <c r="A704" s="71">
        <v>1060626</v>
      </c>
      <c r="B704" s="71" t="s">
        <v>2609</v>
      </c>
      <c r="C704" s="71">
        <v>3</v>
      </c>
      <c r="D704" s="71" t="str">
        <f t="shared" si="66"/>
        <v>新手海外-TID_DialogueConf_1060001_name_CN_Main</v>
      </c>
      <c r="E704" s="71" t="s">
        <v>2329</v>
      </c>
      <c r="F704" s="20" t="str">
        <f>VLOOKUP(G704,'#TID_base_up'!B:C,2,0)</f>
        <v>副官</v>
      </c>
      <c r="G704" s="71" t="s">
        <v>2330</v>
      </c>
      <c r="H704" s="61" t="s">
        <v>2331</v>
      </c>
      <c r="I704" s="61" t="str">
        <f>VLOOKUP(F704,'#对话模型配置'!A:O,15,FALSE)</f>
        <v>newbie_oversea_axe</v>
      </c>
      <c r="J704" s="71" t="s">
        <v>2612</v>
      </c>
      <c r="K704" s="84" t="str">
        <f t="shared" si="67"/>
        <v>这一切，终于结束了……</v>
      </c>
      <c r="U704" s="71">
        <v>2</v>
      </c>
      <c r="V704" s="71">
        <v>0</v>
      </c>
      <c r="X704" s="71">
        <v>30011</v>
      </c>
      <c r="Y704" s="71" t="b">
        <v>0</v>
      </c>
      <c r="Z704" s="71" t="s">
        <v>2613</v>
      </c>
      <c r="AA704" s="71" t="b">
        <v>0</v>
      </c>
      <c r="AD704" s="71">
        <v>2.7706670761108398</v>
      </c>
      <c r="AE704" s="61">
        <f t="shared" si="68"/>
        <v>3.7706670761108398</v>
      </c>
      <c r="AF704" s="61"/>
      <c r="AG704" s="61"/>
      <c r="AH704" s="61">
        <v>0.1</v>
      </c>
      <c r="AI704" s="61">
        <v>1</v>
      </c>
      <c r="AL704" s="108">
        <v>35</v>
      </c>
      <c r="AT704" s="71" t="str">
        <f t="shared" si="65"/>
        <v>这一切，终于结束了……</v>
      </c>
      <c r="AU704" s="124" t="s">
        <v>2614</v>
      </c>
    </row>
    <row r="705" spans="1:49" s="71" customFormat="1" ht="28">
      <c r="A705" s="71">
        <v>1060626</v>
      </c>
      <c r="B705" s="71" t="s">
        <v>2609</v>
      </c>
      <c r="C705" s="71">
        <v>4</v>
      </c>
      <c r="D705" s="71" t="str">
        <f t="shared" si="66"/>
        <v>新手海外-TID_DialogueConf_1060001_name_337966742914_CN_Main</v>
      </c>
      <c r="E705" s="71" t="s">
        <v>2329</v>
      </c>
      <c r="F705" s="20" t="str">
        <f>VLOOKUP(G705,'#TID_base_up'!B:C,2,0)</f>
        <v>安德莉亚</v>
      </c>
      <c r="G705" s="71" t="s">
        <v>2335</v>
      </c>
      <c r="H705" s="61" t="s">
        <v>2331</v>
      </c>
      <c r="I705" s="61" t="str">
        <f>VLOOKUP(F705,'#对话模型配置'!A:O,15,FALSE)</f>
        <v>newbie_oversea_andrea</v>
      </c>
      <c r="J705" s="71" t="s">
        <v>2615</v>
      </c>
      <c r="K705" s="84" t="str">
        <f t="shared" si="67"/>
        <v>不，副官，这只是一个开始。蛮族依旧在这片土地上肆虐，现在还远没到停下来的时候。</v>
      </c>
      <c r="U705" s="71">
        <v>2</v>
      </c>
      <c r="V705" s="71">
        <v>0</v>
      </c>
      <c r="X705" s="71">
        <v>30011</v>
      </c>
      <c r="Y705" s="71" t="b">
        <v>0</v>
      </c>
      <c r="Z705" s="71" t="s">
        <v>2616</v>
      </c>
      <c r="AA705" s="71" t="b">
        <v>0</v>
      </c>
      <c r="AD705" s="71">
        <v>9.6628541946411097</v>
      </c>
      <c r="AE705" s="61">
        <f t="shared" si="68"/>
        <v>10.66285419464111</v>
      </c>
      <c r="AF705" s="61"/>
      <c r="AG705" s="61"/>
      <c r="AH705" s="61">
        <v>0.1</v>
      </c>
      <c r="AI705" s="61">
        <v>1</v>
      </c>
      <c r="AL705" s="108">
        <v>35</v>
      </c>
      <c r="AT705" s="71" t="str">
        <f t="shared" si="65"/>
        <v>不，副官，这只是一个开始。蛮族依旧在这片土地上肆虐，现在还远没到停下来的时候。</v>
      </c>
      <c r="AU705" s="124" t="s">
        <v>2617</v>
      </c>
    </row>
    <row r="706" spans="1:49" s="58" customFormat="1" ht="14">
      <c r="A706" s="58">
        <v>1060629</v>
      </c>
      <c r="B706" s="58" t="s">
        <v>2618</v>
      </c>
      <c r="C706" s="58">
        <v>1</v>
      </c>
      <c r="D706" s="58" t="str">
        <f t="shared" si="66"/>
        <v>新手海外-TID_DialogueConf_1060001_name_337966742914_CN_Main</v>
      </c>
      <c r="E706" s="58" t="s">
        <v>2329</v>
      </c>
      <c r="F706" s="20" t="str">
        <f>VLOOKUP(G706,'#TID_base_up'!B:C,2,0)</f>
        <v>安德莉亚</v>
      </c>
      <c r="G706" s="58" t="s">
        <v>2335</v>
      </c>
      <c r="H706" s="61" t="s">
        <v>2331</v>
      </c>
      <c r="I706" s="61" t="str">
        <f>VLOOKUP(F706,'#对话模型配置'!A:O,15,FALSE)</f>
        <v>newbie_oversea_andrea</v>
      </c>
      <c r="J706" s="58" t="s">
        <v>2619</v>
      </c>
      <c r="K706" s="84" t="str">
        <f t="shared" si="67"/>
        <v>我会用这些战利品来重建城镇中心，建立起我们的新的家园。</v>
      </c>
      <c r="U706" s="58">
        <v>2</v>
      </c>
      <c r="V706" s="58">
        <v>0</v>
      </c>
      <c r="X706" s="58">
        <v>30011</v>
      </c>
      <c r="Y706" s="58" t="b">
        <v>0</v>
      </c>
      <c r="Z706" s="58" t="s">
        <v>2620</v>
      </c>
      <c r="AA706" s="58" t="b">
        <v>0</v>
      </c>
      <c r="AD706" s="58">
        <v>4.4266672134399396</v>
      </c>
      <c r="AE706" s="61">
        <f t="shared" si="68"/>
        <v>5.4266672134399396</v>
      </c>
      <c r="AF706" s="61"/>
      <c r="AG706" s="61"/>
      <c r="AH706" s="61">
        <v>0.1</v>
      </c>
      <c r="AI706" s="61">
        <v>1</v>
      </c>
      <c r="AL706" s="108">
        <v>35</v>
      </c>
      <c r="AT706" s="58" t="str">
        <f t="shared" si="65"/>
        <v>我会用这些战利品来重建城镇中心，建立起我们的新的家园。</v>
      </c>
      <c r="AU706" s="125" t="s">
        <v>2621</v>
      </c>
    </row>
    <row r="707" spans="1:49" s="58" customFormat="1" ht="14">
      <c r="A707" s="58">
        <v>1060629</v>
      </c>
      <c r="B707" s="58" t="s">
        <v>2618</v>
      </c>
      <c r="C707" s="58">
        <v>2</v>
      </c>
      <c r="D707" s="58" t="str">
        <f t="shared" ref="D707:D709" si="70">"新手海外-"&amp;G707</f>
        <v>新手海外-TID_DialogueConf_1060001_name_CN_Main</v>
      </c>
      <c r="E707" s="58" t="s">
        <v>2329</v>
      </c>
      <c r="F707" s="20" t="str">
        <f>VLOOKUP(G707,'#TID_base_up'!B:C,2,0)</f>
        <v>副官</v>
      </c>
      <c r="G707" s="58" t="s">
        <v>2330</v>
      </c>
      <c r="H707" s="61" t="s">
        <v>2331</v>
      </c>
      <c r="I707" s="61" t="str">
        <f>VLOOKUP(F707,'#对话模型配置'!A:O,15,FALSE)</f>
        <v>newbie_oversea_axe</v>
      </c>
      <c r="J707" s="58" t="s">
        <v>2496</v>
      </c>
      <c r="K707" s="84" t="str">
        <f t="shared" ref="K707:K709" si="71">AT707</f>
        <v>遵命，公主殿下！</v>
      </c>
      <c r="U707" s="58">
        <v>2</v>
      </c>
      <c r="V707" s="58">
        <v>0</v>
      </c>
      <c r="X707" s="58">
        <v>30011</v>
      </c>
      <c r="Y707" s="58" t="b">
        <v>0</v>
      </c>
      <c r="Z707" s="58" t="s">
        <v>2622</v>
      </c>
      <c r="AA707" s="58" t="b">
        <v>0</v>
      </c>
      <c r="AD707" s="58">
        <v>1.432000041008</v>
      </c>
      <c r="AE707" s="61">
        <f t="shared" ref="AE707:AE718" si="72">AD707+1</f>
        <v>2.432000041008</v>
      </c>
      <c r="AF707" s="61"/>
      <c r="AG707" s="61"/>
      <c r="AH707" s="61">
        <v>0.1</v>
      </c>
      <c r="AI707" s="61">
        <v>1</v>
      </c>
      <c r="AL707" s="108">
        <v>35</v>
      </c>
      <c r="AT707" s="58" t="str">
        <f t="shared" si="65"/>
        <v>遵命，公主殿下！</v>
      </c>
      <c r="AU707" s="125" t="s">
        <v>2497</v>
      </c>
      <c r="AW707" s="58" t="s">
        <v>2623</v>
      </c>
    </row>
    <row r="708" spans="1:49" s="70" customFormat="1" ht="14">
      <c r="A708" s="70">
        <v>1060632</v>
      </c>
      <c r="B708" s="70" t="s">
        <v>2328</v>
      </c>
      <c r="C708" s="70">
        <v>1</v>
      </c>
      <c r="D708" s="70" t="str">
        <f t="shared" si="70"/>
        <v>新手海外-TID_DialogueConf_1060005_name_CN_Main</v>
      </c>
      <c r="E708" s="70" t="s">
        <v>2329</v>
      </c>
      <c r="F708" s="20" t="str">
        <f>VLOOKUP(G708,'#TID_base_up'!B:C,2,0)</f>
        <v>凯恩</v>
      </c>
      <c r="G708" s="70" t="s">
        <v>2624</v>
      </c>
      <c r="H708" s="61" t="s">
        <v>2331</v>
      </c>
      <c r="I708" s="61" t="str">
        <f>VLOOKUP(F708,'#对话模型配置'!A:O,15,FALSE)</f>
        <v>newbie_oversea_leo</v>
      </c>
      <c r="J708" s="70" t="s">
        <v>2091</v>
      </c>
      <c r="K708" s="84" t="str">
        <f t="shared" si="71"/>
        <v>啊！</v>
      </c>
      <c r="U708" s="70">
        <v>2</v>
      </c>
      <c r="V708" s="70">
        <v>0</v>
      </c>
      <c r="X708" s="20">
        <v>30011</v>
      </c>
      <c r="Y708" s="70" t="b">
        <v>0</v>
      </c>
      <c r="Z708" s="70" t="s">
        <v>2625</v>
      </c>
      <c r="AA708" s="70" t="b">
        <v>0</v>
      </c>
      <c r="AD708" s="20">
        <v>0.68066698312759399</v>
      </c>
      <c r="AE708" s="61">
        <f t="shared" si="72"/>
        <v>1.680666983127594</v>
      </c>
      <c r="AF708" s="61"/>
      <c r="AG708" s="61"/>
      <c r="AH708" s="61">
        <v>0.1</v>
      </c>
      <c r="AI708" s="61">
        <v>1</v>
      </c>
      <c r="AL708" s="108">
        <v>35</v>
      </c>
      <c r="AT708" s="70" t="str">
        <f t="shared" si="65"/>
        <v>啊！</v>
      </c>
      <c r="AU708" s="123" t="s">
        <v>2093</v>
      </c>
    </row>
    <row r="709" spans="1:49" s="70" customFormat="1" ht="28">
      <c r="A709" s="70">
        <v>1060634</v>
      </c>
      <c r="B709" s="70" t="s">
        <v>2328</v>
      </c>
      <c r="C709" s="70">
        <v>1</v>
      </c>
      <c r="D709" s="70" t="str">
        <f t="shared" si="70"/>
        <v>新手海外-TID_DialogueConf_1060001_name_CN_Main</v>
      </c>
      <c r="E709" s="70" t="s">
        <v>2329</v>
      </c>
      <c r="F709" s="20" t="str">
        <f>VLOOKUP(G709,'#TID_base_up'!B:C,2,0)</f>
        <v>副官</v>
      </c>
      <c r="G709" s="70" t="s">
        <v>2330</v>
      </c>
      <c r="H709" s="61" t="s">
        <v>2331</v>
      </c>
      <c r="I709" s="61" t="str">
        <f>VLOOKUP(F709,'#对话模型配置'!A:O,15,FALSE)</f>
        <v>newbie_oversea_axe</v>
      </c>
      <c r="J709" s="70" t="s">
        <v>2626</v>
      </c>
      <c r="K709" s="84" t="str">
        <f t="shared" si="71"/>
        <v>殿下，您可以&lt;color=#FFCC71&gt;拖拽右侧头像&lt;/color&gt;攻击乌尔丁</v>
      </c>
      <c r="U709" s="70">
        <v>2</v>
      </c>
      <c r="V709" s="70">
        <v>0</v>
      </c>
      <c r="X709" s="20">
        <v>30011</v>
      </c>
      <c r="Y709" s="70" t="b">
        <v>0</v>
      </c>
      <c r="Z709" s="70" t="s">
        <v>2627</v>
      </c>
      <c r="AA709" s="70" t="b">
        <v>0</v>
      </c>
      <c r="AD709" s="20">
        <v>4.0693340301513699</v>
      </c>
      <c r="AE709" s="61">
        <f t="shared" si="72"/>
        <v>5.0693340301513699</v>
      </c>
      <c r="AF709" s="61"/>
      <c r="AG709" s="61"/>
      <c r="AH709" s="61">
        <v>0.1</v>
      </c>
      <c r="AI709" s="61">
        <v>1</v>
      </c>
      <c r="AL709" s="108">
        <v>35</v>
      </c>
      <c r="AT709" s="70" t="str">
        <f t="shared" si="65"/>
        <v>殿下，您可以&lt;color=#FFCC71&gt;拖拽右侧头像&lt;/color&gt;攻击乌尔丁</v>
      </c>
      <c r="AU709" s="123" t="s">
        <v>2628</v>
      </c>
      <c r="AW709" s="70" t="s">
        <v>2629</v>
      </c>
    </row>
    <row r="712" spans="1:49">
      <c r="A712" s="71">
        <v>1060640</v>
      </c>
      <c r="B712" s="20" t="s">
        <v>2630</v>
      </c>
      <c r="C712" s="20">
        <v>1</v>
      </c>
      <c r="D712" s="20" t="s">
        <v>2631</v>
      </c>
      <c r="E712" s="20" t="s">
        <v>2632</v>
      </c>
      <c r="F712" s="20" t="s">
        <v>2633</v>
      </c>
      <c r="G712" s="20" t="s">
        <v>2330</v>
      </c>
      <c r="H712" s="61" t="s">
        <v>2331</v>
      </c>
      <c r="I712" s="61" t="str">
        <f>VLOOKUP(F712,'#对话模型配置'!A:O,15,FALSE)</f>
        <v>newbie_oversea_axe</v>
      </c>
      <c r="J712" s="20" t="s">
        <v>2634</v>
      </c>
      <c r="K712" s="78" t="s">
        <v>2635</v>
      </c>
      <c r="U712" s="71">
        <v>2</v>
      </c>
      <c r="V712" s="71">
        <v>0</v>
      </c>
      <c r="X712" s="71">
        <v>30011</v>
      </c>
      <c r="Y712" s="71" t="b">
        <v>0</v>
      </c>
      <c r="Z712" s="20" t="s">
        <v>2636</v>
      </c>
      <c r="AA712" s="71" t="b">
        <v>0</v>
      </c>
      <c r="AD712" s="20">
        <v>2.6016249656677202</v>
      </c>
      <c r="AE712" s="61">
        <f t="shared" si="72"/>
        <v>3.6016249656677202</v>
      </c>
      <c r="AF712" s="61"/>
      <c r="AG712" s="61"/>
      <c r="AH712" s="61">
        <v>0.1</v>
      </c>
      <c r="AI712" s="61">
        <v>1</v>
      </c>
      <c r="AL712" s="108">
        <v>35</v>
      </c>
      <c r="AT712" s="20" t="s">
        <v>2635</v>
      </c>
      <c r="AU712" s="20" t="s">
        <v>2635</v>
      </c>
    </row>
    <row r="713" spans="1:49">
      <c r="A713" s="71">
        <v>1060640</v>
      </c>
      <c r="B713" s="20" t="s">
        <v>2630</v>
      </c>
      <c r="C713" s="20">
        <v>2</v>
      </c>
      <c r="D713" s="20" t="s">
        <v>2631</v>
      </c>
      <c r="E713" s="20" t="s">
        <v>2632</v>
      </c>
      <c r="F713" s="20" t="s">
        <v>2637</v>
      </c>
      <c r="G713" s="20" t="s">
        <v>2335</v>
      </c>
      <c r="H713" s="61" t="s">
        <v>2331</v>
      </c>
      <c r="I713" s="61" t="str">
        <f>VLOOKUP(F713,'#对话模型配置'!A:O,15,FALSE)</f>
        <v>newbie_oversea_andrea</v>
      </c>
      <c r="J713" s="20" t="s">
        <v>2638</v>
      </c>
      <c r="K713" s="78" t="s">
        <v>2639</v>
      </c>
      <c r="U713" s="71">
        <v>2</v>
      </c>
      <c r="V713" s="71">
        <v>0</v>
      </c>
      <c r="X713" s="71">
        <v>30011</v>
      </c>
      <c r="Y713" s="71" t="b">
        <v>0</v>
      </c>
      <c r="Z713" s="20" t="s">
        <v>2640</v>
      </c>
      <c r="AA713" s="71" t="b">
        <v>0</v>
      </c>
      <c r="AD713" s="20">
        <v>2.9853329658508301</v>
      </c>
      <c r="AE713" s="61">
        <f t="shared" si="72"/>
        <v>3.9853329658508301</v>
      </c>
      <c r="AF713" s="61"/>
      <c r="AG713" s="61"/>
      <c r="AH713" s="61">
        <v>0.1</v>
      </c>
      <c r="AI713" s="61">
        <v>1</v>
      </c>
      <c r="AL713" s="108">
        <v>35</v>
      </c>
      <c r="AT713" s="20" t="s">
        <v>2639</v>
      </c>
      <c r="AU713" s="20" t="s">
        <v>2639</v>
      </c>
    </row>
    <row r="714" spans="1:49">
      <c r="A714" s="71">
        <v>1061641</v>
      </c>
      <c r="B714" s="20" t="s">
        <v>2641</v>
      </c>
      <c r="C714" s="20">
        <v>1</v>
      </c>
      <c r="D714" s="20" t="s">
        <v>2642</v>
      </c>
      <c r="E714" s="20" t="s">
        <v>2632</v>
      </c>
      <c r="F714" s="20" t="s">
        <v>2637</v>
      </c>
      <c r="G714" s="20" t="s">
        <v>2335</v>
      </c>
      <c r="H714" s="61" t="s">
        <v>2331</v>
      </c>
      <c r="I714" s="61" t="str">
        <f>VLOOKUP(F714,'#对话模型配置'!A:O,15,FALSE)</f>
        <v>newbie_oversea_andrea</v>
      </c>
      <c r="J714" s="20" t="s">
        <v>2643</v>
      </c>
      <c r="K714" s="78" t="s">
        <v>2644</v>
      </c>
      <c r="U714" s="71">
        <v>2</v>
      </c>
      <c r="V714" s="71">
        <v>0</v>
      </c>
      <c r="X714" s="71">
        <v>30011</v>
      </c>
      <c r="Y714" s="71" t="b">
        <v>0</v>
      </c>
      <c r="Z714" s="20" t="s">
        <v>2645</v>
      </c>
      <c r="AA714" s="71" t="b">
        <v>0</v>
      </c>
      <c r="AD714" s="20">
        <v>4.9920630455017099</v>
      </c>
      <c r="AE714" s="61">
        <f t="shared" si="72"/>
        <v>5.9920630455017099</v>
      </c>
      <c r="AF714" s="61"/>
      <c r="AG714" s="61"/>
      <c r="AH714" s="61">
        <v>0.1</v>
      </c>
      <c r="AI714" s="61">
        <v>1</v>
      </c>
      <c r="AL714" s="108">
        <v>35</v>
      </c>
      <c r="AT714" s="20" t="s">
        <v>2644</v>
      </c>
      <c r="AU714" s="20" t="s">
        <v>2644</v>
      </c>
    </row>
    <row r="715" spans="1:49" ht="26">
      <c r="A715" s="71">
        <v>1061641</v>
      </c>
      <c r="B715" s="20" t="s">
        <v>2641</v>
      </c>
      <c r="C715" s="20">
        <v>2</v>
      </c>
      <c r="D715" s="20" t="s">
        <v>2642</v>
      </c>
      <c r="E715" s="20" t="s">
        <v>2632</v>
      </c>
      <c r="F715" s="20" t="s">
        <v>2646</v>
      </c>
      <c r="G715" s="20" t="s">
        <v>2544</v>
      </c>
      <c r="H715" s="61" t="s">
        <v>2331</v>
      </c>
      <c r="I715" s="61" t="str">
        <f>VLOOKUP(F715,'#对话模型配置'!A:O,15,FALSE)</f>
        <v>newbie_oversea_farmernohat</v>
      </c>
      <c r="J715" s="20" t="s">
        <v>2647</v>
      </c>
      <c r="K715" s="78" t="s">
        <v>2648</v>
      </c>
      <c r="U715" s="71">
        <v>2</v>
      </c>
      <c r="V715" s="71">
        <v>0</v>
      </c>
      <c r="X715" s="71">
        <v>30011</v>
      </c>
      <c r="Y715" s="71" t="b">
        <v>0</v>
      </c>
      <c r="Z715" s="20" t="s">
        <v>2649</v>
      </c>
      <c r="AA715" s="71" t="b">
        <v>0</v>
      </c>
      <c r="AD715" s="20">
        <v>18.493270874023398</v>
      </c>
      <c r="AE715" s="61">
        <f t="shared" si="72"/>
        <v>19.493270874023398</v>
      </c>
      <c r="AF715" s="61"/>
      <c r="AG715" s="61"/>
      <c r="AH715" s="61">
        <v>0.1</v>
      </c>
      <c r="AI715" s="61">
        <v>1</v>
      </c>
      <c r="AL715" s="108">
        <v>35</v>
      </c>
      <c r="AT715" s="20" t="s">
        <v>2648</v>
      </c>
      <c r="AU715" s="20" t="s">
        <v>2648</v>
      </c>
    </row>
    <row r="716" spans="1:49">
      <c r="A716" s="71">
        <v>1061641</v>
      </c>
      <c r="B716" s="20" t="s">
        <v>2641</v>
      </c>
      <c r="C716" s="20">
        <v>3</v>
      </c>
      <c r="D716" s="20" t="s">
        <v>2642</v>
      </c>
      <c r="E716" s="20" t="s">
        <v>2632</v>
      </c>
      <c r="F716" s="20" t="s">
        <v>2637</v>
      </c>
      <c r="G716" s="20" t="s">
        <v>2335</v>
      </c>
      <c r="H716" s="61" t="s">
        <v>2331</v>
      </c>
      <c r="I716" s="61" t="str">
        <f>VLOOKUP(F716,'#对话模型配置'!A:O,15,FALSE)</f>
        <v>newbie_oversea_andrea</v>
      </c>
      <c r="J716" s="20" t="s">
        <v>2650</v>
      </c>
      <c r="K716" s="78" t="s">
        <v>2651</v>
      </c>
      <c r="U716" s="71">
        <v>2</v>
      </c>
      <c r="V716" s="71">
        <v>0</v>
      </c>
      <c r="X716" s="71">
        <v>30011</v>
      </c>
      <c r="Y716" s="71" t="b">
        <v>0</v>
      </c>
      <c r="Z716" s="20" t="s">
        <v>2652</v>
      </c>
      <c r="AA716" s="71" t="b">
        <v>0</v>
      </c>
      <c r="AD716" s="20">
        <v>3.47664594650269</v>
      </c>
      <c r="AE716" s="61">
        <f t="shared" si="72"/>
        <v>4.47664594650269</v>
      </c>
      <c r="AF716" s="61"/>
      <c r="AG716" s="61"/>
      <c r="AH716" s="61">
        <v>0.1</v>
      </c>
      <c r="AI716" s="61">
        <v>1</v>
      </c>
      <c r="AL716" s="108">
        <v>35</v>
      </c>
      <c r="AT716" s="20" t="s">
        <v>2651</v>
      </c>
      <c r="AU716" s="20" t="s">
        <v>2651</v>
      </c>
    </row>
    <row r="717" spans="1:49">
      <c r="A717" s="71">
        <v>1060641</v>
      </c>
      <c r="B717" s="20" t="s">
        <v>2641</v>
      </c>
      <c r="C717" s="20">
        <v>1</v>
      </c>
      <c r="D717" s="20" t="s">
        <v>2642</v>
      </c>
      <c r="E717" s="20" t="s">
        <v>2632</v>
      </c>
      <c r="F717" s="20" t="s">
        <v>2646</v>
      </c>
      <c r="G717" s="20" t="s">
        <v>2544</v>
      </c>
      <c r="H717" s="61" t="s">
        <v>2331</v>
      </c>
      <c r="I717" s="61" t="str">
        <f>VLOOKUP(F717,'#对话模型配置'!A:O,15,FALSE)</f>
        <v>newbie_oversea_farmernohat</v>
      </c>
      <c r="J717" s="20" t="s">
        <v>2653</v>
      </c>
      <c r="K717" s="78" t="s">
        <v>2654</v>
      </c>
      <c r="U717" s="71">
        <v>2</v>
      </c>
      <c r="V717" s="71">
        <v>0</v>
      </c>
      <c r="X717" s="71">
        <v>30011</v>
      </c>
      <c r="Y717" s="71" t="b">
        <v>0</v>
      </c>
      <c r="Z717" s="20" t="s">
        <v>2655</v>
      </c>
      <c r="AA717" s="71" t="b">
        <v>0</v>
      </c>
      <c r="AD717" s="20">
        <v>7.1999168395996103</v>
      </c>
      <c r="AE717" s="61">
        <f t="shared" si="72"/>
        <v>8.1999168395996094</v>
      </c>
      <c r="AF717" s="61"/>
      <c r="AG717" s="61"/>
      <c r="AH717" s="61">
        <v>0.1</v>
      </c>
      <c r="AI717" s="61">
        <v>1</v>
      </c>
      <c r="AL717" s="108">
        <v>35</v>
      </c>
      <c r="AT717" s="20" t="s">
        <v>2654</v>
      </c>
      <c r="AU717" s="20" t="s">
        <v>2654</v>
      </c>
    </row>
    <row r="718" spans="1:49">
      <c r="A718" s="71">
        <v>1060642</v>
      </c>
      <c r="B718" s="20" t="s">
        <v>2656</v>
      </c>
      <c r="C718" s="20">
        <v>1</v>
      </c>
      <c r="D718" s="20" t="s">
        <v>2657</v>
      </c>
      <c r="E718" s="20" t="s">
        <v>2632</v>
      </c>
      <c r="F718" s="20" t="s">
        <v>2633</v>
      </c>
      <c r="G718" s="20" t="s">
        <v>2330</v>
      </c>
      <c r="H718" s="61" t="s">
        <v>2331</v>
      </c>
      <c r="I718" s="61" t="str">
        <f>VLOOKUP(F718,'#对话模型配置'!A:O,15,FALSE)</f>
        <v>newbie_oversea_axe</v>
      </c>
      <c r="J718" s="20" t="s">
        <v>2658</v>
      </c>
      <c r="K718" s="78" t="s">
        <v>2659</v>
      </c>
      <c r="U718" s="20">
        <v>2</v>
      </c>
      <c r="V718" s="20">
        <v>0</v>
      </c>
      <c r="X718" s="71">
        <v>30011</v>
      </c>
      <c r="Y718" s="71" t="b">
        <v>0</v>
      </c>
      <c r="Z718" s="20" t="s">
        <v>2660</v>
      </c>
      <c r="AA718" s="71" t="b">
        <v>0</v>
      </c>
      <c r="AD718" s="20">
        <v>3.9485208988189702</v>
      </c>
      <c r="AE718" s="61">
        <f t="shared" si="72"/>
        <v>4.9485208988189697</v>
      </c>
      <c r="AF718" s="61"/>
      <c r="AG718" s="61"/>
      <c r="AH718" s="61">
        <v>0.1</v>
      </c>
      <c r="AI718" s="61">
        <v>1</v>
      </c>
      <c r="AL718" s="108">
        <v>35</v>
      </c>
    </row>
    <row r="719" spans="1:49">
      <c r="A719" s="71">
        <v>1060643</v>
      </c>
      <c r="B719" s="20" t="s">
        <v>2661</v>
      </c>
      <c r="C719" s="20">
        <v>1</v>
      </c>
      <c r="D719" s="20" t="s">
        <v>2662</v>
      </c>
      <c r="E719" s="20" t="s">
        <v>2632</v>
      </c>
      <c r="F719" s="20" t="s">
        <v>2663</v>
      </c>
      <c r="G719" s="20" t="s">
        <v>2412</v>
      </c>
      <c r="H719" s="61" t="s">
        <v>2331</v>
      </c>
      <c r="I719" s="61" t="str">
        <f>VLOOKUP(F719,'#对话模型配置'!A:O,15,FALSE)</f>
        <v>newbie_oversea_enemy</v>
      </c>
      <c r="J719" s="20" t="s">
        <v>2664</v>
      </c>
      <c r="K719" s="78" t="s">
        <v>2665</v>
      </c>
      <c r="U719" s="20">
        <v>2</v>
      </c>
      <c r="V719" s="20">
        <v>0</v>
      </c>
      <c r="X719" s="71">
        <v>30011</v>
      </c>
      <c r="Y719" s="71" t="b">
        <v>0</v>
      </c>
      <c r="Z719" s="114" t="s">
        <v>2414</v>
      </c>
      <c r="AA719" s="71" t="b">
        <v>0</v>
      </c>
      <c r="AD719" s="20">
        <v>5.9029998779296902</v>
      </c>
      <c r="AE719" s="20">
        <f>IF(LEN(K719)/5&lt;3,3,ROUND(LEN(K719)/5,0))</f>
        <v>5</v>
      </c>
      <c r="AH719" s="61">
        <v>0.1</v>
      </c>
      <c r="AI719" s="61">
        <v>1</v>
      </c>
      <c r="AL719" s="108">
        <v>35</v>
      </c>
      <c r="AT719" s="20" t="s">
        <v>2665</v>
      </c>
    </row>
    <row r="720" spans="1:49">
      <c r="A720" s="71">
        <v>1060644</v>
      </c>
      <c r="B720" s="20" t="s">
        <v>2661</v>
      </c>
      <c r="C720" s="20">
        <v>1</v>
      </c>
      <c r="D720" s="20" t="s">
        <v>2662</v>
      </c>
      <c r="E720" s="20" t="s">
        <v>2632</v>
      </c>
      <c r="F720" s="20" t="s">
        <v>2663</v>
      </c>
      <c r="G720" s="20" t="s">
        <v>2412</v>
      </c>
      <c r="H720" s="61" t="s">
        <v>2331</v>
      </c>
      <c r="I720" s="61" t="str">
        <f>VLOOKUP(F720,'#对话模型配置'!A:O,15,FALSE)</f>
        <v>newbie_oversea_enemy</v>
      </c>
      <c r="J720" s="20" t="s">
        <v>2666</v>
      </c>
      <c r="K720" s="78" t="s">
        <v>2667</v>
      </c>
      <c r="U720" s="20">
        <v>2</v>
      </c>
      <c r="V720" s="20">
        <v>0</v>
      </c>
      <c r="X720" s="71">
        <v>30011</v>
      </c>
      <c r="Y720" s="71" t="b">
        <v>0</v>
      </c>
      <c r="Z720" s="114" t="s">
        <v>2417</v>
      </c>
      <c r="AA720" s="71" t="b">
        <v>0</v>
      </c>
      <c r="AD720" s="20">
        <v>4.7908959388732901</v>
      </c>
      <c r="AE720" s="20">
        <f>IF(LEN(K720)/5&lt;3,3,ROUND(LEN(K720)/5,0))</f>
        <v>3</v>
      </c>
      <c r="AH720" s="61">
        <v>0.1</v>
      </c>
      <c r="AI720" s="61">
        <v>1</v>
      </c>
      <c r="AL720" s="108">
        <v>35</v>
      </c>
      <c r="AT720" s="20" t="s">
        <v>2667</v>
      </c>
    </row>
    <row r="721" spans="1:49">
      <c r="A721" s="20">
        <v>1060645</v>
      </c>
      <c r="B721" s="20" t="s">
        <v>2668</v>
      </c>
      <c r="C721" s="20">
        <v>1</v>
      </c>
      <c r="D721" s="20" t="s">
        <v>2669</v>
      </c>
      <c r="E721" s="20" t="s">
        <v>2632</v>
      </c>
      <c r="F721" s="20" t="s">
        <v>2637</v>
      </c>
      <c r="G721" s="20" t="s">
        <v>2335</v>
      </c>
      <c r="H721" s="61" t="s">
        <v>2331</v>
      </c>
      <c r="I721" s="61" t="str">
        <f>VLOOKUP(F721,'#对话模型配置'!A:O,15,FALSE)</f>
        <v>newbie_oversea_andrea</v>
      </c>
      <c r="J721" s="20" t="s">
        <v>2670</v>
      </c>
      <c r="K721" s="78" t="s">
        <v>2671</v>
      </c>
      <c r="U721" s="20">
        <v>2</v>
      </c>
      <c r="V721" s="20">
        <v>0</v>
      </c>
      <c r="X721" s="71">
        <v>30011</v>
      </c>
      <c r="Y721" s="71" t="b">
        <v>0</v>
      </c>
      <c r="Z721" s="20" t="s">
        <v>2672</v>
      </c>
      <c r="AA721" s="71" t="b">
        <v>0</v>
      </c>
      <c r="AD721" s="20">
        <v>11.929333686828601</v>
      </c>
      <c r="AE721" s="61">
        <v>1</v>
      </c>
      <c r="AF721" s="61"/>
      <c r="AG721" s="61"/>
      <c r="AH721" s="61">
        <f>AE721</f>
        <v>1</v>
      </c>
      <c r="AI721" s="61">
        <v>1</v>
      </c>
      <c r="AL721" s="108">
        <v>35</v>
      </c>
    </row>
    <row r="722" spans="1:49" ht="26">
      <c r="A722" s="20">
        <v>1060645</v>
      </c>
      <c r="B722" s="20" t="s">
        <v>2668</v>
      </c>
      <c r="C722" s="20">
        <v>2</v>
      </c>
      <c r="D722" s="20" t="s">
        <v>2669</v>
      </c>
      <c r="E722" s="20" t="s">
        <v>2632</v>
      </c>
      <c r="F722" s="20" t="s">
        <v>2637</v>
      </c>
      <c r="G722" s="20" t="s">
        <v>2335</v>
      </c>
      <c r="H722" s="61" t="s">
        <v>2331</v>
      </c>
      <c r="I722" s="61" t="str">
        <f>VLOOKUP(F722,'#对话模型配置'!A:O,15,FALSE)</f>
        <v>newbie_oversea_andrea</v>
      </c>
      <c r="J722" s="20" t="s">
        <v>2673</v>
      </c>
      <c r="K722" s="78" t="s">
        <v>2674</v>
      </c>
      <c r="U722" s="20">
        <v>2</v>
      </c>
      <c r="V722" s="20">
        <v>0</v>
      </c>
      <c r="X722" s="71">
        <v>30011</v>
      </c>
      <c r="Y722" s="71" t="b">
        <v>0</v>
      </c>
      <c r="Z722" s="20" t="s">
        <v>2675</v>
      </c>
      <c r="AA722" s="71" t="b">
        <v>0</v>
      </c>
      <c r="AD722" s="20">
        <v>12.3526878356934</v>
      </c>
      <c r="AE722" s="61">
        <f t="shared" ref="AE722:AE733" si="73">AD722+1</f>
        <v>13.3526878356934</v>
      </c>
      <c r="AF722" s="61"/>
      <c r="AG722" s="61"/>
      <c r="AH722" s="61">
        <f t="shared" ref="AH722:AH725" si="74">AE722</f>
        <v>13.3526878356934</v>
      </c>
      <c r="AI722" s="61">
        <v>1</v>
      </c>
      <c r="AL722" s="108">
        <v>35</v>
      </c>
    </row>
    <row r="723" spans="1:49">
      <c r="A723" s="20">
        <v>1060645</v>
      </c>
      <c r="B723" s="20" t="s">
        <v>2668</v>
      </c>
      <c r="C723" s="20">
        <v>3</v>
      </c>
      <c r="D723" s="20" t="s">
        <v>2669</v>
      </c>
      <c r="E723" s="20" t="s">
        <v>2632</v>
      </c>
      <c r="F723" s="20" t="s">
        <v>2637</v>
      </c>
      <c r="G723" s="20" t="s">
        <v>2335</v>
      </c>
      <c r="H723" s="61" t="s">
        <v>2331</v>
      </c>
      <c r="I723" s="61" t="str">
        <f>VLOOKUP(F723,'#对话模型配置'!A:O,15,FALSE)</f>
        <v>newbie_oversea_andrea</v>
      </c>
      <c r="J723" s="20" t="s">
        <v>2676</v>
      </c>
      <c r="K723" s="78" t="s">
        <v>2558</v>
      </c>
      <c r="U723" s="20">
        <v>2</v>
      </c>
      <c r="V723" s="20">
        <v>0</v>
      </c>
      <c r="X723" s="71">
        <v>30011</v>
      </c>
      <c r="Y723" s="71" t="b">
        <v>0</v>
      </c>
      <c r="Z723" s="20" t="s">
        <v>2557</v>
      </c>
      <c r="AA723" s="71" t="b">
        <v>0</v>
      </c>
      <c r="AD723" s="20">
        <v>7.4133329391479501</v>
      </c>
      <c r="AE723" s="61">
        <f t="shared" si="73"/>
        <v>8.4133329391479492</v>
      </c>
      <c r="AF723" s="61"/>
      <c r="AG723" s="61"/>
      <c r="AH723" s="61">
        <f t="shared" si="74"/>
        <v>8.4133329391479492</v>
      </c>
      <c r="AI723" s="61">
        <v>1</v>
      </c>
      <c r="AL723" s="108">
        <v>35</v>
      </c>
    </row>
    <row r="724" spans="1:49" ht="26">
      <c r="A724" s="20">
        <v>1060646</v>
      </c>
      <c r="B724" s="20" t="s">
        <v>2668</v>
      </c>
      <c r="C724" s="20">
        <v>1</v>
      </c>
      <c r="D724" s="20" t="s">
        <v>2669</v>
      </c>
      <c r="E724" s="20" t="s">
        <v>2632</v>
      </c>
      <c r="F724" s="20" t="s">
        <v>2637</v>
      </c>
      <c r="G724" s="20" t="s">
        <v>2335</v>
      </c>
      <c r="H724" s="61" t="s">
        <v>2331</v>
      </c>
      <c r="I724" s="61" t="str">
        <f>VLOOKUP(F724,'#对话模型配置'!A:O,15,FALSE)</f>
        <v>newbie_oversea_andrea</v>
      </c>
      <c r="J724" s="20" t="s">
        <v>2677</v>
      </c>
      <c r="K724" s="78" t="s">
        <v>2555</v>
      </c>
      <c r="U724" s="20">
        <v>2</v>
      </c>
      <c r="V724" s="20">
        <v>0</v>
      </c>
      <c r="X724" s="71">
        <v>30011</v>
      </c>
      <c r="Y724" s="71" t="b">
        <v>0</v>
      </c>
      <c r="Z724" s="20" t="s">
        <v>2678</v>
      </c>
      <c r="AA724" s="71" t="b">
        <v>0</v>
      </c>
      <c r="AD724" s="20">
        <v>8.9662294387817401</v>
      </c>
      <c r="AE724" s="61">
        <f t="shared" si="73"/>
        <v>9.9662294387817401</v>
      </c>
      <c r="AF724" s="61"/>
      <c r="AG724" s="61"/>
      <c r="AH724" s="61">
        <f t="shared" si="74"/>
        <v>9.9662294387817401</v>
      </c>
      <c r="AI724" s="61">
        <v>1</v>
      </c>
      <c r="AL724" s="108">
        <v>35</v>
      </c>
    </row>
    <row r="725" spans="1:49">
      <c r="A725" s="20">
        <v>1060648</v>
      </c>
      <c r="B725" s="20" t="s">
        <v>2668</v>
      </c>
      <c r="C725" s="20">
        <v>1</v>
      </c>
      <c r="D725" s="20" t="s">
        <v>2669</v>
      </c>
      <c r="E725" s="20" t="s">
        <v>2632</v>
      </c>
      <c r="F725" s="20" t="s">
        <v>2637</v>
      </c>
      <c r="G725" s="20" t="s">
        <v>2335</v>
      </c>
      <c r="H725" s="61" t="s">
        <v>2331</v>
      </c>
      <c r="I725" s="61" t="str">
        <f>VLOOKUP(F725,'#对话模型配置'!A:O,15,FALSE)</f>
        <v>newbie_oversea_andrea</v>
      </c>
      <c r="J725" s="20" t="s">
        <v>2679</v>
      </c>
      <c r="K725" s="78" t="s">
        <v>2680</v>
      </c>
      <c r="U725" s="20">
        <v>2</v>
      </c>
      <c r="V725" s="20">
        <v>0</v>
      </c>
      <c r="X725" s="71">
        <v>30011</v>
      </c>
      <c r="Y725" s="71" t="b">
        <v>0</v>
      </c>
      <c r="Z725" s="20" t="s">
        <v>2681</v>
      </c>
      <c r="AA725" s="71" t="b">
        <v>0</v>
      </c>
      <c r="AD725" s="20">
        <v>1.9633539915084799</v>
      </c>
      <c r="AE725" s="61">
        <f t="shared" si="73"/>
        <v>2.9633539915084799</v>
      </c>
      <c r="AF725" s="61"/>
      <c r="AG725" s="61"/>
      <c r="AH725" s="61">
        <f t="shared" si="74"/>
        <v>2.9633539915084799</v>
      </c>
      <c r="AI725" s="61">
        <v>1</v>
      </c>
      <c r="AL725" s="108">
        <v>35</v>
      </c>
    </row>
    <row r="726" spans="1:49">
      <c r="A726" s="20">
        <v>1060648</v>
      </c>
      <c r="B726" s="20" t="s">
        <v>2668</v>
      </c>
      <c r="C726" s="20">
        <v>2</v>
      </c>
      <c r="D726" s="20" t="s">
        <v>2669</v>
      </c>
      <c r="E726" s="20" t="s">
        <v>2632</v>
      </c>
      <c r="F726" s="20" t="s">
        <v>2637</v>
      </c>
      <c r="G726" s="20" t="s">
        <v>2335</v>
      </c>
      <c r="H726" s="61" t="s">
        <v>2331</v>
      </c>
      <c r="I726" s="61" t="str">
        <f>VLOOKUP(F726,'#对话模型配置'!A:O,15,FALSE)</f>
        <v>newbie_oversea_andrea</v>
      </c>
      <c r="J726" s="20" t="s">
        <v>2682</v>
      </c>
      <c r="K726" s="78" t="s">
        <v>2683</v>
      </c>
      <c r="U726" s="20">
        <v>2</v>
      </c>
      <c r="V726" s="20">
        <v>0</v>
      </c>
      <c r="X726" s="71">
        <v>30011</v>
      </c>
      <c r="Y726" s="71" t="b">
        <v>0</v>
      </c>
      <c r="Z726" s="20" t="s">
        <v>2684</v>
      </c>
      <c r="AA726" s="71" t="b">
        <v>0</v>
      </c>
      <c r="AD726" s="20">
        <v>6.4407920837402299</v>
      </c>
      <c r="AE726" s="61">
        <f t="shared" si="73"/>
        <v>7.4407920837402299</v>
      </c>
      <c r="AF726" s="61"/>
      <c r="AG726" s="61"/>
      <c r="AH726" s="61">
        <f t="shared" ref="AH726:AH729" si="75">AE726</f>
        <v>7.4407920837402299</v>
      </c>
      <c r="AI726" s="61">
        <v>1</v>
      </c>
      <c r="AL726" s="108">
        <v>35</v>
      </c>
    </row>
    <row r="727" spans="1:49">
      <c r="A727" s="20">
        <v>1060648</v>
      </c>
      <c r="B727" s="20" t="s">
        <v>2668</v>
      </c>
      <c r="C727" s="20">
        <v>3</v>
      </c>
      <c r="D727" s="20" t="s">
        <v>2669</v>
      </c>
      <c r="E727" s="20" t="s">
        <v>2632</v>
      </c>
      <c r="F727" s="20" t="s">
        <v>2633</v>
      </c>
      <c r="G727" s="20" t="s">
        <v>2330</v>
      </c>
      <c r="H727" s="61" t="s">
        <v>2331</v>
      </c>
      <c r="I727" s="61" t="str">
        <f>VLOOKUP(F727,'#对话模型配置'!A:O,15,FALSE)</f>
        <v>newbie_oversea_axe</v>
      </c>
      <c r="J727" s="20" t="s">
        <v>2685</v>
      </c>
      <c r="K727" s="78" t="s">
        <v>2686</v>
      </c>
      <c r="U727" s="20">
        <v>2</v>
      </c>
      <c r="V727" s="20">
        <v>0</v>
      </c>
      <c r="X727" s="71">
        <v>30011</v>
      </c>
      <c r="Y727" s="71" t="b">
        <v>0</v>
      </c>
      <c r="Z727" s="20" t="s">
        <v>2687</v>
      </c>
      <c r="AA727" s="71" t="b">
        <v>0</v>
      </c>
      <c r="AD727" s="20">
        <v>2.1337080001831099</v>
      </c>
      <c r="AE727" s="61">
        <f t="shared" si="73"/>
        <v>3.1337080001831099</v>
      </c>
      <c r="AF727" s="61"/>
      <c r="AG727" s="61"/>
      <c r="AH727" s="61">
        <f t="shared" si="75"/>
        <v>3.1337080001831099</v>
      </c>
      <c r="AI727" s="61">
        <v>1</v>
      </c>
      <c r="AL727" s="108">
        <v>35</v>
      </c>
    </row>
    <row r="728" spans="1:49">
      <c r="A728" s="20">
        <v>1060648</v>
      </c>
      <c r="B728" s="20" t="s">
        <v>2668</v>
      </c>
      <c r="C728" s="20">
        <v>4</v>
      </c>
      <c r="D728" s="20" t="s">
        <v>2669</v>
      </c>
      <c r="E728" s="20" t="s">
        <v>2632</v>
      </c>
      <c r="F728" s="20" t="s">
        <v>2637</v>
      </c>
      <c r="G728" s="20" t="s">
        <v>2335</v>
      </c>
      <c r="H728" s="61" t="s">
        <v>2331</v>
      </c>
      <c r="I728" s="61" t="str">
        <f>VLOOKUP(F728,'#对话模型配置'!A:O,15,FALSE)</f>
        <v>newbie_oversea_andrea</v>
      </c>
      <c r="J728" s="20" t="s">
        <v>2688</v>
      </c>
      <c r="K728" s="78" t="s">
        <v>2689</v>
      </c>
      <c r="U728" s="20">
        <v>2</v>
      </c>
      <c r="V728" s="20">
        <v>0</v>
      </c>
      <c r="X728" s="71">
        <v>30011</v>
      </c>
      <c r="Y728" s="71" t="b">
        <v>0</v>
      </c>
      <c r="Z728" s="20" t="s">
        <v>2690</v>
      </c>
      <c r="AA728" s="71" t="b">
        <v>0</v>
      </c>
      <c r="AD728" s="20">
        <v>4.1599998474121103</v>
      </c>
      <c r="AE728" s="61">
        <f t="shared" si="73"/>
        <v>5.1599998474121103</v>
      </c>
      <c r="AF728" s="61"/>
      <c r="AG728" s="61"/>
      <c r="AH728" s="61">
        <f t="shared" si="75"/>
        <v>5.1599998474121103</v>
      </c>
      <c r="AI728" s="61">
        <v>1</v>
      </c>
      <c r="AL728" s="108">
        <v>35</v>
      </c>
    </row>
    <row r="729" spans="1:49" s="71" customFormat="1" ht="28">
      <c r="A729" s="20">
        <v>1060652</v>
      </c>
      <c r="B729" s="71" t="s">
        <v>2498</v>
      </c>
      <c r="C729" s="71">
        <v>1</v>
      </c>
      <c r="D729" s="71" t="s">
        <v>2691</v>
      </c>
      <c r="E729" s="71" t="s">
        <v>2632</v>
      </c>
      <c r="F729" s="20" t="str">
        <f>VLOOKUP(G729,'#TID_base_up'!B:C,2,0)</f>
        <v>血手阿提卡</v>
      </c>
      <c r="G729" s="71" t="s">
        <v>2499</v>
      </c>
      <c r="H729" s="61" t="s">
        <v>2331</v>
      </c>
      <c r="I729" s="61" t="str">
        <f>VLOOKUP(F729,'#对话模型配置'!A:O,15,FALSE)</f>
        <v>newbie_oversea_attila</v>
      </c>
      <c r="J729" s="71" t="s">
        <v>2594</v>
      </c>
      <c r="K729" s="84" t="str">
        <f>AT729</f>
        <v>帝国公主，&lt;color=#FFCC71&gt;钢铁蔷薇安德莉亚&lt;/color&gt;，我听说过你的名号！亡国的鬼魂竟然也敢走到阳光之下？</v>
      </c>
      <c r="U729" s="71">
        <v>2</v>
      </c>
      <c r="V729" s="71">
        <v>0</v>
      </c>
      <c r="X729" s="71">
        <v>30011</v>
      </c>
      <c r="Y729" s="71" t="b">
        <v>0</v>
      </c>
      <c r="Z729" s="71" t="s">
        <v>2501</v>
      </c>
      <c r="AA729" s="71" t="b">
        <v>0</v>
      </c>
      <c r="AD729" s="71">
        <v>10.344916343689</v>
      </c>
      <c r="AE729" s="61">
        <f t="shared" si="73"/>
        <v>11.344916343689</v>
      </c>
      <c r="AF729" s="61"/>
      <c r="AG729" s="61"/>
      <c r="AH729" s="61">
        <f t="shared" si="75"/>
        <v>11.344916343689</v>
      </c>
      <c r="AI729" s="61">
        <v>1</v>
      </c>
      <c r="AL729" s="108">
        <v>35</v>
      </c>
      <c r="AT729" s="71" t="str">
        <f t="shared" ref="AT729:AT731" si="76">IF($AU729="","",SUBSTITUTE(SUBSTITUTE(SUBSTITUTE(SUBSTITUTE($AU729,IF($AW729="","",$AW729),IF($AW729="","",CONCATENATE("&lt;color=#FFCC71&gt;",$AW729,"&lt;/color&gt;"))),IF($AX729="","",$AX729),IF($AX729="","",CONCATENATE("&lt;color=#FFCC71&gt;",$AX729,"&lt;/color&gt;"))),IF($AY729="","",$AY729),IF($AY729="","",CONCATENATE("&lt;color=#FFCC71&gt;",$AY729,"&lt;/color&gt;"))),IF($AZ729="","",$AZ729),IF($AZ729="","",CONCATENATE("&lt;color=#FFCC71&gt;",$AZ729,"&lt;/color&gt;"))))</f>
        <v>帝国公主，&lt;color=#FFCC71&gt;钢铁蔷薇安德莉亚&lt;/color&gt;，我听说过你的名号！亡国的鬼魂竟然也敢走到阳光之下？</v>
      </c>
      <c r="AU729" s="124" t="s">
        <v>2595</v>
      </c>
      <c r="AW729" s="71" t="s">
        <v>2508</v>
      </c>
    </row>
    <row r="730" spans="1:49" s="71" customFormat="1" ht="28">
      <c r="A730" s="20">
        <v>1060652</v>
      </c>
      <c r="B730" s="71" t="s">
        <v>2498</v>
      </c>
      <c r="C730" s="71">
        <v>2</v>
      </c>
      <c r="D730" s="71" t="s">
        <v>2691</v>
      </c>
      <c r="E730" s="71" t="s">
        <v>2632</v>
      </c>
      <c r="F730" s="20" t="str">
        <f>VLOOKUP(G730,'#TID_base_up'!B:C,2,0)</f>
        <v>血手阿提卡</v>
      </c>
      <c r="G730" s="71" t="s">
        <v>2499</v>
      </c>
      <c r="H730" s="61" t="s">
        <v>2331</v>
      </c>
      <c r="I730" s="61" t="str">
        <f>VLOOKUP(F730,'#对话模型配置'!A:O,15,FALSE)</f>
        <v>newbie_oversea_attila</v>
      </c>
      <c r="J730" s="71" t="s">
        <v>2596</v>
      </c>
      <c r="K730" s="84" t="str">
        <f>AT730</f>
        <v>但作为公主，你应该有许多帝国的财宝，只要你能交出来，我不介意放你一条活路。</v>
      </c>
      <c r="U730" s="71">
        <v>2</v>
      </c>
      <c r="V730" s="71">
        <v>0</v>
      </c>
      <c r="X730" s="71">
        <v>30011</v>
      </c>
      <c r="Y730" s="71" t="b">
        <v>0</v>
      </c>
      <c r="Z730" s="71" t="s">
        <v>2504</v>
      </c>
      <c r="AA730" s="71" t="b">
        <v>0</v>
      </c>
      <c r="AD730" s="71">
        <v>9.7672710418701207</v>
      </c>
      <c r="AE730" s="61">
        <f t="shared" si="73"/>
        <v>10.767271041870121</v>
      </c>
      <c r="AF730" s="61"/>
      <c r="AG730" s="61"/>
      <c r="AH730" s="61">
        <f t="shared" ref="AH730:AH732" si="77">AE730</f>
        <v>10.767271041870121</v>
      </c>
      <c r="AI730" s="61">
        <v>1</v>
      </c>
      <c r="AL730" s="108">
        <v>35</v>
      </c>
      <c r="AT730" s="71" t="str">
        <f t="shared" si="76"/>
        <v>但作为公主，你应该有许多帝国的财宝，只要你能交出来，我不介意放你一条活路。</v>
      </c>
      <c r="AU730" s="124" t="s">
        <v>2597</v>
      </c>
    </row>
    <row r="731" spans="1:49" s="71" customFormat="1" ht="14">
      <c r="A731" s="20">
        <v>1060652</v>
      </c>
      <c r="B731" s="71" t="s">
        <v>2498</v>
      </c>
      <c r="C731" s="71">
        <v>3</v>
      </c>
      <c r="D731" s="71" t="s">
        <v>2691</v>
      </c>
      <c r="E731" s="71" t="s">
        <v>2632</v>
      </c>
      <c r="F731" s="20" t="str">
        <f>VLOOKUP(G731,'#TID_base_up'!B:C,2,0)</f>
        <v>安德莉亚</v>
      </c>
      <c r="G731" s="71" t="s">
        <v>2335</v>
      </c>
      <c r="H731" s="61" t="s">
        <v>2331</v>
      </c>
      <c r="I731" s="61" t="str">
        <f>VLOOKUP(F731,'#对话模型配置'!A:O,15,FALSE)</f>
        <v>newbie_oversea_andrea</v>
      </c>
      <c r="J731" s="71" t="s">
        <v>2598</v>
      </c>
      <c r="K731" s="84" t="str">
        <f>AT731</f>
        <v>死到临头却还在妄求财富，阿提卡，你的贪婪让我印象深刻。</v>
      </c>
      <c r="U731" s="71">
        <v>2</v>
      </c>
      <c r="V731" s="71">
        <v>0</v>
      </c>
      <c r="X731" s="71">
        <v>30011</v>
      </c>
      <c r="Y731" s="71" t="b">
        <v>0</v>
      </c>
      <c r="Z731" s="71" t="s">
        <v>2599</v>
      </c>
      <c r="AA731" s="71" t="b">
        <v>0</v>
      </c>
      <c r="AD731" s="71">
        <v>9.5039997100830096</v>
      </c>
      <c r="AE731" s="61">
        <f t="shared" si="73"/>
        <v>10.50399971008301</v>
      </c>
      <c r="AF731" s="61"/>
      <c r="AG731" s="61"/>
      <c r="AH731" s="61">
        <f t="shared" si="77"/>
        <v>10.50399971008301</v>
      </c>
      <c r="AI731" s="61">
        <v>1</v>
      </c>
      <c r="AL731" s="108">
        <v>35</v>
      </c>
      <c r="AT731" s="71" t="str">
        <f t="shared" si="76"/>
        <v>死到临头却还在妄求财富，阿提卡，你的贪婪让我印象深刻。</v>
      </c>
      <c r="AU731" s="124" t="s">
        <v>2600</v>
      </c>
    </row>
    <row r="732" spans="1:49" s="71" customFormat="1" ht="14">
      <c r="A732" s="20">
        <v>1060652</v>
      </c>
      <c r="B732" s="71" t="s">
        <v>2498</v>
      </c>
      <c r="C732" s="71">
        <v>4</v>
      </c>
      <c r="D732" s="71" t="s">
        <v>2691</v>
      </c>
      <c r="E732" s="71" t="s">
        <v>2632</v>
      </c>
      <c r="F732" s="20" t="str">
        <f>VLOOKUP(G732,'#TID_base_up'!B:C,2,0)</f>
        <v>血手阿提卡</v>
      </c>
      <c r="G732" s="71" t="s">
        <v>2499</v>
      </c>
      <c r="H732" s="61" t="s">
        <v>2331</v>
      </c>
      <c r="I732" s="61" t="str">
        <f>VLOOKUP(F732,'#对话模型配置'!A:O,15,FALSE)</f>
        <v>newbie_oversea_attila</v>
      </c>
      <c r="J732" s="71" t="s">
        <v>2692</v>
      </c>
      <c r="K732" s="84" t="str">
        <f>AT732</f>
        <v>哼！安德莉亚，你的头颅，将成为我最名贵的收藏！</v>
      </c>
      <c r="U732" s="71">
        <v>2</v>
      </c>
      <c r="V732" s="71">
        <v>0</v>
      </c>
      <c r="X732" s="71">
        <v>30011</v>
      </c>
      <c r="Y732" s="71" t="b">
        <v>0</v>
      </c>
      <c r="Z732" s="71" t="s">
        <v>2693</v>
      </c>
      <c r="AA732" s="71" t="b">
        <v>0</v>
      </c>
      <c r="AD732" s="71">
        <v>5.61454200744629</v>
      </c>
      <c r="AE732" s="61">
        <f t="shared" si="73"/>
        <v>6.61454200744629</v>
      </c>
      <c r="AF732" s="61"/>
      <c r="AG732" s="61"/>
      <c r="AH732" s="61">
        <f t="shared" si="77"/>
        <v>6.61454200744629</v>
      </c>
      <c r="AI732" s="61">
        <v>1</v>
      </c>
      <c r="AL732" s="108">
        <v>35</v>
      </c>
      <c r="AT732" s="71" t="s">
        <v>2694</v>
      </c>
      <c r="AU732" s="124" t="s">
        <v>2694</v>
      </c>
    </row>
    <row r="733" spans="1:49">
      <c r="A733" s="20">
        <v>1060656</v>
      </c>
      <c r="B733" s="20" t="s">
        <v>2695</v>
      </c>
      <c r="C733" s="71">
        <v>1</v>
      </c>
      <c r="D733" s="20" t="s">
        <v>2696</v>
      </c>
      <c r="E733" s="20" t="s">
        <v>2632</v>
      </c>
      <c r="F733" s="20" t="s">
        <v>2637</v>
      </c>
      <c r="G733" s="20" t="s">
        <v>2335</v>
      </c>
      <c r="H733" s="61" t="s">
        <v>2331</v>
      </c>
      <c r="I733" s="61" t="str">
        <f>VLOOKUP(F733,'#对话模型配置'!A:O,15,FALSE)</f>
        <v>newbie_oversea_andrea</v>
      </c>
      <c r="J733" s="71" t="s">
        <v>2697</v>
      </c>
      <c r="K733" s="78" t="s">
        <v>2698</v>
      </c>
      <c r="U733" s="71">
        <v>2</v>
      </c>
      <c r="V733" s="71">
        <v>0</v>
      </c>
      <c r="W733" s="71"/>
      <c r="X733" s="71">
        <v>30011</v>
      </c>
      <c r="Y733" s="71" t="b">
        <v>0</v>
      </c>
      <c r="Z733" s="20" t="s">
        <v>2699</v>
      </c>
      <c r="AA733" s="71" t="b">
        <v>0</v>
      </c>
      <c r="AD733" s="20">
        <v>7.0201869010925302</v>
      </c>
      <c r="AE733" s="61">
        <f t="shared" si="73"/>
        <v>8.0201869010925293</v>
      </c>
      <c r="AF733" s="61"/>
      <c r="AG733" s="61"/>
      <c r="AH733" s="61">
        <v>0.1</v>
      </c>
      <c r="AI733" s="61">
        <v>1</v>
      </c>
      <c r="AL733" s="108">
        <v>35</v>
      </c>
    </row>
    <row r="734" spans="1:49" ht="28">
      <c r="A734" s="68">
        <v>1060657</v>
      </c>
      <c r="B734" s="20" t="s">
        <v>2700</v>
      </c>
      <c r="C734" s="20">
        <v>1</v>
      </c>
      <c r="D734" s="20" t="s">
        <v>2701</v>
      </c>
      <c r="E734" s="20" t="s">
        <v>2632</v>
      </c>
      <c r="F734" s="20" t="s">
        <v>2633</v>
      </c>
      <c r="G734" s="20" t="s">
        <v>2330</v>
      </c>
      <c r="H734" s="61" t="s">
        <v>2331</v>
      </c>
      <c r="I734" s="61" t="str">
        <f>VLOOKUP(F734,'#对话模型配置'!A:O,15,FALSE)</f>
        <v>newbie_oversea_axe</v>
      </c>
      <c r="J734" s="20" t="s">
        <v>2332</v>
      </c>
      <c r="K734" s="126" t="s">
        <v>2702</v>
      </c>
      <c r="U734" s="20">
        <v>2</v>
      </c>
      <c r="V734" s="20">
        <v>0</v>
      </c>
      <c r="X734" s="71">
        <v>30011</v>
      </c>
      <c r="Y734" s="71" t="b">
        <v>0</v>
      </c>
      <c r="Z734" s="114" t="s">
        <v>2333</v>
      </c>
      <c r="AA734" s="71" t="b">
        <v>0</v>
      </c>
      <c r="AD734" s="61">
        <v>7.5840001106262198</v>
      </c>
      <c r="AE734" s="61">
        <v>8</v>
      </c>
      <c r="AF734" s="61"/>
      <c r="AG734" s="61"/>
      <c r="AH734" s="61">
        <v>0.1</v>
      </c>
      <c r="AI734" s="61">
        <v>1</v>
      </c>
      <c r="AL734" s="108">
        <v>35</v>
      </c>
    </row>
    <row r="735" spans="1:49" ht="28">
      <c r="A735" s="68">
        <v>1060657</v>
      </c>
      <c r="B735" s="20" t="s">
        <v>2700</v>
      </c>
      <c r="C735" s="20">
        <v>2</v>
      </c>
      <c r="D735" s="20" t="s">
        <v>2701</v>
      </c>
      <c r="E735" s="20" t="s">
        <v>2632</v>
      </c>
      <c r="F735" s="20" t="s">
        <v>2637</v>
      </c>
      <c r="G735" s="20" t="s">
        <v>2335</v>
      </c>
      <c r="H735" s="61" t="s">
        <v>2331</v>
      </c>
      <c r="I735" s="61" t="str">
        <f>VLOOKUP(F735,'#对话模型配置'!A:O,15,FALSE)</f>
        <v>newbie_oversea_andrea</v>
      </c>
      <c r="J735" s="20" t="s">
        <v>2336</v>
      </c>
      <c r="K735" s="84" t="s">
        <v>2703</v>
      </c>
      <c r="U735" s="20">
        <v>2</v>
      </c>
      <c r="V735" s="20">
        <v>0</v>
      </c>
      <c r="X735" s="71">
        <v>30011</v>
      </c>
      <c r="Y735" s="71" t="b">
        <v>0</v>
      </c>
      <c r="Z735" s="114" t="s">
        <v>2337</v>
      </c>
      <c r="AA735" s="71" t="b">
        <v>0</v>
      </c>
      <c r="AD735" s="61">
        <v>16.1314792633057</v>
      </c>
      <c r="AE735" s="61">
        <v>10.5</v>
      </c>
      <c r="AF735" s="61"/>
      <c r="AG735" s="61"/>
      <c r="AH735" s="61">
        <v>0.1</v>
      </c>
      <c r="AI735" s="61">
        <v>1</v>
      </c>
      <c r="AL735" s="108">
        <v>35</v>
      </c>
    </row>
    <row r="736" spans="1:49">
      <c r="A736" s="20">
        <v>1060657</v>
      </c>
      <c r="B736" s="20" t="s">
        <v>2700</v>
      </c>
      <c r="C736" s="20">
        <v>3</v>
      </c>
      <c r="D736" s="20" t="s">
        <v>2701</v>
      </c>
      <c r="E736" s="20" t="s">
        <v>2632</v>
      </c>
      <c r="F736" s="20" t="s">
        <v>2633</v>
      </c>
      <c r="G736" s="20" t="s">
        <v>2330</v>
      </c>
      <c r="H736" s="61" t="s">
        <v>2331</v>
      </c>
      <c r="I736" s="61" t="str">
        <f>VLOOKUP(F736,'#对话模型配置'!A:O,15,FALSE)</f>
        <v>newbie_oversea_axe</v>
      </c>
      <c r="J736" s="20" t="s">
        <v>2340</v>
      </c>
      <c r="K736" s="78" t="s">
        <v>2342</v>
      </c>
      <c r="U736" s="20">
        <v>2</v>
      </c>
      <c r="V736" s="20">
        <v>0</v>
      </c>
      <c r="X736" s="71">
        <v>30011</v>
      </c>
      <c r="Y736" s="71" t="b">
        <v>0</v>
      </c>
      <c r="Z736" s="20" t="s">
        <v>2341</v>
      </c>
      <c r="AA736" s="71" t="b">
        <v>0</v>
      </c>
      <c r="AD736" s="20">
        <v>1.4400000572204601</v>
      </c>
      <c r="AE736" s="20">
        <v>2</v>
      </c>
      <c r="AH736" s="61">
        <v>0.1</v>
      </c>
      <c r="AI736" s="61">
        <v>1</v>
      </c>
      <c r="AL736" s="108">
        <v>35</v>
      </c>
    </row>
    <row r="737" spans="1:49" s="61" customFormat="1" ht="28">
      <c r="A737" s="61">
        <v>1060002</v>
      </c>
      <c r="B737" s="61" t="s">
        <v>2704</v>
      </c>
      <c r="C737" s="61">
        <v>1</v>
      </c>
      <c r="D737" s="61" t="s">
        <v>2705</v>
      </c>
      <c r="E737" s="61" t="s">
        <v>2329</v>
      </c>
      <c r="F737" s="20" t="str">
        <f>VLOOKUP(G737,'#TID_base_up'!B:C,2,0)</f>
        <v>副官</v>
      </c>
      <c r="G737" s="61" t="s">
        <v>2330</v>
      </c>
      <c r="H737" s="61" t="s">
        <v>2331</v>
      </c>
      <c r="I737" s="61" t="str">
        <f>VLOOKUP(F737,'#对话模型配置'!A:O,15,FALSE)</f>
        <v>newbie_oversea_axe</v>
      </c>
      <c r="J737" s="61" t="s">
        <v>2706</v>
      </c>
      <c r="K737" s="84" t="str">
        <f>AT737</f>
        <v>小镇就在前方，昨天我们的斥候和这里&lt;color=#FFCC71&gt;有过接洽&lt;/color&gt;，这里地处偏远，还暂未卷入战火。</v>
      </c>
      <c r="U737" s="61">
        <v>2</v>
      </c>
      <c r="V737" s="61">
        <v>0</v>
      </c>
      <c r="X737" s="61">
        <v>30011</v>
      </c>
      <c r="Y737" s="61" t="b">
        <v>1</v>
      </c>
      <c r="Z737" s="114" t="s">
        <v>2707</v>
      </c>
      <c r="AA737" s="61" t="b">
        <v>0</v>
      </c>
      <c r="AD737" s="61">
        <v>8.0900421142578107</v>
      </c>
      <c r="AE737" s="61">
        <v>3.5</v>
      </c>
      <c r="AH737" s="61">
        <v>0.1</v>
      </c>
      <c r="AI737" s="61">
        <v>1</v>
      </c>
      <c r="AL737" s="108">
        <v>35</v>
      </c>
      <c r="AT737" s="61" t="str">
        <f t="shared" ref="AT737:AT738" si="78">IF($AU737="","",SUBSTITUTE(SUBSTITUTE(SUBSTITUTE(SUBSTITUTE($AU737,IF($AW737="","",$AW737),IF($AW737="","",CONCATENATE("&lt;color=#FFCC71&gt;",$AW737,"&lt;/color&gt;"))),IF($AX737="","",$AX737),IF($AX737="","",CONCATENATE("&lt;color=#FFCC71&gt;",$AX737,"&lt;/color&gt;"))),IF($AY737="","",$AY737),IF($AY737="","",CONCATENATE("&lt;color=#FFCC71&gt;",$AY737,"&lt;/color&gt;"))),IF($AZ737="","",$AZ737),IF($AZ737="","",CONCATENATE("&lt;color=#FFCC71&gt;",$AZ737,"&lt;/color&gt;"))))</f>
        <v>小镇就在前方，昨天我们的斥候和这里&lt;color=#FFCC71&gt;有过接洽&lt;/color&gt;，这里地处偏远，还暂未卷入战火。</v>
      </c>
      <c r="AU737" s="61" t="s">
        <v>2708</v>
      </c>
      <c r="AV737" s="114"/>
      <c r="AW737" s="61" t="s">
        <v>2709</v>
      </c>
    </row>
    <row r="738" spans="1:49" s="61" customFormat="1" ht="28">
      <c r="A738" s="61">
        <v>1060002</v>
      </c>
      <c r="B738" s="61" t="s">
        <v>2704</v>
      </c>
      <c r="C738" s="61">
        <v>2</v>
      </c>
      <c r="D738" s="61" t="s">
        <v>2705</v>
      </c>
      <c r="E738" s="61" t="s">
        <v>2329</v>
      </c>
      <c r="F738" s="20" t="str">
        <f>VLOOKUP(G738,'#TID_base_up'!B:C,2,0)</f>
        <v>安德莉亚</v>
      </c>
      <c r="G738" s="61" t="s">
        <v>2335</v>
      </c>
      <c r="H738" s="61" t="s">
        <v>2331</v>
      </c>
      <c r="I738" s="61" t="str">
        <f>VLOOKUP(F738,'#对话模型配置'!A:O,15,FALSE)</f>
        <v>newbie_oversea_andrea</v>
      </c>
      <c r="J738" s="61" t="s">
        <v>2710</v>
      </c>
      <c r="K738" s="84" t="str">
        <f>AT738</f>
        <v>先按计划，和当地人沟通我们&lt;color=#FFCC71&gt;要在此驻营&lt;/color&gt;的事情。</v>
      </c>
      <c r="U738" s="61">
        <v>2</v>
      </c>
      <c r="V738" s="61">
        <v>0</v>
      </c>
      <c r="X738" s="61">
        <v>30011</v>
      </c>
      <c r="Y738" s="61" t="b">
        <v>1</v>
      </c>
      <c r="Z738" s="114" t="s">
        <v>2711</v>
      </c>
      <c r="AA738" s="61" t="b">
        <v>1</v>
      </c>
      <c r="AD738" s="61">
        <v>11.770479202270501</v>
      </c>
      <c r="AE738" s="61">
        <v>3.5</v>
      </c>
      <c r="AH738" s="61">
        <v>0.1</v>
      </c>
      <c r="AI738" s="61">
        <v>1</v>
      </c>
      <c r="AL738" s="108">
        <v>35</v>
      </c>
      <c r="AT738" s="61" t="str">
        <f t="shared" si="78"/>
        <v>先按计划，和当地人沟通我们&lt;color=#FFCC71&gt;要在此驻营&lt;/color&gt;的事情。</v>
      </c>
      <c r="AU738" s="61" t="s">
        <v>2712</v>
      </c>
      <c r="AV738" s="114"/>
      <c r="AW738" s="61" t="s">
        <v>2713</v>
      </c>
    </row>
    <row r="739" spans="1:49" ht="14">
      <c r="A739" s="20">
        <v>1060658</v>
      </c>
      <c r="B739" s="20" t="s">
        <v>2714</v>
      </c>
      <c r="C739" s="20">
        <v>1</v>
      </c>
      <c r="D739" s="20" t="s">
        <v>2715</v>
      </c>
      <c r="E739" s="20" t="s">
        <v>2632</v>
      </c>
      <c r="F739" s="20" t="s">
        <v>2637</v>
      </c>
      <c r="G739" s="20" t="s">
        <v>2335</v>
      </c>
      <c r="H739" s="61" t="s">
        <v>2331</v>
      </c>
      <c r="I739" s="61" t="str">
        <f>VLOOKUP(F739,'#对话模型配置'!A:O,15,FALSE)</f>
        <v>newbie_oversea_andrea</v>
      </c>
      <c r="J739" s="20" t="s">
        <v>2716</v>
      </c>
      <c r="K739" s="126" t="s">
        <v>2717</v>
      </c>
      <c r="U739" s="20">
        <v>2</v>
      </c>
      <c r="V739" s="20">
        <v>0</v>
      </c>
      <c r="X739" s="71">
        <v>30011</v>
      </c>
      <c r="Y739" s="71" t="b">
        <v>0</v>
      </c>
      <c r="Z739" s="20" t="s">
        <v>2364</v>
      </c>
      <c r="AA739" s="71" t="b">
        <v>0</v>
      </c>
      <c r="AD739" s="20">
        <v>6.41066598892212</v>
      </c>
      <c r="AE739" s="20">
        <v>7</v>
      </c>
      <c r="AH739" s="61">
        <v>0.1</v>
      </c>
      <c r="AI739" s="61">
        <v>1</v>
      </c>
      <c r="AL739" s="108">
        <v>35</v>
      </c>
    </row>
    <row r="740" spans="1:49" ht="14">
      <c r="A740" s="20">
        <v>1060659</v>
      </c>
      <c r="B740" s="20" t="s">
        <v>2718</v>
      </c>
      <c r="C740" s="20">
        <v>1</v>
      </c>
      <c r="E740" s="20" t="s">
        <v>2632</v>
      </c>
      <c r="F740" s="20" t="s">
        <v>2633</v>
      </c>
      <c r="G740" s="20" t="str">
        <f>VLOOKUP(F740,'#对话模型配置'!A:N,12,FALSE)</f>
        <v>TID_DialogueConf_1060001_name_CN_Main</v>
      </c>
      <c r="H740" s="61" t="s">
        <v>2331</v>
      </c>
      <c r="I740" s="61" t="str">
        <f>VLOOKUP(F740,'#对话模型配置'!A:O,15,FALSE)</f>
        <v>newbie_oversea_axe</v>
      </c>
      <c r="J740" s="20" t="s">
        <v>2719</v>
      </c>
      <c r="K740" s="126" t="s">
        <v>2720</v>
      </c>
      <c r="U740" s="20">
        <v>2</v>
      </c>
      <c r="V740" s="20">
        <v>0</v>
      </c>
      <c r="X740" s="71">
        <v>30011</v>
      </c>
      <c r="Y740" s="71" t="b">
        <v>0</v>
      </c>
      <c r="Z740" s="114" t="s">
        <v>2375</v>
      </c>
      <c r="AA740" s="71" t="b">
        <v>0</v>
      </c>
      <c r="AD740" s="20">
        <v>6.3759999275207502</v>
      </c>
      <c r="AE740" s="61">
        <v>7.3759999275207502</v>
      </c>
      <c r="AF740" s="61"/>
      <c r="AG740" s="61"/>
      <c r="AH740" s="61">
        <v>0.1</v>
      </c>
      <c r="AI740" s="61">
        <v>1</v>
      </c>
      <c r="AL740" s="108">
        <v>35</v>
      </c>
    </row>
    <row r="741" spans="1:49" ht="28">
      <c r="A741" s="20">
        <v>1060659</v>
      </c>
      <c r="B741" s="20" t="s">
        <v>2718</v>
      </c>
      <c r="C741" s="20">
        <v>2</v>
      </c>
      <c r="E741" s="20" t="s">
        <v>2632</v>
      </c>
      <c r="F741" s="20" t="s">
        <v>2637</v>
      </c>
      <c r="G741" s="20" t="str">
        <f>VLOOKUP(F741,'#对话模型配置'!A:N,12,FALSE)</f>
        <v>TID_DialogueConf_1060001_name_337966742914_CN_Main</v>
      </c>
      <c r="H741" s="61" t="s">
        <v>2331</v>
      </c>
      <c r="I741" s="61" t="str">
        <f>VLOOKUP(F741,'#对话模型配置'!A:O,15,FALSE)</f>
        <v>newbie_oversea_andrea</v>
      </c>
      <c r="J741" s="20" t="s">
        <v>2721</v>
      </c>
      <c r="K741" s="126" t="s">
        <v>2380</v>
      </c>
      <c r="U741" s="20">
        <v>2</v>
      </c>
      <c r="V741" s="20">
        <v>0</v>
      </c>
      <c r="X741" s="71">
        <v>30011</v>
      </c>
      <c r="Y741" s="71" t="b">
        <v>0</v>
      </c>
      <c r="Z741" s="114" t="s">
        <v>2379</v>
      </c>
      <c r="AA741" s="71" t="b">
        <v>0</v>
      </c>
      <c r="AD741" s="20">
        <v>8.3826665878295898</v>
      </c>
      <c r="AE741" s="61">
        <v>9.3826665878295898</v>
      </c>
      <c r="AF741" s="61"/>
      <c r="AG741" s="61"/>
      <c r="AH741" s="61">
        <v>0.1</v>
      </c>
      <c r="AI741" s="61">
        <v>1</v>
      </c>
      <c r="AL741" s="108">
        <v>35</v>
      </c>
    </row>
    <row r="742" spans="1:49" ht="14">
      <c r="A742" s="20">
        <v>1060660</v>
      </c>
      <c r="B742" s="20" t="s">
        <v>2722</v>
      </c>
      <c r="C742" s="20">
        <v>1</v>
      </c>
      <c r="E742" s="20" t="s">
        <v>2632</v>
      </c>
      <c r="F742" s="20" t="s">
        <v>2637</v>
      </c>
      <c r="G742" s="20" t="str">
        <f>VLOOKUP(F742,'#对话模型配置'!A:N,12,FALSE)</f>
        <v>TID_DialogueConf_1060001_name_337966742914_CN_Main</v>
      </c>
      <c r="H742" s="61" t="s">
        <v>2331</v>
      </c>
      <c r="I742" s="61" t="str">
        <f>VLOOKUP(F742,'#对话模型配置'!A:O,15,FALSE)</f>
        <v>newbie_oversea_andrea</v>
      </c>
      <c r="J742" s="20" t="s">
        <v>2723</v>
      </c>
      <c r="K742" s="126" t="s">
        <v>2724</v>
      </c>
      <c r="U742" s="20">
        <v>2</v>
      </c>
      <c r="V742" s="20">
        <v>0</v>
      </c>
      <c r="X742" s="71">
        <v>30011</v>
      </c>
      <c r="Y742" s="71" t="b">
        <v>0</v>
      </c>
      <c r="Z742" s="114" t="s">
        <v>2406</v>
      </c>
      <c r="AA742" s="71" t="b">
        <v>0</v>
      </c>
      <c r="AD742" s="20">
        <v>4.9546670913696298</v>
      </c>
      <c r="AE742" s="20">
        <f t="shared" ref="AE742:AE747" si="79">IF(LEN(K742)/5&lt;3,3,ROUND(LEN(K742)/5,0))</f>
        <v>4</v>
      </c>
      <c r="AH742" s="61">
        <v>0.1</v>
      </c>
      <c r="AI742" s="61">
        <v>1</v>
      </c>
      <c r="AL742" s="108">
        <v>35</v>
      </c>
    </row>
    <row r="743" spans="1:49" ht="28">
      <c r="A743" s="20">
        <v>1060660</v>
      </c>
      <c r="B743" s="20" t="s">
        <v>2722</v>
      </c>
      <c r="C743" s="20">
        <v>2</v>
      </c>
      <c r="E743" s="20" t="s">
        <v>2632</v>
      </c>
      <c r="F743" s="20" t="s">
        <v>2637</v>
      </c>
      <c r="G743" s="20" t="str">
        <f>VLOOKUP(F743,'#对话模型配置'!A:N,12,FALSE)</f>
        <v>TID_DialogueConf_1060001_name_337966742914_CN_Main</v>
      </c>
      <c r="H743" s="61" t="s">
        <v>2331</v>
      </c>
      <c r="I743" s="61" t="str">
        <f>VLOOKUP(F743,'#对话模型配置'!A:O,15,FALSE)</f>
        <v>newbie_oversea_andrea</v>
      </c>
      <c r="J743" s="20" t="s">
        <v>2725</v>
      </c>
      <c r="K743" s="126" t="s">
        <v>2726</v>
      </c>
      <c r="U743" s="20">
        <v>2</v>
      </c>
      <c r="V743" s="20">
        <v>0</v>
      </c>
      <c r="X743" s="71">
        <v>30011</v>
      </c>
      <c r="Y743" s="71" t="b">
        <v>0</v>
      </c>
      <c r="Z743" s="114"/>
      <c r="AA743" s="71" t="b">
        <v>0</v>
      </c>
      <c r="AE743" s="20">
        <f t="shared" si="79"/>
        <v>6</v>
      </c>
      <c r="AH743" s="61">
        <v>0.1</v>
      </c>
      <c r="AI743" s="61">
        <v>1</v>
      </c>
      <c r="AL743" s="108">
        <v>35</v>
      </c>
    </row>
    <row r="744" spans="1:49" ht="14">
      <c r="A744" s="20">
        <v>1060661</v>
      </c>
      <c r="B744" s="20" t="s">
        <v>2727</v>
      </c>
      <c r="C744" s="20">
        <v>1</v>
      </c>
      <c r="E744" s="20" t="s">
        <v>2632</v>
      </c>
      <c r="F744" s="20" t="s">
        <v>2637</v>
      </c>
      <c r="G744" s="20" t="str">
        <f>VLOOKUP(F744,'#对话模型配置'!A:N,12,FALSE)</f>
        <v>TID_DialogueConf_1060001_name_337966742914_CN_Main</v>
      </c>
      <c r="H744" s="61" t="s">
        <v>2331</v>
      </c>
      <c r="I744" s="61" t="str">
        <f>VLOOKUP(F744,'#对话模型配置'!A:O,15,FALSE)</f>
        <v>newbie_oversea_andrea</v>
      </c>
      <c r="J744" s="20" t="s">
        <v>2728</v>
      </c>
      <c r="K744" s="126" t="s">
        <v>2729</v>
      </c>
      <c r="U744" s="20">
        <v>2</v>
      </c>
      <c r="V744" s="20">
        <v>0</v>
      </c>
      <c r="X744" s="71">
        <v>30011</v>
      </c>
      <c r="Y744" s="71" t="b">
        <v>0</v>
      </c>
      <c r="AA744" s="71" t="b">
        <v>0</v>
      </c>
      <c r="AE744" s="20">
        <f t="shared" si="79"/>
        <v>6</v>
      </c>
      <c r="AH744" s="61">
        <v>0.1</v>
      </c>
      <c r="AI744" s="61">
        <v>1</v>
      </c>
      <c r="AL744" s="108">
        <v>35</v>
      </c>
    </row>
    <row r="745" spans="1:49" ht="14">
      <c r="A745" s="20">
        <v>1060661</v>
      </c>
      <c r="B745" s="20" t="s">
        <v>2727</v>
      </c>
      <c r="C745" s="20">
        <v>2</v>
      </c>
      <c r="E745" s="20" t="s">
        <v>2632</v>
      </c>
      <c r="F745" s="20" t="s">
        <v>2637</v>
      </c>
      <c r="G745" s="20" t="str">
        <f>VLOOKUP(F745,'#对话模型配置'!A:N,12,FALSE)</f>
        <v>TID_DialogueConf_1060001_name_337966742914_CN_Main</v>
      </c>
      <c r="H745" s="61" t="s">
        <v>2331</v>
      </c>
      <c r="I745" s="61" t="str">
        <f>VLOOKUP(F745,'#对话模型配置'!A:O,15,FALSE)</f>
        <v>newbie_oversea_andrea</v>
      </c>
      <c r="J745" s="20" t="s">
        <v>2730</v>
      </c>
      <c r="K745" s="126" t="s">
        <v>2731</v>
      </c>
      <c r="U745" s="20">
        <v>2</v>
      </c>
      <c r="V745" s="20">
        <v>0</v>
      </c>
      <c r="X745" s="71">
        <v>30011</v>
      </c>
      <c r="Y745" s="71" t="b">
        <v>0</v>
      </c>
      <c r="AA745" s="71" t="b">
        <v>0</v>
      </c>
      <c r="AE745" s="20">
        <f t="shared" si="79"/>
        <v>4</v>
      </c>
      <c r="AH745" s="61">
        <v>0.1</v>
      </c>
      <c r="AI745" s="61">
        <v>1</v>
      </c>
      <c r="AL745" s="108">
        <v>35</v>
      </c>
    </row>
    <row r="746" spans="1:49" ht="28">
      <c r="A746" s="20">
        <v>1060662</v>
      </c>
      <c r="B746" s="20" t="s">
        <v>2732</v>
      </c>
      <c r="C746" s="20">
        <v>1</v>
      </c>
      <c r="E746" s="20" t="s">
        <v>2632</v>
      </c>
      <c r="F746" s="20" t="s">
        <v>2633</v>
      </c>
      <c r="G746" s="20" t="str">
        <f>VLOOKUP(F746,'#对话模型配置'!A:N,12,FALSE)</f>
        <v>TID_DialogueConf_1060001_name_CN_Main</v>
      </c>
      <c r="H746" s="61" t="s">
        <v>2331</v>
      </c>
      <c r="I746" s="61" t="str">
        <f>VLOOKUP(F746,'#对话模型配置'!A:O,15,FALSE)</f>
        <v>newbie_oversea_axe</v>
      </c>
      <c r="J746" s="20" t="s">
        <v>2733</v>
      </c>
      <c r="K746" s="126" t="s">
        <v>2734</v>
      </c>
      <c r="U746" s="20">
        <v>2</v>
      </c>
      <c r="V746" s="20">
        <v>0</v>
      </c>
      <c r="X746" s="71">
        <v>30011</v>
      </c>
      <c r="Y746" s="71" t="b">
        <v>0</v>
      </c>
      <c r="AA746" s="71" t="b">
        <v>0</v>
      </c>
      <c r="AE746" s="20">
        <f t="shared" si="79"/>
        <v>7</v>
      </c>
      <c r="AH746" s="61">
        <v>0.1</v>
      </c>
      <c r="AI746" s="61">
        <v>1</v>
      </c>
      <c r="AL746" s="108">
        <v>35</v>
      </c>
    </row>
    <row r="747" spans="1:49" ht="14">
      <c r="A747" s="20">
        <v>1060662</v>
      </c>
      <c r="B747" s="20" t="s">
        <v>2732</v>
      </c>
      <c r="C747" s="20">
        <v>2</v>
      </c>
      <c r="E747" s="20" t="s">
        <v>2632</v>
      </c>
      <c r="F747" s="20" t="s">
        <v>2633</v>
      </c>
      <c r="G747" s="20" t="str">
        <f>VLOOKUP(F747,'#对话模型配置'!A:N,12,FALSE)</f>
        <v>TID_DialogueConf_1060001_name_CN_Main</v>
      </c>
      <c r="H747" s="61" t="s">
        <v>2331</v>
      </c>
      <c r="I747" s="61" t="str">
        <f>VLOOKUP(F747,'#对话模型配置'!A:O,15,FALSE)</f>
        <v>newbie_oversea_axe</v>
      </c>
      <c r="J747" s="20" t="s">
        <v>2735</v>
      </c>
      <c r="K747" s="126" t="s">
        <v>2736</v>
      </c>
      <c r="U747" s="20">
        <v>2</v>
      </c>
      <c r="V747" s="20">
        <v>0</v>
      </c>
      <c r="X747" s="71">
        <v>30011</v>
      </c>
      <c r="Y747" s="71" t="b">
        <v>0</v>
      </c>
      <c r="AA747" s="71" t="b">
        <v>0</v>
      </c>
      <c r="AE747" s="20">
        <f t="shared" si="79"/>
        <v>5</v>
      </c>
      <c r="AH747" s="61">
        <v>0.1</v>
      </c>
      <c r="AI747" s="61">
        <v>1</v>
      </c>
      <c r="AL747" s="108">
        <v>35</v>
      </c>
    </row>
    <row r="748" spans="1:49" s="61" customFormat="1" ht="14">
      <c r="A748" s="20">
        <v>1060663</v>
      </c>
      <c r="B748" s="61" t="s">
        <v>2737</v>
      </c>
      <c r="C748" s="61">
        <v>1</v>
      </c>
      <c r="D748" s="61" t="str">
        <f>"新手海外-"&amp;G748</f>
        <v>新手海外-TID_DialogueConf_1060001_name_337966742914_CN_Main</v>
      </c>
      <c r="E748" s="61" t="s">
        <v>2329</v>
      </c>
      <c r="F748" s="20" t="str">
        <f>VLOOKUP(G748,'#TID_base_up'!B:C,2,0)</f>
        <v>安德莉亚</v>
      </c>
      <c r="G748" s="61" t="s">
        <v>2335</v>
      </c>
      <c r="H748" s="61" t="s">
        <v>2331</v>
      </c>
      <c r="I748" s="61" t="str">
        <f>VLOOKUP(F748,'#对话模型配置'!A:O,15,FALSE)</f>
        <v>newbie_oversea_andrea</v>
      </c>
      <c r="J748" s="61" t="s">
        <v>2371</v>
      </c>
      <c r="K748" s="84" t="str">
        <f>AT748</f>
        <v>这些当地的朋友看来已经没法跟我们谈判了，先走吧。</v>
      </c>
      <c r="U748" s="61">
        <v>2</v>
      </c>
      <c r="V748" s="61">
        <v>0</v>
      </c>
      <c r="X748" s="61">
        <v>30011</v>
      </c>
      <c r="Y748" s="61" t="b">
        <v>1</v>
      </c>
      <c r="Z748" s="114" t="s">
        <v>2372</v>
      </c>
      <c r="AA748" s="61" t="b">
        <v>0</v>
      </c>
      <c r="AD748" s="61">
        <v>5.2293329238891602</v>
      </c>
      <c r="AE748" s="61">
        <f>AD748+1</f>
        <v>6.2293329238891602</v>
      </c>
      <c r="AH748" s="61">
        <v>0.1</v>
      </c>
      <c r="AI748" s="61">
        <v>1</v>
      </c>
      <c r="AL748" s="108">
        <v>35</v>
      </c>
      <c r="AT748" s="61" t="str">
        <f>IF($AU748="","",SUBSTITUTE(SUBSTITUTE(SUBSTITUTE(SUBSTITUTE($AU748,IF($AW748="","",$AW748),IF($AW748="","",CONCATENATE("&lt;color=#FFCC71&gt;",$AW748,"&lt;/color&gt;"))),IF($AX748="","",$AX748),IF($AX748="","",CONCATENATE("&lt;color=#FFCC71&gt;",$AX748,"&lt;/color&gt;"))),IF($AY748="","",$AY748),IF($AY748="","",CONCATENATE("&lt;color=#FFCC71&gt;",$AY748,"&lt;/color&gt;"))),IF($AZ748="","",$AZ748),IF($AZ748="","",CONCATENATE("&lt;color=#FFCC71&gt;",$AZ748,"&lt;/color&gt;"))))</f>
        <v>这些当地的朋友看来已经没法跟我们谈判了，先走吧。</v>
      </c>
      <c r="AU748" s="61" t="s">
        <v>2373</v>
      </c>
      <c r="AV748" s="114"/>
    </row>
    <row r="749" spans="1:49">
      <c r="A749" s="20">
        <v>1060664</v>
      </c>
      <c r="B749" s="20" t="s">
        <v>2738</v>
      </c>
      <c r="C749" s="20">
        <v>1</v>
      </c>
      <c r="E749" s="20" t="s">
        <v>2632</v>
      </c>
      <c r="F749" s="20" t="s">
        <v>2633</v>
      </c>
      <c r="G749" s="20" t="s">
        <v>2330</v>
      </c>
      <c r="H749" s="61" t="s">
        <v>2331</v>
      </c>
      <c r="I749" s="61" t="str">
        <f>VLOOKUP(F749,'#对话模型配置'!A:O,15,FALSE)</f>
        <v>newbie_oversea_axe</v>
      </c>
      <c r="J749" s="20" t="s">
        <v>2739</v>
      </c>
      <c r="K749" s="78" t="s">
        <v>2400</v>
      </c>
      <c r="U749" s="20">
        <v>2</v>
      </c>
      <c r="V749" s="20">
        <v>0</v>
      </c>
      <c r="X749" s="71">
        <v>30011</v>
      </c>
      <c r="Y749" s="71" t="b">
        <v>0</v>
      </c>
      <c r="Z749" s="20" t="s">
        <v>2740</v>
      </c>
      <c r="AA749" s="71" t="b">
        <v>0</v>
      </c>
      <c r="AD749" s="20">
        <v>4.2493958473205602</v>
      </c>
      <c r="AE749" s="20">
        <v>5</v>
      </c>
      <c r="AH749" s="61">
        <v>0.1</v>
      </c>
      <c r="AI749" s="61">
        <v>1</v>
      </c>
      <c r="AL749" s="108">
        <v>35</v>
      </c>
    </row>
    <row r="750" spans="1:49" ht="28.5">
      <c r="A750" s="20">
        <v>1060665</v>
      </c>
      <c r="B750" s="20" t="s">
        <v>2741</v>
      </c>
      <c r="C750" s="20">
        <v>1</v>
      </c>
      <c r="E750" s="20" t="s">
        <v>2632</v>
      </c>
      <c r="F750" s="20" t="s">
        <v>2637</v>
      </c>
      <c r="G750" s="20" t="str">
        <f>VLOOKUP(F750,'[1]#对话模型配置'!A:N,11,FALSE)</f>
        <v>TID_DialogueConf_1060001_name_337966742914_CN_Main</v>
      </c>
      <c r="H750" s="61" t="s">
        <v>2331</v>
      </c>
      <c r="I750" s="61" t="str">
        <f>VLOOKUP(F750,'#对话模型配置'!A:O,15,FALSE)</f>
        <v>newbie_oversea_andrea</v>
      </c>
      <c r="J750" s="20" t="s">
        <v>2742</v>
      </c>
      <c r="K750" s="127" t="s">
        <v>2743</v>
      </c>
      <c r="U750" s="20">
        <v>2</v>
      </c>
      <c r="V750" s="20">
        <v>0</v>
      </c>
      <c r="X750" s="71">
        <v>30011</v>
      </c>
      <c r="Y750" s="71" t="b">
        <v>0</v>
      </c>
      <c r="AA750" s="71" t="b">
        <v>0</v>
      </c>
      <c r="AE750" s="20">
        <f t="shared" ref="AE750:AE757" si="80">IF(LEN(K750)/5&lt;3,3,ROUND(LEN(K750)/5,0))</f>
        <v>6</v>
      </c>
      <c r="AH750" s="61">
        <v>0.1</v>
      </c>
      <c r="AI750" s="61">
        <v>1</v>
      </c>
      <c r="AL750" s="108">
        <v>35</v>
      </c>
    </row>
    <row r="751" spans="1:49" ht="14.5">
      <c r="A751" s="20">
        <v>1060665</v>
      </c>
      <c r="B751" s="20" t="s">
        <v>2741</v>
      </c>
      <c r="C751" s="20">
        <v>2</v>
      </c>
      <c r="E751" s="20" t="s">
        <v>2632</v>
      </c>
      <c r="F751" s="20" t="s">
        <v>2637</v>
      </c>
      <c r="G751" s="20" t="str">
        <f>VLOOKUP(F751,'[1]#对话模型配置'!A:N,11,FALSE)</f>
        <v>TID_DialogueConf_1060001_name_337966742914_CN_Main</v>
      </c>
      <c r="H751" s="61" t="s">
        <v>2331</v>
      </c>
      <c r="I751" s="61" t="str">
        <f>VLOOKUP(F751,'#对话模型配置'!A:O,15,FALSE)</f>
        <v>newbie_oversea_andrea</v>
      </c>
      <c r="J751" s="20" t="s">
        <v>2744</v>
      </c>
      <c r="K751" s="127" t="s">
        <v>2745</v>
      </c>
      <c r="U751" s="20">
        <v>2</v>
      </c>
      <c r="V751" s="20">
        <v>0</v>
      </c>
      <c r="X751" s="71">
        <v>30011</v>
      </c>
      <c r="Y751" s="71" t="b">
        <v>0</v>
      </c>
      <c r="AA751" s="71" t="b">
        <v>0</v>
      </c>
      <c r="AE751" s="20">
        <f t="shared" si="80"/>
        <v>6</v>
      </c>
      <c r="AH751" s="61">
        <v>0.1</v>
      </c>
      <c r="AI751" s="61">
        <v>1</v>
      </c>
      <c r="AL751" s="108">
        <v>35</v>
      </c>
    </row>
    <row r="752" spans="1:49" ht="28.5">
      <c r="A752" s="20">
        <v>1060666</v>
      </c>
      <c r="B752" s="20" t="s">
        <v>2746</v>
      </c>
      <c r="C752" s="20">
        <v>1</v>
      </c>
      <c r="E752" s="20" t="s">
        <v>2632</v>
      </c>
      <c r="F752" s="20" t="s">
        <v>2637</v>
      </c>
      <c r="G752" s="20" t="str">
        <f>VLOOKUP(F752,'[1]#对话模型配置'!A:N,11,FALSE)</f>
        <v>TID_DialogueConf_1060001_name_337966742914_CN_Main</v>
      </c>
      <c r="H752" s="61" t="s">
        <v>2331</v>
      </c>
      <c r="I752" s="61" t="str">
        <f>VLOOKUP(F752,'#对话模型配置'!A:O,15,FALSE)</f>
        <v>newbie_oversea_andrea</v>
      </c>
      <c r="J752" s="20" t="s">
        <v>2747</v>
      </c>
      <c r="K752" s="127" t="s">
        <v>2748</v>
      </c>
      <c r="U752" s="20">
        <v>2</v>
      </c>
      <c r="V752" s="20">
        <v>0</v>
      </c>
      <c r="X752" s="71">
        <v>30011</v>
      </c>
      <c r="Y752" s="71" t="b">
        <v>0</v>
      </c>
      <c r="AA752" s="71" t="b">
        <v>0</v>
      </c>
      <c r="AE752" s="20">
        <f t="shared" si="80"/>
        <v>8</v>
      </c>
      <c r="AH752" s="61">
        <v>0.1</v>
      </c>
      <c r="AI752" s="61">
        <v>1</v>
      </c>
      <c r="AL752" s="108">
        <v>35</v>
      </c>
    </row>
    <row r="753" spans="1:38" ht="14.5">
      <c r="A753" s="20">
        <v>1060666</v>
      </c>
      <c r="B753" s="20" t="s">
        <v>2746</v>
      </c>
      <c r="C753" s="20">
        <v>2</v>
      </c>
      <c r="E753" s="20" t="s">
        <v>2632</v>
      </c>
      <c r="F753" s="20" t="s">
        <v>2633</v>
      </c>
      <c r="G753" s="20" t="str">
        <f>VLOOKUP(F753,'[1]#对话模型配置'!A:N,11,FALSE)</f>
        <v>TID_DialogueConf_1060001_name_CN_Main</v>
      </c>
      <c r="H753" s="61" t="s">
        <v>2331</v>
      </c>
      <c r="I753" s="61" t="str">
        <f>VLOOKUP(F753,'#对话模型配置'!A:O,15,FALSE)</f>
        <v>newbie_oversea_axe</v>
      </c>
      <c r="J753" s="20" t="s">
        <v>2749</v>
      </c>
      <c r="K753" s="127" t="s">
        <v>2750</v>
      </c>
      <c r="U753" s="20">
        <v>2</v>
      </c>
      <c r="V753" s="20">
        <v>0</v>
      </c>
      <c r="X753" s="71">
        <v>30011</v>
      </c>
      <c r="Y753" s="71" t="b">
        <v>0</v>
      </c>
      <c r="AA753" s="71" t="b">
        <v>0</v>
      </c>
      <c r="AE753" s="20">
        <f t="shared" si="80"/>
        <v>5</v>
      </c>
      <c r="AH753" s="61">
        <v>0.1</v>
      </c>
      <c r="AI753" s="61">
        <v>1</v>
      </c>
      <c r="AL753" s="108">
        <v>35</v>
      </c>
    </row>
    <row r="754" spans="1:38" ht="14.5">
      <c r="A754" s="20">
        <v>1060667</v>
      </c>
      <c r="B754" s="20" t="s">
        <v>2751</v>
      </c>
      <c r="C754" s="20">
        <v>1</v>
      </c>
      <c r="E754" s="20" t="s">
        <v>2632</v>
      </c>
      <c r="F754" s="20" t="s">
        <v>2637</v>
      </c>
      <c r="G754" s="20" t="str">
        <f>VLOOKUP(F754,'[1]#对话模型配置'!A:N,11,FALSE)</f>
        <v>TID_DialogueConf_1060001_name_337966742914_CN_Main</v>
      </c>
      <c r="H754" s="61" t="s">
        <v>2331</v>
      </c>
      <c r="I754" s="61" t="str">
        <f>VLOOKUP(F754,'#对话模型配置'!A:O,15,FALSE)</f>
        <v>newbie_oversea_andrea</v>
      </c>
      <c r="J754" s="20" t="s">
        <v>2752</v>
      </c>
      <c r="K754" s="127" t="s">
        <v>2753</v>
      </c>
      <c r="U754" s="20">
        <v>2</v>
      </c>
      <c r="V754" s="20">
        <v>0</v>
      </c>
      <c r="X754" s="71">
        <v>30011</v>
      </c>
      <c r="Y754" s="71" t="b">
        <v>0</v>
      </c>
      <c r="AA754" s="71" t="b">
        <v>0</v>
      </c>
      <c r="AE754" s="20">
        <f t="shared" si="80"/>
        <v>5</v>
      </c>
      <c r="AH754" s="61">
        <v>0.1</v>
      </c>
      <c r="AI754" s="61">
        <v>1</v>
      </c>
      <c r="AL754" s="108">
        <v>35</v>
      </c>
    </row>
    <row r="755" spans="1:38" ht="14.5">
      <c r="A755" s="20">
        <v>1060667</v>
      </c>
      <c r="B755" s="20" t="s">
        <v>2751</v>
      </c>
      <c r="C755" s="20">
        <v>2</v>
      </c>
      <c r="E755" s="20" t="s">
        <v>2632</v>
      </c>
      <c r="F755" s="20" t="s">
        <v>2633</v>
      </c>
      <c r="G755" s="20" t="str">
        <f>VLOOKUP(F755,'[1]#对话模型配置'!A:N,11,FALSE)</f>
        <v>TID_DialogueConf_1060001_name_CN_Main</v>
      </c>
      <c r="H755" s="61" t="s">
        <v>2331</v>
      </c>
      <c r="I755" s="61" t="str">
        <f>VLOOKUP(F755,'#对话模型配置'!A:O,15,FALSE)</f>
        <v>newbie_oversea_axe</v>
      </c>
      <c r="J755" s="20" t="s">
        <v>2754</v>
      </c>
      <c r="K755" s="127" t="s">
        <v>2755</v>
      </c>
      <c r="U755" s="20">
        <v>2</v>
      </c>
      <c r="V755" s="20">
        <v>0</v>
      </c>
      <c r="X755" s="71">
        <v>30011</v>
      </c>
      <c r="Y755" s="71" t="b">
        <v>0</v>
      </c>
      <c r="AA755" s="71" t="b">
        <v>0</v>
      </c>
      <c r="AE755" s="20">
        <f t="shared" si="80"/>
        <v>4</v>
      </c>
      <c r="AH755" s="61">
        <v>0.1</v>
      </c>
      <c r="AI755" s="61">
        <v>1</v>
      </c>
      <c r="AL755" s="108">
        <v>35</v>
      </c>
    </row>
    <row r="756" spans="1:38" ht="14.5">
      <c r="A756" s="20">
        <v>1060667</v>
      </c>
      <c r="B756" s="20" t="s">
        <v>2751</v>
      </c>
      <c r="C756" s="20">
        <v>3</v>
      </c>
      <c r="E756" s="20" t="s">
        <v>2632</v>
      </c>
      <c r="F756" s="20" t="s">
        <v>2637</v>
      </c>
      <c r="G756" s="20" t="str">
        <f>VLOOKUP(F756,'[1]#对话模型配置'!A:N,11,FALSE)</f>
        <v>TID_DialogueConf_1060001_name_337966742914_CN_Main</v>
      </c>
      <c r="H756" s="61" t="s">
        <v>2331</v>
      </c>
      <c r="I756" s="61" t="str">
        <f>VLOOKUP(F756,'#对话模型配置'!A:O,15,FALSE)</f>
        <v>newbie_oversea_andrea</v>
      </c>
      <c r="J756" s="20" t="s">
        <v>2756</v>
      </c>
      <c r="K756" s="127" t="s">
        <v>2757</v>
      </c>
      <c r="U756" s="20">
        <v>2</v>
      </c>
      <c r="V756" s="20">
        <v>0</v>
      </c>
      <c r="X756" s="71">
        <v>30011</v>
      </c>
      <c r="Y756" s="71" t="b">
        <v>0</v>
      </c>
      <c r="AA756" s="71" t="b">
        <v>0</v>
      </c>
      <c r="AE756" s="20">
        <f t="shared" si="80"/>
        <v>3</v>
      </c>
      <c r="AH756" s="61">
        <v>0.1</v>
      </c>
      <c r="AI756" s="61">
        <v>1</v>
      </c>
      <c r="AL756" s="108">
        <v>35</v>
      </c>
    </row>
    <row r="757" spans="1:38" ht="14.5">
      <c r="A757" s="20">
        <v>1060667</v>
      </c>
      <c r="B757" s="20" t="s">
        <v>2751</v>
      </c>
      <c r="C757" s="20">
        <v>4</v>
      </c>
      <c r="E757" s="20" t="s">
        <v>2632</v>
      </c>
      <c r="F757" s="20" t="s">
        <v>2633</v>
      </c>
      <c r="G757" s="20" t="str">
        <f>VLOOKUP(F757,'[1]#对话模型配置'!A:N,11,FALSE)</f>
        <v>TID_DialogueConf_1060001_name_CN_Main</v>
      </c>
      <c r="H757" s="61" t="s">
        <v>2331</v>
      </c>
      <c r="I757" s="61" t="str">
        <f>VLOOKUP(F757,'#对话模型配置'!A:O,15,FALSE)</f>
        <v>newbie_oversea_axe</v>
      </c>
      <c r="J757" s="20" t="s">
        <v>2758</v>
      </c>
      <c r="K757" s="127" t="s">
        <v>2759</v>
      </c>
      <c r="U757" s="20">
        <v>2</v>
      </c>
      <c r="V757" s="20">
        <v>0</v>
      </c>
      <c r="X757" s="71">
        <v>30011</v>
      </c>
      <c r="Y757" s="71" t="b">
        <v>0</v>
      </c>
      <c r="AA757" s="71" t="b">
        <v>0</v>
      </c>
      <c r="AE757" s="20">
        <f t="shared" si="80"/>
        <v>3</v>
      </c>
      <c r="AH757" s="61">
        <v>0.1</v>
      </c>
      <c r="AI757" s="61">
        <v>1</v>
      </c>
      <c r="AL757" s="108">
        <v>35</v>
      </c>
    </row>
    <row r="758" spans="1:38" ht="14.5">
      <c r="A758" s="20">
        <v>1060668</v>
      </c>
      <c r="B758" s="20" t="s">
        <v>2760</v>
      </c>
      <c r="C758" s="20">
        <v>1</v>
      </c>
      <c r="E758" s="20" t="s">
        <v>2632</v>
      </c>
      <c r="F758" s="20" t="s">
        <v>2761</v>
      </c>
      <c r="G758" s="20" t="str">
        <f>VLOOKUP(F758,'[1]#对话模型配置'!A:N,11,FALSE)</f>
        <v>TID_Name_shibing_CN_Main</v>
      </c>
      <c r="H758" s="61" t="s">
        <v>2331</v>
      </c>
      <c r="I758" s="61" t="str">
        <f>VLOOKUP(F758,'#对话模型配置'!A:O,15,FALSE)</f>
        <v>newbie_oversea_leo</v>
      </c>
      <c r="J758" s="20" t="s">
        <v>2762</v>
      </c>
      <c r="K758" s="127" t="s">
        <v>2763</v>
      </c>
      <c r="U758" s="20">
        <v>2</v>
      </c>
      <c r="V758" s="20">
        <v>0</v>
      </c>
      <c r="X758" s="71">
        <v>30011</v>
      </c>
      <c r="Y758" s="71" t="b">
        <v>0</v>
      </c>
      <c r="Z758" s="20" t="s">
        <v>2764</v>
      </c>
      <c r="AA758" s="71" t="b">
        <v>0</v>
      </c>
      <c r="AD758" s="20">
        <v>3.21060395240784</v>
      </c>
      <c r="AE758" s="61">
        <f t="shared" ref="AE758:AE782" si="81">AD758+1</f>
        <v>4.2106039524078405</v>
      </c>
      <c r="AF758" s="61"/>
      <c r="AG758" s="61"/>
      <c r="AH758" s="61">
        <v>0.1</v>
      </c>
      <c r="AI758" s="61">
        <v>1</v>
      </c>
      <c r="AL758" s="108">
        <v>35</v>
      </c>
    </row>
    <row r="759" spans="1:38" ht="14.5">
      <c r="A759" s="20">
        <v>1060669</v>
      </c>
      <c r="B759" s="20" t="s">
        <v>2760</v>
      </c>
      <c r="C759" s="20">
        <v>1</v>
      </c>
      <c r="E759" s="20" t="s">
        <v>2632</v>
      </c>
      <c r="F759" s="20" t="s">
        <v>2761</v>
      </c>
      <c r="G759" s="20" t="str">
        <f>VLOOKUP(F759,'[1]#对话模型配置'!A:N,11,FALSE)</f>
        <v>TID_Name_shibing_CN_Main</v>
      </c>
      <c r="H759" s="61" t="s">
        <v>2331</v>
      </c>
      <c r="I759" s="61" t="str">
        <f>VLOOKUP(F759,'#对话模型配置'!A:O,15,FALSE)</f>
        <v>newbie_oversea_leo</v>
      </c>
      <c r="J759" s="20" t="s">
        <v>2765</v>
      </c>
      <c r="K759" s="127" t="s">
        <v>2766</v>
      </c>
      <c r="U759" s="20">
        <v>2</v>
      </c>
      <c r="V759" s="20">
        <v>0</v>
      </c>
      <c r="X759" s="71">
        <v>30011</v>
      </c>
      <c r="Y759" s="71" t="b">
        <v>0</v>
      </c>
      <c r="Z759" s="20" t="s">
        <v>2767</v>
      </c>
      <c r="AA759" s="71" t="b">
        <v>0</v>
      </c>
      <c r="AD759" s="20">
        <v>2.4235000610351598</v>
      </c>
      <c r="AE759" s="61">
        <f t="shared" si="81"/>
        <v>3.4235000610351598</v>
      </c>
      <c r="AF759" s="61"/>
      <c r="AG759" s="61"/>
      <c r="AH759" s="61">
        <v>0.1</v>
      </c>
      <c r="AI759" s="61">
        <v>1</v>
      </c>
      <c r="AL759" s="108">
        <v>35</v>
      </c>
    </row>
    <row r="760" spans="1:38" ht="14.5">
      <c r="A760" s="20">
        <v>1060670</v>
      </c>
      <c r="B760" s="20" t="s">
        <v>2760</v>
      </c>
      <c r="C760" s="20">
        <v>1</v>
      </c>
      <c r="E760" s="20" t="s">
        <v>2632</v>
      </c>
      <c r="F760" s="20" t="s">
        <v>2768</v>
      </c>
      <c r="G760" s="20" t="str">
        <f>VLOOKUP(F760,'[1]#对话模型配置'!A:N,11,FALSE)</f>
        <v>TID_Name_mengduke_CN_Main</v>
      </c>
      <c r="H760" s="61" t="s">
        <v>2331</v>
      </c>
      <c r="I760" s="61" t="str">
        <f>VLOOKUP(F760,'#对话模型配置'!A:O,15,FALSE)</f>
        <v>newbie_oversea_monduk</v>
      </c>
      <c r="J760" s="20" t="s">
        <v>2769</v>
      </c>
      <c r="K760" s="127" t="s">
        <v>2770</v>
      </c>
      <c r="U760" s="20">
        <v>2</v>
      </c>
      <c r="V760" s="20">
        <v>0</v>
      </c>
      <c r="X760" s="71">
        <v>30011</v>
      </c>
      <c r="Y760" s="71" t="b">
        <v>0</v>
      </c>
      <c r="Z760" s="20" t="s">
        <v>2771</v>
      </c>
      <c r="AA760" s="71" t="b">
        <v>0</v>
      </c>
      <c r="AD760" s="20">
        <v>4.7744159698486301</v>
      </c>
      <c r="AE760" s="61">
        <f t="shared" si="81"/>
        <v>5.7744159698486301</v>
      </c>
      <c r="AF760" s="61"/>
      <c r="AG760" s="61"/>
      <c r="AH760" s="61">
        <v>0.1</v>
      </c>
      <c r="AI760" s="61">
        <v>1</v>
      </c>
      <c r="AL760" s="108">
        <v>35</v>
      </c>
    </row>
    <row r="761" spans="1:38" ht="14.5">
      <c r="A761" s="20">
        <v>1060670</v>
      </c>
      <c r="B761" s="20" t="s">
        <v>2760</v>
      </c>
      <c r="C761" s="20">
        <v>2</v>
      </c>
      <c r="E761" s="20" t="s">
        <v>2632</v>
      </c>
      <c r="F761" s="20" t="s">
        <v>2768</v>
      </c>
      <c r="G761" s="20" t="str">
        <f>VLOOKUP(F761,'[1]#对话模型配置'!A:N,11,FALSE)</f>
        <v>TID_Name_mengduke_CN_Main</v>
      </c>
      <c r="H761" s="61" t="s">
        <v>2331</v>
      </c>
      <c r="I761" s="61" t="str">
        <f>VLOOKUP(F761,'#对话模型配置'!A:O,15,FALSE)</f>
        <v>newbie_oversea_monduk</v>
      </c>
      <c r="J761" s="20" t="s">
        <v>2772</v>
      </c>
      <c r="K761" s="127" t="s">
        <v>2773</v>
      </c>
      <c r="U761" s="20">
        <v>2</v>
      </c>
      <c r="V761" s="20">
        <v>0</v>
      </c>
      <c r="X761" s="71">
        <v>30011</v>
      </c>
      <c r="Y761" s="71" t="b">
        <v>0</v>
      </c>
      <c r="Z761" s="20" t="s">
        <v>2774</v>
      </c>
      <c r="AA761" s="71" t="b">
        <v>0</v>
      </c>
      <c r="AD761" s="20">
        <v>6.5257711410522496</v>
      </c>
      <c r="AE761" s="61">
        <f t="shared" si="81"/>
        <v>7.5257711410522496</v>
      </c>
      <c r="AF761" s="61"/>
      <c r="AG761" s="61"/>
      <c r="AH761" s="61">
        <v>0.1</v>
      </c>
      <c r="AI761" s="61">
        <v>1</v>
      </c>
      <c r="AL761" s="108">
        <v>35</v>
      </c>
    </row>
    <row r="762" spans="1:38" ht="28.5" customHeight="1">
      <c r="A762" s="20">
        <v>1060670</v>
      </c>
      <c r="B762" s="20" t="s">
        <v>2760</v>
      </c>
      <c r="C762" s="20">
        <v>3</v>
      </c>
      <c r="E762" s="20" t="s">
        <v>2632</v>
      </c>
      <c r="F762" s="20" t="s">
        <v>2775</v>
      </c>
      <c r="G762" s="20" t="str">
        <f>VLOOKUP(F762,'[1]#对话模型配置'!A:N,11,FALSE)</f>
        <v>TID_Name_tuerkan_CN_Main</v>
      </c>
      <c r="H762" s="61" t="s">
        <v>2331</v>
      </c>
      <c r="I762" s="61" t="str">
        <f>VLOOKUP(F762,'#对话模型配置'!A:O,15,FALSE)</f>
        <v>newbie_oversea_enemy</v>
      </c>
      <c r="J762" s="20" t="s">
        <v>2776</v>
      </c>
      <c r="K762" s="127" t="s">
        <v>2777</v>
      </c>
      <c r="U762" s="20">
        <v>2</v>
      </c>
      <c r="V762" s="20">
        <v>0</v>
      </c>
      <c r="X762" s="71">
        <v>30011</v>
      </c>
      <c r="Y762" s="71" t="b">
        <v>0</v>
      </c>
      <c r="Z762" s="20" t="s">
        <v>2778</v>
      </c>
      <c r="AA762" s="71" t="b">
        <v>0</v>
      </c>
      <c r="AD762" s="20">
        <v>0.978978991508484</v>
      </c>
      <c r="AE762" s="61">
        <f t="shared" si="81"/>
        <v>1.9789789915084839</v>
      </c>
      <c r="AF762" s="61"/>
      <c r="AG762" s="61"/>
      <c r="AH762" s="61">
        <v>0.1</v>
      </c>
      <c r="AI762" s="61">
        <v>1</v>
      </c>
      <c r="AL762" s="108">
        <v>35</v>
      </c>
    </row>
    <row r="763" spans="1:38" ht="14.5">
      <c r="A763" s="20">
        <v>2060673</v>
      </c>
      <c r="B763" s="20" t="s">
        <v>2779</v>
      </c>
      <c r="C763" s="20">
        <v>1</v>
      </c>
      <c r="E763" s="20" t="s">
        <v>2632</v>
      </c>
      <c r="F763" s="20" t="s">
        <v>2637</v>
      </c>
      <c r="G763" s="20" t="str">
        <f>VLOOKUP(F763,'[1]#对话模型配置'!A:N,11,FALSE)</f>
        <v>TID_DialogueConf_1060001_name_337966742914_CN_Main</v>
      </c>
      <c r="H763" s="61" t="s">
        <v>2331</v>
      </c>
      <c r="I763" s="61" t="str">
        <f>VLOOKUP(F763,'#对话模型配置'!A:O,15,FALSE)</f>
        <v>newbie_oversea_andrea</v>
      </c>
      <c r="J763" s="20" t="s">
        <v>2780</v>
      </c>
      <c r="K763" s="127" t="s">
        <v>2781</v>
      </c>
      <c r="U763" s="20">
        <v>2</v>
      </c>
      <c r="V763" s="20">
        <v>0</v>
      </c>
      <c r="X763" s="71">
        <v>30011</v>
      </c>
      <c r="Y763" s="71" t="b">
        <v>0</v>
      </c>
      <c r="Z763" s="20" t="s">
        <v>2782</v>
      </c>
      <c r="AA763" s="71" t="b">
        <v>0</v>
      </c>
      <c r="AD763" s="20">
        <v>4.5804581642150897</v>
      </c>
      <c r="AE763" s="61">
        <f t="shared" si="81"/>
        <v>5.5804581642150897</v>
      </c>
      <c r="AF763" s="61"/>
      <c r="AG763" s="61"/>
      <c r="AH763" s="61">
        <v>0.1</v>
      </c>
      <c r="AI763" s="61">
        <v>1</v>
      </c>
      <c r="AL763" s="108">
        <v>35</v>
      </c>
    </row>
    <row r="764" spans="1:38" ht="14.5">
      <c r="A764" s="20">
        <v>2060673</v>
      </c>
      <c r="B764" s="20" t="s">
        <v>2779</v>
      </c>
      <c r="C764" s="20">
        <v>2</v>
      </c>
      <c r="E764" s="20" t="s">
        <v>2632</v>
      </c>
      <c r="F764" s="20" t="s">
        <v>2633</v>
      </c>
      <c r="G764" s="20" t="str">
        <f>VLOOKUP(F764,'[1]#对话模型配置'!A:N,11,FALSE)</f>
        <v>TID_DialogueConf_1060001_name_CN_Main</v>
      </c>
      <c r="H764" s="61" t="s">
        <v>2331</v>
      </c>
      <c r="I764" s="61" t="str">
        <f>VLOOKUP(F764,'#对话模型配置'!A:O,15,FALSE)</f>
        <v>newbie_oversea_axe</v>
      </c>
      <c r="J764" s="20" t="s">
        <v>2783</v>
      </c>
      <c r="K764" s="127" t="s">
        <v>2784</v>
      </c>
      <c r="U764" s="20">
        <v>2</v>
      </c>
      <c r="V764" s="20">
        <v>0</v>
      </c>
      <c r="X764" s="71">
        <v>30011</v>
      </c>
      <c r="Y764" s="71" t="b">
        <v>0</v>
      </c>
      <c r="Z764" s="20" t="s">
        <v>2785</v>
      </c>
      <c r="AA764" s="71" t="b">
        <v>0</v>
      </c>
      <c r="AD764" s="20">
        <v>4.3931250572204599</v>
      </c>
      <c r="AE764" s="61">
        <f t="shared" si="81"/>
        <v>5.3931250572204599</v>
      </c>
      <c r="AF764" s="61"/>
      <c r="AG764" s="61"/>
      <c r="AH764" s="61">
        <v>0.1</v>
      </c>
      <c r="AI764" s="61">
        <v>1</v>
      </c>
      <c r="AL764" s="108">
        <v>35</v>
      </c>
    </row>
    <row r="765" spans="1:38" ht="28.5">
      <c r="A765" s="20">
        <v>1060673</v>
      </c>
      <c r="B765" s="20" t="s">
        <v>2779</v>
      </c>
      <c r="C765" s="20">
        <v>1</v>
      </c>
      <c r="E765" s="20" t="s">
        <v>2632</v>
      </c>
      <c r="F765" s="20" t="s">
        <v>2637</v>
      </c>
      <c r="G765" s="20" t="str">
        <f>VLOOKUP(F765,'[1]#对话模型配置'!A:N,11,FALSE)</f>
        <v>TID_DialogueConf_1060001_name_337966742914_CN_Main</v>
      </c>
      <c r="H765" s="61" t="s">
        <v>2331</v>
      </c>
      <c r="I765" s="61" t="str">
        <f>VLOOKUP(F765,'#对话模型配置'!A:O,15,FALSE)</f>
        <v>newbie_oversea_andrea</v>
      </c>
      <c r="J765" s="20" t="s">
        <v>2786</v>
      </c>
      <c r="K765" s="127" t="s">
        <v>2787</v>
      </c>
      <c r="U765" s="20">
        <v>2</v>
      </c>
      <c r="V765" s="20">
        <v>0</v>
      </c>
      <c r="X765" s="71">
        <v>30011</v>
      </c>
      <c r="Y765" s="71" t="b">
        <v>0</v>
      </c>
      <c r="Z765" s="20" t="s">
        <v>2788</v>
      </c>
      <c r="AA765" s="71" t="b">
        <v>0</v>
      </c>
      <c r="AD765" s="20">
        <v>9.5914583206176793</v>
      </c>
      <c r="AE765" s="61">
        <f t="shared" si="81"/>
        <v>10.591458320617679</v>
      </c>
      <c r="AF765" s="61"/>
      <c r="AG765" s="61"/>
      <c r="AH765" s="61">
        <v>0.1</v>
      </c>
      <c r="AI765" s="61">
        <v>1</v>
      </c>
      <c r="AL765" s="108">
        <v>35</v>
      </c>
    </row>
    <row r="766" spans="1:38" ht="14.5">
      <c r="A766" s="20">
        <v>2060676</v>
      </c>
      <c r="B766" s="20" t="s">
        <v>2789</v>
      </c>
      <c r="C766" s="20">
        <v>1</v>
      </c>
      <c r="E766" s="20" t="s">
        <v>2632</v>
      </c>
      <c r="F766" s="20" t="s">
        <v>2633</v>
      </c>
      <c r="G766" s="20" t="str">
        <f>VLOOKUP(F766,'[1]#对话模型配置'!A:N,11,FALSE)</f>
        <v>TID_DialogueConf_1060001_name_CN_Main</v>
      </c>
      <c r="H766" s="61" t="s">
        <v>2331</v>
      </c>
      <c r="I766" s="61" t="str">
        <f>VLOOKUP(F766,'#对话模型配置'!A:O,15,FALSE)</f>
        <v>newbie_oversea_axe</v>
      </c>
      <c r="J766" s="20" t="s">
        <v>2790</v>
      </c>
      <c r="K766" s="127" t="s">
        <v>2791</v>
      </c>
      <c r="U766" s="20">
        <v>2</v>
      </c>
      <c r="V766" s="20">
        <v>0</v>
      </c>
      <c r="X766" s="71">
        <v>30011</v>
      </c>
      <c r="Y766" s="71" t="b">
        <v>0</v>
      </c>
      <c r="Z766" s="20" t="s">
        <v>2792</v>
      </c>
      <c r="AA766" s="71" t="b">
        <v>0</v>
      </c>
      <c r="AD766" s="20">
        <v>1.9570000171661399</v>
      </c>
      <c r="AE766" s="61">
        <f t="shared" si="81"/>
        <v>2.9570000171661399</v>
      </c>
      <c r="AF766" s="61"/>
      <c r="AG766" s="61"/>
      <c r="AH766" s="61">
        <v>0.1</v>
      </c>
      <c r="AI766" s="61">
        <v>1</v>
      </c>
      <c r="AL766" s="108">
        <v>35</v>
      </c>
    </row>
    <row r="767" spans="1:38" ht="28.5">
      <c r="A767" s="20">
        <v>1060676</v>
      </c>
      <c r="B767" s="20" t="s">
        <v>2789</v>
      </c>
      <c r="C767" s="20">
        <v>1</v>
      </c>
      <c r="E767" s="20" t="s">
        <v>2632</v>
      </c>
      <c r="F767" s="20" t="s">
        <v>2793</v>
      </c>
      <c r="G767" s="20" t="str">
        <f>VLOOKUP(F767,'[1]#对话模型配置'!A:N,11,FALSE)</f>
        <v>TID_DialogueConf_1060715_name_CN_Main</v>
      </c>
      <c r="H767" s="61" t="s">
        <v>2331</v>
      </c>
      <c r="I767" s="61" t="str">
        <f>VLOOKUP(F767,'#对话模型配置'!A:O,15,FALSE)</f>
        <v>newbie_oversea_joa</v>
      </c>
      <c r="J767" s="20" t="s">
        <v>2794</v>
      </c>
      <c r="K767" s="127" t="s">
        <v>2795</v>
      </c>
      <c r="U767" s="20">
        <v>2</v>
      </c>
      <c r="V767" s="20">
        <v>0</v>
      </c>
      <c r="X767" s="71">
        <v>30011</v>
      </c>
      <c r="Y767" s="71" t="b">
        <v>0</v>
      </c>
      <c r="Z767" s="20" t="s">
        <v>2796</v>
      </c>
      <c r="AA767" s="71" t="b">
        <v>0</v>
      </c>
      <c r="AD767" s="20">
        <v>9.8592081069946307</v>
      </c>
      <c r="AE767" s="61">
        <f t="shared" si="81"/>
        <v>10.859208106994631</v>
      </c>
      <c r="AF767" s="61"/>
      <c r="AG767" s="61"/>
      <c r="AH767" s="61">
        <v>0.1</v>
      </c>
      <c r="AI767" s="61">
        <v>1</v>
      </c>
      <c r="AL767" s="108">
        <v>35</v>
      </c>
    </row>
    <row r="768" spans="1:38" ht="28.5">
      <c r="A768" s="20">
        <v>1060676</v>
      </c>
      <c r="B768" s="20" t="s">
        <v>2789</v>
      </c>
      <c r="C768" s="20">
        <v>2</v>
      </c>
      <c r="E768" s="20" t="s">
        <v>2632</v>
      </c>
      <c r="F768" s="20" t="s">
        <v>2793</v>
      </c>
      <c r="G768" s="20" t="str">
        <f>VLOOKUP(F768,'[1]#对话模型配置'!A:N,11,FALSE)</f>
        <v>TID_DialogueConf_1060715_name_CN_Main</v>
      </c>
      <c r="H768" s="61" t="s">
        <v>2331</v>
      </c>
      <c r="I768" s="61" t="str">
        <f>VLOOKUP(F768,'#对话模型配置'!A:O,15,FALSE)</f>
        <v>newbie_oversea_joa</v>
      </c>
      <c r="J768" s="20" t="s">
        <v>2797</v>
      </c>
      <c r="K768" s="127" t="s">
        <v>2798</v>
      </c>
      <c r="U768" s="20">
        <v>2</v>
      </c>
      <c r="V768" s="20">
        <v>0</v>
      </c>
      <c r="X768" s="71">
        <v>30011</v>
      </c>
      <c r="Y768" s="71" t="b">
        <v>0</v>
      </c>
      <c r="Z768" s="20" t="s">
        <v>2799</v>
      </c>
      <c r="AA768" s="71" t="b">
        <v>0</v>
      </c>
      <c r="AD768" s="20">
        <v>6.3817501068115199</v>
      </c>
      <c r="AE768" s="61">
        <f t="shared" si="81"/>
        <v>7.3817501068115199</v>
      </c>
      <c r="AF768" s="61"/>
      <c r="AG768" s="61"/>
      <c r="AH768" s="61">
        <v>0.1</v>
      </c>
      <c r="AI768" s="61">
        <v>1</v>
      </c>
      <c r="AL768" s="108">
        <v>35</v>
      </c>
    </row>
    <row r="769" spans="1:38" ht="14.5">
      <c r="A769" s="20">
        <v>1060677</v>
      </c>
      <c r="B769" s="20" t="s">
        <v>2789</v>
      </c>
      <c r="C769" s="20">
        <v>1</v>
      </c>
      <c r="E769" s="20" t="s">
        <v>2632</v>
      </c>
      <c r="F769" s="20" t="s">
        <v>2775</v>
      </c>
      <c r="G769" s="20" t="str">
        <f>VLOOKUP(F769,'[1]#对话模型配置'!A:N,11,FALSE)</f>
        <v>TID_Name_tuerkan_CN_Main</v>
      </c>
      <c r="H769" s="61" t="s">
        <v>2331</v>
      </c>
      <c r="I769" s="61" t="str">
        <f>VLOOKUP(F769,'#对话模型配置'!A:O,15,FALSE)</f>
        <v>newbie_oversea_enemy</v>
      </c>
      <c r="J769" s="20" t="s">
        <v>2800</v>
      </c>
      <c r="K769" s="127" t="s">
        <v>2801</v>
      </c>
      <c r="U769" s="20">
        <v>2</v>
      </c>
      <c r="V769" s="20">
        <v>0</v>
      </c>
      <c r="X769" s="71">
        <v>30011</v>
      </c>
      <c r="Y769" s="71" t="b">
        <v>0</v>
      </c>
      <c r="Z769" s="20" t="s">
        <v>2802</v>
      </c>
      <c r="AA769" s="71" t="b">
        <v>0</v>
      </c>
      <c r="AD769" s="20">
        <v>2.2909369468689</v>
      </c>
      <c r="AE769" s="61">
        <f t="shared" si="81"/>
        <v>3.2909369468689</v>
      </c>
      <c r="AF769" s="61"/>
      <c r="AG769" s="61"/>
      <c r="AH769" s="61">
        <v>0.1</v>
      </c>
      <c r="AI769" s="61">
        <v>1</v>
      </c>
      <c r="AL769" s="108">
        <v>35</v>
      </c>
    </row>
    <row r="770" spans="1:38" ht="14.5">
      <c r="A770" s="20">
        <v>1060681</v>
      </c>
      <c r="B770" s="20" t="s">
        <v>2803</v>
      </c>
      <c r="C770" s="20">
        <v>1</v>
      </c>
      <c r="E770" s="20" t="s">
        <v>2632</v>
      </c>
      <c r="F770" s="20" t="s">
        <v>2793</v>
      </c>
      <c r="G770" s="20" t="str">
        <f>VLOOKUP(F770,'[1]#对话模型配置'!A:N,11,FALSE)</f>
        <v>TID_DialogueConf_1060715_name_CN_Main</v>
      </c>
      <c r="H770" s="61" t="s">
        <v>2331</v>
      </c>
      <c r="I770" s="61" t="str">
        <f>VLOOKUP(F770,'#对话模型配置'!A:O,15,FALSE)</f>
        <v>newbie_oversea_joa</v>
      </c>
      <c r="J770" s="20" t="s">
        <v>2804</v>
      </c>
      <c r="K770" s="127" t="s">
        <v>2805</v>
      </c>
      <c r="U770" s="20">
        <v>2</v>
      </c>
      <c r="V770" s="20">
        <v>0</v>
      </c>
      <c r="X770" s="71">
        <v>30011</v>
      </c>
      <c r="Y770" s="71" t="b">
        <v>0</v>
      </c>
      <c r="Z770" s="20" t="s">
        <v>2806</v>
      </c>
      <c r="AA770" s="71" t="b">
        <v>0</v>
      </c>
      <c r="AD770" s="20">
        <v>2.3827710151672399</v>
      </c>
      <c r="AE770" s="61">
        <f t="shared" si="81"/>
        <v>3.3827710151672399</v>
      </c>
      <c r="AF770" s="61"/>
      <c r="AG770" s="61"/>
      <c r="AH770" s="61">
        <v>0.1</v>
      </c>
      <c r="AI770" s="61">
        <v>1</v>
      </c>
      <c r="AL770" s="108">
        <v>35</v>
      </c>
    </row>
    <row r="771" spans="1:38" ht="14.5">
      <c r="A771" s="20">
        <v>1060681</v>
      </c>
      <c r="B771" s="20" t="s">
        <v>2803</v>
      </c>
      <c r="C771" s="20">
        <v>2</v>
      </c>
      <c r="E771" s="20" t="s">
        <v>2632</v>
      </c>
      <c r="F771" s="20" t="s">
        <v>2637</v>
      </c>
      <c r="G771" s="20" t="str">
        <f>VLOOKUP(F771,'[1]#对话模型配置'!A:N,11,FALSE)</f>
        <v>TID_DialogueConf_1060001_name_337966742914_CN_Main</v>
      </c>
      <c r="H771" s="61" t="s">
        <v>2331</v>
      </c>
      <c r="I771" s="61" t="str">
        <f>VLOOKUP(F771,'#对话模型配置'!A:O,15,FALSE)</f>
        <v>newbie_oversea_andrea</v>
      </c>
      <c r="J771" s="20" t="s">
        <v>2807</v>
      </c>
      <c r="K771" s="127" t="s">
        <v>2808</v>
      </c>
      <c r="U771" s="20">
        <v>2</v>
      </c>
      <c r="V771" s="20">
        <v>0</v>
      </c>
      <c r="X771" s="71">
        <v>30011</v>
      </c>
      <c r="Y771" s="71" t="b">
        <v>0</v>
      </c>
      <c r="Z771" s="20" t="s">
        <v>2809</v>
      </c>
      <c r="AA771" s="71" t="b">
        <v>0</v>
      </c>
      <c r="AD771" s="20">
        <v>1.8981670141220099</v>
      </c>
      <c r="AE771" s="61">
        <f t="shared" si="81"/>
        <v>2.8981670141220102</v>
      </c>
      <c r="AF771" s="61"/>
      <c r="AG771" s="61"/>
      <c r="AH771" s="61">
        <v>0.1</v>
      </c>
      <c r="AI771" s="61">
        <v>1</v>
      </c>
      <c r="AL771" s="108">
        <v>35</v>
      </c>
    </row>
    <row r="772" spans="1:38" ht="28.5">
      <c r="A772" s="20">
        <v>1060681</v>
      </c>
      <c r="B772" s="20" t="s">
        <v>2803</v>
      </c>
      <c r="C772" s="20">
        <v>3</v>
      </c>
      <c r="E772" s="20" t="s">
        <v>2632</v>
      </c>
      <c r="F772" s="20" t="s">
        <v>2793</v>
      </c>
      <c r="G772" s="20" t="str">
        <f>VLOOKUP(F772,'[1]#对话模型配置'!A:N,11,FALSE)</f>
        <v>TID_DialogueConf_1060715_name_CN_Main</v>
      </c>
      <c r="H772" s="61" t="s">
        <v>2331</v>
      </c>
      <c r="I772" s="61" t="str">
        <f>VLOOKUP(F772,'#对话模型配置'!A:O,15,FALSE)</f>
        <v>newbie_oversea_joa</v>
      </c>
      <c r="J772" s="20" t="s">
        <v>2810</v>
      </c>
      <c r="K772" s="127" t="s">
        <v>2811</v>
      </c>
      <c r="U772" s="20">
        <v>2</v>
      </c>
      <c r="V772" s="20">
        <v>0</v>
      </c>
      <c r="X772" s="71">
        <v>30011</v>
      </c>
      <c r="Y772" s="71" t="b">
        <v>0</v>
      </c>
      <c r="Z772" s="20" t="s">
        <v>2812</v>
      </c>
      <c r="AA772" s="71" t="b">
        <v>0</v>
      </c>
      <c r="AD772" s="20">
        <v>6.9885630607604998</v>
      </c>
      <c r="AE772" s="61">
        <f t="shared" si="81"/>
        <v>7.9885630607604998</v>
      </c>
      <c r="AF772" s="61"/>
      <c r="AG772" s="61"/>
      <c r="AH772" s="61">
        <v>0.1</v>
      </c>
      <c r="AI772" s="61">
        <v>1</v>
      </c>
      <c r="AL772" s="108">
        <v>35</v>
      </c>
    </row>
    <row r="773" spans="1:38" ht="14.5">
      <c r="A773" s="20">
        <v>1060681</v>
      </c>
      <c r="B773" s="20" t="s">
        <v>2803</v>
      </c>
      <c r="C773" s="20">
        <v>4</v>
      </c>
      <c r="E773" s="20" t="s">
        <v>2632</v>
      </c>
      <c r="F773" s="20" t="s">
        <v>2637</v>
      </c>
      <c r="G773" s="20" t="str">
        <f>VLOOKUP(F773,'[1]#对话模型配置'!A:N,11,FALSE)</f>
        <v>TID_DialogueConf_1060001_name_337966742914_CN_Main</v>
      </c>
      <c r="H773" s="61" t="s">
        <v>2331</v>
      </c>
      <c r="I773" s="61" t="str">
        <f>VLOOKUP(F773,'#对话模型配置'!A:O,15,FALSE)</f>
        <v>newbie_oversea_andrea</v>
      </c>
      <c r="J773" s="20" t="s">
        <v>2813</v>
      </c>
      <c r="K773" s="127" t="s">
        <v>2814</v>
      </c>
      <c r="U773" s="20">
        <v>2</v>
      </c>
      <c r="V773" s="20">
        <v>0</v>
      </c>
      <c r="X773" s="71">
        <v>30011</v>
      </c>
      <c r="Y773" s="71" t="b">
        <v>0</v>
      </c>
      <c r="Z773" s="20" t="s">
        <v>2815</v>
      </c>
      <c r="AA773" s="71" t="b">
        <v>0</v>
      </c>
      <c r="AD773" s="20">
        <v>5.1002922058105504</v>
      </c>
      <c r="AE773" s="61">
        <f t="shared" si="81"/>
        <v>6.1002922058105504</v>
      </c>
      <c r="AF773" s="61"/>
      <c r="AG773" s="61"/>
      <c r="AH773" s="61">
        <v>0.1</v>
      </c>
      <c r="AI773" s="61">
        <v>1</v>
      </c>
      <c r="AL773" s="108">
        <v>35</v>
      </c>
    </row>
    <row r="774" spans="1:38" ht="14.5">
      <c r="A774" s="20">
        <v>1060685</v>
      </c>
      <c r="B774" s="20" t="s">
        <v>2816</v>
      </c>
      <c r="C774" s="20">
        <v>1</v>
      </c>
      <c r="E774" s="20" t="s">
        <v>2632</v>
      </c>
      <c r="F774" s="20" t="s">
        <v>2775</v>
      </c>
      <c r="G774" s="20" t="str">
        <f>VLOOKUP(F774,'[1]#对话模型配置'!A:N,11,FALSE)</f>
        <v>TID_Name_tuerkan_CN_Main</v>
      </c>
      <c r="H774" s="61" t="s">
        <v>2331</v>
      </c>
      <c r="I774" s="61" t="str">
        <f>VLOOKUP(F774,'#对话模型配置'!A:O,15,FALSE)</f>
        <v>newbie_oversea_enemy</v>
      </c>
      <c r="J774" s="20" t="s">
        <v>2817</v>
      </c>
      <c r="K774" s="127" t="s">
        <v>2818</v>
      </c>
      <c r="U774" s="20">
        <v>2</v>
      </c>
      <c r="V774" s="20">
        <v>0</v>
      </c>
      <c r="X774" s="71">
        <v>30011</v>
      </c>
      <c r="Y774" s="71" t="b">
        <v>0</v>
      </c>
      <c r="Z774" s="20" t="s">
        <v>2819</v>
      </c>
      <c r="AA774" s="71" t="b">
        <v>0</v>
      </c>
      <c r="AD774" s="20">
        <v>4.5643329620361301</v>
      </c>
      <c r="AE774" s="61">
        <f t="shared" si="81"/>
        <v>5.5643329620361301</v>
      </c>
      <c r="AF774" s="61"/>
      <c r="AG774" s="61"/>
      <c r="AH774" s="61">
        <v>0.1</v>
      </c>
      <c r="AI774" s="61">
        <v>1</v>
      </c>
      <c r="AL774" s="108">
        <v>35</v>
      </c>
    </row>
    <row r="775" spans="1:38" ht="14.5">
      <c r="A775" s="20">
        <v>1060686</v>
      </c>
      <c r="B775" s="20" t="s">
        <v>2820</v>
      </c>
      <c r="C775" s="20">
        <v>1</v>
      </c>
      <c r="E775" s="20" t="s">
        <v>2632</v>
      </c>
      <c r="F775" s="20" t="s">
        <v>2775</v>
      </c>
      <c r="G775" s="20" t="str">
        <f>VLOOKUP(F775,'[1]#对话模型配置'!A:N,11,FALSE)</f>
        <v>TID_Name_tuerkan_CN_Main</v>
      </c>
      <c r="H775" s="61" t="s">
        <v>2331</v>
      </c>
      <c r="I775" s="61" t="str">
        <f>VLOOKUP(F775,'#对话模型配置'!A:O,15,FALSE)</f>
        <v>newbie_oversea_enemy</v>
      </c>
      <c r="J775" s="20" t="s">
        <v>2821</v>
      </c>
      <c r="K775" s="127" t="s">
        <v>2822</v>
      </c>
      <c r="U775" s="20">
        <v>2</v>
      </c>
      <c r="V775" s="20">
        <v>0</v>
      </c>
      <c r="X775" s="71">
        <v>30011</v>
      </c>
      <c r="Y775" s="71" t="b">
        <v>0</v>
      </c>
      <c r="Z775" s="20" t="s">
        <v>2823</v>
      </c>
      <c r="AA775" s="71" t="b">
        <v>0</v>
      </c>
      <c r="AD775" s="20">
        <v>2.2400829792022701</v>
      </c>
      <c r="AE775" s="61">
        <f t="shared" si="81"/>
        <v>3.2400829792022701</v>
      </c>
      <c r="AF775" s="61"/>
      <c r="AG775" s="61"/>
      <c r="AH775" s="61">
        <v>0.1</v>
      </c>
      <c r="AI775" s="61">
        <v>1</v>
      </c>
      <c r="AL775" s="108">
        <v>35</v>
      </c>
    </row>
    <row r="776" spans="1:38" ht="14.5">
      <c r="A776" s="20">
        <v>1060686</v>
      </c>
      <c r="B776" s="20" t="s">
        <v>2820</v>
      </c>
      <c r="C776" s="20">
        <v>2</v>
      </c>
      <c r="E776" s="20" t="s">
        <v>2632</v>
      </c>
      <c r="F776" s="20" t="s">
        <v>2633</v>
      </c>
      <c r="G776" s="20" t="str">
        <f>VLOOKUP(F776,'[1]#对话模型配置'!A:N,11,FALSE)</f>
        <v>TID_DialogueConf_1060001_name_CN_Main</v>
      </c>
      <c r="H776" s="61" t="s">
        <v>2331</v>
      </c>
      <c r="I776" s="61" t="str">
        <f>VLOOKUP(F776,'#对话模型配置'!A:O,15,FALSE)</f>
        <v>newbie_oversea_axe</v>
      </c>
      <c r="J776" s="20" t="s">
        <v>2824</v>
      </c>
      <c r="K776" s="127" t="s">
        <v>2825</v>
      </c>
      <c r="U776" s="20">
        <v>2</v>
      </c>
      <c r="V776" s="20">
        <v>0</v>
      </c>
      <c r="X776" s="71">
        <v>30011</v>
      </c>
      <c r="Y776" s="71" t="b">
        <v>0</v>
      </c>
      <c r="Z776" s="20" t="s">
        <v>2826</v>
      </c>
      <c r="AA776" s="71" t="b">
        <v>0</v>
      </c>
      <c r="AD776" s="20">
        <v>2.6777288913726802</v>
      </c>
      <c r="AE776" s="61">
        <f t="shared" si="81"/>
        <v>3.6777288913726802</v>
      </c>
      <c r="AF776" s="61"/>
      <c r="AG776" s="61"/>
      <c r="AH776" s="61">
        <v>0.1</v>
      </c>
      <c r="AI776" s="61">
        <v>1</v>
      </c>
      <c r="AL776" s="108">
        <v>35</v>
      </c>
    </row>
    <row r="777" spans="1:38" ht="14.5">
      <c r="A777" s="20">
        <v>1060686</v>
      </c>
      <c r="B777" s="20" t="s">
        <v>2820</v>
      </c>
      <c r="C777" s="20">
        <v>3</v>
      </c>
      <c r="E777" s="20" t="s">
        <v>2632</v>
      </c>
      <c r="F777" s="20" t="s">
        <v>2637</v>
      </c>
      <c r="G777" s="20" t="str">
        <f>VLOOKUP(F777,'[1]#对话模型配置'!A:N,11,FALSE)</f>
        <v>TID_DialogueConf_1060001_name_337966742914_CN_Main</v>
      </c>
      <c r="H777" s="61" t="s">
        <v>2331</v>
      </c>
      <c r="I777" s="61" t="str">
        <f>VLOOKUP(F777,'#对话模型配置'!A:O,15,FALSE)</f>
        <v>newbie_oversea_andrea</v>
      </c>
      <c r="J777" s="20" t="s">
        <v>2827</v>
      </c>
      <c r="K777" s="127" t="s">
        <v>2828</v>
      </c>
      <c r="U777" s="20">
        <v>2</v>
      </c>
      <c r="V777" s="20">
        <v>0</v>
      </c>
      <c r="X777" s="71">
        <v>30011</v>
      </c>
      <c r="Y777" s="71" t="b">
        <v>0</v>
      </c>
      <c r="Z777" s="20" t="s">
        <v>2829</v>
      </c>
      <c r="AA777" s="71" t="b">
        <v>0</v>
      </c>
      <c r="AD777" s="20">
        <v>2.6186668872833301</v>
      </c>
      <c r="AE777" s="61">
        <f t="shared" si="81"/>
        <v>3.6186668872833301</v>
      </c>
      <c r="AF777" s="61"/>
      <c r="AG777" s="61"/>
      <c r="AH777" s="61">
        <v>0.1</v>
      </c>
      <c r="AI777" s="61">
        <v>1</v>
      </c>
      <c r="AL777" s="108">
        <v>35</v>
      </c>
    </row>
    <row r="778" spans="1:38" ht="14.5">
      <c r="A778" s="20">
        <v>1060689</v>
      </c>
      <c r="B778" s="20" t="s">
        <v>2830</v>
      </c>
      <c r="C778" s="20">
        <v>1</v>
      </c>
      <c r="E778" s="20" t="s">
        <v>2632</v>
      </c>
      <c r="F778" s="20" t="s">
        <v>2637</v>
      </c>
      <c r="G778" s="20" t="str">
        <f>VLOOKUP(F778,'[1]#对话模型配置'!A:N,11,FALSE)</f>
        <v>TID_DialogueConf_1060001_name_337966742914_CN_Main</v>
      </c>
      <c r="H778" s="61" t="s">
        <v>2331</v>
      </c>
      <c r="I778" s="61" t="str">
        <f>VLOOKUP(F778,'#对话模型配置'!A:O,15,FALSE)</f>
        <v>newbie_oversea_andrea</v>
      </c>
      <c r="J778" s="20" t="s">
        <v>2831</v>
      </c>
      <c r="K778" s="127" t="s">
        <v>2832</v>
      </c>
      <c r="U778" s="20">
        <v>2</v>
      </c>
      <c r="V778" s="20">
        <v>0</v>
      </c>
      <c r="X778" s="71">
        <v>30011</v>
      </c>
      <c r="Y778" s="71" t="b">
        <v>0</v>
      </c>
      <c r="Z778" s="20" t="s">
        <v>2833</v>
      </c>
      <c r="AA778" s="71" t="b">
        <v>0</v>
      </c>
      <c r="AD778" s="20">
        <v>5.0180630683898899</v>
      </c>
      <c r="AE778" s="61">
        <f t="shared" si="81"/>
        <v>6.0180630683898899</v>
      </c>
      <c r="AF778" s="61"/>
      <c r="AG778" s="61"/>
      <c r="AH778" s="61">
        <v>0.1</v>
      </c>
      <c r="AI778" s="61">
        <v>1</v>
      </c>
      <c r="AL778" s="108">
        <v>35</v>
      </c>
    </row>
    <row r="779" spans="1:38" ht="14.5">
      <c r="A779" s="20">
        <v>1060689</v>
      </c>
      <c r="B779" s="20" t="s">
        <v>2830</v>
      </c>
      <c r="C779" s="20">
        <v>2</v>
      </c>
      <c r="E779" s="20" t="s">
        <v>2632</v>
      </c>
      <c r="F779" s="20" t="s">
        <v>2793</v>
      </c>
      <c r="G779" s="20" t="str">
        <f>VLOOKUP(F779,'[1]#对话模型配置'!A:N,11,FALSE)</f>
        <v>TID_DialogueConf_1060715_name_CN_Main</v>
      </c>
      <c r="H779" s="61" t="s">
        <v>2331</v>
      </c>
      <c r="I779" s="61" t="str">
        <f>VLOOKUP(F779,'#对话模型配置'!A:O,15,FALSE)</f>
        <v>newbie_oversea_joa</v>
      </c>
      <c r="J779" s="20" t="s">
        <v>2834</v>
      </c>
      <c r="K779" s="127" t="s">
        <v>2835</v>
      </c>
      <c r="U779" s="20">
        <v>2</v>
      </c>
      <c r="V779" s="20">
        <v>0</v>
      </c>
      <c r="X779" s="71">
        <v>30011</v>
      </c>
      <c r="Y779" s="71" t="b">
        <v>0</v>
      </c>
      <c r="Z779" s="20" t="s">
        <v>2836</v>
      </c>
      <c r="AA779" s="71" t="b">
        <v>0</v>
      </c>
      <c r="AD779" s="20">
        <v>8.8727912902831996</v>
      </c>
      <c r="AE779" s="61">
        <f t="shared" si="81"/>
        <v>9.8727912902831996</v>
      </c>
      <c r="AF779" s="61"/>
      <c r="AG779" s="61"/>
      <c r="AH779" s="61">
        <v>0.1</v>
      </c>
      <c r="AI779" s="61">
        <v>1</v>
      </c>
      <c r="AL779" s="108">
        <v>35</v>
      </c>
    </row>
    <row r="780" spans="1:38" ht="28.5">
      <c r="A780" s="20">
        <v>1060689</v>
      </c>
      <c r="B780" s="20" t="s">
        <v>2830</v>
      </c>
      <c r="C780" s="20">
        <v>3</v>
      </c>
      <c r="E780" s="20" t="s">
        <v>2632</v>
      </c>
      <c r="F780" s="20" t="s">
        <v>2637</v>
      </c>
      <c r="G780" s="20" t="str">
        <f>VLOOKUP(F780,'[1]#对话模型配置'!A:N,11,FALSE)</f>
        <v>TID_DialogueConf_1060001_name_337966742914_CN_Main</v>
      </c>
      <c r="H780" s="61" t="s">
        <v>2331</v>
      </c>
      <c r="I780" s="61" t="str">
        <f>VLOOKUP(F780,'#对话模型配置'!A:O,15,FALSE)</f>
        <v>newbie_oversea_andrea</v>
      </c>
      <c r="J780" s="20" t="s">
        <v>2837</v>
      </c>
      <c r="K780" s="127" t="s">
        <v>2838</v>
      </c>
      <c r="U780" s="20">
        <v>2</v>
      </c>
      <c r="V780" s="20">
        <v>0</v>
      </c>
      <c r="X780" s="71">
        <v>30011</v>
      </c>
      <c r="Y780" s="71" t="b">
        <v>0</v>
      </c>
      <c r="Z780" s="20" t="s">
        <v>2839</v>
      </c>
      <c r="AA780" s="71" t="b">
        <v>0</v>
      </c>
      <c r="AD780" s="20">
        <v>6.7306671142578098</v>
      </c>
      <c r="AE780" s="61">
        <f t="shared" si="81"/>
        <v>7.7306671142578098</v>
      </c>
      <c r="AF780" s="61"/>
      <c r="AG780" s="61"/>
      <c r="AH780" s="61">
        <v>0.1</v>
      </c>
      <c r="AI780" s="61">
        <v>1</v>
      </c>
      <c r="AL780" s="108">
        <v>35</v>
      </c>
    </row>
    <row r="781" spans="1:38" ht="14.5">
      <c r="A781" s="20">
        <v>1060689</v>
      </c>
      <c r="B781" s="20" t="s">
        <v>2830</v>
      </c>
      <c r="C781" s="20">
        <v>4</v>
      </c>
      <c r="E781" s="20" t="s">
        <v>2632</v>
      </c>
      <c r="F781" s="20" t="s">
        <v>2793</v>
      </c>
      <c r="G781" s="20" t="str">
        <f>VLOOKUP(F781,'[1]#对话模型配置'!A:N,11,FALSE)</f>
        <v>TID_DialogueConf_1060715_name_CN_Main</v>
      </c>
      <c r="H781" s="61" t="s">
        <v>2331</v>
      </c>
      <c r="I781" s="61" t="str">
        <f>VLOOKUP(F781,'#对话模型配置'!A:O,15,FALSE)</f>
        <v>newbie_oversea_joa</v>
      </c>
      <c r="J781" s="20" t="s">
        <v>2840</v>
      </c>
      <c r="K781" s="128" t="s">
        <v>2841</v>
      </c>
      <c r="U781" s="20">
        <v>2</v>
      </c>
      <c r="V781" s="20">
        <v>0</v>
      </c>
      <c r="X781" s="71">
        <v>30011</v>
      </c>
      <c r="Y781" s="71" t="b">
        <v>0</v>
      </c>
      <c r="Z781" s="20" t="s">
        <v>2842</v>
      </c>
      <c r="AA781" s="71" t="b">
        <v>0</v>
      </c>
      <c r="AD781" s="20">
        <v>10.5019378662109</v>
      </c>
      <c r="AE781" s="61">
        <f t="shared" si="81"/>
        <v>11.5019378662109</v>
      </c>
      <c r="AF781" s="61"/>
      <c r="AG781" s="61"/>
      <c r="AH781" s="61">
        <v>0.1</v>
      </c>
      <c r="AI781" s="61">
        <v>1</v>
      </c>
      <c r="AL781" s="108">
        <v>35</v>
      </c>
    </row>
    <row r="782" spans="1:38" ht="14.5">
      <c r="A782" s="20">
        <v>1060694</v>
      </c>
      <c r="B782" s="20" t="s">
        <v>2843</v>
      </c>
      <c r="C782" s="20">
        <v>1</v>
      </c>
      <c r="E782" s="20" t="s">
        <v>2632</v>
      </c>
      <c r="F782" s="20" t="s">
        <v>2637</v>
      </c>
      <c r="G782" s="20" t="str">
        <f>VLOOKUP(F782,'[1]#对话模型配置'!A:N,11,FALSE)</f>
        <v>TID_DialogueConf_1060001_name_337966742914_CN_Main</v>
      </c>
      <c r="H782" s="61" t="s">
        <v>2331</v>
      </c>
      <c r="I782" s="61" t="str">
        <f>VLOOKUP(F782,'#对话模型配置'!A:O,15,FALSE)</f>
        <v>newbie_oversea_andrea</v>
      </c>
      <c r="J782" s="20" t="s">
        <v>2844</v>
      </c>
      <c r="K782" s="127" t="s">
        <v>2845</v>
      </c>
      <c r="U782" s="20">
        <v>2</v>
      </c>
      <c r="V782" s="20">
        <v>0</v>
      </c>
      <c r="X782" s="71">
        <v>30011</v>
      </c>
      <c r="Y782" s="71" t="b">
        <v>0</v>
      </c>
      <c r="Z782" s="20" t="s">
        <v>2846</v>
      </c>
      <c r="AA782" s="71" t="b">
        <v>0</v>
      </c>
      <c r="AD782" s="20">
        <v>8.4779376983642596</v>
      </c>
      <c r="AE782" s="61">
        <f t="shared" si="81"/>
        <v>9.4779376983642596</v>
      </c>
      <c r="AF782" s="61"/>
      <c r="AG782" s="61"/>
      <c r="AH782" s="61">
        <v>0.1</v>
      </c>
      <c r="AI782" s="61">
        <v>1</v>
      </c>
      <c r="AL782" s="108">
        <v>35</v>
      </c>
    </row>
    <row r="783" spans="1:38" ht="28.5">
      <c r="A783" s="20">
        <v>1060694</v>
      </c>
      <c r="B783" s="20" t="s">
        <v>2843</v>
      </c>
      <c r="C783" s="20">
        <v>2</v>
      </c>
      <c r="E783" s="20" t="s">
        <v>2632</v>
      </c>
      <c r="F783" s="20" t="s">
        <v>2637</v>
      </c>
      <c r="G783" s="20" t="str">
        <f>VLOOKUP(F783,'[1]#对话模型配置'!A:N,11,FALSE)</f>
        <v>TID_DialogueConf_1060001_name_337966742914_CN_Main</v>
      </c>
      <c r="H783" s="61" t="s">
        <v>2331</v>
      </c>
      <c r="I783" s="61" t="str">
        <f>VLOOKUP(F783,'#对话模型配置'!A:O,15,FALSE)</f>
        <v>newbie_oversea_andrea</v>
      </c>
      <c r="J783" s="20" t="s">
        <v>2847</v>
      </c>
      <c r="K783" s="127" t="s">
        <v>2848</v>
      </c>
      <c r="U783" s="20">
        <v>2</v>
      </c>
      <c r="V783" s="20">
        <v>0</v>
      </c>
      <c r="X783" s="71">
        <v>30011</v>
      </c>
      <c r="Y783" s="71" t="b">
        <v>0</v>
      </c>
      <c r="AA783" s="71" t="b">
        <v>0</v>
      </c>
      <c r="AE783" s="20">
        <f t="shared" ref="AE783:AE814" si="82">IF(LEN(K783)/5&lt;3,3,ROUND(LEN(K783)/5,0))</f>
        <v>7</v>
      </c>
      <c r="AH783" s="61">
        <v>0.1</v>
      </c>
      <c r="AI783" s="61">
        <v>1</v>
      </c>
      <c r="AL783" s="108">
        <v>35</v>
      </c>
    </row>
    <row r="784" spans="1:38" ht="28.5">
      <c r="A784" s="20">
        <v>1060695</v>
      </c>
      <c r="B784" s="20" t="s">
        <v>2849</v>
      </c>
      <c r="C784" s="20">
        <v>1</v>
      </c>
      <c r="E784" s="20" t="s">
        <v>2632</v>
      </c>
      <c r="F784" s="20" t="s">
        <v>2850</v>
      </c>
      <c r="G784" s="20" t="str">
        <f>VLOOKUP(F784,'[1]#对话模型配置'!A:N,11,FALSE)</f>
        <v>TID_Name_wende_CN_Main</v>
      </c>
      <c r="H784" s="61" t="s">
        <v>2331</v>
      </c>
      <c r="I784" s="61" t="str">
        <f>VLOOKUP(F784,'#对话模型配置'!A:O,15,FALSE)</f>
        <v>newbie_oversea_leo</v>
      </c>
      <c r="J784" s="20" t="s">
        <v>2851</v>
      </c>
      <c r="K784" s="127" t="s">
        <v>2852</v>
      </c>
      <c r="U784" s="20">
        <v>2</v>
      </c>
      <c r="V784" s="20">
        <v>0</v>
      </c>
      <c r="X784" s="71">
        <v>30011</v>
      </c>
      <c r="Y784" s="71" t="b">
        <v>0</v>
      </c>
      <c r="AA784" s="71" t="b">
        <v>0</v>
      </c>
      <c r="AE784" s="20">
        <f t="shared" si="82"/>
        <v>7</v>
      </c>
      <c r="AH784" s="61">
        <v>0.1</v>
      </c>
      <c r="AI784" s="61">
        <v>1</v>
      </c>
      <c r="AL784" s="108">
        <v>35</v>
      </c>
    </row>
    <row r="785" spans="1:38" ht="14.5">
      <c r="A785" s="20">
        <v>1060695</v>
      </c>
      <c r="B785" s="20" t="s">
        <v>2849</v>
      </c>
      <c r="C785" s="20">
        <v>2</v>
      </c>
      <c r="E785" s="20" t="s">
        <v>2632</v>
      </c>
      <c r="F785" s="20" t="s">
        <v>2633</v>
      </c>
      <c r="G785" s="20" t="str">
        <f>VLOOKUP(F785,'[1]#对话模型配置'!A:N,11,FALSE)</f>
        <v>TID_DialogueConf_1060001_name_CN_Main</v>
      </c>
      <c r="H785" s="61" t="s">
        <v>2331</v>
      </c>
      <c r="I785" s="61" t="str">
        <f>VLOOKUP(F785,'#对话模型配置'!A:O,15,FALSE)</f>
        <v>newbie_oversea_axe</v>
      </c>
      <c r="J785" s="20" t="s">
        <v>2853</v>
      </c>
      <c r="K785" s="127" t="s">
        <v>2854</v>
      </c>
      <c r="U785" s="20">
        <v>2</v>
      </c>
      <c r="V785" s="20">
        <v>0</v>
      </c>
      <c r="X785" s="71">
        <v>30011</v>
      </c>
      <c r="Y785" s="71" t="b">
        <v>0</v>
      </c>
      <c r="AA785" s="71" t="b">
        <v>0</v>
      </c>
      <c r="AE785" s="20">
        <f t="shared" si="82"/>
        <v>3</v>
      </c>
      <c r="AH785" s="61">
        <v>0.1</v>
      </c>
      <c r="AI785" s="61">
        <v>1</v>
      </c>
      <c r="AL785" s="108">
        <v>35</v>
      </c>
    </row>
    <row r="786" spans="1:38" ht="28.5">
      <c r="A786" s="20">
        <v>1060695</v>
      </c>
      <c r="B786" s="20" t="s">
        <v>2849</v>
      </c>
      <c r="C786" s="20">
        <v>3</v>
      </c>
      <c r="E786" s="20" t="s">
        <v>2632</v>
      </c>
      <c r="F786" s="20" t="s">
        <v>2850</v>
      </c>
      <c r="G786" s="20" t="str">
        <f>VLOOKUP(F786,'[1]#对话模型配置'!A:N,11,FALSE)</f>
        <v>TID_Name_wende_CN_Main</v>
      </c>
      <c r="H786" s="61" t="s">
        <v>2331</v>
      </c>
      <c r="I786" s="61" t="str">
        <f>VLOOKUP(F786,'#对话模型配置'!A:O,15,FALSE)</f>
        <v>newbie_oversea_leo</v>
      </c>
      <c r="J786" s="20" t="s">
        <v>2855</v>
      </c>
      <c r="K786" s="127" t="s">
        <v>2856</v>
      </c>
      <c r="U786" s="20">
        <v>2</v>
      </c>
      <c r="V786" s="20">
        <v>0</v>
      </c>
      <c r="X786" s="71">
        <v>30011</v>
      </c>
      <c r="Y786" s="71" t="b">
        <v>0</v>
      </c>
      <c r="AA786" s="71" t="b">
        <v>0</v>
      </c>
      <c r="AE786" s="20">
        <f t="shared" si="82"/>
        <v>9</v>
      </c>
      <c r="AH786" s="61">
        <v>0.1</v>
      </c>
      <c r="AI786" s="61">
        <v>1</v>
      </c>
      <c r="AL786" s="108">
        <v>35</v>
      </c>
    </row>
    <row r="787" spans="1:38" ht="14.5">
      <c r="A787" s="20">
        <v>1060695</v>
      </c>
      <c r="B787" s="20" t="s">
        <v>2849</v>
      </c>
      <c r="C787" s="20">
        <v>4</v>
      </c>
      <c r="E787" s="20" t="s">
        <v>2632</v>
      </c>
      <c r="F787" s="20" t="s">
        <v>2633</v>
      </c>
      <c r="G787" s="20" t="str">
        <f>VLOOKUP(F787,'[1]#对话模型配置'!A:N,11,FALSE)</f>
        <v>TID_DialogueConf_1060001_name_CN_Main</v>
      </c>
      <c r="H787" s="61" t="s">
        <v>2331</v>
      </c>
      <c r="I787" s="61" t="str">
        <f>VLOOKUP(F787,'#对话模型配置'!A:O,15,FALSE)</f>
        <v>newbie_oversea_axe</v>
      </c>
      <c r="J787" s="20" t="s">
        <v>2857</v>
      </c>
      <c r="K787" s="127" t="s">
        <v>2858</v>
      </c>
      <c r="U787" s="20">
        <v>2</v>
      </c>
      <c r="V787" s="20">
        <v>0</v>
      </c>
      <c r="X787" s="71">
        <v>30011</v>
      </c>
      <c r="Y787" s="71" t="b">
        <v>0</v>
      </c>
      <c r="AA787" s="71" t="b">
        <v>0</v>
      </c>
      <c r="AE787" s="20">
        <f t="shared" si="82"/>
        <v>4</v>
      </c>
      <c r="AH787" s="61">
        <v>0.1</v>
      </c>
      <c r="AI787" s="61">
        <v>1</v>
      </c>
      <c r="AL787" s="108">
        <v>35</v>
      </c>
    </row>
    <row r="788" spans="1:38" ht="14.5">
      <c r="A788" s="20">
        <v>1060695</v>
      </c>
      <c r="B788" s="20" t="s">
        <v>2849</v>
      </c>
      <c r="C788" s="20">
        <v>5</v>
      </c>
      <c r="E788" s="20" t="s">
        <v>2632</v>
      </c>
      <c r="F788" s="20" t="s">
        <v>2637</v>
      </c>
      <c r="G788" s="20" t="str">
        <f>VLOOKUP(F788,'[1]#对话模型配置'!A:N,11,FALSE)</f>
        <v>TID_DialogueConf_1060001_name_337966742914_CN_Main</v>
      </c>
      <c r="H788" s="61" t="s">
        <v>2331</v>
      </c>
      <c r="I788" s="61" t="str">
        <f>VLOOKUP(F788,'#对话模型配置'!A:O,15,FALSE)</f>
        <v>newbie_oversea_andrea</v>
      </c>
      <c r="J788" s="20" t="s">
        <v>2859</v>
      </c>
      <c r="K788" s="127" t="s">
        <v>2860</v>
      </c>
      <c r="U788" s="20">
        <v>2</v>
      </c>
      <c r="V788" s="20">
        <v>0</v>
      </c>
      <c r="X788" s="71">
        <v>30011</v>
      </c>
      <c r="Y788" s="71" t="b">
        <v>0</v>
      </c>
      <c r="AA788" s="71" t="b">
        <v>0</v>
      </c>
      <c r="AE788" s="20">
        <f t="shared" si="82"/>
        <v>5</v>
      </c>
      <c r="AH788" s="61">
        <v>0.1</v>
      </c>
      <c r="AI788" s="61">
        <v>1</v>
      </c>
      <c r="AL788" s="108">
        <v>35</v>
      </c>
    </row>
    <row r="789" spans="1:38" ht="28.5">
      <c r="A789" s="20">
        <v>1060696</v>
      </c>
      <c r="B789" s="20" t="s">
        <v>2861</v>
      </c>
      <c r="C789" s="20">
        <v>1</v>
      </c>
      <c r="E789" s="20" t="s">
        <v>2632</v>
      </c>
      <c r="F789" s="20" t="s">
        <v>2633</v>
      </c>
      <c r="G789" s="20" t="str">
        <f>VLOOKUP(F789,'[1]#对话模型配置'!A:N,11,FALSE)</f>
        <v>TID_DialogueConf_1060001_name_CN_Main</v>
      </c>
      <c r="H789" s="61" t="s">
        <v>2331</v>
      </c>
      <c r="I789" s="61" t="str">
        <f>VLOOKUP(F789,'#对话模型配置'!A:O,15,FALSE)</f>
        <v>newbie_oversea_axe</v>
      </c>
      <c r="J789" s="20" t="s">
        <v>2862</v>
      </c>
      <c r="K789" s="127" t="s">
        <v>2863</v>
      </c>
      <c r="U789" s="20">
        <v>2</v>
      </c>
      <c r="V789" s="20">
        <v>0</v>
      </c>
      <c r="X789" s="71">
        <v>30011</v>
      </c>
      <c r="Y789" s="71" t="b">
        <v>0</v>
      </c>
      <c r="AA789" s="71" t="b">
        <v>0</v>
      </c>
      <c r="AE789" s="20">
        <f t="shared" si="82"/>
        <v>8</v>
      </c>
      <c r="AH789" s="61">
        <v>0.1</v>
      </c>
      <c r="AI789" s="61">
        <v>1</v>
      </c>
      <c r="AL789" s="108">
        <v>35</v>
      </c>
    </row>
    <row r="790" spans="1:38" ht="28.5">
      <c r="A790" s="20">
        <v>1060696</v>
      </c>
      <c r="B790" s="20" t="s">
        <v>2861</v>
      </c>
      <c r="C790" s="20">
        <v>2</v>
      </c>
      <c r="E790" s="20" t="s">
        <v>2632</v>
      </c>
      <c r="F790" s="20" t="s">
        <v>2637</v>
      </c>
      <c r="G790" s="20" t="str">
        <f>VLOOKUP(F790,'[1]#对话模型配置'!A:N,11,FALSE)</f>
        <v>TID_DialogueConf_1060001_name_337966742914_CN_Main</v>
      </c>
      <c r="H790" s="61" t="s">
        <v>2331</v>
      </c>
      <c r="I790" s="61" t="str">
        <f>VLOOKUP(F790,'#对话模型配置'!A:O,15,FALSE)</f>
        <v>newbie_oversea_andrea</v>
      </c>
      <c r="J790" s="20" t="s">
        <v>2864</v>
      </c>
      <c r="K790" s="127" t="s">
        <v>2865</v>
      </c>
      <c r="U790" s="20">
        <v>2</v>
      </c>
      <c r="V790" s="20">
        <v>0</v>
      </c>
      <c r="X790" s="71">
        <v>30011</v>
      </c>
      <c r="Y790" s="71" t="b">
        <v>0</v>
      </c>
      <c r="AA790" s="71" t="b">
        <v>0</v>
      </c>
      <c r="AE790" s="20">
        <f t="shared" si="82"/>
        <v>7</v>
      </c>
      <c r="AH790" s="61">
        <v>0.1</v>
      </c>
      <c r="AI790" s="61">
        <v>1</v>
      </c>
      <c r="AL790" s="108">
        <v>35</v>
      </c>
    </row>
    <row r="791" spans="1:38" ht="14.5">
      <c r="A791" s="20">
        <v>1060696</v>
      </c>
      <c r="B791" s="20" t="s">
        <v>2861</v>
      </c>
      <c r="C791" s="20">
        <v>3</v>
      </c>
      <c r="E791" s="20" t="s">
        <v>2632</v>
      </c>
      <c r="F791" s="20" t="s">
        <v>2633</v>
      </c>
      <c r="G791" s="20" t="str">
        <f>VLOOKUP(F791,'[1]#对话模型配置'!A:N,11,FALSE)</f>
        <v>TID_DialogueConf_1060001_name_CN_Main</v>
      </c>
      <c r="H791" s="61" t="s">
        <v>2331</v>
      </c>
      <c r="I791" s="61" t="str">
        <f>VLOOKUP(F791,'#对话模型配置'!A:O,15,FALSE)</f>
        <v>newbie_oversea_axe</v>
      </c>
      <c r="J791" s="20" t="s">
        <v>2866</v>
      </c>
      <c r="K791" s="127" t="s">
        <v>2867</v>
      </c>
      <c r="U791" s="20">
        <v>2</v>
      </c>
      <c r="V791" s="20">
        <v>0</v>
      </c>
      <c r="X791" s="71">
        <v>30011</v>
      </c>
      <c r="Y791" s="71" t="b">
        <v>0</v>
      </c>
      <c r="AA791" s="71" t="b">
        <v>0</v>
      </c>
      <c r="AE791" s="20">
        <f t="shared" si="82"/>
        <v>3</v>
      </c>
      <c r="AH791" s="61">
        <v>0.1</v>
      </c>
      <c r="AI791" s="61">
        <v>1</v>
      </c>
      <c r="AL791" s="108">
        <v>35</v>
      </c>
    </row>
    <row r="792" spans="1:38" ht="14.5">
      <c r="A792" s="20">
        <v>1060697</v>
      </c>
      <c r="B792" s="20" t="s">
        <v>2868</v>
      </c>
      <c r="C792" s="20">
        <v>1</v>
      </c>
      <c r="E792" s="20" t="s">
        <v>2632</v>
      </c>
      <c r="F792" s="20" t="s">
        <v>2850</v>
      </c>
      <c r="G792" s="20" t="str">
        <f>VLOOKUP(F792,'[1]#对话模型配置'!A:N,11,FALSE)</f>
        <v>TID_Name_wende_CN_Main</v>
      </c>
      <c r="H792" s="61" t="s">
        <v>2331</v>
      </c>
      <c r="I792" s="61" t="str">
        <f>VLOOKUP(F792,'#对话模型配置'!A:O,15,FALSE)</f>
        <v>newbie_oversea_leo</v>
      </c>
      <c r="J792" s="20" t="s">
        <v>2869</v>
      </c>
      <c r="K792" s="127" t="s">
        <v>2870</v>
      </c>
      <c r="U792" s="20">
        <v>2</v>
      </c>
      <c r="V792" s="20">
        <v>0</v>
      </c>
      <c r="X792" s="71">
        <v>30011</v>
      </c>
      <c r="Y792" s="71" t="b">
        <v>0</v>
      </c>
      <c r="AA792" s="71" t="b">
        <v>0</v>
      </c>
      <c r="AE792" s="20">
        <f t="shared" si="82"/>
        <v>3</v>
      </c>
      <c r="AH792" s="61">
        <v>0.1</v>
      </c>
      <c r="AI792" s="61">
        <v>1</v>
      </c>
      <c r="AL792" s="108">
        <v>35</v>
      </c>
    </row>
    <row r="793" spans="1:38" ht="28.5">
      <c r="A793" s="20">
        <v>1060697</v>
      </c>
      <c r="B793" s="20" t="s">
        <v>2868</v>
      </c>
      <c r="C793" s="20">
        <v>2</v>
      </c>
      <c r="E793" s="20" t="s">
        <v>2632</v>
      </c>
      <c r="F793" s="20" t="s">
        <v>2637</v>
      </c>
      <c r="G793" s="20" t="str">
        <f>VLOOKUP(F793,'[1]#对话模型配置'!A:N,11,FALSE)</f>
        <v>TID_DialogueConf_1060001_name_337966742914_CN_Main</v>
      </c>
      <c r="H793" s="61" t="s">
        <v>2331</v>
      </c>
      <c r="I793" s="61" t="str">
        <f>VLOOKUP(F793,'#对话模型配置'!A:O,15,FALSE)</f>
        <v>newbie_oversea_andrea</v>
      </c>
      <c r="J793" s="20" t="s">
        <v>2871</v>
      </c>
      <c r="K793" s="127" t="s">
        <v>2872</v>
      </c>
      <c r="U793" s="20">
        <v>2</v>
      </c>
      <c r="V793" s="20">
        <v>0</v>
      </c>
      <c r="X793" s="71">
        <v>30011</v>
      </c>
      <c r="Y793" s="71" t="b">
        <v>0</v>
      </c>
      <c r="AA793" s="71" t="b">
        <v>0</v>
      </c>
      <c r="AE793" s="20">
        <f t="shared" si="82"/>
        <v>7</v>
      </c>
      <c r="AH793" s="61">
        <v>0.1</v>
      </c>
      <c r="AI793" s="61">
        <v>1</v>
      </c>
      <c r="AL793" s="108">
        <v>35</v>
      </c>
    </row>
    <row r="794" spans="1:38" ht="14.5">
      <c r="A794" s="20">
        <v>1060697</v>
      </c>
      <c r="B794" s="20" t="s">
        <v>2868</v>
      </c>
      <c r="C794" s="20">
        <v>3</v>
      </c>
      <c r="E794" s="20" t="s">
        <v>2632</v>
      </c>
      <c r="F794" s="20" t="s">
        <v>2850</v>
      </c>
      <c r="G794" s="20" t="str">
        <f>VLOOKUP(F794,'[1]#对话模型配置'!A:N,11,FALSE)</f>
        <v>TID_Name_wende_CN_Main</v>
      </c>
      <c r="H794" s="61" t="s">
        <v>2331</v>
      </c>
      <c r="I794" s="61" t="str">
        <f>VLOOKUP(F794,'#对话模型配置'!A:O,15,FALSE)</f>
        <v>newbie_oversea_leo</v>
      </c>
      <c r="J794" s="20" t="s">
        <v>2873</v>
      </c>
      <c r="K794" s="127" t="s">
        <v>2874</v>
      </c>
      <c r="U794" s="20">
        <v>2</v>
      </c>
      <c r="V794" s="20">
        <v>0</v>
      </c>
      <c r="X794" s="71">
        <v>30011</v>
      </c>
      <c r="Y794" s="71" t="b">
        <v>0</v>
      </c>
      <c r="AA794" s="71" t="b">
        <v>0</v>
      </c>
      <c r="AE794" s="20">
        <f t="shared" si="82"/>
        <v>3</v>
      </c>
      <c r="AH794" s="61">
        <v>0.1</v>
      </c>
      <c r="AI794" s="61">
        <v>1</v>
      </c>
      <c r="AL794" s="108">
        <v>35</v>
      </c>
    </row>
    <row r="795" spans="1:38" ht="14.5">
      <c r="A795" s="20">
        <v>1060698</v>
      </c>
      <c r="B795" s="20" t="s">
        <v>2875</v>
      </c>
      <c r="C795" s="20">
        <v>1</v>
      </c>
      <c r="E795" s="20" t="s">
        <v>2632</v>
      </c>
      <c r="F795" s="20" t="s">
        <v>2637</v>
      </c>
      <c r="G795" s="20" t="str">
        <f>VLOOKUP(F795,'[1]#对话模型配置'!A:N,11,FALSE)</f>
        <v>TID_DialogueConf_1060001_name_337966742914_CN_Main</v>
      </c>
      <c r="H795" s="61" t="s">
        <v>2331</v>
      </c>
      <c r="I795" s="61" t="str">
        <f>VLOOKUP(F795,'#对话模型配置'!A:O,15,FALSE)</f>
        <v>newbie_oversea_andrea</v>
      </c>
      <c r="J795" s="20" t="s">
        <v>2876</v>
      </c>
      <c r="K795" s="1" t="s">
        <v>2877</v>
      </c>
      <c r="U795" s="20">
        <v>2</v>
      </c>
      <c r="V795" s="20">
        <v>0</v>
      </c>
      <c r="X795" s="71">
        <v>30011</v>
      </c>
      <c r="Y795" s="71" t="b">
        <v>0</v>
      </c>
      <c r="AA795" s="71" t="b">
        <v>0</v>
      </c>
      <c r="AE795" s="20">
        <f t="shared" si="82"/>
        <v>6</v>
      </c>
      <c r="AH795" s="61">
        <v>0.1</v>
      </c>
      <c r="AI795" s="61">
        <v>1</v>
      </c>
      <c r="AL795" s="108">
        <v>35</v>
      </c>
    </row>
    <row r="796" spans="1:38" ht="14.5">
      <c r="A796" s="20">
        <v>1060698</v>
      </c>
      <c r="B796" s="20" t="s">
        <v>2875</v>
      </c>
      <c r="C796" s="20">
        <v>2</v>
      </c>
      <c r="E796" s="20" t="s">
        <v>2632</v>
      </c>
      <c r="F796" s="20" t="s">
        <v>2850</v>
      </c>
      <c r="G796" s="20" t="str">
        <f>VLOOKUP(F796,'[1]#对话模型配置'!A:N,11,FALSE)</f>
        <v>TID_Name_wende_CN_Main</v>
      </c>
      <c r="H796" s="61" t="s">
        <v>2331</v>
      </c>
      <c r="I796" s="61" t="str">
        <f>VLOOKUP(F796,'#对话模型配置'!A:O,15,FALSE)</f>
        <v>newbie_oversea_leo</v>
      </c>
      <c r="J796" s="20" t="s">
        <v>2878</v>
      </c>
      <c r="K796" s="1" t="s">
        <v>2879</v>
      </c>
      <c r="U796" s="20">
        <v>2</v>
      </c>
      <c r="V796" s="20">
        <v>0</v>
      </c>
      <c r="X796" s="71">
        <v>30011</v>
      </c>
      <c r="Y796" s="71" t="b">
        <v>0</v>
      </c>
      <c r="AA796" s="71" t="b">
        <v>0</v>
      </c>
      <c r="AE796" s="20">
        <f t="shared" si="82"/>
        <v>3</v>
      </c>
      <c r="AH796" s="61">
        <v>0.1</v>
      </c>
      <c r="AI796" s="61">
        <v>1</v>
      </c>
      <c r="AL796" s="108">
        <v>35</v>
      </c>
    </row>
    <row r="797" spans="1:38" ht="14.5">
      <c r="A797" s="20">
        <v>1060698</v>
      </c>
      <c r="B797" s="20" t="s">
        <v>2875</v>
      </c>
      <c r="C797" s="20">
        <v>3</v>
      </c>
      <c r="E797" s="20" t="s">
        <v>2632</v>
      </c>
      <c r="F797" s="20" t="s">
        <v>2633</v>
      </c>
      <c r="G797" s="20" t="str">
        <f>VLOOKUP(F797,'[1]#对话模型配置'!A:N,11,FALSE)</f>
        <v>TID_DialogueConf_1060001_name_CN_Main</v>
      </c>
      <c r="H797" s="61" t="s">
        <v>2331</v>
      </c>
      <c r="I797" s="61" t="str">
        <f>VLOOKUP(F797,'#对话模型配置'!A:O,15,FALSE)</f>
        <v>newbie_oversea_axe</v>
      </c>
      <c r="J797" s="20" t="s">
        <v>2880</v>
      </c>
      <c r="K797" s="128" t="s">
        <v>2881</v>
      </c>
      <c r="U797" s="20">
        <v>2</v>
      </c>
      <c r="V797" s="20">
        <v>0</v>
      </c>
      <c r="X797" s="71">
        <v>30011</v>
      </c>
      <c r="Y797" s="71" t="b">
        <v>0</v>
      </c>
      <c r="AA797" s="71" t="b">
        <v>0</v>
      </c>
      <c r="AE797" s="20">
        <f t="shared" si="82"/>
        <v>5</v>
      </c>
      <c r="AH797" s="61">
        <v>0.1</v>
      </c>
      <c r="AI797" s="61">
        <v>1</v>
      </c>
      <c r="AL797" s="108">
        <v>35</v>
      </c>
    </row>
    <row r="798" spans="1:38" ht="14.5">
      <c r="A798" s="20">
        <v>1060699</v>
      </c>
      <c r="B798" s="20" t="s">
        <v>2882</v>
      </c>
      <c r="C798" s="20">
        <v>1</v>
      </c>
      <c r="E798" s="20" t="s">
        <v>2632</v>
      </c>
      <c r="F798" s="20" t="s">
        <v>2637</v>
      </c>
      <c r="G798" s="20" t="str">
        <f>VLOOKUP(F798,'[1]#对话模型配置'!A:N,11,FALSE)</f>
        <v>TID_DialogueConf_1060001_name_337966742914_CN_Main</v>
      </c>
      <c r="H798" s="61" t="s">
        <v>2331</v>
      </c>
      <c r="I798" s="61" t="str">
        <f>VLOOKUP(F798,'#对话模型配置'!A:O,15,FALSE)</f>
        <v>newbie_oversea_andrea</v>
      </c>
      <c r="J798" s="20" t="s">
        <v>2883</v>
      </c>
      <c r="K798" s="127" t="s">
        <v>2884</v>
      </c>
      <c r="U798" s="20">
        <v>2</v>
      </c>
      <c r="V798" s="20">
        <v>0</v>
      </c>
      <c r="X798" s="71">
        <v>30011</v>
      </c>
      <c r="Y798" s="71" t="b">
        <v>0</v>
      </c>
      <c r="AA798" s="71" t="b">
        <v>0</v>
      </c>
      <c r="AE798" s="20">
        <f t="shared" si="82"/>
        <v>4</v>
      </c>
      <c r="AH798" s="61">
        <v>0.1</v>
      </c>
      <c r="AI798" s="61">
        <v>1</v>
      </c>
      <c r="AL798" s="108">
        <v>35</v>
      </c>
    </row>
    <row r="799" spans="1:38" ht="28.5">
      <c r="A799" s="20">
        <v>1060699</v>
      </c>
      <c r="B799" s="20" t="s">
        <v>2882</v>
      </c>
      <c r="C799" s="20">
        <v>2</v>
      </c>
      <c r="E799" s="20" t="s">
        <v>2632</v>
      </c>
      <c r="F799" s="20" t="s">
        <v>2793</v>
      </c>
      <c r="G799" s="20" t="str">
        <f>VLOOKUP(F799,'[1]#对话模型配置'!A:N,11,FALSE)</f>
        <v>TID_DialogueConf_1060715_name_CN_Main</v>
      </c>
      <c r="H799" s="61" t="s">
        <v>2331</v>
      </c>
      <c r="I799" s="61" t="str">
        <f>VLOOKUP(F799,'#对话模型配置'!A:O,15,FALSE)</f>
        <v>newbie_oversea_joa</v>
      </c>
      <c r="J799" s="20" t="s">
        <v>2885</v>
      </c>
      <c r="K799" s="127" t="s">
        <v>2886</v>
      </c>
      <c r="U799" s="20">
        <v>2</v>
      </c>
      <c r="V799" s="20">
        <v>0</v>
      </c>
      <c r="X799" s="71">
        <v>30011</v>
      </c>
      <c r="Y799" s="71" t="b">
        <v>0</v>
      </c>
      <c r="AA799" s="71" t="b">
        <v>0</v>
      </c>
      <c r="AE799" s="20">
        <f t="shared" si="82"/>
        <v>7</v>
      </c>
      <c r="AH799" s="61">
        <v>0.1</v>
      </c>
      <c r="AI799" s="61">
        <v>1</v>
      </c>
      <c r="AL799" s="108">
        <v>35</v>
      </c>
    </row>
    <row r="800" spans="1:38" ht="28.5">
      <c r="A800" s="20">
        <v>1060699</v>
      </c>
      <c r="B800" s="20" t="s">
        <v>2882</v>
      </c>
      <c r="C800" s="20">
        <v>3</v>
      </c>
      <c r="E800" s="20" t="s">
        <v>2632</v>
      </c>
      <c r="F800" s="20" t="s">
        <v>2637</v>
      </c>
      <c r="G800" s="20" t="str">
        <f>VLOOKUP(F800,'[1]#对话模型配置'!A:N,11,FALSE)</f>
        <v>TID_DialogueConf_1060001_name_337966742914_CN_Main</v>
      </c>
      <c r="H800" s="61" t="s">
        <v>2331</v>
      </c>
      <c r="I800" s="61" t="str">
        <f>VLOOKUP(F800,'#对话模型配置'!A:O,15,FALSE)</f>
        <v>newbie_oversea_andrea</v>
      </c>
      <c r="J800" s="20" t="s">
        <v>2887</v>
      </c>
      <c r="K800" s="127" t="s">
        <v>2888</v>
      </c>
      <c r="U800" s="20">
        <v>2</v>
      </c>
      <c r="V800" s="20">
        <v>0</v>
      </c>
      <c r="X800" s="71">
        <v>30011</v>
      </c>
      <c r="Y800" s="71" t="b">
        <v>0</v>
      </c>
      <c r="AA800" s="71" t="b">
        <v>0</v>
      </c>
      <c r="AE800" s="20">
        <f t="shared" si="82"/>
        <v>7</v>
      </c>
      <c r="AH800" s="61">
        <v>0.1</v>
      </c>
      <c r="AI800" s="61">
        <v>1</v>
      </c>
      <c r="AL800" s="108">
        <v>35</v>
      </c>
    </row>
    <row r="801" spans="1:38" ht="14.5">
      <c r="A801" s="20">
        <v>1060700</v>
      </c>
      <c r="B801" s="20" t="s">
        <v>2889</v>
      </c>
      <c r="C801" s="20">
        <v>1</v>
      </c>
      <c r="E801" s="20" t="s">
        <v>2632</v>
      </c>
      <c r="F801" s="20" t="s">
        <v>2637</v>
      </c>
      <c r="G801" s="20" t="str">
        <f>VLOOKUP(F801,'[1]#对话模型配置'!A:N,11,FALSE)</f>
        <v>TID_DialogueConf_1060001_name_337966742914_CN_Main</v>
      </c>
      <c r="H801" s="61" t="s">
        <v>2331</v>
      </c>
      <c r="I801" s="61" t="str">
        <f>VLOOKUP(F801,'#对话模型配置'!A:O,15,FALSE)</f>
        <v>newbie_oversea_andrea</v>
      </c>
      <c r="J801" s="20" t="s">
        <v>2890</v>
      </c>
      <c r="K801" s="127" t="s">
        <v>2891</v>
      </c>
      <c r="U801" s="20">
        <v>2</v>
      </c>
      <c r="V801" s="20">
        <v>0</v>
      </c>
      <c r="X801" s="71">
        <v>30011</v>
      </c>
      <c r="Y801" s="71" t="b">
        <v>0</v>
      </c>
      <c r="AA801" s="71" t="b">
        <v>0</v>
      </c>
      <c r="AE801" s="20">
        <f t="shared" si="82"/>
        <v>4</v>
      </c>
      <c r="AH801" s="61">
        <v>0.1</v>
      </c>
      <c r="AI801" s="61">
        <v>1</v>
      </c>
      <c r="AL801" s="108">
        <v>35</v>
      </c>
    </row>
    <row r="802" spans="1:38" ht="28.5">
      <c r="A802" s="20">
        <v>1060701</v>
      </c>
      <c r="B802" s="20" t="s">
        <v>2892</v>
      </c>
      <c r="C802" s="20">
        <v>1</v>
      </c>
      <c r="E802" s="20" t="s">
        <v>2632</v>
      </c>
      <c r="F802" s="20" t="s">
        <v>2633</v>
      </c>
      <c r="G802" s="20" t="str">
        <f>VLOOKUP(F802,'[1]#对话模型配置'!A:N,11,FALSE)</f>
        <v>TID_DialogueConf_1060001_name_CN_Main</v>
      </c>
      <c r="H802" s="61" t="s">
        <v>2331</v>
      </c>
      <c r="I802" s="61" t="str">
        <f>VLOOKUP(F802,'#对话模型配置'!A:O,15,FALSE)</f>
        <v>newbie_oversea_axe</v>
      </c>
      <c r="J802" s="20" t="s">
        <v>2893</v>
      </c>
      <c r="K802" s="127" t="s">
        <v>2894</v>
      </c>
      <c r="U802" s="20">
        <v>2</v>
      </c>
      <c r="V802" s="20">
        <v>0</v>
      </c>
      <c r="X802" s="71">
        <v>30011</v>
      </c>
      <c r="Y802" s="71" t="b">
        <v>0</v>
      </c>
      <c r="AA802" s="71" t="b">
        <v>0</v>
      </c>
      <c r="AE802" s="20">
        <f t="shared" si="82"/>
        <v>8</v>
      </c>
      <c r="AH802" s="61">
        <v>0.1</v>
      </c>
      <c r="AI802" s="61">
        <v>1</v>
      </c>
      <c r="AL802" s="108">
        <v>35</v>
      </c>
    </row>
    <row r="803" spans="1:38" ht="28.5">
      <c r="A803" s="20">
        <v>10607011</v>
      </c>
      <c r="B803" s="20" t="s">
        <v>2892</v>
      </c>
      <c r="C803" s="20">
        <v>1</v>
      </c>
      <c r="E803" s="20" t="s">
        <v>2632</v>
      </c>
      <c r="F803" s="20" t="s">
        <v>2637</v>
      </c>
      <c r="G803" s="20" t="str">
        <f>VLOOKUP(F803,'[1]#对话模型配置'!A:N,11,FALSE)</f>
        <v>TID_DialogueConf_1060001_name_337966742914_CN_Main</v>
      </c>
      <c r="H803" s="61" t="s">
        <v>2331</v>
      </c>
      <c r="I803" s="61" t="str">
        <f>VLOOKUP(F803,'#对话模型配置'!A:O,15,FALSE)</f>
        <v>newbie_oversea_andrea</v>
      </c>
      <c r="J803" s="20" t="s">
        <v>2895</v>
      </c>
      <c r="K803" s="127" t="s">
        <v>2896</v>
      </c>
      <c r="U803" s="20">
        <v>2</v>
      </c>
      <c r="V803" s="20">
        <v>0</v>
      </c>
      <c r="X803" s="71">
        <v>30011</v>
      </c>
      <c r="Y803" s="71" t="b">
        <v>0</v>
      </c>
      <c r="AA803" s="71" t="b">
        <v>0</v>
      </c>
      <c r="AE803" s="20">
        <f t="shared" si="82"/>
        <v>7</v>
      </c>
      <c r="AH803" s="61">
        <v>0.1</v>
      </c>
      <c r="AI803" s="61">
        <v>1</v>
      </c>
      <c r="AL803" s="108">
        <v>35</v>
      </c>
    </row>
    <row r="804" spans="1:38" ht="28.5">
      <c r="A804" s="20">
        <v>1060702</v>
      </c>
      <c r="B804" s="20" t="s">
        <v>2897</v>
      </c>
      <c r="C804" s="20">
        <v>1</v>
      </c>
      <c r="E804" s="20" t="s">
        <v>2632</v>
      </c>
      <c r="F804" s="20" t="s">
        <v>2850</v>
      </c>
      <c r="G804" s="20" t="str">
        <f>VLOOKUP(F804,'[1]#对话模型配置'!A:N,11,FALSE)</f>
        <v>TID_Name_wende_CN_Main</v>
      </c>
      <c r="H804" s="61" t="s">
        <v>2331</v>
      </c>
      <c r="I804" s="61" t="str">
        <f>VLOOKUP(F804,'#对话模型配置'!A:O,15,FALSE)</f>
        <v>newbie_oversea_leo</v>
      </c>
      <c r="J804" s="20" t="s">
        <v>2898</v>
      </c>
      <c r="K804" s="127" t="s">
        <v>2899</v>
      </c>
      <c r="U804" s="20">
        <v>2</v>
      </c>
      <c r="V804" s="20">
        <v>0</v>
      </c>
      <c r="X804" s="71">
        <v>30011</v>
      </c>
      <c r="Y804" s="71" t="b">
        <v>0</v>
      </c>
      <c r="AA804" s="71" t="b">
        <v>0</v>
      </c>
      <c r="AE804" s="20">
        <f t="shared" si="82"/>
        <v>7</v>
      </c>
      <c r="AH804" s="61">
        <v>0.1</v>
      </c>
      <c r="AI804" s="61">
        <v>1</v>
      </c>
      <c r="AL804" s="108">
        <v>35</v>
      </c>
    </row>
    <row r="805" spans="1:38" ht="28.5">
      <c r="A805" s="20">
        <v>1060702</v>
      </c>
      <c r="B805" s="20" t="s">
        <v>2897</v>
      </c>
      <c r="C805" s="20">
        <v>2</v>
      </c>
      <c r="E805" s="20" t="s">
        <v>2632</v>
      </c>
      <c r="F805" s="20" t="s">
        <v>2637</v>
      </c>
      <c r="G805" s="20" t="str">
        <f>VLOOKUP(F805,'[1]#对话模型配置'!A:N,11,FALSE)</f>
        <v>TID_DialogueConf_1060001_name_337966742914_CN_Main</v>
      </c>
      <c r="H805" s="61" t="s">
        <v>2331</v>
      </c>
      <c r="I805" s="61" t="str">
        <f>VLOOKUP(F805,'#对话模型配置'!A:O,15,FALSE)</f>
        <v>newbie_oversea_andrea</v>
      </c>
      <c r="J805" s="20" t="s">
        <v>2900</v>
      </c>
      <c r="K805" s="127" t="s">
        <v>2901</v>
      </c>
      <c r="U805" s="20">
        <v>2</v>
      </c>
      <c r="V805" s="20">
        <v>0</v>
      </c>
      <c r="X805" s="71">
        <v>30011</v>
      </c>
      <c r="Y805" s="71" t="b">
        <v>0</v>
      </c>
      <c r="AA805" s="71" t="b">
        <v>0</v>
      </c>
      <c r="AE805" s="20">
        <f t="shared" si="82"/>
        <v>10</v>
      </c>
      <c r="AH805" s="61">
        <v>0.1</v>
      </c>
      <c r="AI805" s="61">
        <v>1</v>
      </c>
      <c r="AL805" s="108">
        <v>35</v>
      </c>
    </row>
    <row r="806" spans="1:38" ht="28.5">
      <c r="A806" s="20">
        <v>10607021</v>
      </c>
      <c r="B806" s="20" t="s">
        <v>2897</v>
      </c>
      <c r="C806" s="20">
        <v>1</v>
      </c>
      <c r="E806" s="20" t="s">
        <v>2632</v>
      </c>
      <c r="F806" s="20" t="s">
        <v>2633</v>
      </c>
      <c r="G806" s="20" t="str">
        <f>VLOOKUP(F806,'[1]#对话模型配置'!A:N,11,FALSE)</f>
        <v>TID_DialogueConf_1060001_name_CN_Main</v>
      </c>
      <c r="H806" s="61" t="s">
        <v>2331</v>
      </c>
      <c r="I806" s="61" t="str">
        <f>VLOOKUP(F806,'#对话模型配置'!A:O,15,FALSE)</f>
        <v>newbie_oversea_axe</v>
      </c>
      <c r="J806" s="20" t="s">
        <v>2902</v>
      </c>
      <c r="K806" s="127" t="s">
        <v>2903</v>
      </c>
      <c r="U806" s="20">
        <v>2</v>
      </c>
      <c r="V806" s="20">
        <v>0</v>
      </c>
      <c r="X806" s="71">
        <v>30011</v>
      </c>
      <c r="Y806" s="71" t="b">
        <v>0</v>
      </c>
      <c r="AA806" s="71" t="b">
        <v>0</v>
      </c>
      <c r="AE806" s="20">
        <f t="shared" si="82"/>
        <v>9</v>
      </c>
      <c r="AH806" s="61">
        <v>0.1</v>
      </c>
      <c r="AI806" s="61">
        <v>1</v>
      </c>
      <c r="AL806" s="108">
        <v>35</v>
      </c>
    </row>
    <row r="807" spans="1:38" ht="14.5">
      <c r="A807" s="20">
        <v>10607021</v>
      </c>
      <c r="B807" s="20" t="s">
        <v>2897</v>
      </c>
      <c r="C807" s="20">
        <v>2</v>
      </c>
      <c r="E807" s="20" t="s">
        <v>2632</v>
      </c>
      <c r="F807" s="20" t="s">
        <v>2850</v>
      </c>
      <c r="G807" s="20" t="str">
        <f>VLOOKUP(F807,'[1]#对话模型配置'!A:N,11,FALSE)</f>
        <v>TID_Name_wende_CN_Main</v>
      </c>
      <c r="H807" s="61" t="s">
        <v>2331</v>
      </c>
      <c r="I807" s="61" t="str">
        <f>VLOOKUP(F807,'#对话模型配置'!A:O,15,FALSE)</f>
        <v>newbie_oversea_leo</v>
      </c>
      <c r="J807" s="20" t="s">
        <v>2904</v>
      </c>
      <c r="K807" s="127" t="s">
        <v>2905</v>
      </c>
      <c r="U807" s="20">
        <v>2</v>
      </c>
      <c r="V807" s="20">
        <v>0</v>
      </c>
      <c r="X807" s="71">
        <v>30011</v>
      </c>
      <c r="Y807" s="71" t="b">
        <v>0</v>
      </c>
      <c r="AA807" s="71" t="b">
        <v>0</v>
      </c>
      <c r="AE807" s="20">
        <f t="shared" si="82"/>
        <v>3</v>
      </c>
      <c r="AH807" s="61">
        <v>0.1</v>
      </c>
      <c r="AI807" s="61">
        <v>1</v>
      </c>
      <c r="AL807" s="108">
        <v>35</v>
      </c>
    </row>
    <row r="808" spans="1:38" ht="28.5">
      <c r="A808" s="20">
        <v>10607021</v>
      </c>
      <c r="B808" s="20" t="s">
        <v>2897</v>
      </c>
      <c r="C808" s="20">
        <v>3</v>
      </c>
      <c r="E808" s="20" t="s">
        <v>2632</v>
      </c>
      <c r="F808" s="20" t="s">
        <v>2637</v>
      </c>
      <c r="G808" s="20" t="str">
        <f>VLOOKUP(F808,'[1]#对话模型配置'!A:N,11,FALSE)</f>
        <v>TID_DialogueConf_1060001_name_337966742914_CN_Main</v>
      </c>
      <c r="H808" s="61" t="s">
        <v>2331</v>
      </c>
      <c r="I808" s="61" t="str">
        <f>VLOOKUP(F808,'#对话模型配置'!A:O,15,FALSE)</f>
        <v>newbie_oversea_andrea</v>
      </c>
      <c r="J808" s="20" t="s">
        <v>2906</v>
      </c>
      <c r="K808" s="127" t="s">
        <v>2907</v>
      </c>
      <c r="U808" s="20">
        <v>2</v>
      </c>
      <c r="V808" s="20">
        <v>0</v>
      </c>
      <c r="X808" s="71">
        <v>30011</v>
      </c>
      <c r="Y808" s="71" t="b">
        <v>0</v>
      </c>
      <c r="AA808" s="71" t="b">
        <v>0</v>
      </c>
      <c r="AE808" s="20">
        <f t="shared" si="82"/>
        <v>6</v>
      </c>
      <c r="AH808" s="61">
        <v>0.1</v>
      </c>
      <c r="AI808" s="61">
        <v>1</v>
      </c>
      <c r="AL808" s="108">
        <v>35</v>
      </c>
    </row>
    <row r="809" spans="1:38" ht="14.5">
      <c r="A809" s="20">
        <v>1060704</v>
      </c>
      <c r="B809" s="20" t="s">
        <v>2908</v>
      </c>
      <c r="C809" s="20">
        <v>1</v>
      </c>
      <c r="E809" s="20" t="s">
        <v>2632</v>
      </c>
      <c r="F809" s="20" t="s">
        <v>2637</v>
      </c>
      <c r="G809" s="20" t="str">
        <f>VLOOKUP(F809,'[1]#对话模型配置'!A:N,11,FALSE)</f>
        <v>TID_DialogueConf_1060001_name_337966742914_CN_Main</v>
      </c>
      <c r="H809" s="61" t="s">
        <v>2331</v>
      </c>
      <c r="I809" s="61" t="str">
        <f>VLOOKUP(F809,'#对话模型配置'!A:O,15,FALSE)</f>
        <v>newbie_oversea_andrea</v>
      </c>
      <c r="J809" s="20" t="s">
        <v>2909</v>
      </c>
      <c r="K809" s="127" t="s">
        <v>2910</v>
      </c>
      <c r="U809" s="20">
        <v>2</v>
      </c>
      <c r="V809" s="20">
        <v>0</v>
      </c>
      <c r="X809" s="71">
        <v>30011</v>
      </c>
      <c r="Y809" s="71" t="b">
        <v>0</v>
      </c>
      <c r="AA809" s="71" t="b">
        <v>0</v>
      </c>
      <c r="AE809" s="20">
        <f t="shared" si="82"/>
        <v>3</v>
      </c>
      <c r="AH809" s="61">
        <v>0.1</v>
      </c>
      <c r="AI809" s="61">
        <v>1</v>
      </c>
      <c r="AL809" s="108">
        <v>35</v>
      </c>
    </row>
    <row r="810" spans="1:38" ht="14.5">
      <c r="A810" s="20">
        <v>1060704</v>
      </c>
      <c r="B810" s="20" t="s">
        <v>2908</v>
      </c>
      <c r="C810" s="20">
        <v>2</v>
      </c>
      <c r="E810" s="20" t="s">
        <v>2632</v>
      </c>
      <c r="F810" s="20" t="s">
        <v>2793</v>
      </c>
      <c r="G810" s="20" t="str">
        <f>VLOOKUP(F810,'[1]#对话模型配置'!A:N,11,FALSE)</f>
        <v>TID_DialogueConf_1060715_name_CN_Main</v>
      </c>
      <c r="H810" s="61" t="s">
        <v>2331</v>
      </c>
      <c r="I810" s="61" t="str">
        <f>VLOOKUP(F810,'#对话模型配置'!A:O,15,FALSE)</f>
        <v>newbie_oversea_joa</v>
      </c>
      <c r="J810" s="20" t="s">
        <v>2911</v>
      </c>
      <c r="K810" s="127" t="s">
        <v>2912</v>
      </c>
      <c r="U810" s="20">
        <v>2</v>
      </c>
      <c r="V810" s="20">
        <v>0</v>
      </c>
      <c r="X810" s="71">
        <v>30011</v>
      </c>
      <c r="Y810" s="71" t="b">
        <v>0</v>
      </c>
      <c r="AA810" s="71" t="b">
        <v>0</v>
      </c>
      <c r="AE810" s="20">
        <f t="shared" si="82"/>
        <v>3</v>
      </c>
      <c r="AH810" s="61">
        <v>0.1</v>
      </c>
      <c r="AI810" s="61">
        <v>1</v>
      </c>
      <c r="AL810" s="108">
        <v>35</v>
      </c>
    </row>
    <row r="811" spans="1:38" ht="28.5">
      <c r="A811" s="20">
        <v>1060704</v>
      </c>
      <c r="B811" s="20" t="s">
        <v>2908</v>
      </c>
      <c r="C811" s="20">
        <v>3</v>
      </c>
      <c r="E811" s="20" t="s">
        <v>2632</v>
      </c>
      <c r="F811" s="20" t="s">
        <v>2637</v>
      </c>
      <c r="G811" s="20" t="str">
        <f>VLOOKUP(F811,'[1]#对话模型配置'!A:N,11,FALSE)</f>
        <v>TID_DialogueConf_1060001_name_337966742914_CN_Main</v>
      </c>
      <c r="H811" s="61" t="s">
        <v>2331</v>
      </c>
      <c r="I811" s="61" t="str">
        <f>VLOOKUP(F811,'#对话模型配置'!A:O,15,FALSE)</f>
        <v>newbie_oversea_andrea</v>
      </c>
      <c r="J811" s="20" t="s">
        <v>2913</v>
      </c>
      <c r="K811" s="127" t="s">
        <v>2914</v>
      </c>
      <c r="U811" s="20">
        <v>2</v>
      </c>
      <c r="V811" s="20">
        <v>0</v>
      </c>
      <c r="X811" s="71">
        <v>30011</v>
      </c>
      <c r="Y811" s="71" t="b">
        <v>0</v>
      </c>
      <c r="AA811" s="71" t="b">
        <v>0</v>
      </c>
      <c r="AE811" s="20">
        <f t="shared" si="82"/>
        <v>8</v>
      </c>
      <c r="AH811" s="61">
        <v>0.1</v>
      </c>
      <c r="AI811" s="61">
        <v>1</v>
      </c>
      <c r="AL811" s="108">
        <v>35</v>
      </c>
    </row>
    <row r="812" spans="1:38" ht="28.5">
      <c r="A812" s="20">
        <v>1060704</v>
      </c>
      <c r="B812" s="20" t="s">
        <v>2915</v>
      </c>
      <c r="C812" s="20">
        <v>4</v>
      </c>
      <c r="E812" s="20" t="s">
        <v>2632</v>
      </c>
      <c r="F812" s="20" t="s">
        <v>2633</v>
      </c>
      <c r="G812" s="20" t="str">
        <f>VLOOKUP(F812,'[1]#对话模型配置'!A:N,11,FALSE)</f>
        <v>TID_DialogueConf_1060001_name_CN_Main</v>
      </c>
      <c r="H812" s="61" t="s">
        <v>2331</v>
      </c>
      <c r="I812" s="61" t="str">
        <f>VLOOKUP(F812,'#对话模型配置'!A:O,15,FALSE)</f>
        <v>newbie_oversea_axe</v>
      </c>
      <c r="J812" s="20" t="s">
        <v>2916</v>
      </c>
      <c r="K812" s="128" t="s">
        <v>2917</v>
      </c>
      <c r="U812" s="20">
        <v>2</v>
      </c>
      <c r="V812" s="20">
        <v>0</v>
      </c>
      <c r="X812" s="71">
        <v>30011</v>
      </c>
      <c r="Y812" s="71" t="b">
        <v>0</v>
      </c>
      <c r="AA812" s="71" t="b">
        <v>0</v>
      </c>
      <c r="AE812" s="20">
        <f t="shared" si="82"/>
        <v>9</v>
      </c>
      <c r="AH812" s="61">
        <v>0.1</v>
      </c>
      <c r="AI812" s="61">
        <v>1</v>
      </c>
      <c r="AL812" s="108">
        <v>35</v>
      </c>
    </row>
    <row r="813" spans="1:38" ht="28.5">
      <c r="A813" s="20">
        <v>1060704</v>
      </c>
      <c r="B813" s="20" t="s">
        <v>2915</v>
      </c>
      <c r="C813" s="20">
        <v>5</v>
      </c>
      <c r="E813" s="20" t="s">
        <v>2632</v>
      </c>
      <c r="F813" s="20" t="s">
        <v>2637</v>
      </c>
      <c r="G813" s="20" t="str">
        <f>VLOOKUP(F813,'[1]#对话模型配置'!A:N,11,FALSE)</f>
        <v>TID_DialogueConf_1060001_name_337966742914_CN_Main</v>
      </c>
      <c r="H813" s="61" t="s">
        <v>2331</v>
      </c>
      <c r="I813" s="61" t="str">
        <f>VLOOKUP(F813,'#对话模型配置'!A:O,15,FALSE)</f>
        <v>newbie_oversea_andrea</v>
      </c>
      <c r="J813" s="20" t="s">
        <v>2918</v>
      </c>
      <c r="K813" s="127" t="s">
        <v>2919</v>
      </c>
      <c r="U813" s="20">
        <v>2</v>
      </c>
      <c r="V813" s="20">
        <v>0</v>
      </c>
      <c r="X813" s="71">
        <v>30011</v>
      </c>
      <c r="Y813" s="71" t="b">
        <v>0</v>
      </c>
      <c r="AA813" s="71" t="b">
        <v>0</v>
      </c>
      <c r="AE813" s="20">
        <f t="shared" si="82"/>
        <v>7</v>
      </c>
      <c r="AH813" s="61">
        <v>0.1</v>
      </c>
      <c r="AI813" s="61">
        <v>1</v>
      </c>
      <c r="AL813" s="108">
        <v>35</v>
      </c>
    </row>
    <row r="814" spans="1:38" ht="14.5">
      <c r="A814" s="20">
        <v>10607041</v>
      </c>
      <c r="B814" s="20" t="s">
        <v>2908</v>
      </c>
      <c r="C814" s="20">
        <v>1</v>
      </c>
      <c r="E814" s="20" t="s">
        <v>2632</v>
      </c>
      <c r="F814" s="20" t="s">
        <v>2793</v>
      </c>
      <c r="G814" s="20" t="str">
        <f>VLOOKUP(F814,'[1]#对话模型配置'!A:N,11,FALSE)</f>
        <v>TID_DialogueConf_1060715_name_CN_Main</v>
      </c>
      <c r="H814" s="61" t="s">
        <v>2331</v>
      </c>
      <c r="I814" s="61" t="str">
        <f>VLOOKUP(F814,'#对话模型配置'!A:O,15,FALSE)</f>
        <v>newbie_oversea_joa</v>
      </c>
      <c r="J814" s="20" t="s">
        <v>2920</v>
      </c>
      <c r="K814" s="128" t="s">
        <v>2921</v>
      </c>
      <c r="U814" s="20">
        <v>2</v>
      </c>
      <c r="V814" s="20">
        <v>0</v>
      </c>
      <c r="X814" s="71">
        <v>30011</v>
      </c>
      <c r="Y814" s="71" t="b">
        <v>0</v>
      </c>
      <c r="AA814" s="71" t="b">
        <v>0</v>
      </c>
      <c r="AE814" s="20">
        <f t="shared" si="82"/>
        <v>5</v>
      </c>
      <c r="AH814" s="61">
        <v>0.1</v>
      </c>
      <c r="AI814" s="61">
        <v>1</v>
      </c>
      <c r="AL814" s="108">
        <v>35</v>
      </c>
    </row>
    <row r="815" spans="1:38" ht="28.5">
      <c r="A815" s="20">
        <v>1060705</v>
      </c>
      <c r="B815" s="20" t="s">
        <v>2922</v>
      </c>
      <c r="C815" s="20">
        <v>1</v>
      </c>
      <c r="E815" s="20" t="s">
        <v>2632</v>
      </c>
      <c r="F815" s="20" t="s">
        <v>2633</v>
      </c>
      <c r="G815" s="20" t="str">
        <f>VLOOKUP(F815,'[1]#对话模型配置'!A:N,11,FALSE)</f>
        <v>TID_DialogueConf_1060001_name_CN_Main</v>
      </c>
      <c r="H815" s="61" t="s">
        <v>2331</v>
      </c>
      <c r="I815" s="61" t="str">
        <f>VLOOKUP(F815,'#对话模型配置'!A:O,15,FALSE)</f>
        <v>newbie_oversea_axe</v>
      </c>
      <c r="J815" s="20" t="s">
        <v>2923</v>
      </c>
      <c r="K815" s="127" t="s">
        <v>2924</v>
      </c>
      <c r="U815" s="20">
        <v>2</v>
      </c>
      <c r="V815" s="20">
        <v>0</v>
      </c>
      <c r="X815" s="71">
        <v>30011</v>
      </c>
      <c r="Y815" s="71" t="b">
        <v>0</v>
      </c>
      <c r="AA815" s="71" t="b">
        <v>0</v>
      </c>
      <c r="AE815" s="20">
        <f t="shared" ref="AE815:AE840" si="83">IF(LEN(K815)/5&lt;3,3,ROUND(LEN(K815)/5,0))</f>
        <v>7</v>
      </c>
      <c r="AH815" s="61">
        <v>0.1</v>
      </c>
      <c r="AI815" s="61">
        <v>1</v>
      </c>
      <c r="AL815" s="108">
        <v>35</v>
      </c>
    </row>
    <row r="816" spans="1:38" ht="28.5">
      <c r="A816" s="20">
        <v>1060705</v>
      </c>
      <c r="B816" s="20" t="s">
        <v>2922</v>
      </c>
      <c r="C816" s="20">
        <v>2</v>
      </c>
      <c r="E816" s="20" t="s">
        <v>2632</v>
      </c>
      <c r="F816" s="20" t="s">
        <v>2637</v>
      </c>
      <c r="G816" s="20" t="str">
        <f>VLOOKUP(F816,'[1]#对话模型配置'!A:N,11,FALSE)</f>
        <v>TID_DialogueConf_1060001_name_337966742914_CN_Main</v>
      </c>
      <c r="H816" s="61" t="s">
        <v>2331</v>
      </c>
      <c r="I816" s="61" t="str">
        <f>VLOOKUP(F816,'#对话模型配置'!A:O,15,FALSE)</f>
        <v>newbie_oversea_andrea</v>
      </c>
      <c r="J816" s="20" t="s">
        <v>2925</v>
      </c>
      <c r="K816" s="127" t="s">
        <v>2926</v>
      </c>
      <c r="U816" s="20">
        <v>2</v>
      </c>
      <c r="V816" s="20">
        <v>0</v>
      </c>
      <c r="X816" s="71">
        <v>30011</v>
      </c>
      <c r="Y816" s="71" t="b">
        <v>0</v>
      </c>
      <c r="AA816" s="71" t="b">
        <v>0</v>
      </c>
      <c r="AE816" s="20">
        <f t="shared" si="83"/>
        <v>8</v>
      </c>
      <c r="AH816" s="61">
        <v>0.1</v>
      </c>
      <c r="AI816" s="61">
        <v>1</v>
      </c>
      <c r="AL816" s="108">
        <v>35</v>
      </c>
    </row>
    <row r="817" spans="1:38" ht="14.5">
      <c r="A817" s="20">
        <v>1060705</v>
      </c>
      <c r="B817" s="20" t="s">
        <v>2922</v>
      </c>
      <c r="C817" s="20">
        <v>3</v>
      </c>
      <c r="E817" s="20" t="s">
        <v>2632</v>
      </c>
      <c r="F817" s="20" t="s">
        <v>2633</v>
      </c>
      <c r="G817" s="20" t="str">
        <f>VLOOKUP(F817,'[1]#对话模型配置'!A:N,11,FALSE)</f>
        <v>TID_DialogueConf_1060001_name_CN_Main</v>
      </c>
      <c r="H817" s="61" t="s">
        <v>2331</v>
      </c>
      <c r="I817" s="61" t="str">
        <f>VLOOKUP(F817,'#对话模型配置'!A:O,15,FALSE)</f>
        <v>newbie_oversea_axe</v>
      </c>
      <c r="J817" s="20" t="s">
        <v>2927</v>
      </c>
      <c r="K817" s="127" t="s">
        <v>2928</v>
      </c>
      <c r="U817" s="20">
        <v>2</v>
      </c>
      <c r="V817" s="20">
        <v>0</v>
      </c>
      <c r="X817" s="71">
        <v>30011</v>
      </c>
      <c r="Y817" s="71" t="b">
        <v>0</v>
      </c>
      <c r="AA817" s="71" t="b">
        <v>0</v>
      </c>
      <c r="AE817" s="20">
        <f t="shared" si="83"/>
        <v>3</v>
      </c>
      <c r="AH817" s="61">
        <v>0.1</v>
      </c>
      <c r="AI817" s="61">
        <v>1</v>
      </c>
      <c r="AL817" s="108">
        <v>35</v>
      </c>
    </row>
    <row r="818" spans="1:38" ht="28.5">
      <c r="A818" s="20">
        <v>1060706</v>
      </c>
      <c r="B818" s="20" t="s">
        <v>2929</v>
      </c>
      <c r="C818" s="20">
        <v>1</v>
      </c>
      <c r="E818" s="20" t="s">
        <v>2632</v>
      </c>
      <c r="F818" s="20" t="s">
        <v>2637</v>
      </c>
      <c r="G818" s="20" t="str">
        <f>VLOOKUP(F818,'[1]#对话模型配置'!A:N,11,FALSE)</f>
        <v>TID_DialogueConf_1060001_name_337966742914_CN_Main</v>
      </c>
      <c r="H818" s="61" t="s">
        <v>2331</v>
      </c>
      <c r="I818" s="61" t="str">
        <f>VLOOKUP(F818,'#对话模型配置'!A:O,15,FALSE)</f>
        <v>newbie_oversea_andrea</v>
      </c>
      <c r="J818" s="20" t="s">
        <v>2930</v>
      </c>
      <c r="K818" s="127" t="s">
        <v>2931</v>
      </c>
      <c r="U818" s="20">
        <v>2</v>
      </c>
      <c r="V818" s="20">
        <v>0</v>
      </c>
      <c r="X818" s="71">
        <v>30011</v>
      </c>
      <c r="Y818" s="71" t="b">
        <v>0</v>
      </c>
      <c r="AA818" s="71" t="b">
        <v>0</v>
      </c>
      <c r="AE818" s="20">
        <f t="shared" si="83"/>
        <v>8</v>
      </c>
      <c r="AH818" s="61">
        <v>0.1</v>
      </c>
      <c r="AI818" s="61">
        <v>1</v>
      </c>
      <c r="AL818" s="108">
        <v>35</v>
      </c>
    </row>
    <row r="819" spans="1:38" ht="14.5">
      <c r="A819" s="20">
        <v>1060706</v>
      </c>
      <c r="B819" s="20" t="s">
        <v>2929</v>
      </c>
      <c r="C819" s="20">
        <v>2</v>
      </c>
      <c r="E819" s="20" t="s">
        <v>2632</v>
      </c>
      <c r="F819" s="20" t="s">
        <v>2793</v>
      </c>
      <c r="G819" s="20" t="str">
        <f>VLOOKUP(F819,'[1]#对话模型配置'!A:N,11,FALSE)</f>
        <v>TID_DialogueConf_1060715_name_CN_Main</v>
      </c>
      <c r="H819" s="61" t="s">
        <v>2331</v>
      </c>
      <c r="I819" s="61" t="str">
        <f>VLOOKUP(F819,'#对话模型配置'!A:O,15,FALSE)</f>
        <v>newbie_oversea_joa</v>
      </c>
      <c r="J819" s="20" t="s">
        <v>2932</v>
      </c>
      <c r="K819" s="127" t="s">
        <v>2933</v>
      </c>
      <c r="U819" s="20">
        <v>2</v>
      </c>
      <c r="V819" s="20">
        <v>0</v>
      </c>
      <c r="X819" s="71">
        <v>30011</v>
      </c>
      <c r="Y819" s="71" t="b">
        <v>0</v>
      </c>
      <c r="AA819" s="71" t="b">
        <v>0</v>
      </c>
      <c r="AE819" s="20">
        <f t="shared" si="83"/>
        <v>3</v>
      </c>
      <c r="AH819" s="61">
        <v>0.1</v>
      </c>
      <c r="AI819" s="61">
        <v>1</v>
      </c>
      <c r="AL819" s="108">
        <v>35</v>
      </c>
    </row>
    <row r="820" spans="1:38" ht="28.5">
      <c r="A820" s="20">
        <v>10607062</v>
      </c>
      <c r="B820" s="20" t="s">
        <v>2929</v>
      </c>
      <c r="C820" s="20">
        <v>1</v>
      </c>
      <c r="E820" s="20" t="s">
        <v>2632</v>
      </c>
      <c r="F820" s="20" t="s">
        <v>2633</v>
      </c>
      <c r="G820" s="20" t="str">
        <f>VLOOKUP(F820,'[1]#对话模型配置'!A:N,11,FALSE)</f>
        <v>TID_DialogueConf_1060001_name_CN_Main</v>
      </c>
      <c r="H820" s="61" t="s">
        <v>2331</v>
      </c>
      <c r="I820" s="61" t="str">
        <f>VLOOKUP(F820,'#对话模型配置'!A:O,15,FALSE)</f>
        <v>newbie_oversea_axe</v>
      </c>
      <c r="J820" s="20" t="s">
        <v>2934</v>
      </c>
      <c r="K820" s="127" t="s">
        <v>2935</v>
      </c>
      <c r="U820" s="20">
        <v>2</v>
      </c>
      <c r="V820" s="20">
        <v>0</v>
      </c>
      <c r="X820" s="71">
        <v>30011</v>
      </c>
      <c r="Y820" s="71" t="b">
        <v>0</v>
      </c>
      <c r="AA820" s="71" t="b">
        <v>0</v>
      </c>
      <c r="AE820" s="20">
        <f t="shared" si="83"/>
        <v>9</v>
      </c>
      <c r="AH820" s="61">
        <v>0.1</v>
      </c>
      <c r="AI820" s="61">
        <v>1</v>
      </c>
      <c r="AL820" s="108">
        <v>35</v>
      </c>
    </row>
    <row r="821" spans="1:38" ht="28.5">
      <c r="A821" s="20">
        <v>10607062</v>
      </c>
      <c r="B821" s="20" t="s">
        <v>2929</v>
      </c>
      <c r="C821" s="20">
        <v>2</v>
      </c>
      <c r="E821" s="20" t="s">
        <v>2632</v>
      </c>
      <c r="F821" s="20" t="s">
        <v>2637</v>
      </c>
      <c r="G821" s="20" t="str">
        <f>VLOOKUP(F821,'[1]#对话模型配置'!A:N,11,FALSE)</f>
        <v>TID_DialogueConf_1060001_name_337966742914_CN_Main</v>
      </c>
      <c r="H821" s="61" t="s">
        <v>2331</v>
      </c>
      <c r="I821" s="61" t="str">
        <f>VLOOKUP(F821,'#对话模型配置'!A:O,15,FALSE)</f>
        <v>newbie_oversea_andrea</v>
      </c>
      <c r="J821" s="20" t="s">
        <v>2936</v>
      </c>
      <c r="K821" s="127" t="s">
        <v>2937</v>
      </c>
      <c r="U821" s="20">
        <v>2</v>
      </c>
      <c r="V821" s="20">
        <v>0</v>
      </c>
      <c r="X821" s="71">
        <v>30011</v>
      </c>
      <c r="Y821" s="71" t="b">
        <v>0</v>
      </c>
      <c r="AA821" s="71" t="b">
        <v>0</v>
      </c>
      <c r="AE821" s="20">
        <f t="shared" si="83"/>
        <v>7</v>
      </c>
      <c r="AH821" s="61">
        <v>0.1</v>
      </c>
      <c r="AI821" s="61">
        <v>1</v>
      </c>
      <c r="AL821" s="108">
        <v>35</v>
      </c>
    </row>
    <row r="822" spans="1:38" ht="14.5">
      <c r="A822" s="20">
        <v>10607061</v>
      </c>
      <c r="B822" s="20" t="s">
        <v>2929</v>
      </c>
      <c r="C822" s="20">
        <v>1</v>
      </c>
      <c r="E822" s="20" t="s">
        <v>2632</v>
      </c>
      <c r="F822" s="20" t="s">
        <v>2850</v>
      </c>
      <c r="G822" s="20" t="str">
        <f>VLOOKUP(F822,'[1]#对话模型配置'!A:N,11,FALSE)</f>
        <v>TID_Name_wende_CN_Main</v>
      </c>
      <c r="H822" s="61" t="s">
        <v>2331</v>
      </c>
      <c r="I822" s="61" t="str">
        <f>VLOOKUP(F822,'#对话模型配置'!A:O,15,FALSE)</f>
        <v>newbie_oversea_leo</v>
      </c>
      <c r="J822" s="20" t="s">
        <v>2938</v>
      </c>
      <c r="K822" s="127" t="s">
        <v>2939</v>
      </c>
      <c r="U822" s="20">
        <v>2</v>
      </c>
      <c r="V822" s="20">
        <v>0</v>
      </c>
      <c r="X822" s="71">
        <v>30011</v>
      </c>
      <c r="Y822" s="71" t="b">
        <v>0</v>
      </c>
      <c r="AA822" s="71" t="b">
        <v>0</v>
      </c>
      <c r="AE822" s="20">
        <f t="shared" si="83"/>
        <v>3</v>
      </c>
      <c r="AH822" s="61">
        <v>0.1</v>
      </c>
      <c r="AI822" s="61">
        <v>1</v>
      </c>
      <c r="AL822" s="108">
        <v>35</v>
      </c>
    </row>
    <row r="823" spans="1:38" ht="28.5">
      <c r="A823" s="20">
        <v>10607061</v>
      </c>
      <c r="B823" s="20" t="s">
        <v>2929</v>
      </c>
      <c r="C823" s="20">
        <v>2</v>
      </c>
      <c r="E823" s="20" t="s">
        <v>2632</v>
      </c>
      <c r="F823" s="20" t="s">
        <v>2637</v>
      </c>
      <c r="G823" s="20" t="str">
        <f>VLOOKUP(F823,'[1]#对话模型配置'!A:N,11,FALSE)</f>
        <v>TID_DialogueConf_1060001_name_337966742914_CN_Main</v>
      </c>
      <c r="H823" s="61" t="s">
        <v>2331</v>
      </c>
      <c r="I823" s="61" t="str">
        <f>VLOOKUP(F823,'#对话模型配置'!A:O,15,FALSE)</f>
        <v>newbie_oversea_andrea</v>
      </c>
      <c r="J823" s="20" t="s">
        <v>2940</v>
      </c>
      <c r="K823" s="127" t="s">
        <v>2941</v>
      </c>
      <c r="U823" s="20">
        <v>2</v>
      </c>
      <c r="V823" s="20">
        <v>0</v>
      </c>
      <c r="X823" s="71">
        <v>30011</v>
      </c>
      <c r="Y823" s="71" t="b">
        <v>0</v>
      </c>
      <c r="AA823" s="71" t="b">
        <v>0</v>
      </c>
      <c r="AE823" s="20">
        <f t="shared" si="83"/>
        <v>9</v>
      </c>
      <c r="AH823" s="61">
        <v>0.1</v>
      </c>
      <c r="AI823" s="61">
        <v>1</v>
      </c>
      <c r="AL823" s="108">
        <v>35</v>
      </c>
    </row>
    <row r="824" spans="1:38" ht="14.5">
      <c r="A824" s="20">
        <v>1060707</v>
      </c>
      <c r="B824" s="20" t="s">
        <v>2942</v>
      </c>
      <c r="C824" s="20">
        <v>1</v>
      </c>
      <c r="E824" s="20" t="s">
        <v>2632</v>
      </c>
      <c r="F824" s="20" t="s">
        <v>2793</v>
      </c>
      <c r="G824" s="20" t="str">
        <f>VLOOKUP(F824,'[1]#对话模型配置'!A:N,11,FALSE)</f>
        <v>TID_DialogueConf_1060715_name_CN_Main</v>
      </c>
      <c r="H824" s="61" t="s">
        <v>2331</v>
      </c>
      <c r="I824" s="61" t="str">
        <f>VLOOKUP(F824,'#对话模型配置'!A:O,15,FALSE)</f>
        <v>newbie_oversea_joa</v>
      </c>
      <c r="J824" s="20" t="s">
        <v>2943</v>
      </c>
      <c r="K824" s="127" t="s">
        <v>2944</v>
      </c>
      <c r="U824" s="20">
        <v>2</v>
      </c>
      <c r="V824" s="20">
        <v>0</v>
      </c>
      <c r="X824" s="71">
        <v>30011</v>
      </c>
      <c r="Y824" s="71" t="b">
        <v>0</v>
      </c>
      <c r="AA824" s="71" t="b">
        <v>0</v>
      </c>
      <c r="AE824" s="20">
        <f t="shared" si="83"/>
        <v>3</v>
      </c>
      <c r="AH824" s="61">
        <v>0.1</v>
      </c>
      <c r="AI824" s="61">
        <v>1</v>
      </c>
      <c r="AL824" s="108">
        <v>35</v>
      </c>
    </row>
    <row r="825" spans="1:38" ht="28.5">
      <c r="A825" s="20">
        <v>1060707</v>
      </c>
      <c r="B825" s="20" t="s">
        <v>2942</v>
      </c>
      <c r="C825" s="20">
        <v>2</v>
      </c>
      <c r="E825" s="20" t="s">
        <v>2632</v>
      </c>
      <c r="F825" s="20" t="s">
        <v>2850</v>
      </c>
      <c r="G825" s="20" t="str">
        <f>VLOOKUP(F825,'[1]#对话模型配置'!A:N,11,FALSE)</f>
        <v>TID_Name_wende_CN_Main</v>
      </c>
      <c r="H825" s="61" t="s">
        <v>2331</v>
      </c>
      <c r="I825" s="61" t="str">
        <f>VLOOKUP(F825,'#对话模型配置'!A:O,15,FALSE)</f>
        <v>newbie_oversea_leo</v>
      </c>
      <c r="J825" s="20" t="s">
        <v>2945</v>
      </c>
      <c r="K825" s="127" t="s">
        <v>2946</v>
      </c>
      <c r="U825" s="20">
        <v>2</v>
      </c>
      <c r="V825" s="20">
        <v>0</v>
      </c>
      <c r="X825" s="71">
        <v>30011</v>
      </c>
      <c r="Y825" s="71" t="b">
        <v>0</v>
      </c>
      <c r="AA825" s="71" t="b">
        <v>0</v>
      </c>
      <c r="AE825" s="20">
        <f t="shared" si="83"/>
        <v>6</v>
      </c>
      <c r="AH825" s="61">
        <v>0.1</v>
      </c>
      <c r="AI825" s="61">
        <v>1</v>
      </c>
      <c r="AL825" s="108">
        <v>35</v>
      </c>
    </row>
    <row r="826" spans="1:38" ht="28.5">
      <c r="A826" s="20">
        <v>1060707</v>
      </c>
      <c r="B826" s="20" t="s">
        <v>2942</v>
      </c>
      <c r="C826" s="20">
        <v>3</v>
      </c>
      <c r="E826" s="20" t="s">
        <v>2632</v>
      </c>
      <c r="F826" s="20" t="s">
        <v>2850</v>
      </c>
      <c r="G826" s="20" t="str">
        <f>VLOOKUP(F826,'[1]#对话模型配置'!A:N,11,FALSE)</f>
        <v>TID_Name_wende_CN_Main</v>
      </c>
      <c r="H826" s="61" t="s">
        <v>2331</v>
      </c>
      <c r="I826" s="61" t="str">
        <f>VLOOKUP(F826,'#对话模型配置'!A:O,15,FALSE)</f>
        <v>newbie_oversea_leo</v>
      </c>
      <c r="J826" s="20" t="s">
        <v>2947</v>
      </c>
      <c r="K826" s="127" t="s">
        <v>2948</v>
      </c>
      <c r="U826" s="20">
        <v>2</v>
      </c>
      <c r="V826" s="20">
        <v>0</v>
      </c>
      <c r="X826" s="71">
        <v>30011</v>
      </c>
      <c r="Y826" s="71" t="b">
        <v>0</v>
      </c>
      <c r="AA826" s="71" t="b">
        <v>0</v>
      </c>
      <c r="AE826" s="20">
        <f t="shared" si="83"/>
        <v>10</v>
      </c>
      <c r="AH826" s="61">
        <v>0.1</v>
      </c>
      <c r="AI826" s="61">
        <v>1</v>
      </c>
      <c r="AL826" s="108">
        <v>35</v>
      </c>
    </row>
    <row r="827" spans="1:38" ht="28.5">
      <c r="A827" s="20">
        <v>1060707</v>
      </c>
      <c r="B827" s="20" t="s">
        <v>2942</v>
      </c>
      <c r="C827" s="20">
        <v>4</v>
      </c>
      <c r="E827" s="20" t="s">
        <v>2632</v>
      </c>
      <c r="F827" s="20" t="s">
        <v>2850</v>
      </c>
      <c r="G827" s="20" t="str">
        <f>VLOOKUP(F827,'[1]#对话模型配置'!A:N,11,FALSE)</f>
        <v>TID_Name_wende_CN_Main</v>
      </c>
      <c r="H827" s="61" t="s">
        <v>2331</v>
      </c>
      <c r="I827" s="61" t="str">
        <f>VLOOKUP(F827,'#对话模型配置'!A:O,15,FALSE)</f>
        <v>newbie_oversea_leo</v>
      </c>
      <c r="J827" s="20" t="s">
        <v>2949</v>
      </c>
      <c r="K827" s="127" t="s">
        <v>2950</v>
      </c>
      <c r="U827" s="20">
        <v>2</v>
      </c>
      <c r="V827" s="20">
        <v>0</v>
      </c>
      <c r="X827" s="71">
        <v>30011</v>
      </c>
      <c r="Y827" s="71" t="b">
        <v>0</v>
      </c>
      <c r="AA827" s="71" t="b">
        <v>0</v>
      </c>
      <c r="AE827" s="20">
        <f t="shared" si="83"/>
        <v>10</v>
      </c>
      <c r="AH827" s="61">
        <v>0.1</v>
      </c>
      <c r="AI827" s="61">
        <v>1</v>
      </c>
      <c r="AL827" s="108">
        <v>35</v>
      </c>
    </row>
    <row r="828" spans="1:38" ht="14.5">
      <c r="A828" s="20">
        <v>1060707</v>
      </c>
      <c r="B828" s="20" t="s">
        <v>2942</v>
      </c>
      <c r="C828" s="20">
        <v>5</v>
      </c>
      <c r="E828" s="20" t="s">
        <v>2632</v>
      </c>
      <c r="F828" s="20" t="s">
        <v>2793</v>
      </c>
      <c r="G828" s="20" t="str">
        <f>VLOOKUP(F828,'[1]#对话模型配置'!A:N,11,FALSE)</f>
        <v>TID_DialogueConf_1060715_name_CN_Main</v>
      </c>
      <c r="H828" s="61" t="s">
        <v>2331</v>
      </c>
      <c r="I828" s="61" t="str">
        <f>VLOOKUP(F828,'#对话模型配置'!A:O,15,FALSE)</f>
        <v>newbie_oversea_joa</v>
      </c>
      <c r="J828" s="20" t="s">
        <v>2951</v>
      </c>
      <c r="K828" s="127" t="s">
        <v>2952</v>
      </c>
      <c r="U828" s="20">
        <v>2</v>
      </c>
      <c r="V828" s="20">
        <v>0</v>
      </c>
      <c r="X828" s="71">
        <v>30011</v>
      </c>
      <c r="Y828" s="71" t="b">
        <v>0</v>
      </c>
      <c r="AA828" s="71" t="b">
        <v>0</v>
      </c>
      <c r="AE828" s="20">
        <f t="shared" si="83"/>
        <v>3</v>
      </c>
      <c r="AH828" s="61">
        <v>0.1</v>
      </c>
      <c r="AI828" s="61">
        <v>1</v>
      </c>
      <c r="AL828" s="108">
        <v>35</v>
      </c>
    </row>
    <row r="829" spans="1:38" ht="28.5">
      <c r="A829" s="20">
        <v>1060707</v>
      </c>
      <c r="B829" s="20" t="s">
        <v>2942</v>
      </c>
      <c r="C829" s="20">
        <v>6</v>
      </c>
      <c r="E829" s="20" t="s">
        <v>2632</v>
      </c>
      <c r="F829" s="20" t="s">
        <v>2850</v>
      </c>
      <c r="G829" s="20" t="str">
        <f>VLOOKUP(F829,'[1]#对话模型配置'!A:N,11,FALSE)</f>
        <v>TID_Name_wende_CN_Main</v>
      </c>
      <c r="H829" s="61" t="s">
        <v>2331</v>
      </c>
      <c r="I829" s="61" t="str">
        <f>VLOOKUP(F829,'#对话模型配置'!A:O,15,FALSE)</f>
        <v>newbie_oversea_leo</v>
      </c>
      <c r="J829" s="20" t="s">
        <v>2953</v>
      </c>
      <c r="K829" s="127" t="s">
        <v>2954</v>
      </c>
      <c r="U829" s="20">
        <v>2</v>
      </c>
      <c r="V829" s="20">
        <v>0</v>
      </c>
      <c r="X829" s="71">
        <v>30011</v>
      </c>
      <c r="Y829" s="71" t="b">
        <v>0</v>
      </c>
      <c r="AA829" s="71" t="b">
        <v>0</v>
      </c>
      <c r="AE829" s="20">
        <f t="shared" si="83"/>
        <v>9</v>
      </c>
      <c r="AH829" s="61">
        <v>0.1</v>
      </c>
      <c r="AI829" s="61">
        <v>1</v>
      </c>
      <c r="AL829" s="108">
        <v>35</v>
      </c>
    </row>
    <row r="830" spans="1:38" ht="14.5">
      <c r="A830" s="20">
        <v>1060708</v>
      </c>
      <c r="B830" s="20" t="s">
        <v>2955</v>
      </c>
      <c r="C830" s="20">
        <v>1</v>
      </c>
      <c r="E830" s="20" t="s">
        <v>2632</v>
      </c>
      <c r="F830" s="20" t="s">
        <v>2956</v>
      </c>
      <c r="G830" s="20" t="str">
        <f>VLOOKUP(F830,'[1]#对话模型配置'!A:N,11,FALSE)</f>
        <v>TID_Name_zhenni_CN_Main</v>
      </c>
      <c r="H830" s="61" t="s">
        <v>2331</v>
      </c>
      <c r="I830" s="61" t="str">
        <f>VLOOKUP(F830,'#对话模型配置'!A:O,15,FALSE)</f>
        <v>newbie_oversea_leo</v>
      </c>
      <c r="J830" s="20" t="s">
        <v>2957</v>
      </c>
      <c r="K830" s="127" t="s">
        <v>2958</v>
      </c>
      <c r="U830" s="20">
        <v>2</v>
      </c>
      <c r="V830" s="20">
        <v>0</v>
      </c>
      <c r="X830" s="71">
        <v>30011</v>
      </c>
      <c r="Y830" s="71" t="b">
        <v>0</v>
      </c>
      <c r="AA830" s="71" t="b">
        <v>0</v>
      </c>
      <c r="AE830" s="20">
        <f t="shared" si="83"/>
        <v>5</v>
      </c>
      <c r="AH830" s="61">
        <v>0.1</v>
      </c>
      <c r="AI830" s="61">
        <v>1</v>
      </c>
      <c r="AL830" s="108">
        <v>35</v>
      </c>
    </row>
    <row r="831" spans="1:38" ht="28.5">
      <c r="A831" s="20">
        <v>1060708</v>
      </c>
      <c r="B831" s="20" t="s">
        <v>2955</v>
      </c>
      <c r="C831" s="20">
        <v>2</v>
      </c>
      <c r="E831" s="20" t="s">
        <v>2632</v>
      </c>
      <c r="F831" s="20" t="s">
        <v>2959</v>
      </c>
      <c r="G831" s="20" t="str">
        <f>VLOOKUP(F831,'[1]#对话模型配置'!A:N,11,FALSE)</f>
        <v>TID_Name_baoluo_CN_Main</v>
      </c>
      <c r="H831" s="61" t="s">
        <v>2331</v>
      </c>
      <c r="I831" s="61" t="str">
        <f>VLOOKUP(F831,'#对话模型配置'!A:O,15,FALSE)</f>
        <v>newbie_oversea_enemy</v>
      </c>
      <c r="J831" s="20" t="s">
        <v>2960</v>
      </c>
      <c r="K831" s="127" t="s">
        <v>2961</v>
      </c>
      <c r="U831" s="20">
        <v>2</v>
      </c>
      <c r="V831" s="20">
        <v>0</v>
      </c>
      <c r="X831" s="71">
        <v>30011</v>
      </c>
      <c r="Y831" s="71" t="b">
        <v>0</v>
      </c>
      <c r="AA831" s="71" t="b">
        <v>0</v>
      </c>
      <c r="AE831" s="20">
        <f t="shared" si="83"/>
        <v>6</v>
      </c>
      <c r="AH831" s="61">
        <v>0.1</v>
      </c>
      <c r="AI831" s="61">
        <v>1</v>
      </c>
      <c r="AL831" s="108">
        <v>35</v>
      </c>
    </row>
    <row r="832" spans="1:38" ht="14.5">
      <c r="A832" s="20">
        <v>1060708</v>
      </c>
      <c r="B832" s="20" t="s">
        <v>2955</v>
      </c>
      <c r="C832" s="20">
        <v>3</v>
      </c>
      <c r="E832" s="20" t="s">
        <v>2632</v>
      </c>
      <c r="F832" s="20" t="s">
        <v>2959</v>
      </c>
      <c r="G832" s="20" t="str">
        <f>VLOOKUP(F832,'[1]#对话模型配置'!A:N,11,FALSE)</f>
        <v>TID_Name_baoluo_CN_Main</v>
      </c>
      <c r="H832" s="61" t="s">
        <v>2331</v>
      </c>
      <c r="I832" s="61" t="str">
        <f>VLOOKUP(F832,'#对话模型配置'!A:O,15,FALSE)</f>
        <v>newbie_oversea_enemy</v>
      </c>
      <c r="J832" s="20" t="s">
        <v>2962</v>
      </c>
      <c r="K832" s="127" t="s">
        <v>2963</v>
      </c>
      <c r="U832" s="20">
        <v>2</v>
      </c>
      <c r="V832" s="20">
        <v>0</v>
      </c>
      <c r="X832" s="71">
        <v>30011</v>
      </c>
      <c r="Y832" s="71" t="b">
        <v>0</v>
      </c>
      <c r="AA832" s="71" t="b">
        <v>0</v>
      </c>
      <c r="AE832" s="20">
        <f t="shared" si="83"/>
        <v>4</v>
      </c>
      <c r="AH832" s="61">
        <v>0.1</v>
      </c>
      <c r="AI832" s="61">
        <v>1</v>
      </c>
      <c r="AL832" s="108">
        <v>35</v>
      </c>
    </row>
    <row r="833" spans="1:38" ht="14.5">
      <c r="A833" s="20">
        <v>1060708</v>
      </c>
      <c r="B833" s="20" t="s">
        <v>2955</v>
      </c>
      <c r="C833" s="20">
        <v>4</v>
      </c>
      <c r="E833" s="20" t="s">
        <v>2632</v>
      </c>
      <c r="F833" s="20" t="s">
        <v>2959</v>
      </c>
      <c r="G833" s="20" t="str">
        <f>VLOOKUP(F833,'[1]#对话模型配置'!A:N,11,FALSE)</f>
        <v>TID_Name_baoluo_CN_Main</v>
      </c>
      <c r="H833" s="61" t="s">
        <v>2331</v>
      </c>
      <c r="I833" s="61" t="str">
        <f>VLOOKUP(F833,'#对话模型配置'!A:O,15,FALSE)</f>
        <v>newbie_oversea_enemy</v>
      </c>
      <c r="J833" s="20" t="s">
        <v>2964</v>
      </c>
      <c r="K833" s="127" t="s">
        <v>2965</v>
      </c>
      <c r="U833" s="20">
        <v>2</v>
      </c>
      <c r="V833" s="20">
        <v>0</v>
      </c>
      <c r="X833" s="71">
        <v>30011</v>
      </c>
      <c r="Y833" s="71" t="b">
        <v>0</v>
      </c>
      <c r="AA833" s="71" t="b">
        <v>0</v>
      </c>
      <c r="AE833" s="20">
        <f t="shared" si="83"/>
        <v>4</v>
      </c>
      <c r="AH833" s="61">
        <v>0.1</v>
      </c>
      <c r="AI833" s="61">
        <v>1</v>
      </c>
      <c r="AL833" s="108">
        <v>35</v>
      </c>
    </row>
    <row r="834" spans="1:38" ht="28.5">
      <c r="A834" s="20">
        <v>1060708</v>
      </c>
      <c r="B834" s="20" t="s">
        <v>2955</v>
      </c>
      <c r="C834" s="20">
        <v>5</v>
      </c>
      <c r="E834" s="20" t="s">
        <v>2632</v>
      </c>
      <c r="F834" s="20" t="s">
        <v>2959</v>
      </c>
      <c r="G834" s="20" t="str">
        <f>VLOOKUP(F834,'[1]#对话模型配置'!A:N,11,FALSE)</f>
        <v>TID_Name_baoluo_CN_Main</v>
      </c>
      <c r="H834" s="61" t="s">
        <v>2331</v>
      </c>
      <c r="I834" s="61" t="str">
        <f>VLOOKUP(F834,'#对话模型配置'!A:O,15,FALSE)</f>
        <v>newbie_oversea_enemy</v>
      </c>
      <c r="J834" s="20" t="s">
        <v>2966</v>
      </c>
      <c r="K834" s="127" t="s">
        <v>2967</v>
      </c>
      <c r="U834" s="20">
        <v>2</v>
      </c>
      <c r="V834" s="20">
        <v>0</v>
      </c>
      <c r="X834" s="71">
        <v>30011</v>
      </c>
      <c r="Y834" s="71" t="b">
        <v>0</v>
      </c>
      <c r="AA834" s="71" t="b">
        <v>0</v>
      </c>
      <c r="AE834" s="20">
        <f t="shared" si="83"/>
        <v>6</v>
      </c>
      <c r="AH834" s="61">
        <v>0.1</v>
      </c>
      <c r="AI834" s="61">
        <v>1</v>
      </c>
      <c r="AL834" s="108">
        <v>35</v>
      </c>
    </row>
    <row r="835" spans="1:38" ht="14.5">
      <c r="A835" s="20">
        <v>1060708</v>
      </c>
      <c r="B835" s="20" t="s">
        <v>2955</v>
      </c>
      <c r="C835" s="20">
        <v>6</v>
      </c>
      <c r="E835" s="20" t="s">
        <v>2632</v>
      </c>
      <c r="F835" s="20" t="s">
        <v>2959</v>
      </c>
      <c r="G835" s="20" t="str">
        <f>VLOOKUP(F835,'[1]#对话模型配置'!A:N,11,FALSE)</f>
        <v>TID_Name_baoluo_CN_Main</v>
      </c>
      <c r="H835" s="61" t="s">
        <v>2331</v>
      </c>
      <c r="I835" s="61" t="str">
        <f>VLOOKUP(F835,'#对话模型配置'!A:O,15,FALSE)</f>
        <v>newbie_oversea_enemy</v>
      </c>
      <c r="J835" s="20" t="s">
        <v>2968</v>
      </c>
      <c r="K835" s="127" t="s">
        <v>2969</v>
      </c>
      <c r="U835" s="20">
        <v>2</v>
      </c>
      <c r="V835" s="20">
        <v>0</v>
      </c>
      <c r="X835" s="71">
        <v>30011</v>
      </c>
      <c r="Y835" s="71" t="b">
        <v>0</v>
      </c>
      <c r="AA835" s="71" t="b">
        <v>0</v>
      </c>
      <c r="AE835" s="20">
        <f t="shared" si="83"/>
        <v>4</v>
      </c>
      <c r="AH835" s="61">
        <v>0.1</v>
      </c>
      <c r="AI835" s="61">
        <v>1</v>
      </c>
      <c r="AL835" s="108">
        <v>35</v>
      </c>
    </row>
    <row r="836" spans="1:38" ht="28.5">
      <c r="A836" s="20">
        <v>1060709</v>
      </c>
      <c r="B836" s="20" t="s">
        <v>2970</v>
      </c>
      <c r="C836" s="20">
        <v>1</v>
      </c>
      <c r="E836" s="20" t="s">
        <v>2632</v>
      </c>
      <c r="F836" s="20" t="s">
        <v>2850</v>
      </c>
      <c r="G836" s="20" t="str">
        <f>VLOOKUP(F836,'[1]#对话模型配置'!A:N,11,FALSE)</f>
        <v>TID_Name_wende_CN_Main</v>
      </c>
      <c r="H836" s="61" t="s">
        <v>2331</v>
      </c>
      <c r="I836" s="61" t="str">
        <f>VLOOKUP(F836,'#对话模型配置'!A:O,15,FALSE)</f>
        <v>newbie_oversea_leo</v>
      </c>
      <c r="J836" s="20" t="s">
        <v>2971</v>
      </c>
      <c r="K836" s="127" t="s">
        <v>2972</v>
      </c>
      <c r="U836" s="20">
        <v>2</v>
      </c>
      <c r="V836" s="20">
        <v>0</v>
      </c>
      <c r="X836" s="71">
        <v>30011</v>
      </c>
      <c r="Y836" s="71" t="b">
        <v>0</v>
      </c>
      <c r="AA836" s="71" t="b">
        <v>0</v>
      </c>
      <c r="AE836" s="20">
        <f t="shared" si="83"/>
        <v>7</v>
      </c>
      <c r="AH836" s="61">
        <v>0.1</v>
      </c>
      <c r="AI836" s="61">
        <v>1</v>
      </c>
      <c r="AL836" s="108">
        <v>35</v>
      </c>
    </row>
    <row r="837" spans="1:38" ht="28.5">
      <c r="A837" s="20">
        <v>1060709</v>
      </c>
      <c r="B837" s="20" t="s">
        <v>2970</v>
      </c>
      <c r="C837" s="20">
        <v>2</v>
      </c>
      <c r="E837" s="20" t="s">
        <v>2632</v>
      </c>
      <c r="F837" s="20" t="s">
        <v>2793</v>
      </c>
      <c r="G837" s="20" t="str">
        <f>VLOOKUP(F837,'[1]#对话模型配置'!A:N,11,FALSE)</f>
        <v>TID_DialogueConf_1060715_name_CN_Main</v>
      </c>
      <c r="H837" s="61" t="s">
        <v>2331</v>
      </c>
      <c r="I837" s="61" t="str">
        <f>VLOOKUP(F837,'#对话模型配置'!A:O,15,FALSE)</f>
        <v>newbie_oversea_joa</v>
      </c>
      <c r="J837" s="20" t="s">
        <v>2973</v>
      </c>
      <c r="K837" s="127" t="s">
        <v>2974</v>
      </c>
      <c r="U837" s="20">
        <v>2</v>
      </c>
      <c r="V837" s="20">
        <v>0</v>
      </c>
      <c r="X837" s="71">
        <v>30011</v>
      </c>
      <c r="Y837" s="71" t="b">
        <v>0</v>
      </c>
      <c r="AA837" s="71" t="b">
        <v>0</v>
      </c>
      <c r="AE837" s="20">
        <f t="shared" si="83"/>
        <v>8</v>
      </c>
      <c r="AH837" s="61">
        <v>0.1</v>
      </c>
      <c r="AI837" s="61">
        <v>1</v>
      </c>
      <c r="AL837" s="108">
        <v>35</v>
      </c>
    </row>
    <row r="838" spans="1:38" ht="28.5">
      <c r="A838" s="20">
        <v>1060709</v>
      </c>
      <c r="B838" s="20" t="s">
        <v>2970</v>
      </c>
      <c r="C838" s="20">
        <v>3</v>
      </c>
      <c r="E838" s="20" t="s">
        <v>2632</v>
      </c>
      <c r="F838" s="20" t="s">
        <v>2793</v>
      </c>
      <c r="G838" s="20" t="str">
        <f>VLOOKUP(F838,'[1]#对话模型配置'!A:N,11,FALSE)</f>
        <v>TID_DialogueConf_1060715_name_CN_Main</v>
      </c>
      <c r="H838" s="61" t="s">
        <v>2331</v>
      </c>
      <c r="I838" s="61" t="str">
        <f>VLOOKUP(F838,'#对话模型配置'!A:O,15,FALSE)</f>
        <v>newbie_oversea_joa</v>
      </c>
      <c r="J838" s="20" t="s">
        <v>2975</v>
      </c>
      <c r="K838" s="127" t="s">
        <v>2976</v>
      </c>
      <c r="U838" s="20">
        <v>2</v>
      </c>
      <c r="V838" s="20">
        <v>0</v>
      </c>
      <c r="X838" s="71">
        <v>30011</v>
      </c>
      <c r="Y838" s="71" t="b">
        <v>0</v>
      </c>
      <c r="AA838" s="71" t="b">
        <v>0</v>
      </c>
      <c r="AE838" s="20">
        <f t="shared" si="83"/>
        <v>8</v>
      </c>
      <c r="AH838" s="61">
        <v>0.1</v>
      </c>
      <c r="AI838" s="61">
        <v>1</v>
      </c>
      <c r="AL838" s="108">
        <v>35</v>
      </c>
    </row>
    <row r="839" spans="1:38" ht="28.5">
      <c r="A839" s="20">
        <v>1060709</v>
      </c>
      <c r="B839" s="20" t="s">
        <v>2970</v>
      </c>
      <c r="C839" s="20">
        <v>4</v>
      </c>
      <c r="E839" s="20" t="s">
        <v>2632</v>
      </c>
      <c r="F839" s="20" t="s">
        <v>2850</v>
      </c>
      <c r="G839" s="20" t="str">
        <f>VLOOKUP(F839,'[1]#对话模型配置'!A:N,11,FALSE)</f>
        <v>TID_Name_wende_CN_Main</v>
      </c>
      <c r="H839" s="61" t="s">
        <v>2331</v>
      </c>
      <c r="I839" s="61" t="str">
        <f>VLOOKUP(F839,'#对话模型配置'!A:O,15,FALSE)</f>
        <v>newbie_oversea_leo</v>
      </c>
      <c r="J839" s="20" t="s">
        <v>2977</v>
      </c>
      <c r="K839" s="127" t="s">
        <v>2978</v>
      </c>
      <c r="U839" s="20">
        <v>2</v>
      </c>
      <c r="V839" s="20">
        <v>0</v>
      </c>
      <c r="X839" s="71">
        <v>30011</v>
      </c>
      <c r="Y839" s="71" t="b">
        <v>0</v>
      </c>
      <c r="AA839" s="71" t="b">
        <v>0</v>
      </c>
      <c r="AE839" s="20">
        <f t="shared" si="83"/>
        <v>8</v>
      </c>
      <c r="AH839" s="61">
        <v>0.1</v>
      </c>
      <c r="AI839" s="61">
        <v>1</v>
      </c>
      <c r="AL839" s="108">
        <v>35</v>
      </c>
    </row>
    <row r="840" spans="1:38" ht="14.5">
      <c r="A840" s="20">
        <v>1060709</v>
      </c>
      <c r="B840" s="20" t="s">
        <v>2970</v>
      </c>
      <c r="C840" s="20">
        <v>5</v>
      </c>
      <c r="E840" s="20" t="s">
        <v>2632</v>
      </c>
      <c r="F840" s="20" t="s">
        <v>2793</v>
      </c>
      <c r="G840" s="20" t="str">
        <f>VLOOKUP(F840,'[1]#对话模型配置'!A:N,11,FALSE)</f>
        <v>TID_DialogueConf_1060715_name_CN_Main</v>
      </c>
      <c r="H840" s="61" t="s">
        <v>2331</v>
      </c>
      <c r="I840" s="61" t="str">
        <f>VLOOKUP(F840,'#对话模型配置'!A:O,15,FALSE)</f>
        <v>newbie_oversea_joa</v>
      </c>
      <c r="J840" s="20" t="s">
        <v>2979</v>
      </c>
      <c r="K840" s="127" t="s">
        <v>2980</v>
      </c>
      <c r="U840" s="20">
        <v>2</v>
      </c>
      <c r="V840" s="20">
        <v>0</v>
      </c>
      <c r="X840" s="71">
        <v>30011</v>
      </c>
      <c r="Y840" s="71" t="b">
        <v>0</v>
      </c>
      <c r="AA840" s="71" t="b">
        <v>0</v>
      </c>
      <c r="AE840" s="20">
        <f t="shared" si="83"/>
        <v>5</v>
      </c>
      <c r="AH840" s="61">
        <v>0.1</v>
      </c>
      <c r="AI840" s="61">
        <v>1</v>
      </c>
      <c r="AL840" s="108">
        <v>35</v>
      </c>
    </row>
    <row r="841" spans="1:38" ht="28.5">
      <c r="A841" s="20">
        <v>1060710</v>
      </c>
      <c r="B841" s="20" t="s">
        <v>2981</v>
      </c>
      <c r="C841" s="20">
        <v>1</v>
      </c>
      <c r="E841" s="20" t="s">
        <v>2632</v>
      </c>
      <c r="F841" s="20" t="s">
        <v>2637</v>
      </c>
      <c r="G841" s="20" t="str">
        <f>VLOOKUP(F841,'[1]#对话模型配置'!A:N,11,FALSE)</f>
        <v>TID_DialogueConf_1060001_name_337966742914_CN_Main</v>
      </c>
      <c r="H841" s="61" t="s">
        <v>2331</v>
      </c>
      <c r="I841" s="61" t="str">
        <f>VLOOKUP(F841,'#对话模型配置'!A:O,15,FALSE)</f>
        <v>newbie_oversea_andrea</v>
      </c>
      <c r="J841" s="20" t="s">
        <v>2982</v>
      </c>
      <c r="K841" s="127" t="s">
        <v>2983</v>
      </c>
      <c r="U841" s="20">
        <v>2</v>
      </c>
      <c r="V841" s="20">
        <v>0</v>
      </c>
      <c r="X841" s="71">
        <v>30011</v>
      </c>
      <c r="Y841" s="71" t="b">
        <v>0</v>
      </c>
      <c r="Z841" s="20" t="s">
        <v>2984</v>
      </c>
      <c r="AA841" s="71" t="b">
        <v>0</v>
      </c>
      <c r="AD841" s="20">
        <v>8.3647708892822301</v>
      </c>
      <c r="AE841" s="61">
        <f t="shared" ref="AE841:AE859" si="84">AD841+1</f>
        <v>9.3647708892822301</v>
      </c>
      <c r="AF841" s="61"/>
      <c r="AG841" s="61"/>
      <c r="AH841" s="61">
        <v>0.1</v>
      </c>
      <c r="AI841" s="61">
        <v>1</v>
      </c>
      <c r="AL841" s="108">
        <v>35</v>
      </c>
    </row>
    <row r="842" spans="1:38" ht="28.5">
      <c r="A842" s="20">
        <v>1060711</v>
      </c>
      <c r="B842" s="20" t="s">
        <v>2985</v>
      </c>
      <c r="C842" s="20">
        <v>1</v>
      </c>
      <c r="E842" s="20" t="s">
        <v>2632</v>
      </c>
      <c r="F842" s="20" t="s">
        <v>2793</v>
      </c>
      <c r="G842" s="20" t="str">
        <f>VLOOKUP(F842,'[1]#对话模型配置'!A:N,11,FALSE)</f>
        <v>TID_DialogueConf_1060715_name_CN_Main</v>
      </c>
      <c r="H842" s="61" t="s">
        <v>2331</v>
      </c>
      <c r="I842" s="61" t="str">
        <f>VLOOKUP(F842,'#对话模型配置'!A:O,15,FALSE)</f>
        <v>newbie_oversea_joa</v>
      </c>
      <c r="J842" s="20" t="s">
        <v>2986</v>
      </c>
      <c r="K842" s="127" t="s">
        <v>2987</v>
      </c>
      <c r="U842" s="20">
        <v>2</v>
      </c>
      <c r="V842" s="20">
        <v>0</v>
      </c>
      <c r="X842" s="71">
        <v>30011</v>
      </c>
      <c r="Y842" s="71" t="b">
        <v>0</v>
      </c>
      <c r="Z842" s="20" t="s">
        <v>2988</v>
      </c>
      <c r="AA842" s="71" t="b">
        <v>0</v>
      </c>
      <c r="AD842" s="20">
        <v>8.6383962631225604</v>
      </c>
      <c r="AE842" s="61">
        <f t="shared" si="84"/>
        <v>9.6383962631225604</v>
      </c>
      <c r="AF842" s="61"/>
      <c r="AG842" s="61"/>
      <c r="AH842" s="61">
        <v>0.1</v>
      </c>
      <c r="AI842" s="61">
        <v>1</v>
      </c>
      <c r="AL842" s="108">
        <v>35</v>
      </c>
    </row>
    <row r="843" spans="1:38" ht="14.5">
      <c r="A843" s="20">
        <v>1060711</v>
      </c>
      <c r="B843" s="20" t="s">
        <v>2985</v>
      </c>
      <c r="C843" s="20">
        <v>2</v>
      </c>
      <c r="E843" s="20" t="s">
        <v>2632</v>
      </c>
      <c r="F843" s="20" t="s">
        <v>2637</v>
      </c>
      <c r="G843" s="20" t="str">
        <f>VLOOKUP(F843,'[1]#对话模型配置'!A:N,11,FALSE)</f>
        <v>TID_DialogueConf_1060001_name_337966742914_CN_Main</v>
      </c>
      <c r="H843" s="61" t="s">
        <v>2331</v>
      </c>
      <c r="I843" s="61" t="str">
        <f>VLOOKUP(F843,'#对话模型配置'!A:O,15,FALSE)</f>
        <v>newbie_oversea_andrea</v>
      </c>
      <c r="J843" s="20" t="s">
        <v>2989</v>
      </c>
      <c r="K843" s="127" t="s">
        <v>2990</v>
      </c>
      <c r="U843" s="20">
        <v>2</v>
      </c>
      <c r="V843" s="20">
        <v>0</v>
      </c>
      <c r="X843" s="71">
        <v>30011</v>
      </c>
      <c r="Y843" s="71" t="b">
        <v>0</v>
      </c>
      <c r="Z843" s="20" t="s">
        <v>2991</v>
      </c>
      <c r="AA843" s="71" t="b">
        <v>0</v>
      </c>
      <c r="AD843" s="20">
        <v>2.45872902870178</v>
      </c>
      <c r="AE843" s="61">
        <f t="shared" si="84"/>
        <v>3.45872902870178</v>
      </c>
      <c r="AF843" s="61"/>
      <c r="AG843" s="61"/>
      <c r="AH843" s="61">
        <v>0.1</v>
      </c>
      <c r="AI843" s="61">
        <v>1</v>
      </c>
      <c r="AL843" s="108">
        <v>35</v>
      </c>
    </row>
    <row r="844" spans="1:38" ht="14.5">
      <c r="A844" s="20">
        <v>1060713</v>
      </c>
      <c r="B844" s="20" t="s">
        <v>2992</v>
      </c>
      <c r="C844" s="20">
        <v>1</v>
      </c>
      <c r="E844" s="20" t="s">
        <v>2632</v>
      </c>
      <c r="F844" s="20" t="s">
        <v>2633</v>
      </c>
      <c r="G844" s="20" t="str">
        <f>VLOOKUP(F844,'[1]#对话模型配置'!A:N,11,FALSE)</f>
        <v>TID_DialogueConf_1060001_name_CN_Main</v>
      </c>
      <c r="H844" s="61" t="s">
        <v>2331</v>
      </c>
      <c r="I844" s="61" t="str">
        <f>VLOOKUP(F844,'[2]#对话模型配置'!A:O,15,FALSE)</f>
        <v>newbie_oversea_axe</v>
      </c>
      <c r="J844" s="20" t="s">
        <v>2993</v>
      </c>
      <c r="K844" s="127" t="s">
        <v>2994</v>
      </c>
      <c r="U844" s="20">
        <v>2</v>
      </c>
      <c r="V844" s="20">
        <v>0</v>
      </c>
      <c r="X844" s="71">
        <v>30011</v>
      </c>
      <c r="Y844" s="71" t="b">
        <v>0</v>
      </c>
      <c r="Z844" s="20" t="s">
        <v>2995</v>
      </c>
      <c r="AA844" s="71" t="b">
        <v>0</v>
      </c>
      <c r="AD844" s="20">
        <v>2.5045208930969198</v>
      </c>
      <c r="AE844" s="61">
        <f t="shared" si="84"/>
        <v>3.5045208930969198</v>
      </c>
      <c r="AF844" s="61"/>
      <c r="AG844" s="61"/>
      <c r="AH844" s="61">
        <f>AE844</f>
        <v>3.5045208930969198</v>
      </c>
      <c r="AI844" s="61">
        <v>1</v>
      </c>
      <c r="AL844" s="108">
        <v>35</v>
      </c>
    </row>
    <row r="845" spans="1:38" ht="28.5">
      <c r="A845" s="20">
        <v>1060713</v>
      </c>
      <c r="B845" s="20" t="s">
        <v>2992</v>
      </c>
      <c r="C845" s="20">
        <v>2</v>
      </c>
      <c r="E845" s="20" t="s">
        <v>2632</v>
      </c>
      <c r="F845" s="20" t="s">
        <v>2775</v>
      </c>
      <c r="G845" s="20" t="str">
        <f>VLOOKUP(F845,'[1]#对话模型配置'!A:N,11,FALSE)</f>
        <v>TID_Name_tuerkan_CN_Main</v>
      </c>
      <c r="H845" s="61" t="s">
        <v>2331</v>
      </c>
      <c r="I845" s="61" t="str">
        <f>VLOOKUP(F845,'[2]#对话模型配置'!A:O,15,FALSE)</f>
        <v>newbie_oversea_enemy</v>
      </c>
      <c r="J845" s="20" t="s">
        <v>2996</v>
      </c>
      <c r="K845" s="127" t="s">
        <v>2997</v>
      </c>
      <c r="U845" s="20">
        <v>2</v>
      </c>
      <c r="V845" s="20">
        <v>0</v>
      </c>
      <c r="X845" s="71">
        <v>30011</v>
      </c>
      <c r="Y845" s="71" t="b">
        <v>0</v>
      </c>
      <c r="Z845" s="20" t="s">
        <v>2998</v>
      </c>
      <c r="AA845" s="71" t="b">
        <v>0</v>
      </c>
      <c r="AD845" s="20">
        <v>6.8349590301513699</v>
      </c>
      <c r="AE845" s="61">
        <f t="shared" si="84"/>
        <v>7.8349590301513699</v>
      </c>
      <c r="AF845" s="61"/>
      <c r="AG845" s="61"/>
      <c r="AH845" s="61">
        <f t="shared" ref="AH845:AH853" si="85">AE845</f>
        <v>7.8349590301513699</v>
      </c>
      <c r="AI845" s="61">
        <v>1</v>
      </c>
      <c r="AL845" s="108">
        <v>35</v>
      </c>
    </row>
    <row r="846" spans="1:38" ht="14.5">
      <c r="A846" s="20">
        <v>1060713</v>
      </c>
      <c r="B846" s="20" t="s">
        <v>2992</v>
      </c>
      <c r="C846" s="20">
        <v>3</v>
      </c>
      <c r="E846" s="20" t="s">
        <v>2632</v>
      </c>
      <c r="F846" s="20" t="s">
        <v>2775</v>
      </c>
      <c r="G846" s="20" t="str">
        <f>VLOOKUP(F846,'[1]#对话模型配置'!A:N,11,FALSE)</f>
        <v>TID_Name_tuerkan_CN_Main</v>
      </c>
      <c r="H846" s="61" t="s">
        <v>2331</v>
      </c>
      <c r="I846" s="61" t="str">
        <f>VLOOKUP(F846,'[2]#对话模型配置'!A:O,15,FALSE)</f>
        <v>newbie_oversea_enemy</v>
      </c>
      <c r="J846" s="20" t="s">
        <v>2999</v>
      </c>
      <c r="K846" s="127" t="s">
        <v>3000</v>
      </c>
      <c r="U846" s="20">
        <v>2</v>
      </c>
      <c r="V846" s="20">
        <v>0</v>
      </c>
      <c r="X846" s="71">
        <v>30011</v>
      </c>
      <c r="Y846" s="71" t="b">
        <v>0</v>
      </c>
      <c r="Z846" s="20" t="s">
        <v>3001</v>
      </c>
      <c r="AA846" s="71" t="b">
        <v>0</v>
      </c>
      <c r="AD846" s="20">
        <v>4.4568119049072301</v>
      </c>
      <c r="AE846" s="61">
        <f t="shared" si="84"/>
        <v>5.4568119049072301</v>
      </c>
      <c r="AF846" s="61"/>
      <c r="AG846" s="61"/>
      <c r="AH846" s="61">
        <f t="shared" si="85"/>
        <v>5.4568119049072301</v>
      </c>
      <c r="AI846" s="61">
        <v>1</v>
      </c>
      <c r="AL846" s="108">
        <v>35</v>
      </c>
    </row>
    <row r="847" spans="1:38" ht="14.5">
      <c r="A847" s="20">
        <v>1060713</v>
      </c>
      <c r="B847" s="20" t="s">
        <v>2992</v>
      </c>
      <c r="C847" s="20">
        <v>4</v>
      </c>
      <c r="E847" s="20" t="s">
        <v>2632</v>
      </c>
      <c r="F847" s="20" t="s">
        <v>3002</v>
      </c>
      <c r="G847" s="20" t="str">
        <f>VLOOKUP(F847,'[1]#对话模型配置'!A:N,11,FALSE)</f>
        <v>TID_Name_manzushibing_CN_Main</v>
      </c>
      <c r="H847" s="61" t="s">
        <v>2331</v>
      </c>
      <c r="I847" s="61" t="s">
        <v>3003</v>
      </c>
      <c r="J847" s="20" t="s">
        <v>3004</v>
      </c>
      <c r="K847" s="127" t="s">
        <v>3005</v>
      </c>
      <c r="U847" s="20">
        <v>2</v>
      </c>
      <c r="V847" s="20">
        <v>0</v>
      </c>
      <c r="X847" s="71">
        <v>30011</v>
      </c>
      <c r="Y847" s="71" t="b">
        <v>0</v>
      </c>
      <c r="Z847" s="20" t="s">
        <v>3006</v>
      </c>
      <c r="AA847" s="71" t="b">
        <v>0</v>
      </c>
      <c r="AD847" s="20">
        <v>1.4595210552215601</v>
      </c>
      <c r="AE847" s="61">
        <f t="shared" si="84"/>
        <v>2.4595210552215603</v>
      </c>
      <c r="AF847" s="61"/>
      <c r="AG847" s="61"/>
      <c r="AH847" s="61">
        <f t="shared" si="85"/>
        <v>2.4595210552215603</v>
      </c>
      <c r="AI847" s="61">
        <v>1</v>
      </c>
      <c r="AL847" s="108">
        <v>35</v>
      </c>
    </row>
    <row r="848" spans="1:38" ht="28.5">
      <c r="A848" s="20">
        <v>1060713</v>
      </c>
      <c r="B848" s="20" t="s">
        <v>2992</v>
      </c>
      <c r="C848" s="20">
        <v>5</v>
      </c>
      <c r="E848" s="20" t="s">
        <v>2632</v>
      </c>
      <c r="F848" s="20" t="s">
        <v>2775</v>
      </c>
      <c r="G848" s="20" t="str">
        <f>VLOOKUP(F848,'[1]#对话模型配置'!A:N,11,FALSE)</f>
        <v>TID_Name_tuerkan_CN_Main</v>
      </c>
      <c r="H848" s="61" t="s">
        <v>2331</v>
      </c>
      <c r="I848" s="61" t="str">
        <f>VLOOKUP(F848,'[2]#对话模型配置'!A:O,15,FALSE)</f>
        <v>newbie_oversea_enemy</v>
      </c>
      <c r="J848" s="20" t="s">
        <v>3007</v>
      </c>
      <c r="K848" s="127" t="s">
        <v>3008</v>
      </c>
      <c r="U848" s="20">
        <v>2</v>
      </c>
      <c r="V848" s="20">
        <v>0</v>
      </c>
      <c r="X848" s="71">
        <v>30011</v>
      </c>
      <c r="Y848" s="71" t="b">
        <v>0</v>
      </c>
      <c r="Z848" s="20" t="s">
        <v>3009</v>
      </c>
      <c r="AA848" s="71" t="b">
        <v>0</v>
      </c>
      <c r="AD848" s="20">
        <v>14.737957954406699</v>
      </c>
      <c r="AE848" s="61">
        <f t="shared" si="84"/>
        <v>15.737957954406699</v>
      </c>
      <c r="AF848" s="61"/>
      <c r="AG848" s="61"/>
      <c r="AH848" s="61">
        <f t="shared" si="85"/>
        <v>15.737957954406699</v>
      </c>
      <c r="AI848" s="61">
        <v>1</v>
      </c>
      <c r="AL848" s="108">
        <v>35</v>
      </c>
    </row>
    <row r="849" spans="1:38" ht="14.5">
      <c r="A849" s="20">
        <v>1060714</v>
      </c>
      <c r="B849" s="20" t="s">
        <v>2992</v>
      </c>
      <c r="C849" s="20">
        <v>1</v>
      </c>
      <c r="E849" s="20" t="s">
        <v>2632</v>
      </c>
      <c r="F849" s="20" t="s">
        <v>2637</v>
      </c>
      <c r="G849" s="20" t="str">
        <f>VLOOKUP(F849,'[1]#对话模型配置'!A:N,11,FALSE)</f>
        <v>TID_DialogueConf_1060001_name_337966742914_CN_Main</v>
      </c>
      <c r="H849" s="61" t="s">
        <v>2331</v>
      </c>
      <c r="I849" s="61" t="str">
        <f>VLOOKUP(F849,'[2]#对话模型配置'!A:O,15,FALSE)</f>
        <v>newbie_oversea_andrea</v>
      </c>
      <c r="J849" s="20" t="s">
        <v>3010</v>
      </c>
      <c r="K849" s="127" t="s">
        <v>3011</v>
      </c>
      <c r="U849" s="20">
        <v>2</v>
      </c>
      <c r="V849" s="20">
        <v>0</v>
      </c>
      <c r="X849" s="71">
        <v>30011</v>
      </c>
      <c r="Y849" s="71" t="b">
        <v>0</v>
      </c>
      <c r="Z849" s="20" t="s">
        <v>3012</v>
      </c>
      <c r="AA849" s="71" t="b">
        <v>0</v>
      </c>
      <c r="AD849" s="20">
        <v>5.3291249275207502</v>
      </c>
      <c r="AE849" s="61">
        <f t="shared" si="84"/>
        <v>6.3291249275207502</v>
      </c>
      <c r="AF849" s="61"/>
      <c r="AG849" s="61"/>
      <c r="AH849" s="61">
        <f t="shared" si="85"/>
        <v>6.3291249275207502</v>
      </c>
      <c r="AI849" s="61">
        <v>1</v>
      </c>
      <c r="AL849" s="108">
        <v>35</v>
      </c>
    </row>
    <row r="850" spans="1:38" ht="14.5">
      <c r="A850" s="20">
        <v>1060714</v>
      </c>
      <c r="B850" s="20" t="s">
        <v>2992</v>
      </c>
      <c r="C850" s="20">
        <v>2</v>
      </c>
      <c r="E850" s="20" t="s">
        <v>2632</v>
      </c>
      <c r="F850" s="20" t="s">
        <v>2793</v>
      </c>
      <c r="G850" s="20" t="str">
        <f>VLOOKUP(F850,'[1]#对话模型配置'!A:N,11,FALSE)</f>
        <v>TID_DialogueConf_1060715_name_CN_Main</v>
      </c>
      <c r="H850" s="61" t="s">
        <v>2331</v>
      </c>
      <c r="I850" s="61" t="str">
        <f>VLOOKUP(F850,'[2]#对话模型配置'!A:O,15,FALSE)</f>
        <v>newbie_oversea_joa</v>
      </c>
      <c r="J850" s="20" t="s">
        <v>3013</v>
      </c>
      <c r="K850" s="127" t="s">
        <v>3014</v>
      </c>
      <c r="U850" s="20">
        <v>2</v>
      </c>
      <c r="V850" s="20">
        <v>0</v>
      </c>
      <c r="X850" s="71">
        <v>30011</v>
      </c>
      <c r="Y850" s="71" t="b">
        <v>0</v>
      </c>
      <c r="Z850" s="20" t="s">
        <v>3015</v>
      </c>
      <c r="AA850" s="71" t="b">
        <v>0</v>
      </c>
      <c r="AD850" s="20">
        <v>1.6886459589004501</v>
      </c>
      <c r="AE850" s="61">
        <f t="shared" si="84"/>
        <v>2.6886459589004499</v>
      </c>
      <c r="AF850" s="61"/>
      <c r="AG850" s="61"/>
      <c r="AH850" s="61">
        <f t="shared" si="85"/>
        <v>2.6886459589004499</v>
      </c>
      <c r="AI850" s="61">
        <v>1</v>
      </c>
      <c r="AL850" s="108">
        <v>35</v>
      </c>
    </row>
    <row r="851" spans="1:38" ht="14.5">
      <c r="A851" s="20">
        <v>1060714</v>
      </c>
      <c r="B851" s="20" t="s">
        <v>2992</v>
      </c>
      <c r="C851" s="20">
        <v>3</v>
      </c>
      <c r="E851" s="20" t="s">
        <v>2632</v>
      </c>
      <c r="F851" s="20" t="s">
        <v>2637</v>
      </c>
      <c r="G851" s="20" t="str">
        <f>VLOOKUP(F851,'[1]#对话模型配置'!A:N,11,FALSE)</f>
        <v>TID_DialogueConf_1060001_name_337966742914_CN_Main</v>
      </c>
      <c r="H851" s="61" t="s">
        <v>2331</v>
      </c>
      <c r="I851" s="61" t="str">
        <f>VLOOKUP(F851,'[2]#对话模型配置'!A:O,15,FALSE)</f>
        <v>newbie_oversea_andrea</v>
      </c>
      <c r="J851" s="20" t="s">
        <v>3016</v>
      </c>
      <c r="K851" s="128" t="s">
        <v>3017</v>
      </c>
      <c r="U851" s="20">
        <v>2</v>
      </c>
      <c r="V851" s="20">
        <v>0</v>
      </c>
      <c r="X851" s="71">
        <v>30011</v>
      </c>
      <c r="Y851" s="71" t="b">
        <v>0</v>
      </c>
      <c r="Z851" s="20" t="s">
        <v>3015</v>
      </c>
      <c r="AA851" s="71" t="b">
        <v>0</v>
      </c>
      <c r="AD851" s="20">
        <v>1.6886459589004501</v>
      </c>
      <c r="AE851" s="61">
        <f t="shared" si="84"/>
        <v>2.6886459589004499</v>
      </c>
      <c r="AF851" s="61"/>
      <c r="AG851" s="61"/>
      <c r="AH851" s="61">
        <f t="shared" si="85"/>
        <v>2.6886459589004499</v>
      </c>
      <c r="AI851" s="61">
        <v>1</v>
      </c>
      <c r="AL851" s="108">
        <v>35</v>
      </c>
    </row>
    <row r="852" spans="1:38" ht="14.15" customHeight="1">
      <c r="A852" s="20">
        <v>10607141</v>
      </c>
      <c r="B852" s="20" t="s">
        <v>2992</v>
      </c>
      <c r="C852" s="20">
        <v>1</v>
      </c>
      <c r="E852" s="20" t="s">
        <v>2632</v>
      </c>
      <c r="F852" s="20" t="s">
        <v>2637</v>
      </c>
      <c r="G852" s="20" t="str">
        <f>VLOOKUP(F852,'[1]#对话模型配置'!A:N,11,FALSE)</f>
        <v>TID_DialogueConf_1060001_name_337966742914_CN_Main</v>
      </c>
      <c r="H852" s="61" t="s">
        <v>2331</v>
      </c>
      <c r="I852" s="61" t="str">
        <f>VLOOKUP(F852,'[2]#对话模型配置'!A:O,15,FALSE)</f>
        <v>newbie_oversea_andrea</v>
      </c>
      <c r="J852" s="20" t="s">
        <v>3018</v>
      </c>
      <c r="K852" s="128" t="s">
        <v>3019</v>
      </c>
      <c r="U852" s="20">
        <v>2</v>
      </c>
      <c r="V852" s="20">
        <v>0</v>
      </c>
      <c r="X852" s="71">
        <v>30011</v>
      </c>
      <c r="Y852" s="71" t="b">
        <v>0</v>
      </c>
      <c r="Z852" s="20" t="s">
        <v>3020</v>
      </c>
      <c r="AA852" s="71" t="b">
        <v>0</v>
      </c>
      <c r="AD852" s="20">
        <v>2.1197080612182599</v>
      </c>
      <c r="AE852" s="61">
        <f t="shared" si="84"/>
        <v>3.1197080612182599</v>
      </c>
      <c r="AF852" s="61"/>
      <c r="AG852" s="61"/>
      <c r="AH852" s="61">
        <f t="shared" si="85"/>
        <v>3.1197080612182599</v>
      </c>
      <c r="AI852" s="61">
        <v>1</v>
      </c>
      <c r="AL852" s="108">
        <v>35</v>
      </c>
    </row>
    <row r="853" spans="1:38" ht="14.5">
      <c r="A853" s="20">
        <v>1060715</v>
      </c>
      <c r="B853" s="20" t="s">
        <v>2992</v>
      </c>
      <c r="C853" s="20">
        <v>1</v>
      </c>
      <c r="E853" s="20" t="s">
        <v>2632</v>
      </c>
      <c r="F853" s="20" t="s">
        <v>2775</v>
      </c>
      <c r="G853" s="20" t="str">
        <f>VLOOKUP(F853,'[1]#对话模型配置'!A:N,11,FALSE)</f>
        <v>TID_Name_tuerkan_CN_Main</v>
      </c>
      <c r="H853" s="61" t="s">
        <v>2331</v>
      </c>
      <c r="I853" s="61" t="str">
        <f>VLOOKUP(F853,'[2]#对话模型配置'!A:O,15,FALSE)</f>
        <v>newbie_oversea_enemy</v>
      </c>
      <c r="J853" s="20" t="s">
        <v>3021</v>
      </c>
      <c r="K853" s="127" t="s">
        <v>3022</v>
      </c>
      <c r="U853" s="20">
        <v>2</v>
      </c>
      <c r="V853" s="20">
        <v>0</v>
      </c>
      <c r="X853" s="71">
        <v>30011</v>
      </c>
      <c r="Y853" s="71" t="b">
        <v>0</v>
      </c>
      <c r="Z853" s="20" t="s">
        <v>3023</v>
      </c>
      <c r="AA853" s="71" t="b">
        <v>0</v>
      </c>
      <c r="AD853" s="20">
        <v>2.0279169082641602</v>
      </c>
      <c r="AE853" s="61">
        <f t="shared" si="84"/>
        <v>3.0279169082641602</v>
      </c>
      <c r="AF853" s="61"/>
      <c r="AG853" s="61"/>
      <c r="AH853" s="61">
        <f t="shared" si="85"/>
        <v>3.0279169082641602</v>
      </c>
      <c r="AI853" s="61">
        <v>1</v>
      </c>
      <c r="AL853" s="108">
        <v>35</v>
      </c>
    </row>
    <row r="854" spans="1:38" ht="14.5">
      <c r="A854" s="20">
        <v>1060722</v>
      </c>
      <c r="B854" s="20" t="s">
        <v>2820</v>
      </c>
      <c r="C854" s="20">
        <v>1</v>
      </c>
      <c r="E854" s="20" t="s">
        <v>2632</v>
      </c>
      <c r="F854" s="20" t="s">
        <v>2775</v>
      </c>
      <c r="G854" s="20" t="str">
        <f>VLOOKUP(F854,'[1]#对话模型配置'!A:N,11,FALSE)</f>
        <v>TID_Name_tuerkan_CN_Main</v>
      </c>
      <c r="H854" s="61" t="s">
        <v>2331</v>
      </c>
      <c r="I854" s="61" t="str">
        <f>VLOOKUP(F854,'#对话模型配置'!A:O,15,FALSE)</f>
        <v>newbie_oversea_enemy</v>
      </c>
      <c r="J854" s="20" t="s">
        <v>3024</v>
      </c>
      <c r="K854" s="127" t="s">
        <v>3025</v>
      </c>
      <c r="U854" s="20">
        <v>2</v>
      </c>
      <c r="V854" s="20">
        <v>0</v>
      </c>
      <c r="X854" s="71">
        <v>30011</v>
      </c>
      <c r="Y854" s="71" t="b">
        <v>0</v>
      </c>
      <c r="Z854" s="20" t="s">
        <v>3026</v>
      </c>
      <c r="AA854" s="71" t="b">
        <v>0</v>
      </c>
      <c r="AD854" s="20">
        <v>5.7935829162597701</v>
      </c>
      <c r="AE854" s="61">
        <f t="shared" si="84"/>
        <v>6.7935829162597701</v>
      </c>
      <c r="AF854" s="61"/>
      <c r="AG854" s="61"/>
      <c r="AH854" s="61">
        <v>0.1</v>
      </c>
      <c r="AI854" s="61">
        <v>1</v>
      </c>
      <c r="AL854" s="108">
        <v>35</v>
      </c>
    </row>
    <row r="855" spans="1:38" ht="14.5">
      <c r="A855" s="20">
        <v>1060722</v>
      </c>
      <c r="B855" s="20" t="s">
        <v>2820</v>
      </c>
      <c r="C855" s="20">
        <v>2</v>
      </c>
      <c r="E855" s="20" t="s">
        <v>2632</v>
      </c>
      <c r="F855" s="20" t="s">
        <v>2775</v>
      </c>
      <c r="G855" s="20" t="str">
        <f>VLOOKUP(F855,'[1]#对话模型配置'!A:N,11,FALSE)</f>
        <v>TID_Name_tuerkan_CN_Main</v>
      </c>
      <c r="H855" s="61" t="s">
        <v>2331</v>
      </c>
      <c r="I855" s="61" t="str">
        <f>VLOOKUP(F855,'#对话模型配置'!A:O,15,FALSE)</f>
        <v>newbie_oversea_enemy</v>
      </c>
      <c r="J855" s="20" t="s">
        <v>3027</v>
      </c>
      <c r="K855" s="127" t="s">
        <v>3028</v>
      </c>
      <c r="U855" s="20">
        <v>2</v>
      </c>
      <c r="V855" s="20">
        <v>0</v>
      </c>
      <c r="X855" s="71">
        <v>30011</v>
      </c>
      <c r="Y855" s="71" t="b">
        <v>0</v>
      </c>
      <c r="Z855" s="20" t="s">
        <v>3029</v>
      </c>
      <c r="AA855" s="71" t="b">
        <v>0</v>
      </c>
      <c r="AD855" s="20">
        <v>8.0037078857421893</v>
      </c>
      <c r="AE855" s="61">
        <f t="shared" si="84"/>
        <v>9.0037078857421893</v>
      </c>
      <c r="AF855" s="61"/>
      <c r="AG855" s="61"/>
      <c r="AH855" s="61">
        <v>0.1</v>
      </c>
      <c r="AI855" s="61">
        <v>1</v>
      </c>
      <c r="AL855" s="108">
        <v>35</v>
      </c>
    </row>
    <row r="856" spans="1:38" ht="14.5">
      <c r="A856" s="20">
        <v>1060722</v>
      </c>
      <c r="B856" s="20" t="s">
        <v>2820</v>
      </c>
      <c r="C856" s="20">
        <v>3</v>
      </c>
      <c r="E856" s="20" t="s">
        <v>2632</v>
      </c>
      <c r="F856" s="20" t="s">
        <v>2637</v>
      </c>
      <c r="G856" s="20" t="str">
        <f>VLOOKUP(F856,'[1]#对话模型配置'!A:N,11,FALSE)</f>
        <v>TID_DialogueConf_1060001_name_337966742914_CN_Main</v>
      </c>
      <c r="H856" s="61" t="s">
        <v>2331</v>
      </c>
      <c r="I856" s="61" t="str">
        <f>VLOOKUP(F856,'#对话模型配置'!A:O,15,FALSE)</f>
        <v>newbie_oversea_andrea</v>
      </c>
      <c r="J856" s="20" t="s">
        <v>3030</v>
      </c>
      <c r="K856" s="127" t="s">
        <v>3031</v>
      </c>
      <c r="U856" s="20">
        <v>2</v>
      </c>
      <c r="V856" s="20">
        <v>0</v>
      </c>
      <c r="X856" s="71">
        <v>30011</v>
      </c>
      <c r="Y856" s="71" t="b">
        <v>0</v>
      </c>
      <c r="Z856" s="20" t="s">
        <v>3032</v>
      </c>
      <c r="AA856" s="71" t="b">
        <v>0</v>
      </c>
      <c r="AD856" s="20">
        <v>3.6546869277954102</v>
      </c>
      <c r="AE856" s="61">
        <f t="shared" si="84"/>
        <v>4.6546869277954102</v>
      </c>
      <c r="AF856" s="61"/>
      <c r="AG856" s="61"/>
      <c r="AH856" s="61">
        <v>0.1</v>
      </c>
      <c r="AI856" s="61">
        <v>1</v>
      </c>
      <c r="AL856" s="108">
        <v>35</v>
      </c>
    </row>
    <row r="857" spans="1:38" ht="14.5">
      <c r="A857" s="20">
        <v>1060722</v>
      </c>
      <c r="B857" s="20" t="s">
        <v>2820</v>
      </c>
      <c r="C857" s="20">
        <v>4</v>
      </c>
      <c r="E857" s="20" t="s">
        <v>2632</v>
      </c>
      <c r="F857" s="20" t="s">
        <v>2793</v>
      </c>
      <c r="G857" s="20" t="str">
        <f>VLOOKUP(F857,'[1]#对话模型配置'!A:N,11,FALSE)</f>
        <v>TID_DialogueConf_1060715_name_CN_Main</v>
      </c>
      <c r="H857" s="61" t="s">
        <v>2331</v>
      </c>
      <c r="I857" s="61" t="str">
        <f>VLOOKUP(F857,'#对话模型配置'!A:O,15,FALSE)</f>
        <v>newbie_oversea_joa</v>
      </c>
      <c r="J857" s="20" t="s">
        <v>3033</v>
      </c>
      <c r="K857" s="127" t="s">
        <v>3034</v>
      </c>
      <c r="U857" s="20">
        <v>2</v>
      </c>
      <c r="V857" s="20">
        <v>0</v>
      </c>
      <c r="X857" s="71">
        <v>30011</v>
      </c>
      <c r="Y857" s="71" t="b">
        <v>0</v>
      </c>
      <c r="Z857" s="20" t="s">
        <v>3035</v>
      </c>
      <c r="AA857" s="71" t="b">
        <v>0</v>
      </c>
      <c r="AD857" s="20">
        <v>4.8904790878295898</v>
      </c>
      <c r="AE857" s="61">
        <f t="shared" si="84"/>
        <v>5.8904790878295898</v>
      </c>
      <c r="AF857" s="61"/>
      <c r="AG857" s="61"/>
      <c r="AH857" s="61">
        <v>0.1</v>
      </c>
      <c r="AI857" s="61">
        <v>1</v>
      </c>
      <c r="AL857" s="108">
        <v>35</v>
      </c>
    </row>
    <row r="858" spans="1:38" ht="28.5">
      <c r="A858" s="20">
        <v>1060726</v>
      </c>
      <c r="B858" s="20" t="s">
        <v>2970</v>
      </c>
      <c r="C858" s="20">
        <v>1</v>
      </c>
      <c r="E858" s="20" t="s">
        <v>2632</v>
      </c>
      <c r="F858" s="20" t="s">
        <v>2633</v>
      </c>
      <c r="G858" s="20" t="str">
        <f>VLOOKUP(F858,'[1]#对话模型配置'!A:N,11,FALSE)</f>
        <v>TID_DialogueConf_1060001_name_CN_Main</v>
      </c>
      <c r="H858" s="61" t="s">
        <v>2331</v>
      </c>
      <c r="I858" s="61" t="str">
        <f>VLOOKUP(F858,'#对话模型配置'!A:O,15,FALSE)</f>
        <v>newbie_oversea_axe</v>
      </c>
      <c r="J858" s="20" t="s">
        <v>3036</v>
      </c>
      <c r="K858" s="127" t="s">
        <v>3037</v>
      </c>
      <c r="U858" s="20">
        <v>2</v>
      </c>
      <c r="V858" s="20">
        <v>0</v>
      </c>
      <c r="X858" s="71">
        <v>30011</v>
      </c>
      <c r="Y858" s="71" t="b">
        <v>0</v>
      </c>
      <c r="Z858" s="20" t="s">
        <v>3038</v>
      </c>
      <c r="AA858" s="71" t="b">
        <v>0</v>
      </c>
      <c r="AD858" s="20">
        <v>9.1367502212524396</v>
      </c>
      <c r="AE858" s="61">
        <f t="shared" si="84"/>
        <v>10.13675022125244</v>
      </c>
      <c r="AF858" s="61"/>
      <c r="AG858" s="61"/>
      <c r="AH858" s="61">
        <v>0.1</v>
      </c>
      <c r="AI858" s="61">
        <v>1</v>
      </c>
      <c r="AL858" s="108">
        <v>35</v>
      </c>
    </row>
    <row r="859" spans="1:38" ht="14.5">
      <c r="A859" s="20">
        <v>1060726</v>
      </c>
      <c r="B859" s="20" t="s">
        <v>2970</v>
      </c>
      <c r="C859" s="20">
        <v>2</v>
      </c>
      <c r="E859" s="20" t="s">
        <v>2632</v>
      </c>
      <c r="F859" s="20" t="s">
        <v>2637</v>
      </c>
      <c r="G859" s="20" t="str">
        <f>VLOOKUP(F859,'[1]#对话模型配置'!A:N,11,FALSE)</f>
        <v>TID_DialogueConf_1060001_name_337966742914_CN_Main</v>
      </c>
      <c r="H859" s="61" t="s">
        <v>2331</v>
      </c>
      <c r="I859" s="61" t="str">
        <f>VLOOKUP(F859,'#对话模型配置'!A:O,15,FALSE)</f>
        <v>newbie_oversea_andrea</v>
      </c>
      <c r="J859" s="20" t="s">
        <v>3039</v>
      </c>
      <c r="K859" s="127" t="s">
        <v>3040</v>
      </c>
      <c r="U859" s="20">
        <v>2</v>
      </c>
      <c r="V859" s="20">
        <v>0</v>
      </c>
      <c r="X859" s="71">
        <v>30011</v>
      </c>
      <c r="Y859" s="71" t="b">
        <v>0</v>
      </c>
      <c r="Z859" s="20" t="s">
        <v>3041</v>
      </c>
      <c r="AA859" s="71" t="b">
        <v>0</v>
      </c>
      <c r="AD859" s="20">
        <v>5.4420418739318803</v>
      </c>
      <c r="AE859" s="61">
        <f t="shared" si="84"/>
        <v>6.4420418739318803</v>
      </c>
      <c r="AF859" s="61"/>
      <c r="AG859" s="61"/>
      <c r="AH859" s="61">
        <v>0.1</v>
      </c>
      <c r="AI859" s="61">
        <v>1</v>
      </c>
      <c r="AL859" s="108">
        <v>35</v>
      </c>
    </row>
    <row r="860" spans="1:38" ht="28.5">
      <c r="A860" s="20">
        <v>1060728</v>
      </c>
      <c r="B860" s="20" t="s">
        <v>3042</v>
      </c>
      <c r="C860" s="20">
        <v>1</v>
      </c>
      <c r="E860" s="20" t="s">
        <v>2632</v>
      </c>
      <c r="F860" s="20" t="s">
        <v>3043</v>
      </c>
      <c r="G860" s="20" t="str">
        <f>VLOOKUP(F860,'[1]#对话模型配置'!A:N,11,FALSE)</f>
        <v>TID_Name_yanjiuyuan_CN_Main</v>
      </c>
      <c r="H860" s="61" t="s">
        <v>2331</v>
      </c>
      <c r="I860" s="61" t="str">
        <f>VLOOKUP(F860,'#对话模型配置'!A:O,15,FALSE)</f>
        <v>newbie_oversea_enemy</v>
      </c>
      <c r="J860" s="20" t="s">
        <v>3044</v>
      </c>
      <c r="K860" s="127" t="s">
        <v>3045</v>
      </c>
      <c r="U860" s="20">
        <v>2</v>
      </c>
      <c r="V860" s="20">
        <v>0</v>
      </c>
      <c r="X860" s="71">
        <v>30011</v>
      </c>
      <c r="Y860" s="71" t="b">
        <v>0</v>
      </c>
      <c r="AA860" s="71" t="b">
        <v>0</v>
      </c>
      <c r="AE860" s="20">
        <f>IF(LEN(K860)/5&lt;3,3,ROUND(LEN(K860)/5,0))</f>
        <v>7</v>
      </c>
      <c r="AH860" s="61">
        <v>0.1</v>
      </c>
      <c r="AI860" s="61">
        <v>1</v>
      </c>
      <c r="AL860" s="108">
        <v>35</v>
      </c>
    </row>
    <row r="861" spans="1:38" ht="14.5">
      <c r="A861" s="20">
        <v>1060728</v>
      </c>
      <c r="B861" s="20" t="s">
        <v>3042</v>
      </c>
      <c r="C861" s="20">
        <v>2</v>
      </c>
      <c r="E861" s="20" t="s">
        <v>2632</v>
      </c>
      <c r="F861" s="20" t="s">
        <v>2850</v>
      </c>
      <c r="G861" s="20" t="str">
        <f>VLOOKUP(F861,'[1]#对话模型配置'!A:N,11,FALSE)</f>
        <v>TID_Name_wende_CN_Main</v>
      </c>
      <c r="H861" s="61" t="s">
        <v>2331</v>
      </c>
      <c r="I861" s="61" t="str">
        <f>VLOOKUP(F861,'#对话模型配置'!A:O,15,FALSE)</f>
        <v>newbie_oversea_leo</v>
      </c>
      <c r="J861" s="20" t="s">
        <v>3046</v>
      </c>
      <c r="K861" s="127" t="s">
        <v>3047</v>
      </c>
      <c r="U861" s="20">
        <v>2</v>
      </c>
      <c r="V861" s="20">
        <v>0</v>
      </c>
      <c r="X861" s="71">
        <v>30011</v>
      </c>
      <c r="Y861" s="71" t="b">
        <v>0</v>
      </c>
      <c r="AA861" s="71" t="b">
        <v>0</v>
      </c>
      <c r="AE861" s="20">
        <f>IF(LEN(K861)/5&lt;3,3,ROUND(LEN(K861)/5,0))</f>
        <v>3</v>
      </c>
      <c r="AH861" s="61">
        <v>0.1</v>
      </c>
      <c r="AI861" s="61">
        <v>1</v>
      </c>
      <c r="AL861" s="108">
        <v>35</v>
      </c>
    </row>
    <row r="862" spans="1:38" ht="28.5">
      <c r="A862" s="20">
        <v>1060728</v>
      </c>
      <c r="B862" s="20" t="s">
        <v>3042</v>
      </c>
      <c r="C862" s="20">
        <v>3</v>
      </c>
      <c r="E862" s="20" t="s">
        <v>2632</v>
      </c>
      <c r="F862" s="20" t="s">
        <v>3043</v>
      </c>
      <c r="G862" s="20" t="str">
        <f>VLOOKUP(F862,'[1]#对话模型配置'!A:N,11,FALSE)</f>
        <v>TID_Name_yanjiuyuan_CN_Main</v>
      </c>
      <c r="H862" s="61" t="s">
        <v>2331</v>
      </c>
      <c r="I862" s="61" t="str">
        <f>VLOOKUP(F862,'#对话模型配置'!A:O,15,FALSE)</f>
        <v>newbie_oversea_enemy</v>
      </c>
      <c r="J862" s="20" t="s">
        <v>3048</v>
      </c>
      <c r="K862" s="127" t="s">
        <v>3049</v>
      </c>
      <c r="U862" s="20">
        <v>2</v>
      </c>
      <c r="V862" s="20">
        <v>0</v>
      </c>
      <c r="X862" s="71">
        <v>30011</v>
      </c>
      <c r="Y862" s="71" t="b">
        <v>0</v>
      </c>
      <c r="AA862" s="71" t="b">
        <v>0</v>
      </c>
      <c r="AE862" s="20">
        <f>IF(LEN(K862)/5&lt;3,3,ROUND(LEN(K862)/5,0))</f>
        <v>9</v>
      </c>
      <c r="AH862" s="61">
        <v>0.1</v>
      </c>
      <c r="AI862" s="61">
        <v>1</v>
      </c>
      <c r="AL862" s="108">
        <v>35</v>
      </c>
    </row>
    <row r="863" spans="1:38" ht="28.5">
      <c r="A863" s="20">
        <v>1060728</v>
      </c>
      <c r="B863" s="20" t="s">
        <v>3042</v>
      </c>
      <c r="C863" s="20">
        <v>4</v>
      </c>
      <c r="E863" s="20" t="s">
        <v>2632</v>
      </c>
      <c r="F863" s="20" t="s">
        <v>2633</v>
      </c>
      <c r="G863" s="20" t="str">
        <f>VLOOKUP(F863,'[1]#对话模型配置'!A:N,11,FALSE)</f>
        <v>TID_DialogueConf_1060001_name_CN_Main</v>
      </c>
      <c r="H863" s="61" t="s">
        <v>2331</v>
      </c>
      <c r="I863" s="61" t="str">
        <f>VLOOKUP(F863,'#对话模型配置'!A:O,15,FALSE)</f>
        <v>newbie_oversea_axe</v>
      </c>
      <c r="J863" s="20" t="s">
        <v>3050</v>
      </c>
      <c r="K863" s="127" t="s">
        <v>3051</v>
      </c>
      <c r="U863" s="20">
        <v>2</v>
      </c>
      <c r="V863" s="20">
        <v>0</v>
      </c>
      <c r="X863" s="71">
        <v>30011</v>
      </c>
      <c r="Y863" s="71" t="b">
        <v>0</v>
      </c>
      <c r="Z863" s="20" t="s">
        <v>3052</v>
      </c>
      <c r="AA863" s="71" t="b">
        <v>0</v>
      </c>
      <c r="AD863" s="20">
        <v>11.713791847229</v>
      </c>
      <c r="AE863" s="61">
        <f t="shared" ref="AE863:AE874" si="86">AD863+1</f>
        <v>12.713791847229</v>
      </c>
      <c r="AF863" s="61"/>
      <c r="AG863" s="61"/>
      <c r="AH863" s="61">
        <v>0.1</v>
      </c>
      <c r="AI863" s="61">
        <v>1</v>
      </c>
      <c r="AL863" s="108">
        <v>35</v>
      </c>
    </row>
    <row r="864" spans="1:38" ht="14.5">
      <c r="A864" s="20">
        <v>1060732</v>
      </c>
      <c r="B864" s="20" t="s">
        <v>2985</v>
      </c>
      <c r="C864" s="20">
        <v>7</v>
      </c>
      <c r="E864" s="20" t="s">
        <v>2632</v>
      </c>
      <c r="F864" s="20" t="s">
        <v>2637</v>
      </c>
      <c r="G864" s="20" t="str">
        <f>VLOOKUP(F864,'[1]#对话模型配置'!A:N,11,FALSE)</f>
        <v>TID_DialogueConf_1060001_name_337966742914_CN_Main</v>
      </c>
      <c r="H864" s="61" t="s">
        <v>2331</v>
      </c>
      <c r="I864" s="61" t="str">
        <f>VLOOKUP(F864,'#对话模型配置'!A:O,15,FALSE)</f>
        <v>newbie_oversea_andrea</v>
      </c>
      <c r="J864" s="20" t="s">
        <v>3053</v>
      </c>
      <c r="K864" s="127" t="s">
        <v>3054</v>
      </c>
      <c r="U864" s="20">
        <v>2</v>
      </c>
      <c r="V864" s="20">
        <v>0</v>
      </c>
      <c r="X864" s="71">
        <v>30011</v>
      </c>
      <c r="Y864" s="71" t="b">
        <v>0</v>
      </c>
      <c r="Z864" s="20" t="s">
        <v>3055</v>
      </c>
      <c r="AA864" s="71" t="b">
        <v>0</v>
      </c>
      <c r="AD864" s="20">
        <v>6.2053961753845197</v>
      </c>
      <c r="AE864" s="61">
        <f t="shared" si="86"/>
        <v>7.2053961753845197</v>
      </c>
      <c r="AF864" s="61"/>
      <c r="AG864" s="61"/>
      <c r="AH864" s="61">
        <v>0.1</v>
      </c>
      <c r="AI864" s="61">
        <v>1</v>
      </c>
      <c r="AL864" s="108">
        <v>35</v>
      </c>
    </row>
    <row r="865" spans="1:38" ht="14.5">
      <c r="A865" s="20">
        <v>1060733</v>
      </c>
      <c r="B865" s="20" t="s">
        <v>3056</v>
      </c>
      <c r="C865" s="20">
        <v>1</v>
      </c>
      <c r="E865" s="20" t="s">
        <v>2632</v>
      </c>
      <c r="F865" s="20" t="s">
        <v>2775</v>
      </c>
      <c r="G865" s="20" t="str">
        <f>VLOOKUP(F865,'[1]#对话模型配置'!A:N,11,FALSE)</f>
        <v>TID_Name_tuerkan_CN_Main</v>
      </c>
      <c r="H865" s="61" t="s">
        <v>2331</v>
      </c>
      <c r="I865" s="61" t="str">
        <f>VLOOKUP(F865,'[2]#对话模型配置'!A:O,15,FALSE)</f>
        <v>newbie_oversea_enemy</v>
      </c>
      <c r="J865" s="20" t="s">
        <v>3057</v>
      </c>
      <c r="K865" s="127" t="s">
        <v>3058</v>
      </c>
      <c r="U865" s="20">
        <v>2</v>
      </c>
      <c r="V865" s="20">
        <v>0</v>
      </c>
      <c r="X865" s="71">
        <v>30011</v>
      </c>
      <c r="Y865" s="71" t="b">
        <v>0</v>
      </c>
      <c r="Z865" s="20" t="s">
        <v>3059</v>
      </c>
      <c r="AA865" s="71" t="b">
        <v>0</v>
      </c>
      <c r="AD865" s="20">
        <v>1.28870797157288</v>
      </c>
      <c r="AE865" s="61">
        <f t="shared" si="86"/>
        <v>2.28870797157288</v>
      </c>
      <c r="AF865" s="61"/>
      <c r="AG865" s="61"/>
      <c r="AH865" s="61">
        <f>AE865</f>
        <v>2.28870797157288</v>
      </c>
      <c r="AI865" s="61">
        <v>1</v>
      </c>
      <c r="AL865" s="108">
        <v>35</v>
      </c>
    </row>
    <row r="866" spans="1:38" ht="14.5">
      <c r="A866" s="20">
        <v>1060733</v>
      </c>
      <c r="B866" s="20" t="s">
        <v>3056</v>
      </c>
      <c r="C866" s="20">
        <v>2</v>
      </c>
      <c r="E866" s="20" t="s">
        <v>2632</v>
      </c>
      <c r="F866" s="20" t="s">
        <v>2768</v>
      </c>
      <c r="G866" s="20" t="str">
        <f>VLOOKUP(F866,'[1]#对话模型配置'!A:N,11,FALSE)</f>
        <v>TID_Name_mengduke_CN_Main</v>
      </c>
      <c r="H866" s="61" t="s">
        <v>2331</v>
      </c>
      <c r="I866" s="61" t="str">
        <f>VLOOKUP(F866,'[2]#对话模型配置'!A:O,15,FALSE)</f>
        <v>newbie_oversea_monduk</v>
      </c>
      <c r="J866" s="20" t="s">
        <v>3060</v>
      </c>
      <c r="K866" s="127" t="s">
        <v>3061</v>
      </c>
      <c r="U866" s="20">
        <v>2</v>
      </c>
      <c r="V866" s="20">
        <v>0</v>
      </c>
      <c r="X866" s="71">
        <v>30011</v>
      </c>
      <c r="Y866" s="71" t="b">
        <v>0</v>
      </c>
      <c r="Z866" s="20" t="s">
        <v>3062</v>
      </c>
      <c r="AA866" s="71" t="b">
        <v>0</v>
      </c>
      <c r="AD866" s="20">
        <v>2.4035000801086399</v>
      </c>
      <c r="AE866" s="61">
        <f t="shared" si="86"/>
        <v>3.4035000801086399</v>
      </c>
      <c r="AF866" s="61"/>
      <c r="AG866" s="61"/>
      <c r="AH866" s="61">
        <f t="shared" ref="AH866:AH874" si="87">AE866</f>
        <v>3.4035000801086399</v>
      </c>
      <c r="AI866" s="61">
        <v>1</v>
      </c>
      <c r="AL866" s="108">
        <v>35</v>
      </c>
    </row>
    <row r="867" spans="1:38" ht="14.5">
      <c r="A867" s="20">
        <v>1060733</v>
      </c>
      <c r="B867" s="20" t="s">
        <v>3056</v>
      </c>
      <c r="C867" s="20">
        <v>3</v>
      </c>
      <c r="E867" s="20" t="s">
        <v>2632</v>
      </c>
      <c r="F867" s="20" t="s">
        <v>2775</v>
      </c>
      <c r="G867" s="20" t="str">
        <f>VLOOKUP(F867,'[1]#对话模型配置'!A:N,11,FALSE)</f>
        <v>TID_Name_tuerkan_CN_Main</v>
      </c>
      <c r="H867" s="61" t="s">
        <v>2331</v>
      </c>
      <c r="I867" s="61" t="str">
        <f>VLOOKUP(F867,'[2]#对话模型配置'!A:O,15,FALSE)</f>
        <v>newbie_oversea_enemy</v>
      </c>
      <c r="J867" s="20" t="s">
        <v>3063</v>
      </c>
      <c r="K867" s="127" t="s">
        <v>3064</v>
      </c>
      <c r="U867" s="20">
        <v>2</v>
      </c>
      <c r="V867" s="20">
        <v>0</v>
      </c>
      <c r="X867" s="71">
        <v>30011</v>
      </c>
      <c r="Y867" s="71" t="b">
        <v>0</v>
      </c>
      <c r="Z867" s="20" t="s">
        <v>3065</v>
      </c>
      <c r="AA867" s="71" t="b">
        <v>0</v>
      </c>
      <c r="AD867" s="20">
        <v>3.7184998989105198</v>
      </c>
      <c r="AE867" s="61">
        <f t="shared" si="86"/>
        <v>4.7184998989105198</v>
      </c>
      <c r="AF867" s="61"/>
      <c r="AG867" s="61"/>
      <c r="AH867" s="61">
        <f t="shared" si="87"/>
        <v>4.7184998989105198</v>
      </c>
      <c r="AI867" s="61">
        <v>1</v>
      </c>
      <c r="AL867" s="108">
        <v>35</v>
      </c>
    </row>
    <row r="868" spans="1:38" ht="14.5">
      <c r="A868" s="20">
        <v>1060733</v>
      </c>
      <c r="B868" s="20" t="s">
        <v>3056</v>
      </c>
      <c r="C868" s="20">
        <v>4</v>
      </c>
      <c r="E868" s="20" t="s">
        <v>2632</v>
      </c>
      <c r="F868" s="20" t="s">
        <v>2768</v>
      </c>
      <c r="G868" s="20" t="str">
        <f>VLOOKUP(F868,'[1]#对话模型配置'!A:N,11,FALSE)</f>
        <v>TID_Name_mengduke_CN_Main</v>
      </c>
      <c r="H868" s="61" t="s">
        <v>2331</v>
      </c>
      <c r="I868" s="61" t="str">
        <f>VLOOKUP(F868,'[2]#对话模型配置'!A:O,15,FALSE)</f>
        <v>newbie_oversea_monduk</v>
      </c>
      <c r="J868" s="20" t="s">
        <v>3066</v>
      </c>
      <c r="K868" s="127" t="s">
        <v>3067</v>
      </c>
      <c r="U868" s="20">
        <v>2</v>
      </c>
      <c r="V868" s="20">
        <v>0</v>
      </c>
      <c r="X868" s="71">
        <v>30011</v>
      </c>
      <c r="Y868" s="71" t="b">
        <v>0</v>
      </c>
      <c r="Z868" s="20" t="s">
        <v>3068</v>
      </c>
      <c r="AA868" s="71" t="b">
        <v>0</v>
      </c>
      <c r="AD868" s="20">
        <v>5.4092288017272896</v>
      </c>
      <c r="AE868" s="61">
        <f t="shared" si="86"/>
        <v>6.4092288017272896</v>
      </c>
      <c r="AF868" s="61"/>
      <c r="AG868" s="61"/>
      <c r="AH868" s="61">
        <f t="shared" si="87"/>
        <v>6.4092288017272896</v>
      </c>
      <c r="AI868" s="61">
        <v>1</v>
      </c>
      <c r="AL868" s="108">
        <v>35</v>
      </c>
    </row>
    <row r="869" spans="1:38" ht="14.5">
      <c r="A869" s="20">
        <v>1060733</v>
      </c>
      <c r="B869" s="20" t="s">
        <v>3056</v>
      </c>
      <c r="C869" s="20">
        <v>5</v>
      </c>
      <c r="E869" s="20" t="s">
        <v>2632</v>
      </c>
      <c r="F869" s="20" t="s">
        <v>2775</v>
      </c>
      <c r="G869" s="20" t="str">
        <f>VLOOKUP(F869,'[1]#对话模型配置'!A:N,11,FALSE)</f>
        <v>TID_Name_tuerkan_CN_Main</v>
      </c>
      <c r="H869" s="61" t="s">
        <v>2331</v>
      </c>
      <c r="I869" s="61" t="str">
        <f>VLOOKUP(F869,'[2]#对话模型配置'!A:O,15,FALSE)</f>
        <v>newbie_oversea_enemy</v>
      </c>
      <c r="J869" s="20" t="s">
        <v>3069</v>
      </c>
      <c r="K869" s="127" t="s">
        <v>3070</v>
      </c>
      <c r="U869" s="20">
        <v>2</v>
      </c>
      <c r="V869" s="20">
        <v>0</v>
      </c>
      <c r="X869" s="71">
        <v>30011</v>
      </c>
      <c r="Y869" s="71" t="b">
        <v>0</v>
      </c>
      <c r="Z869" s="20" t="s">
        <v>3071</v>
      </c>
      <c r="AA869" s="71" t="b">
        <v>0</v>
      </c>
      <c r="AD869" s="20">
        <v>1.1880420446395901</v>
      </c>
      <c r="AE869" s="61">
        <f t="shared" si="86"/>
        <v>2.1880420446395901</v>
      </c>
      <c r="AF869" s="61"/>
      <c r="AG869" s="61"/>
      <c r="AH869" s="61">
        <f t="shared" si="87"/>
        <v>2.1880420446395901</v>
      </c>
      <c r="AI869" s="61">
        <v>1</v>
      </c>
      <c r="AL869" s="108">
        <v>35</v>
      </c>
    </row>
    <row r="870" spans="1:38" ht="28.5">
      <c r="A870" s="20">
        <v>1060733</v>
      </c>
      <c r="B870" s="20" t="s">
        <v>3056</v>
      </c>
      <c r="C870" s="20">
        <v>6</v>
      </c>
      <c r="E870" s="20" t="s">
        <v>2632</v>
      </c>
      <c r="F870" s="20" t="s">
        <v>2768</v>
      </c>
      <c r="G870" s="20" t="str">
        <f>VLOOKUP(F870,'[1]#对话模型配置'!A:N,11,FALSE)</f>
        <v>TID_Name_mengduke_CN_Main</v>
      </c>
      <c r="H870" s="61" t="s">
        <v>2331</v>
      </c>
      <c r="I870" s="61" t="str">
        <f>VLOOKUP(F870,'[2]#对话模型配置'!A:O,15,FALSE)</f>
        <v>newbie_oversea_monduk</v>
      </c>
      <c r="J870" s="20" t="s">
        <v>3072</v>
      </c>
      <c r="K870" s="127" t="s">
        <v>3073</v>
      </c>
      <c r="U870" s="20">
        <v>2</v>
      </c>
      <c r="V870" s="20">
        <v>0</v>
      </c>
      <c r="X870" s="71">
        <v>30011</v>
      </c>
      <c r="Y870" s="71" t="b">
        <v>0</v>
      </c>
      <c r="Z870" s="20" t="s">
        <v>3074</v>
      </c>
      <c r="AA870" s="71" t="b">
        <v>0</v>
      </c>
      <c r="AD870" s="20">
        <v>7.7808542251586896</v>
      </c>
      <c r="AE870" s="61">
        <f t="shared" si="86"/>
        <v>8.7808542251586896</v>
      </c>
      <c r="AF870" s="61"/>
      <c r="AG870" s="61"/>
      <c r="AH870" s="61">
        <f t="shared" si="87"/>
        <v>8.7808542251586896</v>
      </c>
      <c r="AI870" s="61">
        <v>1</v>
      </c>
      <c r="AL870" s="108">
        <v>35</v>
      </c>
    </row>
    <row r="871" spans="1:38" ht="14.5">
      <c r="A871" s="20">
        <v>1060733</v>
      </c>
      <c r="B871" s="20" t="s">
        <v>3056</v>
      </c>
      <c r="C871" s="20">
        <v>7</v>
      </c>
      <c r="E871" s="20" t="s">
        <v>2632</v>
      </c>
      <c r="F871" s="20" t="s">
        <v>2775</v>
      </c>
      <c r="G871" s="20" t="str">
        <f>VLOOKUP(F871,'[1]#对话模型配置'!A:N,11,FALSE)</f>
        <v>TID_Name_tuerkan_CN_Main</v>
      </c>
      <c r="H871" s="61" t="s">
        <v>2331</v>
      </c>
      <c r="I871" s="61" t="str">
        <f>VLOOKUP(F871,'[2]#对话模型配置'!A:O,15,FALSE)</f>
        <v>newbie_oversea_enemy</v>
      </c>
      <c r="J871" s="20" t="s">
        <v>3075</v>
      </c>
      <c r="K871" s="127" t="s">
        <v>3076</v>
      </c>
      <c r="U871" s="20">
        <v>2</v>
      </c>
      <c r="V871" s="20">
        <v>0</v>
      </c>
      <c r="X871" s="71">
        <v>30011</v>
      </c>
      <c r="Y871" s="71" t="b">
        <v>0</v>
      </c>
      <c r="Z871" s="20" t="s">
        <v>3077</v>
      </c>
      <c r="AA871" s="71" t="b">
        <v>0</v>
      </c>
      <c r="AD871" s="20">
        <v>2.0136249065399201</v>
      </c>
      <c r="AE871" s="61">
        <f t="shared" si="86"/>
        <v>3.0136249065399201</v>
      </c>
      <c r="AF871" s="61"/>
      <c r="AG871" s="61"/>
      <c r="AH871" s="61">
        <f t="shared" si="87"/>
        <v>3.0136249065399201</v>
      </c>
      <c r="AI871" s="61">
        <v>1</v>
      </c>
      <c r="AL871" s="108">
        <v>35</v>
      </c>
    </row>
    <row r="872" spans="1:38" ht="14.5">
      <c r="A872" s="20">
        <v>1060733</v>
      </c>
      <c r="B872" s="20" t="s">
        <v>3056</v>
      </c>
      <c r="C872" s="20">
        <v>8</v>
      </c>
      <c r="E872" s="20" t="s">
        <v>2632</v>
      </c>
      <c r="F872" s="20" t="s">
        <v>2768</v>
      </c>
      <c r="G872" s="20" t="str">
        <f>VLOOKUP(F872,'[1]#对话模型配置'!A:N,11,FALSE)</f>
        <v>TID_Name_mengduke_CN_Main</v>
      </c>
      <c r="H872" s="61" t="s">
        <v>2331</v>
      </c>
      <c r="I872" s="61" t="str">
        <f>VLOOKUP(F872,'[2]#对话模型配置'!A:O,15,FALSE)</f>
        <v>newbie_oversea_monduk</v>
      </c>
      <c r="J872" s="20" t="s">
        <v>3078</v>
      </c>
      <c r="K872" s="127" t="s">
        <v>3079</v>
      </c>
      <c r="U872" s="20">
        <v>2</v>
      </c>
      <c r="V872" s="20">
        <v>0</v>
      </c>
      <c r="X872" s="71">
        <v>30011</v>
      </c>
      <c r="Y872" s="71" t="b">
        <v>0</v>
      </c>
      <c r="Z872" s="20" t="s">
        <v>3080</v>
      </c>
      <c r="AA872" s="71" t="b">
        <v>0</v>
      </c>
      <c r="AD872" s="20">
        <v>3.60681200027466</v>
      </c>
      <c r="AE872" s="61">
        <f t="shared" si="86"/>
        <v>4.60681200027466</v>
      </c>
      <c r="AF872" s="61"/>
      <c r="AG872" s="61"/>
      <c r="AH872" s="61">
        <f t="shared" si="87"/>
        <v>4.60681200027466</v>
      </c>
      <c r="AI872" s="61">
        <v>1</v>
      </c>
      <c r="AL872" s="108">
        <v>35</v>
      </c>
    </row>
    <row r="873" spans="1:38" ht="14.5">
      <c r="A873" s="20">
        <v>1060734</v>
      </c>
      <c r="B873" s="20" t="s">
        <v>3056</v>
      </c>
      <c r="C873" s="20">
        <v>1</v>
      </c>
      <c r="E873" s="20" t="s">
        <v>2632</v>
      </c>
      <c r="F873" s="20" t="s">
        <v>2775</v>
      </c>
      <c r="G873" s="20" t="str">
        <f>VLOOKUP(F873,'[1]#对话模型配置'!A:N,11,FALSE)</f>
        <v>TID_Name_tuerkan_CN_Main</v>
      </c>
      <c r="H873" s="61" t="s">
        <v>2331</v>
      </c>
      <c r="I873" s="61" t="str">
        <f>VLOOKUP(F873,'[2]#对话模型配置'!A:O,15,FALSE)</f>
        <v>newbie_oversea_enemy</v>
      </c>
      <c r="J873" s="20" t="s">
        <v>3081</v>
      </c>
      <c r="K873" s="127" t="s">
        <v>3082</v>
      </c>
      <c r="U873" s="20">
        <v>2</v>
      </c>
      <c r="V873" s="20">
        <v>0</v>
      </c>
      <c r="X873" s="71">
        <v>30011</v>
      </c>
      <c r="Y873" s="71" t="b">
        <v>0</v>
      </c>
      <c r="Z873" s="20" t="s">
        <v>3083</v>
      </c>
      <c r="AA873" s="71" t="b">
        <v>0</v>
      </c>
      <c r="AD873" s="20">
        <v>7.6517710685729998</v>
      </c>
      <c r="AE873" s="61">
        <f t="shared" si="86"/>
        <v>8.6517710685729998</v>
      </c>
      <c r="AF873" s="61"/>
      <c r="AG873" s="61"/>
      <c r="AH873" s="61">
        <f t="shared" si="87"/>
        <v>8.6517710685729998</v>
      </c>
      <c r="AI873" s="61">
        <v>1</v>
      </c>
      <c r="AL873" s="108">
        <v>35</v>
      </c>
    </row>
    <row r="874" spans="1:38" ht="28.5">
      <c r="A874" s="20">
        <v>1060734</v>
      </c>
      <c r="B874" s="20" t="s">
        <v>3056</v>
      </c>
      <c r="C874" s="20">
        <v>2</v>
      </c>
      <c r="E874" s="20" t="s">
        <v>2632</v>
      </c>
      <c r="F874" s="20" t="s">
        <v>2768</v>
      </c>
      <c r="G874" s="20" t="str">
        <f>VLOOKUP(F874,'[1]#对话模型配置'!A:N,11,FALSE)</f>
        <v>TID_Name_mengduke_CN_Main</v>
      </c>
      <c r="H874" s="61" t="s">
        <v>2331</v>
      </c>
      <c r="I874" s="61" t="str">
        <f>VLOOKUP(F874,'[2]#对话模型配置'!A:O,15,FALSE)</f>
        <v>newbie_oversea_monduk</v>
      </c>
      <c r="J874" s="20" t="s">
        <v>3084</v>
      </c>
      <c r="K874" s="127" t="s">
        <v>3085</v>
      </c>
      <c r="U874" s="20">
        <v>2</v>
      </c>
      <c r="V874" s="20">
        <v>0</v>
      </c>
      <c r="X874" s="71">
        <v>30011</v>
      </c>
      <c r="Y874" s="71" t="b">
        <v>0</v>
      </c>
      <c r="Z874" s="20" t="s">
        <v>3086</v>
      </c>
      <c r="AA874" s="71" t="b">
        <v>0</v>
      </c>
      <c r="AD874" s="20">
        <v>8.8238954544067401</v>
      </c>
      <c r="AE874" s="61">
        <f t="shared" si="86"/>
        <v>9.8238954544067401</v>
      </c>
      <c r="AF874" s="61"/>
      <c r="AG874" s="61"/>
      <c r="AH874" s="61">
        <f t="shared" si="87"/>
        <v>9.8238954544067401</v>
      </c>
      <c r="AI874" s="61">
        <v>1</v>
      </c>
      <c r="AL874" s="108">
        <v>35</v>
      </c>
    </row>
    <row r="875" spans="1:38" ht="14.5">
      <c r="A875" s="20">
        <v>1060743</v>
      </c>
      <c r="B875" s="20" t="s">
        <v>3087</v>
      </c>
      <c r="C875" s="20">
        <v>1</v>
      </c>
      <c r="E875" s="20" t="s">
        <v>2632</v>
      </c>
      <c r="F875" s="20" t="s">
        <v>2633</v>
      </c>
      <c r="G875" s="20" t="str">
        <f>VLOOKUP(F875,'[1]#对话模型配置'!A:N,11,FALSE)</f>
        <v>TID_DialogueConf_1060001_name_CN_Main</v>
      </c>
      <c r="H875" s="61" t="s">
        <v>2331</v>
      </c>
      <c r="I875" s="61" t="str">
        <f>VLOOKUP(F875,'#对话模型配置'!A:O,15,FALSE)</f>
        <v>newbie_oversea_axe</v>
      </c>
      <c r="J875" s="20" t="s">
        <v>3088</v>
      </c>
      <c r="K875" s="127" t="s">
        <v>3089</v>
      </c>
      <c r="U875" s="20">
        <v>2</v>
      </c>
      <c r="V875" s="20">
        <v>0</v>
      </c>
      <c r="X875" s="71">
        <v>30011</v>
      </c>
      <c r="Y875" s="71" t="b">
        <v>0</v>
      </c>
      <c r="AA875" s="71" t="b">
        <v>0</v>
      </c>
      <c r="AE875" s="20">
        <f t="shared" ref="AE875:AE887" si="88">IF(LEN(K875)/5&lt;3,3,ROUND(LEN(K875)/5,0))</f>
        <v>5</v>
      </c>
      <c r="AH875" s="61">
        <v>0.1</v>
      </c>
      <c r="AI875" s="61">
        <v>1</v>
      </c>
      <c r="AL875" s="108">
        <v>35</v>
      </c>
    </row>
    <row r="876" spans="1:38" ht="28.5">
      <c r="A876" s="20">
        <v>1060743</v>
      </c>
      <c r="B876" s="20" t="s">
        <v>3087</v>
      </c>
      <c r="C876" s="20">
        <v>2</v>
      </c>
      <c r="E876" s="20" t="s">
        <v>2632</v>
      </c>
      <c r="F876" s="20" t="s">
        <v>2850</v>
      </c>
      <c r="G876" s="20" t="str">
        <f>VLOOKUP(F876,'[1]#对话模型配置'!A:N,11,FALSE)</f>
        <v>TID_Name_wende_CN_Main</v>
      </c>
      <c r="H876" s="61" t="s">
        <v>2331</v>
      </c>
      <c r="I876" s="61" t="str">
        <f>VLOOKUP(F876,'#对话模型配置'!A:O,15,FALSE)</f>
        <v>newbie_oversea_leo</v>
      </c>
      <c r="J876" s="20" t="s">
        <v>3090</v>
      </c>
      <c r="K876" s="127" t="s">
        <v>3091</v>
      </c>
      <c r="U876" s="20">
        <v>2</v>
      </c>
      <c r="V876" s="20">
        <v>0</v>
      </c>
      <c r="X876" s="71">
        <v>30011</v>
      </c>
      <c r="Y876" s="71" t="b">
        <v>0</v>
      </c>
      <c r="AA876" s="71" t="b">
        <v>0</v>
      </c>
      <c r="AE876" s="20">
        <f t="shared" si="88"/>
        <v>7</v>
      </c>
      <c r="AH876" s="61">
        <v>0.1</v>
      </c>
      <c r="AI876" s="61">
        <v>1</v>
      </c>
      <c r="AL876" s="108">
        <v>35</v>
      </c>
    </row>
    <row r="877" spans="1:38" ht="28.5">
      <c r="A877" s="20">
        <v>1060743</v>
      </c>
      <c r="B877" s="20" t="s">
        <v>3087</v>
      </c>
      <c r="C877" s="20">
        <v>3</v>
      </c>
      <c r="E877" s="20" t="s">
        <v>2632</v>
      </c>
      <c r="F877" s="20" t="s">
        <v>2633</v>
      </c>
      <c r="G877" s="20" t="str">
        <f>VLOOKUP(F877,'[1]#对话模型配置'!A:N,11,FALSE)</f>
        <v>TID_DialogueConf_1060001_name_CN_Main</v>
      </c>
      <c r="H877" s="61" t="s">
        <v>2331</v>
      </c>
      <c r="I877" s="61" t="str">
        <f>VLOOKUP(F877,'#对话模型配置'!A:O,15,FALSE)</f>
        <v>newbie_oversea_axe</v>
      </c>
      <c r="J877" s="20" t="s">
        <v>3092</v>
      </c>
      <c r="K877" s="127" t="s">
        <v>3093</v>
      </c>
      <c r="U877" s="20">
        <v>2</v>
      </c>
      <c r="V877" s="20">
        <v>0</v>
      </c>
      <c r="X877" s="71">
        <v>30011</v>
      </c>
      <c r="Y877" s="71" t="b">
        <v>0</v>
      </c>
      <c r="AA877" s="71" t="b">
        <v>0</v>
      </c>
      <c r="AE877" s="20">
        <f t="shared" si="88"/>
        <v>7</v>
      </c>
      <c r="AH877" s="61">
        <v>0.1</v>
      </c>
      <c r="AI877" s="61">
        <v>1</v>
      </c>
      <c r="AL877" s="108">
        <v>35</v>
      </c>
    </row>
    <row r="878" spans="1:38" ht="28.5">
      <c r="A878" s="20">
        <v>1060743</v>
      </c>
      <c r="B878" s="20" t="s">
        <v>3087</v>
      </c>
      <c r="C878" s="20">
        <v>4</v>
      </c>
      <c r="E878" s="20" t="s">
        <v>2632</v>
      </c>
      <c r="F878" s="20" t="s">
        <v>2850</v>
      </c>
      <c r="G878" s="20" t="str">
        <f>VLOOKUP(F878,'[1]#对话模型配置'!A:N,11,FALSE)</f>
        <v>TID_Name_wende_CN_Main</v>
      </c>
      <c r="H878" s="61" t="s">
        <v>2331</v>
      </c>
      <c r="I878" s="61" t="str">
        <f>VLOOKUP(F878,'#对话模型配置'!A:O,15,FALSE)</f>
        <v>newbie_oversea_leo</v>
      </c>
      <c r="J878" s="20" t="s">
        <v>3094</v>
      </c>
      <c r="K878" s="127" t="s">
        <v>3095</v>
      </c>
      <c r="U878" s="20">
        <v>2</v>
      </c>
      <c r="V878" s="20">
        <v>0</v>
      </c>
      <c r="X878" s="71">
        <v>30011</v>
      </c>
      <c r="Y878" s="71" t="b">
        <v>0</v>
      </c>
      <c r="AA878" s="71" t="b">
        <v>0</v>
      </c>
      <c r="AE878" s="20">
        <f t="shared" si="88"/>
        <v>8</v>
      </c>
      <c r="AH878" s="61">
        <v>0.1</v>
      </c>
      <c r="AI878" s="61">
        <v>1</v>
      </c>
      <c r="AL878" s="108">
        <v>35</v>
      </c>
    </row>
    <row r="879" spans="1:38" ht="28.5">
      <c r="A879" s="20">
        <v>1060743</v>
      </c>
      <c r="B879" s="20" t="s">
        <v>3087</v>
      </c>
      <c r="C879" s="20">
        <v>5</v>
      </c>
      <c r="E879" s="20" t="s">
        <v>2632</v>
      </c>
      <c r="F879" s="20" t="s">
        <v>2633</v>
      </c>
      <c r="G879" s="20" t="str">
        <f>VLOOKUP(F879,'[1]#对话模型配置'!A:N,11,FALSE)</f>
        <v>TID_DialogueConf_1060001_name_CN_Main</v>
      </c>
      <c r="H879" s="61" t="s">
        <v>2331</v>
      </c>
      <c r="I879" s="61" t="str">
        <f>VLOOKUP(F879,'#对话模型配置'!A:O,15,FALSE)</f>
        <v>newbie_oversea_axe</v>
      </c>
      <c r="J879" s="20" t="s">
        <v>3096</v>
      </c>
      <c r="K879" s="127" t="s">
        <v>3097</v>
      </c>
      <c r="U879" s="20">
        <v>2</v>
      </c>
      <c r="V879" s="20">
        <v>0</v>
      </c>
      <c r="X879" s="71">
        <v>30011</v>
      </c>
      <c r="Y879" s="71" t="b">
        <v>0</v>
      </c>
      <c r="AA879" s="71" t="b">
        <v>0</v>
      </c>
      <c r="AE879" s="20">
        <f t="shared" si="88"/>
        <v>7</v>
      </c>
      <c r="AH879" s="61">
        <v>0.1</v>
      </c>
      <c r="AI879" s="61">
        <v>1</v>
      </c>
      <c r="AL879" s="108">
        <v>35</v>
      </c>
    </row>
    <row r="880" spans="1:38" ht="28.5">
      <c r="A880" s="20">
        <v>1060744</v>
      </c>
      <c r="B880" s="20" t="s">
        <v>3098</v>
      </c>
      <c r="C880" s="20">
        <v>1</v>
      </c>
      <c r="E880" s="20" t="s">
        <v>2632</v>
      </c>
      <c r="F880" s="20" t="s">
        <v>2637</v>
      </c>
      <c r="G880" s="20" t="str">
        <f>VLOOKUP(F880,'[1]#对话模型配置'!A:N,11,FALSE)</f>
        <v>TID_DialogueConf_1060001_name_337966742914_CN_Main</v>
      </c>
      <c r="H880" s="61" t="s">
        <v>2331</v>
      </c>
      <c r="I880" s="61" t="str">
        <f>VLOOKUP(F880,'#对话模型配置'!A:O,15,FALSE)</f>
        <v>newbie_oversea_andrea</v>
      </c>
      <c r="J880" s="20" t="s">
        <v>3099</v>
      </c>
      <c r="K880" s="127" t="s">
        <v>3100</v>
      </c>
      <c r="U880" s="20">
        <v>2</v>
      </c>
      <c r="V880" s="20">
        <v>0</v>
      </c>
      <c r="X880" s="71">
        <v>30011</v>
      </c>
      <c r="Y880" s="71" t="b">
        <v>0</v>
      </c>
      <c r="AA880" s="71" t="b">
        <v>0</v>
      </c>
      <c r="AE880" s="20">
        <f t="shared" si="88"/>
        <v>6</v>
      </c>
      <c r="AH880" s="61">
        <v>0.1</v>
      </c>
      <c r="AI880" s="61">
        <v>1</v>
      </c>
      <c r="AL880" s="108">
        <v>35</v>
      </c>
    </row>
    <row r="881" spans="1:38" ht="28.5">
      <c r="A881" s="20">
        <v>1060744</v>
      </c>
      <c r="B881" s="20" t="s">
        <v>3098</v>
      </c>
      <c r="C881" s="20">
        <v>2</v>
      </c>
      <c r="E881" s="20" t="s">
        <v>2632</v>
      </c>
      <c r="F881" s="20" t="s">
        <v>2633</v>
      </c>
      <c r="G881" s="20" t="str">
        <f>VLOOKUP(F881,'[1]#对话模型配置'!A:N,11,FALSE)</f>
        <v>TID_DialogueConf_1060001_name_CN_Main</v>
      </c>
      <c r="H881" s="61" t="s">
        <v>2331</v>
      </c>
      <c r="I881" s="61" t="str">
        <f>VLOOKUP(F881,'#对话模型配置'!A:O,15,FALSE)</f>
        <v>newbie_oversea_axe</v>
      </c>
      <c r="J881" s="20" t="s">
        <v>3101</v>
      </c>
      <c r="K881" s="127" t="s">
        <v>3102</v>
      </c>
      <c r="U881" s="20">
        <v>2</v>
      </c>
      <c r="V881" s="20">
        <v>0</v>
      </c>
      <c r="X881" s="71">
        <v>30011</v>
      </c>
      <c r="Y881" s="71" t="b">
        <v>0</v>
      </c>
      <c r="AA881" s="71" t="b">
        <v>0</v>
      </c>
      <c r="AE881" s="20">
        <f t="shared" si="88"/>
        <v>9</v>
      </c>
      <c r="AH881" s="61">
        <v>0.1</v>
      </c>
      <c r="AI881" s="61">
        <v>1</v>
      </c>
      <c r="AL881" s="108">
        <v>35</v>
      </c>
    </row>
    <row r="882" spans="1:38" ht="28.5">
      <c r="A882" s="20">
        <v>1060744</v>
      </c>
      <c r="B882" s="20" t="s">
        <v>3098</v>
      </c>
      <c r="C882" s="20">
        <v>3</v>
      </c>
      <c r="E882" s="20" t="s">
        <v>2632</v>
      </c>
      <c r="F882" s="20" t="s">
        <v>2637</v>
      </c>
      <c r="G882" s="20" t="str">
        <f>VLOOKUP(F882,'[1]#对话模型配置'!A:N,11,FALSE)</f>
        <v>TID_DialogueConf_1060001_name_337966742914_CN_Main</v>
      </c>
      <c r="H882" s="61" t="s">
        <v>2331</v>
      </c>
      <c r="I882" s="61" t="str">
        <f>VLOOKUP(F882,'#对话模型配置'!A:O,15,FALSE)</f>
        <v>newbie_oversea_andrea</v>
      </c>
      <c r="J882" s="20" t="s">
        <v>3103</v>
      </c>
      <c r="K882" s="127" t="s">
        <v>3104</v>
      </c>
      <c r="U882" s="20">
        <v>2</v>
      </c>
      <c r="V882" s="20">
        <v>0</v>
      </c>
      <c r="X882" s="71">
        <v>30011</v>
      </c>
      <c r="Y882" s="71" t="b">
        <v>0</v>
      </c>
      <c r="AA882" s="71" t="b">
        <v>0</v>
      </c>
      <c r="AE882" s="20">
        <f t="shared" si="88"/>
        <v>7</v>
      </c>
      <c r="AH882" s="61">
        <v>0.1</v>
      </c>
      <c r="AI882" s="61">
        <v>1</v>
      </c>
      <c r="AL882" s="108">
        <v>35</v>
      </c>
    </row>
    <row r="883" spans="1:38" ht="28.5">
      <c r="A883" s="20">
        <v>1060744</v>
      </c>
      <c r="B883" s="20" t="s">
        <v>3098</v>
      </c>
      <c r="C883" s="20">
        <v>4</v>
      </c>
      <c r="E883" s="20" t="s">
        <v>2632</v>
      </c>
      <c r="F883" s="20" t="s">
        <v>2637</v>
      </c>
      <c r="G883" s="20" t="str">
        <f>VLOOKUP(F883,'[1]#对话模型配置'!A:N,11,FALSE)</f>
        <v>TID_DialogueConf_1060001_name_337966742914_CN_Main</v>
      </c>
      <c r="H883" s="61" t="s">
        <v>2331</v>
      </c>
      <c r="I883" s="61" t="str">
        <f>VLOOKUP(F883,'#对话模型配置'!A:O,15,FALSE)</f>
        <v>newbie_oversea_andrea</v>
      </c>
      <c r="J883" s="20" t="s">
        <v>3105</v>
      </c>
      <c r="K883" s="127" t="s">
        <v>3106</v>
      </c>
      <c r="U883" s="20">
        <v>2</v>
      </c>
      <c r="V883" s="20">
        <v>0</v>
      </c>
      <c r="X883" s="71">
        <v>30011</v>
      </c>
      <c r="Y883" s="71" t="b">
        <v>0</v>
      </c>
      <c r="AA883" s="71" t="b">
        <v>0</v>
      </c>
      <c r="AE883" s="20">
        <f t="shared" si="88"/>
        <v>10</v>
      </c>
      <c r="AH883" s="61">
        <v>0.1</v>
      </c>
      <c r="AI883" s="61">
        <v>1</v>
      </c>
      <c r="AL883" s="108">
        <v>35</v>
      </c>
    </row>
    <row r="884" spans="1:38" ht="14.5">
      <c r="A884" s="20">
        <v>1060744</v>
      </c>
      <c r="B884" s="20" t="s">
        <v>3098</v>
      </c>
      <c r="C884" s="20">
        <v>5</v>
      </c>
      <c r="E884" s="20" t="s">
        <v>2632</v>
      </c>
      <c r="F884" s="20" t="s">
        <v>2633</v>
      </c>
      <c r="G884" s="20" t="str">
        <f>VLOOKUP(F884,'[1]#对话模型配置'!A:N,11,FALSE)</f>
        <v>TID_DialogueConf_1060001_name_CN_Main</v>
      </c>
      <c r="H884" s="61" t="s">
        <v>2331</v>
      </c>
      <c r="I884" s="61" t="str">
        <f>VLOOKUP(F884,'#对话模型配置'!A:O,15,FALSE)</f>
        <v>newbie_oversea_axe</v>
      </c>
      <c r="J884" s="20" t="s">
        <v>3107</v>
      </c>
      <c r="K884" s="127" t="s">
        <v>3108</v>
      </c>
      <c r="U884" s="20">
        <v>2</v>
      </c>
      <c r="V884" s="20">
        <v>0</v>
      </c>
      <c r="X884" s="71">
        <v>30011</v>
      </c>
      <c r="Y884" s="71" t="b">
        <v>0</v>
      </c>
      <c r="AA884" s="71" t="b">
        <v>0</v>
      </c>
      <c r="AE884" s="20">
        <f t="shared" si="88"/>
        <v>3</v>
      </c>
      <c r="AH884" s="61">
        <v>0.1</v>
      </c>
      <c r="AI884" s="61">
        <v>1</v>
      </c>
      <c r="AL884" s="108">
        <v>35</v>
      </c>
    </row>
    <row r="885" spans="1:38" ht="28.5">
      <c r="A885" s="20">
        <v>1060745</v>
      </c>
      <c r="B885" s="20" t="s">
        <v>3109</v>
      </c>
      <c r="C885" s="20">
        <v>1</v>
      </c>
      <c r="E885" s="20" t="s">
        <v>2632</v>
      </c>
      <c r="F885" s="20" t="s">
        <v>2633</v>
      </c>
      <c r="G885" s="20" t="str">
        <f>VLOOKUP(F885,'[1]#对话模型配置'!A:N,11,FALSE)</f>
        <v>TID_DialogueConf_1060001_name_CN_Main</v>
      </c>
      <c r="H885" s="61" t="s">
        <v>2331</v>
      </c>
      <c r="I885" s="61" t="str">
        <f>VLOOKUP(F885,'#对话模型配置'!A:O,15,FALSE)</f>
        <v>newbie_oversea_axe</v>
      </c>
      <c r="J885" s="20" t="s">
        <v>3110</v>
      </c>
      <c r="K885" s="127" t="s">
        <v>3111</v>
      </c>
      <c r="U885" s="20">
        <v>2</v>
      </c>
      <c r="V885" s="20">
        <v>0</v>
      </c>
      <c r="X885" s="71">
        <v>30011</v>
      </c>
      <c r="Y885" s="71" t="b">
        <v>0</v>
      </c>
      <c r="AA885" s="71" t="b">
        <v>0</v>
      </c>
      <c r="AE885" s="20">
        <f t="shared" si="88"/>
        <v>8</v>
      </c>
      <c r="AH885" s="61">
        <v>0.1</v>
      </c>
      <c r="AI885" s="61">
        <v>1</v>
      </c>
      <c r="AL885" s="108">
        <v>35</v>
      </c>
    </row>
    <row r="886" spans="1:38" ht="14.5">
      <c r="A886" s="20">
        <v>1060745</v>
      </c>
      <c r="B886" s="20" t="s">
        <v>3109</v>
      </c>
      <c r="C886" s="20">
        <v>2</v>
      </c>
      <c r="E886" s="20" t="s">
        <v>2632</v>
      </c>
      <c r="F886" s="20" t="s">
        <v>2793</v>
      </c>
      <c r="G886" s="20" t="str">
        <f>VLOOKUP(F886,'[1]#对话模型配置'!A:N,11,FALSE)</f>
        <v>TID_DialogueConf_1060715_name_CN_Main</v>
      </c>
      <c r="H886" s="61" t="s">
        <v>2331</v>
      </c>
      <c r="I886" s="61" t="str">
        <f>VLOOKUP(F886,'#对话模型配置'!A:O,15,FALSE)</f>
        <v>newbie_oversea_joa</v>
      </c>
      <c r="J886" s="20" t="s">
        <v>3112</v>
      </c>
      <c r="K886" s="127" t="s">
        <v>3113</v>
      </c>
      <c r="U886" s="20">
        <v>2</v>
      </c>
      <c r="V886" s="20">
        <v>0</v>
      </c>
      <c r="X886" s="71">
        <v>30011</v>
      </c>
      <c r="Y886" s="71" t="b">
        <v>0</v>
      </c>
      <c r="AA886" s="71" t="b">
        <v>0</v>
      </c>
      <c r="AE886" s="20">
        <f t="shared" si="88"/>
        <v>3</v>
      </c>
      <c r="AH886" s="61">
        <v>0.1</v>
      </c>
      <c r="AI886" s="61">
        <v>1</v>
      </c>
      <c r="AL886" s="108">
        <v>35</v>
      </c>
    </row>
    <row r="887" spans="1:38" ht="14.5">
      <c r="A887" s="20">
        <v>10607461</v>
      </c>
      <c r="B887" s="20" t="s">
        <v>3114</v>
      </c>
      <c r="C887" s="20">
        <v>1</v>
      </c>
      <c r="E887" s="20" t="s">
        <v>2632</v>
      </c>
      <c r="F887" s="20" t="s">
        <v>2850</v>
      </c>
      <c r="G887" s="20" t="str">
        <f>VLOOKUP(F887,'[1]#对话模型配置'!A:N,11,FALSE)</f>
        <v>TID_Name_wende_CN_Main</v>
      </c>
      <c r="H887" s="61" t="s">
        <v>2331</v>
      </c>
      <c r="I887" s="61" t="str">
        <f>VLOOKUP(F887,'#对话模型配置'!A:O,15,FALSE)</f>
        <v>newbie_oversea_leo</v>
      </c>
      <c r="J887" s="20" t="s">
        <v>3115</v>
      </c>
      <c r="K887" s="127" t="s">
        <v>3116</v>
      </c>
      <c r="U887" s="20">
        <v>2</v>
      </c>
      <c r="V887" s="20">
        <v>0</v>
      </c>
      <c r="X887" s="71">
        <v>30011</v>
      </c>
      <c r="Y887" s="71" t="b">
        <v>0</v>
      </c>
      <c r="AA887" s="71" t="b">
        <v>0</v>
      </c>
      <c r="AE887" s="20">
        <f t="shared" si="88"/>
        <v>5</v>
      </c>
      <c r="AH887" s="61">
        <v>0.1</v>
      </c>
      <c r="AI887" s="61">
        <v>1</v>
      </c>
      <c r="AL887" s="108">
        <v>35</v>
      </c>
    </row>
    <row r="888" spans="1:38" ht="14.5">
      <c r="A888" s="20">
        <v>10607461</v>
      </c>
      <c r="B888" s="20" t="s">
        <v>3114</v>
      </c>
      <c r="C888" s="20">
        <v>2</v>
      </c>
      <c r="E888" s="20" t="s">
        <v>2632</v>
      </c>
      <c r="F888" s="20" t="s">
        <v>2637</v>
      </c>
      <c r="G888" s="20" t="str">
        <f>VLOOKUP(F888,'[1]#对话模型配置'!A:N,11,FALSE)</f>
        <v>TID_DialogueConf_1060001_name_337966742914_CN_Main</v>
      </c>
      <c r="H888" s="61" t="s">
        <v>2331</v>
      </c>
      <c r="I888" s="61" t="str">
        <f>VLOOKUP(F888,'#对话模型配置'!A:O,15,FALSE)</f>
        <v>newbie_oversea_andrea</v>
      </c>
      <c r="J888" s="20" t="s">
        <v>3117</v>
      </c>
      <c r="K888" s="127" t="s">
        <v>3118</v>
      </c>
      <c r="U888" s="20">
        <v>2</v>
      </c>
      <c r="V888" s="20">
        <v>0</v>
      </c>
      <c r="X888" s="71">
        <v>30011</v>
      </c>
      <c r="Y888" s="71" t="b">
        <v>0</v>
      </c>
      <c r="Z888" s="20" t="s">
        <v>3119</v>
      </c>
      <c r="AA888" s="71" t="b">
        <v>0</v>
      </c>
      <c r="AD888" s="20">
        <v>4.62933301925659</v>
      </c>
      <c r="AE888" s="61">
        <f>AD888+1</f>
        <v>5.62933301925659</v>
      </c>
      <c r="AF888" s="61"/>
      <c r="AG888" s="61"/>
      <c r="AH888" s="61">
        <v>0.1</v>
      </c>
      <c r="AI888" s="61">
        <v>1</v>
      </c>
      <c r="AL888" s="108">
        <v>35</v>
      </c>
    </row>
    <row r="889" spans="1:38" ht="28.5">
      <c r="A889" s="20">
        <v>10607461</v>
      </c>
      <c r="B889" s="20" t="s">
        <v>3114</v>
      </c>
      <c r="C889" s="20">
        <v>3</v>
      </c>
      <c r="E889" s="20" t="s">
        <v>2632</v>
      </c>
      <c r="F889" s="20" t="s">
        <v>2850</v>
      </c>
      <c r="G889" s="20" t="str">
        <f>VLOOKUP(F889,'[1]#对话模型配置'!A:N,11,FALSE)</f>
        <v>TID_Name_wende_CN_Main</v>
      </c>
      <c r="H889" s="61" t="s">
        <v>2331</v>
      </c>
      <c r="I889" s="61" t="str">
        <f>VLOOKUP(F889,'#对话模型配置'!A:O,15,FALSE)</f>
        <v>newbie_oversea_leo</v>
      </c>
      <c r="J889" s="20" t="s">
        <v>3120</v>
      </c>
      <c r="K889" s="127" t="s">
        <v>3121</v>
      </c>
      <c r="U889" s="20">
        <v>2</v>
      </c>
      <c r="V889" s="20">
        <v>0</v>
      </c>
      <c r="X889" s="71">
        <v>30011</v>
      </c>
      <c r="Y889" s="71" t="b">
        <v>0</v>
      </c>
      <c r="AA889" s="71" t="b">
        <v>0</v>
      </c>
      <c r="AE889" s="20">
        <f>IF(LEN(K889)/5&lt;3,3,ROUND(LEN(K889)/5,0))</f>
        <v>7</v>
      </c>
      <c r="AH889" s="61">
        <v>0.1</v>
      </c>
      <c r="AI889" s="61">
        <v>1</v>
      </c>
      <c r="AL889" s="108">
        <v>35</v>
      </c>
    </row>
    <row r="890" spans="1:38" ht="14.5">
      <c r="A890" s="20">
        <v>10607461</v>
      </c>
      <c r="B890" s="20" t="s">
        <v>3114</v>
      </c>
      <c r="C890" s="20">
        <v>4</v>
      </c>
      <c r="E890" s="20" t="s">
        <v>2632</v>
      </c>
      <c r="F890" s="20" t="s">
        <v>2633</v>
      </c>
      <c r="G890" s="20" t="str">
        <f>VLOOKUP(F890,'[1]#对话模型配置'!A:N,11,FALSE)</f>
        <v>TID_DialogueConf_1060001_name_CN_Main</v>
      </c>
      <c r="H890" s="61" t="s">
        <v>2331</v>
      </c>
      <c r="I890" s="61" t="str">
        <f>VLOOKUP(F890,'#对话模型配置'!A:O,15,FALSE)</f>
        <v>newbie_oversea_axe</v>
      </c>
      <c r="J890" s="20" t="s">
        <v>3122</v>
      </c>
      <c r="K890" s="127" t="s">
        <v>3123</v>
      </c>
      <c r="U890" s="20">
        <v>2</v>
      </c>
      <c r="V890" s="20">
        <v>0</v>
      </c>
      <c r="X890" s="71">
        <v>30011</v>
      </c>
      <c r="Y890" s="71" t="b">
        <v>0</v>
      </c>
      <c r="Z890" s="20" t="s">
        <v>3124</v>
      </c>
      <c r="AA890" s="71" t="b">
        <v>0</v>
      </c>
      <c r="AD890" s="20">
        <v>1.69360399246216</v>
      </c>
      <c r="AE890" s="61">
        <f>AD890+1</f>
        <v>2.69360399246216</v>
      </c>
      <c r="AF890" s="61"/>
      <c r="AG890" s="61"/>
      <c r="AH890" s="61">
        <v>0.1</v>
      </c>
      <c r="AI890" s="61">
        <v>1</v>
      </c>
      <c r="AL890" s="108">
        <v>35</v>
      </c>
    </row>
    <row r="891" spans="1:38" ht="14.5">
      <c r="A891" s="20">
        <v>10607461</v>
      </c>
      <c r="B891" s="20" t="s">
        <v>3114</v>
      </c>
      <c r="C891" s="20">
        <v>5</v>
      </c>
      <c r="E891" s="20" t="s">
        <v>2632</v>
      </c>
      <c r="F891" s="20" t="s">
        <v>2850</v>
      </c>
      <c r="G891" s="20" t="str">
        <f>VLOOKUP(F891,'[1]#对话模型配置'!A:N,11,FALSE)</f>
        <v>TID_Name_wende_CN_Main</v>
      </c>
      <c r="H891" s="61" t="s">
        <v>2331</v>
      </c>
      <c r="I891" s="61" t="str">
        <f>VLOOKUP(F891,'#对话模型配置'!A:O,15,FALSE)</f>
        <v>newbie_oversea_leo</v>
      </c>
      <c r="J891" s="20" t="s">
        <v>3125</v>
      </c>
      <c r="K891" s="127" t="s">
        <v>3126</v>
      </c>
      <c r="U891" s="20">
        <v>2</v>
      </c>
      <c r="V891" s="20">
        <v>0</v>
      </c>
      <c r="X891" s="71">
        <v>30011</v>
      </c>
      <c r="Y891" s="71" t="b">
        <v>0</v>
      </c>
      <c r="AA891" s="71" t="b">
        <v>0</v>
      </c>
      <c r="AE891" s="20">
        <f>IF(LEN(K891)/5&lt;3,3,ROUND(LEN(K891)/5,0))</f>
        <v>6</v>
      </c>
      <c r="AH891" s="61">
        <v>0.1</v>
      </c>
      <c r="AI891" s="61">
        <v>1</v>
      </c>
      <c r="AL891" s="108">
        <v>35</v>
      </c>
    </row>
    <row r="892" spans="1:38" ht="14.5">
      <c r="A892" s="20">
        <v>10607461</v>
      </c>
      <c r="B892" s="20" t="s">
        <v>3114</v>
      </c>
      <c r="C892" s="20">
        <v>6</v>
      </c>
      <c r="E892" s="20" t="s">
        <v>2632</v>
      </c>
      <c r="F892" s="20" t="s">
        <v>2637</v>
      </c>
      <c r="G892" s="20" t="str">
        <f>VLOOKUP(F892,'[1]#对话模型配置'!A:N,11,FALSE)</f>
        <v>TID_DialogueConf_1060001_name_337966742914_CN_Main</v>
      </c>
      <c r="H892" s="61" t="s">
        <v>2331</v>
      </c>
      <c r="I892" s="61" t="str">
        <f>VLOOKUP(F892,'#对话模型配置'!A:O,15,FALSE)</f>
        <v>newbie_oversea_andrea</v>
      </c>
      <c r="J892" s="20" t="s">
        <v>3127</v>
      </c>
      <c r="K892" s="127" t="s">
        <v>3128</v>
      </c>
      <c r="U892" s="20">
        <v>2</v>
      </c>
      <c r="V892" s="20">
        <v>0</v>
      </c>
      <c r="X892" s="71">
        <v>30011</v>
      </c>
      <c r="Y892" s="71" t="b">
        <v>0</v>
      </c>
      <c r="Z892" s="20" t="s">
        <v>3129</v>
      </c>
      <c r="AA892" s="71" t="b">
        <v>0</v>
      </c>
      <c r="AD892" s="20">
        <v>1.7353539466857899</v>
      </c>
      <c r="AE892" s="61">
        <f>AD892+1</f>
        <v>2.7353539466857901</v>
      </c>
      <c r="AF892" s="61"/>
      <c r="AG892" s="61"/>
      <c r="AH892" s="61">
        <v>0.1</v>
      </c>
      <c r="AI892" s="61">
        <v>1</v>
      </c>
      <c r="AL892" s="108">
        <v>35</v>
      </c>
    </row>
    <row r="893" spans="1:38" ht="14.5">
      <c r="A893" s="20">
        <v>10607461</v>
      </c>
      <c r="B893" s="20" t="s">
        <v>3114</v>
      </c>
      <c r="C893" s="20">
        <v>7</v>
      </c>
      <c r="E893" s="20" t="s">
        <v>2632</v>
      </c>
      <c r="F893" s="20" t="s">
        <v>2850</v>
      </c>
      <c r="G893" s="20" t="str">
        <f>VLOOKUP(F893,'[1]#对话模型配置'!A:N,11,FALSE)</f>
        <v>TID_Name_wende_CN_Main</v>
      </c>
      <c r="H893" s="61" t="s">
        <v>2331</v>
      </c>
      <c r="I893" s="61" t="str">
        <f>VLOOKUP(F893,'#对话模型配置'!A:O,15,FALSE)</f>
        <v>newbie_oversea_leo</v>
      </c>
      <c r="J893" s="20" t="s">
        <v>3130</v>
      </c>
      <c r="K893" s="127" t="s">
        <v>3131</v>
      </c>
      <c r="U893" s="20">
        <v>2</v>
      </c>
      <c r="V893" s="20">
        <v>0</v>
      </c>
      <c r="X893" s="71">
        <v>30011</v>
      </c>
      <c r="Y893" s="71" t="b">
        <v>0</v>
      </c>
      <c r="AA893" s="71" t="b">
        <v>0</v>
      </c>
      <c r="AE893" s="20">
        <f>IF(LEN(K893)/5&lt;3,3,ROUND(LEN(K893)/5,0))</f>
        <v>4</v>
      </c>
      <c r="AH893" s="61">
        <v>0.1</v>
      </c>
      <c r="AI893" s="61">
        <v>1</v>
      </c>
      <c r="AL893" s="108">
        <v>35</v>
      </c>
    </row>
    <row r="894" spans="1:38" ht="14.5">
      <c r="A894" s="20">
        <v>1060746</v>
      </c>
      <c r="B894" s="20" t="s">
        <v>3114</v>
      </c>
      <c r="C894" s="20">
        <v>1</v>
      </c>
      <c r="E894" s="20" t="s">
        <v>2632</v>
      </c>
      <c r="F894" s="20" t="s">
        <v>2637</v>
      </c>
      <c r="G894" s="20" t="str">
        <f>VLOOKUP(F894,'[1]#对话模型配置'!A:N,11,FALSE)</f>
        <v>TID_DialogueConf_1060001_name_337966742914_CN_Main</v>
      </c>
      <c r="H894" s="61" t="s">
        <v>2331</v>
      </c>
      <c r="I894" s="61" t="str">
        <f>VLOOKUP(F894,'#对话模型配置'!A:O,15,FALSE)</f>
        <v>newbie_oversea_andrea</v>
      </c>
      <c r="J894" s="20" t="s">
        <v>3132</v>
      </c>
      <c r="K894" s="24" t="s">
        <v>3133</v>
      </c>
      <c r="U894" s="20">
        <v>2</v>
      </c>
      <c r="V894" s="20">
        <v>0</v>
      </c>
      <c r="X894" s="71">
        <v>30011</v>
      </c>
      <c r="Y894" s="71" t="b">
        <v>0</v>
      </c>
      <c r="Z894" s="20" t="s">
        <v>3134</v>
      </c>
      <c r="AA894" s="71" t="b">
        <v>0</v>
      </c>
      <c r="AD894" s="20">
        <v>8.9652919769287092</v>
      </c>
      <c r="AE894" s="61">
        <f>AD894+1</f>
        <v>9.9652919769287092</v>
      </c>
      <c r="AF894" s="61"/>
      <c r="AG894" s="61"/>
      <c r="AH894" s="61">
        <v>0.1</v>
      </c>
      <c r="AI894" s="61">
        <v>1</v>
      </c>
      <c r="AL894" s="108">
        <v>35</v>
      </c>
    </row>
    <row r="895" spans="1:38" ht="14.5">
      <c r="A895" s="20">
        <v>1060746</v>
      </c>
      <c r="B895" s="20" t="s">
        <v>3114</v>
      </c>
      <c r="C895" s="20">
        <v>2</v>
      </c>
      <c r="E895" s="20" t="s">
        <v>2632</v>
      </c>
      <c r="F895" s="20" t="s">
        <v>2637</v>
      </c>
      <c r="G895" s="20" t="str">
        <f>VLOOKUP(F895,'[1]#对话模型配置'!A:N,11,FALSE)</f>
        <v>TID_DialogueConf_1060001_name_337966742914_CN_Main</v>
      </c>
      <c r="H895" s="61" t="s">
        <v>2331</v>
      </c>
      <c r="I895" s="61" t="str">
        <f>VLOOKUP(F895,'#对话模型配置'!A:O,15,FALSE)</f>
        <v>newbie_oversea_andrea</v>
      </c>
      <c r="J895" s="20" t="s">
        <v>3135</v>
      </c>
      <c r="K895" s="24" t="s">
        <v>3136</v>
      </c>
      <c r="U895" s="20">
        <v>2</v>
      </c>
      <c r="V895" s="20">
        <v>0</v>
      </c>
      <c r="X895" s="71">
        <v>30011</v>
      </c>
      <c r="Y895" s="71" t="b">
        <v>0</v>
      </c>
      <c r="Z895" s="20" t="s">
        <v>3134</v>
      </c>
      <c r="AA895" s="71" t="b">
        <v>0</v>
      </c>
      <c r="AD895" s="20">
        <v>8.9652919769287092</v>
      </c>
      <c r="AE895" s="61">
        <f>AD895+1</f>
        <v>9.9652919769287092</v>
      </c>
      <c r="AF895" s="61"/>
      <c r="AG895" s="61"/>
      <c r="AH895" s="61">
        <v>0.1</v>
      </c>
      <c r="AI895" s="61">
        <v>1</v>
      </c>
      <c r="AL895" s="108">
        <v>35</v>
      </c>
    </row>
    <row r="896" spans="1:38" ht="14.5">
      <c r="A896" s="20">
        <v>1060747</v>
      </c>
      <c r="B896" s="20" t="s">
        <v>3137</v>
      </c>
      <c r="C896" s="20">
        <v>1</v>
      </c>
      <c r="E896" s="20" t="s">
        <v>2632</v>
      </c>
      <c r="F896" s="20" t="s">
        <v>2637</v>
      </c>
      <c r="G896" s="20" t="str">
        <f>VLOOKUP(F896,'[1]#对话模型配置'!A:N,11,FALSE)</f>
        <v>TID_DialogueConf_1060001_name_337966742914_CN_Main</v>
      </c>
      <c r="H896" s="61" t="s">
        <v>2331</v>
      </c>
      <c r="I896" s="61" t="str">
        <f>VLOOKUP(F896,'#对话模型配置'!A:O,15,FALSE)</f>
        <v>newbie_oversea_andrea</v>
      </c>
      <c r="J896" s="20" t="s">
        <v>3138</v>
      </c>
      <c r="K896" s="128" t="s">
        <v>3139</v>
      </c>
      <c r="U896" s="20">
        <v>2</v>
      </c>
      <c r="V896" s="20">
        <v>0</v>
      </c>
      <c r="X896" s="71">
        <v>30011</v>
      </c>
      <c r="Y896" s="71" t="b">
        <v>0</v>
      </c>
      <c r="AA896" s="71" t="b">
        <v>0</v>
      </c>
      <c r="AE896" s="20">
        <f t="shared" ref="AE896:AE902" si="89">IF(LEN(K896)/5&lt;3,3,ROUND(LEN(K896)/5,0))</f>
        <v>4</v>
      </c>
      <c r="AH896" s="61">
        <v>0.1</v>
      </c>
      <c r="AI896" s="61">
        <v>1</v>
      </c>
      <c r="AL896" s="108">
        <v>35</v>
      </c>
    </row>
    <row r="897" spans="1:38" ht="14.5">
      <c r="A897" s="20">
        <v>1060747</v>
      </c>
      <c r="B897" s="20" t="s">
        <v>3137</v>
      </c>
      <c r="C897" s="20">
        <v>2</v>
      </c>
      <c r="E897" s="20" t="s">
        <v>2632</v>
      </c>
      <c r="F897" s="20" t="s">
        <v>2793</v>
      </c>
      <c r="G897" s="20" t="str">
        <f>VLOOKUP(F897,'[1]#对话模型配置'!A:N,11,FALSE)</f>
        <v>TID_DialogueConf_1060715_name_CN_Main</v>
      </c>
      <c r="H897" s="61" t="s">
        <v>2331</v>
      </c>
      <c r="I897" s="61" t="str">
        <f>VLOOKUP(F897,'#对话模型配置'!A:O,15,FALSE)</f>
        <v>newbie_oversea_joa</v>
      </c>
      <c r="J897" s="20" t="s">
        <v>3140</v>
      </c>
      <c r="K897" s="1" t="s">
        <v>3141</v>
      </c>
      <c r="U897" s="20">
        <v>2</v>
      </c>
      <c r="V897" s="20">
        <v>0</v>
      </c>
      <c r="X897" s="71">
        <v>30011</v>
      </c>
      <c r="Y897" s="71" t="b">
        <v>0</v>
      </c>
      <c r="AA897" s="71" t="b">
        <v>0</v>
      </c>
      <c r="AE897" s="20">
        <f t="shared" si="89"/>
        <v>4</v>
      </c>
      <c r="AH897" s="61">
        <v>0.1</v>
      </c>
      <c r="AI897" s="61">
        <v>1</v>
      </c>
      <c r="AL897" s="108">
        <v>35</v>
      </c>
    </row>
    <row r="898" spans="1:38" ht="14.5">
      <c r="A898" s="20">
        <v>1060747</v>
      </c>
      <c r="B898" s="20" t="s">
        <v>3137</v>
      </c>
      <c r="C898" s="20">
        <v>3</v>
      </c>
      <c r="E898" s="20" t="s">
        <v>2632</v>
      </c>
      <c r="F898" s="20" t="s">
        <v>2637</v>
      </c>
      <c r="G898" s="20" t="str">
        <f>VLOOKUP(F898,'[1]#对话模型配置'!A:N,11,FALSE)</f>
        <v>TID_DialogueConf_1060001_name_337966742914_CN_Main</v>
      </c>
      <c r="H898" s="61" t="s">
        <v>2331</v>
      </c>
      <c r="I898" s="61" t="str">
        <f>VLOOKUP(F898,'#对话模型配置'!A:O,15,FALSE)</f>
        <v>newbie_oversea_andrea</v>
      </c>
      <c r="J898" s="20" t="s">
        <v>3142</v>
      </c>
      <c r="K898" s="1" t="s">
        <v>3143</v>
      </c>
      <c r="U898" s="20">
        <v>2</v>
      </c>
      <c r="V898" s="20">
        <v>0</v>
      </c>
      <c r="X898" s="71">
        <v>30011</v>
      </c>
      <c r="Y898" s="71" t="b">
        <v>0</v>
      </c>
      <c r="AA898" s="71" t="b">
        <v>0</v>
      </c>
      <c r="AE898" s="20">
        <f t="shared" si="89"/>
        <v>7</v>
      </c>
      <c r="AH898" s="61">
        <v>0.1</v>
      </c>
      <c r="AI898" s="61">
        <v>1</v>
      </c>
      <c r="AL898" s="108">
        <v>35</v>
      </c>
    </row>
    <row r="899" spans="1:38">
      <c r="A899" s="20">
        <v>1060748</v>
      </c>
      <c r="B899" s="20" t="s">
        <v>3144</v>
      </c>
      <c r="C899" s="20">
        <v>1</v>
      </c>
      <c r="E899" s="20" t="s">
        <v>2632</v>
      </c>
      <c r="F899" s="20" t="s">
        <v>2637</v>
      </c>
      <c r="G899" s="20" t="str">
        <f>VLOOKUP(F899,'[1]#对话模型配置'!A:N,11,FALSE)</f>
        <v>TID_DialogueConf_1060001_name_337966742914_CN_Main</v>
      </c>
      <c r="H899" s="61" t="s">
        <v>2331</v>
      </c>
      <c r="I899" s="61" t="str">
        <f>VLOOKUP(F899,'#对话模型配置'!A:O,15,FALSE)</f>
        <v>newbie_oversea_andrea</v>
      </c>
      <c r="J899" s="20" t="s">
        <v>3145</v>
      </c>
      <c r="K899" s="130" t="s">
        <v>3146</v>
      </c>
      <c r="U899" s="20">
        <v>2</v>
      </c>
      <c r="V899" s="20">
        <v>0</v>
      </c>
      <c r="X899" s="71">
        <v>30011</v>
      </c>
      <c r="Y899" s="71" t="b">
        <v>0</v>
      </c>
      <c r="AA899" s="71" t="b">
        <v>0</v>
      </c>
      <c r="AE899" s="20">
        <f t="shared" si="89"/>
        <v>3</v>
      </c>
      <c r="AH899" s="61">
        <v>0.1</v>
      </c>
      <c r="AI899" s="61">
        <v>1</v>
      </c>
      <c r="AL899" s="108">
        <v>35</v>
      </c>
    </row>
    <row r="900" spans="1:38" ht="14.5">
      <c r="A900" s="20">
        <v>1060748</v>
      </c>
      <c r="B900" s="20" t="s">
        <v>3144</v>
      </c>
      <c r="C900" s="20">
        <v>2</v>
      </c>
      <c r="E900" s="20" t="s">
        <v>2632</v>
      </c>
      <c r="F900" s="20" t="s">
        <v>2793</v>
      </c>
      <c r="G900" s="20" t="str">
        <f>VLOOKUP(F900,'[1]#对话模型配置'!A:N,11,FALSE)</f>
        <v>TID_DialogueConf_1060715_name_CN_Main</v>
      </c>
      <c r="H900" s="61" t="s">
        <v>2331</v>
      </c>
      <c r="I900" s="61" t="str">
        <f>VLOOKUP(F900,'#对话模型配置'!A:O,15,FALSE)</f>
        <v>newbie_oversea_joa</v>
      </c>
      <c r="J900" s="20" t="s">
        <v>3147</v>
      </c>
      <c r="K900" s="127" t="s">
        <v>2928</v>
      </c>
      <c r="U900" s="20">
        <v>2</v>
      </c>
      <c r="V900" s="20">
        <v>0</v>
      </c>
      <c r="X900" s="71">
        <v>30011</v>
      </c>
      <c r="Y900" s="71" t="b">
        <v>0</v>
      </c>
      <c r="AA900" s="71" t="b">
        <v>0</v>
      </c>
      <c r="AE900" s="20">
        <f t="shared" si="89"/>
        <v>3</v>
      </c>
      <c r="AH900" s="61">
        <v>0.1</v>
      </c>
      <c r="AI900" s="61">
        <v>1</v>
      </c>
      <c r="AL900" s="108">
        <v>35</v>
      </c>
    </row>
    <row r="901" spans="1:38">
      <c r="A901" s="20">
        <v>1060749</v>
      </c>
      <c r="B901" s="20" t="s">
        <v>3148</v>
      </c>
      <c r="C901" s="20">
        <v>1</v>
      </c>
      <c r="E901" s="20" t="s">
        <v>2632</v>
      </c>
      <c r="F901" s="20" t="s">
        <v>2633</v>
      </c>
      <c r="G901" s="20" t="str">
        <f>VLOOKUP(F901,'[1]#对话模型配置'!A:N,11,FALSE)</f>
        <v>TID_DialogueConf_1060001_name_CN_Main</v>
      </c>
      <c r="H901" s="61" t="s">
        <v>2331</v>
      </c>
      <c r="I901" s="61" t="str">
        <f>VLOOKUP(F901,'#对话模型配置'!A:O,15,FALSE)</f>
        <v>newbie_oversea_axe</v>
      </c>
      <c r="J901" s="20" t="s">
        <v>3149</v>
      </c>
      <c r="K901" s="130" t="s">
        <v>3150</v>
      </c>
      <c r="U901" s="20">
        <v>2</v>
      </c>
      <c r="V901" s="20">
        <v>0</v>
      </c>
      <c r="X901" s="71">
        <v>30011</v>
      </c>
      <c r="Y901" s="71" t="b">
        <v>0</v>
      </c>
      <c r="AA901" s="71" t="b">
        <v>0</v>
      </c>
      <c r="AE901" s="20">
        <f t="shared" si="89"/>
        <v>3</v>
      </c>
      <c r="AH901" s="61">
        <v>0.1</v>
      </c>
      <c r="AI901" s="61">
        <v>1</v>
      </c>
      <c r="AL901" s="108">
        <v>35</v>
      </c>
    </row>
    <row r="902" spans="1:38">
      <c r="A902" s="20">
        <v>1060749</v>
      </c>
      <c r="B902" s="20" t="s">
        <v>3148</v>
      </c>
      <c r="C902" s="20">
        <v>2</v>
      </c>
      <c r="E902" s="20" t="s">
        <v>2632</v>
      </c>
      <c r="F902" s="20" t="s">
        <v>2637</v>
      </c>
      <c r="G902" s="20" t="str">
        <f>VLOOKUP(F902,'[1]#对话模型配置'!A:N,11,FALSE)</f>
        <v>TID_DialogueConf_1060001_name_337966742914_CN_Main</v>
      </c>
      <c r="H902" s="61" t="s">
        <v>2331</v>
      </c>
      <c r="I902" s="61" t="str">
        <f>VLOOKUP(F902,'#对话模型配置'!A:O,15,FALSE)</f>
        <v>newbie_oversea_andrea</v>
      </c>
      <c r="J902" s="20" t="s">
        <v>3151</v>
      </c>
      <c r="K902" s="130" t="s">
        <v>3152</v>
      </c>
      <c r="U902" s="20">
        <v>2</v>
      </c>
      <c r="V902" s="20">
        <v>0</v>
      </c>
      <c r="X902" s="71">
        <v>30011</v>
      </c>
      <c r="Y902" s="71" t="b">
        <v>0</v>
      </c>
      <c r="AA902" s="71" t="b">
        <v>0</v>
      </c>
      <c r="AE902" s="20">
        <f t="shared" si="89"/>
        <v>3</v>
      </c>
      <c r="AH902" s="61">
        <v>0.1</v>
      </c>
      <c r="AI902" s="61">
        <v>1</v>
      </c>
      <c r="AL902" s="108">
        <v>35</v>
      </c>
    </row>
    <row r="903" spans="1:38" ht="14.5">
      <c r="A903" s="20">
        <v>1060750</v>
      </c>
      <c r="B903" s="20" t="s">
        <v>3153</v>
      </c>
      <c r="C903" s="20">
        <v>1</v>
      </c>
      <c r="E903" s="20" t="s">
        <v>2632</v>
      </c>
      <c r="F903" s="20" t="s">
        <v>2637</v>
      </c>
      <c r="G903" s="20" t="str">
        <f>VLOOKUP(F903,'[1]#对话模型配置'!A:N,11,FALSE)</f>
        <v>TID_DialogueConf_1060001_name_337966742914_CN_Main</v>
      </c>
      <c r="H903" s="61" t="s">
        <v>2331</v>
      </c>
      <c r="I903" s="61" t="str">
        <f>VLOOKUP(F903,'#对话模型配置'!A:O,15,FALSE)</f>
        <v>newbie_oversea_andrea</v>
      </c>
      <c r="J903" s="20" t="s">
        <v>3154</v>
      </c>
      <c r="K903" s="127" t="s">
        <v>3155</v>
      </c>
      <c r="U903" s="20">
        <v>2</v>
      </c>
      <c r="V903" s="20">
        <v>0</v>
      </c>
      <c r="X903" s="71">
        <v>30011</v>
      </c>
      <c r="Y903" s="71" t="b">
        <v>0</v>
      </c>
      <c r="Z903" s="20" t="s">
        <v>3156</v>
      </c>
      <c r="AA903" s="71" t="b">
        <v>0</v>
      </c>
      <c r="AD903" s="20">
        <v>3.66577100753784</v>
      </c>
      <c r="AE903" s="61">
        <f t="shared" ref="AE903:AE932" si="90">AD903+1</f>
        <v>4.66577100753784</v>
      </c>
      <c r="AF903" s="61"/>
      <c r="AG903" s="61"/>
      <c r="AH903" s="61">
        <v>0.1</v>
      </c>
      <c r="AI903" s="61">
        <v>1</v>
      </c>
      <c r="AL903" s="108">
        <v>35</v>
      </c>
    </row>
    <row r="904" spans="1:38" ht="28.5">
      <c r="A904" s="20">
        <v>1060751</v>
      </c>
      <c r="B904" s="20" t="s">
        <v>3153</v>
      </c>
      <c r="C904" s="20">
        <v>1</v>
      </c>
      <c r="E904" s="20" t="s">
        <v>2632</v>
      </c>
      <c r="F904" s="20" t="s">
        <v>2633</v>
      </c>
      <c r="G904" s="20" t="str">
        <f>VLOOKUP(F904,'[1]#对话模型配置'!A:N,11,FALSE)</f>
        <v>TID_DialogueConf_1060001_name_CN_Main</v>
      </c>
      <c r="H904" s="61" t="s">
        <v>2331</v>
      </c>
      <c r="I904" s="61" t="str">
        <f>VLOOKUP(F904,'#对话模型配置'!A:O,15,FALSE)</f>
        <v>newbie_oversea_axe</v>
      </c>
      <c r="J904" s="20" t="s">
        <v>3157</v>
      </c>
      <c r="K904" s="127" t="s">
        <v>3158</v>
      </c>
      <c r="U904" s="20">
        <v>2</v>
      </c>
      <c r="V904" s="20">
        <v>0</v>
      </c>
      <c r="X904" s="71">
        <v>30011</v>
      </c>
      <c r="Y904" s="71" t="b">
        <v>0</v>
      </c>
      <c r="Z904" s="20" t="s">
        <v>3159</v>
      </c>
      <c r="AA904" s="71" t="b">
        <v>0</v>
      </c>
      <c r="AD904" s="20">
        <v>5.6031041145324698</v>
      </c>
      <c r="AE904" s="61">
        <f t="shared" si="90"/>
        <v>6.6031041145324698</v>
      </c>
      <c r="AF904" s="61"/>
      <c r="AG904" s="61"/>
      <c r="AH904" s="61">
        <v>0.1</v>
      </c>
      <c r="AI904" s="61">
        <v>1</v>
      </c>
      <c r="AL904" s="108">
        <v>35</v>
      </c>
    </row>
    <row r="905" spans="1:38" ht="14.5">
      <c r="A905" s="20">
        <v>1060751</v>
      </c>
      <c r="B905" s="20" t="s">
        <v>3153</v>
      </c>
      <c r="C905" s="20">
        <v>2</v>
      </c>
      <c r="E905" s="20" t="s">
        <v>2632</v>
      </c>
      <c r="F905" s="20" t="s">
        <v>2633</v>
      </c>
      <c r="G905" s="20" t="str">
        <f>VLOOKUP(F905,'[1]#对话模型配置'!A:N,11,FALSE)</f>
        <v>TID_DialogueConf_1060001_name_CN_Main</v>
      </c>
      <c r="H905" s="61" t="s">
        <v>2331</v>
      </c>
      <c r="I905" s="61" t="str">
        <f>VLOOKUP(F905,'#对话模型配置'!A:O,15,FALSE)</f>
        <v>newbie_oversea_axe</v>
      </c>
      <c r="J905" s="20" t="s">
        <v>3160</v>
      </c>
      <c r="K905" s="127" t="s">
        <v>3161</v>
      </c>
      <c r="U905" s="20">
        <v>2</v>
      </c>
      <c r="V905" s="20">
        <v>0</v>
      </c>
      <c r="X905" s="71">
        <v>30011</v>
      </c>
      <c r="Y905" s="71" t="b">
        <v>0</v>
      </c>
      <c r="Z905" s="20" t="s">
        <v>3162</v>
      </c>
      <c r="AA905" s="71" t="b">
        <v>0</v>
      </c>
      <c r="AD905" s="20">
        <v>4.6367077827453604</v>
      </c>
      <c r="AE905" s="61">
        <f t="shared" si="90"/>
        <v>5.6367077827453604</v>
      </c>
      <c r="AF905" s="61"/>
      <c r="AG905" s="61"/>
      <c r="AH905" s="61">
        <v>0.1</v>
      </c>
      <c r="AI905" s="61">
        <v>1</v>
      </c>
      <c r="AL905" s="108">
        <v>35</v>
      </c>
    </row>
    <row r="906" spans="1:38" ht="28.5">
      <c r="A906" s="20">
        <v>1060751</v>
      </c>
      <c r="B906" s="20" t="s">
        <v>3153</v>
      </c>
      <c r="C906" s="20">
        <v>3</v>
      </c>
      <c r="E906" s="20" t="s">
        <v>2632</v>
      </c>
      <c r="F906" s="20" t="s">
        <v>2793</v>
      </c>
      <c r="G906" s="20" t="str">
        <f>VLOOKUP(F906,'[1]#对话模型配置'!A:N,11,FALSE)</f>
        <v>TID_DialogueConf_1060715_name_CN_Main</v>
      </c>
      <c r="H906" s="61" t="s">
        <v>2331</v>
      </c>
      <c r="I906" s="61" t="str">
        <f>VLOOKUP(F906,'#对话模型配置'!A:O,15,FALSE)</f>
        <v>newbie_oversea_joa</v>
      </c>
      <c r="J906" s="20" t="s">
        <v>3163</v>
      </c>
      <c r="K906" s="127" t="s">
        <v>3164</v>
      </c>
      <c r="U906" s="20">
        <v>2</v>
      </c>
      <c r="V906" s="20">
        <v>0</v>
      </c>
      <c r="X906" s="71">
        <v>30011</v>
      </c>
      <c r="Y906" s="71" t="b">
        <v>0</v>
      </c>
      <c r="Z906" s="20" t="s">
        <v>3165</v>
      </c>
      <c r="AA906" s="71" t="b">
        <v>0</v>
      </c>
      <c r="AD906" s="20">
        <v>6.59025001525879</v>
      </c>
      <c r="AE906" s="61">
        <f t="shared" si="90"/>
        <v>7.59025001525879</v>
      </c>
      <c r="AF906" s="61"/>
      <c r="AG906" s="61"/>
      <c r="AH906" s="61">
        <v>0.1</v>
      </c>
      <c r="AI906" s="61">
        <v>1</v>
      </c>
      <c r="AL906" s="108">
        <v>35</v>
      </c>
    </row>
    <row r="907" spans="1:38" ht="14.5">
      <c r="A907" s="20">
        <v>1060751</v>
      </c>
      <c r="B907" s="20" t="s">
        <v>3153</v>
      </c>
      <c r="C907" s="20">
        <v>4</v>
      </c>
      <c r="E907" s="20" t="s">
        <v>2632</v>
      </c>
      <c r="F907" s="20" t="s">
        <v>2637</v>
      </c>
      <c r="G907" s="20" t="str">
        <f>VLOOKUP(F907,'[1]#对话模型配置'!A:N,11,FALSE)</f>
        <v>TID_DialogueConf_1060001_name_337966742914_CN_Main</v>
      </c>
      <c r="H907" s="61" t="s">
        <v>2331</v>
      </c>
      <c r="I907" s="61" t="str">
        <f>VLOOKUP(F907,'#对话模型配置'!A:O,15,FALSE)</f>
        <v>newbie_oversea_andrea</v>
      </c>
      <c r="J907" s="20" t="s">
        <v>3166</v>
      </c>
      <c r="K907" s="127" t="s">
        <v>3167</v>
      </c>
      <c r="U907" s="20">
        <v>2</v>
      </c>
      <c r="V907" s="20">
        <v>0</v>
      </c>
      <c r="X907" s="71">
        <v>30011</v>
      </c>
      <c r="Y907" s="71" t="b">
        <v>0</v>
      </c>
      <c r="Z907" s="20" t="s">
        <v>3168</v>
      </c>
      <c r="AA907" s="71" t="b">
        <v>0</v>
      </c>
      <c r="AD907" s="20">
        <v>1.13035404682159</v>
      </c>
      <c r="AE907" s="61">
        <f t="shared" si="90"/>
        <v>2.1303540468215898</v>
      </c>
      <c r="AF907" s="61"/>
      <c r="AG907" s="61"/>
      <c r="AH907" s="61">
        <v>0.1</v>
      </c>
      <c r="AI907" s="61">
        <v>1</v>
      </c>
      <c r="AL907" s="108">
        <v>35</v>
      </c>
    </row>
    <row r="908" spans="1:38" ht="28.5">
      <c r="A908" s="20">
        <v>1060751</v>
      </c>
      <c r="B908" s="20" t="s">
        <v>3153</v>
      </c>
      <c r="C908" s="20">
        <v>5</v>
      </c>
      <c r="E908" s="20" t="s">
        <v>2632</v>
      </c>
      <c r="F908" s="20" t="s">
        <v>2793</v>
      </c>
      <c r="G908" s="20" t="str">
        <f>VLOOKUP(F908,'[1]#对话模型配置'!A:N,11,FALSE)</f>
        <v>TID_DialogueConf_1060715_name_CN_Main</v>
      </c>
      <c r="H908" s="61" t="s">
        <v>2331</v>
      </c>
      <c r="I908" s="61" t="str">
        <f>VLOOKUP(F908,'#对话模型配置'!A:O,15,FALSE)</f>
        <v>newbie_oversea_joa</v>
      </c>
      <c r="J908" s="20" t="s">
        <v>3169</v>
      </c>
      <c r="K908" s="127" t="s">
        <v>3170</v>
      </c>
      <c r="U908" s="20">
        <v>2</v>
      </c>
      <c r="V908" s="20">
        <v>0</v>
      </c>
      <c r="X908" s="71">
        <v>30011</v>
      </c>
      <c r="Y908" s="71" t="b">
        <v>0</v>
      </c>
      <c r="Z908" s="20" t="s">
        <v>3171</v>
      </c>
      <c r="AA908" s="71" t="b">
        <v>0</v>
      </c>
      <c r="AD908" s="20">
        <v>6.4613962173461896</v>
      </c>
      <c r="AE908" s="61">
        <f t="shared" si="90"/>
        <v>7.4613962173461896</v>
      </c>
      <c r="AF908" s="61"/>
      <c r="AG908" s="61"/>
      <c r="AH908" s="61">
        <v>0.1</v>
      </c>
      <c r="AI908" s="61">
        <v>1</v>
      </c>
      <c r="AL908" s="108">
        <v>35</v>
      </c>
    </row>
    <row r="909" spans="1:38" ht="14.5">
      <c r="A909" s="20">
        <v>1060758</v>
      </c>
      <c r="B909" s="20" t="s">
        <v>3153</v>
      </c>
      <c r="C909" s="20">
        <v>1</v>
      </c>
      <c r="E909" s="20" t="s">
        <v>2632</v>
      </c>
      <c r="F909" s="20" t="s">
        <v>2793</v>
      </c>
      <c r="G909" s="20" t="str">
        <f>VLOOKUP(F909,'[1]#对话模型配置'!A:N,11,FALSE)</f>
        <v>TID_DialogueConf_1060715_name_CN_Main</v>
      </c>
      <c r="H909" s="61" t="s">
        <v>2331</v>
      </c>
      <c r="I909" s="61" t="str">
        <f>VLOOKUP(F909,'#对话模型配置'!A:O,15,FALSE)</f>
        <v>newbie_oversea_joa</v>
      </c>
      <c r="J909" s="20" t="s">
        <v>3172</v>
      </c>
      <c r="K909" s="127" t="s">
        <v>3173</v>
      </c>
      <c r="U909" s="20">
        <v>2</v>
      </c>
      <c r="V909" s="20">
        <v>0</v>
      </c>
      <c r="X909" s="71">
        <v>30011</v>
      </c>
      <c r="Y909" s="71" t="b">
        <v>0</v>
      </c>
      <c r="Z909" s="20" t="s">
        <v>3174</v>
      </c>
      <c r="AA909" s="71" t="b">
        <v>0</v>
      </c>
      <c r="AD909" s="20">
        <v>4.9468131065368697</v>
      </c>
      <c r="AE909" s="61">
        <f t="shared" si="90"/>
        <v>5.9468131065368697</v>
      </c>
      <c r="AF909" s="61"/>
      <c r="AG909" s="61"/>
      <c r="AH909" s="61">
        <v>0.1</v>
      </c>
      <c r="AI909" s="61">
        <v>1</v>
      </c>
      <c r="AL909" s="108">
        <v>35</v>
      </c>
    </row>
    <row r="910" spans="1:38" ht="14.5">
      <c r="A910" s="20">
        <v>1060758</v>
      </c>
      <c r="B910" s="20" t="s">
        <v>3153</v>
      </c>
      <c r="C910" s="20">
        <v>2</v>
      </c>
      <c r="E910" s="20" t="s">
        <v>2632</v>
      </c>
      <c r="F910" s="20" t="s">
        <v>2793</v>
      </c>
      <c r="G910" s="20" t="str">
        <f>VLOOKUP(F910,'[1]#对话模型配置'!A:N,11,FALSE)</f>
        <v>TID_DialogueConf_1060715_name_CN_Main</v>
      </c>
      <c r="H910" s="61" t="s">
        <v>2331</v>
      </c>
      <c r="I910" s="61" t="str">
        <f>VLOOKUP(F910,'#对话模型配置'!A:O,15,FALSE)</f>
        <v>newbie_oversea_joa</v>
      </c>
      <c r="J910" s="20" t="s">
        <v>3175</v>
      </c>
      <c r="K910" s="127" t="s">
        <v>3176</v>
      </c>
      <c r="U910" s="20">
        <v>2</v>
      </c>
      <c r="V910" s="20">
        <v>0</v>
      </c>
      <c r="X910" s="71">
        <v>30011</v>
      </c>
      <c r="Y910" s="71" t="b">
        <v>0</v>
      </c>
      <c r="Z910" s="20" t="s">
        <v>3177</v>
      </c>
      <c r="AA910" s="71" t="b">
        <v>0</v>
      </c>
      <c r="AD910" s="20">
        <v>4.0924167633056596</v>
      </c>
      <c r="AE910" s="61">
        <f t="shared" si="90"/>
        <v>5.0924167633056596</v>
      </c>
      <c r="AF910" s="61"/>
      <c r="AG910" s="61"/>
      <c r="AH910" s="61">
        <v>0.1</v>
      </c>
      <c r="AI910" s="61">
        <v>1</v>
      </c>
      <c r="AL910" s="108">
        <v>35</v>
      </c>
    </row>
    <row r="911" spans="1:38" ht="14.5">
      <c r="A911" s="20">
        <v>1060760</v>
      </c>
      <c r="B911" s="20" t="s">
        <v>3153</v>
      </c>
      <c r="C911" s="20">
        <v>1</v>
      </c>
      <c r="E911" s="20" t="s">
        <v>2632</v>
      </c>
      <c r="F911" s="20" t="s">
        <v>2637</v>
      </c>
      <c r="G911" s="20" t="str">
        <f>VLOOKUP(F911,'[1]#对话模型配置'!A:N,11,FALSE)</f>
        <v>TID_DialogueConf_1060001_name_337966742914_CN_Main</v>
      </c>
      <c r="H911" s="61" t="s">
        <v>2331</v>
      </c>
      <c r="I911" s="61" t="str">
        <f>VLOOKUP(F911,'#对话模型配置'!A:O,15,FALSE)</f>
        <v>newbie_oversea_andrea</v>
      </c>
      <c r="J911" s="20" t="s">
        <v>3178</v>
      </c>
      <c r="K911" s="127" t="s">
        <v>3179</v>
      </c>
      <c r="U911" s="20">
        <v>2</v>
      </c>
      <c r="V911" s="20">
        <v>0</v>
      </c>
      <c r="X911" s="71">
        <v>30011</v>
      </c>
      <c r="Y911" s="71" t="b">
        <v>0</v>
      </c>
      <c r="Z911" s="20" t="s">
        <v>3180</v>
      </c>
      <c r="AA911" s="71" t="b">
        <v>0</v>
      </c>
      <c r="AD911" s="20">
        <v>4.8474998474121103</v>
      </c>
      <c r="AE911" s="61">
        <f t="shared" si="90"/>
        <v>5.8474998474121103</v>
      </c>
      <c r="AF911" s="61"/>
      <c r="AG911" s="61"/>
      <c r="AH911" s="61">
        <v>0.1</v>
      </c>
      <c r="AI911" s="61">
        <v>1</v>
      </c>
      <c r="AL911" s="108">
        <v>35</v>
      </c>
    </row>
    <row r="912" spans="1:38" ht="14.5">
      <c r="A912" s="20">
        <v>1060761</v>
      </c>
      <c r="B912" s="20" t="s">
        <v>3153</v>
      </c>
      <c r="C912" s="20">
        <v>1</v>
      </c>
      <c r="E912" s="20" t="s">
        <v>2632</v>
      </c>
      <c r="F912" s="20" t="s">
        <v>2637</v>
      </c>
      <c r="G912" s="20" t="str">
        <f>VLOOKUP(F912,'[1]#对话模型配置'!A:N,11,FALSE)</f>
        <v>TID_DialogueConf_1060001_name_337966742914_CN_Main</v>
      </c>
      <c r="H912" s="61" t="s">
        <v>2331</v>
      </c>
      <c r="I912" s="61" t="str">
        <f>VLOOKUP(F912,'#对话模型配置'!A:O,15,FALSE)</f>
        <v>newbie_oversea_andrea</v>
      </c>
      <c r="J912" s="20" t="s">
        <v>3181</v>
      </c>
      <c r="K912" s="127" t="s">
        <v>3182</v>
      </c>
      <c r="U912" s="20">
        <v>2</v>
      </c>
      <c r="V912" s="20">
        <v>0</v>
      </c>
      <c r="X912" s="71">
        <v>30011</v>
      </c>
      <c r="Y912" s="71" t="b">
        <v>0</v>
      </c>
      <c r="Z912" s="20" t="s">
        <v>3183</v>
      </c>
      <c r="AA912" s="71" t="b">
        <v>0</v>
      </c>
      <c r="AD912" s="20">
        <v>5.8476881980895996</v>
      </c>
      <c r="AE912" s="61">
        <f t="shared" si="90"/>
        <v>6.8476881980895996</v>
      </c>
      <c r="AF912" s="61"/>
      <c r="AG912" s="61"/>
      <c r="AH912" s="61">
        <v>0.1</v>
      </c>
      <c r="AI912" s="61">
        <v>1</v>
      </c>
      <c r="AL912" s="108">
        <v>35</v>
      </c>
    </row>
    <row r="913" spans="1:38" ht="14.5">
      <c r="A913" s="20">
        <v>1060762</v>
      </c>
      <c r="B913" s="20" t="s">
        <v>3184</v>
      </c>
      <c r="C913" s="20">
        <v>1</v>
      </c>
      <c r="E913" s="20" t="s">
        <v>2632</v>
      </c>
      <c r="F913" s="20" t="s">
        <v>2633</v>
      </c>
      <c r="G913" s="20" t="str">
        <f>VLOOKUP(F913,'[1]#对话模型配置'!A:N,11,FALSE)</f>
        <v>TID_DialogueConf_1060001_name_CN_Main</v>
      </c>
      <c r="H913" s="61" t="s">
        <v>2331</v>
      </c>
      <c r="I913" s="61" t="str">
        <f>VLOOKUP(F913,'[2]#对话模型配置'!A:O,15,FALSE)</f>
        <v>newbie_oversea_axe</v>
      </c>
      <c r="J913" s="20" t="s">
        <v>3185</v>
      </c>
      <c r="K913" s="127" t="s">
        <v>3186</v>
      </c>
      <c r="U913" s="20">
        <v>2</v>
      </c>
      <c r="V913" s="20">
        <v>0</v>
      </c>
      <c r="X913" s="71">
        <v>30011</v>
      </c>
      <c r="Y913" s="71" t="b">
        <v>0</v>
      </c>
      <c r="Z913" s="20" t="s">
        <v>3187</v>
      </c>
      <c r="AA913" s="71" t="b">
        <v>0</v>
      </c>
      <c r="AD913" s="20">
        <v>2.7893540859222399</v>
      </c>
      <c r="AE913" s="61">
        <f t="shared" si="90"/>
        <v>3.7893540859222399</v>
      </c>
      <c r="AF913" s="61"/>
      <c r="AG913" s="61"/>
      <c r="AH913" s="61">
        <f>AE913</f>
        <v>3.7893540859222399</v>
      </c>
      <c r="AI913" s="61">
        <v>1</v>
      </c>
      <c r="AL913" s="108">
        <v>35</v>
      </c>
    </row>
    <row r="914" spans="1:38" ht="14.5">
      <c r="A914" s="20">
        <v>1060762</v>
      </c>
      <c r="B914" s="20" t="s">
        <v>3184</v>
      </c>
      <c r="C914" s="20">
        <v>2</v>
      </c>
      <c r="E914" s="20" t="s">
        <v>2632</v>
      </c>
      <c r="F914" s="20" t="s">
        <v>2637</v>
      </c>
      <c r="G914" s="20" t="str">
        <f>VLOOKUP(F914,'[1]#对话模型配置'!A:N,11,FALSE)</f>
        <v>TID_DialogueConf_1060001_name_337966742914_CN_Main</v>
      </c>
      <c r="H914" s="61" t="s">
        <v>2331</v>
      </c>
      <c r="I914" s="61" t="str">
        <f>VLOOKUP(F914,'[2]#对话模型配置'!A:O,15,FALSE)</f>
        <v>newbie_oversea_andrea</v>
      </c>
      <c r="J914" s="20" t="s">
        <v>3188</v>
      </c>
      <c r="K914" s="127" t="s">
        <v>3189</v>
      </c>
      <c r="U914" s="20">
        <v>2</v>
      </c>
      <c r="V914" s="20">
        <v>0</v>
      </c>
      <c r="X914" s="71">
        <v>30011</v>
      </c>
      <c r="Y914" s="71" t="b">
        <v>0</v>
      </c>
      <c r="Z914" s="20" t="s">
        <v>3190</v>
      </c>
      <c r="AA914" s="71" t="b">
        <v>0</v>
      </c>
      <c r="AD914" s="20">
        <v>4.4405832290649396</v>
      </c>
      <c r="AE914" s="61">
        <f t="shared" si="90"/>
        <v>5.4405832290649396</v>
      </c>
      <c r="AF914" s="61"/>
      <c r="AG914" s="61"/>
      <c r="AH914" s="61">
        <f t="shared" ref="AH914:AH916" si="91">AE914</f>
        <v>5.4405832290649396</v>
      </c>
      <c r="AI914" s="61">
        <v>1</v>
      </c>
      <c r="AL914" s="108">
        <v>35</v>
      </c>
    </row>
    <row r="915" spans="1:38" ht="14.5">
      <c r="A915" s="20">
        <v>1060762</v>
      </c>
      <c r="B915" s="20" t="s">
        <v>3184</v>
      </c>
      <c r="C915" s="20">
        <v>3</v>
      </c>
      <c r="E915" s="20" t="s">
        <v>2632</v>
      </c>
      <c r="F915" s="20" t="s">
        <v>2633</v>
      </c>
      <c r="G915" s="20" t="str">
        <f>VLOOKUP(F915,'[1]#对话模型配置'!A:N,11,FALSE)</f>
        <v>TID_DialogueConf_1060001_name_CN_Main</v>
      </c>
      <c r="H915" s="61" t="s">
        <v>2331</v>
      </c>
      <c r="I915" s="61" t="str">
        <f>VLOOKUP(F915,'[2]#对话模型配置'!A:O,15,FALSE)</f>
        <v>newbie_oversea_axe</v>
      </c>
      <c r="J915" s="20" t="s">
        <v>3191</v>
      </c>
      <c r="K915" s="127" t="s">
        <v>3192</v>
      </c>
      <c r="U915" s="20">
        <v>2</v>
      </c>
      <c r="V915" s="20">
        <v>0</v>
      </c>
      <c r="X915" s="71">
        <v>30011</v>
      </c>
      <c r="Y915" s="71" t="b">
        <v>0</v>
      </c>
      <c r="Z915" s="20" t="s">
        <v>3193</v>
      </c>
      <c r="AA915" s="71" t="b">
        <v>0</v>
      </c>
      <c r="AD915" s="20">
        <v>2.3656249046325701</v>
      </c>
      <c r="AE915" s="61">
        <f t="shared" si="90"/>
        <v>3.3656249046325701</v>
      </c>
      <c r="AF915" s="61"/>
      <c r="AG915" s="61"/>
      <c r="AH915" s="61">
        <f t="shared" si="91"/>
        <v>3.3656249046325701</v>
      </c>
      <c r="AI915" s="61">
        <v>1</v>
      </c>
      <c r="AL915" s="108">
        <v>35</v>
      </c>
    </row>
    <row r="916" spans="1:38" ht="14.5">
      <c r="A916" s="20">
        <v>1060763</v>
      </c>
      <c r="B916" s="20" t="s">
        <v>3184</v>
      </c>
      <c r="C916" s="20">
        <v>1</v>
      </c>
      <c r="E916" s="20" t="s">
        <v>2632</v>
      </c>
      <c r="F916" s="20" t="s">
        <v>2637</v>
      </c>
      <c r="G916" s="20" t="str">
        <f>VLOOKUP(F916,'[1]#对话模型配置'!A:N,11,FALSE)</f>
        <v>TID_DialogueConf_1060001_name_337966742914_CN_Main</v>
      </c>
      <c r="H916" s="61" t="s">
        <v>2331</v>
      </c>
      <c r="I916" s="61" t="str">
        <f>VLOOKUP(F916,'[2]#对话模型配置'!A:O,15,FALSE)</f>
        <v>newbie_oversea_andrea</v>
      </c>
      <c r="J916" s="20" t="s">
        <v>3194</v>
      </c>
      <c r="K916" s="127" t="s">
        <v>3195</v>
      </c>
      <c r="U916" s="20">
        <v>2</v>
      </c>
      <c r="V916" s="20">
        <v>0</v>
      </c>
      <c r="X916" s="71">
        <v>30011</v>
      </c>
      <c r="Y916" s="71" t="b">
        <v>0</v>
      </c>
      <c r="Z916" s="20" t="s">
        <v>3196</v>
      </c>
      <c r="AA916" s="71" t="b">
        <v>0</v>
      </c>
      <c r="AD916" s="20">
        <v>2.6649370193481401</v>
      </c>
      <c r="AE916" s="61">
        <f t="shared" si="90"/>
        <v>3.6649370193481401</v>
      </c>
      <c r="AF916" s="61"/>
      <c r="AG916" s="61"/>
      <c r="AH916" s="61">
        <f t="shared" si="91"/>
        <v>3.6649370193481401</v>
      </c>
      <c r="AI916" s="61">
        <v>1</v>
      </c>
      <c r="AL916" s="108">
        <v>35</v>
      </c>
    </row>
    <row r="917" spans="1:38" ht="14.5">
      <c r="A917" s="20">
        <v>1060766</v>
      </c>
      <c r="B917" s="20" t="s">
        <v>3197</v>
      </c>
      <c r="C917" s="20">
        <v>1</v>
      </c>
      <c r="E917" s="20" t="s">
        <v>2632</v>
      </c>
      <c r="F917" s="20" t="s">
        <v>2633</v>
      </c>
      <c r="G917" s="20" t="str">
        <f>VLOOKUP(F917,'[1]#对话模型配置'!A:N,11,FALSE)</f>
        <v>TID_DialogueConf_1060001_name_CN_Main</v>
      </c>
      <c r="H917" s="61" t="s">
        <v>2331</v>
      </c>
      <c r="I917" s="61" t="str">
        <f>VLOOKUP(F917,'#对话模型配置'!A:O,15,FALSE)</f>
        <v>newbie_oversea_axe</v>
      </c>
      <c r="J917" s="20" t="s">
        <v>3198</v>
      </c>
      <c r="K917" s="127" t="s">
        <v>3199</v>
      </c>
      <c r="U917" s="20">
        <v>2</v>
      </c>
      <c r="V917" s="20">
        <v>0</v>
      </c>
      <c r="X917" s="71">
        <v>30011</v>
      </c>
      <c r="Y917" s="71" t="b">
        <v>0</v>
      </c>
      <c r="Z917" s="20" t="s">
        <v>3200</v>
      </c>
      <c r="AA917" s="71" t="b">
        <v>0</v>
      </c>
      <c r="AD917" s="20">
        <v>2.8542709350585902</v>
      </c>
      <c r="AE917" s="61">
        <f t="shared" si="90"/>
        <v>3.8542709350585902</v>
      </c>
      <c r="AF917" s="61"/>
      <c r="AG917" s="61"/>
      <c r="AH917" s="61">
        <v>0.1</v>
      </c>
      <c r="AI917" s="61">
        <v>1</v>
      </c>
      <c r="AL917" s="108">
        <v>35</v>
      </c>
    </row>
    <row r="918" spans="1:38" ht="14.5">
      <c r="A918" s="20">
        <v>1060766</v>
      </c>
      <c r="B918" s="20" t="s">
        <v>3197</v>
      </c>
      <c r="C918" s="20">
        <v>2</v>
      </c>
      <c r="E918" s="20" t="s">
        <v>2632</v>
      </c>
      <c r="F918" s="20" t="s">
        <v>2637</v>
      </c>
      <c r="G918" s="20" t="str">
        <f>VLOOKUP(F918,'[1]#对话模型配置'!A:N,11,FALSE)</f>
        <v>TID_DialogueConf_1060001_name_337966742914_CN_Main</v>
      </c>
      <c r="H918" s="61" t="s">
        <v>2331</v>
      </c>
      <c r="I918" s="61" t="str">
        <f>VLOOKUP(F918,'#对话模型配置'!A:O,15,FALSE)</f>
        <v>newbie_oversea_andrea</v>
      </c>
      <c r="J918" s="20" t="s">
        <v>3201</v>
      </c>
      <c r="K918" s="127" t="s">
        <v>3202</v>
      </c>
      <c r="U918" s="20">
        <v>2</v>
      </c>
      <c r="V918" s="20">
        <v>0</v>
      </c>
      <c r="X918" s="71">
        <v>30011</v>
      </c>
      <c r="Y918" s="71" t="b">
        <v>0</v>
      </c>
      <c r="Z918" s="20" t="s">
        <v>3203</v>
      </c>
      <c r="AA918" s="71" t="b">
        <v>0</v>
      </c>
      <c r="AD918" s="20">
        <v>4.3052711486816397</v>
      </c>
      <c r="AE918" s="61">
        <f t="shared" si="90"/>
        <v>5.3052711486816397</v>
      </c>
      <c r="AF918" s="61"/>
      <c r="AG918" s="61"/>
      <c r="AH918" s="61">
        <v>0.1</v>
      </c>
      <c r="AI918" s="61">
        <v>1</v>
      </c>
      <c r="AL918" s="108">
        <v>35</v>
      </c>
    </row>
    <row r="919" spans="1:38" ht="14.5">
      <c r="A919" s="20">
        <v>1060766</v>
      </c>
      <c r="B919" s="20" t="s">
        <v>3197</v>
      </c>
      <c r="C919" s="20">
        <v>3</v>
      </c>
      <c r="E919" s="20" t="s">
        <v>2632</v>
      </c>
      <c r="F919" s="20" t="s">
        <v>2793</v>
      </c>
      <c r="G919" s="20" t="str">
        <f>VLOOKUP(F919,'[1]#对话模型配置'!A:N,11,FALSE)</f>
        <v>TID_DialogueConf_1060715_name_CN_Main</v>
      </c>
      <c r="H919" s="61" t="s">
        <v>2331</v>
      </c>
      <c r="I919" s="61" t="str">
        <f>VLOOKUP(F919,'#对话模型配置'!A:O,15,FALSE)</f>
        <v>newbie_oversea_joa</v>
      </c>
      <c r="J919" s="20" t="s">
        <v>3204</v>
      </c>
      <c r="K919" s="127" t="s">
        <v>3205</v>
      </c>
      <c r="U919" s="20">
        <v>2</v>
      </c>
      <c r="V919" s="20">
        <v>0</v>
      </c>
      <c r="X919" s="71">
        <v>30011</v>
      </c>
      <c r="Y919" s="71" t="b">
        <v>0</v>
      </c>
      <c r="Z919" s="20" t="s">
        <v>3206</v>
      </c>
      <c r="AA919" s="71" t="b">
        <v>0</v>
      </c>
      <c r="AD919" s="20">
        <v>2.2944788932800302</v>
      </c>
      <c r="AE919" s="61">
        <f t="shared" si="90"/>
        <v>3.2944788932800302</v>
      </c>
      <c r="AF919" s="61"/>
      <c r="AG919" s="61"/>
      <c r="AH919" s="61">
        <v>0.1</v>
      </c>
      <c r="AI919" s="61">
        <v>1</v>
      </c>
      <c r="AL919" s="108">
        <v>35</v>
      </c>
    </row>
    <row r="920" spans="1:38" ht="14.5">
      <c r="A920" s="20">
        <v>1060769</v>
      </c>
      <c r="B920" s="20" t="s">
        <v>3197</v>
      </c>
      <c r="C920" s="20">
        <v>1</v>
      </c>
      <c r="E920" s="20" t="s">
        <v>2632</v>
      </c>
      <c r="F920" s="20" t="s">
        <v>2633</v>
      </c>
      <c r="G920" s="20" t="str">
        <f>VLOOKUP(F920,'[1]#对话模型配置'!A:N,11,FALSE)</f>
        <v>TID_DialogueConf_1060001_name_CN_Main</v>
      </c>
      <c r="H920" s="61" t="s">
        <v>2331</v>
      </c>
      <c r="I920" s="61" t="str">
        <f>VLOOKUP(F920,'#对话模型配置'!A:O,15,FALSE)</f>
        <v>newbie_oversea_axe</v>
      </c>
      <c r="J920" s="20" t="s">
        <v>3207</v>
      </c>
      <c r="K920" s="127" t="s">
        <v>3208</v>
      </c>
      <c r="U920" s="20">
        <v>2</v>
      </c>
      <c r="V920" s="20">
        <v>0</v>
      </c>
      <c r="X920" s="71">
        <v>30011</v>
      </c>
      <c r="Y920" s="71" t="b">
        <v>0</v>
      </c>
      <c r="Z920" s="20" t="s">
        <v>3209</v>
      </c>
      <c r="AA920" s="71" t="b">
        <v>0</v>
      </c>
      <c r="AD920" s="20">
        <v>3.6898329257965101</v>
      </c>
      <c r="AE920" s="61">
        <f t="shared" si="90"/>
        <v>4.6898329257965106</v>
      </c>
      <c r="AF920" s="61"/>
      <c r="AG920" s="61"/>
      <c r="AH920" s="61">
        <v>0.1</v>
      </c>
      <c r="AI920" s="61">
        <v>1</v>
      </c>
      <c r="AL920" s="108">
        <v>35</v>
      </c>
    </row>
    <row r="921" spans="1:38" ht="14.5">
      <c r="A921" s="20">
        <v>1060769</v>
      </c>
      <c r="B921" s="20" t="s">
        <v>3197</v>
      </c>
      <c r="C921" s="20">
        <v>2</v>
      </c>
      <c r="E921" s="20" t="s">
        <v>2632</v>
      </c>
      <c r="F921" s="20" t="s">
        <v>2637</v>
      </c>
      <c r="G921" s="20" t="str">
        <f>VLOOKUP(F921,'[1]#对话模型配置'!A:N,11,FALSE)</f>
        <v>TID_DialogueConf_1060001_name_337966742914_CN_Main</v>
      </c>
      <c r="H921" s="61" t="s">
        <v>2331</v>
      </c>
      <c r="I921" s="61" t="str">
        <f>VLOOKUP(F921,'#对话模型配置'!A:O,15,FALSE)</f>
        <v>newbie_oversea_andrea</v>
      </c>
      <c r="J921" s="20" t="s">
        <v>3210</v>
      </c>
      <c r="K921" s="127" t="s">
        <v>3211</v>
      </c>
      <c r="U921" s="20">
        <v>2</v>
      </c>
      <c r="V921" s="20">
        <v>0</v>
      </c>
      <c r="X921" s="71">
        <v>30011</v>
      </c>
      <c r="Y921" s="71" t="b">
        <v>0</v>
      </c>
      <c r="Z921" s="20" t="s">
        <v>3212</v>
      </c>
      <c r="AA921" s="71" t="b">
        <v>0</v>
      </c>
      <c r="AD921" s="20">
        <v>2.7345209121704102</v>
      </c>
      <c r="AE921" s="61">
        <f t="shared" si="90"/>
        <v>3.7345209121704102</v>
      </c>
      <c r="AF921" s="61"/>
      <c r="AG921" s="61"/>
      <c r="AH921" s="61">
        <v>0.1</v>
      </c>
      <c r="AI921" s="61">
        <v>1</v>
      </c>
      <c r="AL921" s="108">
        <v>35</v>
      </c>
    </row>
    <row r="922" spans="1:38" ht="14.5">
      <c r="A922" s="20">
        <v>1060771</v>
      </c>
      <c r="B922" s="20" t="s">
        <v>3197</v>
      </c>
      <c r="C922" s="20">
        <v>1</v>
      </c>
      <c r="E922" s="20" t="s">
        <v>2632</v>
      </c>
      <c r="F922" s="20" t="s">
        <v>2761</v>
      </c>
      <c r="G922" s="20" t="str">
        <f>VLOOKUP(F922,'[1]#对话模型配置'!A:N,11,FALSE)</f>
        <v>TID_Name_shibing_CN_Main</v>
      </c>
      <c r="H922" s="61" t="s">
        <v>2331</v>
      </c>
      <c r="I922" s="61" t="str">
        <f>VLOOKUP(F922,'#对话模型配置'!A:O,15,FALSE)</f>
        <v>newbie_oversea_leo</v>
      </c>
      <c r="J922" s="20" t="s">
        <v>3213</v>
      </c>
      <c r="K922" s="127" t="s">
        <v>3214</v>
      </c>
      <c r="U922" s="20">
        <v>2</v>
      </c>
      <c r="V922" s="20">
        <v>0</v>
      </c>
      <c r="X922" s="71">
        <v>30011</v>
      </c>
      <c r="Y922" s="71" t="b">
        <v>0</v>
      </c>
      <c r="Z922" s="20" t="s">
        <v>3215</v>
      </c>
      <c r="AA922" s="71" t="b">
        <v>0</v>
      </c>
      <c r="AD922" s="20">
        <v>2.7999999523162802</v>
      </c>
      <c r="AE922" s="61">
        <f t="shared" si="90"/>
        <v>3.7999999523162802</v>
      </c>
      <c r="AF922" s="61"/>
      <c r="AG922" s="61"/>
      <c r="AH922" s="61">
        <v>0.1</v>
      </c>
      <c r="AI922" s="61">
        <v>1</v>
      </c>
      <c r="AL922" s="108">
        <v>35</v>
      </c>
    </row>
    <row r="923" spans="1:38" ht="14.5">
      <c r="A923" s="20">
        <v>1060772</v>
      </c>
      <c r="B923" s="20" t="s">
        <v>3197</v>
      </c>
      <c r="C923" s="20">
        <v>1</v>
      </c>
      <c r="E923" s="20" t="s">
        <v>2632</v>
      </c>
      <c r="F923" s="20" t="s">
        <v>2761</v>
      </c>
      <c r="G923" s="20" t="str">
        <f>VLOOKUP(F923,'[1]#对话模型配置'!A:N,11,FALSE)</f>
        <v>TID_Name_shibing_CN_Main</v>
      </c>
      <c r="H923" s="61" t="s">
        <v>2331</v>
      </c>
      <c r="I923" s="61" t="str">
        <f>VLOOKUP(F923,'#对话模型配置'!A:O,15,FALSE)</f>
        <v>newbie_oversea_leo</v>
      </c>
      <c r="J923" s="20" t="s">
        <v>3216</v>
      </c>
      <c r="K923" s="127" t="s">
        <v>3217</v>
      </c>
      <c r="U923" s="20">
        <v>2</v>
      </c>
      <c r="V923" s="20">
        <v>0</v>
      </c>
      <c r="X923" s="71">
        <v>30011</v>
      </c>
      <c r="Y923" s="71" t="b">
        <v>0</v>
      </c>
      <c r="Z923" s="20" t="s">
        <v>3218</v>
      </c>
      <c r="AA923" s="71" t="b">
        <v>0</v>
      </c>
      <c r="AD923" s="20">
        <v>2.6721880435943599</v>
      </c>
      <c r="AE923" s="61">
        <f t="shared" si="90"/>
        <v>3.6721880435943599</v>
      </c>
      <c r="AF923" s="61"/>
      <c r="AG923" s="61"/>
      <c r="AH923" s="61">
        <v>0.1</v>
      </c>
      <c r="AI923" s="61">
        <v>1</v>
      </c>
      <c r="AL923" s="108">
        <v>35</v>
      </c>
    </row>
    <row r="924" spans="1:38" ht="14.5">
      <c r="A924" s="20">
        <v>1060773</v>
      </c>
      <c r="B924" s="20" t="s">
        <v>3197</v>
      </c>
      <c r="C924" s="20">
        <v>1</v>
      </c>
      <c r="E924" s="20" t="s">
        <v>2632</v>
      </c>
      <c r="F924" s="20" t="s">
        <v>2633</v>
      </c>
      <c r="G924" s="20" t="str">
        <f>VLOOKUP(F924,'[1]#对话模型配置'!A:N,11,FALSE)</f>
        <v>TID_DialogueConf_1060001_name_CN_Main</v>
      </c>
      <c r="H924" s="61" t="s">
        <v>2331</v>
      </c>
      <c r="I924" s="61" t="str">
        <f>VLOOKUP(F924,'#对话模型配置'!A:O,15,FALSE)</f>
        <v>newbie_oversea_axe</v>
      </c>
      <c r="J924" s="20" t="s">
        <v>3219</v>
      </c>
      <c r="K924" s="127" t="s">
        <v>3220</v>
      </c>
      <c r="U924" s="20">
        <v>2</v>
      </c>
      <c r="V924" s="20">
        <v>0</v>
      </c>
      <c r="X924" s="71">
        <v>30011</v>
      </c>
      <c r="Y924" s="71" t="b">
        <v>0</v>
      </c>
      <c r="Z924" s="20" t="s">
        <v>3221</v>
      </c>
      <c r="AA924" s="71" t="b">
        <v>0</v>
      </c>
      <c r="AD924" s="20">
        <v>5.1223340034484899</v>
      </c>
      <c r="AE924" s="61">
        <f t="shared" si="90"/>
        <v>6.1223340034484899</v>
      </c>
      <c r="AF924" s="61"/>
      <c r="AG924" s="61"/>
      <c r="AH924" s="61">
        <v>0.1</v>
      </c>
      <c r="AI924" s="61">
        <v>1</v>
      </c>
      <c r="AL924" s="108">
        <v>35</v>
      </c>
    </row>
    <row r="925" spans="1:38" ht="28.5">
      <c r="A925" s="20">
        <v>1060773</v>
      </c>
      <c r="B925" s="20" t="s">
        <v>3197</v>
      </c>
      <c r="C925" s="20">
        <v>2</v>
      </c>
      <c r="E925" s="20" t="s">
        <v>2632</v>
      </c>
      <c r="F925" s="20" t="s">
        <v>2637</v>
      </c>
      <c r="G925" s="20" t="str">
        <f>VLOOKUP(F925,'[1]#对话模型配置'!A:N,11,FALSE)</f>
        <v>TID_DialogueConf_1060001_name_337966742914_CN_Main</v>
      </c>
      <c r="H925" s="61" t="s">
        <v>2331</v>
      </c>
      <c r="I925" s="61" t="str">
        <f>VLOOKUP(F925,'#对话模型配置'!A:O,15,FALSE)</f>
        <v>newbie_oversea_andrea</v>
      </c>
      <c r="J925" s="20" t="s">
        <v>3222</v>
      </c>
      <c r="K925" s="127" t="s">
        <v>3223</v>
      </c>
      <c r="U925" s="20">
        <v>2</v>
      </c>
      <c r="V925" s="20">
        <v>0</v>
      </c>
      <c r="X925" s="71">
        <v>30011</v>
      </c>
      <c r="Y925" s="71" t="b">
        <v>0</v>
      </c>
      <c r="Z925" s="20" t="s">
        <v>3224</v>
      </c>
      <c r="AA925" s="71" t="b">
        <v>0</v>
      </c>
      <c r="AD925" s="20">
        <v>7.62839603424072</v>
      </c>
      <c r="AE925" s="61">
        <f t="shared" si="90"/>
        <v>8.6283960342407191</v>
      </c>
      <c r="AF925" s="61"/>
      <c r="AG925" s="61"/>
      <c r="AH925" s="61">
        <v>0.1</v>
      </c>
      <c r="AI925" s="61">
        <v>1</v>
      </c>
      <c r="AL925" s="108">
        <v>35</v>
      </c>
    </row>
    <row r="926" spans="1:38" ht="14.5">
      <c r="A926" s="20">
        <v>1060773</v>
      </c>
      <c r="B926" s="20" t="s">
        <v>3197</v>
      </c>
      <c r="C926" s="20">
        <v>3</v>
      </c>
      <c r="E926" s="20" t="s">
        <v>2632</v>
      </c>
      <c r="F926" s="20" t="s">
        <v>2637</v>
      </c>
      <c r="G926" s="20" t="str">
        <f>VLOOKUP(F926,'[1]#对话模型配置'!A:N,11,FALSE)</f>
        <v>TID_DialogueConf_1060001_name_337966742914_CN_Main</v>
      </c>
      <c r="H926" s="61" t="s">
        <v>2331</v>
      </c>
      <c r="I926" s="61" t="str">
        <f>VLOOKUP(F926,'#对话模型配置'!A:O,15,FALSE)</f>
        <v>newbie_oversea_andrea</v>
      </c>
      <c r="J926" s="20" t="s">
        <v>3225</v>
      </c>
      <c r="K926" s="127" t="s">
        <v>3226</v>
      </c>
      <c r="U926" s="20">
        <v>2</v>
      </c>
      <c r="V926" s="20">
        <v>0</v>
      </c>
      <c r="X926" s="71">
        <v>30011</v>
      </c>
      <c r="Y926" s="71" t="b">
        <v>0</v>
      </c>
      <c r="Z926" s="20" t="s">
        <v>3227</v>
      </c>
      <c r="AA926" s="71" t="b">
        <v>0</v>
      </c>
      <c r="AD926" s="20">
        <v>6.4734168052673304</v>
      </c>
      <c r="AE926" s="61">
        <f t="shared" si="90"/>
        <v>7.4734168052673304</v>
      </c>
      <c r="AF926" s="61"/>
      <c r="AG926" s="61"/>
      <c r="AH926" s="61">
        <v>0.1</v>
      </c>
      <c r="AI926" s="61">
        <v>1</v>
      </c>
      <c r="AL926" s="108">
        <v>35</v>
      </c>
    </row>
    <row r="927" spans="1:38" ht="28.5">
      <c r="A927" s="20">
        <v>1060776</v>
      </c>
      <c r="B927" s="20" t="s">
        <v>3228</v>
      </c>
      <c r="C927" s="20">
        <v>1</v>
      </c>
      <c r="E927" s="20" t="s">
        <v>2632</v>
      </c>
      <c r="F927" s="20" t="s">
        <v>2768</v>
      </c>
      <c r="G927" s="20" t="str">
        <f>VLOOKUP(F927,'[1]#对话模型配置'!A:N,11,FALSE)</f>
        <v>TID_Name_mengduke_CN_Main</v>
      </c>
      <c r="H927" s="61" t="s">
        <v>2331</v>
      </c>
      <c r="I927" s="61" t="str">
        <f>VLOOKUP(F927,'#对话模型配置'!A:O,15,FALSE)</f>
        <v>newbie_oversea_monduk</v>
      </c>
      <c r="J927" s="20" t="s">
        <v>3229</v>
      </c>
      <c r="K927" s="127" t="s">
        <v>3230</v>
      </c>
      <c r="U927" s="20">
        <v>2</v>
      </c>
      <c r="V927" s="20">
        <v>0</v>
      </c>
      <c r="X927" s="71">
        <v>30011</v>
      </c>
      <c r="Y927" s="71" t="b">
        <v>0</v>
      </c>
      <c r="Z927" s="20" t="s">
        <v>3231</v>
      </c>
      <c r="AA927" s="71" t="b">
        <v>0</v>
      </c>
      <c r="AD927" s="20">
        <v>11.2990627288818</v>
      </c>
      <c r="AE927" s="61">
        <f t="shared" si="90"/>
        <v>12.2990627288818</v>
      </c>
      <c r="AF927" s="61"/>
      <c r="AG927" s="61"/>
      <c r="AH927" s="61">
        <v>0.1</v>
      </c>
      <c r="AI927" s="61">
        <v>1</v>
      </c>
      <c r="AL927" s="108">
        <v>35</v>
      </c>
    </row>
    <row r="928" spans="1:38" ht="28.5">
      <c r="A928" s="20">
        <v>1060776</v>
      </c>
      <c r="B928" s="20" t="s">
        <v>3228</v>
      </c>
      <c r="C928" s="20">
        <v>2</v>
      </c>
      <c r="E928" s="20" t="s">
        <v>2632</v>
      </c>
      <c r="F928" s="20" t="s">
        <v>2637</v>
      </c>
      <c r="G928" s="20" t="str">
        <f>VLOOKUP(F928,'[1]#对话模型配置'!A:N,11,FALSE)</f>
        <v>TID_DialogueConf_1060001_name_337966742914_CN_Main</v>
      </c>
      <c r="H928" s="61" t="s">
        <v>2331</v>
      </c>
      <c r="I928" s="61" t="str">
        <f>VLOOKUP(F928,'#对话模型配置'!A:O,15,FALSE)</f>
        <v>newbie_oversea_andrea</v>
      </c>
      <c r="J928" s="20" t="s">
        <v>3232</v>
      </c>
      <c r="K928" s="127" t="s">
        <v>3233</v>
      </c>
      <c r="U928" s="20">
        <v>2</v>
      </c>
      <c r="V928" s="20">
        <v>0</v>
      </c>
      <c r="X928" s="71">
        <v>30011</v>
      </c>
      <c r="Y928" s="71" t="b">
        <v>0</v>
      </c>
      <c r="Z928" s="20" t="s">
        <v>3234</v>
      </c>
      <c r="AA928" s="71" t="b">
        <v>0</v>
      </c>
      <c r="AD928" s="20">
        <v>6.8525619506835902</v>
      </c>
      <c r="AE928" s="61">
        <f t="shared" si="90"/>
        <v>7.8525619506835902</v>
      </c>
      <c r="AF928" s="61"/>
      <c r="AG928" s="61"/>
      <c r="AH928" s="61">
        <v>0.1</v>
      </c>
      <c r="AI928" s="61">
        <v>1</v>
      </c>
      <c r="AL928" s="108">
        <v>35</v>
      </c>
    </row>
    <row r="929" spans="1:38" ht="28.5">
      <c r="A929" s="20">
        <v>1060776</v>
      </c>
      <c r="B929" s="20" t="s">
        <v>3228</v>
      </c>
      <c r="C929" s="20">
        <v>3</v>
      </c>
      <c r="E929" s="20" t="s">
        <v>2632</v>
      </c>
      <c r="F929" s="20" t="s">
        <v>2768</v>
      </c>
      <c r="G929" s="20" t="str">
        <f>VLOOKUP(F929,'[1]#对话模型配置'!A:N,11,FALSE)</f>
        <v>TID_Name_mengduke_CN_Main</v>
      </c>
      <c r="H929" s="61" t="s">
        <v>2331</v>
      </c>
      <c r="I929" s="61" t="str">
        <f>VLOOKUP(F929,'#对话模型配置'!A:O,15,FALSE)</f>
        <v>newbie_oversea_monduk</v>
      </c>
      <c r="J929" s="20" t="s">
        <v>3235</v>
      </c>
      <c r="K929" s="127" t="s">
        <v>3236</v>
      </c>
      <c r="U929" s="20">
        <v>2</v>
      </c>
      <c r="V929" s="20">
        <v>0</v>
      </c>
      <c r="X929" s="71">
        <v>30011</v>
      </c>
      <c r="Y929" s="71" t="b">
        <v>0</v>
      </c>
      <c r="Z929" s="20" t="s">
        <v>3237</v>
      </c>
      <c r="AA929" s="71" t="b">
        <v>0</v>
      </c>
      <c r="AD929" s="20">
        <v>11.6801042556763</v>
      </c>
      <c r="AE929" s="61">
        <f t="shared" si="90"/>
        <v>12.6801042556763</v>
      </c>
      <c r="AF929" s="61"/>
      <c r="AG929" s="61"/>
      <c r="AH929" s="61">
        <v>0.1</v>
      </c>
      <c r="AI929" s="61">
        <v>1</v>
      </c>
      <c r="AL929" s="108">
        <v>35</v>
      </c>
    </row>
    <row r="930" spans="1:38" ht="28.5">
      <c r="A930" s="20">
        <v>1060776</v>
      </c>
      <c r="B930" s="20" t="s">
        <v>3228</v>
      </c>
      <c r="C930" s="20">
        <v>4</v>
      </c>
      <c r="E930" s="20" t="s">
        <v>2632</v>
      </c>
      <c r="F930" s="20" t="s">
        <v>2768</v>
      </c>
      <c r="G930" s="20" t="str">
        <f>VLOOKUP(F930,'[1]#对话模型配置'!A:N,11,FALSE)</f>
        <v>TID_Name_mengduke_CN_Main</v>
      </c>
      <c r="H930" s="61" t="s">
        <v>2331</v>
      </c>
      <c r="I930" s="61" t="str">
        <f>VLOOKUP(F930,'#对话模型配置'!A:O,15,FALSE)</f>
        <v>newbie_oversea_monduk</v>
      </c>
      <c r="J930" s="20" t="s">
        <v>3238</v>
      </c>
      <c r="K930" s="127" t="s">
        <v>3239</v>
      </c>
      <c r="U930" s="20">
        <v>2</v>
      </c>
      <c r="V930" s="20">
        <v>0</v>
      </c>
      <c r="X930" s="71">
        <v>30011</v>
      </c>
      <c r="Y930" s="71" t="b">
        <v>0</v>
      </c>
      <c r="Z930" s="20" t="s">
        <v>3240</v>
      </c>
      <c r="AA930" s="71" t="b">
        <v>0</v>
      </c>
      <c r="AD930" s="20">
        <v>9.3764791488647496</v>
      </c>
      <c r="AE930" s="61">
        <f t="shared" si="90"/>
        <v>10.37647914886475</v>
      </c>
      <c r="AF930" s="61"/>
      <c r="AG930" s="61"/>
      <c r="AH930" s="61">
        <v>0.1</v>
      </c>
      <c r="AI930" s="61">
        <v>1</v>
      </c>
      <c r="AL930" s="108">
        <v>35</v>
      </c>
    </row>
    <row r="931" spans="1:38" ht="28.5">
      <c r="A931" s="20">
        <v>1060780</v>
      </c>
      <c r="B931" s="20" t="s">
        <v>3241</v>
      </c>
      <c r="C931" s="20">
        <v>1</v>
      </c>
      <c r="E931" s="20" t="s">
        <v>2632</v>
      </c>
      <c r="F931" s="20" t="s">
        <v>2768</v>
      </c>
      <c r="G931" s="20" t="str">
        <f>VLOOKUP(F931,'[1]#对话模型配置'!A:N,11,FALSE)</f>
        <v>TID_Name_mengduke_CN_Main</v>
      </c>
      <c r="H931" s="61" t="s">
        <v>2331</v>
      </c>
      <c r="I931" s="61" t="str">
        <f>VLOOKUP(F931,'#对话模型配置'!A:O,15,FALSE)</f>
        <v>newbie_oversea_monduk</v>
      </c>
      <c r="J931" s="20" t="s">
        <v>3242</v>
      </c>
      <c r="K931" s="127" t="s">
        <v>3243</v>
      </c>
      <c r="U931" s="20">
        <v>2</v>
      </c>
      <c r="V931" s="20">
        <v>0</v>
      </c>
      <c r="X931" s="71">
        <v>30011</v>
      </c>
      <c r="Y931" s="71" t="b">
        <v>0</v>
      </c>
      <c r="Z931" s="20" t="s">
        <v>3244</v>
      </c>
      <c r="AA931" s="71" t="b">
        <v>0</v>
      </c>
      <c r="AD931" s="20">
        <v>13.543937683105501</v>
      </c>
      <c r="AE931" s="61">
        <f t="shared" si="90"/>
        <v>14.543937683105501</v>
      </c>
      <c r="AF931" s="61"/>
      <c r="AG931" s="61"/>
      <c r="AH931" s="61">
        <v>0.1</v>
      </c>
      <c r="AI931" s="61">
        <v>1</v>
      </c>
      <c r="AL931" s="108">
        <v>35</v>
      </c>
    </row>
    <row r="932" spans="1:38" ht="28.5">
      <c r="A932" s="20">
        <v>1060780</v>
      </c>
      <c r="B932" s="20" t="s">
        <v>3241</v>
      </c>
      <c r="C932" s="20">
        <v>2</v>
      </c>
      <c r="E932" s="20" t="s">
        <v>2632</v>
      </c>
      <c r="F932" s="20" t="s">
        <v>2637</v>
      </c>
      <c r="G932" s="20" t="str">
        <f>VLOOKUP(F932,'[1]#对话模型配置'!A:N,11,FALSE)</f>
        <v>TID_DialogueConf_1060001_name_337966742914_CN_Main</v>
      </c>
      <c r="H932" s="61" t="s">
        <v>2331</v>
      </c>
      <c r="I932" s="61" t="str">
        <f>VLOOKUP(F932,'#对话模型配置'!A:O,15,FALSE)</f>
        <v>newbie_oversea_andrea</v>
      </c>
      <c r="J932" s="20" t="s">
        <v>3245</v>
      </c>
      <c r="K932" s="127" t="s">
        <v>3246</v>
      </c>
      <c r="U932" s="20">
        <v>2</v>
      </c>
      <c r="V932" s="20">
        <v>0</v>
      </c>
      <c r="X932" s="71">
        <v>30011</v>
      </c>
      <c r="Y932" s="71" t="b">
        <v>0</v>
      </c>
      <c r="Z932" s="20" t="s">
        <v>3247</v>
      </c>
      <c r="AA932" s="71" t="b">
        <v>0</v>
      </c>
      <c r="AD932" s="20">
        <v>7.0716037750244096</v>
      </c>
      <c r="AE932" s="61">
        <f t="shared" si="90"/>
        <v>8.0716037750244105</v>
      </c>
      <c r="AF932" s="61"/>
      <c r="AG932" s="61"/>
      <c r="AH932" s="61">
        <v>0.1</v>
      </c>
      <c r="AI932" s="61">
        <v>1</v>
      </c>
      <c r="AL932" s="108">
        <v>35</v>
      </c>
    </row>
    <row r="933" spans="1:38" ht="14.5">
      <c r="A933" s="20">
        <v>1060781</v>
      </c>
      <c r="B933" s="20" t="s">
        <v>3241</v>
      </c>
      <c r="C933" s="20">
        <v>1</v>
      </c>
      <c r="E933" s="20" t="s">
        <v>2632</v>
      </c>
      <c r="F933" s="20" t="s">
        <v>2637</v>
      </c>
      <c r="G933" s="20" t="str">
        <f>VLOOKUP(F933,'[1]#对话模型配置'!A:N,11,FALSE)</f>
        <v>TID_DialogueConf_1060001_name_337966742914_CN_Main</v>
      </c>
      <c r="H933" s="61" t="s">
        <v>2331</v>
      </c>
      <c r="I933" s="61" t="str">
        <f>VLOOKUP(F933,'#对话模型配置'!A:O,15,FALSE)</f>
        <v>newbie_oversea_andrea</v>
      </c>
      <c r="J933" s="20" t="s">
        <v>3248</v>
      </c>
      <c r="K933" s="128" t="s">
        <v>3249</v>
      </c>
      <c r="U933" s="20">
        <v>2</v>
      </c>
      <c r="V933" s="20">
        <v>0</v>
      </c>
      <c r="X933" s="71">
        <v>30011</v>
      </c>
      <c r="Y933" s="71" t="b">
        <v>0</v>
      </c>
      <c r="AA933" s="71" t="b">
        <v>0</v>
      </c>
      <c r="AE933" s="20">
        <f t="shared" ref="AE933:AE940" si="92">IF(LEN(K933)/5&lt;3,3,ROUND(LEN(K933)/5,0))</f>
        <v>5</v>
      </c>
      <c r="AH933" s="61">
        <v>0.1</v>
      </c>
      <c r="AI933" s="61">
        <v>1</v>
      </c>
      <c r="AL933" s="108">
        <v>35</v>
      </c>
    </row>
    <row r="934" spans="1:38" ht="14.5">
      <c r="A934" s="20">
        <v>1060782</v>
      </c>
      <c r="B934" s="20" t="s">
        <v>3241</v>
      </c>
      <c r="C934" s="20">
        <v>1</v>
      </c>
      <c r="E934" s="20" t="s">
        <v>2632</v>
      </c>
      <c r="F934" s="20" t="s">
        <v>2793</v>
      </c>
      <c r="G934" s="20" t="str">
        <f>VLOOKUP(F934,'[1]#对话模型配置'!A:N,11,FALSE)</f>
        <v>TID_DialogueConf_1060715_name_CN_Main</v>
      </c>
      <c r="H934" s="61" t="s">
        <v>2331</v>
      </c>
      <c r="I934" s="61" t="str">
        <f>VLOOKUP(F934,'#对话模型配置'!A:O,15,FALSE)</f>
        <v>newbie_oversea_joa</v>
      </c>
      <c r="J934" s="20" t="s">
        <v>3250</v>
      </c>
      <c r="K934" s="128" t="s">
        <v>3251</v>
      </c>
      <c r="U934" s="20">
        <v>2</v>
      </c>
      <c r="V934" s="20">
        <v>0</v>
      </c>
      <c r="X934" s="71">
        <v>30011</v>
      </c>
      <c r="Y934" s="71" t="b">
        <v>0</v>
      </c>
      <c r="AA934" s="71" t="b">
        <v>0</v>
      </c>
      <c r="AE934" s="20">
        <f t="shared" si="92"/>
        <v>3</v>
      </c>
      <c r="AH934" s="61">
        <v>0.1</v>
      </c>
      <c r="AI934" s="61">
        <v>1</v>
      </c>
      <c r="AL934" s="108">
        <v>35</v>
      </c>
    </row>
    <row r="935" spans="1:38" ht="14.5">
      <c r="A935" s="20">
        <v>1060782</v>
      </c>
      <c r="B935" s="20" t="s">
        <v>3241</v>
      </c>
      <c r="C935" s="20">
        <v>2</v>
      </c>
      <c r="E935" s="20" t="s">
        <v>2632</v>
      </c>
      <c r="F935" s="20" t="s">
        <v>2637</v>
      </c>
      <c r="G935" s="20" t="str">
        <f>VLOOKUP(F935,'[1]#对话模型配置'!A:N,11,FALSE)</f>
        <v>TID_DialogueConf_1060001_name_337966742914_CN_Main</v>
      </c>
      <c r="H935" s="61" t="s">
        <v>2331</v>
      </c>
      <c r="I935" s="61" t="str">
        <f>VLOOKUP(F935,'#对话模型配置'!A:O,15,FALSE)</f>
        <v>newbie_oversea_andrea</v>
      </c>
      <c r="J935" s="20" t="s">
        <v>3252</v>
      </c>
      <c r="K935" s="127" t="s">
        <v>3253</v>
      </c>
      <c r="U935" s="20">
        <v>2</v>
      </c>
      <c r="V935" s="20">
        <v>0</v>
      </c>
      <c r="X935" s="71">
        <v>30011</v>
      </c>
      <c r="Y935" s="71" t="b">
        <v>0</v>
      </c>
      <c r="AA935" s="71" t="b">
        <v>0</v>
      </c>
      <c r="AE935" s="20">
        <f t="shared" si="92"/>
        <v>4</v>
      </c>
      <c r="AH935" s="61">
        <v>0.1</v>
      </c>
      <c r="AI935" s="61">
        <v>1</v>
      </c>
      <c r="AL935" s="108">
        <v>35</v>
      </c>
    </row>
    <row r="936" spans="1:38" ht="14.5">
      <c r="A936" s="20">
        <v>1060783</v>
      </c>
      <c r="B936" s="20" t="s">
        <v>3241</v>
      </c>
      <c r="C936" s="20">
        <v>1</v>
      </c>
      <c r="E936" s="20" t="s">
        <v>2632</v>
      </c>
      <c r="F936" s="20" t="s">
        <v>2633</v>
      </c>
      <c r="G936" s="20" t="str">
        <f>VLOOKUP(F936,'[1]#对话模型配置'!A:N,11,FALSE)</f>
        <v>TID_DialogueConf_1060001_name_CN_Main</v>
      </c>
      <c r="H936" s="61" t="s">
        <v>2331</v>
      </c>
      <c r="I936" s="61" t="str">
        <f>VLOOKUP(F936,'#对话模型配置'!A:O,15,FALSE)</f>
        <v>newbie_oversea_axe</v>
      </c>
      <c r="J936" s="20" t="s">
        <v>3254</v>
      </c>
      <c r="K936" s="127" t="s">
        <v>3255</v>
      </c>
      <c r="U936" s="20">
        <v>2</v>
      </c>
      <c r="V936" s="20">
        <v>0</v>
      </c>
      <c r="X936" s="71">
        <v>30011</v>
      </c>
      <c r="Y936" s="71" t="b">
        <v>0</v>
      </c>
      <c r="AA936" s="71" t="b">
        <v>0</v>
      </c>
      <c r="AE936" s="20">
        <f t="shared" si="92"/>
        <v>6</v>
      </c>
      <c r="AH936" s="61">
        <v>0.1</v>
      </c>
      <c r="AI936" s="61">
        <v>1</v>
      </c>
      <c r="AL936" s="108">
        <v>35</v>
      </c>
    </row>
    <row r="937" spans="1:38" ht="14.5">
      <c r="A937" s="20">
        <v>1060783</v>
      </c>
      <c r="B937" s="20" t="s">
        <v>3241</v>
      </c>
      <c r="C937" s="20">
        <v>2</v>
      </c>
      <c r="E937" s="20" t="s">
        <v>2632</v>
      </c>
      <c r="F937" s="20" t="s">
        <v>2637</v>
      </c>
      <c r="G937" s="20" t="str">
        <f>VLOOKUP(F937,'[1]#对话模型配置'!A:N,11,FALSE)</f>
        <v>TID_DialogueConf_1060001_name_337966742914_CN_Main</v>
      </c>
      <c r="H937" s="61" t="s">
        <v>2331</v>
      </c>
      <c r="I937" s="61" t="str">
        <f>VLOOKUP(F937,'#对话模型配置'!A:O,15,FALSE)</f>
        <v>newbie_oversea_andrea</v>
      </c>
      <c r="J937" s="20" t="s">
        <v>3256</v>
      </c>
      <c r="K937" s="127" t="s">
        <v>3257</v>
      </c>
      <c r="U937" s="20">
        <v>2</v>
      </c>
      <c r="V937" s="20">
        <v>0</v>
      </c>
      <c r="X937" s="71">
        <v>30011</v>
      </c>
      <c r="Y937" s="71" t="b">
        <v>0</v>
      </c>
      <c r="AA937" s="71" t="b">
        <v>0</v>
      </c>
      <c r="AE937" s="20">
        <f t="shared" si="92"/>
        <v>4</v>
      </c>
      <c r="AH937" s="61">
        <v>0.1</v>
      </c>
      <c r="AI937" s="61">
        <v>1</v>
      </c>
      <c r="AL937" s="108">
        <v>35</v>
      </c>
    </row>
    <row r="938" spans="1:38" ht="28.5">
      <c r="A938" s="20">
        <v>1060784</v>
      </c>
      <c r="B938" s="20" t="s">
        <v>3241</v>
      </c>
      <c r="C938" s="20">
        <v>1</v>
      </c>
      <c r="E938" s="20" t="s">
        <v>2632</v>
      </c>
      <c r="F938" s="20" t="s">
        <v>2637</v>
      </c>
      <c r="G938" s="20" t="str">
        <f>VLOOKUP(F938,'[1]#对话模型配置'!A:N,11,FALSE)</f>
        <v>TID_DialogueConf_1060001_name_337966742914_CN_Main</v>
      </c>
      <c r="H938" s="61" t="s">
        <v>2331</v>
      </c>
      <c r="I938" s="61" t="str">
        <f>VLOOKUP(F938,'#对话模型配置'!A:O,15,FALSE)</f>
        <v>newbie_oversea_andrea</v>
      </c>
      <c r="J938" s="20" t="s">
        <v>3258</v>
      </c>
      <c r="K938" s="127" t="s">
        <v>3259</v>
      </c>
      <c r="U938" s="20">
        <v>2</v>
      </c>
      <c r="V938" s="20">
        <v>0</v>
      </c>
      <c r="X938" s="71">
        <v>30011</v>
      </c>
      <c r="Y938" s="71" t="b">
        <v>0</v>
      </c>
      <c r="AA938" s="71" t="b">
        <v>0</v>
      </c>
      <c r="AE938" s="20">
        <f t="shared" si="92"/>
        <v>8</v>
      </c>
      <c r="AH938" s="61">
        <v>0.1</v>
      </c>
      <c r="AI938" s="61">
        <v>1</v>
      </c>
      <c r="AL938" s="108">
        <v>35</v>
      </c>
    </row>
    <row r="939" spans="1:38" ht="14.5">
      <c r="A939" s="20">
        <v>1060784</v>
      </c>
      <c r="B939" s="20" t="s">
        <v>3241</v>
      </c>
      <c r="C939" s="20">
        <v>2</v>
      </c>
      <c r="E939" s="20" t="s">
        <v>2632</v>
      </c>
      <c r="F939" s="20" t="s">
        <v>2633</v>
      </c>
      <c r="G939" s="20" t="str">
        <f>VLOOKUP(F939,'[1]#对话模型配置'!A:N,11,FALSE)</f>
        <v>TID_DialogueConf_1060001_name_CN_Main</v>
      </c>
      <c r="H939" s="61" t="s">
        <v>2331</v>
      </c>
      <c r="I939" s="61" t="str">
        <f>VLOOKUP(F939,'#对话模型配置'!A:O,15,FALSE)</f>
        <v>newbie_oversea_axe</v>
      </c>
      <c r="J939" s="20" t="s">
        <v>3260</v>
      </c>
      <c r="K939" s="127" t="s">
        <v>3261</v>
      </c>
      <c r="U939" s="20">
        <v>2</v>
      </c>
      <c r="V939" s="20">
        <v>0</v>
      </c>
      <c r="X939" s="71">
        <v>30011</v>
      </c>
      <c r="Y939" s="71" t="b">
        <v>0</v>
      </c>
      <c r="AA939" s="71" t="b">
        <v>0</v>
      </c>
      <c r="AE939" s="20">
        <f t="shared" si="92"/>
        <v>4</v>
      </c>
      <c r="AH939" s="61">
        <v>0.1</v>
      </c>
      <c r="AI939" s="61">
        <v>1</v>
      </c>
      <c r="AL939" s="108">
        <v>35</v>
      </c>
    </row>
    <row r="940" spans="1:38" ht="14.5">
      <c r="A940" s="20">
        <v>1060784</v>
      </c>
      <c r="B940" s="20" t="s">
        <v>3241</v>
      </c>
      <c r="C940" s="20">
        <v>3</v>
      </c>
      <c r="E940" s="20" t="s">
        <v>2632</v>
      </c>
      <c r="F940" s="20" t="s">
        <v>2637</v>
      </c>
      <c r="G940" s="20" t="str">
        <f>VLOOKUP(F940,'[1]#对话模型配置'!A:N,11,FALSE)</f>
        <v>TID_DialogueConf_1060001_name_337966742914_CN_Main</v>
      </c>
      <c r="H940" s="61" t="s">
        <v>2331</v>
      </c>
      <c r="I940" s="61" t="str">
        <f>VLOOKUP(F940,'#对话模型配置'!A:O,15,FALSE)</f>
        <v>newbie_oversea_andrea</v>
      </c>
      <c r="J940" s="20" t="s">
        <v>3262</v>
      </c>
      <c r="K940" s="127" t="s">
        <v>3263</v>
      </c>
      <c r="U940" s="20">
        <v>2</v>
      </c>
      <c r="V940" s="20">
        <v>0</v>
      </c>
      <c r="X940" s="71">
        <v>30011</v>
      </c>
      <c r="Y940" s="71" t="b">
        <v>0</v>
      </c>
      <c r="AA940" s="71" t="b">
        <v>0</v>
      </c>
      <c r="AE940" s="20">
        <f t="shared" si="92"/>
        <v>3</v>
      </c>
      <c r="AH940" s="61">
        <v>0.1</v>
      </c>
      <c r="AI940" s="61">
        <v>1</v>
      </c>
      <c r="AL940" s="108">
        <v>35</v>
      </c>
    </row>
    <row r="941" spans="1:38">
      <c r="A941" s="20">
        <v>1060785</v>
      </c>
      <c r="B941" s="20" t="s">
        <v>3264</v>
      </c>
      <c r="C941" s="20">
        <v>1</v>
      </c>
      <c r="D941" s="20" t="s">
        <v>2632</v>
      </c>
      <c r="E941" s="20" t="s">
        <v>2632</v>
      </c>
      <c r="F941" s="20" t="s">
        <v>2633</v>
      </c>
      <c r="G941" s="20" t="s">
        <v>2330</v>
      </c>
      <c r="H941" s="20" t="s">
        <v>2331</v>
      </c>
      <c r="I941" s="61" t="s">
        <v>3265</v>
      </c>
      <c r="J941" s="61" t="s">
        <v>3266</v>
      </c>
      <c r="K941" s="20" t="s">
        <v>3267</v>
      </c>
      <c r="U941" s="20">
        <v>2</v>
      </c>
      <c r="V941" s="20">
        <v>0</v>
      </c>
      <c r="X941" s="20">
        <v>30011</v>
      </c>
      <c r="Y941" s="71" t="b">
        <v>0</v>
      </c>
      <c r="Z941" s="71"/>
      <c r="AA941" s="20" t="b">
        <v>0</v>
      </c>
      <c r="AB941" s="71"/>
      <c r="AE941" s="20">
        <v>3</v>
      </c>
      <c r="AH941" s="20">
        <v>0.1</v>
      </c>
      <c r="AI941" s="61">
        <v>1</v>
      </c>
      <c r="AJ941" s="61"/>
      <c r="AL941" s="108">
        <v>35</v>
      </c>
    </row>
    <row r="942" spans="1:38">
      <c r="A942" s="20">
        <v>1060786</v>
      </c>
      <c r="B942" s="20" t="s">
        <v>3268</v>
      </c>
      <c r="C942" s="20">
        <v>1</v>
      </c>
      <c r="D942" s="20" t="s">
        <v>2632</v>
      </c>
      <c r="E942" s="20" t="s">
        <v>2632</v>
      </c>
      <c r="F942" s="20" t="s">
        <v>2633</v>
      </c>
      <c r="G942" s="20" t="s">
        <v>2330</v>
      </c>
      <c r="H942" s="20" t="s">
        <v>2331</v>
      </c>
      <c r="I942" s="61" t="s">
        <v>3265</v>
      </c>
      <c r="J942" s="61" t="s">
        <v>3269</v>
      </c>
      <c r="K942" s="20" t="s">
        <v>3270</v>
      </c>
      <c r="U942" s="20">
        <v>2</v>
      </c>
      <c r="V942" s="20">
        <v>0</v>
      </c>
      <c r="X942" s="20">
        <v>30011</v>
      </c>
      <c r="Y942" s="71" t="b">
        <v>0</v>
      </c>
      <c r="Z942" s="71"/>
      <c r="AA942" s="20" t="b">
        <v>0</v>
      </c>
      <c r="AB942" s="71"/>
      <c r="AE942" s="20">
        <v>4</v>
      </c>
      <c r="AH942" s="20">
        <v>0.1</v>
      </c>
      <c r="AI942" s="61">
        <v>1</v>
      </c>
      <c r="AJ942" s="61"/>
      <c r="AL942" s="108">
        <v>35</v>
      </c>
    </row>
    <row r="943" spans="1:38">
      <c r="A943" s="20">
        <v>1060787</v>
      </c>
      <c r="B943" s="20" t="s">
        <v>3271</v>
      </c>
      <c r="C943" s="20">
        <v>1</v>
      </c>
      <c r="D943" s="20" t="s">
        <v>2632</v>
      </c>
      <c r="E943" s="20" t="s">
        <v>2632</v>
      </c>
      <c r="F943" s="20" t="s">
        <v>2633</v>
      </c>
      <c r="G943" s="20" t="s">
        <v>2330</v>
      </c>
      <c r="H943" s="20" t="s">
        <v>2331</v>
      </c>
      <c r="I943" s="61" t="s">
        <v>3265</v>
      </c>
      <c r="J943" s="61" t="s">
        <v>3272</v>
      </c>
      <c r="K943" s="20" t="s">
        <v>3273</v>
      </c>
      <c r="U943" s="20">
        <v>2</v>
      </c>
      <c r="V943" s="20">
        <v>0</v>
      </c>
      <c r="X943" s="20">
        <v>30011</v>
      </c>
      <c r="Y943" s="71" t="b">
        <v>0</v>
      </c>
      <c r="Z943" s="71"/>
      <c r="AA943" s="20" t="b">
        <v>0</v>
      </c>
      <c r="AB943" s="71"/>
      <c r="AE943" s="20">
        <v>3</v>
      </c>
      <c r="AH943" s="20">
        <v>0.1</v>
      </c>
      <c r="AI943" s="61">
        <v>1</v>
      </c>
      <c r="AJ943" s="61"/>
      <c r="AL943" s="108">
        <v>35</v>
      </c>
    </row>
    <row r="944" spans="1:38" ht="14.5">
      <c r="A944" s="20">
        <v>1060788</v>
      </c>
      <c r="B944" s="20" t="s">
        <v>3274</v>
      </c>
      <c r="C944" s="20">
        <v>1</v>
      </c>
      <c r="E944" s="20" t="s">
        <v>2632</v>
      </c>
      <c r="F944" s="20" t="s">
        <v>2637</v>
      </c>
      <c r="G944" s="20" t="str">
        <f>VLOOKUP(F944,'[1]#对话模型配置'!A:N,11,FALSE)</f>
        <v>TID_DialogueConf_1060001_name_337966742914_CN_Main</v>
      </c>
      <c r="H944" s="61" t="s">
        <v>2331</v>
      </c>
      <c r="I944" s="61" t="str">
        <f>VLOOKUP(F944,'#对话模型配置'!A:O,15,FALSE)</f>
        <v>newbie_oversea_andrea</v>
      </c>
      <c r="J944" s="20" t="s">
        <v>3275</v>
      </c>
      <c r="K944" s="128" t="s">
        <v>3276</v>
      </c>
      <c r="U944" s="20">
        <v>2</v>
      </c>
      <c r="V944" s="20">
        <v>0</v>
      </c>
      <c r="X944" s="71">
        <v>30011</v>
      </c>
      <c r="Y944" s="71" t="b">
        <v>0</v>
      </c>
      <c r="AA944" s="71" t="b">
        <v>0</v>
      </c>
      <c r="AE944" s="20">
        <f>IF(LEN(K944)/5&lt;3,3,ROUND(LEN(K944)/5,0))</f>
        <v>3</v>
      </c>
      <c r="AH944" s="61">
        <v>0.1</v>
      </c>
      <c r="AI944" s="61">
        <v>1</v>
      </c>
      <c r="AL944" s="108">
        <v>35</v>
      </c>
    </row>
    <row r="945" spans="1:45">
      <c r="A945" s="76">
        <v>1100001</v>
      </c>
      <c r="B945" s="76"/>
      <c r="C945" s="76">
        <v>1</v>
      </c>
      <c r="D945" s="76"/>
      <c r="E945" s="76" t="s">
        <v>2632</v>
      </c>
      <c r="F945" s="76" t="s">
        <v>2633</v>
      </c>
      <c r="G945" s="76" t="s">
        <v>2330</v>
      </c>
      <c r="H945" s="76" t="s">
        <v>2331</v>
      </c>
      <c r="I945" s="76" t="str">
        <f>VLOOKUP(F945,'#对话模型配置'!A:O,15,FALSE)</f>
        <v>newbie_oversea_axe</v>
      </c>
      <c r="J945" s="76" t="s">
        <v>3277</v>
      </c>
      <c r="K945" s="131" t="s">
        <v>3278</v>
      </c>
      <c r="L945" s="76">
        <v>110008</v>
      </c>
      <c r="M945" s="76" t="s">
        <v>3279</v>
      </c>
      <c r="N945" s="76"/>
      <c r="O945" s="132" t="s">
        <v>3280</v>
      </c>
      <c r="P945" s="132"/>
      <c r="Q945" s="132"/>
      <c r="R945" s="132" t="s">
        <v>3281</v>
      </c>
      <c r="S945" s="132"/>
      <c r="U945" s="20">
        <v>2</v>
      </c>
      <c r="V945" s="20">
        <v>0</v>
      </c>
      <c r="Y945" s="71" t="b">
        <v>0</v>
      </c>
      <c r="AA945" s="20" t="b">
        <v>1</v>
      </c>
      <c r="AE945" s="20">
        <f>IF(LEN(K945)/5&lt;5,5,ROUND(LEN(K945)/5,0))</f>
        <v>5</v>
      </c>
      <c r="AH945" s="61">
        <v>0.1</v>
      </c>
      <c r="AI945" s="61">
        <v>1</v>
      </c>
      <c r="AJ945" s="20">
        <v>2</v>
      </c>
      <c r="AL945" s="108">
        <v>35</v>
      </c>
      <c r="AS945" s="20" t="s">
        <v>3282</v>
      </c>
    </row>
    <row r="946" spans="1:45" ht="26">
      <c r="A946" s="76">
        <v>1100001</v>
      </c>
      <c r="B946" s="76"/>
      <c r="C946" s="76">
        <v>2</v>
      </c>
      <c r="D946" s="76"/>
      <c r="E946" s="76" t="s">
        <v>2632</v>
      </c>
      <c r="F946" s="76" t="s">
        <v>2637</v>
      </c>
      <c r="G946" s="76" t="s">
        <v>2335</v>
      </c>
      <c r="H946" s="76" t="s">
        <v>2331</v>
      </c>
      <c r="I946" s="76" t="str">
        <f>VLOOKUP(F946,'#对话模型配置'!A:O,15,FALSE)</f>
        <v>newbie_oversea_andrea</v>
      </c>
      <c r="J946" s="76" t="s">
        <v>3283</v>
      </c>
      <c r="K946" s="131" t="s">
        <v>3284</v>
      </c>
      <c r="L946" s="76">
        <v>110003</v>
      </c>
      <c r="M946" s="76" t="s">
        <v>3285</v>
      </c>
      <c r="N946" s="76"/>
      <c r="O946" s="132" t="s">
        <v>3286</v>
      </c>
      <c r="P946" s="132"/>
      <c r="Q946" s="132"/>
      <c r="R946" s="132"/>
      <c r="S946" s="132"/>
      <c r="U946" s="20">
        <v>2</v>
      </c>
      <c r="V946" s="20">
        <v>0</v>
      </c>
      <c r="Y946" s="71" t="b">
        <v>0</v>
      </c>
      <c r="AA946" s="20" t="b">
        <v>1</v>
      </c>
      <c r="AE946" s="20">
        <f t="shared" ref="AE946:AE1009" si="93">IF(LEN(K946)/5&lt;5,5,ROUND(LEN(K946)/4.5,0))</f>
        <v>12</v>
      </c>
      <c r="AH946" s="61">
        <v>0.1</v>
      </c>
      <c r="AI946" s="61">
        <v>1</v>
      </c>
      <c r="AJ946" s="20">
        <v>2</v>
      </c>
      <c r="AL946" s="108">
        <v>35</v>
      </c>
    </row>
    <row r="947" spans="1:45" ht="26">
      <c r="A947" s="76">
        <v>1100001</v>
      </c>
      <c r="B947" s="76"/>
      <c r="C947" s="76">
        <v>3</v>
      </c>
      <c r="D947" s="76"/>
      <c r="E947" s="76" t="s">
        <v>2632</v>
      </c>
      <c r="F947" s="76" t="s">
        <v>2637</v>
      </c>
      <c r="G947" s="76" t="s">
        <v>2335</v>
      </c>
      <c r="H947" s="76" t="s">
        <v>2331</v>
      </c>
      <c r="I947" s="76" t="str">
        <f>VLOOKUP(F947,'#对话模型配置'!A:O,15,FALSE)</f>
        <v>newbie_oversea_andrea</v>
      </c>
      <c r="J947" s="76" t="s">
        <v>3287</v>
      </c>
      <c r="K947" s="131" t="s">
        <v>3288</v>
      </c>
      <c r="L947" s="76">
        <v>110003</v>
      </c>
      <c r="M947" s="76" t="s">
        <v>3289</v>
      </c>
      <c r="N947" s="76"/>
      <c r="O947" s="132" t="s">
        <v>3286</v>
      </c>
      <c r="P947" s="132"/>
      <c r="Q947" s="132"/>
      <c r="R947" s="132"/>
      <c r="S947" s="132"/>
      <c r="U947" s="20">
        <v>2</v>
      </c>
      <c r="V947" s="20">
        <v>0</v>
      </c>
      <c r="Y947" s="71" t="b">
        <v>0</v>
      </c>
      <c r="AA947" s="20" t="b">
        <v>1</v>
      </c>
      <c r="AE947" s="20">
        <f t="shared" si="93"/>
        <v>8</v>
      </c>
      <c r="AH947" s="61">
        <v>0.1</v>
      </c>
      <c r="AI947" s="61">
        <v>1</v>
      </c>
      <c r="AJ947" s="20">
        <v>2</v>
      </c>
      <c r="AL947" s="108">
        <v>35</v>
      </c>
    </row>
    <row r="948" spans="1:45" ht="26">
      <c r="A948" s="76">
        <v>1100001</v>
      </c>
      <c r="B948" s="76"/>
      <c r="C948" s="76">
        <v>4</v>
      </c>
      <c r="D948" s="76"/>
      <c r="E948" s="76" t="s">
        <v>2632</v>
      </c>
      <c r="F948" s="76" t="s">
        <v>2637</v>
      </c>
      <c r="G948" s="76" t="s">
        <v>2335</v>
      </c>
      <c r="H948" s="76" t="s">
        <v>2331</v>
      </c>
      <c r="I948" s="76" t="str">
        <f>VLOOKUP(F948,'#对话模型配置'!A:O,15,FALSE)</f>
        <v>newbie_oversea_andrea</v>
      </c>
      <c r="J948" s="76" t="s">
        <v>3290</v>
      </c>
      <c r="K948" s="131" t="s">
        <v>3291</v>
      </c>
      <c r="L948" s="76">
        <v>110003</v>
      </c>
      <c r="M948" s="76" t="s">
        <v>3289</v>
      </c>
      <c r="N948" s="76"/>
      <c r="O948" s="132" t="s">
        <v>3286</v>
      </c>
      <c r="P948" s="132"/>
      <c r="Q948" s="132"/>
      <c r="R948" s="132"/>
      <c r="S948" s="132"/>
      <c r="U948" s="20">
        <v>2</v>
      </c>
      <c r="V948" s="20">
        <v>0</v>
      </c>
      <c r="Y948" s="71" t="b">
        <v>0</v>
      </c>
      <c r="AA948" s="20" t="b">
        <v>1</v>
      </c>
      <c r="AE948" s="20">
        <f t="shared" si="93"/>
        <v>10</v>
      </c>
      <c r="AH948" s="61">
        <v>0.1</v>
      </c>
      <c r="AI948" s="61">
        <v>1</v>
      </c>
      <c r="AJ948" s="20">
        <v>2</v>
      </c>
      <c r="AL948" s="108">
        <v>35</v>
      </c>
    </row>
    <row r="949" spans="1:45">
      <c r="A949" s="76">
        <v>1100001</v>
      </c>
      <c r="B949" s="76"/>
      <c r="C949" s="76">
        <v>5</v>
      </c>
      <c r="D949" s="76"/>
      <c r="E949" s="76" t="s">
        <v>2632</v>
      </c>
      <c r="F949" s="76" t="s">
        <v>2633</v>
      </c>
      <c r="G949" s="76" t="s">
        <v>2330</v>
      </c>
      <c r="H949" s="76" t="s">
        <v>2331</v>
      </c>
      <c r="I949" s="76" t="str">
        <f>VLOOKUP(F949,'#对话模型配置'!A:O,15,FALSE)</f>
        <v>newbie_oversea_axe</v>
      </c>
      <c r="J949" s="76" t="s">
        <v>3292</v>
      </c>
      <c r="K949" s="131" t="s">
        <v>3293</v>
      </c>
      <c r="L949" s="76">
        <v>110008</v>
      </c>
      <c r="M949" s="76" t="s">
        <v>3279</v>
      </c>
      <c r="N949" s="76"/>
      <c r="O949" s="132" t="s">
        <v>3280</v>
      </c>
      <c r="P949" s="132"/>
      <c r="Q949" s="132"/>
      <c r="R949" s="132"/>
      <c r="S949" s="132"/>
      <c r="U949" s="20">
        <v>2</v>
      </c>
      <c r="V949" s="20">
        <v>0</v>
      </c>
      <c r="Y949" s="71" t="b">
        <v>0</v>
      </c>
      <c r="AA949" s="20" t="b">
        <v>1</v>
      </c>
      <c r="AE949" s="20">
        <f t="shared" si="93"/>
        <v>6</v>
      </c>
      <c r="AH949" s="61">
        <v>0.1</v>
      </c>
      <c r="AI949" s="61">
        <v>1</v>
      </c>
      <c r="AJ949" s="20">
        <v>2</v>
      </c>
      <c r="AL949" s="108">
        <v>35</v>
      </c>
    </row>
    <row r="950" spans="1:45" ht="26">
      <c r="A950" s="76">
        <v>1100001</v>
      </c>
      <c r="B950" s="76"/>
      <c r="C950" s="76">
        <v>6</v>
      </c>
      <c r="D950" s="76"/>
      <c r="E950" s="76" t="s">
        <v>2632</v>
      </c>
      <c r="F950" s="76" t="s">
        <v>2637</v>
      </c>
      <c r="G950" s="76" t="s">
        <v>2335</v>
      </c>
      <c r="H950" s="76" t="s">
        <v>2331</v>
      </c>
      <c r="I950" s="76" t="str">
        <f>VLOOKUP(F950,'#对话模型配置'!A:O,15,FALSE)</f>
        <v>newbie_oversea_andrea</v>
      </c>
      <c r="J950" s="76" t="s">
        <v>3294</v>
      </c>
      <c r="K950" s="131" t="s">
        <v>3295</v>
      </c>
      <c r="L950" s="76">
        <v>110003</v>
      </c>
      <c r="M950" s="76" t="s">
        <v>3289</v>
      </c>
      <c r="N950" s="76"/>
      <c r="O950" s="132" t="s">
        <v>3286</v>
      </c>
      <c r="P950" s="132"/>
      <c r="Q950" s="132"/>
      <c r="R950" s="132"/>
      <c r="S950" s="132"/>
      <c r="U950" s="20">
        <v>2</v>
      </c>
      <c r="V950" s="20">
        <v>0</v>
      </c>
      <c r="Y950" s="71" t="b">
        <v>0</v>
      </c>
      <c r="AA950" s="20" t="b">
        <v>1</v>
      </c>
      <c r="AE950" s="20">
        <f t="shared" si="93"/>
        <v>12</v>
      </c>
      <c r="AH950" s="61">
        <v>0.1</v>
      </c>
      <c r="AI950" s="61">
        <v>1</v>
      </c>
      <c r="AJ950" s="20">
        <v>2</v>
      </c>
      <c r="AL950" s="108">
        <v>35</v>
      </c>
    </row>
    <row r="951" spans="1:45">
      <c r="A951" s="129">
        <v>1100002</v>
      </c>
      <c r="B951" s="129"/>
      <c r="C951" s="129">
        <v>1</v>
      </c>
      <c r="D951" s="129"/>
      <c r="E951" s="129" t="s">
        <v>2632</v>
      </c>
      <c r="F951" s="129" t="s">
        <v>2637</v>
      </c>
      <c r="G951" s="129" t="s">
        <v>2335</v>
      </c>
      <c r="H951" s="129" t="s">
        <v>2331</v>
      </c>
      <c r="I951" s="129" t="str">
        <f>VLOOKUP(F951,'#对话模型配置'!A:O,15,FALSE)</f>
        <v>newbie_oversea_andrea</v>
      </c>
      <c r="J951" s="129" t="s">
        <v>3296</v>
      </c>
      <c r="K951" s="133" t="s">
        <v>3297</v>
      </c>
      <c r="L951" s="129">
        <v>110003</v>
      </c>
      <c r="M951" s="129" t="s">
        <v>3285</v>
      </c>
      <c r="N951" s="129"/>
      <c r="O951" s="134" t="s">
        <v>3298</v>
      </c>
      <c r="P951" s="134"/>
      <c r="Q951" s="134"/>
      <c r="R951" s="134" t="s">
        <v>3299</v>
      </c>
      <c r="S951" s="134"/>
      <c r="U951" s="20">
        <v>2</v>
      </c>
      <c r="V951" s="20">
        <v>0</v>
      </c>
      <c r="Y951" s="71" t="b">
        <v>0</v>
      </c>
      <c r="AA951" s="20" t="b">
        <v>1</v>
      </c>
      <c r="AE951" s="20">
        <f t="shared" si="93"/>
        <v>6</v>
      </c>
      <c r="AH951" s="61">
        <v>0.1</v>
      </c>
      <c r="AI951" s="61">
        <v>1</v>
      </c>
      <c r="AJ951" s="20">
        <v>2</v>
      </c>
      <c r="AL951" s="108">
        <v>35</v>
      </c>
      <c r="AS951" s="20" t="s">
        <v>3300</v>
      </c>
    </row>
    <row r="952" spans="1:45" ht="26">
      <c r="A952" s="129">
        <v>1100002</v>
      </c>
      <c r="B952" s="129"/>
      <c r="C952" s="129">
        <v>2</v>
      </c>
      <c r="D952" s="129"/>
      <c r="E952" s="129" t="s">
        <v>2632</v>
      </c>
      <c r="F952" s="129" t="s">
        <v>2793</v>
      </c>
      <c r="G952" s="129" t="s">
        <v>3301</v>
      </c>
      <c r="H952" s="129" t="s">
        <v>2331</v>
      </c>
      <c r="I952" s="129" t="str">
        <f>VLOOKUP(F952,'#对话模型配置'!A:O,15,FALSE)</f>
        <v>newbie_oversea_joa</v>
      </c>
      <c r="J952" s="129" t="s">
        <v>3302</v>
      </c>
      <c r="K952" s="133" t="s">
        <v>3303</v>
      </c>
      <c r="L952" s="129">
        <v>110002</v>
      </c>
      <c r="M952" s="129" t="s">
        <v>3289</v>
      </c>
      <c r="N952" s="129"/>
      <c r="O952" s="134" t="s">
        <v>3304</v>
      </c>
      <c r="P952" s="134"/>
      <c r="Q952" s="134"/>
      <c r="R952" s="134"/>
      <c r="S952" s="134"/>
      <c r="U952" s="20">
        <v>2</v>
      </c>
      <c r="V952" s="20">
        <v>0</v>
      </c>
      <c r="Y952" s="71" t="b">
        <v>0</v>
      </c>
      <c r="AA952" s="20" t="b">
        <v>1</v>
      </c>
      <c r="AE952" s="20">
        <f t="shared" si="93"/>
        <v>11</v>
      </c>
      <c r="AH952" s="61">
        <v>0.1</v>
      </c>
      <c r="AI952" s="61">
        <v>1</v>
      </c>
      <c r="AJ952" s="20">
        <v>2</v>
      </c>
      <c r="AL952" s="108">
        <v>35</v>
      </c>
    </row>
    <row r="953" spans="1:45">
      <c r="A953" s="129">
        <v>1100002</v>
      </c>
      <c r="B953" s="129"/>
      <c r="C953" s="129">
        <v>3</v>
      </c>
      <c r="D953" s="129"/>
      <c r="E953" s="129" t="s">
        <v>2632</v>
      </c>
      <c r="F953" s="129" t="s">
        <v>2793</v>
      </c>
      <c r="G953" s="129" t="s">
        <v>3301</v>
      </c>
      <c r="H953" s="129" t="s">
        <v>2331</v>
      </c>
      <c r="I953" s="129" t="str">
        <f>VLOOKUP(F953,'#对话模型配置'!A:O,15,FALSE)</f>
        <v>newbie_oversea_joa</v>
      </c>
      <c r="J953" s="129" t="s">
        <v>3305</v>
      </c>
      <c r="K953" s="133" t="s">
        <v>3306</v>
      </c>
      <c r="L953" s="129">
        <v>110002</v>
      </c>
      <c r="M953" s="129" t="s">
        <v>3289</v>
      </c>
      <c r="N953" s="129"/>
      <c r="O953" s="134" t="s">
        <v>3304</v>
      </c>
      <c r="P953" s="134"/>
      <c r="Q953" s="134"/>
      <c r="R953" s="134"/>
      <c r="S953" s="134"/>
      <c r="U953" s="20">
        <v>2</v>
      </c>
      <c r="V953" s="20">
        <v>0</v>
      </c>
      <c r="Y953" s="71" t="b">
        <v>0</v>
      </c>
      <c r="AA953" s="20" t="b">
        <v>1</v>
      </c>
      <c r="AE953" s="20">
        <f t="shared" si="93"/>
        <v>6</v>
      </c>
      <c r="AH953" s="61">
        <v>0.1</v>
      </c>
      <c r="AI953" s="61">
        <v>1</v>
      </c>
      <c r="AJ953" s="20">
        <v>2</v>
      </c>
      <c r="AL953" s="108">
        <v>35</v>
      </c>
    </row>
    <row r="954" spans="1:45" ht="26">
      <c r="A954" s="129">
        <v>1100002</v>
      </c>
      <c r="B954" s="129"/>
      <c r="C954" s="129">
        <v>4</v>
      </c>
      <c r="D954" s="129"/>
      <c r="E954" s="129" t="s">
        <v>2632</v>
      </c>
      <c r="F954" s="129" t="s">
        <v>2637</v>
      </c>
      <c r="G954" s="129" t="s">
        <v>2335</v>
      </c>
      <c r="H954" s="129" t="s">
        <v>2331</v>
      </c>
      <c r="I954" s="129" t="str">
        <f>VLOOKUP(F954,'#对话模型配置'!A:O,15,FALSE)</f>
        <v>newbie_oversea_andrea</v>
      </c>
      <c r="J954" s="129" t="s">
        <v>3307</v>
      </c>
      <c r="K954" s="133" t="s">
        <v>3308</v>
      </c>
      <c r="L954" s="129">
        <v>110003</v>
      </c>
      <c r="M954" s="129" t="s">
        <v>3285</v>
      </c>
      <c r="N954" s="129"/>
      <c r="O954" s="134" t="s">
        <v>3298</v>
      </c>
      <c r="P954" s="134"/>
      <c r="Q954" s="134"/>
      <c r="R954" s="134"/>
      <c r="S954" s="134"/>
      <c r="U954" s="20">
        <v>2</v>
      </c>
      <c r="V954" s="20">
        <v>0</v>
      </c>
      <c r="Y954" s="71" t="b">
        <v>0</v>
      </c>
      <c r="AA954" s="20" t="b">
        <v>1</v>
      </c>
      <c r="AE954" s="20">
        <f t="shared" si="93"/>
        <v>8</v>
      </c>
      <c r="AH954" s="61">
        <v>0.1</v>
      </c>
      <c r="AI954" s="61">
        <v>1</v>
      </c>
      <c r="AJ954" s="20">
        <v>2</v>
      </c>
      <c r="AL954" s="108">
        <v>35</v>
      </c>
    </row>
    <row r="955" spans="1:45">
      <c r="A955" s="129">
        <v>1100002</v>
      </c>
      <c r="B955" s="129"/>
      <c r="C955" s="129">
        <v>5</v>
      </c>
      <c r="D955" s="129"/>
      <c r="E955" s="129" t="s">
        <v>2632</v>
      </c>
      <c r="F955" s="129" t="s">
        <v>2633</v>
      </c>
      <c r="G955" s="129" t="s">
        <v>2330</v>
      </c>
      <c r="H955" s="129" t="s">
        <v>2331</v>
      </c>
      <c r="I955" s="129" t="str">
        <f>VLOOKUP(F955,'#对话模型配置'!A:O,15,FALSE)</f>
        <v>newbie_oversea_axe</v>
      </c>
      <c r="J955" s="129" t="s">
        <v>3309</v>
      </c>
      <c r="K955" s="133" t="s">
        <v>3310</v>
      </c>
      <c r="L955" s="129">
        <v>110008</v>
      </c>
      <c r="M955" s="129" t="s">
        <v>3289</v>
      </c>
      <c r="N955" s="129"/>
      <c r="O955" s="134" t="s">
        <v>3311</v>
      </c>
      <c r="P955" s="134"/>
      <c r="Q955" s="134"/>
      <c r="R955" s="134"/>
      <c r="S955" s="134"/>
      <c r="U955" s="20">
        <v>2</v>
      </c>
      <c r="V955" s="20">
        <v>0</v>
      </c>
      <c r="Y955" s="71" t="b">
        <v>0</v>
      </c>
      <c r="AA955" s="20" t="b">
        <v>1</v>
      </c>
      <c r="AE955" s="20">
        <f t="shared" si="93"/>
        <v>5</v>
      </c>
      <c r="AH955" s="61">
        <v>0.1</v>
      </c>
      <c r="AI955" s="61">
        <v>1</v>
      </c>
      <c r="AJ955" s="20">
        <v>2</v>
      </c>
      <c r="AL955" s="108">
        <v>35</v>
      </c>
    </row>
    <row r="956" spans="1:45" ht="26">
      <c r="A956" s="129">
        <v>1100002</v>
      </c>
      <c r="B956" s="129"/>
      <c r="C956" s="129">
        <v>6</v>
      </c>
      <c r="D956" s="129"/>
      <c r="E956" s="129" t="s">
        <v>2632</v>
      </c>
      <c r="F956" s="129" t="s">
        <v>2637</v>
      </c>
      <c r="G956" s="129" t="s">
        <v>2335</v>
      </c>
      <c r="H956" s="129" t="s">
        <v>2331</v>
      </c>
      <c r="I956" s="129" t="str">
        <f>VLOOKUP(F956,'#对话模型配置'!A:O,15,FALSE)</f>
        <v>newbie_oversea_andrea</v>
      </c>
      <c r="J956" s="129" t="s">
        <v>3312</v>
      </c>
      <c r="K956" s="133" t="s">
        <v>3313</v>
      </c>
      <c r="L956" s="129">
        <v>110003</v>
      </c>
      <c r="M956" s="129" t="s">
        <v>3314</v>
      </c>
      <c r="N956" s="129"/>
      <c r="O956" s="134" t="s">
        <v>3298</v>
      </c>
      <c r="P956" s="134"/>
      <c r="Q956" s="134"/>
      <c r="R956" s="134"/>
      <c r="S956" s="134"/>
      <c r="U956" s="20">
        <v>2</v>
      </c>
      <c r="V956" s="20">
        <v>0</v>
      </c>
      <c r="Y956" s="71" t="b">
        <v>0</v>
      </c>
      <c r="AA956" s="20" t="b">
        <v>1</v>
      </c>
      <c r="AE956" s="20">
        <f t="shared" si="93"/>
        <v>11</v>
      </c>
      <c r="AH956" s="61">
        <v>0.1</v>
      </c>
      <c r="AI956" s="61">
        <v>1</v>
      </c>
      <c r="AJ956" s="20">
        <v>2</v>
      </c>
      <c r="AL956" s="108">
        <v>35</v>
      </c>
    </row>
    <row r="957" spans="1:45" ht="26">
      <c r="A957" s="76">
        <v>1100003</v>
      </c>
      <c r="B957" s="76"/>
      <c r="C957" s="76">
        <v>1</v>
      </c>
      <c r="D957" s="76"/>
      <c r="E957" s="76" t="s">
        <v>2632</v>
      </c>
      <c r="F957" s="76" t="s">
        <v>2637</v>
      </c>
      <c r="G957" s="76" t="s">
        <v>2335</v>
      </c>
      <c r="H957" s="76" t="s">
        <v>2331</v>
      </c>
      <c r="I957" s="76" t="str">
        <f>VLOOKUP(F957,'#对话模型配置'!A:O,15,FALSE)</f>
        <v>newbie_oversea_andrea</v>
      </c>
      <c r="J957" s="76" t="s">
        <v>3315</v>
      </c>
      <c r="K957" s="131" t="s">
        <v>3316</v>
      </c>
      <c r="L957" s="76">
        <v>110003</v>
      </c>
      <c r="M957" s="76" t="s">
        <v>3289</v>
      </c>
      <c r="N957" s="76"/>
      <c r="O957" s="132" t="s">
        <v>3317</v>
      </c>
      <c r="P957" s="132"/>
      <c r="Q957" s="132"/>
      <c r="R957" s="134" t="s">
        <v>3318</v>
      </c>
      <c r="S957" s="134"/>
      <c r="U957" s="20">
        <v>2</v>
      </c>
      <c r="V957" s="20">
        <v>0</v>
      </c>
      <c r="Y957" s="71" t="b">
        <v>0</v>
      </c>
      <c r="AA957" s="20" t="b">
        <v>1</v>
      </c>
      <c r="AE957" s="20">
        <f t="shared" si="93"/>
        <v>13</v>
      </c>
      <c r="AH957" s="61">
        <v>0.1</v>
      </c>
      <c r="AI957" s="61">
        <v>1</v>
      </c>
      <c r="AJ957" s="20">
        <v>2</v>
      </c>
      <c r="AL957" s="108">
        <v>35</v>
      </c>
      <c r="AS957" s="20" t="s">
        <v>3282</v>
      </c>
    </row>
    <row r="958" spans="1:45" ht="26">
      <c r="A958" s="76">
        <v>1100003</v>
      </c>
      <c r="B958" s="76"/>
      <c r="C958" s="76">
        <v>2</v>
      </c>
      <c r="D958" s="76"/>
      <c r="E958" s="76" t="s">
        <v>2632</v>
      </c>
      <c r="F958" s="76" t="s">
        <v>2637</v>
      </c>
      <c r="G958" s="76" t="s">
        <v>2335</v>
      </c>
      <c r="H958" s="76" t="s">
        <v>2331</v>
      </c>
      <c r="I958" s="76" t="str">
        <f>VLOOKUP(F958,'#对话模型配置'!A:O,15,FALSE)</f>
        <v>newbie_oversea_andrea</v>
      </c>
      <c r="J958" s="76" t="s">
        <v>3319</v>
      </c>
      <c r="K958" s="131" t="s">
        <v>3320</v>
      </c>
      <c r="L958" s="76">
        <v>110003</v>
      </c>
      <c r="M958" s="76" t="s">
        <v>3289</v>
      </c>
      <c r="N958" s="76"/>
      <c r="O958" s="132" t="s">
        <v>3317</v>
      </c>
      <c r="P958" s="132"/>
      <c r="Q958" s="132"/>
      <c r="R958" s="132"/>
      <c r="S958" s="132"/>
      <c r="U958" s="20">
        <v>2</v>
      </c>
      <c r="V958" s="20">
        <v>0</v>
      </c>
      <c r="Y958" s="71" t="b">
        <v>0</v>
      </c>
      <c r="AA958" s="20" t="b">
        <v>1</v>
      </c>
      <c r="AE958" s="20">
        <f t="shared" si="93"/>
        <v>12</v>
      </c>
      <c r="AH958" s="61">
        <v>0.1</v>
      </c>
      <c r="AI958" s="61">
        <v>1</v>
      </c>
      <c r="AJ958" s="20">
        <v>2</v>
      </c>
      <c r="AL958" s="108">
        <v>35</v>
      </c>
    </row>
    <row r="959" spans="1:45">
      <c r="A959" s="76">
        <v>1100003</v>
      </c>
      <c r="B959" s="76"/>
      <c r="C959" s="76">
        <v>3</v>
      </c>
      <c r="D959" s="76"/>
      <c r="E959" s="76" t="s">
        <v>2632</v>
      </c>
      <c r="F959" s="76" t="s">
        <v>2793</v>
      </c>
      <c r="G959" s="76" t="s">
        <v>3301</v>
      </c>
      <c r="H959" s="76" t="s">
        <v>2331</v>
      </c>
      <c r="I959" s="76" t="str">
        <f>VLOOKUP(F959,'#对话模型配置'!A:O,15,FALSE)</f>
        <v>newbie_oversea_joa</v>
      </c>
      <c r="J959" s="76" t="s">
        <v>3321</v>
      </c>
      <c r="K959" s="131" t="s">
        <v>3322</v>
      </c>
      <c r="L959" s="76">
        <v>110002</v>
      </c>
      <c r="M959" s="76" t="s">
        <v>3289</v>
      </c>
      <c r="N959" s="76"/>
      <c r="O959" s="132" t="s">
        <v>3323</v>
      </c>
      <c r="P959" s="132"/>
      <c r="Q959" s="132"/>
      <c r="R959" s="132"/>
      <c r="S959" s="132"/>
      <c r="U959" s="20">
        <v>2</v>
      </c>
      <c r="V959" s="20">
        <v>0</v>
      </c>
      <c r="Y959" s="71" t="b">
        <v>0</v>
      </c>
      <c r="AA959" s="20" t="b">
        <v>1</v>
      </c>
      <c r="AE959" s="20">
        <f t="shared" si="93"/>
        <v>5</v>
      </c>
      <c r="AH959" s="61">
        <v>0.1</v>
      </c>
      <c r="AI959" s="61">
        <v>1</v>
      </c>
      <c r="AJ959" s="20">
        <v>2</v>
      </c>
      <c r="AL959" s="108">
        <v>35</v>
      </c>
    </row>
    <row r="960" spans="1:45">
      <c r="A960" s="76">
        <v>1100003</v>
      </c>
      <c r="B960" s="76"/>
      <c r="C960" s="76">
        <v>4</v>
      </c>
      <c r="D960" s="76"/>
      <c r="E960" s="76" t="s">
        <v>2632</v>
      </c>
      <c r="F960" s="76" t="s">
        <v>2633</v>
      </c>
      <c r="G960" s="76" t="s">
        <v>2330</v>
      </c>
      <c r="H960" s="76" t="s">
        <v>2331</v>
      </c>
      <c r="I960" s="76" t="str">
        <f>VLOOKUP(F960,'#对话模型配置'!A:O,15,FALSE)</f>
        <v>newbie_oversea_axe</v>
      </c>
      <c r="J960" s="76" t="s">
        <v>3324</v>
      </c>
      <c r="K960" s="131" t="s">
        <v>3325</v>
      </c>
      <c r="L960" s="76">
        <v>110008</v>
      </c>
      <c r="M960" s="76" t="s">
        <v>3289</v>
      </c>
      <c r="N960" s="76"/>
      <c r="O960" s="132" t="s">
        <v>3326</v>
      </c>
      <c r="P960" s="132"/>
      <c r="Q960" s="132"/>
      <c r="R960" s="132"/>
      <c r="S960" s="132"/>
      <c r="U960" s="20">
        <v>2</v>
      </c>
      <c r="V960" s="20">
        <v>0</v>
      </c>
      <c r="Y960" s="71" t="b">
        <v>0</v>
      </c>
      <c r="AA960" s="20" t="b">
        <v>1</v>
      </c>
      <c r="AE960" s="20">
        <f t="shared" si="93"/>
        <v>6</v>
      </c>
      <c r="AH960" s="61">
        <v>0.1</v>
      </c>
      <c r="AI960" s="61">
        <v>1</v>
      </c>
      <c r="AJ960" s="20">
        <v>2</v>
      </c>
      <c r="AL960" s="108">
        <v>35</v>
      </c>
    </row>
    <row r="961" spans="1:45">
      <c r="A961" s="76">
        <v>1100003</v>
      </c>
      <c r="B961" s="76"/>
      <c r="C961" s="76">
        <v>5</v>
      </c>
      <c r="D961" s="76"/>
      <c r="E961" s="76" t="s">
        <v>2632</v>
      </c>
      <c r="F961" s="76" t="s">
        <v>2637</v>
      </c>
      <c r="G961" s="76" t="s">
        <v>2335</v>
      </c>
      <c r="H961" s="76" t="s">
        <v>2331</v>
      </c>
      <c r="I961" s="76" t="str">
        <f>VLOOKUP(F961,'#对话模型配置'!A:O,15,FALSE)</f>
        <v>newbie_oversea_andrea</v>
      </c>
      <c r="J961" s="76" t="s">
        <v>3327</v>
      </c>
      <c r="K961" s="131" t="s">
        <v>3328</v>
      </c>
      <c r="L961" s="76">
        <v>110003</v>
      </c>
      <c r="M961" s="76" t="s">
        <v>3289</v>
      </c>
      <c r="N961" s="76"/>
      <c r="O961" s="132" t="s">
        <v>3329</v>
      </c>
      <c r="P961" s="132"/>
      <c r="Q961" s="132"/>
      <c r="R961" s="132"/>
      <c r="S961" s="132"/>
      <c r="U961" s="20">
        <v>2</v>
      </c>
      <c r="V961" s="20">
        <v>0</v>
      </c>
      <c r="Y961" s="71" t="b">
        <v>0</v>
      </c>
      <c r="AA961" s="20" t="b">
        <v>1</v>
      </c>
      <c r="AE961" s="20">
        <f t="shared" si="93"/>
        <v>6</v>
      </c>
      <c r="AH961" s="61">
        <v>0.1</v>
      </c>
      <c r="AI961" s="61">
        <v>1</v>
      </c>
      <c r="AJ961" s="20">
        <v>2</v>
      </c>
      <c r="AL961" s="108">
        <v>35</v>
      </c>
    </row>
    <row r="962" spans="1:45">
      <c r="A962" s="129">
        <v>1100004</v>
      </c>
      <c r="B962" s="129"/>
      <c r="C962" s="129">
        <v>1</v>
      </c>
      <c r="D962" s="129"/>
      <c r="E962" s="129" t="s">
        <v>2632</v>
      </c>
      <c r="F962" s="129" t="s">
        <v>2637</v>
      </c>
      <c r="G962" s="129" t="s">
        <v>2335</v>
      </c>
      <c r="H962" s="129" t="s">
        <v>2331</v>
      </c>
      <c r="I962" s="129" t="str">
        <f>VLOOKUP(F962,'#对话模型配置'!A:O,15,FALSE)</f>
        <v>newbie_oversea_andrea</v>
      </c>
      <c r="J962" s="129" t="s">
        <v>3330</v>
      </c>
      <c r="K962" s="133" t="s">
        <v>3331</v>
      </c>
      <c r="L962" s="129">
        <v>110003</v>
      </c>
      <c r="M962" s="129" t="s">
        <v>3289</v>
      </c>
      <c r="N962" s="129"/>
      <c r="O962" s="134" t="s">
        <v>3332</v>
      </c>
      <c r="P962" s="134"/>
      <c r="Q962" s="134"/>
      <c r="R962" s="134" t="s">
        <v>3333</v>
      </c>
      <c r="S962" s="134"/>
      <c r="U962" s="20">
        <v>2</v>
      </c>
      <c r="V962" s="20">
        <v>0</v>
      </c>
      <c r="Y962" s="71" t="b">
        <v>0</v>
      </c>
      <c r="AA962" s="20" t="b">
        <v>1</v>
      </c>
      <c r="AE962" s="20">
        <f t="shared" si="93"/>
        <v>6</v>
      </c>
      <c r="AH962" s="61">
        <v>0.1</v>
      </c>
      <c r="AI962" s="61">
        <v>1</v>
      </c>
      <c r="AJ962" s="20">
        <v>2</v>
      </c>
      <c r="AL962" s="108">
        <v>35</v>
      </c>
      <c r="AS962" s="20" t="s">
        <v>3334</v>
      </c>
    </row>
    <row r="963" spans="1:45">
      <c r="A963" s="129">
        <v>1100004</v>
      </c>
      <c r="B963" s="129"/>
      <c r="C963" s="129">
        <v>2</v>
      </c>
      <c r="D963" s="129"/>
      <c r="E963" s="129" t="s">
        <v>2632</v>
      </c>
      <c r="F963" s="129" t="s">
        <v>2633</v>
      </c>
      <c r="G963" s="129" t="s">
        <v>2330</v>
      </c>
      <c r="H963" s="129" t="s">
        <v>2331</v>
      </c>
      <c r="I963" s="129" t="str">
        <f>VLOOKUP(F963,'#对话模型配置'!A:O,15,FALSE)</f>
        <v>newbie_oversea_axe</v>
      </c>
      <c r="J963" s="129" t="s">
        <v>3335</v>
      </c>
      <c r="K963" s="133" t="s">
        <v>3336</v>
      </c>
      <c r="L963" s="129">
        <v>110008</v>
      </c>
      <c r="M963" s="129" t="s">
        <v>3289</v>
      </c>
      <c r="N963" s="129"/>
      <c r="O963" s="134" t="s">
        <v>3337</v>
      </c>
      <c r="P963" s="134"/>
      <c r="Q963" s="134"/>
      <c r="R963" s="134"/>
      <c r="S963" s="134"/>
      <c r="U963" s="20">
        <v>2</v>
      </c>
      <c r="V963" s="20">
        <v>0</v>
      </c>
      <c r="Y963" s="71" t="b">
        <v>0</v>
      </c>
      <c r="AA963" s="20" t="b">
        <v>1</v>
      </c>
      <c r="AE963" s="20">
        <f t="shared" si="93"/>
        <v>7</v>
      </c>
      <c r="AH963" s="61">
        <v>0.1</v>
      </c>
      <c r="AI963" s="61">
        <v>1</v>
      </c>
      <c r="AJ963" s="20">
        <v>2</v>
      </c>
      <c r="AL963" s="108">
        <v>35</v>
      </c>
    </row>
    <row r="964" spans="1:45">
      <c r="A964" s="129">
        <v>1100004</v>
      </c>
      <c r="B964" s="129"/>
      <c r="C964" s="129">
        <v>3</v>
      </c>
      <c r="D964" s="129"/>
      <c r="E964" s="129" t="s">
        <v>2632</v>
      </c>
      <c r="F964" s="129" t="s">
        <v>2637</v>
      </c>
      <c r="G964" s="129" t="s">
        <v>2335</v>
      </c>
      <c r="H964" s="129" t="s">
        <v>2331</v>
      </c>
      <c r="I964" s="129" t="str">
        <f>VLOOKUP(F964,'#对话模型配置'!A:O,15,FALSE)</f>
        <v>newbie_oversea_andrea</v>
      </c>
      <c r="J964" s="129" t="s">
        <v>3338</v>
      </c>
      <c r="K964" s="133" t="s">
        <v>3339</v>
      </c>
      <c r="L964" s="129">
        <v>110003</v>
      </c>
      <c r="M964" s="129" t="s">
        <v>3289</v>
      </c>
      <c r="N964" s="129"/>
      <c r="O964" s="134" t="s">
        <v>3332</v>
      </c>
      <c r="P964" s="134"/>
      <c r="Q964" s="134"/>
      <c r="R964" s="134"/>
      <c r="S964" s="134"/>
      <c r="U964" s="20">
        <v>2</v>
      </c>
      <c r="V964" s="20">
        <v>0</v>
      </c>
      <c r="Y964" s="71" t="b">
        <v>0</v>
      </c>
      <c r="AA964" s="20" t="b">
        <v>1</v>
      </c>
      <c r="AE964" s="20">
        <f t="shared" si="93"/>
        <v>5</v>
      </c>
      <c r="AH964" s="61">
        <v>0.1</v>
      </c>
      <c r="AI964" s="61">
        <v>1</v>
      </c>
      <c r="AJ964" s="20">
        <v>2</v>
      </c>
      <c r="AL964" s="108">
        <v>35</v>
      </c>
    </row>
    <row r="965" spans="1:45" ht="26">
      <c r="A965" s="129">
        <v>1100004</v>
      </c>
      <c r="B965" s="129"/>
      <c r="C965" s="129">
        <v>4</v>
      </c>
      <c r="D965" s="129"/>
      <c r="E965" s="129" t="s">
        <v>2632</v>
      </c>
      <c r="F965" s="129" t="s">
        <v>3340</v>
      </c>
      <c r="G965" s="129" t="s">
        <v>3341</v>
      </c>
      <c r="H965" s="129" t="s">
        <v>2331</v>
      </c>
      <c r="I965" s="129" t="str">
        <f>VLOOKUP(F965,'#对话模型配置'!A:O,15,FALSE)</f>
        <v>newbie_oversea_caesar</v>
      </c>
      <c r="J965" s="129" t="s">
        <v>3342</v>
      </c>
      <c r="K965" s="133" t="s">
        <v>3343</v>
      </c>
      <c r="L965" s="129">
        <v>110001</v>
      </c>
      <c r="M965" s="129" t="s">
        <v>3344</v>
      </c>
      <c r="N965" s="129"/>
      <c r="O965" s="134" t="s">
        <v>3345</v>
      </c>
      <c r="P965" s="134"/>
      <c r="Q965" s="134"/>
      <c r="R965" s="134" t="s">
        <v>3346</v>
      </c>
      <c r="S965" s="134"/>
      <c r="U965" s="20">
        <v>2</v>
      </c>
      <c r="V965" s="20">
        <v>0</v>
      </c>
      <c r="Y965" s="71" t="b">
        <v>0</v>
      </c>
      <c r="AA965" s="20" t="b">
        <v>1</v>
      </c>
      <c r="AE965" s="20">
        <f t="shared" si="93"/>
        <v>10</v>
      </c>
      <c r="AH965" s="61">
        <v>0.1</v>
      </c>
      <c r="AI965" s="61">
        <v>1</v>
      </c>
      <c r="AJ965" s="20">
        <v>2</v>
      </c>
      <c r="AL965" s="108">
        <v>35</v>
      </c>
    </row>
    <row r="966" spans="1:45">
      <c r="A966" s="129">
        <v>1100004</v>
      </c>
      <c r="B966" s="129"/>
      <c r="C966" s="129">
        <v>5</v>
      </c>
      <c r="D966" s="129"/>
      <c r="E966" s="129" t="s">
        <v>2632</v>
      </c>
      <c r="F966" s="129" t="s">
        <v>2637</v>
      </c>
      <c r="G966" s="129" t="s">
        <v>2335</v>
      </c>
      <c r="H966" s="129" t="s">
        <v>2331</v>
      </c>
      <c r="I966" s="129" t="str">
        <f>VLOOKUP(F966,'#对话模型配置'!A:O,15,FALSE)</f>
        <v>newbie_oversea_andrea</v>
      </c>
      <c r="J966" s="129" t="s">
        <v>3347</v>
      </c>
      <c r="K966" s="133" t="s">
        <v>3348</v>
      </c>
      <c r="L966" s="129">
        <v>110003</v>
      </c>
      <c r="M966" s="129" t="s">
        <v>3289</v>
      </c>
      <c r="N966" s="129"/>
      <c r="O966" s="134" t="s">
        <v>3332</v>
      </c>
      <c r="P966" s="134"/>
      <c r="Q966" s="134"/>
      <c r="R966" s="134" t="s">
        <v>3349</v>
      </c>
      <c r="S966" s="134"/>
      <c r="U966" s="20">
        <v>2</v>
      </c>
      <c r="V966" s="20">
        <v>0</v>
      </c>
      <c r="Y966" s="71" t="b">
        <v>0</v>
      </c>
      <c r="AA966" s="20" t="b">
        <v>1</v>
      </c>
      <c r="AE966" s="20">
        <f t="shared" si="93"/>
        <v>5</v>
      </c>
      <c r="AH966" s="61">
        <v>0.1</v>
      </c>
      <c r="AI966" s="61">
        <v>1</v>
      </c>
      <c r="AJ966" s="20">
        <v>2</v>
      </c>
      <c r="AL966" s="108">
        <v>35</v>
      </c>
    </row>
    <row r="967" spans="1:45" ht="26">
      <c r="A967" s="129">
        <v>1100004</v>
      </c>
      <c r="B967" s="129"/>
      <c r="C967" s="129">
        <v>6</v>
      </c>
      <c r="D967" s="129"/>
      <c r="E967" s="129" t="s">
        <v>2632</v>
      </c>
      <c r="F967" s="129" t="s">
        <v>3340</v>
      </c>
      <c r="G967" s="129" t="s">
        <v>3341</v>
      </c>
      <c r="H967" s="129" t="s">
        <v>2331</v>
      </c>
      <c r="I967" s="129" t="str">
        <f>VLOOKUP(F967,'#对话模型配置'!A:O,15,FALSE)</f>
        <v>newbie_oversea_caesar</v>
      </c>
      <c r="J967" s="129" t="s">
        <v>3350</v>
      </c>
      <c r="K967" s="133" t="s">
        <v>3351</v>
      </c>
      <c r="L967" s="129">
        <v>110001</v>
      </c>
      <c r="M967" s="129" t="s">
        <v>3344</v>
      </c>
      <c r="N967" s="129"/>
      <c r="O967" s="134" t="s">
        <v>3345</v>
      </c>
      <c r="P967" s="134"/>
      <c r="Q967" s="134"/>
      <c r="R967" s="134"/>
      <c r="S967" s="134"/>
      <c r="U967" s="20">
        <v>2</v>
      </c>
      <c r="V967" s="20">
        <v>0</v>
      </c>
      <c r="Y967" s="71" t="b">
        <v>0</v>
      </c>
      <c r="AA967" s="20" t="b">
        <v>1</v>
      </c>
      <c r="AE967" s="20">
        <f t="shared" si="93"/>
        <v>10</v>
      </c>
      <c r="AH967" s="61">
        <v>0.1</v>
      </c>
      <c r="AI967" s="61">
        <v>1</v>
      </c>
      <c r="AJ967" s="20">
        <v>2</v>
      </c>
      <c r="AL967" s="108">
        <v>35</v>
      </c>
    </row>
    <row r="968" spans="1:45">
      <c r="A968" s="129">
        <v>1100004</v>
      </c>
      <c r="B968" s="129"/>
      <c r="C968" s="129">
        <v>7</v>
      </c>
      <c r="D968" s="129"/>
      <c r="E968" s="129" t="s">
        <v>2632</v>
      </c>
      <c r="F968" s="129" t="s">
        <v>2633</v>
      </c>
      <c r="G968" s="129" t="s">
        <v>2330</v>
      </c>
      <c r="H968" s="129" t="s">
        <v>2331</v>
      </c>
      <c r="I968" s="129" t="str">
        <f>VLOOKUP(F968,'#对话模型配置'!A:O,15,FALSE)</f>
        <v>newbie_oversea_axe</v>
      </c>
      <c r="J968" s="129" t="s">
        <v>3352</v>
      </c>
      <c r="K968" s="135" t="s">
        <v>3353</v>
      </c>
      <c r="L968" s="129">
        <v>110008</v>
      </c>
      <c r="M968" s="129" t="s">
        <v>3289</v>
      </c>
      <c r="N968" s="129"/>
      <c r="O968" s="134" t="s">
        <v>3354</v>
      </c>
      <c r="P968" s="134"/>
      <c r="Q968" s="134"/>
      <c r="R968" s="134"/>
      <c r="S968" s="134"/>
      <c r="U968" s="20">
        <v>2</v>
      </c>
      <c r="V968" s="20">
        <v>0</v>
      </c>
      <c r="Y968" s="71" t="b">
        <v>0</v>
      </c>
      <c r="AA968" s="20" t="b">
        <v>1</v>
      </c>
      <c r="AE968" s="20">
        <f t="shared" si="93"/>
        <v>5</v>
      </c>
      <c r="AH968" s="61">
        <v>0.1</v>
      </c>
      <c r="AI968" s="61">
        <v>1</v>
      </c>
      <c r="AJ968" s="20">
        <v>2</v>
      </c>
      <c r="AL968" s="108">
        <v>35</v>
      </c>
    </row>
    <row r="969" spans="1:45">
      <c r="A969" s="129">
        <v>1100004</v>
      </c>
      <c r="B969" s="129"/>
      <c r="C969" s="129">
        <v>8</v>
      </c>
      <c r="D969" s="129"/>
      <c r="E969" s="129" t="s">
        <v>2632</v>
      </c>
      <c r="F969" s="129" t="s">
        <v>2637</v>
      </c>
      <c r="G969" s="129" t="s">
        <v>2335</v>
      </c>
      <c r="H969" s="129" t="s">
        <v>2331</v>
      </c>
      <c r="I969" s="129" t="str">
        <f>VLOOKUP(F969,'#对话模型配置'!A:O,15,FALSE)</f>
        <v>newbie_oversea_andrea</v>
      </c>
      <c r="J969" s="129" t="s">
        <v>3355</v>
      </c>
      <c r="K969" s="135" t="s">
        <v>3356</v>
      </c>
      <c r="L969" s="129">
        <v>110003</v>
      </c>
      <c r="M969" s="129" t="s">
        <v>3289</v>
      </c>
      <c r="N969" s="129"/>
      <c r="O969" s="134" t="s">
        <v>3332</v>
      </c>
      <c r="P969" s="134"/>
      <c r="Q969" s="134"/>
      <c r="R969" s="134"/>
      <c r="S969" s="134"/>
      <c r="U969" s="20">
        <v>2</v>
      </c>
      <c r="V969" s="20">
        <v>0</v>
      </c>
      <c r="Y969" s="71" t="b">
        <v>0</v>
      </c>
      <c r="AA969" s="20" t="b">
        <v>1</v>
      </c>
      <c r="AE969" s="20">
        <f t="shared" si="93"/>
        <v>7</v>
      </c>
      <c r="AH969" s="61">
        <v>0.1</v>
      </c>
      <c r="AI969" s="61">
        <v>1</v>
      </c>
      <c r="AJ969" s="20">
        <v>2</v>
      </c>
      <c r="AL969" s="108">
        <v>35</v>
      </c>
    </row>
    <row r="970" spans="1:45">
      <c r="A970" s="129">
        <v>1100004</v>
      </c>
      <c r="B970" s="129"/>
      <c r="C970" s="129">
        <v>9</v>
      </c>
      <c r="D970" s="129"/>
      <c r="E970" s="129" t="s">
        <v>2632</v>
      </c>
      <c r="F970" s="129" t="s">
        <v>3357</v>
      </c>
      <c r="G970" s="129" t="s">
        <v>3358</v>
      </c>
      <c r="H970" s="129" t="s">
        <v>2331</v>
      </c>
      <c r="I970" s="129" t="str">
        <f>VLOOKUP(F970,'#对话模型配置'!A:O,15,FALSE)</f>
        <v>newbie_oversea_caesar</v>
      </c>
      <c r="J970" s="129" t="s">
        <v>3359</v>
      </c>
      <c r="K970" s="135" t="s">
        <v>3360</v>
      </c>
      <c r="L970" s="129">
        <v>110001</v>
      </c>
      <c r="M970" s="129" t="s">
        <v>3361</v>
      </c>
      <c r="N970" s="129"/>
      <c r="O970" s="134" t="s">
        <v>3345</v>
      </c>
      <c r="P970" s="134"/>
      <c r="Q970" s="134"/>
      <c r="R970" s="134"/>
      <c r="S970" s="134"/>
      <c r="U970" s="20">
        <v>2</v>
      </c>
      <c r="V970" s="20">
        <v>0</v>
      </c>
      <c r="Y970" s="71" t="b">
        <v>0</v>
      </c>
      <c r="AA970" s="20" t="b">
        <v>1</v>
      </c>
      <c r="AE970" s="20">
        <f t="shared" si="93"/>
        <v>7</v>
      </c>
      <c r="AH970" s="61">
        <v>0.1</v>
      </c>
      <c r="AI970" s="61">
        <v>1</v>
      </c>
      <c r="AJ970" s="20">
        <v>2</v>
      </c>
      <c r="AL970" s="108">
        <v>35</v>
      </c>
    </row>
    <row r="971" spans="1:45" ht="26">
      <c r="A971" s="76" t="s">
        <v>3362</v>
      </c>
      <c r="B971" s="76"/>
      <c r="C971" s="76">
        <v>1</v>
      </c>
      <c r="D971" s="76"/>
      <c r="E971" s="76" t="s">
        <v>2632</v>
      </c>
      <c r="F971" s="76" t="s">
        <v>2637</v>
      </c>
      <c r="G971" s="76" t="s">
        <v>2335</v>
      </c>
      <c r="H971" s="76" t="s">
        <v>2331</v>
      </c>
      <c r="I971" s="76" t="str">
        <f>VLOOKUP(F971,'#对话模型配置'!A:O,15,FALSE)</f>
        <v>newbie_oversea_andrea</v>
      </c>
      <c r="J971" s="76" t="s">
        <v>3363</v>
      </c>
      <c r="K971" s="136" t="s">
        <v>3364</v>
      </c>
      <c r="L971" s="76">
        <v>110003</v>
      </c>
      <c r="M971" s="76" t="s">
        <v>3289</v>
      </c>
      <c r="N971" s="76"/>
      <c r="O971" s="132" t="s">
        <v>3365</v>
      </c>
      <c r="P971" s="132"/>
      <c r="Q971" s="132"/>
      <c r="R971" s="132" t="s">
        <v>3318</v>
      </c>
      <c r="S971" s="132"/>
      <c r="U971" s="20">
        <v>2</v>
      </c>
      <c r="V971" s="20">
        <v>0</v>
      </c>
      <c r="Y971" s="71" t="b">
        <v>0</v>
      </c>
      <c r="AA971" s="20" t="b">
        <v>1</v>
      </c>
      <c r="AE971" s="20">
        <f t="shared" si="93"/>
        <v>12</v>
      </c>
      <c r="AH971" s="61">
        <v>0.1</v>
      </c>
      <c r="AI971" s="61">
        <v>1</v>
      </c>
      <c r="AJ971" s="20">
        <v>2</v>
      </c>
      <c r="AL971" s="108">
        <v>35</v>
      </c>
      <c r="AS971" s="20" t="s">
        <v>3366</v>
      </c>
    </row>
    <row r="972" spans="1:45">
      <c r="A972" s="76" t="s">
        <v>3362</v>
      </c>
      <c r="B972" s="76"/>
      <c r="C972" s="76">
        <v>2</v>
      </c>
      <c r="D972" s="76"/>
      <c r="E972" s="76" t="s">
        <v>2632</v>
      </c>
      <c r="F972" s="76" t="s">
        <v>3357</v>
      </c>
      <c r="G972" s="76" t="s">
        <v>3358</v>
      </c>
      <c r="H972" s="76" t="s">
        <v>2331</v>
      </c>
      <c r="I972" s="76" t="str">
        <f>VLOOKUP(F972,'#对话模型配置'!A:O,15,FALSE)</f>
        <v>newbie_oversea_caesar</v>
      </c>
      <c r="J972" s="76" t="s">
        <v>3367</v>
      </c>
      <c r="K972" s="136" t="s">
        <v>3368</v>
      </c>
      <c r="L972" s="76">
        <v>110001</v>
      </c>
      <c r="M972" s="129" t="s">
        <v>3361</v>
      </c>
      <c r="N972" s="129"/>
      <c r="O972" s="132" t="s">
        <v>3323</v>
      </c>
      <c r="P972" s="132"/>
      <c r="Q972" s="132"/>
      <c r="R972" s="132"/>
      <c r="S972" s="132"/>
      <c r="U972" s="20">
        <v>2</v>
      </c>
      <c r="V972" s="20">
        <v>0</v>
      </c>
      <c r="Y972" s="71" t="b">
        <v>0</v>
      </c>
      <c r="AA972" s="20" t="b">
        <v>1</v>
      </c>
      <c r="AE972" s="20">
        <f t="shared" si="93"/>
        <v>5</v>
      </c>
      <c r="AH972" s="61">
        <v>0.1</v>
      </c>
      <c r="AI972" s="61">
        <v>1</v>
      </c>
      <c r="AJ972" s="20">
        <v>2</v>
      </c>
      <c r="AL972" s="108">
        <v>35</v>
      </c>
    </row>
    <row r="973" spans="1:45">
      <c r="A973" s="76" t="s">
        <v>3362</v>
      </c>
      <c r="B973" s="76"/>
      <c r="C973" s="76">
        <v>3</v>
      </c>
      <c r="D973" s="76"/>
      <c r="E973" s="76" t="s">
        <v>2632</v>
      </c>
      <c r="F973" s="76" t="s">
        <v>2637</v>
      </c>
      <c r="G973" s="76" t="s">
        <v>2335</v>
      </c>
      <c r="H973" s="76" t="s">
        <v>2331</v>
      </c>
      <c r="I973" s="76" t="str">
        <f>VLOOKUP(F973,'#对话模型配置'!A:O,15,FALSE)</f>
        <v>newbie_oversea_andrea</v>
      </c>
      <c r="J973" s="76" t="s">
        <v>3369</v>
      </c>
      <c r="K973" s="136" t="s">
        <v>3370</v>
      </c>
      <c r="L973" s="76">
        <v>110003</v>
      </c>
      <c r="M973" s="76" t="s">
        <v>3289</v>
      </c>
      <c r="N973" s="76"/>
      <c r="O973" s="132" t="s">
        <v>3329</v>
      </c>
      <c r="P973" s="132"/>
      <c r="Q973" s="132"/>
      <c r="R973" s="132"/>
      <c r="S973" s="132"/>
      <c r="U973" s="20">
        <v>2</v>
      </c>
      <c r="V973" s="20">
        <v>0</v>
      </c>
      <c r="Y973" s="71" t="b">
        <v>0</v>
      </c>
      <c r="AA973" s="20" t="b">
        <v>1</v>
      </c>
      <c r="AE973" s="20">
        <f t="shared" si="93"/>
        <v>5</v>
      </c>
      <c r="AH973" s="61">
        <v>0.1</v>
      </c>
      <c r="AI973" s="61">
        <v>1</v>
      </c>
      <c r="AJ973" s="20">
        <v>2</v>
      </c>
      <c r="AL973" s="108">
        <v>35</v>
      </c>
    </row>
    <row r="974" spans="1:45" ht="26">
      <c r="A974" s="76" t="s">
        <v>3362</v>
      </c>
      <c r="B974" s="76"/>
      <c r="C974" s="76">
        <v>4</v>
      </c>
      <c r="D974" s="76"/>
      <c r="E974" s="76" t="s">
        <v>2632</v>
      </c>
      <c r="F974" s="76" t="s">
        <v>3357</v>
      </c>
      <c r="G974" s="76" t="s">
        <v>3358</v>
      </c>
      <c r="H974" s="76" t="s">
        <v>2331</v>
      </c>
      <c r="I974" s="76" t="str">
        <f>VLOOKUP(F974,'#对话模型配置'!A:O,15,FALSE)</f>
        <v>newbie_oversea_caesar</v>
      </c>
      <c r="J974" s="76" t="s">
        <v>3371</v>
      </c>
      <c r="K974" s="136" t="s">
        <v>3372</v>
      </c>
      <c r="L974" s="76">
        <v>110001</v>
      </c>
      <c r="M974" s="129" t="s">
        <v>3361</v>
      </c>
      <c r="N974" s="129"/>
      <c r="O974" s="132" t="s">
        <v>3323</v>
      </c>
      <c r="P974" s="132"/>
      <c r="Q974" s="132"/>
      <c r="R974" s="132"/>
      <c r="S974" s="132"/>
      <c r="U974" s="20">
        <v>2</v>
      </c>
      <c r="V974" s="20">
        <v>0</v>
      </c>
      <c r="Y974" s="71" t="b">
        <v>0</v>
      </c>
      <c r="AA974" s="20" t="b">
        <v>1</v>
      </c>
      <c r="AE974" s="20">
        <f t="shared" si="93"/>
        <v>10</v>
      </c>
      <c r="AH974" s="61">
        <v>0.1</v>
      </c>
      <c r="AI974" s="61">
        <v>1</v>
      </c>
      <c r="AJ974" s="20">
        <v>2</v>
      </c>
      <c r="AL974" s="108">
        <v>35</v>
      </c>
    </row>
    <row r="975" spans="1:45" ht="26">
      <c r="A975" s="76" t="s">
        <v>3362</v>
      </c>
      <c r="B975" s="76"/>
      <c r="C975" s="76">
        <v>5</v>
      </c>
      <c r="D975" s="76"/>
      <c r="E975" s="76" t="s">
        <v>2632</v>
      </c>
      <c r="F975" s="76" t="s">
        <v>2633</v>
      </c>
      <c r="G975" s="76" t="s">
        <v>2330</v>
      </c>
      <c r="H975" s="76" t="s">
        <v>2331</v>
      </c>
      <c r="I975" s="76" t="str">
        <f>VLOOKUP(F975,'#对话模型配置'!A:O,15,FALSE)</f>
        <v>newbie_oversea_axe</v>
      </c>
      <c r="J975" s="76" t="s">
        <v>3373</v>
      </c>
      <c r="K975" s="136" t="s">
        <v>3374</v>
      </c>
      <c r="L975" s="76">
        <v>110008</v>
      </c>
      <c r="M975" s="76" t="s">
        <v>3314</v>
      </c>
      <c r="N975" s="76"/>
      <c r="O975" s="132" t="s">
        <v>3326</v>
      </c>
      <c r="P975" s="132"/>
      <c r="Q975" s="132"/>
      <c r="R975" s="132"/>
      <c r="S975" s="132"/>
      <c r="U975" s="20">
        <v>2</v>
      </c>
      <c r="V975" s="20">
        <v>0</v>
      </c>
      <c r="Y975" s="71" t="b">
        <v>0</v>
      </c>
      <c r="AA975" s="20" t="b">
        <v>1</v>
      </c>
      <c r="AE975" s="20">
        <f t="shared" si="93"/>
        <v>10</v>
      </c>
      <c r="AH975" s="61">
        <v>0.1</v>
      </c>
      <c r="AI975" s="61">
        <v>1</v>
      </c>
      <c r="AJ975" s="20">
        <v>2</v>
      </c>
      <c r="AL975" s="108">
        <v>35</v>
      </c>
    </row>
    <row r="976" spans="1:45">
      <c r="A976" s="76" t="s">
        <v>3362</v>
      </c>
      <c r="B976" s="76"/>
      <c r="C976" s="76">
        <v>6</v>
      </c>
      <c r="D976" s="76"/>
      <c r="E976" s="76" t="s">
        <v>2632</v>
      </c>
      <c r="F976" s="76" t="s">
        <v>2637</v>
      </c>
      <c r="G976" s="76" t="s">
        <v>2335</v>
      </c>
      <c r="H976" s="76" t="s">
        <v>2331</v>
      </c>
      <c r="I976" s="76" t="str">
        <f>VLOOKUP(F976,'#对话模型配置'!A:O,15,FALSE)</f>
        <v>newbie_oversea_andrea</v>
      </c>
      <c r="J976" s="76" t="s">
        <v>3375</v>
      </c>
      <c r="K976" s="136" t="s">
        <v>3376</v>
      </c>
      <c r="L976" s="76">
        <v>110003</v>
      </c>
      <c r="M976" s="76" t="s">
        <v>3289</v>
      </c>
      <c r="N976" s="76"/>
      <c r="O976" s="132" t="s">
        <v>3329</v>
      </c>
      <c r="P976" s="132"/>
      <c r="Q976" s="132"/>
      <c r="R976" s="132"/>
      <c r="S976" s="132"/>
      <c r="U976" s="20">
        <v>2</v>
      </c>
      <c r="V976" s="20">
        <v>0</v>
      </c>
      <c r="Y976" s="71" t="b">
        <v>0</v>
      </c>
      <c r="AA976" s="20" t="b">
        <v>1</v>
      </c>
      <c r="AE976" s="20">
        <f t="shared" si="93"/>
        <v>7</v>
      </c>
      <c r="AH976" s="61">
        <v>0.1</v>
      </c>
      <c r="AI976" s="61">
        <v>1</v>
      </c>
      <c r="AJ976" s="20">
        <v>2</v>
      </c>
      <c r="AL976" s="108">
        <v>35</v>
      </c>
    </row>
    <row r="977" spans="1:45" ht="26">
      <c r="A977" s="76" t="s">
        <v>3362</v>
      </c>
      <c r="B977" s="76"/>
      <c r="C977" s="76">
        <v>7</v>
      </c>
      <c r="D977" s="76"/>
      <c r="E977" s="76" t="s">
        <v>2632</v>
      </c>
      <c r="F977" s="76" t="s">
        <v>3357</v>
      </c>
      <c r="G977" s="76" t="s">
        <v>3358</v>
      </c>
      <c r="H977" s="76" t="s">
        <v>2331</v>
      </c>
      <c r="I977" s="76" t="str">
        <f>VLOOKUP(F977,'#对话模型配置'!A:O,15,FALSE)</f>
        <v>newbie_oversea_caesar</v>
      </c>
      <c r="J977" s="76" t="s">
        <v>3377</v>
      </c>
      <c r="K977" s="136" t="s">
        <v>3378</v>
      </c>
      <c r="L977" s="76">
        <v>110001</v>
      </c>
      <c r="M977" s="129" t="s">
        <v>3361</v>
      </c>
      <c r="N977" s="129"/>
      <c r="O977" s="132" t="s">
        <v>3323</v>
      </c>
      <c r="P977" s="132"/>
      <c r="Q977" s="132"/>
      <c r="R977" s="132"/>
      <c r="S977" s="132"/>
      <c r="U977" s="20">
        <v>2</v>
      </c>
      <c r="V977" s="20">
        <v>0</v>
      </c>
      <c r="Y977" s="71" t="b">
        <v>0</v>
      </c>
      <c r="AA977" s="20" t="b">
        <v>1</v>
      </c>
      <c r="AE977" s="20">
        <f t="shared" si="93"/>
        <v>9</v>
      </c>
      <c r="AH977" s="61">
        <v>0.1</v>
      </c>
      <c r="AI977" s="61">
        <v>1</v>
      </c>
      <c r="AJ977" s="20">
        <v>2</v>
      </c>
      <c r="AL977" s="108">
        <v>35</v>
      </c>
    </row>
    <row r="978" spans="1:45">
      <c r="A978" s="129" t="s">
        <v>3379</v>
      </c>
      <c r="B978" s="129" t="s">
        <v>3380</v>
      </c>
      <c r="C978" s="129">
        <v>1</v>
      </c>
      <c r="D978" s="129"/>
      <c r="E978" s="129" t="s">
        <v>2632</v>
      </c>
      <c r="F978" s="129" t="s">
        <v>2637</v>
      </c>
      <c r="G978" s="129" t="s">
        <v>2335</v>
      </c>
      <c r="H978" s="129" t="s">
        <v>2331</v>
      </c>
      <c r="I978" s="129" t="str">
        <f>VLOOKUP(F978,'#对话模型配置'!A:O,15,FALSE)</f>
        <v>newbie_oversea_andrea</v>
      </c>
      <c r="J978" s="129" t="s">
        <v>3381</v>
      </c>
      <c r="K978" s="135" t="s">
        <v>3382</v>
      </c>
      <c r="L978" s="129">
        <v>110003</v>
      </c>
      <c r="M978" s="129" t="s">
        <v>3289</v>
      </c>
      <c r="N978" s="129"/>
      <c r="O978" s="134" t="s">
        <v>3383</v>
      </c>
      <c r="P978" s="134"/>
      <c r="Q978" s="134"/>
      <c r="R978" s="134" t="s">
        <v>3384</v>
      </c>
      <c r="S978" s="134"/>
      <c r="U978" s="20">
        <v>2</v>
      </c>
      <c r="V978" s="20">
        <v>0</v>
      </c>
      <c r="Y978" s="71" t="b">
        <v>0</v>
      </c>
      <c r="AA978" s="20" t="b">
        <v>1</v>
      </c>
      <c r="AE978" s="20">
        <f t="shared" si="93"/>
        <v>6</v>
      </c>
      <c r="AH978" s="61">
        <v>0.1</v>
      </c>
      <c r="AI978" s="61">
        <v>1</v>
      </c>
      <c r="AJ978" s="20">
        <v>2</v>
      </c>
      <c r="AL978" s="108">
        <v>35</v>
      </c>
      <c r="AS978" s="20" t="s">
        <v>3385</v>
      </c>
    </row>
    <row r="979" spans="1:45" ht="26">
      <c r="A979" s="129" t="s">
        <v>3379</v>
      </c>
      <c r="B979" s="129" t="s">
        <v>3380</v>
      </c>
      <c r="C979" s="129">
        <v>2</v>
      </c>
      <c r="D979" s="129"/>
      <c r="E979" s="129" t="s">
        <v>2632</v>
      </c>
      <c r="F979" s="129" t="s">
        <v>2637</v>
      </c>
      <c r="G979" s="129" t="s">
        <v>2335</v>
      </c>
      <c r="H979" s="129" t="s">
        <v>2331</v>
      </c>
      <c r="I979" s="129" t="str">
        <f>VLOOKUP(F979,'#对话模型配置'!A:O,15,FALSE)</f>
        <v>newbie_oversea_andrea</v>
      </c>
      <c r="J979" s="129" t="s">
        <v>3386</v>
      </c>
      <c r="K979" s="135" t="s">
        <v>3387</v>
      </c>
      <c r="L979" s="129">
        <v>110003</v>
      </c>
      <c r="M979" s="129" t="s">
        <v>3289</v>
      </c>
      <c r="N979" s="129"/>
      <c r="O979" s="134" t="s">
        <v>3383</v>
      </c>
      <c r="P979" s="134"/>
      <c r="Q979" s="134"/>
      <c r="R979" s="134"/>
      <c r="S979" s="134"/>
      <c r="U979" s="20">
        <v>2</v>
      </c>
      <c r="V979" s="20">
        <v>0</v>
      </c>
      <c r="Y979" s="71" t="b">
        <v>0</v>
      </c>
      <c r="AA979" s="20" t="b">
        <v>1</v>
      </c>
      <c r="AE979" s="20">
        <f t="shared" si="93"/>
        <v>11</v>
      </c>
      <c r="AH979" s="61">
        <v>0.1</v>
      </c>
      <c r="AI979" s="61">
        <v>1</v>
      </c>
      <c r="AJ979" s="20">
        <v>2</v>
      </c>
      <c r="AL979" s="108">
        <v>35</v>
      </c>
    </row>
    <row r="980" spans="1:45" ht="26">
      <c r="A980" s="129" t="s">
        <v>3379</v>
      </c>
      <c r="B980" s="129" t="s">
        <v>3380</v>
      </c>
      <c r="C980" s="129">
        <v>3</v>
      </c>
      <c r="D980" s="129"/>
      <c r="E980" s="129" t="s">
        <v>2632</v>
      </c>
      <c r="F980" s="129" t="s">
        <v>2793</v>
      </c>
      <c r="G980" s="129" t="s">
        <v>3301</v>
      </c>
      <c r="H980" s="129" t="s">
        <v>2331</v>
      </c>
      <c r="I980" s="129" t="str">
        <f>VLOOKUP(F980,'#对话模型配置'!A:O,15,FALSE)</f>
        <v>newbie_oversea_joa</v>
      </c>
      <c r="J980" s="129" t="s">
        <v>3388</v>
      </c>
      <c r="K980" s="135" t="s">
        <v>3389</v>
      </c>
      <c r="L980" s="129">
        <v>110002</v>
      </c>
      <c r="M980" s="129" t="s">
        <v>3289</v>
      </c>
      <c r="N980" s="129"/>
      <c r="O980" s="134" t="s">
        <v>3390</v>
      </c>
      <c r="P980" s="134"/>
      <c r="Q980" s="134"/>
      <c r="R980" s="134"/>
      <c r="S980" s="134"/>
      <c r="U980" s="20">
        <v>2</v>
      </c>
      <c r="V980" s="20">
        <v>0</v>
      </c>
      <c r="Y980" s="71" t="b">
        <v>0</v>
      </c>
      <c r="AA980" s="20" t="b">
        <v>1</v>
      </c>
      <c r="AE980" s="20">
        <f t="shared" si="93"/>
        <v>13</v>
      </c>
      <c r="AH980" s="61">
        <v>0.1</v>
      </c>
      <c r="AI980" s="61">
        <v>1</v>
      </c>
      <c r="AJ980" s="20">
        <v>2</v>
      </c>
      <c r="AL980" s="108">
        <v>35</v>
      </c>
    </row>
    <row r="981" spans="1:45">
      <c r="A981" s="129" t="s">
        <v>3379</v>
      </c>
      <c r="B981" s="129" t="s">
        <v>3380</v>
      </c>
      <c r="C981" s="129">
        <v>4</v>
      </c>
      <c r="D981" s="129"/>
      <c r="E981" s="129" t="s">
        <v>2632</v>
      </c>
      <c r="F981" s="129" t="s">
        <v>2793</v>
      </c>
      <c r="G981" s="129" t="s">
        <v>3301</v>
      </c>
      <c r="H981" s="129" t="s">
        <v>2331</v>
      </c>
      <c r="I981" s="129" t="str">
        <f>VLOOKUP(F981,'#对话模型配置'!A:O,15,FALSE)</f>
        <v>newbie_oversea_joa</v>
      </c>
      <c r="J981" s="129" t="s">
        <v>3391</v>
      </c>
      <c r="K981" s="135" t="s">
        <v>3392</v>
      </c>
      <c r="L981" s="129">
        <v>110002</v>
      </c>
      <c r="M981" s="129" t="s">
        <v>3289</v>
      </c>
      <c r="N981" s="129"/>
      <c r="O981" s="134" t="s">
        <v>3390</v>
      </c>
      <c r="P981" s="134"/>
      <c r="Q981" s="134"/>
      <c r="R981" s="134"/>
      <c r="S981" s="134"/>
      <c r="U981" s="20">
        <v>2</v>
      </c>
      <c r="V981" s="20">
        <v>0</v>
      </c>
      <c r="Y981" s="71" t="b">
        <v>0</v>
      </c>
      <c r="AA981" s="20" t="b">
        <v>1</v>
      </c>
      <c r="AE981" s="20">
        <f t="shared" si="93"/>
        <v>6</v>
      </c>
      <c r="AH981" s="61">
        <v>0.1</v>
      </c>
      <c r="AI981" s="61">
        <v>1</v>
      </c>
      <c r="AJ981" s="20">
        <v>2</v>
      </c>
      <c r="AL981" s="108">
        <v>35</v>
      </c>
    </row>
    <row r="982" spans="1:45" ht="26">
      <c r="A982" s="129" t="s">
        <v>3379</v>
      </c>
      <c r="B982" s="129" t="s">
        <v>3380</v>
      </c>
      <c r="C982" s="129">
        <v>5</v>
      </c>
      <c r="D982" s="129"/>
      <c r="E982" s="129" t="s">
        <v>2632</v>
      </c>
      <c r="F982" s="129" t="s">
        <v>2637</v>
      </c>
      <c r="G982" s="129" t="s">
        <v>2335</v>
      </c>
      <c r="H982" s="129" t="s">
        <v>2331</v>
      </c>
      <c r="I982" s="129" t="str">
        <f>VLOOKUP(F982,'#对话模型配置'!A:O,15,FALSE)</f>
        <v>newbie_oversea_andrea</v>
      </c>
      <c r="J982" s="129" t="s">
        <v>3393</v>
      </c>
      <c r="K982" s="135" t="s">
        <v>3394</v>
      </c>
      <c r="L982" s="129">
        <v>110003</v>
      </c>
      <c r="M982" s="129" t="s">
        <v>3289</v>
      </c>
      <c r="N982" s="129"/>
      <c r="O982" s="134" t="s">
        <v>3383</v>
      </c>
      <c r="P982" s="134"/>
      <c r="Q982" s="134"/>
      <c r="R982" s="134"/>
      <c r="S982" s="134"/>
      <c r="U982" s="20">
        <v>2</v>
      </c>
      <c r="V982" s="20">
        <v>0</v>
      </c>
      <c r="Y982" s="71" t="b">
        <v>0</v>
      </c>
      <c r="AA982" s="20" t="b">
        <v>1</v>
      </c>
      <c r="AE982" s="20">
        <f t="shared" si="93"/>
        <v>12</v>
      </c>
      <c r="AH982" s="61">
        <v>0.1</v>
      </c>
      <c r="AI982" s="61">
        <v>1</v>
      </c>
      <c r="AJ982" s="20">
        <v>2</v>
      </c>
      <c r="AL982" s="108">
        <v>35</v>
      </c>
    </row>
    <row r="983" spans="1:45">
      <c r="A983" s="76" t="s">
        <v>3395</v>
      </c>
      <c r="B983" s="76"/>
      <c r="C983" s="76">
        <v>1</v>
      </c>
      <c r="D983" s="76"/>
      <c r="E983" s="76" t="s">
        <v>2632</v>
      </c>
      <c r="F983" s="76" t="s">
        <v>2637</v>
      </c>
      <c r="G983" s="76" t="s">
        <v>2335</v>
      </c>
      <c r="H983" s="76" t="s">
        <v>2331</v>
      </c>
      <c r="I983" s="76" t="str">
        <f>VLOOKUP(F983,'#对话模型配置'!A:O,15,FALSE)</f>
        <v>newbie_oversea_andrea</v>
      </c>
      <c r="J983" s="76" t="s">
        <v>3396</v>
      </c>
      <c r="K983" s="136" t="s">
        <v>3397</v>
      </c>
      <c r="L983" s="76">
        <v>110003</v>
      </c>
      <c r="M983" s="76" t="s">
        <v>3289</v>
      </c>
      <c r="N983" s="76"/>
      <c r="O983" s="132" t="s">
        <v>3398</v>
      </c>
      <c r="P983" s="132"/>
      <c r="Q983" s="132"/>
      <c r="R983" s="132" t="s">
        <v>3399</v>
      </c>
      <c r="S983" s="132"/>
      <c r="U983" s="20">
        <v>2</v>
      </c>
      <c r="V983" s="20">
        <v>0</v>
      </c>
      <c r="Y983" s="71" t="b">
        <v>0</v>
      </c>
      <c r="AA983" s="20" t="b">
        <v>1</v>
      </c>
      <c r="AE983" s="20">
        <f t="shared" si="93"/>
        <v>5</v>
      </c>
      <c r="AH983" s="61">
        <v>0.1</v>
      </c>
      <c r="AI983" s="61">
        <v>1</v>
      </c>
      <c r="AJ983" s="20">
        <v>2</v>
      </c>
      <c r="AL983" s="108">
        <v>35</v>
      </c>
      <c r="AS983" s="20" t="s">
        <v>3300</v>
      </c>
    </row>
    <row r="984" spans="1:45" ht="26">
      <c r="A984" s="76" t="s">
        <v>3395</v>
      </c>
      <c r="B984" s="76"/>
      <c r="C984" s="76">
        <v>2</v>
      </c>
      <c r="D984" s="76"/>
      <c r="E984" s="76" t="s">
        <v>2632</v>
      </c>
      <c r="F984" s="76" t="s">
        <v>2633</v>
      </c>
      <c r="G984" s="76" t="s">
        <v>2330</v>
      </c>
      <c r="H984" s="76" t="s">
        <v>2331</v>
      </c>
      <c r="I984" s="76" t="str">
        <f>VLOOKUP(F984,'#对话模型配置'!A:O,15,FALSE)</f>
        <v>newbie_oversea_axe</v>
      </c>
      <c r="J984" s="76" t="s">
        <v>3400</v>
      </c>
      <c r="K984" s="136" t="s">
        <v>3401</v>
      </c>
      <c r="L984" s="76">
        <v>110008</v>
      </c>
      <c r="M984" s="76" t="s">
        <v>3289</v>
      </c>
      <c r="N984" s="76"/>
      <c r="O984" s="132" t="s">
        <v>3402</v>
      </c>
      <c r="P984" s="132"/>
      <c r="Q984" s="132"/>
      <c r="R984" s="132"/>
      <c r="S984" s="132"/>
      <c r="U984" s="20">
        <v>2</v>
      </c>
      <c r="V984" s="20">
        <v>0</v>
      </c>
      <c r="Y984" s="71" t="b">
        <v>0</v>
      </c>
      <c r="AA984" s="20" t="b">
        <v>1</v>
      </c>
      <c r="AE984" s="20">
        <f t="shared" si="93"/>
        <v>10</v>
      </c>
      <c r="AH984" s="61">
        <v>0.1</v>
      </c>
      <c r="AI984" s="61">
        <v>1</v>
      </c>
      <c r="AJ984" s="20">
        <v>2</v>
      </c>
      <c r="AL984" s="108">
        <v>35</v>
      </c>
    </row>
    <row r="985" spans="1:45">
      <c r="A985" s="76" t="s">
        <v>3395</v>
      </c>
      <c r="B985" s="76"/>
      <c r="C985" s="76">
        <v>3</v>
      </c>
      <c r="D985" s="76"/>
      <c r="E985" s="76" t="s">
        <v>2632</v>
      </c>
      <c r="F985" s="76" t="s">
        <v>2793</v>
      </c>
      <c r="G985" s="76" t="s">
        <v>3301</v>
      </c>
      <c r="H985" s="76" t="s">
        <v>2331</v>
      </c>
      <c r="I985" s="76" t="str">
        <f>VLOOKUP(F985,'#对话模型配置'!A:O,15,FALSE)</f>
        <v>newbie_oversea_joa</v>
      </c>
      <c r="J985" s="76" t="s">
        <v>3403</v>
      </c>
      <c r="K985" s="136" t="s">
        <v>3404</v>
      </c>
      <c r="L985" s="76">
        <v>110002</v>
      </c>
      <c r="M985" s="76" t="s">
        <v>3289</v>
      </c>
      <c r="N985" s="76"/>
      <c r="O985" s="132" t="s">
        <v>3405</v>
      </c>
      <c r="P985" s="132"/>
      <c r="Q985" s="132"/>
      <c r="R985" s="132"/>
      <c r="S985" s="132"/>
      <c r="U985" s="20">
        <v>2</v>
      </c>
      <c r="V985" s="20">
        <v>0</v>
      </c>
      <c r="Y985" s="71" t="b">
        <v>0</v>
      </c>
      <c r="AA985" s="20" t="b">
        <v>1</v>
      </c>
      <c r="AE985" s="20">
        <f t="shared" si="93"/>
        <v>8</v>
      </c>
      <c r="AH985" s="61">
        <v>0.1</v>
      </c>
      <c r="AI985" s="61">
        <v>1</v>
      </c>
      <c r="AJ985" s="20">
        <v>2</v>
      </c>
      <c r="AL985" s="108">
        <v>35</v>
      </c>
    </row>
    <row r="986" spans="1:45">
      <c r="A986" s="76" t="s">
        <v>3395</v>
      </c>
      <c r="B986" s="76"/>
      <c r="C986" s="76">
        <v>4</v>
      </c>
      <c r="D986" s="76"/>
      <c r="E986" s="76" t="s">
        <v>2632</v>
      </c>
      <c r="F986" s="76" t="s">
        <v>2637</v>
      </c>
      <c r="G986" s="76" t="s">
        <v>2335</v>
      </c>
      <c r="H986" s="76" t="s">
        <v>2331</v>
      </c>
      <c r="I986" s="76" t="str">
        <f>VLOOKUP(F986,'#对话模型配置'!A:O,15,FALSE)</f>
        <v>newbie_oversea_andrea</v>
      </c>
      <c r="J986" s="76" t="s">
        <v>3406</v>
      </c>
      <c r="K986" s="136" t="s">
        <v>3407</v>
      </c>
      <c r="L986" s="76">
        <v>110003</v>
      </c>
      <c r="M986" s="76" t="s">
        <v>3289</v>
      </c>
      <c r="N986" s="76"/>
      <c r="O986" s="132" t="s">
        <v>3398</v>
      </c>
      <c r="P986" s="132"/>
      <c r="Q986" s="132"/>
      <c r="R986" s="132"/>
      <c r="S986" s="132"/>
      <c r="U986" s="20">
        <v>2</v>
      </c>
      <c r="V986" s="20">
        <v>0</v>
      </c>
      <c r="Y986" s="71" t="b">
        <v>0</v>
      </c>
      <c r="AA986" s="20" t="b">
        <v>1</v>
      </c>
      <c r="AE986" s="20">
        <f t="shared" si="93"/>
        <v>8</v>
      </c>
      <c r="AH986" s="61">
        <v>0.1</v>
      </c>
      <c r="AI986" s="61">
        <v>1</v>
      </c>
      <c r="AJ986" s="20">
        <v>2</v>
      </c>
      <c r="AL986" s="108">
        <v>35</v>
      </c>
    </row>
    <row r="987" spans="1:45" ht="26">
      <c r="A987" s="76" t="s">
        <v>3395</v>
      </c>
      <c r="B987" s="76"/>
      <c r="C987" s="76">
        <v>5</v>
      </c>
      <c r="D987" s="76"/>
      <c r="E987" s="76" t="s">
        <v>2632</v>
      </c>
      <c r="F987" s="76" t="s">
        <v>2637</v>
      </c>
      <c r="G987" s="76" t="s">
        <v>2335</v>
      </c>
      <c r="H987" s="76" t="s">
        <v>2331</v>
      </c>
      <c r="I987" s="76" t="str">
        <f>VLOOKUP(F987,'#对话模型配置'!A:O,15,FALSE)</f>
        <v>newbie_oversea_andrea</v>
      </c>
      <c r="J987" s="76" t="s">
        <v>3408</v>
      </c>
      <c r="K987" s="136" t="s">
        <v>3409</v>
      </c>
      <c r="L987" s="76">
        <v>110003</v>
      </c>
      <c r="M987" s="76" t="s">
        <v>3289</v>
      </c>
      <c r="N987" s="76"/>
      <c r="O987" s="132" t="s">
        <v>3398</v>
      </c>
      <c r="P987" s="132"/>
      <c r="Q987" s="132"/>
      <c r="R987" s="132"/>
      <c r="S987" s="132"/>
      <c r="U987" s="20">
        <v>2</v>
      </c>
      <c r="V987" s="20">
        <v>0</v>
      </c>
      <c r="Y987" s="71" t="b">
        <v>0</v>
      </c>
      <c r="AA987" s="20" t="b">
        <v>1</v>
      </c>
      <c r="AE987" s="20">
        <f t="shared" si="93"/>
        <v>8</v>
      </c>
      <c r="AH987" s="61">
        <v>0.1</v>
      </c>
      <c r="AI987" s="61">
        <v>1</v>
      </c>
      <c r="AJ987" s="20">
        <v>2</v>
      </c>
      <c r="AL987" s="108">
        <v>35</v>
      </c>
    </row>
    <row r="988" spans="1:45">
      <c r="A988" s="76" t="s">
        <v>3395</v>
      </c>
      <c r="B988" s="76"/>
      <c r="C988" s="76">
        <v>6</v>
      </c>
      <c r="D988" s="76"/>
      <c r="E988" s="76" t="s">
        <v>2632</v>
      </c>
      <c r="F988" s="76" t="s">
        <v>2633</v>
      </c>
      <c r="G988" s="76" t="s">
        <v>2330</v>
      </c>
      <c r="H988" s="76" t="s">
        <v>2331</v>
      </c>
      <c r="I988" s="76" t="str">
        <f>VLOOKUP(F988,'#对话模型配置'!A:O,15,FALSE)</f>
        <v>newbie_oversea_axe</v>
      </c>
      <c r="J988" s="76" t="s">
        <v>3410</v>
      </c>
      <c r="K988" s="136" t="s">
        <v>2342</v>
      </c>
      <c r="L988" s="76">
        <v>110008</v>
      </c>
      <c r="M988" s="76" t="s">
        <v>3289</v>
      </c>
      <c r="N988" s="76"/>
      <c r="O988" s="132" t="s">
        <v>3402</v>
      </c>
      <c r="P988" s="132"/>
      <c r="Q988" s="132"/>
      <c r="R988" s="132"/>
      <c r="S988" s="132"/>
      <c r="U988" s="20">
        <v>2</v>
      </c>
      <c r="V988" s="20">
        <v>0</v>
      </c>
      <c r="Y988" s="71" t="b">
        <v>0</v>
      </c>
      <c r="AA988" s="20" t="b">
        <v>1</v>
      </c>
      <c r="AE988" s="20">
        <f t="shared" si="93"/>
        <v>5</v>
      </c>
      <c r="AH988" s="61">
        <v>0.1</v>
      </c>
      <c r="AI988" s="61">
        <v>1</v>
      </c>
      <c r="AJ988" s="20">
        <v>2</v>
      </c>
      <c r="AL988" s="108">
        <v>35</v>
      </c>
    </row>
    <row r="989" spans="1:45">
      <c r="A989" s="129" t="s">
        <v>3411</v>
      </c>
      <c r="B989" s="129" t="s">
        <v>3380</v>
      </c>
      <c r="C989" s="129">
        <v>1</v>
      </c>
      <c r="D989" s="129"/>
      <c r="E989" s="129" t="s">
        <v>2632</v>
      </c>
      <c r="F989" s="129" t="s">
        <v>672</v>
      </c>
      <c r="G989" s="129" t="s">
        <v>3412</v>
      </c>
      <c r="H989" s="129" t="s">
        <v>2331</v>
      </c>
      <c r="I989" s="129" t="str">
        <f>VLOOKUP(F989,'#对话模型配置'!A:O,15,FALSE)</f>
        <v>newbie_oversea_enemy</v>
      </c>
      <c r="J989" s="129" t="s">
        <v>3413</v>
      </c>
      <c r="K989" s="135" t="s">
        <v>3414</v>
      </c>
      <c r="L989" s="129">
        <v>80000003</v>
      </c>
      <c r="M989" s="129" t="s">
        <v>3415</v>
      </c>
      <c r="N989" s="129"/>
      <c r="O989" s="134" t="s">
        <v>3416</v>
      </c>
      <c r="P989" s="134"/>
      <c r="Q989" s="134"/>
      <c r="R989" s="134" t="s">
        <v>3417</v>
      </c>
      <c r="S989" s="134"/>
      <c r="U989" s="20">
        <v>2</v>
      </c>
      <c r="V989" s="20">
        <v>0</v>
      </c>
      <c r="Y989" s="71" t="b">
        <v>0</v>
      </c>
      <c r="AA989" s="20" t="b">
        <v>1</v>
      </c>
      <c r="AE989" s="20">
        <f t="shared" si="93"/>
        <v>7</v>
      </c>
      <c r="AH989" s="61">
        <v>0.1</v>
      </c>
      <c r="AI989" s="61">
        <v>1</v>
      </c>
      <c r="AJ989" s="20">
        <v>2</v>
      </c>
      <c r="AL989" s="108">
        <v>35</v>
      </c>
      <c r="AS989" s="20" t="s">
        <v>3282</v>
      </c>
    </row>
    <row r="990" spans="1:45">
      <c r="A990" s="129" t="s">
        <v>3411</v>
      </c>
      <c r="B990" s="129" t="s">
        <v>3380</v>
      </c>
      <c r="C990" s="129">
        <v>2</v>
      </c>
      <c r="D990" s="129"/>
      <c r="E990" s="129" t="s">
        <v>2632</v>
      </c>
      <c r="F990" s="129" t="s">
        <v>2793</v>
      </c>
      <c r="G990" s="129" t="s">
        <v>3301</v>
      </c>
      <c r="H990" s="129" t="s">
        <v>2331</v>
      </c>
      <c r="I990" s="129" t="str">
        <f>VLOOKUP(F990,'#对话模型配置'!A:O,15,FALSE)</f>
        <v>newbie_oversea_joa</v>
      </c>
      <c r="J990" s="129" t="s">
        <v>3418</v>
      </c>
      <c r="K990" s="135" t="s">
        <v>3419</v>
      </c>
      <c r="L990" s="129">
        <v>110002</v>
      </c>
      <c r="M990" s="129" t="s">
        <v>3289</v>
      </c>
      <c r="N990" s="129"/>
      <c r="O990" s="134" t="s">
        <v>3420</v>
      </c>
      <c r="P990" s="134"/>
      <c r="Q990" s="134"/>
      <c r="R990" s="134"/>
      <c r="S990" s="134"/>
      <c r="U990" s="20">
        <v>2</v>
      </c>
      <c r="V990" s="20">
        <v>0</v>
      </c>
      <c r="Y990" s="71" t="b">
        <v>0</v>
      </c>
      <c r="AA990" s="20" t="b">
        <v>1</v>
      </c>
      <c r="AE990" s="20">
        <f t="shared" si="93"/>
        <v>7</v>
      </c>
      <c r="AH990" s="61">
        <v>0.1</v>
      </c>
      <c r="AI990" s="61">
        <v>1</v>
      </c>
      <c r="AJ990" s="20">
        <v>2</v>
      </c>
      <c r="AL990" s="108">
        <v>35</v>
      </c>
    </row>
    <row r="991" spans="1:45" ht="26">
      <c r="A991" s="129" t="s">
        <v>3411</v>
      </c>
      <c r="B991" s="129" t="s">
        <v>3380</v>
      </c>
      <c r="C991" s="129">
        <v>3</v>
      </c>
      <c r="D991" s="129"/>
      <c r="E991" s="129" t="s">
        <v>2632</v>
      </c>
      <c r="F991" s="129" t="s">
        <v>3357</v>
      </c>
      <c r="G991" s="129" t="s">
        <v>3358</v>
      </c>
      <c r="H991" s="129" t="s">
        <v>2331</v>
      </c>
      <c r="I991" s="129" t="str">
        <f>VLOOKUP(F991,'#对话模型配置'!A:O,15,FALSE)</f>
        <v>newbie_oversea_caesar</v>
      </c>
      <c r="J991" s="129" t="s">
        <v>3421</v>
      </c>
      <c r="K991" s="135" t="s">
        <v>3422</v>
      </c>
      <c r="L991" s="129">
        <v>110001</v>
      </c>
      <c r="M991" s="129" t="s">
        <v>3361</v>
      </c>
      <c r="N991" s="129"/>
      <c r="O991" s="134" t="s">
        <v>3423</v>
      </c>
      <c r="P991" s="134"/>
      <c r="Q991" s="134"/>
      <c r="R991" s="134"/>
      <c r="S991" s="134"/>
      <c r="U991" s="20">
        <v>2</v>
      </c>
      <c r="V991" s="20">
        <v>0</v>
      </c>
      <c r="Y991" s="71" t="b">
        <v>0</v>
      </c>
      <c r="AA991" s="20" t="b">
        <v>1</v>
      </c>
      <c r="AE991" s="20">
        <f t="shared" si="93"/>
        <v>9</v>
      </c>
      <c r="AH991" s="61">
        <v>0.1</v>
      </c>
      <c r="AI991" s="61">
        <v>1</v>
      </c>
      <c r="AJ991" s="20">
        <v>2</v>
      </c>
      <c r="AL991" s="108">
        <v>35</v>
      </c>
    </row>
    <row r="992" spans="1:45">
      <c r="A992" s="129" t="s">
        <v>3411</v>
      </c>
      <c r="B992" s="129" t="s">
        <v>3380</v>
      </c>
      <c r="C992" s="129">
        <v>4</v>
      </c>
      <c r="D992" s="129"/>
      <c r="E992" s="129" t="s">
        <v>2632</v>
      </c>
      <c r="F992" s="129" t="s">
        <v>2637</v>
      </c>
      <c r="G992" s="129" t="s">
        <v>2335</v>
      </c>
      <c r="H992" s="129" t="s">
        <v>2331</v>
      </c>
      <c r="I992" s="129" t="str">
        <f>VLOOKUP(F992,'#对话模型配置'!A:O,15,FALSE)</f>
        <v>newbie_oversea_andrea</v>
      </c>
      <c r="J992" s="129" t="s">
        <v>3424</v>
      </c>
      <c r="K992" s="135" t="s">
        <v>3425</v>
      </c>
      <c r="L992" s="129">
        <v>110003</v>
      </c>
      <c r="M992" s="129" t="s">
        <v>3289</v>
      </c>
      <c r="N992" s="129"/>
      <c r="O992" s="134" t="s">
        <v>3426</v>
      </c>
      <c r="P992" s="134"/>
      <c r="Q992" s="134"/>
      <c r="R992" s="134"/>
      <c r="S992" s="134"/>
      <c r="U992" s="20">
        <v>2</v>
      </c>
      <c r="V992" s="20">
        <v>0</v>
      </c>
      <c r="Y992" s="71" t="b">
        <v>0</v>
      </c>
      <c r="AA992" s="20" t="b">
        <v>1</v>
      </c>
      <c r="AE992" s="20">
        <f t="shared" si="93"/>
        <v>5</v>
      </c>
      <c r="AH992" s="61">
        <v>0.1</v>
      </c>
      <c r="AI992" s="61">
        <v>1</v>
      </c>
      <c r="AJ992" s="20">
        <v>2</v>
      </c>
      <c r="AL992" s="108">
        <v>35</v>
      </c>
    </row>
    <row r="993" spans="1:45">
      <c r="A993" s="76" t="s">
        <v>3427</v>
      </c>
      <c r="B993" s="76" t="s">
        <v>3380</v>
      </c>
      <c r="C993" s="76">
        <v>1</v>
      </c>
      <c r="D993" s="76"/>
      <c r="E993" s="76" t="s">
        <v>2632</v>
      </c>
      <c r="F993" s="76" t="s">
        <v>2637</v>
      </c>
      <c r="G993" s="76" t="s">
        <v>2335</v>
      </c>
      <c r="H993" s="76" t="s">
        <v>2331</v>
      </c>
      <c r="I993" s="76" t="str">
        <f>VLOOKUP(F993,'#对话模型配置'!A:O,15,FALSE)</f>
        <v>newbie_oversea_andrea</v>
      </c>
      <c r="J993" s="76" t="s">
        <v>3428</v>
      </c>
      <c r="K993" s="136" t="s">
        <v>3429</v>
      </c>
      <c r="L993" s="76">
        <v>110003</v>
      </c>
      <c r="M993" s="76" t="s">
        <v>3289</v>
      </c>
      <c r="N993" s="76"/>
      <c r="O993" s="132" t="s">
        <v>3430</v>
      </c>
      <c r="P993" s="132"/>
      <c r="Q993" s="132"/>
      <c r="R993" s="132" t="s">
        <v>3431</v>
      </c>
      <c r="S993" s="132"/>
      <c r="U993" s="20">
        <v>2</v>
      </c>
      <c r="V993" s="20">
        <v>0</v>
      </c>
      <c r="Y993" s="71" t="b">
        <v>0</v>
      </c>
      <c r="AA993" s="20" t="b">
        <v>1</v>
      </c>
      <c r="AE993" s="20">
        <f t="shared" si="93"/>
        <v>6</v>
      </c>
      <c r="AH993" s="61">
        <v>0.1</v>
      </c>
      <c r="AI993" s="61">
        <v>1</v>
      </c>
      <c r="AJ993" s="20">
        <v>2</v>
      </c>
      <c r="AL993" s="108">
        <v>35</v>
      </c>
      <c r="AS993" s="20" t="s">
        <v>3300</v>
      </c>
    </row>
    <row r="994" spans="1:45" ht="26">
      <c r="A994" s="76" t="s">
        <v>3427</v>
      </c>
      <c r="B994" s="76" t="s">
        <v>3380</v>
      </c>
      <c r="C994" s="76">
        <v>2</v>
      </c>
      <c r="D994" s="76"/>
      <c r="E994" s="76" t="s">
        <v>2632</v>
      </c>
      <c r="F994" s="76" t="s">
        <v>3357</v>
      </c>
      <c r="G994" s="76" t="s">
        <v>3358</v>
      </c>
      <c r="H994" s="76" t="s">
        <v>2331</v>
      </c>
      <c r="I994" s="76" t="str">
        <f>VLOOKUP(F994,'#对话模型配置'!A:O,15,FALSE)</f>
        <v>newbie_oversea_caesar</v>
      </c>
      <c r="J994" s="76" t="s">
        <v>3432</v>
      </c>
      <c r="K994" s="136" t="s">
        <v>3433</v>
      </c>
      <c r="L994" s="76">
        <v>110001</v>
      </c>
      <c r="M994" s="129" t="s">
        <v>3361</v>
      </c>
      <c r="N994" s="129"/>
      <c r="O994" s="132" t="s">
        <v>3434</v>
      </c>
      <c r="P994" s="132"/>
      <c r="Q994" s="132"/>
      <c r="R994" s="132"/>
      <c r="S994" s="132"/>
      <c r="U994" s="20">
        <v>2</v>
      </c>
      <c r="V994" s="20">
        <v>0</v>
      </c>
      <c r="Y994" s="71" t="b">
        <v>0</v>
      </c>
      <c r="AA994" s="20" t="b">
        <v>1</v>
      </c>
      <c r="AE994" s="20">
        <f t="shared" si="93"/>
        <v>9</v>
      </c>
      <c r="AH994" s="61">
        <v>0.1</v>
      </c>
      <c r="AI994" s="61">
        <v>1</v>
      </c>
      <c r="AJ994" s="20">
        <v>2</v>
      </c>
      <c r="AL994" s="108">
        <v>35</v>
      </c>
    </row>
    <row r="995" spans="1:45" ht="26">
      <c r="A995" s="129">
        <v>1100010</v>
      </c>
      <c r="B995" s="129"/>
      <c r="C995" s="129">
        <v>1</v>
      </c>
      <c r="D995" s="129"/>
      <c r="E995" s="129" t="s">
        <v>2632</v>
      </c>
      <c r="F995" s="129" t="s">
        <v>2633</v>
      </c>
      <c r="G995" s="129" t="s">
        <v>2330</v>
      </c>
      <c r="H995" s="129" t="s">
        <v>2331</v>
      </c>
      <c r="I995" s="129" t="str">
        <f>VLOOKUP(F995,'#对话模型配置'!A:O,15,FALSE)</f>
        <v>newbie_oversea_axe</v>
      </c>
      <c r="J995" s="129" t="s">
        <v>3435</v>
      </c>
      <c r="K995" s="135" t="s">
        <v>3436</v>
      </c>
      <c r="L995" s="129">
        <v>110008</v>
      </c>
      <c r="M995" s="129" t="s">
        <v>3289</v>
      </c>
      <c r="N995" s="129"/>
      <c r="O995" s="134" t="s">
        <v>3402</v>
      </c>
      <c r="P995" s="134"/>
      <c r="Q995" s="134"/>
      <c r="R995" s="134" t="s">
        <v>3437</v>
      </c>
      <c r="S995" s="134"/>
      <c r="U995" s="20">
        <v>2</v>
      </c>
      <c r="V995" s="20">
        <v>0</v>
      </c>
      <c r="Y995" s="71" t="b">
        <v>0</v>
      </c>
      <c r="AA995" s="20" t="b">
        <v>1</v>
      </c>
      <c r="AE995" s="20">
        <f t="shared" si="93"/>
        <v>8</v>
      </c>
      <c r="AH995" s="61">
        <v>0.1</v>
      </c>
      <c r="AI995" s="61">
        <v>1</v>
      </c>
      <c r="AJ995" s="20">
        <v>2</v>
      </c>
      <c r="AL995" s="108">
        <v>35</v>
      </c>
      <c r="AS995" s="20" t="s">
        <v>3282</v>
      </c>
    </row>
    <row r="996" spans="1:45">
      <c r="A996" s="129">
        <v>1100010</v>
      </c>
      <c r="B996" s="129"/>
      <c r="C996" s="129">
        <v>2</v>
      </c>
      <c r="D996" s="129"/>
      <c r="E996" s="129" t="s">
        <v>2632</v>
      </c>
      <c r="F996" s="129" t="s">
        <v>2637</v>
      </c>
      <c r="G996" s="129" t="s">
        <v>2335</v>
      </c>
      <c r="H996" s="129" t="s">
        <v>2331</v>
      </c>
      <c r="I996" s="129" t="str">
        <f>VLOOKUP(F996,'#对话模型配置'!A:O,15,FALSE)</f>
        <v>newbie_oversea_andrea</v>
      </c>
      <c r="J996" s="129" t="s">
        <v>3438</v>
      </c>
      <c r="K996" s="135" t="s">
        <v>3439</v>
      </c>
      <c r="L996" s="129">
        <v>110003</v>
      </c>
      <c r="M996" s="129" t="s">
        <v>3289</v>
      </c>
      <c r="N996" s="129"/>
      <c r="O996" s="134" t="s">
        <v>3398</v>
      </c>
      <c r="P996" s="134"/>
      <c r="Q996" s="134"/>
      <c r="R996" s="134"/>
      <c r="S996" s="134"/>
      <c r="U996" s="20">
        <v>2</v>
      </c>
      <c r="V996" s="20">
        <v>0</v>
      </c>
      <c r="Y996" s="71" t="b">
        <v>0</v>
      </c>
      <c r="AA996" s="20" t="b">
        <v>1</v>
      </c>
      <c r="AE996" s="20">
        <f t="shared" si="93"/>
        <v>7</v>
      </c>
      <c r="AH996" s="61">
        <v>0.1</v>
      </c>
      <c r="AI996" s="61">
        <v>1</v>
      </c>
      <c r="AJ996" s="20">
        <v>2</v>
      </c>
      <c r="AL996" s="108">
        <v>35</v>
      </c>
    </row>
    <row r="997" spans="1:45">
      <c r="A997" s="129">
        <v>1100010</v>
      </c>
      <c r="B997" s="129"/>
      <c r="C997" s="129">
        <v>3</v>
      </c>
      <c r="D997" s="129"/>
      <c r="E997" s="129" t="s">
        <v>2632</v>
      </c>
      <c r="F997" s="129" t="s">
        <v>2633</v>
      </c>
      <c r="G997" s="129" t="s">
        <v>2330</v>
      </c>
      <c r="H997" s="129" t="s">
        <v>2331</v>
      </c>
      <c r="I997" s="129" t="str">
        <f>VLOOKUP(F997,'#对话模型配置'!A:O,15,FALSE)</f>
        <v>newbie_oversea_axe</v>
      </c>
      <c r="J997" s="129" t="s">
        <v>3440</v>
      </c>
      <c r="K997" s="135" t="s">
        <v>3441</v>
      </c>
      <c r="L997" s="129">
        <v>110008</v>
      </c>
      <c r="M997" s="129" t="s">
        <v>3289</v>
      </c>
      <c r="N997" s="129"/>
      <c r="O997" s="134" t="s">
        <v>3402</v>
      </c>
      <c r="P997" s="134"/>
      <c r="Q997" s="134"/>
      <c r="R997" s="134"/>
      <c r="S997" s="134"/>
      <c r="U997" s="20">
        <v>2</v>
      </c>
      <c r="V997" s="20">
        <v>0</v>
      </c>
      <c r="Y997" s="71" t="b">
        <v>0</v>
      </c>
      <c r="AA997" s="20" t="b">
        <v>1</v>
      </c>
      <c r="AE997" s="20">
        <f t="shared" si="93"/>
        <v>6</v>
      </c>
      <c r="AH997" s="61">
        <v>0.1</v>
      </c>
      <c r="AI997" s="61">
        <v>1</v>
      </c>
      <c r="AJ997" s="20">
        <v>2</v>
      </c>
      <c r="AL997" s="108">
        <v>35</v>
      </c>
    </row>
    <row r="998" spans="1:45">
      <c r="A998" s="129">
        <v>1100010</v>
      </c>
      <c r="B998" s="129"/>
      <c r="C998" s="129">
        <v>4</v>
      </c>
      <c r="D998" s="129"/>
      <c r="E998" s="129" t="s">
        <v>2632</v>
      </c>
      <c r="F998" s="129" t="s">
        <v>2637</v>
      </c>
      <c r="G998" s="129" t="s">
        <v>2335</v>
      </c>
      <c r="H998" s="129" t="s">
        <v>2331</v>
      </c>
      <c r="I998" s="129" t="str">
        <f>VLOOKUP(F998,'#对话模型配置'!A:O,15,FALSE)</f>
        <v>newbie_oversea_andrea</v>
      </c>
      <c r="J998" s="129" t="s">
        <v>3442</v>
      </c>
      <c r="K998" s="135" t="s">
        <v>3443</v>
      </c>
      <c r="L998" s="129">
        <v>110003</v>
      </c>
      <c r="M998" s="129" t="s">
        <v>3289</v>
      </c>
      <c r="N998" s="129"/>
      <c r="O998" s="134" t="s">
        <v>3398</v>
      </c>
      <c r="P998" s="134"/>
      <c r="Q998" s="134"/>
      <c r="R998" s="134"/>
      <c r="S998" s="134"/>
      <c r="U998" s="20">
        <v>2</v>
      </c>
      <c r="V998" s="20">
        <v>0</v>
      </c>
      <c r="Y998" s="71" t="b">
        <v>0</v>
      </c>
      <c r="AA998" s="20" t="b">
        <v>1</v>
      </c>
      <c r="AE998" s="20">
        <f t="shared" si="93"/>
        <v>5</v>
      </c>
      <c r="AH998" s="61">
        <v>0.1</v>
      </c>
      <c r="AI998" s="61">
        <v>1</v>
      </c>
      <c r="AJ998" s="20">
        <v>2</v>
      </c>
      <c r="AL998" s="108">
        <v>35</v>
      </c>
    </row>
    <row r="999" spans="1:45">
      <c r="A999" s="129">
        <v>1100010</v>
      </c>
      <c r="B999" s="129"/>
      <c r="C999" s="129">
        <v>5</v>
      </c>
      <c r="D999" s="129"/>
      <c r="E999" s="129" t="s">
        <v>2632</v>
      </c>
      <c r="F999" s="129" t="s">
        <v>2633</v>
      </c>
      <c r="G999" s="129" t="s">
        <v>2330</v>
      </c>
      <c r="H999" s="129" t="s">
        <v>2331</v>
      </c>
      <c r="I999" s="129" t="str">
        <f>VLOOKUP(F999,'#对话模型配置'!A:O,15,FALSE)</f>
        <v>newbie_oversea_axe</v>
      </c>
      <c r="J999" s="129" t="s">
        <v>3444</v>
      </c>
      <c r="K999" s="135" t="s">
        <v>3445</v>
      </c>
      <c r="L999" s="129">
        <v>110008</v>
      </c>
      <c r="M999" s="129" t="s">
        <v>3289</v>
      </c>
      <c r="N999" s="129"/>
      <c r="O999" s="134" t="s">
        <v>3402</v>
      </c>
      <c r="P999" s="134"/>
      <c r="Q999" s="134"/>
      <c r="R999" s="134"/>
      <c r="S999" s="134"/>
      <c r="U999" s="20">
        <v>2</v>
      </c>
      <c r="V999" s="20">
        <v>0</v>
      </c>
      <c r="Y999" s="71" t="b">
        <v>0</v>
      </c>
      <c r="AA999" s="20" t="b">
        <v>1</v>
      </c>
      <c r="AE999" s="20">
        <f t="shared" si="93"/>
        <v>6</v>
      </c>
      <c r="AH999" s="61">
        <v>0.1</v>
      </c>
      <c r="AI999" s="61">
        <v>1</v>
      </c>
      <c r="AJ999" s="20">
        <v>2</v>
      </c>
      <c r="AL999" s="108">
        <v>35</v>
      </c>
    </row>
    <row r="1000" spans="1:45" ht="26">
      <c r="A1000" s="129">
        <v>1100010</v>
      </c>
      <c r="B1000" s="129"/>
      <c r="C1000" s="129">
        <v>6</v>
      </c>
      <c r="D1000" s="129"/>
      <c r="E1000" s="129" t="s">
        <v>2632</v>
      </c>
      <c r="F1000" s="129" t="s">
        <v>2637</v>
      </c>
      <c r="G1000" s="129" t="s">
        <v>2335</v>
      </c>
      <c r="H1000" s="129" t="s">
        <v>2331</v>
      </c>
      <c r="I1000" s="129" t="str">
        <f>VLOOKUP(F1000,'#对话模型配置'!A:O,15,FALSE)</f>
        <v>newbie_oversea_andrea</v>
      </c>
      <c r="J1000" s="129" t="s">
        <v>3446</v>
      </c>
      <c r="K1000" s="135" t="s">
        <v>3447</v>
      </c>
      <c r="L1000" s="129">
        <v>110003</v>
      </c>
      <c r="M1000" s="129" t="s">
        <v>3314</v>
      </c>
      <c r="N1000" s="129"/>
      <c r="O1000" s="134" t="s">
        <v>3398</v>
      </c>
      <c r="P1000" s="134"/>
      <c r="Q1000" s="134"/>
      <c r="R1000" s="134"/>
      <c r="S1000" s="134"/>
      <c r="U1000" s="20">
        <v>2</v>
      </c>
      <c r="V1000" s="20">
        <v>0</v>
      </c>
      <c r="Y1000" s="71" t="b">
        <v>0</v>
      </c>
      <c r="AA1000" s="20" t="b">
        <v>1</v>
      </c>
      <c r="AE1000" s="20">
        <f t="shared" si="93"/>
        <v>8</v>
      </c>
      <c r="AH1000" s="61">
        <v>0.1</v>
      </c>
      <c r="AI1000" s="61">
        <v>1</v>
      </c>
      <c r="AJ1000" s="20">
        <v>2</v>
      </c>
      <c r="AL1000" s="108">
        <v>35</v>
      </c>
    </row>
    <row r="1001" spans="1:45" ht="26">
      <c r="A1001" s="129">
        <v>1100010</v>
      </c>
      <c r="B1001" s="129"/>
      <c r="C1001" s="129">
        <v>7</v>
      </c>
      <c r="D1001" s="129"/>
      <c r="E1001" s="129" t="s">
        <v>2632</v>
      </c>
      <c r="F1001" s="129" t="s">
        <v>2637</v>
      </c>
      <c r="G1001" s="129" t="s">
        <v>2335</v>
      </c>
      <c r="H1001" s="129" t="s">
        <v>2331</v>
      </c>
      <c r="I1001" s="129" t="str">
        <f>VLOOKUP(F1001,'#对话模型配置'!A:O,15,FALSE)</f>
        <v>newbie_oversea_andrea</v>
      </c>
      <c r="J1001" s="129" t="s">
        <v>3448</v>
      </c>
      <c r="K1001" s="135" t="s">
        <v>3449</v>
      </c>
      <c r="L1001" s="129">
        <v>110003</v>
      </c>
      <c r="M1001" s="129" t="s">
        <v>3450</v>
      </c>
      <c r="N1001" s="129"/>
      <c r="O1001" s="134" t="s">
        <v>3398</v>
      </c>
      <c r="P1001" s="134"/>
      <c r="Q1001" s="134"/>
      <c r="R1001" s="134"/>
      <c r="S1001" s="134"/>
      <c r="U1001" s="20">
        <v>2</v>
      </c>
      <c r="V1001" s="20">
        <v>0</v>
      </c>
      <c r="Y1001" s="71" t="b">
        <v>0</v>
      </c>
      <c r="AA1001" s="20" t="b">
        <v>1</v>
      </c>
      <c r="AE1001" s="20">
        <f t="shared" si="93"/>
        <v>14</v>
      </c>
      <c r="AH1001" s="61">
        <v>0.1</v>
      </c>
      <c r="AI1001" s="61">
        <v>1</v>
      </c>
      <c r="AJ1001" s="20">
        <v>2</v>
      </c>
      <c r="AL1001" s="108">
        <v>35</v>
      </c>
    </row>
    <row r="1002" spans="1:45" ht="26">
      <c r="A1002" s="129">
        <v>1100010</v>
      </c>
      <c r="B1002" s="129"/>
      <c r="C1002" s="129">
        <v>8</v>
      </c>
      <c r="D1002" s="129"/>
      <c r="E1002" s="129" t="s">
        <v>2632</v>
      </c>
      <c r="F1002" s="129" t="s">
        <v>2637</v>
      </c>
      <c r="G1002" s="129" t="s">
        <v>2335</v>
      </c>
      <c r="H1002" s="129" t="s">
        <v>2331</v>
      </c>
      <c r="I1002" s="129" t="str">
        <f>VLOOKUP(F1002,'#对话模型配置'!A:O,15,FALSE)</f>
        <v>newbie_oversea_andrea</v>
      </c>
      <c r="J1002" s="129" t="s">
        <v>3451</v>
      </c>
      <c r="K1002" s="135" t="s">
        <v>3452</v>
      </c>
      <c r="L1002" s="129">
        <v>110003</v>
      </c>
      <c r="M1002" s="129" t="s">
        <v>3453</v>
      </c>
      <c r="N1002" s="129"/>
      <c r="O1002" s="134" t="s">
        <v>3398</v>
      </c>
      <c r="P1002" s="134"/>
      <c r="Q1002" s="134"/>
      <c r="R1002" s="134"/>
      <c r="S1002" s="134"/>
      <c r="U1002" s="20">
        <v>2</v>
      </c>
      <c r="V1002" s="20">
        <v>0</v>
      </c>
      <c r="Y1002" s="71" t="b">
        <v>0</v>
      </c>
      <c r="AA1002" s="20" t="b">
        <v>1</v>
      </c>
      <c r="AE1002" s="20">
        <f t="shared" si="93"/>
        <v>13</v>
      </c>
      <c r="AH1002" s="61">
        <v>0.1</v>
      </c>
      <c r="AI1002" s="61">
        <v>1</v>
      </c>
      <c r="AJ1002" s="20">
        <v>2</v>
      </c>
      <c r="AL1002" s="108">
        <v>35</v>
      </c>
    </row>
    <row r="1003" spans="1:45">
      <c r="A1003" s="76" t="s">
        <v>3454</v>
      </c>
      <c r="B1003" s="76"/>
      <c r="C1003" s="76">
        <v>1</v>
      </c>
      <c r="D1003" s="76"/>
      <c r="E1003" s="76" t="s">
        <v>2632</v>
      </c>
      <c r="F1003" s="76" t="s">
        <v>2637</v>
      </c>
      <c r="G1003" s="76" t="s">
        <v>2335</v>
      </c>
      <c r="H1003" s="76" t="s">
        <v>2331</v>
      </c>
      <c r="I1003" s="76" t="str">
        <f>VLOOKUP(F1003,'#对话模型配置'!A:O,15,FALSE)</f>
        <v>newbie_oversea_andrea</v>
      </c>
      <c r="J1003" s="76" t="s">
        <v>3455</v>
      </c>
      <c r="K1003" s="136" t="s">
        <v>3456</v>
      </c>
      <c r="L1003" s="76">
        <v>110003</v>
      </c>
      <c r="M1003" s="76" t="s">
        <v>3289</v>
      </c>
      <c r="N1003" s="76"/>
      <c r="O1003" s="132" t="s">
        <v>3286</v>
      </c>
      <c r="P1003" s="132"/>
      <c r="Q1003" s="132"/>
      <c r="R1003" s="132" t="s">
        <v>3281</v>
      </c>
      <c r="S1003" s="132"/>
      <c r="U1003" s="20">
        <v>2</v>
      </c>
      <c r="V1003" s="20">
        <v>0</v>
      </c>
      <c r="Y1003" s="71" t="b">
        <v>0</v>
      </c>
      <c r="AA1003" s="20" t="b">
        <v>1</v>
      </c>
      <c r="AE1003" s="20">
        <f t="shared" si="93"/>
        <v>5</v>
      </c>
      <c r="AH1003" s="61">
        <v>0.1</v>
      </c>
      <c r="AI1003" s="61">
        <v>1</v>
      </c>
      <c r="AJ1003" s="20">
        <v>2</v>
      </c>
      <c r="AL1003" s="108">
        <v>35</v>
      </c>
      <c r="AS1003" s="20" t="s">
        <v>3457</v>
      </c>
    </row>
    <row r="1004" spans="1:45">
      <c r="A1004" s="76" t="s">
        <v>3454</v>
      </c>
      <c r="B1004" s="76"/>
      <c r="C1004" s="76">
        <v>2</v>
      </c>
      <c r="D1004" s="76"/>
      <c r="E1004" s="76" t="s">
        <v>2632</v>
      </c>
      <c r="F1004" s="76" t="s">
        <v>3458</v>
      </c>
      <c r="G1004" s="76" t="s">
        <v>3459</v>
      </c>
      <c r="H1004" s="76" t="s">
        <v>2331</v>
      </c>
      <c r="I1004" s="76" t="str">
        <f>VLOOKUP(F1004,'#对话模型配置'!A:O,15,FALSE)</f>
        <v>newbie_oversea_clovis</v>
      </c>
      <c r="J1004" s="76" t="s">
        <v>3460</v>
      </c>
      <c r="K1004" s="136" t="s">
        <v>3461</v>
      </c>
      <c r="L1004" s="76">
        <v>110004</v>
      </c>
      <c r="M1004" s="76" t="s">
        <v>3314</v>
      </c>
      <c r="N1004" s="76"/>
      <c r="O1004" s="132" t="s">
        <v>3280</v>
      </c>
      <c r="P1004" s="132"/>
      <c r="Q1004" s="132"/>
      <c r="R1004" s="132"/>
      <c r="S1004" s="132"/>
      <c r="U1004" s="20">
        <v>2</v>
      </c>
      <c r="V1004" s="20">
        <v>0</v>
      </c>
      <c r="Y1004" s="71" t="b">
        <v>0</v>
      </c>
      <c r="AA1004" s="20" t="b">
        <v>1</v>
      </c>
      <c r="AE1004" s="20">
        <f t="shared" si="93"/>
        <v>7</v>
      </c>
      <c r="AH1004" s="61">
        <v>0.1</v>
      </c>
      <c r="AI1004" s="61">
        <v>1</v>
      </c>
      <c r="AJ1004" s="20">
        <v>2</v>
      </c>
      <c r="AL1004" s="108">
        <v>35</v>
      </c>
    </row>
    <row r="1005" spans="1:45">
      <c r="A1005" s="76" t="s">
        <v>3454</v>
      </c>
      <c r="B1005" s="76"/>
      <c r="C1005" s="76">
        <v>3</v>
      </c>
      <c r="D1005" s="76"/>
      <c r="E1005" s="76" t="s">
        <v>2632</v>
      </c>
      <c r="F1005" s="76" t="s">
        <v>2637</v>
      </c>
      <c r="G1005" s="76" t="s">
        <v>2335</v>
      </c>
      <c r="H1005" s="76" t="s">
        <v>2331</v>
      </c>
      <c r="I1005" s="76" t="str">
        <f>VLOOKUP(F1005,'#对话模型配置'!A:O,15,FALSE)</f>
        <v>newbie_oversea_andrea</v>
      </c>
      <c r="J1005" s="76" t="s">
        <v>3462</v>
      </c>
      <c r="K1005" s="136" t="s">
        <v>3463</v>
      </c>
      <c r="L1005" s="76">
        <v>110003</v>
      </c>
      <c r="M1005" s="76" t="s">
        <v>3289</v>
      </c>
      <c r="N1005" s="76"/>
      <c r="O1005" s="132" t="s">
        <v>3286</v>
      </c>
      <c r="P1005" s="132"/>
      <c r="Q1005" s="132"/>
      <c r="R1005" s="132"/>
      <c r="S1005" s="132"/>
      <c r="U1005" s="20">
        <v>2</v>
      </c>
      <c r="V1005" s="20">
        <v>0</v>
      </c>
      <c r="Y1005" s="71" t="b">
        <v>0</v>
      </c>
      <c r="AA1005" s="20" t="b">
        <v>1</v>
      </c>
      <c r="AE1005" s="20">
        <f t="shared" si="93"/>
        <v>5</v>
      </c>
      <c r="AH1005" s="61">
        <v>0.1</v>
      </c>
      <c r="AI1005" s="61">
        <v>1</v>
      </c>
      <c r="AJ1005" s="20">
        <v>2</v>
      </c>
      <c r="AL1005" s="108">
        <v>35</v>
      </c>
    </row>
    <row r="1006" spans="1:45">
      <c r="A1006" s="76" t="s">
        <v>3454</v>
      </c>
      <c r="B1006" s="76"/>
      <c r="C1006" s="76">
        <v>4</v>
      </c>
      <c r="D1006" s="76"/>
      <c r="E1006" s="76" t="s">
        <v>2632</v>
      </c>
      <c r="F1006" s="76" t="s">
        <v>3458</v>
      </c>
      <c r="G1006" s="76" t="s">
        <v>3459</v>
      </c>
      <c r="H1006" s="76" t="s">
        <v>2331</v>
      </c>
      <c r="I1006" s="76" t="str">
        <f>VLOOKUP(F1006,'#对话模型配置'!A:O,15,FALSE)</f>
        <v>newbie_oversea_clovis</v>
      </c>
      <c r="J1006" s="76" t="s">
        <v>3464</v>
      </c>
      <c r="K1006" s="136" t="s">
        <v>3465</v>
      </c>
      <c r="L1006" s="76">
        <v>110004</v>
      </c>
      <c r="M1006" s="76" t="s">
        <v>3450</v>
      </c>
      <c r="N1006" s="76"/>
      <c r="O1006" s="132" t="s">
        <v>3280</v>
      </c>
      <c r="P1006" s="132"/>
      <c r="Q1006" s="132"/>
      <c r="R1006" s="132"/>
      <c r="S1006" s="132"/>
      <c r="U1006" s="20">
        <v>2</v>
      </c>
      <c r="V1006" s="20">
        <v>0</v>
      </c>
      <c r="Y1006" s="71" t="b">
        <v>0</v>
      </c>
      <c r="AA1006" s="20" t="b">
        <v>1</v>
      </c>
      <c r="AE1006" s="20">
        <f t="shared" si="93"/>
        <v>6</v>
      </c>
      <c r="AH1006" s="61">
        <v>0.1</v>
      </c>
      <c r="AI1006" s="61">
        <v>1</v>
      </c>
      <c r="AJ1006" s="20">
        <v>2</v>
      </c>
      <c r="AL1006" s="108">
        <v>35</v>
      </c>
    </row>
    <row r="1007" spans="1:45" ht="26">
      <c r="A1007" s="76" t="s">
        <v>3454</v>
      </c>
      <c r="B1007" s="76"/>
      <c r="C1007" s="76">
        <v>5</v>
      </c>
      <c r="D1007" s="76"/>
      <c r="E1007" s="76" t="s">
        <v>2632</v>
      </c>
      <c r="F1007" s="76" t="s">
        <v>3458</v>
      </c>
      <c r="G1007" s="76" t="s">
        <v>3459</v>
      </c>
      <c r="H1007" s="76" t="s">
        <v>2331</v>
      </c>
      <c r="I1007" s="76" t="str">
        <f>VLOOKUP(F1007,'#对话模型配置'!A:O,15,FALSE)</f>
        <v>newbie_oversea_clovis</v>
      </c>
      <c r="J1007" s="76" t="s">
        <v>3466</v>
      </c>
      <c r="K1007" s="136" t="s">
        <v>3467</v>
      </c>
      <c r="L1007" s="76">
        <v>110004</v>
      </c>
      <c r="M1007" s="76" t="s">
        <v>3453</v>
      </c>
      <c r="N1007" s="76"/>
      <c r="O1007" s="132" t="s">
        <v>3280</v>
      </c>
      <c r="P1007" s="132"/>
      <c r="Q1007" s="132"/>
      <c r="R1007" s="132"/>
      <c r="S1007" s="132"/>
      <c r="U1007" s="20">
        <v>2</v>
      </c>
      <c r="V1007" s="20">
        <v>0</v>
      </c>
      <c r="Y1007" s="71" t="b">
        <v>0</v>
      </c>
      <c r="AA1007" s="20" t="b">
        <v>1</v>
      </c>
      <c r="AE1007" s="20">
        <f t="shared" si="93"/>
        <v>11</v>
      </c>
      <c r="AH1007" s="61">
        <v>0.1</v>
      </c>
      <c r="AI1007" s="61">
        <v>1</v>
      </c>
      <c r="AJ1007" s="20">
        <v>2</v>
      </c>
      <c r="AL1007" s="108">
        <v>35</v>
      </c>
    </row>
    <row r="1008" spans="1:45">
      <c r="A1008" s="129" t="s">
        <v>3468</v>
      </c>
      <c r="B1008" s="129"/>
      <c r="C1008" s="129">
        <v>1</v>
      </c>
      <c r="D1008" s="129"/>
      <c r="E1008" s="129" t="s">
        <v>2632</v>
      </c>
      <c r="F1008" s="129" t="s">
        <v>2637</v>
      </c>
      <c r="G1008" s="129" t="s">
        <v>2335</v>
      </c>
      <c r="H1008" s="129" t="s">
        <v>2331</v>
      </c>
      <c r="I1008" s="129" t="str">
        <f>VLOOKUP(F1008,'#对话模型配置'!A:O,15,FALSE)</f>
        <v>newbie_oversea_andrea</v>
      </c>
      <c r="J1008" s="129" t="s">
        <v>3469</v>
      </c>
      <c r="K1008" s="135" t="s">
        <v>3470</v>
      </c>
      <c r="L1008" s="129">
        <v>110003</v>
      </c>
      <c r="M1008" s="129" t="s">
        <v>3289</v>
      </c>
      <c r="N1008" s="129"/>
      <c r="O1008" s="134" t="s">
        <v>3286</v>
      </c>
      <c r="P1008" s="134"/>
      <c r="Q1008" s="134"/>
      <c r="R1008" s="132" t="s">
        <v>3281</v>
      </c>
      <c r="S1008" s="132"/>
      <c r="U1008" s="20">
        <v>2</v>
      </c>
      <c r="V1008" s="20">
        <v>0</v>
      </c>
      <c r="Y1008" s="71" t="b">
        <v>0</v>
      </c>
      <c r="AA1008" s="20" t="b">
        <v>1</v>
      </c>
      <c r="AE1008" s="20">
        <f t="shared" si="93"/>
        <v>5</v>
      </c>
      <c r="AH1008" s="61">
        <v>0.1</v>
      </c>
      <c r="AI1008" s="61">
        <v>1</v>
      </c>
      <c r="AJ1008" s="20">
        <v>2</v>
      </c>
      <c r="AL1008" s="108">
        <v>35</v>
      </c>
      <c r="AS1008" s="20" t="s">
        <v>3385</v>
      </c>
    </row>
    <row r="1009" spans="1:45" ht="26">
      <c r="A1009" s="129" t="s">
        <v>3468</v>
      </c>
      <c r="B1009" s="129"/>
      <c r="C1009" s="129">
        <v>2</v>
      </c>
      <c r="D1009" s="129"/>
      <c r="E1009" s="129" t="s">
        <v>2632</v>
      </c>
      <c r="F1009" s="129" t="s">
        <v>3458</v>
      </c>
      <c r="G1009" s="129" t="s">
        <v>3459</v>
      </c>
      <c r="H1009" s="129" t="s">
        <v>2331</v>
      </c>
      <c r="I1009" s="129" t="str">
        <f>VLOOKUP(F1009,'#对话模型配置'!A:O,15,FALSE)</f>
        <v>newbie_oversea_clovis</v>
      </c>
      <c r="J1009" s="129" t="s">
        <v>3471</v>
      </c>
      <c r="K1009" s="135" t="s">
        <v>3472</v>
      </c>
      <c r="L1009" s="129">
        <v>110004</v>
      </c>
      <c r="M1009" s="129" t="s">
        <v>3289</v>
      </c>
      <c r="N1009" s="129"/>
      <c r="O1009" s="134" t="s">
        <v>3280</v>
      </c>
      <c r="P1009" s="134"/>
      <c r="Q1009" s="134"/>
      <c r="R1009" s="134"/>
      <c r="S1009" s="134"/>
      <c r="U1009" s="20">
        <v>2</v>
      </c>
      <c r="V1009" s="20">
        <v>0</v>
      </c>
      <c r="Y1009" s="71" t="b">
        <v>0</v>
      </c>
      <c r="AA1009" s="20" t="b">
        <v>1</v>
      </c>
      <c r="AE1009" s="20">
        <f t="shared" si="93"/>
        <v>8</v>
      </c>
      <c r="AH1009" s="61">
        <v>0.1</v>
      </c>
      <c r="AI1009" s="61">
        <v>1</v>
      </c>
      <c r="AJ1009" s="20">
        <v>2</v>
      </c>
      <c r="AL1009" s="108">
        <v>35</v>
      </c>
    </row>
    <row r="1010" spans="1:45" ht="26">
      <c r="A1010" s="129" t="s">
        <v>3468</v>
      </c>
      <c r="B1010" s="129"/>
      <c r="C1010" s="129">
        <v>3</v>
      </c>
      <c r="D1010" s="129"/>
      <c r="E1010" s="129" t="s">
        <v>2632</v>
      </c>
      <c r="F1010" s="129" t="s">
        <v>3458</v>
      </c>
      <c r="G1010" s="129" t="s">
        <v>3459</v>
      </c>
      <c r="H1010" s="129" t="s">
        <v>2331</v>
      </c>
      <c r="I1010" s="129" t="str">
        <f>VLOOKUP(F1010,'#对话模型配置'!A:O,15,FALSE)</f>
        <v>newbie_oversea_clovis</v>
      </c>
      <c r="J1010" s="129" t="s">
        <v>3473</v>
      </c>
      <c r="K1010" s="135" t="s">
        <v>3474</v>
      </c>
      <c r="L1010" s="129">
        <v>110004</v>
      </c>
      <c r="M1010" s="129" t="s">
        <v>3289</v>
      </c>
      <c r="N1010" s="129"/>
      <c r="O1010" s="134" t="s">
        <v>3280</v>
      </c>
      <c r="P1010" s="134"/>
      <c r="Q1010" s="134"/>
      <c r="R1010" s="134"/>
      <c r="S1010" s="134"/>
      <c r="U1010" s="20">
        <v>2</v>
      </c>
      <c r="V1010" s="20">
        <v>0</v>
      </c>
      <c r="Y1010" s="71" t="b">
        <v>0</v>
      </c>
      <c r="AA1010" s="20" t="b">
        <v>1</v>
      </c>
      <c r="AE1010" s="20">
        <f t="shared" ref="AE1010:AE1073" si="94">IF(LEN(K1010)/5&lt;5,5,ROUND(LEN(K1010)/4.5,0))</f>
        <v>13</v>
      </c>
      <c r="AH1010" s="61">
        <v>0.1</v>
      </c>
      <c r="AI1010" s="61">
        <v>1</v>
      </c>
      <c r="AJ1010" s="20">
        <v>2</v>
      </c>
      <c r="AL1010" s="108">
        <v>35</v>
      </c>
    </row>
    <row r="1011" spans="1:45">
      <c r="A1011" s="129" t="s">
        <v>3468</v>
      </c>
      <c r="B1011" s="129"/>
      <c r="C1011" s="129">
        <v>4</v>
      </c>
      <c r="D1011" s="129"/>
      <c r="E1011" s="129" t="s">
        <v>2632</v>
      </c>
      <c r="F1011" s="129" t="s">
        <v>2637</v>
      </c>
      <c r="G1011" s="129" t="s">
        <v>2335</v>
      </c>
      <c r="H1011" s="129" t="s">
        <v>2331</v>
      </c>
      <c r="I1011" s="129" t="str">
        <f>VLOOKUP(F1011,'#对话模型配置'!A:O,15,FALSE)</f>
        <v>newbie_oversea_andrea</v>
      </c>
      <c r="J1011" s="129" t="s">
        <v>3475</v>
      </c>
      <c r="K1011" s="135" t="s">
        <v>3476</v>
      </c>
      <c r="L1011" s="129">
        <v>110003</v>
      </c>
      <c r="M1011" s="129" t="s">
        <v>3289</v>
      </c>
      <c r="N1011" s="129"/>
      <c r="O1011" s="134" t="s">
        <v>3286</v>
      </c>
      <c r="P1011" s="134"/>
      <c r="Q1011" s="134"/>
      <c r="R1011" s="134"/>
      <c r="S1011" s="134"/>
      <c r="U1011" s="20">
        <v>2</v>
      </c>
      <c r="V1011" s="20">
        <v>0</v>
      </c>
      <c r="Y1011" s="71" t="b">
        <v>0</v>
      </c>
      <c r="AA1011" s="20" t="b">
        <v>1</v>
      </c>
      <c r="AE1011" s="20">
        <f t="shared" si="94"/>
        <v>6</v>
      </c>
      <c r="AH1011" s="61">
        <v>0.1</v>
      </c>
      <c r="AI1011" s="61">
        <v>1</v>
      </c>
      <c r="AJ1011" s="20">
        <v>2</v>
      </c>
      <c r="AL1011" s="108">
        <v>35</v>
      </c>
    </row>
    <row r="1012" spans="1:45" ht="26">
      <c r="A1012" s="129" t="s">
        <v>3468</v>
      </c>
      <c r="B1012" s="129"/>
      <c r="C1012" s="129">
        <v>5</v>
      </c>
      <c r="D1012" s="129"/>
      <c r="E1012" s="129" t="s">
        <v>2632</v>
      </c>
      <c r="F1012" s="129" t="s">
        <v>3458</v>
      </c>
      <c r="G1012" s="129" t="s">
        <v>3459</v>
      </c>
      <c r="H1012" s="129" t="s">
        <v>2331</v>
      </c>
      <c r="I1012" s="129" t="str">
        <f>VLOOKUP(F1012,'#对话模型配置'!A:O,15,FALSE)</f>
        <v>newbie_oversea_clovis</v>
      </c>
      <c r="J1012" s="129" t="s">
        <v>3477</v>
      </c>
      <c r="K1012" s="135" t="s">
        <v>3478</v>
      </c>
      <c r="L1012" s="129">
        <v>110004</v>
      </c>
      <c r="M1012" s="129" t="s">
        <v>3289</v>
      </c>
      <c r="N1012" s="129"/>
      <c r="O1012" s="134" t="s">
        <v>3280</v>
      </c>
      <c r="P1012" s="134"/>
      <c r="Q1012" s="134"/>
      <c r="R1012" s="134"/>
      <c r="S1012" s="134"/>
      <c r="U1012" s="20">
        <v>2</v>
      </c>
      <c r="V1012" s="20">
        <v>0</v>
      </c>
      <c r="Y1012" s="71" t="b">
        <v>0</v>
      </c>
      <c r="AA1012" s="20" t="b">
        <v>1</v>
      </c>
      <c r="AE1012" s="20">
        <f t="shared" si="94"/>
        <v>12</v>
      </c>
      <c r="AH1012" s="61">
        <v>0.1</v>
      </c>
      <c r="AI1012" s="61">
        <v>1</v>
      </c>
      <c r="AJ1012" s="20">
        <v>2</v>
      </c>
      <c r="AL1012" s="108">
        <v>35</v>
      </c>
    </row>
    <row r="1013" spans="1:45" ht="26">
      <c r="A1013" s="129" t="s">
        <v>3468</v>
      </c>
      <c r="B1013" s="129"/>
      <c r="C1013" s="129">
        <v>6</v>
      </c>
      <c r="D1013" s="129"/>
      <c r="E1013" s="129" t="s">
        <v>2632</v>
      </c>
      <c r="F1013" s="129" t="s">
        <v>3458</v>
      </c>
      <c r="G1013" s="129" t="s">
        <v>3459</v>
      </c>
      <c r="H1013" s="129" t="s">
        <v>2331</v>
      </c>
      <c r="I1013" s="129" t="str">
        <f>VLOOKUP(F1013,'#对话模型配置'!A:O,15,FALSE)</f>
        <v>newbie_oversea_clovis</v>
      </c>
      <c r="J1013" s="129" t="s">
        <v>3479</v>
      </c>
      <c r="K1013" s="135" t="s">
        <v>3480</v>
      </c>
      <c r="L1013" s="129">
        <v>110004</v>
      </c>
      <c r="M1013" s="129" t="s">
        <v>3289</v>
      </c>
      <c r="N1013" s="129"/>
      <c r="O1013" s="134" t="s">
        <v>3280</v>
      </c>
      <c r="P1013" s="134"/>
      <c r="Q1013" s="134"/>
      <c r="R1013" s="134"/>
      <c r="S1013" s="134"/>
      <c r="U1013" s="20">
        <v>2</v>
      </c>
      <c r="V1013" s="20">
        <v>0</v>
      </c>
      <c r="Y1013" s="71" t="b">
        <v>0</v>
      </c>
      <c r="AA1013" s="20" t="b">
        <v>1</v>
      </c>
      <c r="AE1013" s="20">
        <f t="shared" si="94"/>
        <v>13</v>
      </c>
      <c r="AH1013" s="61">
        <v>0.1</v>
      </c>
      <c r="AI1013" s="61">
        <v>1</v>
      </c>
      <c r="AJ1013" s="20">
        <v>2</v>
      </c>
      <c r="AL1013" s="108">
        <v>35</v>
      </c>
    </row>
    <row r="1014" spans="1:45">
      <c r="A1014" s="129" t="s">
        <v>3468</v>
      </c>
      <c r="B1014" s="129"/>
      <c r="C1014" s="129">
        <v>7</v>
      </c>
      <c r="D1014" s="129"/>
      <c r="E1014" s="129" t="s">
        <v>2632</v>
      </c>
      <c r="F1014" s="129" t="s">
        <v>2637</v>
      </c>
      <c r="G1014" s="129" t="s">
        <v>2335</v>
      </c>
      <c r="H1014" s="129" t="s">
        <v>2331</v>
      </c>
      <c r="I1014" s="129" t="str">
        <f>VLOOKUP(F1014,'#对话模型配置'!A:O,15,FALSE)</f>
        <v>newbie_oversea_andrea</v>
      </c>
      <c r="J1014" s="129" t="s">
        <v>3481</v>
      </c>
      <c r="K1014" s="135" t="s">
        <v>3482</v>
      </c>
      <c r="L1014" s="129">
        <v>110003</v>
      </c>
      <c r="M1014" s="129" t="s">
        <v>3289</v>
      </c>
      <c r="N1014" s="129"/>
      <c r="O1014" s="134" t="s">
        <v>3286</v>
      </c>
      <c r="P1014" s="134"/>
      <c r="Q1014" s="134"/>
      <c r="R1014" s="134"/>
      <c r="S1014" s="134"/>
      <c r="U1014" s="20">
        <v>2</v>
      </c>
      <c r="V1014" s="20">
        <v>0</v>
      </c>
      <c r="Y1014" s="71" t="b">
        <v>0</v>
      </c>
      <c r="AA1014" s="20" t="b">
        <v>1</v>
      </c>
      <c r="AE1014" s="20">
        <f t="shared" si="94"/>
        <v>7</v>
      </c>
      <c r="AH1014" s="61">
        <v>0.1</v>
      </c>
      <c r="AI1014" s="61">
        <v>1</v>
      </c>
      <c r="AJ1014" s="20">
        <v>2</v>
      </c>
      <c r="AL1014" s="108">
        <v>35</v>
      </c>
    </row>
    <row r="1015" spans="1:45">
      <c r="A1015" s="76" t="s">
        <v>3483</v>
      </c>
      <c r="B1015" s="76"/>
      <c r="C1015" s="76">
        <v>1</v>
      </c>
      <c r="D1015" s="76"/>
      <c r="E1015" s="76" t="s">
        <v>2632</v>
      </c>
      <c r="F1015" s="76" t="s">
        <v>3458</v>
      </c>
      <c r="G1015" s="76" t="s">
        <v>3459</v>
      </c>
      <c r="H1015" s="76" t="s">
        <v>2331</v>
      </c>
      <c r="I1015" s="76" t="str">
        <f>VLOOKUP(F1015,'#对话模型配置'!A:O,15,FALSE)</f>
        <v>newbie_oversea_clovis</v>
      </c>
      <c r="J1015" s="76" t="s">
        <v>3484</v>
      </c>
      <c r="K1015" s="136" t="s">
        <v>3485</v>
      </c>
      <c r="L1015" s="76">
        <v>110004</v>
      </c>
      <c r="M1015" s="76" t="s">
        <v>3289</v>
      </c>
      <c r="N1015" s="76"/>
      <c r="O1015" s="132" t="s">
        <v>3323</v>
      </c>
      <c r="P1015" s="132"/>
      <c r="Q1015" s="132"/>
      <c r="R1015" s="132" t="s">
        <v>3318</v>
      </c>
      <c r="S1015" s="132"/>
      <c r="U1015" s="20">
        <v>2</v>
      </c>
      <c r="V1015" s="20">
        <v>0</v>
      </c>
      <c r="Y1015" s="71" t="b">
        <v>0</v>
      </c>
      <c r="AA1015" s="20" t="b">
        <v>1</v>
      </c>
      <c r="AE1015" s="20">
        <f t="shared" si="94"/>
        <v>5</v>
      </c>
      <c r="AH1015" s="61">
        <v>0.1</v>
      </c>
      <c r="AI1015" s="61">
        <v>1</v>
      </c>
      <c r="AJ1015" s="20">
        <v>2</v>
      </c>
      <c r="AL1015" s="108">
        <v>35</v>
      </c>
      <c r="AS1015" s="20" t="s">
        <v>3366</v>
      </c>
    </row>
    <row r="1016" spans="1:45" ht="26">
      <c r="A1016" s="76" t="s">
        <v>3483</v>
      </c>
      <c r="B1016" s="76"/>
      <c r="C1016" s="76">
        <v>2</v>
      </c>
      <c r="D1016" s="76"/>
      <c r="E1016" s="76" t="s">
        <v>2632</v>
      </c>
      <c r="F1016" s="76" t="s">
        <v>2633</v>
      </c>
      <c r="G1016" s="76" t="s">
        <v>2330</v>
      </c>
      <c r="H1016" s="76" t="s">
        <v>2331</v>
      </c>
      <c r="I1016" s="76" t="str">
        <f>VLOOKUP(F1016,'#对话模型配置'!A:O,15,FALSE)</f>
        <v>newbie_oversea_axe</v>
      </c>
      <c r="J1016" s="76" t="s">
        <v>3486</v>
      </c>
      <c r="K1016" s="136" t="s">
        <v>3487</v>
      </c>
      <c r="L1016" s="76">
        <v>110008</v>
      </c>
      <c r="M1016" s="76" t="s">
        <v>3289</v>
      </c>
      <c r="N1016" s="76"/>
      <c r="O1016" s="132" t="s">
        <v>3326</v>
      </c>
      <c r="P1016" s="132"/>
      <c r="Q1016" s="132"/>
      <c r="R1016" s="132"/>
      <c r="S1016" s="132"/>
      <c r="U1016" s="20">
        <v>2</v>
      </c>
      <c r="V1016" s="20">
        <v>0</v>
      </c>
      <c r="Y1016" s="71" t="b">
        <v>0</v>
      </c>
      <c r="AA1016" s="20" t="b">
        <v>1</v>
      </c>
      <c r="AE1016" s="20">
        <f t="shared" si="94"/>
        <v>10</v>
      </c>
      <c r="AH1016" s="61">
        <v>0.1</v>
      </c>
      <c r="AI1016" s="61">
        <v>1</v>
      </c>
      <c r="AJ1016" s="20">
        <v>2</v>
      </c>
      <c r="AL1016" s="108">
        <v>35</v>
      </c>
    </row>
    <row r="1017" spans="1:45" ht="26">
      <c r="A1017" s="76" t="s">
        <v>3483</v>
      </c>
      <c r="B1017" s="76"/>
      <c r="C1017" s="76">
        <v>3</v>
      </c>
      <c r="D1017" s="76"/>
      <c r="E1017" s="76" t="s">
        <v>2632</v>
      </c>
      <c r="F1017" s="76" t="s">
        <v>2633</v>
      </c>
      <c r="G1017" s="76" t="s">
        <v>2330</v>
      </c>
      <c r="H1017" s="76" t="s">
        <v>2331</v>
      </c>
      <c r="I1017" s="76" t="str">
        <f>VLOOKUP(F1017,'#对话模型配置'!A:O,15,FALSE)</f>
        <v>newbie_oversea_axe</v>
      </c>
      <c r="J1017" s="76" t="s">
        <v>3488</v>
      </c>
      <c r="K1017" s="136" t="s">
        <v>3489</v>
      </c>
      <c r="L1017" s="76">
        <v>110008</v>
      </c>
      <c r="M1017" s="76" t="s">
        <v>3289</v>
      </c>
      <c r="N1017" s="76"/>
      <c r="O1017" s="132" t="s">
        <v>3326</v>
      </c>
      <c r="P1017" s="132"/>
      <c r="Q1017" s="132"/>
      <c r="R1017" s="132"/>
      <c r="S1017" s="132"/>
      <c r="U1017" s="20">
        <v>2</v>
      </c>
      <c r="V1017" s="20">
        <v>0</v>
      </c>
      <c r="Y1017" s="71" t="b">
        <v>0</v>
      </c>
      <c r="AA1017" s="20" t="b">
        <v>1</v>
      </c>
      <c r="AE1017" s="20">
        <f t="shared" si="94"/>
        <v>10</v>
      </c>
      <c r="AH1017" s="61">
        <v>0.1</v>
      </c>
      <c r="AI1017" s="61">
        <v>1</v>
      </c>
      <c r="AJ1017" s="20">
        <v>2</v>
      </c>
      <c r="AL1017" s="108">
        <v>35</v>
      </c>
    </row>
    <row r="1018" spans="1:45" ht="26">
      <c r="A1018" s="76" t="s">
        <v>3483</v>
      </c>
      <c r="B1018" s="76"/>
      <c r="C1018" s="76">
        <v>4</v>
      </c>
      <c r="D1018" s="76"/>
      <c r="E1018" s="76" t="s">
        <v>2632</v>
      </c>
      <c r="F1018" s="76" t="s">
        <v>3458</v>
      </c>
      <c r="G1018" s="76" t="s">
        <v>3459</v>
      </c>
      <c r="H1018" s="76" t="s">
        <v>2331</v>
      </c>
      <c r="I1018" s="76" t="str">
        <f>VLOOKUP(F1018,'#对话模型配置'!A:O,15,FALSE)</f>
        <v>newbie_oversea_clovis</v>
      </c>
      <c r="J1018" s="76" t="s">
        <v>3490</v>
      </c>
      <c r="K1018" s="136" t="s">
        <v>3491</v>
      </c>
      <c r="L1018" s="76">
        <v>110004</v>
      </c>
      <c r="M1018" s="76" t="s">
        <v>3289</v>
      </c>
      <c r="N1018" s="76"/>
      <c r="O1018" s="132" t="s">
        <v>3323</v>
      </c>
      <c r="P1018" s="132"/>
      <c r="Q1018" s="132"/>
      <c r="R1018" s="132"/>
      <c r="S1018" s="132"/>
      <c r="U1018" s="20">
        <v>2</v>
      </c>
      <c r="V1018" s="20">
        <v>0</v>
      </c>
      <c r="Y1018" s="71" t="b">
        <v>0</v>
      </c>
      <c r="AA1018" s="20" t="b">
        <v>1</v>
      </c>
      <c r="AE1018" s="20">
        <f t="shared" si="94"/>
        <v>12</v>
      </c>
      <c r="AH1018" s="61">
        <v>0.1</v>
      </c>
      <c r="AI1018" s="61">
        <v>1</v>
      </c>
      <c r="AJ1018" s="20">
        <v>2</v>
      </c>
      <c r="AL1018" s="108">
        <v>35</v>
      </c>
    </row>
    <row r="1019" spans="1:45">
      <c r="A1019" s="76" t="s">
        <v>3483</v>
      </c>
      <c r="B1019" s="76"/>
      <c r="C1019" s="76">
        <v>5</v>
      </c>
      <c r="D1019" s="76"/>
      <c r="E1019" s="76" t="s">
        <v>2632</v>
      </c>
      <c r="F1019" s="76" t="s">
        <v>2637</v>
      </c>
      <c r="G1019" s="76" t="s">
        <v>2335</v>
      </c>
      <c r="H1019" s="76" t="s">
        <v>2331</v>
      </c>
      <c r="I1019" s="76" t="str">
        <f>VLOOKUP(F1019,'#对话模型配置'!A:O,15,FALSE)</f>
        <v>newbie_oversea_andrea</v>
      </c>
      <c r="J1019" s="76" t="s">
        <v>3492</v>
      </c>
      <c r="K1019" s="136" t="s">
        <v>3493</v>
      </c>
      <c r="L1019" s="76">
        <v>110003</v>
      </c>
      <c r="M1019" s="76" t="s">
        <v>3289</v>
      </c>
      <c r="N1019" s="76"/>
      <c r="O1019" s="132" t="s">
        <v>3329</v>
      </c>
      <c r="P1019" s="132"/>
      <c r="Q1019" s="132"/>
      <c r="R1019" s="132"/>
      <c r="S1019" s="132"/>
      <c r="U1019" s="20">
        <v>2</v>
      </c>
      <c r="V1019" s="20">
        <v>0</v>
      </c>
      <c r="Y1019" s="71" t="b">
        <v>0</v>
      </c>
      <c r="AA1019" s="20" t="b">
        <v>1</v>
      </c>
      <c r="AE1019" s="20">
        <f t="shared" si="94"/>
        <v>5</v>
      </c>
      <c r="AH1019" s="61">
        <v>0.1</v>
      </c>
      <c r="AI1019" s="61">
        <v>1</v>
      </c>
      <c r="AJ1019" s="20">
        <v>2</v>
      </c>
      <c r="AL1019" s="108">
        <v>35</v>
      </c>
    </row>
    <row r="1020" spans="1:45">
      <c r="A1020" s="76" t="s">
        <v>3483</v>
      </c>
      <c r="B1020" s="76"/>
      <c r="C1020" s="76">
        <v>6</v>
      </c>
      <c r="D1020" s="76"/>
      <c r="E1020" s="76" t="s">
        <v>2632</v>
      </c>
      <c r="F1020" s="76" t="s">
        <v>3458</v>
      </c>
      <c r="G1020" s="76" t="s">
        <v>3459</v>
      </c>
      <c r="H1020" s="76" t="s">
        <v>2331</v>
      </c>
      <c r="I1020" s="76" t="str">
        <f>VLOOKUP(F1020,'#对话模型配置'!A:O,15,FALSE)</f>
        <v>newbie_oversea_clovis</v>
      </c>
      <c r="J1020" s="76" t="s">
        <v>3494</v>
      </c>
      <c r="K1020" s="136" t="s">
        <v>3495</v>
      </c>
      <c r="L1020" s="76">
        <v>110004</v>
      </c>
      <c r="M1020" s="76" t="s">
        <v>3289</v>
      </c>
      <c r="N1020" s="76"/>
      <c r="O1020" s="132" t="s">
        <v>3323</v>
      </c>
      <c r="P1020" s="132"/>
      <c r="Q1020" s="132"/>
      <c r="R1020" s="132"/>
      <c r="S1020" s="132"/>
      <c r="U1020" s="20">
        <v>2</v>
      </c>
      <c r="V1020" s="20">
        <v>0</v>
      </c>
      <c r="Y1020" s="71" t="b">
        <v>0</v>
      </c>
      <c r="AA1020" s="20" t="b">
        <v>1</v>
      </c>
      <c r="AE1020" s="20">
        <f t="shared" si="94"/>
        <v>7</v>
      </c>
      <c r="AH1020" s="61">
        <v>0.1</v>
      </c>
      <c r="AI1020" s="61">
        <v>1</v>
      </c>
      <c r="AJ1020" s="20">
        <v>2</v>
      </c>
      <c r="AL1020" s="108">
        <v>35</v>
      </c>
    </row>
    <row r="1021" spans="1:45" ht="26">
      <c r="A1021" s="129" t="s">
        <v>3496</v>
      </c>
      <c r="B1021" s="129"/>
      <c r="C1021" s="129">
        <v>1</v>
      </c>
      <c r="D1021" s="129"/>
      <c r="E1021" s="129" t="s">
        <v>2632</v>
      </c>
      <c r="F1021" s="129" t="s">
        <v>3458</v>
      </c>
      <c r="G1021" s="129" t="s">
        <v>3459</v>
      </c>
      <c r="H1021" s="129" t="s">
        <v>2331</v>
      </c>
      <c r="I1021" s="129" t="str">
        <f>VLOOKUP(F1021,'#对话模型配置'!A:O,15,FALSE)</f>
        <v>newbie_oversea_clovis</v>
      </c>
      <c r="J1021" s="129" t="s">
        <v>3497</v>
      </c>
      <c r="K1021" s="135" t="s">
        <v>3498</v>
      </c>
      <c r="L1021" s="129">
        <v>110004</v>
      </c>
      <c r="M1021" s="129" t="s">
        <v>3289</v>
      </c>
      <c r="N1021" s="129"/>
      <c r="O1021" s="134" t="s">
        <v>3499</v>
      </c>
      <c r="P1021" s="134"/>
      <c r="Q1021" s="134"/>
      <c r="R1021" s="134" t="s">
        <v>3500</v>
      </c>
      <c r="S1021" s="134"/>
      <c r="U1021" s="20">
        <v>2</v>
      </c>
      <c r="V1021" s="20">
        <v>0</v>
      </c>
      <c r="Y1021" s="71" t="b">
        <v>0</v>
      </c>
      <c r="AA1021" s="20" t="b">
        <v>1</v>
      </c>
      <c r="AE1021" s="20">
        <f t="shared" si="94"/>
        <v>13</v>
      </c>
      <c r="AH1021" s="61">
        <v>0.1</v>
      </c>
      <c r="AI1021" s="61">
        <v>1</v>
      </c>
      <c r="AJ1021" s="20">
        <v>2</v>
      </c>
      <c r="AL1021" s="108">
        <v>35</v>
      </c>
      <c r="AS1021" s="20" t="s">
        <v>3366</v>
      </c>
    </row>
    <row r="1022" spans="1:45" ht="26">
      <c r="A1022" s="129" t="s">
        <v>3496</v>
      </c>
      <c r="B1022" s="129"/>
      <c r="C1022" s="129">
        <v>2</v>
      </c>
      <c r="D1022" s="129"/>
      <c r="E1022" s="129" t="s">
        <v>2632</v>
      </c>
      <c r="F1022" s="129" t="s">
        <v>2637</v>
      </c>
      <c r="G1022" s="129" t="s">
        <v>2335</v>
      </c>
      <c r="H1022" s="129" t="s">
        <v>2331</v>
      </c>
      <c r="I1022" s="129" t="str">
        <f>VLOOKUP(F1022,'#对话模型配置'!A:O,15,FALSE)</f>
        <v>newbie_oversea_andrea</v>
      </c>
      <c r="J1022" s="129" t="s">
        <v>3501</v>
      </c>
      <c r="K1022" s="135" t="s">
        <v>3502</v>
      </c>
      <c r="L1022" s="129">
        <v>110003</v>
      </c>
      <c r="M1022" s="129" t="s">
        <v>3289</v>
      </c>
      <c r="N1022" s="129"/>
      <c r="O1022" s="134" t="s">
        <v>3503</v>
      </c>
      <c r="P1022" s="134"/>
      <c r="Q1022" s="134"/>
      <c r="R1022" s="134"/>
      <c r="S1022" s="134"/>
      <c r="U1022" s="20">
        <v>2</v>
      </c>
      <c r="V1022" s="20">
        <v>0</v>
      </c>
      <c r="Y1022" s="71" t="b">
        <v>0</v>
      </c>
      <c r="AA1022" s="20" t="b">
        <v>1</v>
      </c>
      <c r="AE1022" s="20">
        <f t="shared" si="94"/>
        <v>12</v>
      </c>
      <c r="AH1022" s="61">
        <v>0.1</v>
      </c>
      <c r="AI1022" s="61">
        <v>1</v>
      </c>
      <c r="AJ1022" s="20">
        <v>2</v>
      </c>
      <c r="AL1022" s="108">
        <v>35</v>
      </c>
    </row>
    <row r="1023" spans="1:45">
      <c r="A1023" s="129" t="s">
        <v>3496</v>
      </c>
      <c r="B1023" s="129"/>
      <c r="C1023" s="129">
        <v>3</v>
      </c>
      <c r="D1023" s="129"/>
      <c r="E1023" s="129" t="s">
        <v>2632</v>
      </c>
      <c r="F1023" s="129" t="s">
        <v>3458</v>
      </c>
      <c r="G1023" s="129" t="s">
        <v>3459</v>
      </c>
      <c r="H1023" s="129" t="s">
        <v>2331</v>
      </c>
      <c r="I1023" s="129" t="str">
        <f>VLOOKUP(F1023,'#对话模型配置'!A:O,15,FALSE)</f>
        <v>newbie_oversea_clovis</v>
      </c>
      <c r="J1023" s="129" t="s">
        <v>3504</v>
      </c>
      <c r="K1023" s="135" t="s">
        <v>3505</v>
      </c>
      <c r="L1023" s="129">
        <v>110004</v>
      </c>
      <c r="M1023" s="129" t="s">
        <v>3289</v>
      </c>
      <c r="N1023" s="129"/>
      <c r="O1023" s="134" t="s">
        <v>3499</v>
      </c>
      <c r="P1023" s="134"/>
      <c r="Q1023" s="134"/>
      <c r="R1023" s="134"/>
      <c r="S1023" s="134"/>
      <c r="U1023" s="20">
        <v>2</v>
      </c>
      <c r="V1023" s="20">
        <v>0</v>
      </c>
      <c r="Y1023" s="71" t="b">
        <v>0</v>
      </c>
      <c r="AA1023" s="20" t="b">
        <v>1</v>
      </c>
      <c r="AE1023" s="20">
        <f t="shared" si="94"/>
        <v>5</v>
      </c>
      <c r="AH1023" s="61">
        <v>0.1</v>
      </c>
      <c r="AI1023" s="61">
        <v>1</v>
      </c>
      <c r="AJ1023" s="20">
        <v>2</v>
      </c>
      <c r="AL1023" s="108">
        <v>35</v>
      </c>
    </row>
    <row r="1024" spans="1:45" ht="26">
      <c r="A1024" s="129" t="s">
        <v>3496</v>
      </c>
      <c r="B1024" s="129"/>
      <c r="C1024" s="129">
        <v>4</v>
      </c>
      <c r="D1024" s="129"/>
      <c r="E1024" s="129" t="s">
        <v>2632</v>
      </c>
      <c r="F1024" s="129" t="s">
        <v>2637</v>
      </c>
      <c r="G1024" s="129" t="s">
        <v>2335</v>
      </c>
      <c r="H1024" s="129" t="s">
        <v>2331</v>
      </c>
      <c r="I1024" s="129" t="str">
        <f>VLOOKUP(F1024,'#对话模型配置'!A:O,15,FALSE)</f>
        <v>newbie_oversea_andrea</v>
      </c>
      <c r="J1024" s="129" t="s">
        <v>3506</v>
      </c>
      <c r="K1024" s="135" t="s">
        <v>3507</v>
      </c>
      <c r="L1024" s="129">
        <v>110003</v>
      </c>
      <c r="M1024" s="129" t="s">
        <v>3289</v>
      </c>
      <c r="N1024" s="129"/>
      <c r="O1024" s="134" t="s">
        <v>3503</v>
      </c>
      <c r="P1024" s="134"/>
      <c r="Q1024" s="134"/>
      <c r="R1024" s="134"/>
      <c r="S1024" s="134"/>
      <c r="U1024" s="20">
        <v>2</v>
      </c>
      <c r="V1024" s="20">
        <v>0</v>
      </c>
      <c r="Y1024" s="71" t="b">
        <v>0</v>
      </c>
      <c r="AA1024" s="20" t="b">
        <v>1</v>
      </c>
      <c r="AE1024" s="20">
        <f t="shared" si="94"/>
        <v>12</v>
      </c>
      <c r="AH1024" s="61">
        <v>0.1</v>
      </c>
      <c r="AI1024" s="61">
        <v>1</v>
      </c>
      <c r="AJ1024" s="20">
        <v>2</v>
      </c>
      <c r="AL1024" s="108">
        <v>35</v>
      </c>
    </row>
    <row r="1025" spans="1:45" ht="26">
      <c r="A1025" s="76" t="s">
        <v>3508</v>
      </c>
      <c r="B1025" s="76"/>
      <c r="C1025" s="76">
        <v>1</v>
      </c>
      <c r="D1025" s="76"/>
      <c r="E1025" s="76" t="s">
        <v>2632</v>
      </c>
      <c r="F1025" s="76" t="s">
        <v>3458</v>
      </c>
      <c r="G1025" s="76" t="s">
        <v>3459</v>
      </c>
      <c r="H1025" s="76" t="s">
        <v>2331</v>
      </c>
      <c r="I1025" s="76" t="str">
        <f>VLOOKUP(F1025,'#对话模型配置'!A:O,15,FALSE)</f>
        <v>newbie_oversea_clovis</v>
      </c>
      <c r="J1025" s="76" t="s">
        <v>3509</v>
      </c>
      <c r="K1025" s="136" t="s">
        <v>3510</v>
      </c>
      <c r="L1025" s="76">
        <v>110004</v>
      </c>
      <c r="M1025" s="76" t="s">
        <v>3289</v>
      </c>
      <c r="N1025" s="76"/>
      <c r="O1025" s="132" t="s">
        <v>3511</v>
      </c>
      <c r="P1025" s="132"/>
      <c r="Q1025" s="132"/>
      <c r="R1025" s="132" t="s">
        <v>3512</v>
      </c>
      <c r="S1025" s="132"/>
      <c r="U1025" s="20">
        <v>2</v>
      </c>
      <c r="V1025" s="20">
        <v>0</v>
      </c>
      <c r="Y1025" s="71" t="b">
        <v>0</v>
      </c>
      <c r="AA1025" s="20" t="b">
        <v>1</v>
      </c>
      <c r="AE1025" s="20">
        <f t="shared" si="94"/>
        <v>11</v>
      </c>
      <c r="AH1025" s="61">
        <v>0.1</v>
      </c>
      <c r="AI1025" s="61">
        <v>1</v>
      </c>
      <c r="AJ1025" s="20">
        <v>2</v>
      </c>
      <c r="AL1025" s="108">
        <v>35</v>
      </c>
      <c r="AS1025" s="20" t="s">
        <v>3300</v>
      </c>
    </row>
    <row r="1026" spans="1:45" ht="26">
      <c r="A1026" s="76" t="s">
        <v>3508</v>
      </c>
      <c r="B1026" s="76"/>
      <c r="C1026" s="76">
        <v>2</v>
      </c>
      <c r="D1026" s="76"/>
      <c r="E1026" s="76" t="s">
        <v>2632</v>
      </c>
      <c r="F1026" s="76" t="s">
        <v>2637</v>
      </c>
      <c r="G1026" s="76" t="s">
        <v>2335</v>
      </c>
      <c r="H1026" s="76" t="s">
        <v>2331</v>
      </c>
      <c r="I1026" s="76" t="str">
        <f>VLOOKUP(F1026,'#对话模型配置'!A:O,15,FALSE)</f>
        <v>newbie_oversea_andrea</v>
      </c>
      <c r="J1026" s="76" t="s">
        <v>3513</v>
      </c>
      <c r="K1026" s="136" t="s">
        <v>3514</v>
      </c>
      <c r="L1026" s="76">
        <v>110003</v>
      </c>
      <c r="M1026" s="76" t="s">
        <v>3285</v>
      </c>
      <c r="N1026" s="76"/>
      <c r="O1026" s="132" t="s">
        <v>3515</v>
      </c>
      <c r="P1026" s="132"/>
      <c r="Q1026" s="132"/>
      <c r="R1026" s="132"/>
      <c r="S1026" s="132"/>
      <c r="U1026" s="20">
        <v>2</v>
      </c>
      <c r="V1026" s="20">
        <v>0</v>
      </c>
      <c r="Y1026" s="71" t="b">
        <v>0</v>
      </c>
      <c r="AA1026" s="20" t="b">
        <v>1</v>
      </c>
      <c r="AE1026" s="20">
        <f t="shared" si="94"/>
        <v>12</v>
      </c>
      <c r="AH1026" s="61">
        <v>0.1</v>
      </c>
      <c r="AI1026" s="61">
        <v>1</v>
      </c>
      <c r="AJ1026" s="20">
        <v>2</v>
      </c>
      <c r="AL1026" s="108">
        <v>35</v>
      </c>
    </row>
    <row r="1027" spans="1:45" ht="26">
      <c r="A1027" s="76" t="s">
        <v>3508</v>
      </c>
      <c r="B1027" s="76"/>
      <c r="C1027" s="76">
        <v>3</v>
      </c>
      <c r="D1027" s="76"/>
      <c r="E1027" s="76" t="s">
        <v>2632</v>
      </c>
      <c r="F1027" s="76" t="s">
        <v>3458</v>
      </c>
      <c r="G1027" s="76" t="s">
        <v>3459</v>
      </c>
      <c r="H1027" s="76" t="s">
        <v>2331</v>
      </c>
      <c r="I1027" s="76" t="str">
        <f>VLOOKUP(F1027,'#对话模型配置'!A:O,15,FALSE)</f>
        <v>newbie_oversea_clovis</v>
      </c>
      <c r="J1027" s="76" t="s">
        <v>3516</v>
      </c>
      <c r="K1027" s="136" t="s">
        <v>3517</v>
      </c>
      <c r="L1027" s="76">
        <v>110004</v>
      </c>
      <c r="M1027" s="76" t="s">
        <v>3289</v>
      </c>
      <c r="N1027" s="76"/>
      <c r="O1027" s="132" t="s">
        <v>3511</v>
      </c>
      <c r="P1027" s="132"/>
      <c r="Q1027" s="132"/>
      <c r="R1027" s="132"/>
      <c r="S1027" s="132"/>
      <c r="U1027" s="20">
        <v>2</v>
      </c>
      <c r="V1027" s="20">
        <v>0</v>
      </c>
      <c r="Y1027" s="71" t="b">
        <v>0</v>
      </c>
      <c r="AA1027" s="20" t="b">
        <v>1</v>
      </c>
      <c r="AE1027" s="20">
        <f t="shared" si="94"/>
        <v>13</v>
      </c>
      <c r="AH1027" s="61">
        <v>0.1</v>
      </c>
      <c r="AI1027" s="61">
        <v>1</v>
      </c>
      <c r="AJ1027" s="20">
        <v>2</v>
      </c>
      <c r="AL1027" s="108">
        <v>35</v>
      </c>
    </row>
    <row r="1028" spans="1:45" ht="26">
      <c r="A1028" s="76" t="s">
        <v>3508</v>
      </c>
      <c r="B1028" s="76"/>
      <c r="C1028" s="76">
        <v>4</v>
      </c>
      <c r="D1028" s="76"/>
      <c r="E1028" s="76" t="s">
        <v>2632</v>
      </c>
      <c r="F1028" s="76" t="s">
        <v>2637</v>
      </c>
      <c r="G1028" s="76" t="s">
        <v>2335</v>
      </c>
      <c r="H1028" s="76" t="s">
        <v>2331</v>
      </c>
      <c r="I1028" s="76" t="str">
        <f>VLOOKUP(F1028,'#对话模型配置'!A:O,15,FALSE)</f>
        <v>newbie_oversea_andrea</v>
      </c>
      <c r="J1028" s="76" t="s">
        <v>3518</v>
      </c>
      <c r="K1028" s="136" t="s">
        <v>3519</v>
      </c>
      <c r="L1028" s="76">
        <v>110003</v>
      </c>
      <c r="M1028" s="76" t="s">
        <v>3289</v>
      </c>
      <c r="N1028" s="76"/>
      <c r="O1028" s="132" t="s">
        <v>3515</v>
      </c>
      <c r="P1028" s="132"/>
      <c r="Q1028" s="132"/>
      <c r="R1028" s="132"/>
      <c r="S1028" s="132"/>
      <c r="U1028" s="20">
        <v>2</v>
      </c>
      <c r="V1028" s="20">
        <v>0</v>
      </c>
      <c r="Y1028" s="71" t="b">
        <v>0</v>
      </c>
      <c r="AA1028" s="20" t="b">
        <v>1</v>
      </c>
      <c r="AE1028" s="20">
        <f t="shared" si="94"/>
        <v>11</v>
      </c>
      <c r="AH1028" s="61">
        <v>0.1</v>
      </c>
      <c r="AI1028" s="61">
        <v>1</v>
      </c>
      <c r="AJ1028" s="20">
        <v>2</v>
      </c>
      <c r="AL1028" s="108">
        <v>35</v>
      </c>
    </row>
    <row r="1029" spans="1:45" ht="26">
      <c r="A1029" s="76" t="s">
        <v>3508</v>
      </c>
      <c r="B1029" s="76"/>
      <c r="C1029" s="76">
        <v>5</v>
      </c>
      <c r="D1029" s="76"/>
      <c r="E1029" s="76" t="s">
        <v>2632</v>
      </c>
      <c r="F1029" s="76" t="s">
        <v>3458</v>
      </c>
      <c r="G1029" s="76" t="s">
        <v>3459</v>
      </c>
      <c r="H1029" s="76" t="s">
        <v>2331</v>
      </c>
      <c r="I1029" s="76" t="str">
        <f>VLOOKUP(F1029,'#对话模型配置'!A:O,15,FALSE)</f>
        <v>newbie_oversea_clovis</v>
      </c>
      <c r="J1029" s="76" t="s">
        <v>3520</v>
      </c>
      <c r="K1029" s="136" t="s">
        <v>3521</v>
      </c>
      <c r="L1029" s="76">
        <v>110004</v>
      </c>
      <c r="M1029" s="76" t="s">
        <v>3289</v>
      </c>
      <c r="N1029" s="76"/>
      <c r="O1029" s="132" t="s">
        <v>3511</v>
      </c>
      <c r="P1029" s="132"/>
      <c r="Q1029" s="132"/>
      <c r="R1029" s="132"/>
      <c r="S1029" s="132"/>
      <c r="U1029" s="20">
        <v>2</v>
      </c>
      <c r="V1029" s="20">
        <v>0</v>
      </c>
      <c r="Y1029" s="71" t="b">
        <v>0</v>
      </c>
      <c r="AA1029" s="20" t="b">
        <v>1</v>
      </c>
      <c r="AE1029" s="20">
        <f t="shared" si="94"/>
        <v>14</v>
      </c>
      <c r="AH1029" s="61">
        <v>0.1</v>
      </c>
      <c r="AI1029" s="61">
        <v>1</v>
      </c>
      <c r="AJ1029" s="20">
        <v>2</v>
      </c>
      <c r="AL1029" s="108">
        <v>35</v>
      </c>
    </row>
    <row r="1030" spans="1:45">
      <c r="A1030" s="129" t="s">
        <v>3522</v>
      </c>
      <c r="B1030" s="129"/>
      <c r="C1030" s="129">
        <v>1</v>
      </c>
      <c r="D1030" s="129"/>
      <c r="E1030" s="129" t="s">
        <v>2632</v>
      </c>
      <c r="F1030" s="129" t="s">
        <v>3357</v>
      </c>
      <c r="G1030" s="129" t="s">
        <v>3358</v>
      </c>
      <c r="H1030" s="129" t="s">
        <v>2331</v>
      </c>
      <c r="I1030" s="129" t="str">
        <f>VLOOKUP(F1030,'#对话模型配置'!A:O,15,FALSE)</f>
        <v>newbie_oversea_caesar</v>
      </c>
      <c r="J1030" s="129" t="s">
        <v>3523</v>
      </c>
      <c r="K1030" s="135" t="s">
        <v>3524</v>
      </c>
      <c r="L1030" s="129">
        <v>110001</v>
      </c>
      <c r="M1030" s="129" t="s">
        <v>3361</v>
      </c>
      <c r="N1030" s="129"/>
      <c r="O1030" s="134" t="s">
        <v>3525</v>
      </c>
      <c r="P1030" s="134"/>
      <c r="Q1030" s="134"/>
      <c r="R1030" s="134" t="s">
        <v>3526</v>
      </c>
      <c r="S1030" s="134"/>
      <c r="U1030" s="20">
        <v>2</v>
      </c>
      <c r="V1030" s="20">
        <v>0</v>
      </c>
      <c r="Y1030" s="71" t="b">
        <v>0</v>
      </c>
      <c r="AA1030" s="20" t="b">
        <v>1</v>
      </c>
      <c r="AE1030" s="20">
        <f t="shared" si="94"/>
        <v>5</v>
      </c>
      <c r="AH1030" s="61">
        <v>0.1</v>
      </c>
      <c r="AI1030" s="61">
        <v>1</v>
      </c>
      <c r="AJ1030" s="20">
        <v>2</v>
      </c>
      <c r="AL1030" s="108">
        <v>35</v>
      </c>
      <c r="AS1030" s="20" t="s">
        <v>3334</v>
      </c>
    </row>
    <row r="1031" spans="1:45" ht="26">
      <c r="A1031" s="129" t="s">
        <v>3522</v>
      </c>
      <c r="B1031" s="129"/>
      <c r="C1031" s="129">
        <v>2</v>
      </c>
      <c r="D1031" s="129"/>
      <c r="E1031" s="129" t="s">
        <v>2632</v>
      </c>
      <c r="F1031" s="129" t="s">
        <v>3458</v>
      </c>
      <c r="G1031" s="129" t="s">
        <v>3459</v>
      </c>
      <c r="H1031" s="129" t="s">
        <v>2331</v>
      </c>
      <c r="I1031" s="129" t="str">
        <f>VLOOKUP(F1031,'#对话模型配置'!A:O,15,FALSE)</f>
        <v>newbie_oversea_clovis</v>
      </c>
      <c r="J1031" s="129" t="s">
        <v>3527</v>
      </c>
      <c r="K1031" s="135" t="s">
        <v>3528</v>
      </c>
      <c r="L1031" s="129">
        <v>110004</v>
      </c>
      <c r="M1031" s="129" t="s">
        <v>3289</v>
      </c>
      <c r="N1031" s="129"/>
      <c r="O1031" s="134" t="s">
        <v>3529</v>
      </c>
      <c r="P1031" s="134"/>
      <c r="Q1031" s="134"/>
      <c r="R1031" s="134"/>
      <c r="S1031" s="134"/>
      <c r="U1031" s="20">
        <v>2</v>
      </c>
      <c r="V1031" s="20">
        <v>0</v>
      </c>
      <c r="Y1031" s="71" t="b">
        <v>0</v>
      </c>
      <c r="AA1031" s="20" t="b">
        <v>1</v>
      </c>
      <c r="AE1031" s="20">
        <f t="shared" si="94"/>
        <v>10</v>
      </c>
      <c r="AH1031" s="61">
        <v>0.1</v>
      </c>
      <c r="AI1031" s="61">
        <v>1</v>
      </c>
      <c r="AJ1031" s="20">
        <v>2</v>
      </c>
      <c r="AL1031" s="108">
        <v>35</v>
      </c>
    </row>
    <row r="1032" spans="1:45" ht="26">
      <c r="A1032" s="129" t="s">
        <v>3522</v>
      </c>
      <c r="B1032" s="129"/>
      <c r="C1032" s="129">
        <v>3</v>
      </c>
      <c r="D1032" s="129"/>
      <c r="E1032" s="129" t="s">
        <v>2632</v>
      </c>
      <c r="F1032" s="129" t="s">
        <v>2637</v>
      </c>
      <c r="G1032" s="129" t="s">
        <v>2335</v>
      </c>
      <c r="H1032" s="129" t="s">
        <v>2331</v>
      </c>
      <c r="I1032" s="129" t="str">
        <f>VLOOKUP(F1032,'#对话模型配置'!A:O,15,FALSE)</f>
        <v>newbie_oversea_andrea</v>
      </c>
      <c r="J1032" s="129" t="s">
        <v>3530</v>
      </c>
      <c r="K1032" s="135" t="s">
        <v>3531</v>
      </c>
      <c r="L1032" s="129">
        <v>110003</v>
      </c>
      <c r="M1032" s="129" t="s">
        <v>3289</v>
      </c>
      <c r="N1032" s="129"/>
      <c r="O1032" s="134" t="s">
        <v>3532</v>
      </c>
      <c r="P1032" s="134"/>
      <c r="Q1032" s="134"/>
      <c r="R1032" s="134"/>
      <c r="S1032" s="134"/>
      <c r="U1032" s="20">
        <v>2</v>
      </c>
      <c r="V1032" s="20">
        <v>0</v>
      </c>
      <c r="Y1032" s="71" t="b">
        <v>0</v>
      </c>
      <c r="AA1032" s="20" t="b">
        <v>1</v>
      </c>
      <c r="AE1032" s="20">
        <f t="shared" si="94"/>
        <v>10</v>
      </c>
      <c r="AH1032" s="61">
        <v>0.1</v>
      </c>
      <c r="AI1032" s="61">
        <v>1</v>
      </c>
      <c r="AJ1032" s="20">
        <v>2</v>
      </c>
      <c r="AL1032" s="108">
        <v>35</v>
      </c>
    </row>
    <row r="1033" spans="1:45" ht="26">
      <c r="A1033" s="129" t="s">
        <v>3522</v>
      </c>
      <c r="B1033" s="129"/>
      <c r="C1033" s="129">
        <v>4</v>
      </c>
      <c r="D1033" s="129"/>
      <c r="E1033" s="129" t="s">
        <v>2632</v>
      </c>
      <c r="F1033" s="129" t="s">
        <v>2633</v>
      </c>
      <c r="G1033" s="129" t="s">
        <v>2330</v>
      </c>
      <c r="H1033" s="129" t="s">
        <v>2331</v>
      </c>
      <c r="I1033" s="129" t="str">
        <f>VLOOKUP(F1033,'#对话模型配置'!A:O,15,FALSE)</f>
        <v>newbie_oversea_axe</v>
      </c>
      <c r="J1033" s="129" t="s">
        <v>3533</v>
      </c>
      <c r="K1033" s="135" t="s">
        <v>3534</v>
      </c>
      <c r="L1033" s="129">
        <v>110008</v>
      </c>
      <c r="M1033" s="129" t="s">
        <v>3279</v>
      </c>
      <c r="N1033" s="129"/>
      <c r="O1033" s="134" t="s">
        <v>3535</v>
      </c>
      <c r="P1033" s="134"/>
      <c r="Q1033" s="134"/>
      <c r="R1033" s="134" t="s">
        <v>3536</v>
      </c>
      <c r="S1033" s="134"/>
      <c r="U1033" s="20">
        <v>2</v>
      </c>
      <c r="V1033" s="20">
        <v>0</v>
      </c>
      <c r="Y1033" s="71" t="b">
        <v>0</v>
      </c>
      <c r="AA1033" s="20" t="b">
        <v>1</v>
      </c>
      <c r="AE1033" s="20">
        <f t="shared" si="94"/>
        <v>14</v>
      </c>
      <c r="AH1033" s="61">
        <v>0.1</v>
      </c>
      <c r="AI1033" s="61">
        <v>1</v>
      </c>
      <c r="AJ1033" s="20">
        <v>2</v>
      </c>
      <c r="AL1033" s="108">
        <v>35</v>
      </c>
    </row>
    <row r="1034" spans="1:45" ht="26">
      <c r="A1034" s="129" t="s">
        <v>3522</v>
      </c>
      <c r="B1034" s="129"/>
      <c r="C1034" s="129">
        <v>5</v>
      </c>
      <c r="D1034" s="129"/>
      <c r="E1034" s="129" t="s">
        <v>2632</v>
      </c>
      <c r="F1034" s="129" t="s">
        <v>3458</v>
      </c>
      <c r="G1034" s="129" t="s">
        <v>3459</v>
      </c>
      <c r="H1034" s="129" t="s">
        <v>2331</v>
      </c>
      <c r="I1034" s="129" t="str">
        <f>VLOOKUP(F1034,'#对话模型配置'!A:O,15,FALSE)</f>
        <v>newbie_oversea_clovis</v>
      </c>
      <c r="J1034" s="129" t="s">
        <v>3537</v>
      </c>
      <c r="K1034" s="135" t="s">
        <v>3538</v>
      </c>
      <c r="L1034" s="129">
        <v>110004</v>
      </c>
      <c r="M1034" s="129" t="s">
        <v>3289</v>
      </c>
      <c r="N1034" s="129"/>
      <c r="O1034" s="134" t="s">
        <v>3529</v>
      </c>
      <c r="P1034" s="134"/>
      <c r="Q1034" s="134"/>
      <c r="R1034" s="134"/>
      <c r="S1034" s="134"/>
      <c r="U1034" s="20">
        <v>2</v>
      </c>
      <c r="V1034" s="20">
        <v>0</v>
      </c>
      <c r="Y1034" s="71" t="b">
        <v>0</v>
      </c>
      <c r="AA1034" s="20" t="b">
        <v>1</v>
      </c>
      <c r="AE1034" s="20">
        <f t="shared" si="94"/>
        <v>10</v>
      </c>
      <c r="AH1034" s="61">
        <v>0.1</v>
      </c>
      <c r="AI1034" s="61">
        <v>1</v>
      </c>
      <c r="AJ1034" s="20">
        <v>2</v>
      </c>
      <c r="AL1034" s="108">
        <v>35</v>
      </c>
    </row>
    <row r="1035" spans="1:45" ht="26">
      <c r="A1035" s="129" t="s">
        <v>3522</v>
      </c>
      <c r="B1035" s="129"/>
      <c r="C1035" s="129">
        <v>6</v>
      </c>
      <c r="D1035" s="129"/>
      <c r="E1035" s="129" t="s">
        <v>2632</v>
      </c>
      <c r="F1035" s="129" t="s">
        <v>3458</v>
      </c>
      <c r="G1035" s="129" t="s">
        <v>3459</v>
      </c>
      <c r="H1035" s="129" t="s">
        <v>2331</v>
      </c>
      <c r="I1035" s="129" t="str">
        <f>VLOOKUP(F1035,'#对话模型配置'!A:O,15,FALSE)</f>
        <v>newbie_oversea_clovis</v>
      </c>
      <c r="J1035" s="129" t="s">
        <v>3539</v>
      </c>
      <c r="K1035" s="135" t="s">
        <v>3540</v>
      </c>
      <c r="L1035" s="129">
        <v>110004</v>
      </c>
      <c r="M1035" s="129" t="s">
        <v>3289</v>
      </c>
      <c r="N1035" s="129"/>
      <c r="O1035" s="134" t="s">
        <v>3529</v>
      </c>
      <c r="P1035" s="134"/>
      <c r="Q1035" s="134"/>
      <c r="R1035" s="134"/>
      <c r="S1035" s="134"/>
      <c r="U1035" s="20">
        <v>2</v>
      </c>
      <c r="V1035" s="20">
        <v>0</v>
      </c>
      <c r="Y1035" s="71" t="b">
        <v>0</v>
      </c>
      <c r="AA1035" s="20" t="b">
        <v>1</v>
      </c>
      <c r="AE1035" s="20">
        <f t="shared" si="94"/>
        <v>11</v>
      </c>
      <c r="AH1035" s="61">
        <v>0.1</v>
      </c>
      <c r="AI1035" s="61">
        <v>1</v>
      </c>
      <c r="AJ1035" s="20">
        <v>2</v>
      </c>
      <c r="AL1035" s="108">
        <v>35</v>
      </c>
    </row>
    <row r="1036" spans="1:45">
      <c r="A1036" s="76" t="s">
        <v>3541</v>
      </c>
      <c r="B1036" s="76"/>
      <c r="C1036" s="76">
        <v>1</v>
      </c>
      <c r="D1036" s="76"/>
      <c r="E1036" s="76" t="s">
        <v>2632</v>
      </c>
      <c r="F1036" s="76" t="s">
        <v>2637</v>
      </c>
      <c r="G1036" s="76" t="s">
        <v>2335</v>
      </c>
      <c r="H1036" s="76" t="s">
        <v>2331</v>
      </c>
      <c r="I1036" s="76" t="str">
        <f>VLOOKUP(F1036,'#对话模型配置'!A:O,15,FALSE)</f>
        <v>newbie_oversea_andrea</v>
      </c>
      <c r="J1036" s="76" t="s">
        <v>3542</v>
      </c>
      <c r="K1036" s="136" t="s">
        <v>3543</v>
      </c>
      <c r="L1036" s="76">
        <v>110003</v>
      </c>
      <c r="M1036" s="76" t="s">
        <v>3289</v>
      </c>
      <c r="N1036" s="76"/>
      <c r="O1036" s="132" t="s">
        <v>3544</v>
      </c>
      <c r="P1036" s="132"/>
      <c r="Q1036" s="132"/>
      <c r="R1036" s="132" t="s">
        <v>3545</v>
      </c>
      <c r="S1036" s="132"/>
      <c r="U1036" s="20">
        <v>2</v>
      </c>
      <c r="V1036" s="20">
        <v>0</v>
      </c>
      <c r="Y1036" s="71" t="b">
        <v>0</v>
      </c>
      <c r="AA1036" s="20" t="b">
        <v>1</v>
      </c>
      <c r="AE1036" s="20">
        <f t="shared" si="94"/>
        <v>5</v>
      </c>
      <c r="AH1036" s="61">
        <v>0.1</v>
      </c>
      <c r="AI1036" s="61">
        <v>1</v>
      </c>
      <c r="AJ1036" s="20">
        <v>2</v>
      </c>
      <c r="AL1036" s="108">
        <v>35</v>
      </c>
      <c r="AS1036" s="20" t="s">
        <v>3334</v>
      </c>
    </row>
    <row r="1037" spans="1:45">
      <c r="A1037" s="76" t="s">
        <v>3541</v>
      </c>
      <c r="B1037" s="76"/>
      <c r="C1037" s="76">
        <v>2</v>
      </c>
      <c r="D1037" s="76"/>
      <c r="E1037" s="76" t="s">
        <v>2632</v>
      </c>
      <c r="F1037" s="76" t="s">
        <v>3357</v>
      </c>
      <c r="G1037" s="76" t="s">
        <v>3358</v>
      </c>
      <c r="H1037" s="76" t="s">
        <v>2331</v>
      </c>
      <c r="I1037" s="76" t="str">
        <f>VLOOKUP(F1037,'#对话模型配置'!A:O,15,FALSE)</f>
        <v>newbie_oversea_caesar</v>
      </c>
      <c r="J1037" s="76" t="s">
        <v>3546</v>
      </c>
      <c r="K1037" s="136" t="s">
        <v>3547</v>
      </c>
      <c r="L1037" s="76">
        <v>110001</v>
      </c>
      <c r="M1037" s="76" t="s">
        <v>3361</v>
      </c>
      <c r="N1037" s="76"/>
      <c r="O1037" s="132" t="s">
        <v>3548</v>
      </c>
      <c r="P1037" s="132"/>
      <c r="Q1037" s="132"/>
      <c r="R1037" s="132"/>
      <c r="S1037" s="132"/>
      <c r="U1037" s="20">
        <v>2</v>
      </c>
      <c r="V1037" s="20">
        <v>0</v>
      </c>
      <c r="Y1037" s="71" t="b">
        <v>0</v>
      </c>
      <c r="AA1037" s="20" t="b">
        <v>1</v>
      </c>
      <c r="AE1037" s="20">
        <f t="shared" si="94"/>
        <v>5</v>
      </c>
      <c r="AH1037" s="61">
        <v>0.1</v>
      </c>
      <c r="AI1037" s="61">
        <v>1</v>
      </c>
      <c r="AJ1037" s="20">
        <v>2</v>
      </c>
      <c r="AL1037" s="108">
        <v>35</v>
      </c>
    </row>
    <row r="1038" spans="1:45">
      <c r="A1038" s="76" t="s">
        <v>3541</v>
      </c>
      <c r="B1038" s="76"/>
      <c r="C1038" s="76">
        <v>3</v>
      </c>
      <c r="D1038" s="76"/>
      <c r="E1038" s="76" t="s">
        <v>2632</v>
      </c>
      <c r="F1038" s="76" t="s">
        <v>2637</v>
      </c>
      <c r="G1038" s="76" t="s">
        <v>2335</v>
      </c>
      <c r="H1038" s="76" t="s">
        <v>2331</v>
      </c>
      <c r="I1038" s="76" t="str">
        <f>VLOOKUP(F1038,'#对话模型配置'!A:O,15,FALSE)</f>
        <v>newbie_oversea_andrea</v>
      </c>
      <c r="J1038" s="76" t="s">
        <v>3549</v>
      </c>
      <c r="K1038" s="136" t="s">
        <v>3550</v>
      </c>
      <c r="L1038" s="76">
        <v>110003</v>
      </c>
      <c r="M1038" s="76" t="s">
        <v>3289</v>
      </c>
      <c r="N1038" s="76"/>
      <c r="O1038" s="132" t="s">
        <v>3544</v>
      </c>
      <c r="P1038" s="132"/>
      <c r="Q1038" s="132"/>
      <c r="R1038" s="132"/>
      <c r="S1038" s="132"/>
      <c r="U1038" s="20">
        <v>2</v>
      </c>
      <c r="V1038" s="20">
        <v>0</v>
      </c>
      <c r="Y1038" s="71" t="b">
        <v>0</v>
      </c>
      <c r="AA1038" s="20" t="b">
        <v>1</v>
      </c>
      <c r="AE1038" s="20">
        <f t="shared" si="94"/>
        <v>5</v>
      </c>
      <c r="AH1038" s="61">
        <v>0.1</v>
      </c>
      <c r="AI1038" s="61">
        <v>1</v>
      </c>
      <c r="AJ1038" s="20">
        <v>2</v>
      </c>
      <c r="AL1038" s="108">
        <v>35</v>
      </c>
    </row>
    <row r="1039" spans="1:45" ht="26">
      <c r="A1039" s="76" t="s">
        <v>3541</v>
      </c>
      <c r="B1039" s="76"/>
      <c r="C1039" s="76">
        <v>4</v>
      </c>
      <c r="D1039" s="76"/>
      <c r="E1039" s="76" t="s">
        <v>2632</v>
      </c>
      <c r="F1039" s="76" t="s">
        <v>3357</v>
      </c>
      <c r="G1039" s="76" t="s">
        <v>3358</v>
      </c>
      <c r="H1039" s="76" t="s">
        <v>2331</v>
      </c>
      <c r="I1039" s="76" t="str">
        <f>VLOOKUP(F1039,'#对话模型配置'!A:O,15,FALSE)</f>
        <v>newbie_oversea_caesar</v>
      </c>
      <c r="J1039" s="76" t="s">
        <v>3551</v>
      </c>
      <c r="K1039" s="136" t="s">
        <v>3552</v>
      </c>
      <c r="L1039" s="76">
        <v>110001</v>
      </c>
      <c r="M1039" s="129" t="s">
        <v>3361</v>
      </c>
      <c r="N1039" s="129"/>
      <c r="O1039" s="132" t="s">
        <v>3548</v>
      </c>
      <c r="P1039" s="132"/>
      <c r="Q1039" s="132"/>
      <c r="R1039" s="132"/>
      <c r="S1039" s="132"/>
      <c r="U1039" s="20">
        <v>2</v>
      </c>
      <c r="V1039" s="20">
        <v>0</v>
      </c>
      <c r="Y1039" s="71" t="b">
        <v>0</v>
      </c>
      <c r="AA1039" s="20" t="b">
        <v>1</v>
      </c>
      <c r="AE1039" s="20">
        <f t="shared" si="94"/>
        <v>9</v>
      </c>
      <c r="AH1039" s="61">
        <v>0.1</v>
      </c>
      <c r="AI1039" s="61">
        <v>1</v>
      </c>
      <c r="AJ1039" s="20">
        <v>2</v>
      </c>
      <c r="AL1039" s="108">
        <v>35</v>
      </c>
    </row>
    <row r="1040" spans="1:45">
      <c r="A1040" s="76" t="s">
        <v>3541</v>
      </c>
      <c r="B1040" s="76"/>
      <c r="C1040" s="76">
        <v>5</v>
      </c>
      <c r="D1040" s="76"/>
      <c r="E1040" s="76" t="s">
        <v>2632</v>
      </c>
      <c r="F1040" s="76" t="s">
        <v>2637</v>
      </c>
      <c r="G1040" s="76" t="s">
        <v>2335</v>
      </c>
      <c r="H1040" s="76" t="s">
        <v>2331</v>
      </c>
      <c r="I1040" s="76" t="str">
        <f>VLOOKUP(F1040,'#对话模型配置'!A:O,15,FALSE)</f>
        <v>newbie_oversea_andrea</v>
      </c>
      <c r="J1040" s="76" t="s">
        <v>3553</v>
      </c>
      <c r="K1040" s="136" t="s">
        <v>3554</v>
      </c>
      <c r="L1040" s="76">
        <v>110003</v>
      </c>
      <c r="M1040" s="76" t="s">
        <v>3289</v>
      </c>
      <c r="N1040" s="76"/>
      <c r="O1040" s="132" t="s">
        <v>3544</v>
      </c>
      <c r="P1040" s="132"/>
      <c r="Q1040" s="132"/>
      <c r="R1040" s="132"/>
      <c r="S1040" s="132"/>
      <c r="U1040" s="20">
        <v>2</v>
      </c>
      <c r="V1040" s="20">
        <v>0</v>
      </c>
      <c r="Y1040" s="71" t="b">
        <v>0</v>
      </c>
      <c r="AA1040" s="20" t="b">
        <v>1</v>
      </c>
      <c r="AE1040" s="20">
        <f t="shared" si="94"/>
        <v>5</v>
      </c>
      <c r="AH1040" s="61">
        <v>0.1</v>
      </c>
      <c r="AI1040" s="61">
        <v>1</v>
      </c>
      <c r="AJ1040" s="20">
        <v>2</v>
      </c>
      <c r="AL1040" s="108">
        <v>35</v>
      </c>
    </row>
    <row r="1041" spans="1:45">
      <c r="A1041" s="76" t="s">
        <v>3541</v>
      </c>
      <c r="B1041" s="76"/>
      <c r="C1041" s="76">
        <v>6</v>
      </c>
      <c r="D1041" s="76"/>
      <c r="E1041" s="76" t="s">
        <v>2632</v>
      </c>
      <c r="F1041" s="76" t="s">
        <v>3357</v>
      </c>
      <c r="G1041" s="76" t="s">
        <v>3358</v>
      </c>
      <c r="H1041" s="76" t="s">
        <v>2331</v>
      </c>
      <c r="I1041" s="76" t="str">
        <f>VLOOKUP(F1041,'#对话模型配置'!A:O,15,FALSE)</f>
        <v>newbie_oversea_caesar</v>
      </c>
      <c r="J1041" s="76" t="s">
        <v>3555</v>
      </c>
      <c r="K1041" s="136" t="s">
        <v>3556</v>
      </c>
      <c r="L1041" s="76">
        <v>110001</v>
      </c>
      <c r="M1041" s="129" t="s">
        <v>3361</v>
      </c>
      <c r="N1041" s="129"/>
      <c r="O1041" s="132" t="s">
        <v>3548</v>
      </c>
      <c r="P1041" s="132"/>
      <c r="Q1041" s="132"/>
      <c r="R1041" s="132"/>
      <c r="S1041" s="132"/>
      <c r="U1041" s="20">
        <v>2</v>
      </c>
      <c r="V1041" s="20">
        <v>0</v>
      </c>
      <c r="Y1041" s="71" t="b">
        <v>0</v>
      </c>
      <c r="AA1041" s="20" t="b">
        <v>1</v>
      </c>
      <c r="AE1041" s="20">
        <f t="shared" si="94"/>
        <v>5</v>
      </c>
      <c r="AH1041" s="61">
        <v>0.1</v>
      </c>
      <c r="AI1041" s="61">
        <v>1</v>
      </c>
      <c r="AJ1041" s="20">
        <v>2</v>
      </c>
      <c r="AL1041" s="108">
        <v>35</v>
      </c>
    </row>
    <row r="1042" spans="1:45">
      <c r="A1042" s="129" t="s">
        <v>3557</v>
      </c>
      <c r="B1042" s="129"/>
      <c r="C1042" s="129">
        <v>1</v>
      </c>
      <c r="D1042" s="129"/>
      <c r="E1042" s="129" t="s">
        <v>2632</v>
      </c>
      <c r="F1042" s="129" t="s">
        <v>2633</v>
      </c>
      <c r="G1042" s="129" t="s">
        <v>2330</v>
      </c>
      <c r="H1042" s="129" t="s">
        <v>2331</v>
      </c>
      <c r="I1042" s="129" t="str">
        <f>VLOOKUP(F1042,'#对话模型配置'!A:O,15,FALSE)</f>
        <v>newbie_oversea_axe</v>
      </c>
      <c r="J1042" s="129" t="s">
        <v>3558</v>
      </c>
      <c r="K1042" s="135" t="s">
        <v>3559</v>
      </c>
      <c r="L1042" s="129">
        <v>110008</v>
      </c>
      <c r="M1042" s="129" t="s">
        <v>3560</v>
      </c>
      <c r="N1042" s="129"/>
      <c r="O1042" s="134" t="s">
        <v>3280</v>
      </c>
      <c r="P1042" s="134"/>
      <c r="Q1042" s="134"/>
      <c r="R1042" s="134" t="s">
        <v>3281</v>
      </c>
      <c r="S1042" s="134"/>
      <c r="U1042" s="20">
        <v>2</v>
      </c>
      <c r="V1042" s="20">
        <v>0</v>
      </c>
      <c r="Y1042" s="71" t="b">
        <v>0</v>
      </c>
      <c r="AA1042" s="20" t="b">
        <v>1</v>
      </c>
      <c r="AE1042" s="20">
        <f t="shared" si="94"/>
        <v>5</v>
      </c>
      <c r="AH1042" s="61">
        <v>0.1</v>
      </c>
      <c r="AI1042" s="61">
        <v>1</v>
      </c>
      <c r="AJ1042" s="20">
        <v>2</v>
      </c>
      <c r="AL1042" s="108">
        <v>35</v>
      </c>
      <c r="AS1042" s="20" t="s">
        <v>3457</v>
      </c>
    </row>
    <row r="1043" spans="1:45">
      <c r="A1043" s="129" t="s">
        <v>3557</v>
      </c>
      <c r="B1043" s="129"/>
      <c r="C1043" s="129">
        <v>2</v>
      </c>
      <c r="D1043" s="129"/>
      <c r="E1043" s="129" t="s">
        <v>2632</v>
      </c>
      <c r="F1043" s="129" t="s">
        <v>2637</v>
      </c>
      <c r="G1043" s="129" t="s">
        <v>2335</v>
      </c>
      <c r="H1043" s="129" t="s">
        <v>2331</v>
      </c>
      <c r="I1043" s="129" t="str">
        <f>VLOOKUP(F1043,'#对话模型配置'!A:O,15,FALSE)</f>
        <v>newbie_oversea_andrea</v>
      </c>
      <c r="J1043" s="129" t="s">
        <v>3561</v>
      </c>
      <c r="K1043" s="135" t="s">
        <v>3562</v>
      </c>
      <c r="L1043" s="129">
        <v>110003</v>
      </c>
      <c r="M1043" s="129" t="s">
        <v>3289</v>
      </c>
      <c r="N1043" s="129"/>
      <c r="O1043" s="134" t="s">
        <v>3286</v>
      </c>
      <c r="P1043" s="134"/>
      <c r="Q1043" s="134"/>
      <c r="R1043" s="134"/>
      <c r="S1043" s="134"/>
      <c r="U1043" s="20">
        <v>2</v>
      </c>
      <c r="V1043" s="20">
        <v>0</v>
      </c>
      <c r="Y1043" s="71" t="b">
        <v>0</v>
      </c>
      <c r="AA1043" s="20" t="b">
        <v>1</v>
      </c>
      <c r="AE1043" s="20">
        <f t="shared" si="94"/>
        <v>5</v>
      </c>
      <c r="AH1043" s="61">
        <v>0.1</v>
      </c>
      <c r="AI1043" s="61">
        <v>1</v>
      </c>
      <c r="AJ1043" s="20">
        <v>2</v>
      </c>
      <c r="AL1043" s="108">
        <v>35</v>
      </c>
    </row>
    <row r="1044" spans="1:45" ht="26">
      <c r="A1044" s="129" t="s">
        <v>3557</v>
      </c>
      <c r="B1044" s="129"/>
      <c r="C1044" s="129">
        <v>3</v>
      </c>
      <c r="D1044" s="129"/>
      <c r="E1044" s="129" t="s">
        <v>2632</v>
      </c>
      <c r="F1044" s="129" t="s">
        <v>2633</v>
      </c>
      <c r="G1044" s="129" t="s">
        <v>2330</v>
      </c>
      <c r="H1044" s="129" t="s">
        <v>2331</v>
      </c>
      <c r="I1044" s="129" t="str">
        <f>VLOOKUP(F1044,'#对话模型配置'!A:O,15,FALSE)</f>
        <v>newbie_oversea_axe</v>
      </c>
      <c r="J1044" s="129" t="s">
        <v>3563</v>
      </c>
      <c r="K1044" s="135" t="s">
        <v>3564</v>
      </c>
      <c r="L1044" s="129">
        <v>110008</v>
      </c>
      <c r="M1044" s="129" t="s">
        <v>3560</v>
      </c>
      <c r="N1044" s="129"/>
      <c r="O1044" s="134" t="s">
        <v>3280</v>
      </c>
      <c r="P1044" s="134"/>
      <c r="Q1044" s="134"/>
      <c r="R1044" s="134"/>
      <c r="S1044" s="134"/>
      <c r="U1044" s="20">
        <v>2</v>
      </c>
      <c r="V1044" s="20">
        <v>0</v>
      </c>
      <c r="Y1044" s="71" t="b">
        <v>0</v>
      </c>
      <c r="AA1044" s="20" t="b">
        <v>1</v>
      </c>
      <c r="AE1044" s="20">
        <f t="shared" si="94"/>
        <v>15</v>
      </c>
      <c r="AH1044" s="61">
        <v>0.1</v>
      </c>
      <c r="AI1044" s="61">
        <v>1</v>
      </c>
      <c r="AJ1044" s="20">
        <v>2</v>
      </c>
      <c r="AL1044" s="108">
        <v>35</v>
      </c>
    </row>
    <row r="1045" spans="1:45">
      <c r="A1045" s="129" t="s">
        <v>3557</v>
      </c>
      <c r="B1045" s="129"/>
      <c r="C1045" s="129">
        <v>4</v>
      </c>
      <c r="D1045" s="129"/>
      <c r="E1045" s="129" t="s">
        <v>2632</v>
      </c>
      <c r="F1045" s="129" t="s">
        <v>2637</v>
      </c>
      <c r="G1045" s="129" t="s">
        <v>2335</v>
      </c>
      <c r="H1045" s="129" t="s">
        <v>2331</v>
      </c>
      <c r="I1045" s="129" t="str">
        <f>VLOOKUP(F1045,'#对话模型配置'!A:O,15,FALSE)</f>
        <v>newbie_oversea_andrea</v>
      </c>
      <c r="J1045" s="129" t="s">
        <v>3565</v>
      </c>
      <c r="K1045" s="135" t="s">
        <v>3566</v>
      </c>
      <c r="L1045" s="129">
        <v>110003</v>
      </c>
      <c r="M1045" s="129" t="s">
        <v>3289</v>
      </c>
      <c r="N1045" s="129"/>
      <c r="O1045" s="134" t="s">
        <v>3286</v>
      </c>
      <c r="P1045" s="134"/>
      <c r="Q1045" s="134"/>
      <c r="R1045" s="134"/>
      <c r="S1045" s="134"/>
      <c r="U1045" s="20">
        <v>2</v>
      </c>
      <c r="V1045" s="20">
        <v>0</v>
      </c>
      <c r="Y1045" s="71" t="b">
        <v>0</v>
      </c>
      <c r="AA1045" s="20" t="b">
        <v>1</v>
      </c>
      <c r="AE1045" s="20">
        <f t="shared" si="94"/>
        <v>6</v>
      </c>
      <c r="AH1045" s="61">
        <v>0.1</v>
      </c>
      <c r="AI1045" s="61">
        <v>1</v>
      </c>
      <c r="AJ1045" s="20">
        <v>2</v>
      </c>
      <c r="AL1045" s="108">
        <v>35</v>
      </c>
    </row>
    <row r="1046" spans="1:45" ht="26">
      <c r="A1046" s="129" t="s">
        <v>3557</v>
      </c>
      <c r="B1046" s="129"/>
      <c r="C1046" s="129">
        <v>5</v>
      </c>
      <c r="D1046" s="129"/>
      <c r="E1046" s="129" t="s">
        <v>2632</v>
      </c>
      <c r="F1046" s="129" t="s">
        <v>2633</v>
      </c>
      <c r="G1046" s="129" t="s">
        <v>2330</v>
      </c>
      <c r="H1046" s="129" t="s">
        <v>2331</v>
      </c>
      <c r="I1046" s="129" t="str">
        <f>VLOOKUP(F1046,'#对话模型配置'!A:O,15,FALSE)</f>
        <v>newbie_oversea_axe</v>
      </c>
      <c r="J1046" s="129" t="s">
        <v>3567</v>
      </c>
      <c r="K1046" s="135" t="s">
        <v>3568</v>
      </c>
      <c r="L1046" s="129">
        <v>110008</v>
      </c>
      <c r="M1046" s="129" t="s">
        <v>3560</v>
      </c>
      <c r="N1046" s="129"/>
      <c r="O1046" s="134" t="s">
        <v>3280</v>
      </c>
      <c r="P1046" s="134"/>
      <c r="Q1046" s="134"/>
      <c r="R1046" s="134"/>
      <c r="S1046" s="134"/>
      <c r="U1046" s="20">
        <v>2</v>
      </c>
      <c r="V1046" s="20">
        <v>0</v>
      </c>
      <c r="Y1046" s="71" t="b">
        <v>0</v>
      </c>
      <c r="AA1046" s="20" t="b">
        <v>1</v>
      </c>
      <c r="AE1046" s="20">
        <f t="shared" si="94"/>
        <v>9</v>
      </c>
      <c r="AH1046" s="61">
        <v>0.1</v>
      </c>
      <c r="AI1046" s="61">
        <v>1</v>
      </c>
      <c r="AJ1046" s="20">
        <v>2</v>
      </c>
      <c r="AL1046" s="108">
        <v>35</v>
      </c>
    </row>
    <row r="1047" spans="1:45">
      <c r="A1047" s="129" t="s">
        <v>3557</v>
      </c>
      <c r="B1047" s="129"/>
      <c r="C1047" s="129">
        <v>6</v>
      </c>
      <c r="D1047" s="129"/>
      <c r="E1047" s="129" t="s">
        <v>2632</v>
      </c>
      <c r="F1047" s="129" t="s">
        <v>3357</v>
      </c>
      <c r="G1047" s="129" t="s">
        <v>3358</v>
      </c>
      <c r="H1047" s="129" t="s">
        <v>2331</v>
      </c>
      <c r="I1047" s="129" t="str">
        <f>VLOOKUP(F1047,'#对话模型配置'!A:O,15,FALSE)</f>
        <v>newbie_oversea_caesar</v>
      </c>
      <c r="J1047" s="129" t="s">
        <v>3569</v>
      </c>
      <c r="K1047" s="135" t="s">
        <v>3570</v>
      </c>
      <c r="L1047" s="129">
        <v>110001</v>
      </c>
      <c r="M1047" s="129" t="s">
        <v>3361</v>
      </c>
      <c r="N1047" s="129"/>
      <c r="O1047" s="134" t="s">
        <v>3571</v>
      </c>
      <c r="P1047" s="134"/>
      <c r="Q1047" s="134"/>
      <c r="R1047" s="134"/>
      <c r="S1047" s="134"/>
      <c r="U1047" s="20">
        <v>2</v>
      </c>
      <c r="V1047" s="20">
        <v>0</v>
      </c>
      <c r="Y1047" s="71" t="b">
        <v>0</v>
      </c>
      <c r="AA1047" s="20" t="b">
        <v>1</v>
      </c>
      <c r="AE1047" s="20">
        <f t="shared" si="94"/>
        <v>5</v>
      </c>
      <c r="AH1047" s="61">
        <v>0.1</v>
      </c>
      <c r="AI1047" s="61">
        <v>1</v>
      </c>
      <c r="AJ1047" s="20">
        <v>2</v>
      </c>
      <c r="AL1047" s="108">
        <v>35</v>
      </c>
    </row>
    <row r="1048" spans="1:45">
      <c r="A1048" s="129" t="s">
        <v>3557</v>
      </c>
      <c r="B1048" s="129"/>
      <c r="C1048" s="129">
        <v>7</v>
      </c>
      <c r="D1048" s="129"/>
      <c r="E1048" s="129" t="s">
        <v>2632</v>
      </c>
      <c r="F1048" s="129" t="s">
        <v>2637</v>
      </c>
      <c r="G1048" s="129" t="s">
        <v>2335</v>
      </c>
      <c r="H1048" s="129" t="s">
        <v>2331</v>
      </c>
      <c r="I1048" s="129" t="str">
        <f>VLOOKUP(F1048,'#对话模型配置'!A:O,15,FALSE)</f>
        <v>newbie_oversea_andrea</v>
      </c>
      <c r="J1048" s="129" t="s">
        <v>3572</v>
      </c>
      <c r="K1048" s="135" t="s">
        <v>3573</v>
      </c>
      <c r="L1048" s="129">
        <v>110003</v>
      </c>
      <c r="M1048" s="129" t="s">
        <v>3289</v>
      </c>
      <c r="N1048" s="129"/>
      <c r="O1048" s="134" t="s">
        <v>3286</v>
      </c>
      <c r="P1048" s="134"/>
      <c r="Q1048" s="134"/>
      <c r="R1048" s="134"/>
      <c r="S1048" s="134"/>
      <c r="U1048" s="20">
        <v>2</v>
      </c>
      <c r="V1048" s="20">
        <v>0</v>
      </c>
      <c r="Y1048" s="71" t="b">
        <v>0</v>
      </c>
      <c r="AA1048" s="20" t="b">
        <v>1</v>
      </c>
      <c r="AE1048" s="20">
        <f t="shared" si="94"/>
        <v>5</v>
      </c>
      <c r="AH1048" s="61">
        <v>0.1</v>
      </c>
      <c r="AI1048" s="61">
        <v>1</v>
      </c>
      <c r="AJ1048" s="20">
        <v>2</v>
      </c>
      <c r="AL1048" s="108">
        <v>35</v>
      </c>
    </row>
    <row r="1049" spans="1:45" ht="26">
      <c r="A1049" s="76" t="s">
        <v>3574</v>
      </c>
      <c r="B1049" s="76"/>
      <c r="C1049" s="76">
        <v>1</v>
      </c>
      <c r="D1049" s="76"/>
      <c r="E1049" s="76" t="s">
        <v>2632</v>
      </c>
      <c r="F1049" s="76" t="s">
        <v>2633</v>
      </c>
      <c r="G1049" s="76" t="s">
        <v>2330</v>
      </c>
      <c r="H1049" s="76" t="s">
        <v>2331</v>
      </c>
      <c r="I1049" s="76" t="str">
        <f>VLOOKUP(F1049,'#对话模型配置'!A:O,15,FALSE)</f>
        <v>newbie_oversea_axe</v>
      </c>
      <c r="J1049" s="76" t="s">
        <v>3575</v>
      </c>
      <c r="K1049" s="136" t="s">
        <v>3576</v>
      </c>
      <c r="L1049" s="76">
        <v>110008</v>
      </c>
      <c r="M1049" s="76" t="s">
        <v>3289</v>
      </c>
      <c r="N1049" s="76"/>
      <c r="O1049" s="132" t="s">
        <v>3280</v>
      </c>
      <c r="P1049" s="132"/>
      <c r="Q1049" s="132"/>
      <c r="R1049" s="132" t="s">
        <v>3281</v>
      </c>
      <c r="S1049" s="132"/>
      <c r="U1049" s="20">
        <v>2</v>
      </c>
      <c r="V1049" s="20">
        <v>0</v>
      </c>
      <c r="Y1049" s="71" t="b">
        <v>0</v>
      </c>
      <c r="AA1049" s="20" t="b">
        <v>1</v>
      </c>
      <c r="AE1049" s="20">
        <f t="shared" si="94"/>
        <v>10</v>
      </c>
      <c r="AH1049" s="61">
        <v>0.1</v>
      </c>
      <c r="AI1049" s="61">
        <v>1</v>
      </c>
      <c r="AJ1049" s="20">
        <v>2</v>
      </c>
      <c r="AL1049" s="108">
        <v>35</v>
      </c>
      <c r="AS1049" s="20" t="s">
        <v>3457</v>
      </c>
    </row>
    <row r="1050" spans="1:45" ht="26">
      <c r="A1050" s="76" t="s">
        <v>3574</v>
      </c>
      <c r="B1050" s="76"/>
      <c r="C1050" s="76">
        <v>2</v>
      </c>
      <c r="D1050" s="76"/>
      <c r="E1050" s="76" t="s">
        <v>2632</v>
      </c>
      <c r="F1050" s="76" t="s">
        <v>2637</v>
      </c>
      <c r="G1050" s="76" t="s">
        <v>2335</v>
      </c>
      <c r="H1050" s="76" t="s">
        <v>2331</v>
      </c>
      <c r="I1050" s="76" t="str">
        <f>VLOOKUP(F1050,'#对话模型配置'!A:O,15,FALSE)</f>
        <v>newbie_oversea_andrea</v>
      </c>
      <c r="J1050" s="76" t="s">
        <v>3577</v>
      </c>
      <c r="K1050" s="136" t="s">
        <v>3578</v>
      </c>
      <c r="L1050" s="76">
        <v>110003</v>
      </c>
      <c r="M1050" s="76" t="s">
        <v>3289</v>
      </c>
      <c r="N1050" s="76"/>
      <c r="O1050" s="132" t="s">
        <v>3286</v>
      </c>
      <c r="P1050" s="132"/>
      <c r="Q1050" s="132"/>
      <c r="R1050" s="132"/>
      <c r="S1050" s="132"/>
      <c r="U1050" s="20">
        <v>2</v>
      </c>
      <c r="V1050" s="20">
        <v>0</v>
      </c>
      <c r="Y1050" s="71" t="b">
        <v>0</v>
      </c>
      <c r="AA1050" s="20" t="b">
        <v>1</v>
      </c>
      <c r="AE1050" s="20">
        <f t="shared" si="94"/>
        <v>8</v>
      </c>
      <c r="AH1050" s="61">
        <v>0.1</v>
      </c>
      <c r="AI1050" s="61">
        <v>1</v>
      </c>
      <c r="AJ1050" s="20">
        <v>2</v>
      </c>
      <c r="AL1050" s="108">
        <v>35</v>
      </c>
    </row>
    <row r="1051" spans="1:45" ht="26">
      <c r="A1051" s="76" t="s">
        <v>3574</v>
      </c>
      <c r="B1051" s="76"/>
      <c r="C1051" s="76">
        <v>3</v>
      </c>
      <c r="D1051" s="76"/>
      <c r="E1051" s="76" t="s">
        <v>2632</v>
      </c>
      <c r="F1051" s="76" t="s">
        <v>3357</v>
      </c>
      <c r="G1051" s="76" t="s">
        <v>3358</v>
      </c>
      <c r="H1051" s="76" t="s">
        <v>2331</v>
      </c>
      <c r="I1051" s="76" t="str">
        <f>VLOOKUP(F1051,'#对话模型配置'!A:O,15,FALSE)</f>
        <v>newbie_oversea_caesar</v>
      </c>
      <c r="J1051" s="76" t="s">
        <v>3579</v>
      </c>
      <c r="K1051" s="136" t="s">
        <v>3580</v>
      </c>
      <c r="L1051" s="76">
        <v>110001</v>
      </c>
      <c r="M1051" s="129" t="s">
        <v>3361</v>
      </c>
      <c r="N1051" s="129"/>
      <c r="O1051" s="132" t="s">
        <v>3571</v>
      </c>
      <c r="P1051" s="132"/>
      <c r="Q1051" s="132"/>
      <c r="R1051" s="132"/>
      <c r="S1051" s="132"/>
      <c r="U1051" s="20">
        <v>2</v>
      </c>
      <c r="V1051" s="20">
        <v>0</v>
      </c>
      <c r="Y1051" s="71" t="b">
        <v>0</v>
      </c>
      <c r="AA1051" s="20" t="b">
        <v>1</v>
      </c>
      <c r="AE1051" s="20">
        <f t="shared" si="94"/>
        <v>9</v>
      </c>
      <c r="AH1051" s="61">
        <v>0.1</v>
      </c>
      <c r="AI1051" s="61">
        <v>1</v>
      </c>
      <c r="AJ1051" s="20">
        <v>2</v>
      </c>
      <c r="AL1051" s="108">
        <v>35</v>
      </c>
    </row>
    <row r="1052" spans="1:45">
      <c r="A1052" s="76" t="s">
        <v>3574</v>
      </c>
      <c r="B1052" s="76"/>
      <c r="C1052" s="76">
        <v>4</v>
      </c>
      <c r="D1052" s="76"/>
      <c r="E1052" s="76" t="s">
        <v>2632</v>
      </c>
      <c r="F1052" s="76" t="s">
        <v>2637</v>
      </c>
      <c r="G1052" s="76" t="s">
        <v>2335</v>
      </c>
      <c r="H1052" s="76" t="s">
        <v>2331</v>
      </c>
      <c r="I1052" s="76" t="str">
        <f>VLOOKUP(F1052,'#对话模型配置'!A:O,15,FALSE)</f>
        <v>newbie_oversea_andrea</v>
      </c>
      <c r="J1052" s="76" t="s">
        <v>3581</v>
      </c>
      <c r="K1052" s="136" t="s">
        <v>3582</v>
      </c>
      <c r="L1052" s="76">
        <v>110003</v>
      </c>
      <c r="M1052" s="76" t="s">
        <v>3289</v>
      </c>
      <c r="N1052" s="76"/>
      <c r="O1052" s="132" t="s">
        <v>3286</v>
      </c>
      <c r="P1052" s="132"/>
      <c r="Q1052" s="132"/>
      <c r="R1052" s="132"/>
      <c r="S1052" s="132"/>
      <c r="U1052" s="20">
        <v>2</v>
      </c>
      <c r="V1052" s="20">
        <v>0</v>
      </c>
      <c r="Y1052" s="71" t="b">
        <v>0</v>
      </c>
      <c r="AA1052" s="20" t="b">
        <v>1</v>
      </c>
      <c r="AE1052" s="20">
        <f t="shared" si="94"/>
        <v>5</v>
      </c>
      <c r="AH1052" s="61">
        <v>0.1</v>
      </c>
      <c r="AI1052" s="61">
        <v>1</v>
      </c>
      <c r="AJ1052" s="20">
        <v>2</v>
      </c>
      <c r="AL1052" s="108">
        <v>35</v>
      </c>
    </row>
    <row r="1053" spans="1:45" ht="26">
      <c r="A1053" s="76" t="s">
        <v>3574</v>
      </c>
      <c r="B1053" s="76"/>
      <c r="C1053" s="76">
        <v>5</v>
      </c>
      <c r="D1053" s="76"/>
      <c r="E1053" s="76" t="s">
        <v>2632</v>
      </c>
      <c r="F1053" s="76" t="s">
        <v>3357</v>
      </c>
      <c r="G1053" s="76" t="s">
        <v>3358</v>
      </c>
      <c r="H1053" s="76" t="s">
        <v>2331</v>
      </c>
      <c r="I1053" s="76" t="str">
        <f>VLOOKUP(F1053,'#对话模型配置'!A:O,15,FALSE)</f>
        <v>newbie_oversea_caesar</v>
      </c>
      <c r="J1053" s="76" t="s">
        <v>3583</v>
      </c>
      <c r="K1053" s="136" t="s">
        <v>3584</v>
      </c>
      <c r="L1053" s="76">
        <v>110001</v>
      </c>
      <c r="M1053" s="129" t="s">
        <v>3361</v>
      </c>
      <c r="N1053" s="129"/>
      <c r="O1053" s="132" t="s">
        <v>3571</v>
      </c>
      <c r="P1053" s="132"/>
      <c r="Q1053" s="132"/>
      <c r="R1053" s="132"/>
      <c r="S1053" s="132"/>
      <c r="U1053" s="20">
        <v>2</v>
      </c>
      <c r="V1053" s="20">
        <v>0</v>
      </c>
      <c r="Y1053" s="71" t="b">
        <v>0</v>
      </c>
      <c r="AA1053" s="20" t="b">
        <v>1</v>
      </c>
      <c r="AE1053" s="20">
        <f t="shared" si="94"/>
        <v>13</v>
      </c>
      <c r="AH1053" s="61">
        <v>0.1</v>
      </c>
      <c r="AI1053" s="61">
        <v>1</v>
      </c>
      <c r="AJ1053" s="20">
        <v>2</v>
      </c>
      <c r="AL1053" s="108">
        <v>35</v>
      </c>
    </row>
    <row r="1054" spans="1:45">
      <c r="A1054" s="76" t="s">
        <v>3574</v>
      </c>
      <c r="B1054" s="76"/>
      <c r="C1054" s="76">
        <v>6</v>
      </c>
      <c r="D1054" s="76"/>
      <c r="E1054" s="76" t="s">
        <v>2632</v>
      </c>
      <c r="F1054" s="76" t="s">
        <v>2637</v>
      </c>
      <c r="G1054" s="76" t="s">
        <v>2335</v>
      </c>
      <c r="H1054" s="76" t="s">
        <v>2331</v>
      </c>
      <c r="I1054" s="76" t="str">
        <f>VLOOKUP(F1054,'#对话模型配置'!A:O,15,FALSE)</f>
        <v>newbie_oversea_andrea</v>
      </c>
      <c r="J1054" s="76" t="s">
        <v>3585</v>
      </c>
      <c r="K1054" s="136" t="s">
        <v>3586</v>
      </c>
      <c r="L1054" s="76">
        <v>110003</v>
      </c>
      <c r="M1054" s="76" t="s">
        <v>3289</v>
      </c>
      <c r="N1054" s="76"/>
      <c r="O1054" s="132" t="s">
        <v>3587</v>
      </c>
      <c r="P1054" s="132"/>
      <c r="Q1054" s="132"/>
      <c r="R1054" s="132"/>
      <c r="S1054" s="132"/>
      <c r="U1054" s="20">
        <v>2</v>
      </c>
      <c r="V1054" s="20">
        <v>0</v>
      </c>
      <c r="Y1054" s="71" t="b">
        <v>0</v>
      </c>
      <c r="AA1054" s="20" t="b">
        <v>1</v>
      </c>
      <c r="AE1054" s="20">
        <f t="shared" si="94"/>
        <v>5</v>
      </c>
      <c r="AH1054" s="61">
        <v>0.1</v>
      </c>
      <c r="AI1054" s="61">
        <v>1</v>
      </c>
      <c r="AJ1054" s="20">
        <v>2</v>
      </c>
      <c r="AL1054" s="108">
        <v>35</v>
      </c>
    </row>
    <row r="1055" spans="1:45" ht="26">
      <c r="A1055" s="137">
        <v>11000201</v>
      </c>
      <c r="B1055" s="137"/>
      <c r="C1055" s="137">
        <v>1</v>
      </c>
      <c r="D1055" s="137"/>
      <c r="E1055" s="137" t="s">
        <v>2632</v>
      </c>
      <c r="F1055" s="137" t="s">
        <v>3588</v>
      </c>
      <c r="G1055" s="137" t="s">
        <v>3589</v>
      </c>
      <c r="H1055" s="137" t="s">
        <v>2331</v>
      </c>
      <c r="I1055" s="137" t="str">
        <f>VLOOKUP(F1055,'#对话模型配置'!A:O,15,FALSE)</f>
        <v>newbie_oversea_kabar</v>
      </c>
      <c r="J1055" s="137" t="s">
        <v>3590</v>
      </c>
      <c r="K1055" s="138" t="s">
        <v>3591</v>
      </c>
      <c r="L1055" s="137">
        <v>110005</v>
      </c>
      <c r="M1055" s="137" t="s">
        <v>3289</v>
      </c>
      <c r="N1055" s="137"/>
      <c r="O1055" s="139"/>
      <c r="P1055" s="139"/>
      <c r="Q1055" s="139"/>
      <c r="R1055" s="139"/>
      <c r="S1055" s="139"/>
      <c r="U1055" s="20">
        <v>2</v>
      </c>
      <c r="V1055" s="20">
        <v>0</v>
      </c>
      <c r="Y1055" s="71" t="b">
        <v>0</v>
      </c>
      <c r="AA1055" s="20" t="b">
        <v>1</v>
      </c>
      <c r="AE1055" s="20">
        <f t="shared" si="94"/>
        <v>14</v>
      </c>
      <c r="AH1055" s="61">
        <v>0.1</v>
      </c>
      <c r="AI1055" s="61">
        <v>1</v>
      </c>
      <c r="AJ1055" s="20">
        <v>2</v>
      </c>
      <c r="AL1055" s="108">
        <v>35</v>
      </c>
    </row>
    <row r="1056" spans="1:45">
      <c r="A1056" s="137">
        <v>11000201</v>
      </c>
      <c r="B1056" s="137"/>
      <c r="C1056" s="137">
        <v>2</v>
      </c>
      <c r="D1056" s="137"/>
      <c r="E1056" s="137" t="s">
        <v>2632</v>
      </c>
      <c r="F1056" s="137" t="s">
        <v>3458</v>
      </c>
      <c r="G1056" s="137" t="s">
        <v>3459</v>
      </c>
      <c r="H1056" s="137" t="s">
        <v>2331</v>
      </c>
      <c r="I1056" s="137" t="str">
        <f>VLOOKUP(F1056,'#对话模型配置'!A:O,15,FALSE)</f>
        <v>newbie_oversea_clovis</v>
      </c>
      <c r="J1056" s="137" t="s">
        <v>3592</v>
      </c>
      <c r="K1056" s="138" t="s">
        <v>3593</v>
      </c>
      <c r="L1056" s="137">
        <v>110004</v>
      </c>
      <c r="M1056" s="137" t="s">
        <v>3289</v>
      </c>
      <c r="N1056" s="137"/>
      <c r="O1056" s="139"/>
      <c r="P1056" s="139"/>
      <c r="Q1056" s="139"/>
      <c r="R1056" s="139"/>
      <c r="S1056" s="139"/>
      <c r="U1056" s="20">
        <v>2</v>
      </c>
      <c r="V1056" s="20">
        <v>0</v>
      </c>
      <c r="Y1056" s="71" t="b">
        <v>0</v>
      </c>
      <c r="AA1056" s="20" t="b">
        <v>1</v>
      </c>
      <c r="AE1056" s="20">
        <f t="shared" si="94"/>
        <v>5</v>
      </c>
      <c r="AH1056" s="61">
        <v>0.1</v>
      </c>
      <c r="AI1056" s="61">
        <v>1</v>
      </c>
      <c r="AJ1056" s="20">
        <v>2</v>
      </c>
      <c r="AL1056" s="108">
        <v>35</v>
      </c>
    </row>
    <row r="1057" spans="1:45">
      <c r="A1057" s="137">
        <v>11000201</v>
      </c>
      <c r="B1057" s="137"/>
      <c r="C1057" s="137">
        <v>3</v>
      </c>
      <c r="D1057" s="137"/>
      <c r="E1057" s="137" t="s">
        <v>2632</v>
      </c>
      <c r="F1057" s="137" t="s">
        <v>2637</v>
      </c>
      <c r="G1057" s="137" t="s">
        <v>2335</v>
      </c>
      <c r="H1057" s="137" t="s">
        <v>2331</v>
      </c>
      <c r="I1057" s="137" t="str">
        <f>VLOOKUP(F1057,'#对话模型配置'!A:O,15,FALSE)</f>
        <v>newbie_oversea_andrea</v>
      </c>
      <c r="J1057" s="137" t="s">
        <v>3594</v>
      </c>
      <c r="K1057" s="138" t="s">
        <v>3595</v>
      </c>
      <c r="L1057" s="137">
        <v>110003</v>
      </c>
      <c r="M1057" s="137" t="s">
        <v>3289</v>
      </c>
      <c r="N1057" s="137"/>
      <c r="O1057" s="139"/>
      <c r="P1057" s="139"/>
      <c r="Q1057" s="139"/>
      <c r="R1057" s="139"/>
      <c r="S1057" s="139"/>
      <c r="U1057" s="20">
        <v>2</v>
      </c>
      <c r="V1057" s="20">
        <v>0</v>
      </c>
      <c r="Y1057" s="71" t="b">
        <v>0</v>
      </c>
      <c r="AA1057" s="20" t="b">
        <v>1</v>
      </c>
      <c r="AE1057" s="20">
        <f t="shared" si="94"/>
        <v>5</v>
      </c>
      <c r="AH1057" s="61">
        <v>0.1</v>
      </c>
      <c r="AI1057" s="61">
        <v>1</v>
      </c>
      <c r="AJ1057" s="20">
        <v>2</v>
      </c>
      <c r="AL1057" s="108">
        <v>35</v>
      </c>
    </row>
    <row r="1058" spans="1:45" ht="26">
      <c r="A1058" s="137">
        <v>11000201</v>
      </c>
      <c r="B1058" s="137"/>
      <c r="C1058" s="137">
        <v>4</v>
      </c>
      <c r="D1058" s="137"/>
      <c r="E1058" s="137" t="s">
        <v>2632</v>
      </c>
      <c r="F1058" s="137" t="s">
        <v>3458</v>
      </c>
      <c r="G1058" s="137" t="s">
        <v>3459</v>
      </c>
      <c r="H1058" s="137" t="s">
        <v>2331</v>
      </c>
      <c r="I1058" s="137" t="str">
        <f>VLOOKUP(F1058,'#对话模型配置'!A:O,15,FALSE)</f>
        <v>newbie_oversea_clovis</v>
      </c>
      <c r="J1058" s="137" t="s">
        <v>3596</v>
      </c>
      <c r="K1058" s="138" t="s">
        <v>3597</v>
      </c>
      <c r="L1058" s="137">
        <v>110004</v>
      </c>
      <c r="M1058" s="137" t="s">
        <v>3289</v>
      </c>
      <c r="N1058" s="137"/>
      <c r="O1058" s="139"/>
      <c r="P1058" s="139"/>
      <c r="Q1058" s="139"/>
      <c r="R1058" s="139"/>
      <c r="S1058" s="139"/>
      <c r="U1058" s="20">
        <v>2</v>
      </c>
      <c r="V1058" s="20">
        <v>0</v>
      </c>
      <c r="Y1058" s="71" t="b">
        <v>0</v>
      </c>
      <c r="AA1058" s="20" t="b">
        <v>1</v>
      </c>
      <c r="AE1058" s="20">
        <f t="shared" si="94"/>
        <v>11</v>
      </c>
      <c r="AH1058" s="61">
        <v>0.1</v>
      </c>
      <c r="AI1058" s="61">
        <v>1</v>
      </c>
      <c r="AJ1058" s="20">
        <v>2</v>
      </c>
      <c r="AL1058" s="108">
        <v>35</v>
      </c>
    </row>
    <row r="1059" spans="1:45">
      <c r="A1059" s="137">
        <v>11000202</v>
      </c>
      <c r="B1059" s="137"/>
      <c r="C1059" s="137">
        <v>1</v>
      </c>
      <c r="D1059" s="137"/>
      <c r="E1059" s="137" t="s">
        <v>2632</v>
      </c>
      <c r="F1059" s="137" t="s">
        <v>3588</v>
      </c>
      <c r="G1059" s="137" t="s">
        <v>3589</v>
      </c>
      <c r="H1059" s="137" t="s">
        <v>2331</v>
      </c>
      <c r="I1059" s="137" t="str">
        <f>VLOOKUP(F1059,'#对话模型配置'!A:O,15,FALSE)</f>
        <v>newbie_oversea_kabar</v>
      </c>
      <c r="J1059" s="137" t="s">
        <v>3598</v>
      </c>
      <c r="K1059" s="138" t="s">
        <v>3599</v>
      </c>
      <c r="L1059" s="137">
        <v>110005</v>
      </c>
      <c r="M1059" s="137" t="s">
        <v>3289</v>
      </c>
      <c r="N1059" s="137"/>
      <c r="O1059" s="139"/>
      <c r="P1059" s="139"/>
      <c r="Q1059" s="139"/>
      <c r="R1059" s="139"/>
      <c r="S1059" s="139"/>
      <c r="U1059" s="20">
        <v>2</v>
      </c>
      <c r="V1059" s="20">
        <v>0</v>
      </c>
      <c r="Y1059" s="71" t="b">
        <v>0</v>
      </c>
      <c r="AA1059" s="20" t="b">
        <v>1</v>
      </c>
      <c r="AE1059" s="20">
        <f t="shared" si="94"/>
        <v>7</v>
      </c>
      <c r="AH1059" s="61">
        <v>0.1</v>
      </c>
      <c r="AI1059" s="61">
        <v>1</v>
      </c>
      <c r="AJ1059" s="20">
        <v>2</v>
      </c>
      <c r="AL1059" s="108">
        <v>35</v>
      </c>
    </row>
    <row r="1060" spans="1:45" ht="26">
      <c r="A1060" s="137">
        <v>11000203</v>
      </c>
      <c r="B1060" s="137"/>
      <c r="C1060" s="137">
        <v>1</v>
      </c>
      <c r="D1060" s="137"/>
      <c r="E1060" s="137" t="s">
        <v>2632</v>
      </c>
      <c r="F1060" s="137" t="s">
        <v>3458</v>
      </c>
      <c r="G1060" s="137" t="s">
        <v>3459</v>
      </c>
      <c r="H1060" s="137" t="s">
        <v>2331</v>
      </c>
      <c r="I1060" s="137" t="str">
        <f>VLOOKUP(F1060,'#对话模型配置'!A:O,15,FALSE)</f>
        <v>newbie_oversea_clovis</v>
      </c>
      <c r="J1060" s="137" t="s">
        <v>3600</v>
      </c>
      <c r="K1060" s="138" t="s">
        <v>3601</v>
      </c>
      <c r="L1060" s="137">
        <v>110004</v>
      </c>
      <c r="M1060" s="137" t="s">
        <v>3289</v>
      </c>
      <c r="N1060" s="137"/>
      <c r="O1060" s="139"/>
      <c r="P1060" s="139"/>
      <c r="Q1060" s="139"/>
      <c r="R1060" s="139"/>
      <c r="S1060" s="139"/>
      <c r="U1060" s="20">
        <v>2</v>
      </c>
      <c r="V1060" s="20">
        <v>0</v>
      </c>
      <c r="Y1060" s="71" t="b">
        <v>0</v>
      </c>
      <c r="AA1060" s="20" t="b">
        <v>1</v>
      </c>
      <c r="AE1060" s="20">
        <f t="shared" si="94"/>
        <v>11</v>
      </c>
      <c r="AH1060" s="61">
        <v>0.1</v>
      </c>
      <c r="AI1060" s="61">
        <v>1</v>
      </c>
      <c r="AJ1060" s="20">
        <v>2</v>
      </c>
      <c r="AL1060" s="108">
        <v>35</v>
      </c>
    </row>
    <row r="1061" spans="1:45" ht="26">
      <c r="A1061" s="137">
        <v>11000204</v>
      </c>
      <c r="B1061" s="137"/>
      <c r="C1061" s="137">
        <v>1</v>
      </c>
      <c r="D1061" s="137"/>
      <c r="E1061" s="137" t="s">
        <v>2632</v>
      </c>
      <c r="F1061" s="137" t="s">
        <v>3458</v>
      </c>
      <c r="G1061" s="137" t="s">
        <v>3459</v>
      </c>
      <c r="H1061" s="137" t="s">
        <v>2331</v>
      </c>
      <c r="I1061" s="137" t="str">
        <f>VLOOKUP(F1061,'#对话模型配置'!A:O,15,FALSE)</f>
        <v>newbie_oversea_clovis</v>
      </c>
      <c r="J1061" s="137" t="s">
        <v>3602</v>
      </c>
      <c r="K1061" s="138" t="s">
        <v>3603</v>
      </c>
      <c r="L1061" s="137">
        <v>110004</v>
      </c>
      <c r="M1061" s="137" t="s">
        <v>3289</v>
      </c>
      <c r="N1061" s="137"/>
      <c r="O1061" s="139"/>
      <c r="P1061" s="139"/>
      <c r="Q1061" s="139"/>
      <c r="R1061" s="139"/>
      <c r="S1061" s="139"/>
      <c r="U1061" s="20">
        <v>2</v>
      </c>
      <c r="V1061" s="20">
        <v>0</v>
      </c>
      <c r="Y1061" s="71" t="b">
        <v>0</v>
      </c>
      <c r="AA1061" s="20" t="b">
        <v>1</v>
      </c>
      <c r="AE1061" s="20">
        <f t="shared" si="94"/>
        <v>12</v>
      </c>
      <c r="AH1061" s="61">
        <v>0.1</v>
      </c>
      <c r="AI1061" s="61">
        <v>1</v>
      </c>
      <c r="AJ1061" s="20">
        <v>2</v>
      </c>
      <c r="AL1061" s="108">
        <v>35</v>
      </c>
    </row>
    <row r="1062" spans="1:45">
      <c r="A1062" s="137">
        <v>11000204</v>
      </c>
      <c r="B1062" s="137"/>
      <c r="C1062" s="137">
        <v>2</v>
      </c>
      <c r="D1062" s="137"/>
      <c r="E1062" s="137" t="s">
        <v>2632</v>
      </c>
      <c r="F1062" s="137" t="s">
        <v>3458</v>
      </c>
      <c r="G1062" s="137" t="s">
        <v>3459</v>
      </c>
      <c r="H1062" s="137" t="s">
        <v>2331</v>
      </c>
      <c r="I1062" s="137" t="str">
        <f>VLOOKUP(F1062,'#对话模型配置'!A:O,15,FALSE)</f>
        <v>newbie_oversea_clovis</v>
      </c>
      <c r="J1062" s="137" t="s">
        <v>3604</v>
      </c>
      <c r="K1062" s="138" t="s">
        <v>3605</v>
      </c>
      <c r="L1062" s="137">
        <v>110004</v>
      </c>
      <c r="M1062" s="137" t="s">
        <v>3289</v>
      </c>
      <c r="N1062" s="137"/>
      <c r="O1062" s="139"/>
      <c r="P1062" s="139"/>
      <c r="Q1062" s="139"/>
      <c r="R1062" s="139"/>
      <c r="S1062" s="139"/>
      <c r="U1062" s="20">
        <v>2</v>
      </c>
      <c r="V1062" s="20">
        <v>0</v>
      </c>
      <c r="Y1062" s="71" t="b">
        <v>0</v>
      </c>
      <c r="AA1062" s="20" t="b">
        <v>1</v>
      </c>
      <c r="AE1062" s="20">
        <f t="shared" si="94"/>
        <v>5</v>
      </c>
      <c r="AH1062" s="61">
        <v>0.1</v>
      </c>
      <c r="AI1062" s="61">
        <v>1</v>
      </c>
      <c r="AJ1062" s="20">
        <v>2</v>
      </c>
      <c r="AL1062" s="108">
        <v>35</v>
      </c>
    </row>
    <row r="1063" spans="1:45">
      <c r="A1063" s="137">
        <v>11000205</v>
      </c>
      <c r="B1063" s="137"/>
      <c r="C1063" s="137">
        <v>1</v>
      </c>
      <c r="D1063" s="137"/>
      <c r="E1063" s="137" t="s">
        <v>2632</v>
      </c>
      <c r="F1063" s="137" t="s">
        <v>3588</v>
      </c>
      <c r="G1063" s="137" t="s">
        <v>3589</v>
      </c>
      <c r="H1063" s="137" t="s">
        <v>2331</v>
      </c>
      <c r="I1063" s="137" t="str">
        <f>VLOOKUP(F1063,'#对话模型配置'!A:O,15,FALSE)</f>
        <v>newbie_oversea_kabar</v>
      </c>
      <c r="J1063" s="137" t="s">
        <v>3606</v>
      </c>
      <c r="K1063" s="138" t="s">
        <v>3607</v>
      </c>
      <c r="L1063" s="137">
        <v>110005</v>
      </c>
      <c r="M1063" s="137" t="s">
        <v>3289</v>
      </c>
      <c r="N1063" s="137"/>
      <c r="O1063" s="139"/>
      <c r="P1063" s="139"/>
      <c r="Q1063" s="139"/>
      <c r="R1063" s="139"/>
      <c r="S1063" s="139"/>
      <c r="U1063" s="20">
        <v>2</v>
      </c>
      <c r="V1063" s="20">
        <v>0</v>
      </c>
      <c r="Y1063" s="71" t="b">
        <v>0</v>
      </c>
      <c r="AA1063" s="20" t="b">
        <v>1</v>
      </c>
      <c r="AE1063" s="20">
        <f t="shared" si="94"/>
        <v>5</v>
      </c>
      <c r="AH1063" s="61">
        <v>0.1</v>
      </c>
      <c r="AI1063" s="61">
        <v>1</v>
      </c>
      <c r="AJ1063" s="20">
        <v>2</v>
      </c>
      <c r="AL1063" s="108">
        <v>35</v>
      </c>
    </row>
    <row r="1064" spans="1:45">
      <c r="A1064" s="137">
        <v>11000206</v>
      </c>
      <c r="B1064" s="137"/>
      <c r="C1064" s="137">
        <v>1</v>
      </c>
      <c r="D1064" s="137"/>
      <c r="E1064" s="137" t="s">
        <v>2632</v>
      </c>
      <c r="F1064" s="137" t="s">
        <v>2637</v>
      </c>
      <c r="G1064" s="137" t="s">
        <v>2335</v>
      </c>
      <c r="H1064" s="137" t="s">
        <v>2331</v>
      </c>
      <c r="I1064" s="137" t="str">
        <f>VLOOKUP(F1064,'#对话模型配置'!A:O,15,FALSE)</f>
        <v>newbie_oversea_andrea</v>
      </c>
      <c r="J1064" s="137" t="s">
        <v>3608</v>
      </c>
      <c r="K1064" s="138" t="s">
        <v>3609</v>
      </c>
      <c r="L1064" s="137">
        <v>110003</v>
      </c>
      <c r="M1064" s="137" t="s">
        <v>3289</v>
      </c>
      <c r="N1064" s="137"/>
      <c r="O1064" s="139"/>
      <c r="P1064" s="139"/>
      <c r="Q1064" s="139"/>
      <c r="R1064" s="139"/>
      <c r="S1064" s="139"/>
      <c r="U1064" s="20">
        <v>2</v>
      </c>
      <c r="V1064" s="20">
        <v>0</v>
      </c>
      <c r="Y1064" s="71" t="b">
        <v>0</v>
      </c>
      <c r="AA1064" s="20" t="b">
        <v>1</v>
      </c>
      <c r="AE1064" s="20">
        <f t="shared" si="94"/>
        <v>5</v>
      </c>
      <c r="AH1064" s="61">
        <v>0.1</v>
      </c>
      <c r="AI1064" s="61">
        <v>1</v>
      </c>
      <c r="AJ1064" s="20">
        <v>2</v>
      </c>
      <c r="AL1064" s="108">
        <v>35</v>
      </c>
    </row>
    <row r="1065" spans="1:45">
      <c r="A1065" s="76" t="s">
        <v>3610</v>
      </c>
      <c r="B1065" s="76" t="s">
        <v>3380</v>
      </c>
      <c r="C1065" s="76">
        <v>1</v>
      </c>
      <c r="D1065" s="76"/>
      <c r="E1065" s="76" t="s">
        <v>2632</v>
      </c>
      <c r="F1065" s="76" t="s">
        <v>2793</v>
      </c>
      <c r="G1065" s="76" t="s">
        <v>3301</v>
      </c>
      <c r="H1065" s="76" t="s">
        <v>2331</v>
      </c>
      <c r="I1065" s="76" t="str">
        <f>VLOOKUP(F1065,'#对话模型配置'!A:O,15,FALSE)</f>
        <v>newbie_oversea_joa</v>
      </c>
      <c r="J1065" s="76" t="s">
        <v>3611</v>
      </c>
      <c r="K1065" s="136" t="s">
        <v>3612</v>
      </c>
      <c r="L1065" s="76">
        <v>110002</v>
      </c>
      <c r="M1065" s="76" t="s">
        <v>3289</v>
      </c>
      <c r="N1065" s="76"/>
      <c r="O1065" s="132" t="s">
        <v>3613</v>
      </c>
      <c r="P1065" s="132"/>
      <c r="Q1065" s="132"/>
      <c r="R1065" s="132" t="s">
        <v>3614</v>
      </c>
      <c r="S1065" s="132"/>
      <c r="U1065" s="20">
        <v>2</v>
      </c>
      <c r="V1065" s="20">
        <v>0</v>
      </c>
      <c r="Y1065" s="71" t="b">
        <v>0</v>
      </c>
      <c r="AA1065" s="20" t="b">
        <v>1</v>
      </c>
      <c r="AE1065" s="20">
        <f t="shared" si="94"/>
        <v>5</v>
      </c>
      <c r="AH1065" s="61">
        <v>0.1</v>
      </c>
      <c r="AI1065" s="61">
        <v>1</v>
      </c>
      <c r="AJ1065" s="20">
        <v>2</v>
      </c>
      <c r="AL1065" s="108">
        <v>35</v>
      </c>
      <c r="AS1065" s="20" t="s">
        <v>3282</v>
      </c>
    </row>
    <row r="1066" spans="1:45">
      <c r="A1066" s="76" t="s">
        <v>3610</v>
      </c>
      <c r="B1066" s="76" t="s">
        <v>3380</v>
      </c>
      <c r="C1066" s="76">
        <v>2</v>
      </c>
      <c r="D1066" s="76"/>
      <c r="E1066" s="76" t="s">
        <v>2632</v>
      </c>
      <c r="F1066" s="76" t="s">
        <v>2637</v>
      </c>
      <c r="G1066" s="76" t="s">
        <v>2335</v>
      </c>
      <c r="H1066" s="76" t="s">
        <v>2331</v>
      </c>
      <c r="I1066" s="76" t="str">
        <f>VLOOKUP(F1066,'#对话模型配置'!A:O,15,FALSE)</f>
        <v>newbie_oversea_andrea</v>
      </c>
      <c r="J1066" s="76" t="s">
        <v>3615</v>
      </c>
      <c r="K1066" s="136" t="s">
        <v>3616</v>
      </c>
      <c r="L1066" s="76">
        <v>110003</v>
      </c>
      <c r="M1066" s="76" t="s">
        <v>3289</v>
      </c>
      <c r="N1066" s="76"/>
      <c r="O1066" s="132" t="s">
        <v>3617</v>
      </c>
      <c r="P1066" s="132"/>
      <c r="Q1066" s="132"/>
      <c r="R1066" s="132"/>
      <c r="S1066" s="132"/>
      <c r="U1066" s="20">
        <v>2</v>
      </c>
      <c r="V1066" s="20">
        <v>0</v>
      </c>
      <c r="Y1066" s="71" t="b">
        <v>0</v>
      </c>
      <c r="AA1066" s="20" t="b">
        <v>1</v>
      </c>
      <c r="AE1066" s="20">
        <f t="shared" si="94"/>
        <v>8</v>
      </c>
      <c r="AH1066" s="61">
        <v>0.1</v>
      </c>
      <c r="AI1066" s="61">
        <v>1</v>
      </c>
      <c r="AJ1066" s="20">
        <v>2</v>
      </c>
      <c r="AL1066" s="108">
        <v>35</v>
      </c>
    </row>
    <row r="1067" spans="1:45">
      <c r="A1067" s="76" t="s">
        <v>3610</v>
      </c>
      <c r="B1067" s="76" t="s">
        <v>3380</v>
      </c>
      <c r="C1067" s="76">
        <v>3</v>
      </c>
      <c r="D1067" s="76"/>
      <c r="E1067" s="76" t="s">
        <v>2632</v>
      </c>
      <c r="F1067" s="76" t="s">
        <v>2793</v>
      </c>
      <c r="G1067" s="76" t="s">
        <v>3301</v>
      </c>
      <c r="H1067" s="76" t="s">
        <v>2331</v>
      </c>
      <c r="I1067" s="76" t="str">
        <f>VLOOKUP(F1067,'#对话模型配置'!A:O,15,FALSE)</f>
        <v>newbie_oversea_joa</v>
      </c>
      <c r="J1067" s="76" t="s">
        <v>3618</v>
      </c>
      <c r="K1067" s="136" t="s">
        <v>3619</v>
      </c>
      <c r="L1067" s="76">
        <v>110002</v>
      </c>
      <c r="M1067" s="76" t="s">
        <v>3289</v>
      </c>
      <c r="N1067" s="76"/>
      <c r="O1067" s="132" t="s">
        <v>3613</v>
      </c>
      <c r="P1067" s="132"/>
      <c r="Q1067" s="132"/>
      <c r="R1067" s="132"/>
      <c r="S1067" s="132"/>
      <c r="U1067" s="20">
        <v>2</v>
      </c>
      <c r="V1067" s="20">
        <v>0</v>
      </c>
      <c r="Y1067" s="71" t="b">
        <v>0</v>
      </c>
      <c r="AA1067" s="20" t="b">
        <v>1</v>
      </c>
      <c r="AE1067" s="20">
        <f t="shared" si="94"/>
        <v>6</v>
      </c>
      <c r="AH1067" s="61">
        <v>0.1</v>
      </c>
      <c r="AI1067" s="61">
        <v>1</v>
      </c>
      <c r="AJ1067" s="20">
        <v>2</v>
      </c>
      <c r="AL1067" s="108">
        <v>35</v>
      </c>
    </row>
    <row r="1068" spans="1:45">
      <c r="A1068" s="76" t="s">
        <v>3610</v>
      </c>
      <c r="B1068" s="76" t="s">
        <v>3380</v>
      </c>
      <c r="C1068" s="76">
        <v>4</v>
      </c>
      <c r="D1068" s="76"/>
      <c r="E1068" s="76" t="s">
        <v>2632</v>
      </c>
      <c r="F1068" s="76" t="s">
        <v>2637</v>
      </c>
      <c r="G1068" s="76" t="s">
        <v>2335</v>
      </c>
      <c r="H1068" s="76" t="s">
        <v>2331</v>
      </c>
      <c r="I1068" s="76" t="str">
        <f>VLOOKUP(F1068,'#对话模型配置'!A:O,15,FALSE)</f>
        <v>newbie_oversea_andrea</v>
      </c>
      <c r="J1068" s="76" t="s">
        <v>3620</v>
      </c>
      <c r="K1068" s="136" t="s">
        <v>3621</v>
      </c>
      <c r="L1068" s="76">
        <v>110003</v>
      </c>
      <c r="M1068" s="76" t="s">
        <v>3289</v>
      </c>
      <c r="N1068" s="76"/>
      <c r="O1068" s="132" t="s">
        <v>3617</v>
      </c>
      <c r="P1068" s="132"/>
      <c r="Q1068" s="132"/>
      <c r="R1068" s="132"/>
      <c r="S1068" s="132"/>
      <c r="U1068" s="20">
        <v>2</v>
      </c>
      <c r="V1068" s="20">
        <v>0</v>
      </c>
      <c r="Y1068" s="71" t="b">
        <v>0</v>
      </c>
      <c r="AA1068" s="20" t="b">
        <v>1</v>
      </c>
      <c r="AE1068" s="20">
        <f t="shared" si="94"/>
        <v>5</v>
      </c>
      <c r="AH1068" s="61">
        <v>0.1</v>
      </c>
      <c r="AI1068" s="61">
        <v>1</v>
      </c>
      <c r="AJ1068" s="20">
        <v>2</v>
      </c>
      <c r="AL1068" s="108">
        <v>35</v>
      </c>
    </row>
    <row r="1069" spans="1:45" ht="26">
      <c r="A1069" s="76" t="s">
        <v>3610</v>
      </c>
      <c r="B1069" s="76" t="s">
        <v>3380</v>
      </c>
      <c r="C1069" s="76">
        <v>5</v>
      </c>
      <c r="D1069" s="76"/>
      <c r="E1069" s="76" t="s">
        <v>2632</v>
      </c>
      <c r="F1069" s="76" t="s">
        <v>2793</v>
      </c>
      <c r="G1069" s="76" t="s">
        <v>3301</v>
      </c>
      <c r="H1069" s="76" t="s">
        <v>2331</v>
      </c>
      <c r="I1069" s="76" t="str">
        <f>VLOOKUP(F1069,'#对话模型配置'!A:O,15,FALSE)</f>
        <v>newbie_oversea_joa</v>
      </c>
      <c r="J1069" s="76" t="s">
        <v>3622</v>
      </c>
      <c r="K1069" s="136" t="s">
        <v>3623</v>
      </c>
      <c r="L1069" s="76">
        <v>110002</v>
      </c>
      <c r="M1069" s="76" t="s">
        <v>3289</v>
      </c>
      <c r="N1069" s="76"/>
      <c r="O1069" s="132" t="s">
        <v>3613</v>
      </c>
      <c r="P1069" s="132"/>
      <c r="Q1069" s="132"/>
      <c r="R1069" s="132"/>
      <c r="S1069" s="132"/>
      <c r="U1069" s="20">
        <v>2</v>
      </c>
      <c r="V1069" s="20">
        <v>0</v>
      </c>
      <c r="Y1069" s="71" t="b">
        <v>0</v>
      </c>
      <c r="AA1069" s="20" t="b">
        <v>1</v>
      </c>
      <c r="AE1069" s="20">
        <f t="shared" si="94"/>
        <v>10</v>
      </c>
      <c r="AH1069" s="61">
        <v>0.1</v>
      </c>
      <c r="AI1069" s="61">
        <v>1</v>
      </c>
      <c r="AJ1069" s="20">
        <v>2</v>
      </c>
      <c r="AL1069" s="108">
        <v>35</v>
      </c>
    </row>
    <row r="1070" spans="1:45">
      <c r="A1070" s="76" t="s">
        <v>3610</v>
      </c>
      <c r="B1070" s="76" t="s">
        <v>3380</v>
      </c>
      <c r="C1070" s="76">
        <v>6</v>
      </c>
      <c r="D1070" s="76"/>
      <c r="E1070" s="76" t="s">
        <v>2632</v>
      </c>
      <c r="F1070" s="76" t="s">
        <v>2637</v>
      </c>
      <c r="G1070" s="76" t="s">
        <v>2335</v>
      </c>
      <c r="H1070" s="76" t="s">
        <v>2331</v>
      </c>
      <c r="I1070" s="76" t="str">
        <f>VLOOKUP(F1070,'#对话模型配置'!A:O,15,FALSE)</f>
        <v>newbie_oversea_andrea</v>
      </c>
      <c r="J1070" s="76" t="s">
        <v>3624</v>
      </c>
      <c r="K1070" s="136" t="s">
        <v>3625</v>
      </c>
      <c r="L1070" s="76">
        <v>110003</v>
      </c>
      <c r="M1070" s="76" t="s">
        <v>3289</v>
      </c>
      <c r="N1070" s="76"/>
      <c r="O1070" s="132" t="s">
        <v>3617</v>
      </c>
      <c r="P1070" s="132"/>
      <c r="Q1070" s="132"/>
      <c r="R1070" s="132"/>
      <c r="S1070" s="132"/>
      <c r="U1070" s="20">
        <v>2</v>
      </c>
      <c r="V1070" s="20">
        <v>0</v>
      </c>
      <c r="Y1070" s="71" t="b">
        <v>0</v>
      </c>
      <c r="AA1070" s="20" t="b">
        <v>1</v>
      </c>
      <c r="AE1070" s="20">
        <f t="shared" si="94"/>
        <v>5</v>
      </c>
      <c r="AH1070" s="61">
        <v>0.1</v>
      </c>
      <c r="AI1070" s="61">
        <v>1</v>
      </c>
      <c r="AJ1070" s="20">
        <v>2</v>
      </c>
      <c r="AL1070" s="108">
        <v>35</v>
      </c>
    </row>
    <row r="1071" spans="1:45" ht="26">
      <c r="A1071" s="76" t="s">
        <v>3610</v>
      </c>
      <c r="B1071" s="76" t="s">
        <v>3380</v>
      </c>
      <c r="C1071" s="76">
        <v>7</v>
      </c>
      <c r="D1071" s="76"/>
      <c r="E1071" s="76" t="s">
        <v>2632</v>
      </c>
      <c r="F1071" s="76" t="s">
        <v>3357</v>
      </c>
      <c r="G1071" s="76" t="s">
        <v>3358</v>
      </c>
      <c r="H1071" s="76" t="s">
        <v>2331</v>
      </c>
      <c r="I1071" s="76" t="str">
        <f>VLOOKUP(F1071,'#对话模型配置'!A:O,15,FALSE)</f>
        <v>newbie_oversea_caesar</v>
      </c>
      <c r="J1071" s="76" t="s">
        <v>3626</v>
      </c>
      <c r="K1071" s="136" t="s">
        <v>3627</v>
      </c>
      <c r="L1071" s="76">
        <v>110001</v>
      </c>
      <c r="M1071" s="129" t="s">
        <v>3361</v>
      </c>
      <c r="N1071" s="129"/>
      <c r="O1071" s="132" t="s">
        <v>3628</v>
      </c>
      <c r="P1071" s="132"/>
      <c r="Q1071" s="132"/>
      <c r="R1071" s="132"/>
      <c r="S1071" s="132"/>
      <c r="U1071" s="20">
        <v>2</v>
      </c>
      <c r="V1071" s="20">
        <v>0</v>
      </c>
      <c r="Y1071" s="71" t="b">
        <v>0</v>
      </c>
      <c r="AA1071" s="20" t="b">
        <v>1</v>
      </c>
      <c r="AE1071" s="20">
        <f t="shared" si="94"/>
        <v>9</v>
      </c>
      <c r="AH1071" s="61">
        <v>0.1</v>
      </c>
      <c r="AI1071" s="61">
        <v>1</v>
      </c>
      <c r="AJ1071" s="20">
        <v>2</v>
      </c>
      <c r="AL1071" s="108">
        <v>35</v>
      </c>
    </row>
    <row r="1072" spans="1:45" ht="26">
      <c r="A1072" s="129" t="s">
        <v>3629</v>
      </c>
      <c r="B1072" s="129" t="s">
        <v>3380</v>
      </c>
      <c r="C1072" s="129">
        <v>1</v>
      </c>
      <c r="D1072" s="129"/>
      <c r="E1072" s="129" t="s">
        <v>2632</v>
      </c>
      <c r="F1072" s="129" t="s">
        <v>2637</v>
      </c>
      <c r="G1072" s="129" t="s">
        <v>2335</v>
      </c>
      <c r="H1072" s="129" t="s">
        <v>2331</v>
      </c>
      <c r="I1072" s="129" t="str">
        <f>VLOOKUP(F1072,'#对话模型配置'!A:O,15,FALSE)</f>
        <v>newbie_oversea_andrea</v>
      </c>
      <c r="J1072" s="129" t="s">
        <v>3630</v>
      </c>
      <c r="K1072" s="135" t="s">
        <v>3631</v>
      </c>
      <c r="L1072" s="129">
        <v>110003</v>
      </c>
      <c r="M1072" s="129" t="s">
        <v>3289</v>
      </c>
      <c r="N1072" s="129"/>
      <c r="O1072" s="134" t="s">
        <v>3632</v>
      </c>
      <c r="P1072" s="134"/>
      <c r="Q1072" s="134"/>
      <c r="R1072" s="134" t="s">
        <v>3633</v>
      </c>
      <c r="S1072" s="134"/>
      <c r="U1072" s="20">
        <v>2</v>
      </c>
      <c r="V1072" s="20">
        <v>0</v>
      </c>
      <c r="Y1072" s="71" t="b">
        <v>0</v>
      </c>
      <c r="AA1072" s="20" t="b">
        <v>1</v>
      </c>
      <c r="AE1072" s="20">
        <f t="shared" si="94"/>
        <v>12</v>
      </c>
      <c r="AH1072" s="61">
        <v>0.1</v>
      </c>
      <c r="AI1072" s="61">
        <v>1</v>
      </c>
      <c r="AJ1072" s="20">
        <v>2</v>
      </c>
      <c r="AL1072" s="108">
        <v>35</v>
      </c>
      <c r="AS1072" s="20" t="s">
        <v>3300</v>
      </c>
    </row>
    <row r="1073" spans="1:45" ht="26">
      <c r="A1073" s="129" t="s">
        <v>3629</v>
      </c>
      <c r="B1073" s="129" t="s">
        <v>3380</v>
      </c>
      <c r="C1073" s="129">
        <v>2</v>
      </c>
      <c r="D1073" s="129"/>
      <c r="E1073" s="129" t="s">
        <v>2632</v>
      </c>
      <c r="F1073" s="129" t="s">
        <v>3357</v>
      </c>
      <c r="G1073" s="129" t="s">
        <v>3358</v>
      </c>
      <c r="H1073" s="129" t="s">
        <v>2331</v>
      </c>
      <c r="I1073" s="129" t="str">
        <f>VLOOKUP(F1073,'#对话模型配置'!A:O,15,FALSE)</f>
        <v>newbie_oversea_caesar</v>
      </c>
      <c r="J1073" s="129" t="s">
        <v>3634</v>
      </c>
      <c r="K1073" s="135" t="s">
        <v>3635</v>
      </c>
      <c r="L1073" s="129">
        <v>110001</v>
      </c>
      <c r="M1073" s="129" t="s">
        <v>3361</v>
      </c>
      <c r="N1073" s="129"/>
      <c r="O1073" s="134" t="s">
        <v>3636</v>
      </c>
      <c r="P1073" s="134"/>
      <c r="Q1073" s="134"/>
      <c r="R1073" s="134"/>
      <c r="S1073" s="134"/>
      <c r="U1073" s="20">
        <v>2</v>
      </c>
      <c r="V1073" s="20">
        <v>0</v>
      </c>
      <c r="Y1073" s="71" t="b">
        <v>0</v>
      </c>
      <c r="AA1073" s="20" t="b">
        <v>1</v>
      </c>
      <c r="AE1073" s="20">
        <f t="shared" si="94"/>
        <v>15</v>
      </c>
      <c r="AH1073" s="61">
        <v>0.1</v>
      </c>
      <c r="AI1073" s="61">
        <v>1</v>
      </c>
      <c r="AJ1073" s="20">
        <v>2</v>
      </c>
      <c r="AL1073" s="108">
        <v>35</v>
      </c>
    </row>
    <row r="1074" spans="1:45" ht="26">
      <c r="A1074" s="129" t="s">
        <v>3629</v>
      </c>
      <c r="B1074" s="129" t="s">
        <v>3380</v>
      </c>
      <c r="C1074" s="129">
        <v>3</v>
      </c>
      <c r="D1074" s="129"/>
      <c r="E1074" s="129" t="s">
        <v>2632</v>
      </c>
      <c r="F1074" s="129" t="s">
        <v>2637</v>
      </c>
      <c r="G1074" s="129" t="s">
        <v>2335</v>
      </c>
      <c r="H1074" s="129" t="s">
        <v>2331</v>
      </c>
      <c r="I1074" s="129" t="str">
        <f>VLOOKUP(F1074,'#对话模型配置'!A:O,15,FALSE)</f>
        <v>newbie_oversea_andrea</v>
      </c>
      <c r="J1074" s="129" t="s">
        <v>3637</v>
      </c>
      <c r="K1074" s="135" t="s">
        <v>3638</v>
      </c>
      <c r="L1074" s="129">
        <v>110003</v>
      </c>
      <c r="M1074" s="129" t="s">
        <v>3289</v>
      </c>
      <c r="N1074" s="129"/>
      <c r="O1074" s="134" t="s">
        <v>3632</v>
      </c>
      <c r="P1074" s="134"/>
      <c r="Q1074" s="134"/>
      <c r="R1074" s="134"/>
      <c r="S1074" s="134"/>
      <c r="U1074" s="20">
        <v>2</v>
      </c>
      <c r="V1074" s="20">
        <v>0</v>
      </c>
      <c r="Y1074" s="71" t="b">
        <v>0</v>
      </c>
      <c r="AA1074" s="20" t="b">
        <v>1</v>
      </c>
      <c r="AE1074" s="20">
        <f t="shared" ref="AE1074:AE1137" si="95">IF(LEN(K1074)/5&lt;5,5,ROUND(LEN(K1074)/4.5,0))</f>
        <v>13</v>
      </c>
      <c r="AH1074" s="61">
        <v>0.1</v>
      </c>
      <c r="AI1074" s="61">
        <v>1</v>
      </c>
      <c r="AJ1074" s="20">
        <v>2</v>
      </c>
      <c r="AL1074" s="108">
        <v>35</v>
      </c>
    </row>
    <row r="1075" spans="1:45" ht="26">
      <c r="A1075" s="129" t="s">
        <v>3629</v>
      </c>
      <c r="B1075" s="129" t="s">
        <v>3380</v>
      </c>
      <c r="C1075" s="129">
        <v>4</v>
      </c>
      <c r="D1075" s="129"/>
      <c r="E1075" s="129" t="s">
        <v>2632</v>
      </c>
      <c r="F1075" s="129" t="s">
        <v>2637</v>
      </c>
      <c r="G1075" s="129" t="s">
        <v>2335</v>
      </c>
      <c r="H1075" s="129" t="s">
        <v>2331</v>
      </c>
      <c r="I1075" s="129" t="str">
        <f>VLOOKUP(F1075,'#对话模型配置'!A:O,15,FALSE)</f>
        <v>newbie_oversea_andrea</v>
      </c>
      <c r="J1075" s="129" t="s">
        <v>3639</v>
      </c>
      <c r="K1075" s="135" t="s">
        <v>3640</v>
      </c>
      <c r="L1075" s="129">
        <v>110003</v>
      </c>
      <c r="M1075" s="129" t="s">
        <v>3289</v>
      </c>
      <c r="N1075" s="129"/>
      <c r="O1075" s="134" t="s">
        <v>3632</v>
      </c>
      <c r="P1075" s="134"/>
      <c r="Q1075" s="134"/>
      <c r="R1075" s="134"/>
      <c r="S1075" s="134"/>
      <c r="U1075" s="20">
        <v>2</v>
      </c>
      <c r="V1075" s="20">
        <v>0</v>
      </c>
      <c r="Y1075" s="71" t="b">
        <v>0</v>
      </c>
      <c r="AA1075" s="20" t="b">
        <v>1</v>
      </c>
      <c r="AE1075" s="20">
        <f t="shared" si="95"/>
        <v>11</v>
      </c>
      <c r="AH1075" s="61">
        <v>0.1</v>
      </c>
      <c r="AI1075" s="61">
        <v>1</v>
      </c>
      <c r="AJ1075" s="20">
        <v>2</v>
      </c>
      <c r="AL1075" s="108">
        <v>35</v>
      </c>
    </row>
    <row r="1076" spans="1:45">
      <c r="A1076" s="76" t="s">
        <v>3641</v>
      </c>
      <c r="B1076" s="76" t="s">
        <v>3380</v>
      </c>
      <c r="C1076" s="76">
        <v>1</v>
      </c>
      <c r="D1076" s="76"/>
      <c r="E1076" s="76" t="s">
        <v>2632</v>
      </c>
      <c r="F1076" s="76" t="s">
        <v>3357</v>
      </c>
      <c r="G1076" s="76" t="s">
        <v>3358</v>
      </c>
      <c r="H1076" s="76" t="s">
        <v>2331</v>
      </c>
      <c r="I1076" s="76" t="str">
        <f>VLOOKUP(F1076,'#对话模型配置'!A:O,15,FALSE)</f>
        <v>newbie_oversea_caesar</v>
      </c>
      <c r="J1076" s="76" t="s">
        <v>3642</v>
      </c>
      <c r="K1076" s="136" t="s">
        <v>3643</v>
      </c>
      <c r="L1076" s="76">
        <v>110001</v>
      </c>
      <c r="M1076" s="129" t="s">
        <v>3361</v>
      </c>
      <c r="N1076" s="129"/>
      <c r="O1076" s="132" t="s">
        <v>3644</v>
      </c>
      <c r="P1076" s="132"/>
      <c r="Q1076" s="132"/>
      <c r="R1076" s="132" t="s">
        <v>3645</v>
      </c>
      <c r="S1076" s="132"/>
      <c r="U1076" s="20">
        <v>2</v>
      </c>
      <c r="V1076" s="20">
        <v>0</v>
      </c>
      <c r="Y1076" s="71" t="b">
        <v>0</v>
      </c>
      <c r="AA1076" s="20" t="b">
        <v>1</v>
      </c>
      <c r="AE1076" s="20">
        <f t="shared" si="95"/>
        <v>7</v>
      </c>
      <c r="AH1076" s="61">
        <v>0.1</v>
      </c>
      <c r="AI1076" s="61">
        <v>1</v>
      </c>
      <c r="AJ1076" s="20">
        <v>2</v>
      </c>
      <c r="AL1076" s="108">
        <v>35</v>
      </c>
      <c r="AS1076" s="20" t="s">
        <v>3385</v>
      </c>
    </row>
    <row r="1077" spans="1:45" ht="26">
      <c r="A1077" s="76" t="s">
        <v>3641</v>
      </c>
      <c r="B1077" s="76" t="s">
        <v>3380</v>
      </c>
      <c r="C1077" s="76">
        <v>2</v>
      </c>
      <c r="D1077" s="76"/>
      <c r="E1077" s="76" t="s">
        <v>2632</v>
      </c>
      <c r="F1077" s="76" t="s">
        <v>2637</v>
      </c>
      <c r="G1077" s="76" t="s">
        <v>2335</v>
      </c>
      <c r="H1077" s="76" t="s">
        <v>2331</v>
      </c>
      <c r="I1077" s="76" t="str">
        <f>VLOOKUP(F1077,'#对话模型配置'!A:O,15,FALSE)</f>
        <v>newbie_oversea_andrea</v>
      </c>
      <c r="J1077" s="76" t="s">
        <v>3646</v>
      </c>
      <c r="K1077" s="136" t="s">
        <v>3647</v>
      </c>
      <c r="L1077" s="76">
        <v>110003</v>
      </c>
      <c r="M1077" s="76" t="s">
        <v>3289</v>
      </c>
      <c r="N1077" s="76"/>
      <c r="O1077" s="132" t="s">
        <v>3648</v>
      </c>
      <c r="P1077" s="132"/>
      <c r="Q1077" s="132"/>
      <c r="R1077" s="132"/>
      <c r="S1077" s="132"/>
      <c r="U1077" s="20">
        <v>2</v>
      </c>
      <c r="V1077" s="20">
        <v>0</v>
      </c>
      <c r="Y1077" s="71" t="b">
        <v>0</v>
      </c>
      <c r="AA1077" s="20" t="b">
        <v>1</v>
      </c>
      <c r="AE1077" s="20">
        <f t="shared" si="95"/>
        <v>13</v>
      </c>
      <c r="AH1077" s="61">
        <v>0.1</v>
      </c>
      <c r="AI1077" s="61">
        <v>1</v>
      </c>
      <c r="AJ1077" s="20">
        <v>2</v>
      </c>
      <c r="AL1077" s="108">
        <v>35</v>
      </c>
    </row>
    <row r="1078" spans="1:45" ht="26">
      <c r="A1078" s="76" t="s">
        <v>3641</v>
      </c>
      <c r="B1078" s="76" t="s">
        <v>3380</v>
      </c>
      <c r="C1078" s="76">
        <v>3</v>
      </c>
      <c r="D1078" s="76"/>
      <c r="E1078" s="76" t="s">
        <v>2632</v>
      </c>
      <c r="F1078" s="76" t="s">
        <v>2637</v>
      </c>
      <c r="G1078" s="76" t="s">
        <v>2335</v>
      </c>
      <c r="H1078" s="76" t="s">
        <v>2331</v>
      </c>
      <c r="I1078" s="76" t="str">
        <f>VLOOKUP(F1078,'#对话模型配置'!A:O,15,FALSE)</f>
        <v>newbie_oversea_andrea</v>
      </c>
      <c r="J1078" s="76" t="s">
        <v>3649</v>
      </c>
      <c r="K1078" s="136" t="s">
        <v>3650</v>
      </c>
      <c r="L1078" s="76">
        <v>110003</v>
      </c>
      <c r="M1078" s="76" t="s">
        <v>3289</v>
      </c>
      <c r="N1078" s="76"/>
      <c r="O1078" s="132" t="s">
        <v>3648</v>
      </c>
      <c r="P1078" s="132"/>
      <c r="Q1078" s="132"/>
      <c r="R1078" s="132"/>
      <c r="S1078" s="132"/>
      <c r="U1078" s="20">
        <v>2</v>
      </c>
      <c r="V1078" s="20">
        <v>0</v>
      </c>
      <c r="Y1078" s="71" t="b">
        <v>0</v>
      </c>
      <c r="AA1078" s="20" t="b">
        <v>1</v>
      </c>
      <c r="AE1078" s="20">
        <f t="shared" si="95"/>
        <v>15</v>
      </c>
      <c r="AH1078" s="61">
        <v>0.1</v>
      </c>
      <c r="AI1078" s="61">
        <v>1</v>
      </c>
      <c r="AJ1078" s="20">
        <v>2</v>
      </c>
      <c r="AL1078" s="108">
        <v>35</v>
      </c>
    </row>
    <row r="1079" spans="1:45">
      <c r="A1079" s="76" t="s">
        <v>3641</v>
      </c>
      <c r="B1079" s="76" t="s">
        <v>3380</v>
      </c>
      <c r="C1079" s="76">
        <v>4</v>
      </c>
      <c r="D1079" s="76"/>
      <c r="E1079" s="76" t="s">
        <v>2632</v>
      </c>
      <c r="F1079" s="76" t="s">
        <v>2637</v>
      </c>
      <c r="G1079" s="76" t="s">
        <v>2335</v>
      </c>
      <c r="H1079" s="76" t="s">
        <v>2331</v>
      </c>
      <c r="I1079" s="76" t="str">
        <f>VLOOKUP(F1079,'#对话模型配置'!A:O,15,FALSE)</f>
        <v>newbie_oversea_andrea</v>
      </c>
      <c r="J1079" s="76" t="s">
        <v>3651</v>
      </c>
      <c r="K1079" s="136" t="s">
        <v>3652</v>
      </c>
      <c r="L1079" s="76">
        <v>110003</v>
      </c>
      <c r="M1079" s="76" t="s">
        <v>3289</v>
      </c>
      <c r="N1079" s="76"/>
      <c r="O1079" s="132" t="s">
        <v>3648</v>
      </c>
      <c r="P1079" s="132"/>
      <c r="Q1079" s="132"/>
      <c r="R1079" s="132"/>
      <c r="S1079" s="132"/>
      <c r="U1079" s="20">
        <v>2</v>
      </c>
      <c r="V1079" s="20">
        <v>0</v>
      </c>
      <c r="Y1079" s="71" t="b">
        <v>0</v>
      </c>
      <c r="AA1079" s="20" t="b">
        <v>1</v>
      </c>
      <c r="AE1079" s="20">
        <f t="shared" si="95"/>
        <v>7</v>
      </c>
      <c r="AH1079" s="61">
        <v>0.1</v>
      </c>
      <c r="AI1079" s="61">
        <v>1</v>
      </c>
      <c r="AJ1079" s="20">
        <v>2</v>
      </c>
      <c r="AL1079" s="108">
        <v>35</v>
      </c>
    </row>
    <row r="1080" spans="1:45">
      <c r="A1080" s="76" t="s">
        <v>3641</v>
      </c>
      <c r="B1080" s="76" t="s">
        <v>3380</v>
      </c>
      <c r="C1080" s="76">
        <v>5</v>
      </c>
      <c r="D1080" s="76"/>
      <c r="E1080" s="76" t="s">
        <v>2632</v>
      </c>
      <c r="F1080" s="76" t="s">
        <v>3357</v>
      </c>
      <c r="G1080" s="76" t="s">
        <v>3358</v>
      </c>
      <c r="H1080" s="76" t="s">
        <v>2331</v>
      </c>
      <c r="I1080" s="76" t="str">
        <f>VLOOKUP(F1080,'#对话模型配置'!A:O,15,FALSE)</f>
        <v>newbie_oversea_caesar</v>
      </c>
      <c r="J1080" s="76" t="s">
        <v>3653</v>
      </c>
      <c r="K1080" s="136" t="s">
        <v>3654</v>
      </c>
      <c r="L1080" s="76">
        <v>110001</v>
      </c>
      <c r="M1080" s="129" t="s">
        <v>3361</v>
      </c>
      <c r="N1080" s="129"/>
      <c r="O1080" s="132" t="s">
        <v>3644</v>
      </c>
      <c r="P1080" s="132"/>
      <c r="Q1080" s="132"/>
      <c r="R1080" s="132"/>
      <c r="S1080" s="132"/>
      <c r="U1080" s="20">
        <v>2</v>
      </c>
      <c r="V1080" s="20">
        <v>0</v>
      </c>
      <c r="Y1080" s="71" t="b">
        <v>0</v>
      </c>
      <c r="AA1080" s="20" t="b">
        <v>1</v>
      </c>
      <c r="AE1080" s="20">
        <f t="shared" si="95"/>
        <v>8</v>
      </c>
      <c r="AH1080" s="61">
        <v>0.1</v>
      </c>
      <c r="AI1080" s="61">
        <v>1</v>
      </c>
      <c r="AJ1080" s="20">
        <v>2</v>
      </c>
      <c r="AL1080" s="108">
        <v>35</v>
      </c>
    </row>
    <row r="1081" spans="1:45">
      <c r="A1081" s="76" t="s">
        <v>3641</v>
      </c>
      <c r="B1081" s="76" t="s">
        <v>3380</v>
      </c>
      <c r="C1081" s="76">
        <v>6</v>
      </c>
      <c r="D1081" s="76"/>
      <c r="E1081" s="76" t="s">
        <v>2632</v>
      </c>
      <c r="F1081" s="76" t="s">
        <v>2637</v>
      </c>
      <c r="G1081" s="76" t="s">
        <v>2335</v>
      </c>
      <c r="H1081" s="76" t="s">
        <v>2331</v>
      </c>
      <c r="I1081" s="76" t="str">
        <f>VLOOKUP(F1081,'#对话模型配置'!A:O,15,FALSE)</f>
        <v>newbie_oversea_andrea</v>
      </c>
      <c r="J1081" s="76" t="s">
        <v>3655</v>
      </c>
      <c r="K1081" s="136" t="s">
        <v>3656</v>
      </c>
      <c r="L1081" s="76">
        <v>110003</v>
      </c>
      <c r="M1081" s="76" t="s">
        <v>3289</v>
      </c>
      <c r="N1081" s="76"/>
      <c r="O1081" s="132" t="s">
        <v>3648</v>
      </c>
      <c r="P1081" s="132"/>
      <c r="Q1081" s="132"/>
      <c r="R1081" s="132"/>
      <c r="S1081" s="132"/>
      <c r="U1081" s="20">
        <v>2</v>
      </c>
      <c r="V1081" s="20">
        <v>0</v>
      </c>
      <c r="Y1081" s="71" t="b">
        <v>0</v>
      </c>
      <c r="AA1081" s="20" t="b">
        <v>1</v>
      </c>
      <c r="AE1081" s="20">
        <f t="shared" si="95"/>
        <v>5</v>
      </c>
      <c r="AH1081" s="61">
        <v>0.1</v>
      </c>
      <c r="AI1081" s="61">
        <v>1</v>
      </c>
      <c r="AJ1081" s="20">
        <v>2</v>
      </c>
      <c r="AL1081" s="108">
        <v>35</v>
      </c>
    </row>
    <row r="1082" spans="1:45">
      <c r="A1082" s="129">
        <v>1100024</v>
      </c>
      <c r="B1082" s="129" t="s">
        <v>3380</v>
      </c>
      <c r="C1082" s="129">
        <v>1</v>
      </c>
      <c r="D1082" s="129"/>
      <c r="E1082" s="129" t="s">
        <v>2632</v>
      </c>
      <c r="F1082" s="129" t="s">
        <v>2637</v>
      </c>
      <c r="G1082" s="129" t="s">
        <v>2335</v>
      </c>
      <c r="H1082" s="129" t="s">
        <v>2331</v>
      </c>
      <c r="I1082" s="129" t="str">
        <f>VLOOKUP(F1082,'#对话模型配置'!A:O,15,FALSE)</f>
        <v>newbie_oversea_andrea</v>
      </c>
      <c r="J1082" s="129" t="s">
        <v>3657</v>
      </c>
      <c r="K1082" s="135" t="s">
        <v>3658</v>
      </c>
      <c r="L1082" s="129">
        <v>110003</v>
      </c>
      <c r="M1082" s="129" t="s">
        <v>3289</v>
      </c>
      <c r="N1082" s="129"/>
      <c r="O1082" s="134" t="s">
        <v>3659</v>
      </c>
      <c r="P1082" s="134"/>
      <c r="Q1082" s="134"/>
      <c r="R1082" s="134" t="s">
        <v>3660</v>
      </c>
      <c r="S1082" s="134"/>
      <c r="U1082" s="20">
        <v>2</v>
      </c>
      <c r="V1082" s="20">
        <v>0</v>
      </c>
      <c r="Y1082" s="71" t="b">
        <v>0</v>
      </c>
      <c r="AA1082" s="20" t="b">
        <v>1</v>
      </c>
      <c r="AE1082" s="20">
        <f t="shared" si="95"/>
        <v>5</v>
      </c>
      <c r="AH1082" s="61">
        <v>0.1</v>
      </c>
      <c r="AI1082" s="61">
        <v>1</v>
      </c>
      <c r="AJ1082" s="20">
        <v>2</v>
      </c>
      <c r="AL1082" s="108">
        <v>35</v>
      </c>
      <c r="AS1082" s="20" t="s">
        <v>3334</v>
      </c>
    </row>
    <row r="1083" spans="1:45">
      <c r="A1083" s="129">
        <v>1100024</v>
      </c>
      <c r="B1083" s="129" t="s">
        <v>3380</v>
      </c>
      <c r="C1083" s="129">
        <v>2</v>
      </c>
      <c r="D1083" s="129"/>
      <c r="E1083" s="129" t="s">
        <v>2632</v>
      </c>
      <c r="F1083" s="129" t="s">
        <v>3357</v>
      </c>
      <c r="G1083" s="129" t="s">
        <v>3358</v>
      </c>
      <c r="H1083" s="129" t="s">
        <v>2331</v>
      </c>
      <c r="I1083" s="129" t="str">
        <f>VLOOKUP(F1083,'#对话模型配置'!A:O,15,FALSE)</f>
        <v>newbie_oversea_caesar</v>
      </c>
      <c r="J1083" s="129" t="s">
        <v>3661</v>
      </c>
      <c r="K1083" s="135" t="s">
        <v>3662</v>
      </c>
      <c r="L1083" s="129">
        <v>110001</v>
      </c>
      <c r="M1083" s="129" t="s">
        <v>3361</v>
      </c>
      <c r="N1083" s="129"/>
      <c r="O1083" s="134" t="s">
        <v>3663</v>
      </c>
      <c r="P1083" s="134"/>
      <c r="Q1083" s="134"/>
      <c r="R1083" s="134"/>
      <c r="S1083" s="134"/>
      <c r="U1083" s="20">
        <v>2</v>
      </c>
      <c r="V1083" s="20">
        <v>0</v>
      </c>
      <c r="Y1083" s="71" t="b">
        <v>0</v>
      </c>
      <c r="AA1083" s="20" t="b">
        <v>1</v>
      </c>
      <c r="AE1083" s="20">
        <f t="shared" si="95"/>
        <v>6</v>
      </c>
      <c r="AH1083" s="61">
        <v>0.1</v>
      </c>
      <c r="AI1083" s="61">
        <v>1</v>
      </c>
      <c r="AJ1083" s="20">
        <v>2</v>
      </c>
      <c r="AL1083" s="108">
        <v>35</v>
      </c>
    </row>
    <row r="1084" spans="1:45">
      <c r="A1084" s="129" t="s">
        <v>3664</v>
      </c>
      <c r="B1084" s="129" t="s">
        <v>3380</v>
      </c>
      <c r="C1084" s="129">
        <v>3</v>
      </c>
      <c r="D1084" s="129"/>
      <c r="E1084" s="129" t="s">
        <v>2632</v>
      </c>
      <c r="F1084" s="129" t="s">
        <v>2637</v>
      </c>
      <c r="G1084" s="129" t="s">
        <v>2335</v>
      </c>
      <c r="H1084" s="129" t="s">
        <v>2331</v>
      </c>
      <c r="I1084" s="129" t="str">
        <f>VLOOKUP(F1084,'#对话模型配置'!A:O,15,FALSE)</f>
        <v>newbie_oversea_andrea</v>
      </c>
      <c r="J1084" s="129" t="s">
        <v>3665</v>
      </c>
      <c r="K1084" s="135" t="s">
        <v>3666</v>
      </c>
      <c r="L1084" s="129">
        <v>110003</v>
      </c>
      <c r="M1084" s="129" t="s">
        <v>3289</v>
      </c>
      <c r="N1084" s="129"/>
      <c r="O1084" s="134" t="s">
        <v>3659</v>
      </c>
      <c r="P1084" s="134"/>
      <c r="Q1084" s="134"/>
      <c r="R1084" s="134"/>
      <c r="S1084" s="134"/>
      <c r="U1084" s="20">
        <v>2</v>
      </c>
      <c r="V1084" s="20">
        <v>0</v>
      </c>
      <c r="Y1084" s="71" t="b">
        <v>0</v>
      </c>
      <c r="AA1084" s="20" t="b">
        <v>1</v>
      </c>
      <c r="AE1084" s="20">
        <f t="shared" si="95"/>
        <v>7</v>
      </c>
      <c r="AH1084" s="61">
        <v>0.1</v>
      </c>
      <c r="AI1084" s="61">
        <v>1</v>
      </c>
      <c r="AJ1084" s="20">
        <v>2</v>
      </c>
      <c r="AL1084" s="108">
        <v>35</v>
      </c>
    </row>
    <row r="1085" spans="1:45" ht="26">
      <c r="A1085" s="129" t="s">
        <v>3664</v>
      </c>
      <c r="B1085" s="129" t="s">
        <v>3380</v>
      </c>
      <c r="C1085" s="129">
        <v>4</v>
      </c>
      <c r="D1085" s="129"/>
      <c r="E1085" s="129" t="s">
        <v>2632</v>
      </c>
      <c r="F1085" s="129" t="s">
        <v>3357</v>
      </c>
      <c r="G1085" s="129" t="s">
        <v>3358</v>
      </c>
      <c r="H1085" s="129" t="s">
        <v>2331</v>
      </c>
      <c r="I1085" s="129" t="str">
        <f>VLOOKUP(F1085,'#对话模型配置'!A:O,15,FALSE)</f>
        <v>newbie_oversea_caesar</v>
      </c>
      <c r="J1085" s="129" t="s">
        <v>3667</v>
      </c>
      <c r="K1085" s="135" t="s">
        <v>3668</v>
      </c>
      <c r="L1085" s="129">
        <v>110001</v>
      </c>
      <c r="M1085" s="129" t="s">
        <v>3361</v>
      </c>
      <c r="N1085" s="129"/>
      <c r="O1085" s="134" t="s">
        <v>3663</v>
      </c>
      <c r="P1085" s="134"/>
      <c r="Q1085" s="134"/>
      <c r="R1085" s="134"/>
      <c r="S1085" s="134"/>
      <c r="U1085" s="20">
        <v>2</v>
      </c>
      <c r="V1085" s="20">
        <v>0</v>
      </c>
      <c r="Y1085" s="71" t="b">
        <v>0</v>
      </c>
      <c r="AA1085" s="20" t="b">
        <v>1</v>
      </c>
      <c r="AE1085" s="20">
        <f t="shared" si="95"/>
        <v>12</v>
      </c>
      <c r="AH1085" s="61">
        <v>0.1</v>
      </c>
      <c r="AI1085" s="61">
        <v>1</v>
      </c>
      <c r="AJ1085" s="20">
        <v>2</v>
      </c>
      <c r="AL1085" s="108">
        <v>35</v>
      </c>
    </row>
    <row r="1086" spans="1:45">
      <c r="A1086" s="129" t="s">
        <v>3664</v>
      </c>
      <c r="B1086" s="129" t="s">
        <v>3380</v>
      </c>
      <c r="C1086" s="129">
        <v>5</v>
      </c>
      <c r="D1086" s="129"/>
      <c r="E1086" s="129" t="s">
        <v>2632</v>
      </c>
      <c r="F1086" s="129" t="s">
        <v>3357</v>
      </c>
      <c r="G1086" s="129" t="s">
        <v>3358</v>
      </c>
      <c r="H1086" s="129" t="s">
        <v>2331</v>
      </c>
      <c r="I1086" s="129" t="str">
        <f>VLOOKUP(F1086,'#对话模型配置'!A:O,15,FALSE)</f>
        <v>newbie_oversea_caesar</v>
      </c>
      <c r="J1086" s="129" t="s">
        <v>3669</v>
      </c>
      <c r="K1086" s="135" t="s">
        <v>3670</v>
      </c>
      <c r="L1086" s="129">
        <v>110001</v>
      </c>
      <c r="M1086" s="129" t="s">
        <v>3361</v>
      </c>
      <c r="N1086" s="129"/>
      <c r="O1086" s="134" t="s">
        <v>3663</v>
      </c>
      <c r="P1086" s="134"/>
      <c r="Q1086" s="134"/>
      <c r="R1086" s="134"/>
      <c r="S1086" s="134"/>
      <c r="U1086" s="20">
        <v>2</v>
      </c>
      <c r="V1086" s="20">
        <v>0</v>
      </c>
      <c r="Y1086" s="71" t="b">
        <v>0</v>
      </c>
      <c r="AA1086" s="20" t="b">
        <v>1</v>
      </c>
      <c r="AE1086" s="20">
        <f t="shared" si="95"/>
        <v>8</v>
      </c>
      <c r="AH1086" s="61">
        <v>0.1</v>
      </c>
      <c r="AI1086" s="61">
        <v>1</v>
      </c>
      <c r="AJ1086" s="20">
        <v>2</v>
      </c>
      <c r="AL1086" s="108">
        <v>35</v>
      </c>
    </row>
    <row r="1087" spans="1:45">
      <c r="A1087" s="76" t="s">
        <v>3671</v>
      </c>
      <c r="B1087" s="76"/>
      <c r="C1087" s="76">
        <v>1</v>
      </c>
      <c r="D1087" s="76"/>
      <c r="E1087" s="76" t="s">
        <v>2632</v>
      </c>
      <c r="F1087" s="76" t="s">
        <v>3672</v>
      </c>
      <c r="G1087" s="76" t="s">
        <v>3673</v>
      </c>
      <c r="H1087" s="76" t="s">
        <v>2331</v>
      </c>
      <c r="I1087" s="76" t="str">
        <f>VLOOKUP(F1087,'#对话模型配置'!A:O,15,FALSE)</f>
        <v>newbie_oversea_mose</v>
      </c>
      <c r="J1087" s="76" t="s">
        <v>3674</v>
      </c>
      <c r="K1087" s="136" t="s">
        <v>3675</v>
      </c>
      <c r="L1087" s="76">
        <v>110006</v>
      </c>
      <c r="M1087" s="76" t="s">
        <v>3289</v>
      </c>
      <c r="N1087" s="76"/>
      <c r="O1087" s="134" t="s">
        <v>3676</v>
      </c>
      <c r="P1087" s="134"/>
      <c r="Q1087" s="134"/>
      <c r="R1087" s="132" t="s">
        <v>3677</v>
      </c>
      <c r="S1087" s="132"/>
      <c r="U1087" s="20">
        <v>2</v>
      </c>
      <c r="V1087" s="20">
        <v>0</v>
      </c>
      <c r="Y1087" s="71" t="b">
        <v>0</v>
      </c>
      <c r="AA1087" s="20" t="b">
        <v>1</v>
      </c>
      <c r="AE1087" s="20">
        <f t="shared" si="95"/>
        <v>5</v>
      </c>
      <c r="AH1087" s="61">
        <v>0.1</v>
      </c>
      <c r="AI1087" s="61">
        <v>1</v>
      </c>
      <c r="AJ1087" s="20">
        <v>2</v>
      </c>
      <c r="AL1087" s="108">
        <v>35</v>
      </c>
      <c r="AS1087" s="20" t="s">
        <v>3334</v>
      </c>
    </row>
    <row r="1088" spans="1:45">
      <c r="A1088" s="76" t="s">
        <v>3671</v>
      </c>
      <c r="B1088" s="76"/>
      <c r="C1088" s="76">
        <v>2</v>
      </c>
      <c r="D1088" s="76"/>
      <c r="E1088" s="76" t="s">
        <v>2632</v>
      </c>
      <c r="F1088" s="76" t="s">
        <v>2637</v>
      </c>
      <c r="G1088" s="76" t="s">
        <v>2335</v>
      </c>
      <c r="H1088" s="76" t="s">
        <v>2331</v>
      </c>
      <c r="I1088" s="76" t="str">
        <f>VLOOKUP(F1088,'#对话模型配置'!A:O,15,FALSE)</f>
        <v>newbie_oversea_andrea</v>
      </c>
      <c r="J1088" s="76" t="s">
        <v>3678</v>
      </c>
      <c r="K1088" s="136" t="s">
        <v>3679</v>
      </c>
      <c r="L1088" s="76">
        <v>110003</v>
      </c>
      <c r="M1088" s="76" t="s">
        <v>3289</v>
      </c>
      <c r="N1088" s="76"/>
      <c r="O1088" s="134" t="s">
        <v>3680</v>
      </c>
      <c r="P1088" s="134"/>
      <c r="Q1088" s="134"/>
      <c r="R1088" s="132"/>
      <c r="S1088" s="132"/>
      <c r="U1088" s="20">
        <v>2</v>
      </c>
      <c r="V1088" s="20">
        <v>0</v>
      </c>
      <c r="Y1088" s="71" t="b">
        <v>0</v>
      </c>
      <c r="AA1088" s="20" t="b">
        <v>1</v>
      </c>
      <c r="AE1088" s="20">
        <f t="shared" si="95"/>
        <v>5</v>
      </c>
      <c r="AH1088" s="61">
        <v>0.1</v>
      </c>
      <c r="AI1088" s="61">
        <v>1</v>
      </c>
      <c r="AJ1088" s="20">
        <v>2</v>
      </c>
      <c r="AL1088" s="108">
        <v>35</v>
      </c>
    </row>
    <row r="1089" spans="1:45" ht="26">
      <c r="A1089" s="76" t="s">
        <v>3671</v>
      </c>
      <c r="B1089" s="76"/>
      <c r="C1089" s="76">
        <v>3</v>
      </c>
      <c r="D1089" s="76"/>
      <c r="E1089" s="76" t="s">
        <v>2632</v>
      </c>
      <c r="F1089" s="76" t="s">
        <v>3357</v>
      </c>
      <c r="G1089" s="76" t="s">
        <v>3358</v>
      </c>
      <c r="H1089" s="76" t="s">
        <v>2331</v>
      </c>
      <c r="I1089" s="76" t="str">
        <f>VLOOKUP(F1089,'#对话模型配置'!A:O,15,FALSE)</f>
        <v>newbie_oversea_caesar</v>
      </c>
      <c r="J1089" s="76" t="s">
        <v>3681</v>
      </c>
      <c r="K1089" s="136" t="s">
        <v>3682</v>
      </c>
      <c r="L1089" s="76">
        <v>110001</v>
      </c>
      <c r="M1089" s="129" t="s">
        <v>3361</v>
      </c>
      <c r="N1089" s="129"/>
      <c r="O1089" s="134" t="s">
        <v>3683</v>
      </c>
      <c r="P1089" s="134"/>
      <c r="Q1089" s="134"/>
      <c r="R1089" s="132"/>
      <c r="S1089" s="132"/>
      <c r="U1089" s="20">
        <v>2</v>
      </c>
      <c r="V1089" s="20">
        <v>0</v>
      </c>
      <c r="Y1089" s="71" t="b">
        <v>0</v>
      </c>
      <c r="AA1089" s="20" t="b">
        <v>1</v>
      </c>
      <c r="AE1089" s="20">
        <f t="shared" si="95"/>
        <v>13</v>
      </c>
      <c r="AH1089" s="61">
        <v>0.1</v>
      </c>
      <c r="AI1089" s="61">
        <v>1</v>
      </c>
      <c r="AJ1089" s="20">
        <v>2</v>
      </c>
      <c r="AL1089" s="108">
        <v>35</v>
      </c>
    </row>
    <row r="1090" spans="1:45">
      <c r="A1090" s="76" t="s">
        <v>3671</v>
      </c>
      <c r="B1090" s="76"/>
      <c r="C1090" s="76">
        <v>4</v>
      </c>
      <c r="D1090" s="76"/>
      <c r="E1090" s="76" t="s">
        <v>2632</v>
      </c>
      <c r="F1090" s="76" t="s">
        <v>3672</v>
      </c>
      <c r="G1090" s="76" t="s">
        <v>3673</v>
      </c>
      <c r="H1090" s="76" t="s">
        <v>2331</v>
      </c>
      <c r="I1090" s="76" t="str">
        <f>VLOOKUP(F1090,'#对话模型配置'!A:O,15,FALSE)</f>
        <v>newbie_oversea_mose</v>
      </c>
      <c r="J1090" s="76" t="s">
        <v>3684</v>
      </c>
      <c r="K1090" s="136" t="s">
        <v>3685</v>
      </c>
      <c r="L1090" s="76">
        <v>110006</v>
      </c>
      <c r="M1090" s="76" t="s">
        <v>3289</v>
      </c>
      <c r="N1090" s="76"/>
      <c r="O1090" s="134" t="s">
        <v>3676</v>
      </c>
      <c r="P1090" s="134"/>
      <c r="Q1090" s="134"/>
      <c r="R1090" s="132"/>
      <c r="S1090" s="132"/>
      <c r="U1090" s="20">
        <v>2</v>
      </c>
      <c r="V1090" s="20">
        <v>0</v>
      </c>
      <c r="Y1090" s="71" t="b">
        <v>0</v>
      </c>
      <c r="AA1090" s="20" t="b">
        <v>1</v>
      </c>
      <c r="AE1090" s="20">
        <f t="shared" si="95"/>
        <v>5</v>
      </c>
      <c r="AH1090" s="61">
        <v>0.1</v>
      </c>
      <c r="AI1090" s="61">
        <v>1</v>
      </c>
      <c r="AJ1090" s="20">
        <v>2</v>
      </c>
      <c r="AL1090" s="108">
        <v>35</v>
      </c>
    </row>
    <row r="1091" spans="1:45" ht="26">
      <c r="A1091" s="76" t="s">
        <v>3671</v>
      </c>
      <c r="B1091" s="76"/>
      <c r="C1091" s="76">
        <v>5</v>
      </c>
      <c r="D1091" s="76"/>
      <c r="E1091" s="76" t="s">
        <v>2632</v>
      </c>
      <c r="F1091" s="76" t="s">
        <v>2637</v>
      </c>
      <c r="G1091" s="76" t="s">
        <v>2335</v>
      </c>
      <c r="H1091" s="76" t="s">
        <v>2331</v>
      </c>
      <c r="I1091" s="76" t="str">
        <f>VLOOKUP(F1091,'#对话模型配置'!A:O,15,FALSE)</f>
        <v>newbie_oversea_andrea</v>
      </c>
      <c r="J1091" s="76" t="s">
        <v>3686</v>
      </c>
      <c r="K1091" s="136" t="s">
        <v>3687</v>
      </c>
      <c r="L1091" s="76">
        <v>110003</v>
      </c>
      <c r="M1091" s="76" t="s">
        <v>3289</v>
      </c>
      <c r="N1091" s="76"/>
      <c r="O1091" s="134" t="s">
        <v>3680</v>
      </c>
      <c r="P1091" s="134"/>
      <c r="Q1091" s="134"/>
      <c r="R1091" s="132"/>
      <c r="S1091" s="132"/>
      <c r="U1091" s="20">
        <v>2</v>
      </c>
      <c r="V1091" s="20">
        <v>0</v>
      </c>
      <c r="Y1091" s="71" t="b">
        <v>0</v>
      </c>
      <c r="AA1091" s="20" t="b">
        <v>1</v>
      </c>
      <c r="AE1091" s="20">
        <f t="shared" si="95"/>
        <v>9</v>
      </c>
      <c r="AH1091" s="61">
        <v>0.1</v>
      </c>
      <c r="AI1091" s="61">
        <v>1</v>
      </c>
      <c r="AJ1091" s="20">
        <v>2</v>
      </c>
      <c r="AL1091" s="108">
        <v>35</v>
      </c>
    </row>
    <row r="1092" spans="1:45">
      <c r="A1092" s="129" t="s">
        <v>3688</v>
      </c>
      <c r="B1092" s="129"/>
      <c r="C1092" s="129">
        <v>1</v>
      </c>
      <c r="D1092" s="129"/>
      <c r="E1092" s="129" t="s">
        <v>2632</v>
      </c>
      <c r="F1092" s="129" t="s">
        <v>2793</v>
      </c>
      <c r="G1092" s="129" t="s">
        <v>3301</v>
      </c>
      <c r="H1092" s="129" t="s">
        <v>2331</v>
      </c>
      <c r="I1092" s="129" t="str">
        <f>VLOOKUP(F1092,'#对话模型配置'!A:O,15,FALSE)</f>
        <v>newbie_oversea_joa</v>
      </c>
      <c r="J1092" s="129" t="s">
        <v>3689</v>
      </c>
      <c r="K1092" s="135" t="s">
        <v>3690</v>
      </c>
      <c r="L1092" s="129">
        <v>110002</v>
      </c>
      <c r="M1092" s="129" t="s">
        <v>3289</v>
      </c>
      <c r="N1092" s="129"/>
      <c r="O1092" s="134" t="s">
        <v>3691</v>
      </c>
      <c r="P1092" s="134"/>
      <c r="Q1092" s="134"/>
      <c r="R1092" s="134" t="s">
        <v>3692</v>
      </c>
      <c r="S1092" s="134"/>
      <c r="U1092" s="20">
        <v>2</v>
      </c>
      <c r="V1092" s="20">
        <v>0</v>
      </c>
      <c r="Y1092" s="71" t="b">
        <v>0</v>
      </c>
      <c r="AA1092" s="20" t="b">
        <v>1</v>
      </c>
      <c r="AE1092" s="20">
        <f t="shared" si="95"/>
        <v>7</v>
      </c>
      <c r="AH1092" s="61">
        <v>0.1</v>
      </c>
      <c r="AI1092" s="61">
        <v>1</v>
      </c>
      <c r="AJ1092" s="20">
        <v>2</v>
      </c>
      <c r="AL1092" s="108">
        <v>35</v>
      </c>
      <c r="AS1092" s="20" t="s">
        <v>3457</v>
      </c>
    </row>
    <row r="1093" spans="1:45" ht="26">
      <c r="A1093" s="129" t="s">
        <v>3688</v>
      </c>
      <c r="B1093" s="129"/>
      <c r="C1093" s="129">
        <v>2</v>
      </c>
      <c r="D1093" s="129"/>
      <c r="E1093" s="129" t="s">
        <v>2632</v>
      </c>
      <c r="F1093" s="129" t="s">
        <v>2793</v>
      </c>
      <c r="G1093" s="129" t="s">
        <v>3301</v>
      </c>
      <c r="H1093" s="129" t="s">
        <v>2331</v>
      </c>
      <c r="I1093" s="129" t="str">
        <f>VLOOKUP(F1093,'#对话模型配置'!A:O,15,FALSE)</f>
        <v>newbie_oversea_joa</v>
      </c>
      <c r="J1093" s="129" t="s">
        <v>3693</v>
      </c>
      <c r="K1093" s="135" t="s">
        <v>3694</v>
      </c>
      <c r="L1093" s="129">
        <v>110002</v>
      </c>
      <c r="M1093" s="129" t="s">
        <v>3289</v>
      </c>
      <c r="N1093" s="129"/>
      <c r="O1093" s="134" t="s">
        <v>3691</v>
      </c>
      <c r="P1093" s="134"/>
      <c r="Q1093" s="134"/>
      <c r="R1093" s="134"/>
      <c r="S1093" s="134"/>
      <c r="U1093" s="20">
        <v>2</v>
      </c>
      <c r="V1093" s="20">
        <v>0</v>
      </c>
      <c r="Y1093" s="71" t="b">
        <v>0</v>
      </c>
      <c r="AA1093" s="20" t="b">
        <v>1</v>
      </c>
      <c r="AE1093" s="20">
        <f t="shared" si="95"/>
        <v>13</v>
      </c>
      <c r="AH1093" s="61">
        <v>0.1</v>
      </c>
      <c r="AI1093" s="61">
        <v>1</v>
      </c>
      <c r="AJ1093" s="20">
        <v>2</v>
      </c>
      <c r="AL1093" s="108">
        <v>35</v>
      </c>
    </row>
    <row r="1094" spans="1:45">
      <c r="A1094" s="129" t="s">
        <v>3688</v>
      </c>
      <c r="B1094" s="129"/>
      <c r="C1094" s="129">
        <v>3</v>
      </c>
      <c r="D1094" s="129"/>
      <c r="E1094" s="129" t="s">
        <v>2632</v>
      </c>
      <c r="F1094" s="129" t="s">
        <v>3357</v>
      </c>
      <c r="G1094" s="129" t="s">
        <v>3358</v>
      </c>
      <c r="H1094" s="129" t="s">
        <v>2331</v>
      </c>
      <c r="I1094" s="129" t="str">
        <f>VLOOKUP(F1094,'#对话模型配置'!A:O,15,FALSE)</f>
        <v>newbie_oversea_caesar</v>
      </c>
      <c r="J1094" s="129" t="s">
        <v>3695</v>
      </c>
      <c r="K1094" s="135" t="s">
        <v>3696</v>
      </c>
      <c r="L1094" s="129">
        <v>110001</v>
      </c>
      <c r="M1094" s="129" t="s">
        <v>3361</v>
      </c>
      <c r="N1094" s="129"/>
      <c r="O1094" s="134" t="s">
        <v>3697</v>
      </c>
      <c r="P1094" s="134"/>
      <c r="Q1094" s="134"/>
      <c r="R1094" s="134"/>
      <c r="S1094" s="134"/>
      <c r="U1094" s="20">
        <v>2</v>
      </c>
      <c r="V1094" s="20">
        <v>0</v>
      </c>
      <c r="Y1094" s="71" t="b">
        <v>0</v>
      </c>
      <c r="AA1094" s="20" t="b">
        <v>1</v>
      </c>
      <c r="AE1094" s="20">
        <f t="shared" si="95"/>
        <v>8</v>
      </c>
      <c r="AH1094" s="61">
        <v>0.1</v>
      </c>
      <c r="AI1094" s="61">
        <v>1</v>
      </c>
      <c r="AJ1094" s="20">
        <v>2</v>
      </c>
      <c r="AL1094" s="108">
        <v>35</v>
      </c>
    </row>
    <row r="1095" spans="1:45">
      <c r="A1095" s="129" t="s">
        <v>3688</v>
      </c>
      <c r="B1095" s="129"/>
      <c r="C1095" s="129">
        <v>4</v>
      </c>
      <c r="D1095" s="129"/>
      <c r="E1095" s="129" t="s">
        <v>2632</v>
      </c>
      <c r="F1095" s="129" t="s">
        <v>2793</v>
      </c>
      <c r="G1095" s="129" t="s">
        <v>3301</v>
      </c>
      <c r="H1095" s="129" t="s">
        <v>2331</v>
      </c>
      <c r="I1095" s="129" t="str">
        <f>VLOOKUP(F1095,'#对话模型配置'!A:O,15,FALSE)</f>
        <v>newbie_oversea_joa</v>
      </c>
      <c r="J1095" s="129" t="s">
        <v>3698</v>
      </c>
      <c r="K1095" s="135" t="s">
        <v>3699</v>
      </c>
      <c r="L1095" s="129">
        <v>110002</v>
      </c>
      <c r="M1095" s="129" t="s">
        <v>3289</v>
      </c>
      <c r="N1095" s="129"/>
      <c r="O1095" s="134" t="s">
        <v>3691</v>
      </c>
      <c r="P1095" s="134"/>
      <c r="Q1095" s="134"/>
      <c r="R1095" s="134"/>
      <c r="S1095" s="134"/>
      <c r="U1095" s="20">
        <v>2</v>
      </c>
      <c r="V1095" s="20">
        <v>0</v>
      </c>
      <c r="Y1095" s="71" t="b">
        <v>0</v>
      </c>
      <c r="AA1095" s="20" t="b">
        <v>1</v>
      </c>
      <c r="AE1095" s="20">
        <f t="shared" si="95"/>
        <v>6</v>
      </c>
      <c r="AH1095" s="61">
        <v>0.1</v>
      </c>
      <c r="AI1095" s="61">
        <v>1</v>
      </c>
      <c r="AJ1095" s="20">
        <v>2</v>
      </c>
      <c r="AL1095" s="108">
        <v>35</v>
      </c>
    </row>
    <row r="1096" spans="1:45">
      <c r="A1096" s="129" t="s">
        <v>3688</v>
      </c>
      <c r="B1096" s="129"/>
      <c r="C1096" s="129">
        <v>5</v>
      </c>
      <c r="D1096" s="129"/>
      <c r="E1096" s="129" t="s">
        <v>2632</v>
      </c>
      <c r="F1096" s="129" t="s">
        <v>2637</v>
      </c>
      <c r="G1096" s="129" t="s">
        <v>2335</v>
      </c>
      <c r="H1096" s="129" t="s">
        <v>2331</v>
      </c>
      <c r="I1096" s="129" t="str">
        <f>VLOOKUP(F1096,'#对话模型配置'!A:O,15,FALSE)</f>
        <v>newbie_oversea_andrea</v>
      </c>
      <c r="J1096" s="129" t="s">
        <v>3700</v>
      </c>
      <c r="K1096" s="135" t="s">
        <v>3701</v>
      </c>
      <c r="L1096" s="129">
        <v>110003</v>
      </c>
      <c r="M1096" s="129" t="s">
        <v>3289</v>
      </c>
      <c r="N1096" s="129"/>
      <c r="O1096" s="134" t="s">
        <v>3702</v>
      </c>
      <c r="P1096" s="134"/>
      <c r="Q1096" s="134"/>
      <c r="R1096" s="134"/>
      <c r="S1096" s="134"/>
      <c r="U1096" s="20">
        <v>2</v>
      </c>
      <c r="V1096" s="20">
        <v>0</v>
      </c>
      <c r="Y1096" s="71" t="b">
        <v>0</v>
      </c>
      <c r="AA1096" s="20" t="b">
        <v>1</v>
      </c>
      <c r="AE1096" s="20">
        <f t="shared" si="95"/>
        <v>5</v>
      </c>
      <c r="AH1096" s="61">
        <v>0.1</v>
      </c>
      <c r="AI1096" s="61">
        <v>1</v>
      </c>
      <c r="AJ1096" s="20">
        <v>2</v>
      </c>
      <c r="AL1096" s="108">
        <v>35</v>
      </c>
    </row>
    <row r="1097" spans="1:45">
      <c r="A1097" s="129" t="s">
        <v>3688</v>
      </c>
      <c r="B1097" s="129"/>
      <c r="C1097" s="129">
        <v>6</v>
      </c>
      <c r="D1097" s="129"/>
      <c r="E1097" s="129" t="s">
        <v>2632</v>
      </c>
      <c r="F1097" s="129" t="s">
        <v>3672</v>
      </c>
      <c r="G1097" s="129" t="s">
        <v>3673</v>
      </c>
      <c r="H1097" s="129" t="s">
        <v>2331</v>
      </c>
      <c r="I1097" s="129" t="str">
        <f>VLOOKUP(F1097,'#对话模型配置'!A:O,15,FALSE)</f>
        <v>newbie_oversea_mose</v>
      </c>
      <c r="J1097" s="129" t="s">
        <v>3703</v>
      </c>
      <c r="K1097" s="135" t="s">
        <v>3704</v>
      </c>
      <c r="L1097" s="129">
        <v>110006</v>
      </c>
      <c r="M1097" s="129" t="s">
        <v>3289</v>
      </c>
      <c r="N1097" s="129"/>
      <c r="O1097" s="134" t="s">
        <v>3705</v>
      </c>
      <c r="P1097" s="134"/>
      <c r="Q1097" s="134"/>
      <c r="R1097" s="134"/>
      <c r="S1097" s="134"/>
      <c r="U1097" s="20">
        <v>2</v>
      </c>
      <c r="V1097" s="20">
        <v>0</v>
      </c>
      <c r="Y1097" s="71" t="b">
        <v>0</v>
      </c>
      <c r="AA1097" s="20" t="b">
        <v>1</v>
      </c>
      <c r="AE1097" s="20">
        <f t="shared" si="95"/>
        <v>8</v>
      </c>
      <c r="AH1097" s="61">
        <v>0.1</v>
      </c>
      <c r="AI1097" s="61">
        <v>1</v>
      </c>
      <c r="AJ1097" s="20">
        <v>2</v>
      </c>
      <c r="AL1097" s="108">
        <v>35</v>
      </c>
    </row>
    <row r="1098" spans="1:45">
      <c r="A1098" s="129" t="s">
        <v>3688</v>
      </c>
      <c r="B1098" s="129"/>
      <c r="C1098" s="129">
        <v>7</v>
      </c>
      <c r="D1098" s="129"/>
      <c r="E1098" s="129" t="s">
        <v>2632</v>
      </c>
      <c r="F1098" s="129" t="s">
        <v>3357</v>
      </c>
      <c r="G1098" s="129" t="s">
        <v>3358</v>
      </c>
      <c r="H1098" s="129" t="s">
        <v>2331</v>
      </c>
      <c r="I1098" s="129" t="str">
        <f>VLOOKUP(F1098,'#对话模型配置'!A:O,15,FALSE)</f>
        <v>newbie_oversea_caesar</v>
      </c>
      <c r="J1098" s="129" t="s">
        <v>3706</v>
      </c>
      <c r="K1098" s="135" t="s">
        <v>3707</v>
      </c>
      <c r="L1098" s="129">
        <v>110001</v>
      </c>
      <c r="M1098" s="129" t="s">
        <v>3361</v>
      </c>
      <c r="N1098" s="129"/>
      <c r="O1098" s="134" t="s">
        <v>3697</v>
      </c>
      <c r="P1098" s="134"/>
      <c r="Q1098" s="134"/>
      <c r="R1098" s="134"/>
      <c r="S1098" s="134"/>
      <c r="U1098" s="20">
        <v>2</v>
      </c>
      <c r="V1098" s="20">
        <v>0</v>
      </c>
      <c r="Y1098" s="71" t="b">
        <v>0</v>
      </c>
      <c r="AA1098" s="20" t="b">
        <v>1</v>
      </c>
      <c r="AE1098" s="20">
        <f t="shared" si="95"/>
        <v>6</v>
      </c>
      <c r="AH1098" s="61">
        <v>0.1</v>
      </c>
      <c r="AI1098" s="61">
        <v>1</v>
      </c>
      <c r="AJ1098" s="20">
        <v>2</v>
      </c>
      <c r="AL1098" s="108">
        <v>35</v>
      </c>
    </row>
    <row r="1099" spans="1:45">
      <c r="A1099" s="129" t="s">
        <v>3688</v>
      </c>
      <c r="B1099" s="129"/>
      <c r="C1099" s="129">
        <v>8</v>
      </c>
      <c r="D1099" s="129"/>
      <c r="E1099" s="129" t="s">
        <v>2632</v>
      </c>
      <c r="F1099" s="129" t="s">
        <v>2637</v>
      </c>
      <c r="G1099" s="129" t="s">
        <v>2335</v>
      </c>
      <c r="H1099" s="129" t="s">
        <v>2331</v>
      </c>
      <c r="I1099" s="129" t="str">
        <f>VLOOKUP(F1099,'#对话模型配置'!A:O,15,FALSE)</f>
        <v>newbie_oversea_andrea</v>
      </c>
      <c r="J1099" s="129" t="s">
        <v>3708</v>
      </c>
      <c r="K1099" s="135" t="s">
        <v>3709</v>
      </c>
      <c r="L1099" s="129">
        <v>110003</v>
      </c>
      <c r="M1099" s="129" t="s">
        <v>3289</v>
      </c>
      <c r="N1099" s="129"/>
      <c r="O1099" s="134" t="s">
        <v>3702</v>
      </c>
      <c r="P1099" s="134"/>
      <c r="Q1099" s="134"/>
      <c r="R1099" s="134"/>
      <c r="S1099" s="134"/>
      <c r="U1099" s="20">
        <v>2</v>
      </c>
      <c r="V1099" s="20">
        <v>0</v>
      </c>
      <c r="Y1099" s="71" t="b">
        <v>0</v>
      </c>
      <c r="AA1099" s="20" t="b">
        <v>1</v>
      </c>
      <c r="AE1099" s="20">
        <f t="shared" si="95"/>
        <v>6</v>
      </c>
      <c r="AH1099" s="61">
        <v>0.1</v>
      </c>
      <c r="AI1099" s="61">
        <v>1</v>
      </c>
      <c r="AJ1099" s="20">
        <v>2</v>
      </c>
      <c r="AL1099" s="108">
        <v>35</v>
      </c>
    </row>
    <row r="1100" spans="1:45">
      <c r="A1100" s="76">
        <v>1100027</v>
      </c>
      <c r="B1100" s="76" t="s">
        <v>3380</v>
      </c>
      <c r="C1100" s="76">
        <v>1</v>
      </c>
      <c r="D1100" s="76"/>
      <c r="E1100" s="76" t="s">
        <v>2632</v>
      </c>
      <c r="F1100" s="76" t="s">
        <v>2637</v>
      </c>
      <c r="G1100" s="76" t="s">
        <v>2335</v>
      </c>
      <c r="H1100" s="76" t="s">
        <v>2331</v>
      </c>
      <c r="I1100" s="76" t="str">
        <f>VLOOKUP(F1100,'#对话模型配置'!A:O,15,FALSE)</f>
        <v>newbie_oversea_andrea</v>
      </c>
      <c r="J1100" s="76" t="s">
        <v>3710</v>
      </c>
      <c r="K1100" s="136" t="s">
        <v>3711</v>
      </c>
      <c r="L1100" s="76">
        <v>110003</v>
      </c>
      <c r="M1100" s="76" t="s">
        <v>3289</v>
      </c>
      <c r="N1100" s="76"/>
      <c r="O1100" s="134" t="s">
        <v>3712</v>
      </c>
      <c r="P1100" s="134"/>
      <c r="Q1100" s="134"/>
      <c r="R1100" s="132" t="s">
        <v>3713</v>
      </c>
      <c r="S1100" s="132"/>
      <c r="U1100" s="20">
        <v>2</v>
      </c>
      <c r="V1100" s="20">
        <v>0</v>
      </c>
      <c r="Y1100" s="71" t="b">
        <v>0</v>
      </c>
      <c r="AA1100" s="20" t="b">
        <v>1</v>
      </c>
      <c r="AE1100" s="20">
        <f t="shared" si="95"/>
        <v>6</v>
      </c>
      <c r="AH1100" s="61">
        <v>0.1</v>
      </c>
      <c r="AI1100" s="61">
        <v>1</v>
      </c>
      <c r="AJ1100" s="20">
        <v>2</v>
      </c>
      <c r="AL1100" s="108">
        <v>35</v>
      </c>
      <c r="AS1100" s="20" t="s">
        <v>3334</v>
      </c>
    </row>
    <row r="1101" spans="1:45" ht="26">
      <c r="A1101" s="76" t="s">
        <v>3714</v>
      </c>
      <c r="B1101" s="76" t="s">
        <v>3380</v>
      </c>
      <c r="C1101" s="76">
        <v>2</v>
      </c>
      <c r="D1101" s="76"/>
      <c r="E1101" s="76" t="s">
        <v>2632</v>
      </c>
      <c r="F1101" s="76" t="s">
        <v>3672</v>
      </c>
      <c r="G1101" s="76" t="s">
        <v>3673</v>
      </c>
      <c r="H1101" s="76" t="s">
        <v>2331</v>
      </c>
      <c r="I1101" s="76" t="str">
        <f>VLOOKUP(F1101,'#对话模型配置'!A:O,15,FALSE)</f>
        <v>newbie_oversea_mose</v>
      </c>
      <c r="J1101" s="76" t="s">
        <v>3715</v>
      </c>
      <c r="K1101" s="136" t="s">
        <v>3716</v>
      </c>
      <c r="L1101" s="76">
        <v>110006</v>
      </c>
      <c r="M1101" s="76" t="s">
        <v>3289</v>
      </c>
      <c r="N1101" s="76"/>
      <c r="O1101" s="134" t="s">
        <v>3717</v>
      </c>
      <c r="P1101" s="134"/>
      <c r="Q1101" s="134"/>
      <c r="R1101" s="132"/>
      <c r="S1101" s="132"/>
      <c r="U1101" s="20">
        <v>2</v>
      </c>
      <c r="V1101" s="20">
        <v>0</v>
      </c>
      <c r="Y1101" s="71" t="b">
        <v>0</v>
      </c>
      <c r="AA1101" s="20" t="b">
        <v>1</v>
      </c>
      <c r="AE1101" s="20">
        <f t="shared" si="95"/>
        <v>12</v>
      </c>
      <c r="AH1101" s="61">
        <v>0.1</v>
      </c>
      <c r="AI1101" s="61">
        <v>1</v>
      </c>
      <c r="AJ1101" s="20">
        <v>2</v>
      </c>
      <c r="AL1101" s="108">
        <v>35</v>
      </c>
    </row>
    <row r="1102" spans="1:45">
      <c r="A1102" s="76" t="s">
        <v>3714</v>
      </c>
      <c r="B1102" s="76" t="s">
        <v>3380</v>
      </c>
      <c r="C1102" s="76">
        <v>3</v>
      </c>
      <c r="D1102" s="76"/>
      <c r="E1102" s="76" t="s">
        <v>2632</v>
      </c>
      <c r="F1102" s="76" t="s">
        <v>2637</v>
      </c>
      <c r="G1102" s="76" t="s">
        <v>2335</v>
      </c>
      <c r="H1102" s="76" t="s">
        <v>2331</v>
      </c>
      <c r="I1102" s="76" t="str">
        <f>VLOOKUP(F1102,'#对话模型配置'!A:O,15,FALSE)</f>
        <v>newbie_oversea_andrea</v>
      </c>
      <c r="J1102" s="76" t="s">
        <v>3718</v>
      </c>
      <c r="K1102" s="136" t="s">
        <v>3719</v>
      </c>
      <c r="L1102" s="76">
        <v>110003</v>
      </c>
      <c r="M1102" s="76" t="s">
        <v>3289</v>
      </c>
      <c r="N1102" s="76"/>
      <c r="O1102" s="134" t="s">
        <v>3712</v>
      </c>
      <c r="P1102" s="134"/>
      <c r="Q1102" s="134"/>
      <c r="R1102" s="132"/>
      <c r="S1102" s="132"/>
      <c r="U1102" s="20">
        <v>2</v>
      </c>
      <c r="V1102" s="20">
        <v>0</v>
      </c>
      <c r="Y1102" s="71" t="b">
        <v>0</v>
      </c>
      <c r="AA1102" s="20" t="b">
        <v>1</v>
      </c>
      <c r="AE1102" s="20">
        <f t="shared" si="95"/>
        <v>5</v>
      </c>
      <c r="AH1102" s="61">
        <v>0.1</v>
      </c>
      <c r="AI1102" s="61">
        <v>1</v>
      </c>
      <c r="AJ1102" s="20">
        <v>2</v>
      </c>
      <c r="AL1102" s="108">
        <v>35</v>
      </c>
    </row>
    <row r="1103" spans="1:45">
      <c r="A1103" s="76" t="s">
        <v>3714</v>
      </c>
      <c r="B1103" s="76" t="s">
        <v>3380</v>
      </c>
      <c r="C1103" s="76">
        <v>4</v>
      </c>
      <c r="D1103" s="76"/>
      <c r="E1103" s="76" t="s">
        <v>2632</v>
      </c>
      <c r="F1103" s="76" t="s">
        <v>3672</v>
      </c>
      <c r="G1103" s="76" t="s">
        <v>3673</v>
      </c>
      <c r="H1103" s="76" t="s">
        <v>2331</v>
      </c>
      <c r="I1103" s="76" t="str">
        <f>VLOOKUP(F1103,'#对话模型配置'!A:O,15,FALSE)</f>
        <v>newbie_oversea_mose</v>
      </c>
      <c r="J1103" s="76" t="s">
        <v>3720</v>
      </c>
      <c r="K1103" s="136" t="s">
        <v>3721</v>
      </c>
      <c r="L1103" s="76">
        <v>110006</v>
      </c>
      <c r="M1103" s="76" t="s">
        <v>3289</v>
      </c>
      <c r="N1103" s="76"/>
      <c r="O1103" s="134" t="s">
        <v>3717</v>
      </c>
      <c r="P1103" s="134"/>
      <c r="Q1103" s="134"/>
      <c r="R1103" s="132"/>
      <c r="S1103" s="132"/>
      <c r="U1103" s="20">
        <v>2</v>
      </c>
      <c r="V1103" s="20">
        <v>0</v>
      </c>
      <c r="Y1103" s="71" t="b">
        <v>0</v>
      </c>
      <c r="AA1103" s="20" t="b">
        <v>1</v>
      </c>
      <c r="AE1103" s="20">
        <f t="shared" si="95"/>
        <v>5</v>
      </c>
      <c r="AH1103" s="61">
        <v>0.1</v>
      </c>
      <c r="AI1103" s="61">
        <v>1</v>
      </c>
      <c r="AJ1103" s="20">
        <v>2</v>
      </c>
      <c r="AL1103" s="108">
        <v>35</v>
      </c>
    </row>
    <row r="1104" spans="1:45">
      <c r="A1104" s="76" t="s">
        <v>3714</v>
      </c>
      <c r="B1104" s="76" t="s">
        <v>3380</v>
      </c>
      <c r="C1104" s="76">
        <v>5</v>
      </c>
      <c r="D1104" s="76"/>
      <c r="E1104" s="76" t="s">
        <v>2632</v>
      </c>
      <c r="F1104" s="76" t="s">
        <v>2637</v>
      </c>
      <c r="G1104" s="76" t="s">
        <v>2335</v>
      </c>
      <c r="H1104" s="76" t="s">
        <v>2331</v>
      </c>
      <c r="I1104" s="76" t="str">
        <f>VLOOKUP(F1104,'#对话模型配置'!A:O,15,FALSE)</f>
        <v>newbie_oversea_andrea</v>
      </c>
      <c r="J1104" s="76" t="s">
        <v>3722</v>
      </c>
      <c r="K1104" s="136" t="s">
        <v>3723</v>
      </c>
      <c r="L1104" s="76">
        <v>110003</v>
      </c>
      <c r="M1104" s="76" t="s">
        <v>3289</v>
      </c>
      <c r="N1104" s="76"/>
      <c r="O1104" s="134" t="s">
        <v>3712</v>
      </c>
      <c r="P1104" s="134"/>
      <c r="Q1104" s="134"/>
      <c r="R1104" s="132"/>
      <c r="S1104" s="132"/>
      <c r="U1104" s="20">
        <v>2</v>
      </c>
      <c r="V1104" s="20">
        <v>0</v>
      </c>
      <c r="Y1104" s="71" t="b">
        <v>0</v>
      </c>
      <c r="AA1104" s="20" t="b">
        <v>1</v>
      </c>
      <c r="AE1104" s="20">
        <f t="shared" si="95"/>
        <v>7</v>
      </c>
      <c r="AH1104" s="61">
        <v>0.1</v>
      </c>
      <c r="AI1104" s="61">
        <v>1</v>
      </c>
      <c r="AJ1104" s="20">
        <v>2</v>
      </c>
      <c r="AL1104" s="108">
        <v>35</v>
      </c>
    </row>
    <row r="1105" spans="1:45" ht="26">
      <c r="A1105" s="76" t="s">
        <v>3714</v>
      </c>
      <c r="B1105" s="76" t="s">
        <v>3380</v>
      </c>
      <c r="C1105" s="76">
        <v>6</v>
      </c>
      <c r="D1105" s="76"/>
      <c r="E1105" s="76" t="s">
        <v>2632</v>
      </c>
      <c r="F1105" s="76" t="s">
        <v>3672</v>
      </c>
      <c r="G1105" s="76" t="s">
        <v>3673</v>
      </c>
      <c r="H1105" s="76" t="s">
        <v>2331</v>
      </c>
      <c r="I1105" s="76" t="str">
        <f>VLOOKUP(F1105,'#对话模型配置'!A:O,15,FALSE)</f>
        <v>newbie_oversea_mose</v>
      </c>
      <c r="J1105" s="76" t="s">
        <v>3724</v>
      </c>
      <c r="K1105" s="136" t="s">
        <v>3725</v>
      </c>
      <c r="L1105" s="76">
        <v>110006</v>
      </c>
      <c r="M1105" s="76" t="s">
        <v>3289</v>
      </c>
      <c r="N1105" s="76"/>
      <c r="O1105" s="134" t="s">
        <v>3717</v>
      </c>
      <c r="P1105" s="134"/>
      <c r="Q1105" s="134"/>
      <c r="R1105" s="132"/>
      <c r="S1105" s="132"/>
      <c r="U1105" s="20">
        <v>2</v>
      </c>
      <c r="V1105" s="20">
        <v>0</v>
      </c>
      <c r="Y1105" s="71" t="b">
        <v>0</v>
      </c>
      <c r="AA1105" s="20" t="b">
        <v>1</v>
      </c>
      <c r="AE1105" s="20">
        <f t="shared" si="95"/>
        <v>11</v>
      </c>
      <c r="AH1105" s="61">
        <v>0.1</v>
      </c>
      <c r="AI1105" s="61">
        <v>1</v>
      </c>
      <c r="AJ1105" s="20">
        <v>2</v>
      </c>
      <c r="AL1105" s="108">
        <v>35</v>
      </c>
    </row>
    <row r="1106" spans="1:45">
      <c r="A1106" s="129">
        <v>1100028</v>
      </c>
      <c r="B1106" s="129"/>
      <c r="C1106" s="129">
        <v>1</v>
      </c>
      <c r="D1106" s="129"/>
      <c r="E1106" s="129" t="s">
        <v>2632</v>
      </c>
      <c r="F1106" s="129" t="s">
        <v>3357</v>
      </c>
      <c r="G1106" s="129" t="s">
        <v>3358</v>
      </c>
      <c r="H1106" s="129" t="s">
        <v>2331</v>
      </c>
      <c r="I1106" s="129" t="str">
        <f>VLOOKUP(F1106,'#对话模型配置'!A:O,15,FALSE)</f>
        <v>newbie_oversea_caesar</v>
      </c>
      <c r="J1106" s="129" t="s">
        <v>3726</v>
      </c>
      <c r="K1106" s="135" t="s">
        <v>3727</v>
      </c>
      <c r="L1106" s="129">
        <v>110001</v>
      </c>
      <c r="M1106" s="129" t="s">
        <v>3361</v>
      </c>
      <c r="N1106" s="129"/>
      <c r="O1106" s="134" t="s">
        <v>3298</v>
      </c>
      <c r="P1106" s="134"/>
      <c r="Q1106" s="134"/>
      <c r="R1106" s="134" t="s">
        <v>3299</v>
      </c>
      <c r="S1106" s="134"/>
      <c r="U1106" s="20">
        <v>2</v>
      </c>
      <c r="V1106" s="20">
        <v>0</v>
      </c>
      <c r="Y1106" s="71" t="b">
        <v>0</v>
      </c>
      <c r="AA1106" s="20" t="b">
        <v>1</v>
      </c>
      <c r="AE1106" s="20">
        <f t="shared" si="95"/>
        <v>6</v>
      </c>
      <c r="AH1106" s="61">
        <v>0.1</v>
      </c>
      <c r="AI1106" s="61">
        <v>1</v>
      </c>
      <c r="AJ1106" s="20">
        <v>2</v>
      </c>
      <c r="AL1106" s="108">
        <v>35</v>
      </c>
      <c r="AS1106" s="20" t="s">
        <v>3366</v>
      </c>
    </row>
    <row r="1107" spans="1:45">
      <c r="A1107" s="129" t="s">
        <v>3728</v>
      </c>
      <c r="B1107" s="129"/>
      <c r="C1107" s="129">
        <v>2</v>
      </c>
      <c r="D1107" s="129"/>
      <c r="E1107" s="129" t="s">
        <v>2632</v>
      </c>
      <c r="F1107" s="129" t="s">
        <v>2637</v>
      </c>
      <c r="G1107" s="129" t="s">
        <v>2335</v>
      </c>
      <c r="H1107" s="129" t="s">
        <v>2331</v>
      </c>
      <c r="I1107" s="129" t="str">
        <f>VLOOKUP(F1107,'#对话模型配置'!A:O,15,FALSE)</f>
        <v>newbie_oversea_andrea</v>
      </c>
      <c r="J1107" s="129" t="s">
        <v>3729</v>
      </c>
      <c r="K1107" s="135" t="s">
        <v>3730</v>
      </c>
      <c r="L1107" s="129">
        <v>110003</v>
      </c>
      <c r="M1107" s="129" t="s">
        <v>3289</v>
      </c>
      <c r="N1107" s="129"/>
      <c r="O1107" s="134" t="s">
        <v>3304</v>
      </c>
      <c r="P1107" s="134"/>
      <c r="Q1107" s="134"/>
      <c r="R1107" s="134"/>
      <c r="S1107" s="134"/>
      <c r="U1107" s="20">
        <v>2</v>
      </c>
      <c r="V1107" s="20">
        <v>0</v>
      </c>
      <c r="Y1107" s="71" t="b">
        <v>0</v>
      </c>
      <c r="AA1107" s="20" t="b">
        <v>1</v>
      </c>
      <c r="AE1107" s="20">
        <f t="shared" si="95"/>
        <v>6</v>
      </c>
      <c r="AH1107" s="61">
        <v>0.1</v>
      </c>
      <c r="AI1107" s="61">
        <v>1</v>
      </c>
      <c r="AJ1107" s="20">
        <v>2</v>
      </c>
      <c r="AL1107" s="108">
        <v>35</v>
      </c>
    </row>
    <row r="1108" spans="1:45" ht="26">
      <c r="A1108" s="129" t="s">
        <v>3728</v>
      </c>
      <c r="B1108" s="129"/>
      <c r="C1108" s="129">
        <v>3</v>
      </c>
      <c r="D1108" s="129"/>
      <c r="E1108" s="129" t="s">
        <v>2632</v>
      </c>
      <c r="F1108" s="129" t="s">
        <v>3357</v>
      </c>
      <c r="G1108" s="129" t="s">
        <v>3358</v>
      </c>
      <c r="H1108" s="129" t="s">
        <v>2331</v>
      </c>
      <c r="I1108" s="129" t="str">
        <f>VLOOKUP(F1108,'#对话模型配置'!A:O,15,FALSE)</f>
        <v>newbie_oversea_caesar</v>
      </c>
      <c r="J1108" s="129" t="s">
        <v>3731</v>
      </c>
      <c r="K1108" s="135" t="s">
        <v>3732</v>
      </c>
      <c r="L1108" s="129">
        <v>110001</v>
      </c>
      <c r="M1108" s="129" t="s">
        <v>3361</v>
      </c>
      <c r="N1108" s="129"/>
      <c r="O1108" s="134" t="s">
        <v>3298</v>
      </c>
      <c r="P1108" s="134"/>
      <c r="Q1108" s="134"/>
      <c r="R1108" s="134"/>
      <c r="S1108" s="134"/>
      <c r="U1108" s="20">
        <v>2</v>
      </c>
      <c r="V1108" s="20">
        <v>0</v>
      </c>
      <c r="Y1108" s="71" t="b">
        <v>0</v>
      </c>
      <c r="AA1108" s="20" t="b">
        <v>1</v>
      </c>
      <c r="AE1108" s="20">
        <f t="shared" si="95"/>
        <v>12</v>
      </c>
      <c r="AH1108" s="61">
        <v>0.1</v>
      </c>
      <c r="AI1108" s="61">
        <v>1</v>
      </c>
      <c r="AJ1108" s="20">
        <v>2</v>
      </c>
      <c r="AL1108" s="108">
        <v>35</v>
      </c>
    </row>
    <row r="1109" spans="1:45" ht="26">
      <c r="A1109" s="129" t="s">
        <v>3728</v>
      </c>
      <c r="B1109" s="129"/>
      <c r="C1109" s="129">
        <v>4</v>
      </c>
      <c r="D1109" s="129"/>
      <c r="E1109" s="129" t="s">
        <v>2632</v>
      </c>
      <c r="F1109" s="129" t="s">
        <v>3357</v>
      </c>
      <c r="G1109" s="129" t="s">
        <v>3358</v>
      </c>
      <c r="H1109" s="129" t="s">
        <v>2331</v>
      </c>
      <c r="I1109" s="129" t="str">
        <f>VLOOKUP(F1109,'#对话模型配置'!A:O,15,FALSE)</f>
        <v>newbie_oversea_caesar</v>
      </c>
      <c r="J1109" s="129" t="s">
        <v>3733</v>
      </c>
      <c r="K1109" s="135" t="s">
        <v>3734</v>
      </c>
      <c r="L1109" s="129">
        <v>110001</v>
      </c>
      <c r="M1109" s="129" t="s">
        <v>3361</v>
      </c>
      <c r="N1109" s="129"/>
      <c r="O1109" s="134" t="s">
        <v>3298</v>
      </c>
      <c r="P1109" s="134"/>
      <c r="Q1109" s="134"/>
      <c r="R1109" s="134"/>
      <c r="S1109" s="134"/>
      <c r="U1109" s="20">
        <v>2</v>
      </c>
      <c r="V1109" s="20">
        <v>0</v>
      </c>
      <c r="Y1109" s="71" t="b">
        <v>0</v>
      </c>
      <c r="AA1109" s="20" t="b">
        <v>1</v>
      </c>
      <c r="AE1109" s="20">
        <f t="shared" si="95"/>
        <v>14</v>
      </c>
      <c r="AH1109" s="61">
        <v>0.1</v>
      </c>
      <c r="AI1109" s="61">
        <v>1</v>
      </c>
      <c r="AJ1109" s="20">
        <v>2</v>
      </c>
      <c r="AL1109" s="108">
        <v>35</v>
      </c>
    </row>
    <row r="1110" spans="1:45" ht="26">
      <c r="A1110" s="129" t="s">
        <v>3728</v>
      </c>
      <c r="B1110" s="129"/>
      <c r="C1110" s="129">
        <v>5</v>
      </c>
      <c r="D1110" s="129"/>
      <c r="E1110" s="129" t="s">
        <v>2632</v>
      </c>
      <c r="F1110" s="129" t="s">
        <v>2637</v>
      </c>
      <c r="G1110" s="129" t="s">
        <v>2335</v>
      </c>
      <c r="H1110" s="129" t="s">
        <v>2331</v>
      </c>
      <c r="I1110" s="129" t="str">
        <f>VLOOKUP(F1110,'#对话模型配置'!A:O,15,FALSE)</f>
        <v>newbie_oversea_andrea</v>
      </c>
      <c r="J1110" s="129" t="s">
        <v>3735</v>
      </c>
      <c r="K1110" s="135" t="s">
        <v>3736</v>
      </c>
      <c r="L1110" s="129">
        <v>110003</v>
      </c>
      <c r="M1110" s="129" t="s">
        <v>3289</v>
      </c>
      <c r="N1110" s="129"/>
      <c r="O1110" s="134" t="s">
        <v>3304</v>
      </c>
      <c r="P1110" s="134"/>
      <c r="Q1110" s="134"/>
      <c r="R1110" s="134"/>
      <c r="S1110" s="134"/>
      <c r="U1110" s="20">
        <v>2</v>
      </c>
      <c r="V1110" s="20">
        <v>0</v>
      </c>
      <c r="Y1110" s="71" t="b">
        <v>0</v>
      </c>
      <c r="AA1110" s="20" t="b">
        <v>1</v>
      </c>
      <c r="AE1110" s="20">
        <f t="shared" si="95"/>
        <v>9</v>
      </c>
      <c r="AH1110" s="61">
        <v>0.1</v>
      </c>
      <c r="AI1110" s="61">
        <v>1</v>
      </c>
      <c r="AJ1110" s="20">
        <v>2</v>
      </c>
      <c r="AL1110" s="108">
        <v>35</v>
      </c>
    </row>
    <row r="1111" spans="1:45">
      <c r="A1111" s="129" t="s">
        <v>3728</v>
      </c>
      <c r="B1111" s="129"/>
      <c r="C1111" s="129">
        <v>6</v>
      </c>
      <c r="D1111" s="129"/>
      <c r="E1111" s="129" t="s">
        <v>2632</v>
      </c>
      <c r="F1111" s="129" t="s">
        <v>3357</v>
      </c>
      <c r="G1111" s="129" t="s">
        <v>3358</v>
      </c>
      <c r="H1111" s="129" t="s">
        <v>2331</v>
      </c>
      <c r="I1111" s="129" t="str">
        <f>VLOOKUP(F1111,'#对话模型配置'!A:O,15,FALSE)</f>
        <v>newbie_oversea_caesar</v>
      </c>
      <c r="J1111" s="129" t="s">
        <v>3737</v>
      </c>
      <c r="K1111" s="135" t="s">
        <v>3738</v>
      </c>
      <c r="L1111" s="129">
        <v>110001</v>
      </c>
      <c r="M1111" s="129" t="s">
        <v>3361</v>
      </c>
      <c r="N1111" s="129"/>
      <c r="O1111" s="134" t="s">
        <v>3298</v>
      </c>
      <c r="P1111" s="134"/>
      <c r="Q1111" s="134"/>
      <c r="R1111" s="134"/>
      <c r="S1111" s="134"/>
      <c r="U1111" s="20">
        <v>2</v>
      </c>
      <c r="V1111" s="20">
        <v>0</v>
      </c>
      <c r="Y1111" s="71" t="b">
        <v>0</v>
      </c>
      <c r="AA1111" s="20" t="b">
        <v>1</v>
      </c>
      <c r="AE1111" s="20">
        <f t="shared" si="95"/>
        <v>8</v>
      </c>
      <c r="AH1111" s="61">
        <v>0.1</v>
      </c>
      <c r="AI1111" s="61">
        <v>1</v>
      </c>
      <c r="AJ1111" s="20">
        <v>2</v>
      </c>
      <c r="AL1111" s="108">
        <v>35</v>
      </c>
    </row>
    <row r="1112" spans="1:45">
      <c r="A1112" s="129" t="s">
        <v>3728</v>
      </c>
      <c r="B1112" s="129"/>
      <c r="C1112" s="129">
        <v>7</v>
      </c>
      <c r="D1112" s="129"/>
      <c r="E1112" s="129" t="s">
        <v>2632</v>
      </c>
      <c r="F1112" s="129" t="s">
        <v>2637</v>
      </c>
      <c r="G1112" s="129" t="s">
        <v>2335</v>
      </c>
      <c r="H1112" s="129" t="s">
        <v>2331</v>
      </c>
      <c r="I1112" s="129" t="str">
        <f>VLOOKUP(F1112,'#对话模型配置'!A:O,15,FALSE)</f>
        <v>newbie_oversea_andrea</v>
      </c>
      <c r="J1112" s="129" t="s">
        <v>3739</v>
      </c>
      <c r="K1112" s="135" t="s">
        <v>3740</v>
      </c>
      <c r="L1112" s="129">
        <v>110003</v>
      </c>
      <c r="M1112" s="129" t="s">
        <v>3289</v>
      </c>
      <c r="N1112" s="129"/>
      <c r="O1112" s="134" t="s">
        <v>3304</v>
      </c>
      <c r="P1112" s="134"/>
      <c r="Q1112" s="134"/>
      <c r="R1112" s="134"/>
      <c r="S1112" s="134"/>
      <c r="U1112" s="20">
        <v>2</v>
      </c>
      <c r="V1112" s="20">
        <v>0</v>
      </c>
      <c r="Y1112" s="71" t="b">
        <v>0</v>
      </c>
      <c r="AA1112" s="20" t="b">
        <v>1</v>
      </c>
      <c r="AE1112" s="20">
        <f t="shared" si="95"/>
        <v>5</v>
      </c>
      <c r="AH1112" s="61">
        <v>0.1</v>
      </c>
      <c r="AI1112" s="61">
        <v>1</v>
      </c>
      <c r="AJ1112" s="20">
        <v>2</v>
      </c>
      <c r="AL1112" s="108">
        <v>35</v>
      </c>
    </row>
    <row r="1113" spans="1:45" ht="26">
      <c r="A1113" s="76" t="s">
        <v>3741</v>
      </c>
      <c r="B1113" s="76" t="s">
        <v>3380</v>
      </c>
      <c r="C1113" s="76">
        <v>1</v>
      </c>
      <c r="D1113" s="76"/>
      <c r="E1113" s="76" t="s">
        <v>2632</v>
      </c>
      <c r="F1113" s="76" t="s">
        <v>2637</v>
      </c>
      <c r="G1113" s="76" t="s">
        <v>2335</v>
      </c>
      <c r="H1113" s="76" t="s">
        <v>2331</v>
      </c>
      <c r="I1113" s="76" t="str">
        <f>VLOOKUP(F1113,'#对话模型配置'!A:O,15,FALSE)</f>
        <v>newbie_oversea_andrea</v>
      </c>
      <c r="J1113" s="76" t="s">
        <v>3742</v>
      </c>
      <c r="K1113" s="136" t="s">
        <v>3743</v>
      </c>
      <c r="L1113" s="76">
        <v>110003</v>
      </c>
      <c r="M1113" s="76" t="s">
        <v>3289</v>
      </c>
      <c r="N1113" s="76"/>
      <c r="O1113" s="134" t="s">
        <v>3744</v>
      </c>
      <c r="P1113" s="134"/>
      <c r="Q1113" s="134"/>
      <c r="R1113" s="132" t="s">
        <v>3745</v>
      </c>
      <c r="S1113" s="132"/>
      <c r="U1113" s="20">
        <v>2</v>
      </c>
      <c r="V1113" s="20">
        <v>0</v>
      </c>
      <c r="Y1113" s="71" t="b">
        <v>0</v>
      </c>
      <c r="AA1113" s="20" t="b">
        <v>1</v>
      </c>
      <c r="AE1113" s="20">
        <f t="shared" si="95"/>
        <v>11</v>
      </c>
      <c r="AH1113" s="61">
        <v>0.1</v>
      </c>
      <c r="AI1113" s="61">
        <v>1</v>
      </c>
      <c r="AJ1113" s="20">
        <v>2</v>
      </c>
      <c r="AL1113" s="108">
        <v>35</v>
      </c>
      <c r="AS1113" s="20" t="s">
        <v>3300</v>
      </c>
    </row>
    <row r="1114" spans="1:45">
      <c r="A1114" s="76" t="s">
        <v>3741</v>
      </c>
      <c r="B1114" s="76" t="s">
        <v>3380</v>
      </c>
      <c r="C1114" s="76">
        <v>2</v>
      </c>
      <c r="D1114" s="76"/>
      <c r="E1114" s="76" t="s">
        <v>2632</v>
      </c>
      <c r="F1114" s="76" t="s">
        <v>2633</v>
      </c>
      <c r="G1114" s="76" t="s">
        <v>2330</v>
      </c>
      <c r="H1114" s="76" t="s">
        <v>2331</v>
      </c>
      <c r="I1114" s="76" t="str">
        <f>VLOOKUP(F1114,'#对话模型配置'!A:O,15,FALSE)</f>
        <v>newbie_oversea_axe</v>
      </c>
      <c r="J1114" s="76" t="s">
        <v>3746</v>
      </c>
      <c r="K1114" s="136" t="s">
        <v>3747</v>
      </c>
      <c r="L1114" s="76">
        <v>110008</v>
      </c>
      <c r="M1114" s="76" t="s">
        <v>3289</v>
      </c>
      <c r="N1114" s="76"/>
      <c r="O1114" s="134" t="s">
        <v>3748</v>
      </c>
      <c r="P1114" s="134"/>
      <c r="Q1114" s="134"/>
      <c r="R1114" s="132"/>
      <c r="S1114" s="132"/>
      <c r="U1114" s="20">
        <v>2</v>
      </c>
      <c r="V1114" s="20">
        <v>0</v>
      </c>
      <c r="Y1114" s="71" t="b">
        <v>0</v>
      </c>
      <c r="AA1114" s="20" t="b">
        <v>1</v>
      </c>
      <c r="AE1114" s="20">
        <f t="shared" si="95"/>
        <v>6</v>
      </c>
      <c r="AH1114" s="61">
        <v>0.1</v>
      </c>
      <c r="AI1114" s="61">
        <v>1</v>
      </c>
      <c r="AJ1114" s="20">
        <v>2</v>
      </c>
      <c r="AL1114" s="108">
        <v>35</v>
      </c>
    </row>
    <row r="1115" spans="1:45" ht="26">
      <c r="A1115" s="76" t="s">
        <v>3741</v>
      </c>
      <c r="B1115" s="76" t="s">
        <v>3380</v>
      </c>
      <c r="C1115" s="76">
        <v>3</v>
      </c>
      <c r="D1115" s="76"/>
      <c r="E1115" s="76" t="s">
        <v>2632</v>
      </c>
      <c r="F1115" s="76" t="s">
        <v>2637</v>
      </c>
      <c r="G1115" s="76" t="s">
        <v>2335</v>
      </c>
      <c r="H1115" s="76" t="s">
        <v>2331</v>
      </c>
      <c r="I1115" s="76" t="str">
        <f>VLOOKUP(F1115,'#对话模型配置'!A:O,15,FALSE)</f>
        <v>newbie_oversea_andrea</v>
      </c>
      <c r="J1115" s="76" t="s">
        <v>3749</v>
      </c>
      <c r="K1115" s="136" t="s">
        <v>3750</v>
      </c>
      <c r="L1115" s="76">
        <v>110003</v>
      </c>
      <c r="M1115" s="76" t="s">
        <v>3289</v>
      </c>
      <c r="N1115" s="76"/>
      <c r="O1115" s="134" t="s">
        <v>3744</v>
      </c>
      <c r="P1115" s="134"/>
      <c r="Q1115" s="134"/>
      <c r="R1115" s="132"/>
      <c r="S1115" s="132"/>
      <c r="U1115" s="20">
        <v>2</v>
      </c>
      <c r="V1115" s="20">
        <v>0</v>
      </c>
      <c r="Y1115" s="71" t="b">
        <v>0</v>
      </c>
      <c r="AA1115" s="20" t="b">
        <v>1</v>
      </c>
      <c r="AE1115" s="20">
        <f t="shared" si="95"/>
        <v>10</v>
      </c>
      <c r="AH1115" s="61">
        <v>0.1</v>
      </c>
      <c r="AI1115" s="61">
        <v>1</v>
      </c>
      <c r="AJ1115" s="20">
        <v>2</v>
      </c>
      <c r="AL1115" s="108">
        <v>35</v>
      </c>
    </row>
    <row r="1116" spans="1:45" ht="26">
      <c r="A1116" s="76" t="s">
        <v>3741</v>
      </c>
      <c r="B1116" s="76" t="s">
        <v>3380</v>
      </c>
      <c r="C1116" s="76">
        <v>4</v>
      </c>
      <c r="D1116" s="76"/>
      <c r="E1116" s="76" t="s">
        <v>2632</v>
      </c>
      <c r="F1116" s="76" t="s">
        <v>2793</v>
      </c>
      <c r="G1116" s="76" t="s">
        <v>3301</v>
      </c>
      <c r="H1116" s="76" t="s">
        <v>2331</v>
      </c>
      <c r="I1116" s="76" t="str">
        <f>VLOOKUP(F1116,'#对话模型配置'!A:O,15,FALSE)</f>
        <v>newbie_oversea_joa</v>
      </c>
      <c r="J1116" s="76" t="s">
        <v>3751</v>
      </c>
      <c r="K1116" s="136" t="s">
        <v>3752</v>
      </c>
      <c r="L1116" s="76">
        <v>110002</v>
      </c>
      <c r="M1116" s="76" t="s">
        <v>3289</v>
      </c>
      <c r="N1116" s="76"/>
      <c r="O1116" s="134" t="s">
        <v>3753</v>
      </c>
      <c r="P1116" s="134"/>
      <c r="Q1116" s="134"/>
      <c r="R1116" s="132" t="s">
        <v>3754</v>
      </c>
      <c r="S1116" s="132"/>
      <c r="U1116" s="20">
        <v>2</v>
      </c>
      <c r="V1116" s="20">
        <v>0</v>
      </c>
      <c r="Y1116" s="71" t="b">
        <v>0</v>
      </c>
      <c r="AA1116" s="20" t="b">
        <v>1</v>
      </c>
      <c r="AE1116" s="20">
        <f t="shared" si="95"/>
        <v>10</v>
      </c>
      <c r="AH1116" s="61">
        <v>0.1</v>
      </c>
      <c r="AI1116" s="61">
        <v>1</v>
      </c>
      <c r="AJ1116" s="20">
        <v>2</v>
      </c>
      <c r="AL1116" s="108">
        <v>35</v>
      </c>
    </row>
    <row r="1117" spans="1:45" ht="26">
      <c r="A1117" s="129" t="s">
        <v>3755</v>
      </c>
      <c r="B1117" s="129" t="s">
        <v>3380</v>
      </c>
      <c r="C1117" s="129">
        <v>1</v>
      </c>
      <c r="D1117" s="129"/>
      <c r="E1117" s="129" t="s">
        <v>2632</v>
      </c>
      <c r="F1117" s="129" t="s">
        <v>2637</v>
      </c>
      <c r="G1117" s="129" t="s">
        <v>2335</v>
      </c>
      <c r="H1117" s="129" t="s">
        <v>2331</v>
      </c>
      <c r="I1117" s="129" t="str">
        <f>VLOOKUP(F1117,'#对话模型配置'!A:O,15,FALSE)</f>
        <v>newbie_oversea_andrea</v>
      </c>
      <c r="J1117" s="129" t="s">
        <v>3756</v>
      </c>
      <c r="K1117" s="135" t="s">
        <v>3757</v>
      </c>
      <c r="L1117" s="129">
        <v>110003</v>
      </c>
      <c r="M1117" s="129" t="s">
        <v>3289</v>
      </c>
      <c r="N1117" s="129"/>
      <c r="O1117" s="134" t="s">
        <v>3758</v>
      </c>
      <c r="P1117" s="134"/>
      <c r="Q1117" s="134"/>
      <c r="R1117" s="134" t="s">
        <v>3759</v>
      </c>
      <c r="S1117" s="134"/>
      <c r="U1117" s="20">
        <v>2</v>
      </c>
      <c r="V1117" s="20">
        <v>0</v>
      </c>
      <c r="Y1117" s="71" t="b">
        <v>0</v>
      </c>
      <c r="AA1117" s="20" t="b">
        <v>1</v>
      </c>
      <c r="AE1117" s="20">
        <f t="shared" si="95"/>
        <v>13</v>
      </c>
      <c r="AH1117" s="61">
        <v>0.1</v>
      </c>
      <c r="AI1117" s="61">
        <v>1</v>
      </c>
      <c r="AJ1117" s="20">
        <v>2</v>
      </c>
      <c r="AL1117" s="108">
        <v>35</v>
      </c>
      <c r="AS1117" s="20" t="s">
        <v>3282</v>
      </c>
    </row>
    <row r="1118" spans="1:45">
      <c r="A1118" s="129" t="s">
        <v>3755</v>
      </c>
      <c r="B1118" s="129" t="s">
        <v>3380</v>
      </c>
      <c r="C1118" s="129">
        <v>2</v>
      </c>
      <c r="D1118" s="129"/>
      <c r="E1118" s="129" t="s">
        <v>2632</v>
      </c>
      <c r="F1118" s="129" t="s">
        <v>2793</v>
      </c>
      <c r="G1118" s="129" t="s">
        <v>3301</v>
      </c>
      <c r="H1118" s="129" t="s">
        <v>2331</v>
      </c>
      <c r="I1118" s="129" t="str">
        <f>VLOOKUP(F1118,'#对话模型配置'!A:O,15,FALSE)</f>
        <v>newbie_oversea_joa</v>
      </c>
      <c r="J1118" s="129" t="s">
        <v>3760</v>
      </c>
      <c r="K1118" s="135" t="s">
        <v>3761</v>
      </c>
      <c r="L1118" s="129">
        <v>110002</v>
      </c>
      <c r="M1118" s="129" t="s">
        <v>3289</v>
      </c>
      <c r="N1118" s="129"/>
      <c r="O1118" s="134" t="s">
        <v>3762</v>
      </c>
      <c r="P1118" s="134"/>
      <c r="Q1118" s="134"/>
      <c r="R1118" s="134"/>
      <c r="S1118" s="134"/>
      <c r="U1118" s="20">
        <v>2</v>
      </c>
      <c r="V1118" s="20">
        <v>0</v>
      </c>
      <c r="Y1118" s="71" t="b">
        <v>0</v>
      </c>
      <c r="AA1118" s="20" t="b">
        <v>1</v>
      </c>
      <c r="AE1118" s="20">
        <f t="shared" si="95"/>
        <v>5</v>
      </c>
      <c r="AH1118" s="61">
        <v>0.1</v>
      </c>
      <c r="AI1118" s="61">
        <v>1</v>
      </c>
      <c r="AJ1118" s="20">
        <v>2</v>
      </c>
      <c r="AL1118" s="108">
        <v>35</v>
      </c>
    </row>
    <row r="1119" spans="1:45">
      <c r="A1119" s="129" t="s">
        <v>3755</v>
      </c>
      <c r="B1119" s="129" t="s">
        <v>3380</v>
      </c>
      <c r="C1119" s="129">
        <v>3</v>
      </c>
      <c r="D1119" s="129"/>
      <c r="E1119" s="129" t="s">
        <v>2632</v>
      </c>
      <c r="F1119" s="129" t="s">
        <v>2637</v>
      </c>
      <c r="G1119" s="129" t="s">
        <v>2335</v>
      </c>
      <c r="H1119" s="129" t="s">
        <v>2331</v>
      </c>
      <c r="I1119" s="129" t="str">
        <f>VLOOKUP(F1119,'#对话模型配置'!A:O,15,FALSE)</f>
        <v>newbie_oversea_andrea</v>
      </c>
      <c r="J1119" s="129" t="s">
        <v>3763</v>
      </c>
      <c r="K1119" s="135" t="s">
        <v>3764</v>
      </c>
      <c r="L1119" s="129">
        <v>110003</v>
      </c>
      <c r="M1119" s="129" t="s">
        <v>3289</v>
      </c>
      <c r="N1119" s="129"/>
      <c r="O1119" s="134" t="s">
        <v>3758</v>
      </c>
      <c r="P1119" s="134"/>
      <c r="Q1119" s="134"/>
      <c r="R1119" s="134"/>
      <c r="S1119" s="134"/>
      <c r="U1119" s="20">
        <v>2</v>
      </c>
      <c r="V1119" s="20">
        <v>0</v>
      </c>
      <c r="Y1119" s="71" t="b">
        <v>0</v>
      </c>
      <c r="AA1119" s="20" t="b">
        <v>1</v>
      </c>
      <c r="AE1119" s="20">
        <f t="shared" si="95"/>
        <v>5</v>
      </c>
      <c r="AH1119" s="61">
        <v>0.1</v>
      </c>
      <c r="AI1119" s="61">
        <v>1</v>
      </c>
      <c r="AJ1119" s="20">
        <v>2</v>
      </c>
      <c r="AL1119" s="108">
        <v>35</v>
      </c>
    </row>
    <row r="1120" spans="1:45" ht="26">
      <c r="A1120" s="129" t="s">
        <v>3755</v>
      </c>
      <c r="B1120" s="129" t="s">
        <v>3380</v>
      </c>
      <c r="C1120" s="129">
        <v>4</v>
      </c>
      <c r="D1120" s="129"/>
      <c r="E1120" s="129" t="s">
        <v>2632</v>
      </c>
      <c r="F1120" s="129" t="s">
        <v>2793</v>
      </c>
      <c r="G1120" s="129" t="s">
        <v>3301</v>
      </c>
      <c r="H1120" s="129" t="s">
        <v>2331</v>
      </c>
      <c r="I1120" s="129" t="str">
        <f>VLOOKUP(F1120,'#对话模型配置'!A:O,15,FALSE)</f>
        <v>newbie_oversea_joa</v>
      </c>
      <c r="J1120" s="129" t="s">
        <v>3765</v>
      </c>
      <c r="K1120" s="135" t="s">
        <v>3766</v>
      </c>
      <c r="L1120" s="129">
        <v>110002</v>
      </c>
      <c r="M1120" s="129" t="s">
        <v>3289</v>
      </c>
      <c r="N1120" s="129"/>
      <c r="O1120" s="134" t="s">
        <v>3762</v>
      </c>
      <c r="P1120" s="134"/>
      <c r="Q1120" s="134"/>
      <c r="R1120" s="134"/>
      <c r="S1120" s="134"/>
      <c r="U1120" s="20">
        <v>2</v>
      </c>
      <c r="V1120" s="20">
        <v>0</v>
      </c>
      <c r="Y1120" s="71" t="b">
        <v>0</v>
      </c>
      <c r="AA1120" s="20" t="b">
        <v>1</v>
      </c>
      <c r="AE1120" s="20">
        <f t="shared" si="95"/>
        <v>10</v>
      </c>
      <c r="AH1120" s="61">
        <v>0.1</v>
      </c>
      <c r="AI1120" s="61">
        <v>1</v>
      </c>
      <c r="AJ1120" s="20">
        <v>2</v>
      </c>
      <c r="AL1120" s="108">
        <v>35</v>
      </c>
    </row>
    <row r="1121" spans="1:45">
      <c r="A1121" s="129" t="s">
        <v>3755</v>
      </c>
      <c r="B1121" s="129" t="s">
        <v>3380</v>
      </c>
      <c r="C1121" s="129">
        <v>5</v>
      </c>
      <c r="D1121" s="129"/>
      <c r="E1121" s="129" t="s">
        <v>2632</v>
      </c>
      <c r="F1121" s="129" t="s">
        <v>3357</v>
      </c>
      <c r="G1121" s="129" t="s">
        <v>3358</v>
      </c>
      <c r="H1121" s="129" t="s">
        <v>2331</v>
      </c>
      <c r="I1121" s="129" t="str">
        <f>VLOOKUP(F1121,'#对话模型配置'!A:O,15,FALSE)</f>
        <v>newbie_oversea_caesar</v>
      </c>
      <c r="J1121" s="129" t="s">
        <v>3767</v>
      </c>
      <c r="K1121" s="135" t="s">
        <v>3768</v>
      </c>
      <c r="L1121" s="129">
        <v>110001</v>
      </c>
      <c r="M1121" s="129" t="s">
        <v>3289</v>
      </c>
      <c r="N1121" s="129"/>
      <c r="O1121" s="134" t="s">
        <v>3769</v>
      </c>
      <c r="P1121" s="134"/>
      <c r="Q1121" s="134"/>
      <c r="R1121" s="134"/>
      <c r="S1121" s="134"/>
      <c r="U1121" s="20">
        <v>2</v>
      </c>
      <c r="V1121" s="20">
        <v>0</v>
      </c>
      <c r="Y1121" s="71" t="b">
        <v>0</v>
      </c>
      <c r="AA1121" s="20" t="b">
        <v>1</v>
      </c>
      <c r="AE1121" s="20">
        <f t="shared" si="95"/>
        <v>5</v>
      </c>
      <c r="AH1121" s="61">
        <v>0.1</v>
      </c>
      <c r="AI1121" s="61">
        <v>1</v>
      </c>
      <c r="AJ1121" s="20">
        <v>2</v>
      </c>
      <c r="AL1121" s="108">
        <v>35</v>
      </c>
    </row>
    <row r="1122" spans="1:45">
      <c r="A1122" s="129" t="s">
        <v>3755</v>
      </c>
      <c r="B1122" s="129" t="s">
        <v>3380</v>
      </c>
      <c r="C1122" s="129">
        <v>6</v>
      </c>
      <c r="D1122" s="129"/>
      <c r="E1122" s="129" t="s">
        <v>2632</v>
      </c>
      <c r="F1122" s="129" t="s">
        <v>2637</v>
      </c>
      <c r="G1122" s="129" t="s">
        <v>2335</v>
      </c>
      <c r="H1122" s="129" t="s">
        <v>2331</v>
      </c>
      <c r="I1122" s="129" t="str">
        <f>VLOOKUP(F1122,'#对话模型配置'!A:O,15,FALSE)</f>
        <v>newbie_oversea_andrea</v>
      </c>
      <c r="J1122" s="129" t="s">
        <v>3770</v>
      </c>
      <c r="K1122" s="135" t="s">
        <v>3771</v>
      </c>
      <c r="L1122" s="129">
        <v>110003</v>
      </c>
      <c r="M1122" s="129" t="s">
        <v>3289</v>
      </c>
      <c r="N1122" s="129"/>
      <c r="O1122" s="134" t="s">
        <v>3758</v>
      </c>
      <c r="P1122" s="134"/>
      <c r="Q1122" s="134"/>
      <c r="R1122" s="134"/>
      <c r="S1122" s="134"/>
      <c r="U1122" s="20">
        <v>2</v>
      </c>
      <c r="V1122" s="20">
        <v>0</v>
      </c>
      <c r="Y1122" s="71" t="b">
        <v>0</v>
      </c>
      <c r="AA1122" s="20" t="b">
        <v>1</v>
      </c>
      <c r="AE1122" s="20">
        <f t="shared" si="95"/>
        <v>5</v>
      </c>
      <c r="AH1122" s="61">
        <v>0.1</v>
      </c>
      <c r="AI1122" s="61">
        <v>1</v>
      </c>
      <c r="AJ1122" s="20">
        <v>2</v>
      </c>
      <c r="AL1122" s="108">
        <v>35</v>
      </c>
    </row>
    <row r="1123" spans="1:45">
      <c r="A1123" s="76" t="s">
        <v>3772</v>
      </c>
      <c r="B1123" s="76" t="s">
        <v>3380</v>
      </c>
      <c r="C1123" s="76">
        <v>1</v>
      </c>
      <c r="D1123" s="76"/>
      <c r="E1123" s="76" t="s">
        <v>2632</v>
      </c>
      <c r="F1123" s="76" t="s">
        <v>2637</v>
      </c>
      <c r="G1123" s="76" t="s">
        <v>2335</v>
      </c>
      <c r="H1123" s="76" t="s">
        <v>2331</v>
      </c>
      <c r="I1123" s="76" t="str">
        <f>VLOOKUP(F1123,'#对话模型配置'!A:O,15,FALSE)</f>
        <v>newbie_oversea_andrea</v>
      </c>
      <c r="J1123" s="76" t="s">
        <v>3773</v>
      </c>
      <c r="K1123" s="136" t="s">
        <v>3774</v>
      </c>
      <c r="L1123" s="76">
        <v>110003</v>
      </c>
      <c r="M1123" s="76" t="s">
        <v>3314</v>
      </c>
      <c r="N1123" s="76"/>
      <c r="O1123" s="134" t="s">
        <v>3775</v>
      </c>
      <c r="P1123" s="134"/>
      <c r="Q1123" s="134"/>
      <c r="R1123" s="132" t="s">
        <v>3776</v>
      </c>
      <c r="S1123" s="132"/>
      <c r="U1123" s="20">
        <v>2</v>
      </c>
      <c r="V1123" s="20">
        <v>0</v>
      </c>
      <c r="Y1123" s="71" t="b">
        <v>0</v>
      </c>
      <c r="AA1123" s="20" t="b">
        <v>1</v>
      </c>
      <c r="AE1123" s="20">
        <f t="shared" si="95"/>
        <v>6</v>
      </c>
      <c r="AH1123" s="61">
        <v>0.1</v>
      </c>
      <c r="AI1123" s="61">
        <v>1</v>
      </c>
      <c r="AJ1123" s="20">
        <v>2</v>
      </c>
      <c r="AL1123" s="108">
        <v>35</v>
      </c>
      <c r="AS1123" s="20" t="s">
        <v>3300</v>
      </c>
    </row>
    <row r="1124" spans="1:45" ht="26">
      <c r="A1124" s="76" t="s">
        <v>3772</v>
      </c>
      <c r="B1124" s="76" t="s">
        <v>3380</v>
      </c>
      <c r="C1124" s="76">
        <v>2</v>
      </c>
      <c r="D1124" s="76"/>
      <c r="E1124" s="76" t="s">
        <v>2632</v>
      </c>
      <c r="F1124" s="76" t="s">
        <v>3672</v>
      </c>
      <c r="G1124" s="76" t="s">
        <v>3673</v>
      </c>
      <c r="H1124" s="76" t="s">
        <v>2331</v>
      </c>
      <c r="I1124" s="76" t="str">
        <f>VLOOKUP(F1124,'#对话模型配置'!A:O,15,FALSE)</f>
        <v>newbie_oversea_mose</v>
      </c>
      <c r="J1124" s="76" t="s">
        <v>3777</v>
      </c>
      <c r="K1124" s="136" t="s">
        <v>3778</v>
      </c>
      <c r="L1124" s="76">
        <v>110006</v>
      </c>
      <c r="M1124" s="76" t="s">
        <v>3289</v>
      </c>
      <c r="N1124" s="76"/>
      <c r="O1124" s="134" t="s">
        <v>3779</v>
      </c>
      <c r="P1124" s="134"/>
      <c r="Q1124" s="134"/>
      <c r="R1124" s="132"/>
      <c r="S1124" s="132"/>
      <c r="U1124" s="20">
        <v>2</v>
      </c>
      <c r="V1124" s="20">
        <v>0</v>
      </c>
      <c r="Y1124" s="71" t="b">
        <v>0</v>
      </c>
      <c r="AA1124" s="20" t="b">
        <v>1</v>
      </c>
      <c r="AE1124" s="20">
        <f t="shared" si="95"/>
        <v>11</v>
      </c>
      <c r="AH1124" s="61">
        <v>0.1</v>
      </c>
      <c r="AI1124" s="61">
        <v>1</v>
      </c>
      <c r="AJ1124" s="20">
        <v>2</v>
      </c>
      <c r="AL1124" s="108">
        <v>35</v>
      </c>
    </row>
    <row r="1125" spans="1:45">
      <c r="A1125" s="76" t="s">
        <v>3772</v>
      </c>
      <c r="B1125" s="76" t="s">
        <v>3380</v>
      </c>
      <c r="C1125" s="76">
        <v>3</v>
      </c>
      <c r="D1125" s="76"/>
      <c r="E1125" s="76" t="s">
        <v>2632</v>
      </c>
      <c r="F1125" s="76" t="s">
        <v>2637</v>
      </c>
      <c r="G1125" s="76" t="s">
        <v>2335</v>
      </c>
      <c r="H1125" s="76" t="s">
        <v>2331</v>
      </c>
      <c r="I1125" s="76" t="str">
        <f>VLOOKUP(F1125,'#对话模型配置'!A:O,15,FALSE)</f>
        <v>newbie_oversea_andrea</v>
      </c>
      <c r="J1125" s="76" t="s">
        <v>3780</v>
      </c>
      <c r="K1125" s="136" t="s">
        <v>3781</v>
      </c>
      <c r="L1125" s="76">
        <v>110003</v>
      </c>
      <c r="M1125" s="76" t="s">
        <v>3289</v>
      </c>
      <c r="N1125" s="76"/>
      <c r="O1125" s="134" t="s">
        <v>3775</v>
      </c>
      <c r="P1125" s="134"/>
      <c r="Q1125" s="134"/>
      <c r="R1125" s="132"/>
      <c r="S1125" s="132"/>
      <c r="U1125" s="20">
        <v>2</v>
      </c>
      <c r="V1125" s="20">
        <v>0</v>
      </c>
      <c r="Y1125" s="71" t="b">
        <v>0</v>
      </c>
      <c r="AA1125" s="20" t="b">
        <v>1</v>
      </c>
      <c r="AE1125" s="20">
        <f t="shared" si="95"/>
        <v>5</v>
      </c>
      <c r="AH1125" s="61">
        <v>0.1</v>
      </c>
      <c r="AI1125" s="61">
        <v>1</v>
      </c>
      <c r="AJ1125" s="20">
        <v>2</v>
      </c>
      <c r="AL1125" s="108">
        <v>35</v>
      </c>
    </row>
    <row r="1126" spans="1:45" ht="26">
      <c r="A1126" s="76" t="s">
        <v>3772</v>
      </c>
      <c r="B1126" s="76" t="s">
        <v>3380</v>
      </c>
      <c r="C1126" s="76">
        <v>4</v>
      </c>
      <c r="D1126" s="76"/>
      <c r="E1126" s="76" t="s">
        <v>2632</v>
      </c>
      <c r="F1126" s="76" t="s">
        <v>3672</v>
      </c>
      <c r="G1126" s="76" t="s">
        <v>3673</v>
      </c>
      <c r="H1126" s="76" t="s">
        <v>2331</v>
      </c>
      <c r="I1126" s="76" t="str">
        <f>VLOOKUP(F1126,'#对话模型配置'!A:O,15,FALSE)</f>
        <v>newbie_oversea_mose</v>
      </c>
      <c r="J1126" s="76" t="s">
        <v>3782</v>
      </c>
      <c r="K1126" s="136" t="s">
        <v>3783</v>
      </c>
      <c r="L1126" s="76">
        <v>110006</v>
      </c>
      <c r="M1126" s="76" t="s">
        <v>3289</v>
      </c>
      <c r="N1126" s="76"/>
      <c r="O1126" s="134" t="s">
        <v>3779</v>
      </c>
      <c r="P1126" s="134"/>
      <c r="Q1126" s="134"/>
      <c r="R1126" s="132"/>
      <c r="S1126" s="132"/>
      <c r="U1126" s="20">
        <v>2</v>
      </c>
      <c r="V1126" s="20">
        <v>0</v>
      </c>
      <c r="Y1126" s="71" t="b">
        <v>0</v>
      </c>
      <c r="AA1126" s="20" t="b">
        <v>1</v>
      </c>
      <c r="AE1126" s="20">
        <f t="shared" si="95"/>
        <v>13</v>
      </c>
      <c r="AH1126" s="61">
        <v>0.1</v>
      </c>
      <c r="AI1126" s="61">
        <v>1</v>
      </c>
      <c r="AJ1126" s="20">
        <v>2</v>
      </c>
      <c r="AL1126" s="108">
        <v>35</v>
      </c>
    </row>
    <row r="1127" spans="1:45" ht="26">
      <c r="A1127" s="76" t="s">
        <v>3772</v>
      </c>
      <c r="B1127" s="76" t="s">
        <v>3380</v>
      </c>
      <c r="C1127" s="76">
        <v>5</v>
      </c>
      <c r="D1127" s="76"/>
      <c r="E1127" s="76" t="s">
        <v>2632</v>
      </c>
      <c r="F1127" s="76" t="s">
        <v>3672</v>
      </c>
      <c r="G1127" s="76" t="s">
        <v>3673</v>
      </c>
      <c r="H1127" s="76" t="s">
        <v>2331</v>
      </c>
      <c r="I1127" s="76" t="str">
        <f>VLOOKUP(F1127,'#对话模型配置'!A:O,15,FALSE)</f>
        <v>newbie_oversea_mose</v>
      </c>
      <c r="J1127" s="76" t="s">
        <v>3784</v>
      </c>
      <c r="K1127" s="136" t="s">
        <v>3785</v>
      </c>
      <c r="L1127" s="76">
        <v>110006</v>
      </c>
      <c r="M1127" s="76" t="s">
        <v>3289</v>
      </c>
      <c r="N1127" s="76"/>
      <c r="O1127" s="134" t="s">
        <v>3779</v>
      </c>
      <c r="P1127" s="134"/>
      <c r="Q1127" s="134"/>
      <c r="R1127" s="132"/>
      <c r="S1127" s="132"/>
      <c r="U1127" s="20">
        <v>2</v>
      </c>
      <c r="V1127" s="20">
        <v>0</v>
      </c>
      <c r="Y1127" s="71" t="b">
        <v>0</v>
      </c>
      <c r="AA1127" s="20" t="b">
        <v>1</v>
      </c>
      <c r="AE1127" s="20">
        <f t="shared" si="95"/>
        <v>14</v>
      </c>
      <c r="AH1127" s="61">
        <v>0.1</v>
      </c>
      <c r="AI1127" s="61">
        <v>1</v>
      </c>
      <c r="AJ1127" s="20">
        <v>2</v>
      </c>
      <c r="AL1127" s="108">
        <v>35</v>
      </c>
    </row>
    <row r="1128" spans="1:45">
      <c r="A1128" s="76" t="s">
        <v>3772</v>
      </c>
      <c r="B1128" s="76" t="s">
        <v>3380</v>
      </c>
      <c r="C1128" s="76">
        <v>6</v>
      </c>
      <c r="D1128" s="76"/>
      <c r="E1128" s="76" t="s">
        <v>2632</v>
      </c>
      <c r="F1128" s="76" t="s">
        <v>2637</v>
      </c>
      <c r="G1128" s="76" t="s">
        <v>2335</v>
      </c>
      <c r="H1128" s="76" t="s">
        <v>2331</v>
      </c>
      <c r="I1128" s="76" t="str">
        <f>VLOOKUP(F1128,'#对话模型配置'!A:O,15,FALSE)</f>
        <v>newbie_oversea_andrea</v>
      </c>
      <c r="J1128" s="76" t="s">
        <v>3786</v>
      </c>
      <c r="K1128" s="136" t="s">
        <v>3787</v>
      </c>
      <c r="L1128" s="76">
        <v>110003</v>
      </c>
      <c r="M1128" s="76" t="s">
        <v>3450</v>
      </c>
      <c r="N1128" s="76"/>
      <c r="O1128" s="134" t="s">
        <v>3775</v>
      </c>
      <c r="P1128" s="134"/>
      <c r="Q1128" s="134"/>
      <c r="R1128" s="132"/>
      <c r="S1128" s="132"/>
      <c r="U1128" s="20">
        <v>2</v>
      </c>
      <c r="V1128" s="20">
        <v>0</v>
      </c>
      <c r="Y1128" s="71" t="b">
        <v>0</v>
      </c>
      <c r="AA1128" s="20" t="b">
        <v>1</v>
      </c>
      <c r="AE1128" s="20">
        <f t="shared" si="95"/>
        <v>7</v>
      </c>
      <c r="AH1128" s="61">
        <v>0.1</v>
      </c>
      <c r="AI1128" s="61">
        <v>1</v>
      </c>
      <c r="AJ1128" s="20">
        <v>2</v>
      </c>
      <c r="AL1128" s="108">
        <v>35</v>
      </c>
    </row>
    <row r="1129" spans="1:45">
      <c r="A1129" s="76" t="s">
        <v>3772</v>
      </c>
      <c r="B1129" s="76" t="s">
        <v>3380</v>
      </c>
      <c r="C1129" s="76">
        <v>7</v>
      </c>
      <c r="D1129" s="76"/>
      <c r="E1129" s="76" t="s">
        <v>2632</v>
      </c>
      <c r="F1129" s="76" t="s">
        <v>3672</v>
      </c>
      <c r="G1129" s="76" t="s">
        <v>3673</v>
      </c>
      <c r="H1129" s="76" t="s">
        <v>2331</v>
      </c>
      <c r="I1129" s="76" t="str">
        <f>VLOOKUP(F1129,'#对话模型配置'!A:O,15,FALSE)</f>
        <v>newbie_oversea_mose</v>
      </c>
      <c r="J1129" s="76" t="s">
        <v>3788</v>
      </c>
      <c r="K1129" s="136" t="s">
        <v>3789</v>
      </c>
      <c r="L1129" s="76">
        <v>110006</v>
      </c>
      <c r="M1129" s="76" t="s">
        <v>3453</v>
      </c>
      <c r="N1129" s="76"/>
      <c r="O1129" s="134" t="s">
        <v>3779</v>
      </c>
      <c r="P1129" s="134"/>
      <c r="Q1129" s="134"/>
      <c r="R1129" s="132"/>
      <c r="S1129" s="132"/>
      <c r="U1129" s="20">
        <v>2</v>
      </c>
      <c r="V1129" s="20">
        <v>0</v>
      </c>
      <c r="Y1129" s="71" t="b">
        <v>0</v>
      </c>
      <c r="AA1129" s="20" t="b">
        <v>1</v>
      </c>
      <c r="AE1129" s="20">
        <f t="shared" si="95"/>
        <v>7</v>
      </c>
      <c r="AH1129" s="61">
        <v>0.1</v>
      </c>
      <c r="AI1129" s="61">
        <v>1</v>
      </c>
      <c r="AJ1129" s="20">
        <v>2</v>
      </c>
      <c r="AL1129" s="108">
        <v>35</v>
      </c>
    </row>
    <row r="1130" spans="1:45">
      <c r="A1130" s="129" t="s">
        <v>3790</v>
      </c>
      <c r="B1130" s="129" t="s">
        <v>3380</v>
      </c>
      <c r="C1130" s="129">
        <v>1</v>
      </c>
      <c r="D1130" s="129"/>
      <c r="E1130" s="129" t="s">
        <v>2632</v>
      </c>
      <c r="F1130" s="129" t="s">
        <v>2793</v>
      </c>
      <c r="G1130" s="129" t="s">
        <v>3301</v>
      </c>
      <c r="H1130" s="129" t="s">
        <v>2331</v>
      </c>
      <c r="I1130" s="129" t="str">
        <f>VLOOKUP(F1130,'#对话模型配置'!A:O,15,FALSE)</f>
        <v>newbie_oversea_joa</v>
      </c>
      <c r="J1130" s="129" t="s">
        <v>3791</v>
      </c>
      <c r="K1130" s="135" t="s">
        <v>3792</v>
      </c>
      <c r="L1130" s="129">
        <v>110002</v>
      </c>
      <c r="M1130" s="129" t="s">
        <v>3289</v>
      </c>
      <c r="N1130" s="129"/>
      <c r="O1130" s="134" t="s">
        <v>3793</v>
      </c>
      <c r="P1130" s="134"/>
      <c r="Q1130" s="134"/>
      <c r="R1130" s="134" t="s">
        <v>3794</v>
      </c>
      <c r="S1130" s="134"/>
      <c r="U1130" s="20">
        <v>2</v>
      </c>
      <c r="V1130" s="20">
        <v>0</v>
      </c>
      <c r="Y1130" s="71" t="b">
        <v>0</v>
      </c>
      <c r="AA1130" s="20" t="b">
        <v>1</v>
      </c>
      <c r="AE1130" s="20">
        <f t="shared" si="95"/>
        <v>7</v>
      </c>
      <c r="AH1130" s="61">
        <v>0.1</v>
      </c>
      <c r="AI1130" s="61">
        <v>1</v>
      </c>
      <c r="AJ1130" s="20">
        <v>2</v>
      </c>
      <c r="AL1130" s="108">
        <v>35</v>
      </c>
      <c r="AS1130" s="20" t="s">
        <v>3457</v>
      </c>
    </row>
    <row r="1131" spans="1:45">
      <c r="A1131" s="129" t="s">
        <v>3790</v>
      </c>
      <c r="B1131" s="129" t="s">
        <v>3380</v>
      </c>
      <c r="C1131" s="129">
        <v>2</v>
      </c>
      <c r="D1131" s="129"/>
      <c r="E1131" s="129" t="s">
        <v>2632</v>
      </c>
      <c r="F1131" s="129" t="s">
        <v>3357</v>
      </c>
      <c r="G1131" s="129" t="s">
        <v>3358</v>
      </c>
      <c r="H1131" s="129" t="s">
        <v>2331</v>
      </c>
      <c r="I1131" s="129" t="str">
        <f>VLOOKUP(F1131,'#对话模型配置'!A:O,15,FALSE)</f>
        <v>newbie_oversea_caesar</v>
      </c>
      <c r="J1131" s="129" t="s">
        <v>3795</v>
      </c>
      <c r="K1131" s="135" t="s">
        <v>3796</v>
      </c>
      <c r="L1131" s="129">
        <v>110001</v>
      </c>
      <c r="M1131" s="129" t="s">
        <v>3361</v>
      </c>
      <c r="N1131" s="129"/>
      <c r="O1131" s="134" t="s">
        <v>3797</v>
      </c>
      <c r="P1131" s="134"/>
      <c r="Q1131" s="134"/>
      <c r="R1131" s="134"/>
      <c r="S1131" s="134"/>
      <c r="U1131" s="20">
        <v>2</v>
      </c>
      <c r="V1131" s="20">
        <v>0</v>
      </c>
      <c r="Y1131" s="71" t="b">
        <v>0</v>
      </c>
      <c r="AA1131" s="20" t="b">
        <v>1</v>
      </c>
      <c r="AE1131" s="20">
        <f t="shared" si="95"/>
        <v>6</v>
      </c>
      <c r="AH1131" s="61">
        <v>0.1</v>
      </c>
      <c r="AI1131" s="61">
        <v>1</v>
      </c>
      <c r="AJ1131" s="20">
        <v>2</v>
      </c>
      <c r="AL1131" s="108">
        <v>35</v>
      </c>
    </row>
    <row r="1132" spans="1:45" ht="26">
      <c r="A1132" s="137">
        <v>11100032</v>
      </c>
      <c r="B1132" s="137"/>
      <c r="C1132" s="137">
        <v>1</v>
      </c>
      <c r="D1132" s="137"/>
      <c r="E1132" s="137" t="s">
        <v>2632</v>
      </c>
      <c r="F1132" s="137" t="s">
        <v>2637</v>
      </c>
      <c r="G1132" s="137" t="s">
        <v>2335</v>
      </c>
      <c r="H1132" s="137" t="s">
        <v>2331</v>
      </c>
      <c r="I1132" s="137" t="str">
        <f>VLOOKUP(F1132,'#对话模型配置'!A:O,15,FALSE)</f>
        <v>newbie_oversea_andrea</v>
      </c>
      <c r="J1132" s="137" t="s">
        <v>3798</v>
      </c>
      <c r="K1132" s="138" t="s">
        <v>3799</v>
      </c>
      <c r="L1132" s="137">
        <v>110003</v>
      </c>
      <c r="M1132" s="137" t="s">
        <v>3289</v>
      </c>
      <c r="N1132" s="137"/>
      <c r="O1132" s="139"/>
      <c r="P1132" s="139"/>
      <c r="Q1132" s="139"/>
      <c r="R1132" s="139"/>
      <c r="S1132" s="139"/>
      <c r="U1132" s="20">
        <v>2</v>
      </c>
      <c r="V1132" s="20">
        <v>0</v>
      </c>
      <c r="Y1132" s="71" t="b">
        <v>0</v>
      </c>
      <c r="AA1132" s="20" t="b">
        <v>1</v>
      </c>
      <c r="AE1132" s="20">
        <f t="shared" si="95"/>
        <v>14</v>
      </c>
      <c r="AH1132" s="61">
        <v>0.1</v>
      </c>
      <c r="AI1132" s="61">
        <v>1</v>
      </c>
      <c r="AJ1132" s="20">
        <v>2</v>
      </c>
      <c r="AL1132" s="108">
        <v>35</v>
      </c>
    </row>
    <row r="1133" spans="1:45" ht="26">
      <c r="A1133" s="137">
        <v>11100033</v>
      </c>
      <c r="B1133" s="137"/>
      <c r="C1133" s="137">
        <v>2</v>
      </c>
      <c r="D1133" s="137"/>
      <c r="E1133" s="137" t="s">
        <v>2632</v>
      </c>
      <c r="F1133" s="137" t="s">
        <v>2637</v>
      </c>
      <c r="G1133" s="137" t="s">
        <v>2335</v>
      </c>
      <c r="H1133" s="137" t="s">
        <v>2331</v>
      </c>
      <c r="I1133" s="137" t="str">
        <f>VLOOKUP(F1133,'#对话模型配置'!A:O,15,FALSE)</f>
        <v>newbie_oversea_andrea</v>
      </c>
      <c r="J1133" s="137" t="s">
        <v>3800</v>
      </c>
      <c r="K1133" s="138" t="s">
        <v>3801</v>
      </c>
      <c r="L1133" s="137">
        <v>110003</v>
      </c>
      <c r="M1133" s="137" t="s">
        <v>3289</v>
      </c>
      <c r="N1133" s="137"/>
      <c r="O1133" s="139"/>
      <c r="P1133" s="139"/>
      <c r="Q1133" s="139"/>
      <c r="R1133" s="139"/>
      <c r="S1133" s="139"/>
      <c r="U1133" s="20">
        <v>2</v>
      </c>
      <c r="V1133" s="20">
        <v>0</v>
      </c>
      <c r="Y1133" s="71" t="b">
        <v>0</v>
      </c>
      <c r="AA1133" s="20" t="b">
        <v>1</v>
      </c>
      <c r="AE1133" s="20">
        <f t="shared" si="95"/>
        <v>15</v>
      </c>
      <c r="AH1133" s="61">
        <v>0.1</v>
      </c>
      <c r="AI1133" s="61">
        <v>1</v>
      </c>
      <c r="AJ1133" s="20">
        <v>2</v>
      </c>
      <c r="AL1133" s="108">
        <v>35</v>
      </c>
    </row>
    <row r="1134" spans="1:45" ht="26">
      <c r="A1134" s="137">
        <v>11100034</v>
      </c>
      <c r="B1134" s="137"/>
      <c r="C1134" s="137">
        <v>3</v>
      </c>
      <c r="D1134" s="137"/>
      <c r="E1134" s="137" t="s">
        <v>2632</v>
      </c>
      <c r="F1134" s="137" t="s">
        <v>2637</v>
      </c>
      <c r="G1134" s="137" t="s">
        <v>2335</v>
      </c>
      <c r="H1134" s="137" t="s">
        <v>2331</v>
      </c>
      <c r="I1134" s="137" t="str">
        <f>VLOOKUP(F1134,'#对话模型配置'!A:O,15,FALSE)</f>
        <v>newbie_oversea_andrea</v>
      </c>
      <c r="J1134" s="137" t="s">
        <v>3802</v>
      </c>
      <c r="K1134" s="138" t="s">
        <v>3803</v>
      </c>
      <c r="L1134" s="137">
        <v>110003</v>
      </c>
      <c r="M1134" s="137" t="s">
        <v>3289</v>
      </c>
      <c r="N1134" s="137"/>
      <c r="O1134" s="139"/>
      <c r="P1134" s="139"/>
      <c r="Q1134" s="139"/>
      <c r="R1134" s="139"/>
      <c r="S1134" s="139"/>
      <c r="U1134" s="20">
        <v>2</v>
      </c>
      <c r="V1134" s="20">
        <v>0</v>
      </c>
      <c r="Y1134" s="71" t="b">
        <v>0</v>
      </c>
      <c r="AA1134" s="20" t="b">
        <v>1</v>
      </c>
      <c r="AE1134" s="20">
        <f t="shared" si="95"/>
        <v>14</v>
      </c>
      <c r="AH1134" s="61">
        <v>0.1</v>
      </c>
      <c r="AI1134" s="61">
        <v>1</v>
      </c>
      <c r="AJ1134" s="20">
        <v>2</v>
      </c>
      <c r="AL1134" s="108">
        <v>35</v>
      </c>
    </row>
    <row r="1135" spans="1:45" ht="26">
      <c r="A1135" s="137">
        <v>11100035</v>
      </c>
      <c r="B1135" s="137"/>
      <c r="C1135" s="137">
        <v>4</v>
      </c>
      <c r="D1135" s="137"/>
      <c r="E1135" s="137" t="s">
        <v>2632</v>
      </c>
      <c r="F1135" s="137" t="s">
        <v>2637</v>
      </c>
      <c r="G1135" s="137" t="s">
        <v>2335</v>
      </c>
      <c r="H1135" s="137" t="s">
        <v>2331</v>
      </c>
      <c r="I1135" s="137" t="str">
        <f>VLOOKUP(F1135,'#对话模型配置'!A:O,15,FALSE)</f>
        <v>newbie_oversea_andrea</v>
      </c>
      <c r="J1135" s="137" t="s">
        <v>3804</v>
      </c>
      <c r="K1135" s="138" t="s">
        <v>3805</v>
      </c>
      <c r="L1135" s="137">
        <v>110003</v>
      </c>
      <c r="M1135" s="137" t="s">
        <v>3289</v>
      </c>
      <c r="N1135" s="137"/>
      <c r="O1135" s="139"/>
      <c r="P1135" s="139"/>
      <c r="Q1135" s="139"/>
      <c r="R1135" s="139"/>
      <c r="S1135" s="139"/>
      <c r="U1135" s="20">
        <v>2</v>
      </c>
      <c r="V1135" s="20">
        <v>0</v>
      </c>
      <c r="Y1135" s="71" t="b">
        <v>0</v>
      </c>
      <c r="AA1135" s="20" t="b">
        <v>1</v>
      </c>
      <c r="AE1135" s="20">
        <f t="shared" si="95"/>
        <v>15</v>
      </c>
      <c r="AH1135" s="61">
        <v>0.1</v>
      </c>
      <c r="AI1135" s="61">
        <v>1</v>
      </c>
      <c r="AJ1135" s="20">
        <v>2</v>
      </c>
      <c r="AL1135" s="108">
        <v>35</v>
      </c>
    </row>
    <row r="1136" spans="1:45">
      <c r="A1136" s="137">
        <v>11100036</v>
      </c>
      <c r="B1136" s="137"/>
      <c r="C1136" s="137">
        <v>5</v>
      </c>
      <c r="D1136" s="137"/>
      <c r="E1136" s="137" t="s">
        <v>2632</v>
      </c>
      <c r="F1136" s="137" t="s">
        <v>3357</v>
      </c>
      <c r="G1136" s="137" t="s">
        <v>3358</v>
      </c>
      <c r="H1136" s="137" t="s">
        <v>2331</v>
      </c>
      <c r="I1136" s="137" t="str">
        <f>VLOOKUP(F1136,'#对话模型配置'!A:O,15,FALSE)</f>
        <v>newbie_oversea_caesar</v>
      </c>
      <c r="J1136" s="137" t="s">
        <v>3806</v>
      </c>
      <c r="K1136" s="138" t="s">
        <v>3807</v>
      </c>
      <c r="L1136" s="137">
        <v>110001</v>
      </c>
      <c r="M1136" s="137" t="s">
        <v>3289</v>
      </c>
      <c r="N1136" s="137"/>
      <c r="O1136" s="139"/>
      <c r="P1136" s="139"/>
      <c r="Q1136" s="139"/>
      <c r="R1136" s="139"/>
      <c r="S1136" s="139"/>
      <c r="U1136" s="20">
        <v>2</v>
      </c>
      <c r="V1136" s="20">
        <v>0</v>
      </c>
      <c r="Y1136" s="71" t="b">
        <v>0</v>
      </c>
      <c r="AA1136" s="20" t="b">
        <v>1</v>
      </c>
      <c r="AE1136" s="20">
        <f t="shared" si="95"/>
        <v>5</v>
      </c>
      <c r="AH1136" s="61">
        <v>0.1</v>
      </c>
      <c r="AI1136" s="61">
        <v>1</v>
      </c>
      <c r="AJ1136" s="20">
        <v>2</v>
      </c>
      <c r="AL1136" s="108">
        <v>35</v>
      </c>
    </row>
    <row r="1137" spans="1:45">
      <c r="A1137" s="137">
        <v>11100037</v>
      </c>
      <c r="B1137" s="137"/>
      <c r="C1137" s="137">
        <v>6</v>
      </c>
      <c r="D1137" s="137"/>
      <c r="E1137" s="137" t="s">
        <v>2632</v>
      </c>
      <c r="F1137" s="137" t="s">
        <v>2793</v>
      </c>
      <c r="G1137" s="137" t="s">
        <v>3301</v>
      </c>
      <c r="H1137" s="137" t="s">
        <v>2331</v>
      </c>
      <c r="I1137" s="137" t="str">
        <f>VLOOKUP(F1137,'#对话模型配置'!A:O,15,FALSE)</f>
        <v>newbie_oversea_joa</v>
      </c>
      <c r="J1137" s="137" t="s">
        <v>3808</v>
      </c>
      <c r="K1137" s="138" t="s">
        <v>3809</v>
      </c>
      <c r="L1137" s="137">
        <v>110002</v>
      </c>
      <c r="M1137" s="137" t="s">
        <v>3289</v>
      </c>
      <c r="N1137" s="137"/>
      <c r="O1137" s="139" t="s">
        <v>3810</v>
      </c>
      <c r="P1137" s="139"/>
      <c r="Q1137" s="139"/>
      <c r="R1137" s="139"/>
      <c r="S1137" s="139"/>
      <c r="U1137" s="20">
        <v>2</v>
      </c>
      <c r="V1137" s="20">
        <v>0</v>
      </c>
      <c r="Y1137" s="71" t="b">
        <v>0</v>
      </c>
      <c r="AA1137" s="20" t="b">
        <v>1</v>
      </c>
      <c r="AE1137" s="20">
        <f t="shared" si="95"/>
        <v>5</v>
      </c>
      <c r="AH1137" s="61">
        <v>0.1</v>
      </c>
      <c r="AI1137" s="61">
        <v>1</v>
      </c>
      <c r="AJ1137" s="20">
        <v>2</v>
      </c>
      <c r="AL1137" s="108">
        <v>35</v>
      </c>
    </row>
    <row r="1138" spans="1:45">
      <c r="A1138" s="137">
        <v>11100038</v>
      </c>
      <c r="B1138" s="137"/>
      <c r="C1138" s="137">
        <v>7</v>
      </c>
      <c r="D1138" s="137"/>
      <c r="E1138" s="137" t="s">
        <v>2632</v>
      </c>
      <c r="F1138" s="137" t="s">
        <v>2637</v>
      </c>
      <c r="G1138" s="137" t="s">
        <v>2335</v>
      </c>
      <c r="H1138" s="137" t="s">
        <v>2331</v>
      </c>
      <c r="I1138" s="137" t="str">
        <f>VLOOKUP(F1138,'#对话模型配置'!A:O,15,FALSE)</f>
        <v>newbie_oversea_andrea</v>
      </c>
      <c r="J1138" s="137" t="s">
        <v>3811</v>
      </c>
      <c r="K1138" s="138" t="s">
        <v>3812</v>
      </c>
      <c r="L1138" s="137">
        <v>110003</v>
      </c>
      <c r="M1138" s="137" t="s">
        <v>3289</v>
      </c>
      <c r="N1138" s="137"/>
      <c r="O1138" s="139"/>
      <c r="P1138" s="139"/>
      <c r="Q1138" s="139"/>
      <c r="R1138" s="139"/>
      <c r="S1138" s="139"/>
      <c r="U1138" s="20">
        <v>2</v>
      </c>
      <c r="V1138" s="20">
        <v>0</v>
      </c>
      <c r="Y1138" s="71" t="b">
        <v>0</v>
      </c>
      <c r="AA1138" s="20" t="b">
        <v>1</v>
      </c>
      <c r="AE1138" s="20">
        <f t="shared" ref="AE1138:AE1165" si="96">IF(LEN(K1138)/5&lt;5,5,ROUND(LEN(K1138)/4.5,0))</f>
        <v>5</v>
      </c>
      <c r="AH1138" s="61">
        <v>0.1</v>
      </c>
      <c r="AI1138" s="61">
        <v>1</v>
      </c>
      <c r="AJ1138" s="20">
        <v>2</v>
      </c>
      <c r="AL1138" s="108">
        <v>35</v>
      </c>
    </row>
    <row r="1139" spans="1:45">
      <c r="A1139" s="76" t="s">
        <v>3813</v>
      </c>
      <c r="B1139" s="76" t="s">
        <v>3380</v>
      </c>
      <c r="C1139" s="76">
        <v>1</v>
      </c>
      <c r="D1139" s="76"/>
      <c r="E1139" s="76" t="s">
        <v>2632</v>
      </c>
      <c r="F1139" s="76" t="s">
        <v>2633</v>
      </c>
      <c r="G1139" s="76" t="s">
        <v>2330</v>
      </c>
      <c r="H1139" s="76" t="s">
        <v>2331</v>
      </c>
      <c r="I1139" s="76" t="str">
        <f>VLOOKUP(F1139,'#对话模型配置'!A:O,15,FALSE)</f>
        <v>newbie_oversea_axe</v>
      </c>
      <c r="J1139" s="76" t="s">
        <v>3814</v>
      </c>
      <c r="K1139" s="136" t="s">
        <v>3815</v>
      </c>
      <c r="L1139" s="76">
        <v>110008</v>
      </c>
      <c r="M1139" s="76" t="s">
        <v>3289</v>
      </c>
      <c r="N1139" s="76"/>
      <c r="O1139" s="134" t="s">
        <v>3816</v>
      </c>
      <c r="P1139" s="134"/>
      <c r="Q1139" s="134"/>
      <c r="R1139" s="132" t="s">
        <v>3817</v>
      </c>
      <c r="S1139" s="132"/>
      <c r="U1139" s="20">
        <v>2</v>
      </c>
      <c r="V1139" s="20">
        <v>0</v>
      </c>
      <c r="Y1139" s="71" t="b">
        <v>0</v>
      </c>
      <c r="AA1139" s="20" t="b">
        <v>1</v>
      </c>
      <c r="AE1139" s="20">
        <f t="shared" si="96"/>
        <v>6</v>
      </c>
      <c r="AH1139" s="61">
        <v>0.1</v>
      </c>
      <c r="AI1139" s="61">
        <v>1</v>
      </c>
      <c r="AJ1139" s="20">
        <v>2</v>
      </c>
      <c r="AL1139" s="108">
        <v>35</v>
      </c>
      <c r="AS1139" s="20" t="s">
        <v>3282</v>
      </c>
    </row>
    <row r="1140" spans="1:45" ht="26">
      <c r="A1140" s="76" t="s">
        <v>3813</v>
      </c>
      <c r="B1140" s="76" t="s">
        <v>3380</v>
      </c>
      <c r="C1140" s="76">
        <v>2</v>
      </c>
      <c r="D1140" s="76"/>
      <c r="E1140" s="76" t="s">
        <v>2632</v>
      </c>
      <c r="F1140" s="76" t="s">
        <v>2637</v>
      </c>
      <c r="G1140" s="76" t="s">
        <v>2335</v>
      </c>
      <c r="H1140" s="76" t="s">
        <v>2331</v>
      </c>
      <c r="I1140" s="76" t="str">
        <f>VLOOKUP(F1140,'#对话模型配置'!A:O,15,FALSE)</f>
        <v>newbie_oversea_andrea</v>
      </c>
      <c r="J1140" s="76" t="s">
        <v>3818</v>
      </c>
      <c r="K1140" s="136" t="s">
        <v>3819</v>
      </c>
      <c r="L1140" s="76">
        <v>110003</v>
      </c>
      <c r="M1140" s="76" t="s">
        <v>3289</v>
      </c>
      <c r="N1140" s="76"/>
      <c r="O1140" s="134" t="s">
        <v>3820</v>
      </c>
      <c r="P1140" s="134"/>
      <c r="Q1140" s="134"/>
      <c r="R1140" s="132"/>
      <c r="S1140" s="132"/>
      <c r="U1140" s="20">
        <v>2</v>
      </c>
      <c r="V1140" s="20">
        <v>0</v>
      </c>
      <c r="Y1140" s="71" t="b">
        <v>0</v>
      </c>
      <c r="AA1140" s="20" t="b">
        <v>1</v>
      </c>
      <c r="AE1140" s="20">
        <f t="shared" si="96"/>
        <v>9</v>
      </c>
      <c r="AH1140" s="61">
        <v>0.1</v>
      </c>
      <c r="AI1140" s="61">
        <v>1</v>
      </c>
      <c r="AJ1140" s="20">
        <v>2</v>
      </c>
      <c r="AL1140" s="108">
        <v>35</v>
      </c>
    </row>
    <row r="1141" spans="1:45">
      <c r="A1141" s="129" t="s">
        <v>3821</v>
      </c>
      <c r="B1141" s="129"/>
      <c r="C1141" s="129">
        <v>1</v>
      </c>
      <c r="D1141" s="129"/>
      <c r="E1141" s="129" t="s">
        <v>2632</v>
      </c>
      <c r="F1141" s="129" t="s">
        <v>2637</v>
      </c>
      <c r="G1141" s="129" t="s">
        <v>2335</v>
      </c>
      <c r="H1141" s="129" t="s">
        <v>2331</v>
      </c>
      <c r="I1141" s="129" t="str">
        <f>VLOOKUP(F1141,'#对话模型配置'!A:O,15,FALSE)</f>
        <v>newbie_oversea_andrea</v>
      </c>
      <c r="J1141" s="129" t="s">
        <v>3822</v>
      </c>
      <c r="K1141" s="135" t="s">
        <v>3823</v>
      </c>
      <c r="L1141" s="129">
        <v>110003</v>
      </c>
      <c r="M1141" s="129" t="s">
        <v>3289</v>
      </c>
      <c r="N1141" s="129"/>
      <c r="O1141" s="134" t="s">
        <v>3824</v>
      </c>
      <c r="P1141" s="134"/>
      <c r="Q1141" s="134"/>
      <c r="R1141" s="134" t="s">
        <v>3825</v>
      </c>
      <c r="S1141" s="134"/>
      <c r="U1141" s="20">
        <v>2</v>
      </c>
      <c r="V1141" s="20">
        <v>0</v>
      </c>
      <c r="Y1141" s="71" t="b">
        <v>0</v>
      </c>
      <c r="AA1141" s="20" t="b">
        <v>1</v>
      </c>
      <c r="AE1141" s="20">
        <f t="shared" si="96"/>
        <v>7</v>
      </c>
      <c r="AH1141" s="61">
        <v>0.1</v>
      </c>
      <c r="AI1141" s="61">
        <v>1</v>
      </c>
      <c r="AJ1141" s="20">
        <v>2</v>
      </c>
      <c r="AL1141" s="108">
        <v>35</v>
      </c>
      <c r="AS1141" s="20" t="s">
        <v>3282</v>
      </c>
    </row>
    <row r="1142" spans="1:45" ht="26">
      <c r="A1142" s="129" t="s">
        <v>3821</v>
      </c>
      <c r="B1142" s="129"/>
      <c r="C1142" s="129">
        <v>2</v>
      </c>
      <c r="D1142" s="129"/>
      <c r="E1142" s="129" t="s">
        <v>2632</v>
      </c>
      <c r="F1142" s="129" t="s">
        <v>3672</v>
      </c>
      <c r="G1142" s="129" t="s">
        <v>3673</v>
      </c>
      <c r="H1142" s="129" t="s">
        <v>2331</v>
      </c>
      <c r="I1142" s="129" t="str">
        <f>VLOOKUP(F1142,'#对话模型配置'!A:O,15,FALSE)</f>
        <v>newbie_oversea_mose</v>
      </c>
      <c r="J1142" s="129" t="s">
        <v>3826</v>
      </c>
      <c r="K1142" s="135" t="s">
        <v>3827</v>
      </c>
      <c r="L1142" s="129">
        <v>110006</v>
      </c>
      <c r="M1142" s="129" t="s">
        <v>3289</v>
      </c>
      <c r="N1142" s="129"/>
      <c r="O1142" s="134" t="s">
        <v>3828</v>
      </c>
      <c r="P1142" s="134"/>
      <c r="Q1142" s="134"/>
      <c r="R1142" s="134"/>
      <c r="S1142" s="134"/>
      <c r="U1142" s="20">
        <v>2</v>
      </c>
      <c r="V1142" s="20">
        <v>0</v>
      </c>
      <c r="Y1142" s="71" t="b">
        <v>0</v>
      </c>
      <c r="AA1142" s="20" t="b">
        <v>1</v>
      </c>
      <c r="AE1142" s="20">
        <f t="shared" si="96"/>
        <v>15</v>
      </c>
      <c r="AH1142" s="61">
        <v>0.1</v>
      </c>
      <c r="AI1142" s="61">
        <v>1</v>
      </c>
      <c r="AJ1142" s="20">
        <v>2</v>
      </c>
      <c r="AL1142" s="108">
        <v>35</v>
      </c>
    </row>
    <row r="1143" spans="1:45" ht="26">
      <c r="A1143" s="129" t="s">
        <v>3821</v>
      </c>
      <c r="B1143" s="129"/>
      <c r="C1143" s="129">
        <v>3</v>
      </c>
      <c r="D1143" s="129"/>
      <c r="E1143" s="129" t="s">
        <v>2632</v>
      </c>
      <c r="F1143" s="129" t="s">
        <v>2637</v>
      </c>
      <c r="G1143" s="129" t="s">
        <v>2335</v>
      </c>
      <c r="H1143" s="129" t="s">
        <v>2331</v>
      </c>
      <c r="I1143" s="129" t="str">
        <f>VLOOKUP(F1143,'#对话模型配置'!A:O,15,FALSE)</f>
        <v>newbie_oversea_andrea</v>
      </c>
      <c r="J1143" s="129" t="s">
        <v>3829</v>
      </c>
      <c r="K1143" s="135" t="s">
        <v>3830</v>
      </c>
      <c r="L1143" s="129">
        <v>110003</v>
      </c>
      <c r="M1143" s="129" t="s">
        <v>3450</v>
      </c>
      <c r="N1143" s="129"/>
      <c r="O1143" s="134" t="s">
        <v>3824</v>
      </c>
      <c r="P1143" s="134"/>
      <c r="Q1143" s="134"/>
      <c r="R1143" s="134"/>
      <c r="S1143" s="134"/>
      <c r="U1143" s="20">
        <v>2</v>
      </c>
      <c r="V1143" s="20">
        <v>0</v>
      </c>
      <c r="Y1143" s="71" t="b">
        <v>0</v>
      </c>
      <c r="AA1143" s="20" t="b">
        <v>1</v>
      </c>
      <c r="AE1143" s="20">
        <f t="shared" si="96"/>
        <v>14</v>
      </c>
      <c r="AH1143" s="61">
        <v>0.1</v>
      </c>
      <c r="AI1143" s="61">
        <v>1</v>
      </c>
      <c r="AJ1143" s="20">
        <v>2</v>
      </c>
      <c r="AL1143" s="108">
        <v>35</v>
      </c>
    </row>
    <row r="1144" spans="1:45" ht="26">
      <c r="A1144" s="129" t="s">
        <v>3821</v>
      </c>
      <c r="B1144" s="129"/>
      <c r="C1144" s="129">
        <v>4</v>
      </c>
      <c r="D1144" s="129"/>
      <c r="E1144" s="129" t="s">
        <v>2632</v>
      </c>
      <c r="F1144" s="129" t="s">
        <v>2637</v>
      </c>
      <c r="G1144" s="129" t="s">
        <v>2335</v>
      </c>
      <c r="H1144" s="129" t="s">
        <v>2331</v>
      </c>
      <c r="I1144" s="129" t="str">
        <f>VLOOKUP(F1144,'#对话模型配置'!A:O,15,FALSE)</f>
        <v>newbie_oversea_andrea</v>
      </c>
      <c r="J1144" s="129" t="s">
        <v>3831</v>
      </c>
      <c r="K1144" s="135" t="s">
        <v>3832</v>
      </c>
      <c r="L1144" s="129">
        <v>110003</v>
      </c>
      <c r="M1144" s="129" t="s">
        <v>3450</v>
      </c>
      <c r="N1144" s="129"/>
      <c r="O1144" s="134" t="s">
        <v>3824</v>
      </c>
      <c r="P1144" s="134"/>
      <c r="Q1144" s="134"/>
      <c r="R1144" s="134"/>
      <c r="S1144" s="134"/>
      <c r="U1144" s="20">
        <v>2</v>
      </c>
      <c r="V1144" s="20">
        <v>0</v>
      </c>
      <c r="Y1144" s="71" t="b">
        <v>0</v>
      </c>
      <c r="AA1144" s="20" t="b">
        <v>1</v>
      </c>
      <c r="AE1144" s="20">
        <f t="shared" si="96"/>
        <v>14</v>
      </c>
      <c r="AH1144" s="61">
        <v>0.1</v>
      </c>
      <c r="AI1144" s="61">
        <v>1</v>
      </c>
      <c r="AJ1144" s="20">
        <v>2</v>
      </c>
      <c r="AL1144" s="108">
        <v>35</v>
      </c>
    </row>
    <row r="1145" spans="1:45" ht="26">
      <c r="A1145" s="129" t="s">
        <v>3821</v>
      </c>
      <c r="B1145" s="129"/>
      <c r="C1145" s="129">
        <v>5</v>
      </c>
      <c r="D1145" s="129"/>
      <c r="E1145" s="129" t="s">
        <v>2632</v>
      </c>
      <c r="F1145" s="129" t="s">
        <v>2637</v>
      </c>
      <c r="G1145" s="129" t="s">
        <v>2335</v>
      </c>
      <c r="H1145" s="129" t="s">
        <v>2331</v>
      </c>
      <c r="I1145" s="129" t="str">
        <f>VLOOKUP(F1145,'#对话模型配置'!A:O,15,FALSE)</f>
        <v>newbie_oversea_andrea</v>
      </c>
      <c r="J1145" s="129" t="s">
        <v>3833</v>
      </c>
      <c r="K1145" s="135" t="s">
        <v>3834</v>
      </c>
      <c r="L1145" s="129">
        <v>110003</v>
      </c>
      <c r="M1145" s="129" t="s">
        <v>3450</v>
      </c>
      <c r="N1145" s="129"/>
      <c r="O1145" s="134" t="s">
        <v>3824</v>
      </c>
      <c r="P1145" s="134"/>
      <c r="Q1145" s="134"/>
      <c r="R1145" s="134"/>
      <c r="S1145" s="134"/>
      <c r="U1145" s="20">
        <v>2</v>
      </c>
      <c r="V1145" s="20">
        <v>0</v>
      </c>
      <c r="Y1145" s="71" t="b">
        <v>0</v>
      </c>
      <c r="AA1145" s="20" t="b">
        <v>1</v>
      </c>
      <c r="AE1145" s="20">
        <f t="shared" si="96"/>
        <v>10</v>
      </c>
      <c r="AH1145" s="61">
        <v>0.1</v>
      </c>
      <c r="AI1145" s="61">
        <v>1</v>
      </c>
      <c r="AJ1145" s="20">
        <v>2</v>
      </c>
      <c r="AL1145" s="108">
        <v>35</v>
      </c>
    </row>
    <row r="1146" spans="1:45">
      <c r="A1146" s="129" t="s">
        <v>3821</v>
      </c>
      <c r="B1146" s="129"/>
      <c r="C1146" s="129">
        <v>6</v>
      </c>
      <c r="D1146" s="129"/>
      <c r="E1146" s="129" t="s">
        <v>2632</v>
      </c>
      <c r="F1146" s="129" t="s">
        <v>3672</v>
      </c>
      <c r="G1146" s="129" t="s">
        <v>3673</v>
      </c>
      <c r="H1146" s="129" t="s">
        <v>2331</v>
      </c>
      <c r="I1146" s="129" t="str">
        <f>VLOOKUP(F1146,'#对话模型配置'!A:O,15,FALSE)</f>
        <v>newbie_oversea_mose</v>
      </c>
      <c r="J1146" s="129" t="s">
        <v>3835</v>
      </c>
      <c r="K1146" s="135" t="s">
        <v>3836</v>
      </c>
      <c r="L1146" s="129">
        <v>110006</v>
      </c>
      <c r="M1146" s="129" t="s">
        <v>3453</v>
      </c>
      <c r="N1146" s="129"/>
      <c r="O1146" s="134" t="s">
        <v>3828</v>
      </c>
      <c r="P1146" s="134"/>
      <c r="Q1146" s="134"/>
      <c r="R1146" s="134"/>
      <c r="S1146" s="134"/>
      <c r="U1146" s="20">
        <v>2</v>
      </c>
      <c r="V1146" s="20">
        <v>0</v>
      </c>
      <c r="Y1146" s="71" t="b">
        <v>0</v>
      </c>
      <c r="AA1146" s="20" t="b">
        <v>1</v>
      </c>
      <c r="AE1146" s="20">
        <f t="shared" si="96"/>
        <v>7</v>
      </c>
      <c r="AH1146" s="61">
        <v>0.1</v>
      </c>
      <c r="AI1146" s="61">
        <v>1</v>
      </c>
      <c r="AJ1146" s="20">
        <v>2</v>
      </c>
      <c r="AL1146" s="108">
        <v>35</v>
      </c>
    </row>
    <row r="1147" spans="1:45" ht="26">
      <c r="A1147" s="76" t="s">
        <v>3837</v>
      </c>
      <c r="B1147" s="76"/>
      <c r="C1147" s="76">
        <v>1</v>
      </c>
      <c r="D1147" s="76"/>
      <c r="E1147" s="76" t="s">
        <v>2632</v>
      </c>
      <c r="F1147" s="76" t="s">
        <v>3672</v>
      </c>
      <c r="G1147" s="76" t="s">
        <v>3673</v>
      </c>
      <c r="H1147" s="76" t="s">
        <v>2331</v>
      </c>
      <c r="I1147" s="76" t="str">
        <f>VLOOKUP(F1147,'#对话模型配置'!A:O,15,FALSE)</f>
        <v>newbie_oversea_mose</v>
      </c>
      <c r="J1147" s="76" t="s">
        <v>3838</v>
      </c>
      <c r="K1147" s="136" t="s">
        <v>3839</v>
      </c>
      <c r="L1147" s="76">
        <v>110006</v>
      </c>
      <c r="M1147" s="76" t="s">
        <v>3840</v>
      </c>
      <c r="N1147" s="76"/>
      <c r="O1147" s="132" t="s">
        <v>3828</v>
      </c>
      <c r="P1147" s="132"/>
      <c r="Q1147" s="132"/>
      <c r="R1147" s="132" t="s">
        <v>3825</v>
      </c>
      <c r="S1147" s="132"/>
      <c r="U1147" s="20">
        <v>2</v>
      </c>
      <c r="V1147" s="20">
        <v>0</v>
      </c>
      <c r="Y1147" s="71" t="b">
        <v>0</v>
      </c>
      <c r="AA1147" s="20" t="b">
        <v>1</v>
      </c>
      <c r="AE1147" s="20">
        <f t="shared" si="96"/>
        <v>9</v>
      </c>
      <c r="AH1147" s="61">
        <v>0.1</v>
      </c>
      <c r="AI1147" s="61">
        <v>1</v>
      </c>
      <c r="AJ1147" s="20">
        <v>2</v>
      </c>
      <c r="AL1147" s="108">
        <v>35</v>
      </c>
      <c r="AS1147" s="20" t="s">
        <v>3385</v>
      </c>
    </row>
    <row r="1148" spans="1:45">
      <c r="A1148" s="76" t="s">
        <v>3837</v>
      </c>
      <c r="B1148" s="76"/>
      <c r="C1148" s="76">
        <v>2</v>
      </c>
      <c r="D1148" s="76"/>
      <c r="E1148" s="76" t="s">
        <v>2632</v>
      </c>
      <c r="F1148" s="76" t="s">
        <v>2637</v>
      </c>
      <c r="G1148" s="76" t="s">
        <v>2335</v>
      </c>
      <c r="H1148" s="76" t="s">
        <v>2331</v>
      </c>
      <c r="I1148" s="76" t="str">
        <f>VLOOKUP(F1148,'#对话模型配置'!A:O,15,FALSE)</f>
        <v>newbie_oversea_andrea</v>
      </c>
      <c r="J1148" s="76" t="s">
        <v>3841</v>
      </c>
      <c r="K1148" s="136" t="s">
        <v>3842</v>
      </c>
      <c r="L1148" s="76">
        <v>110003</v>
      </c>
      <c r="M1148" s="76" t="s">
        <v>3843</v>
      </c>
      <c r="N1148" s="76"/>
      <c r="O1148" s="134" t="s">
        <v>3824</v>
      </c>
      <c r="P1148" s="134"/>
      <c r="Q1148" s="134"/>
      <c r="R1148" s="132"/>
      <c r="S1148" s="132"/>
      <c r="U1148" s="20">
        <v>2</v>
      </c>
      <c r="V1148" s="20">
        <v>0</v>
      </c>
      <c r="Y1148" s="71" t="b">
        <v>0</v>
      </c>
      <c r="AA1148" s="20" t="b">
        <v>1</v>
      </c>
      <c r="AE1148" s="20">
        <f t="shared" si="96"/>
        <v>5</v>
      </c>
      <c r="AH1148" s="61">
        <v>0.1</v>
      </c>
      <c r="AI1148" s="61">
        <v>1</v>
      </c>
      <c r="AJ1148" s="20">
        <v>2</v>
      </c>
      <c r="AL1148" s="108">
        <v>35</v>
      </c>
    </row>
    <row r="1149" spans="1:45" ht="26">
      <c r="A1149" s="76" t="s">
        <v>3837</v>
      </c>
      <c r="B1149" s="76"/>
      <c r="C1149" s="76">
        <v>3</v>
      </c>
      <c r="D1149" s="76"/>
      <c r="E1149" s="76" t="s">
        <v>2632</v>
      </c>
      <c r="F1149" s="76" t="s">
        <v>3672</v>
      </c>
      <c r="G1149" s="76" t="s">
        <v>3673</v>
      </c>
      <c r="H1149" s="76" t="s">
        <v>2331</v>
      </c>
      <c r="I1149" s="76" t="str">
        <f>VLOOKUP(F1149,'#对话模型配置'!A:O,15,FALSE)</f>
        <v>newbie_oversea_mose</v>
      </c>
      <c r="J1149" s="76" t="s">
        <v>3844</v>
      </c>
      <c r="K1149" s="136" t="s">
        <v>3845</v>
      </c>
      <c r="L1149" s="76">
        <v>110006</v>
      </c>
      <c r="M1149" s="76" t="s">
        <v>3840</v>
      </c>
      <c r="N1149" s="76"/>
      <c r="O1149" s="132" t="s">
        <v>3828</v>
      </c>
      <c r="P1149" s="132"/>
      <c r="Q1149" s="132"/>
      <c r="R1149" s="132"/>
      <c r="S1149" s="132"/>
      <c r="U1149" s="20">
        <v>2</v>
      </c>
      <c r="V1149" s="20">
        <v>0</v>
      </c>
      <c r="Y1149" s="71" t="b">
        <v>0</v>
      </c>
      <c r="AA1149" s="20" t="b">
        <v>1</v>
      </c>
      <c r="AE1149" s="20">
        <f t="shared" si="96"/>
        <v>8</v>
      </c>
      <c r="AH1149" s="61">
        <v>0.1</v>
      </c>
      <c r="AI1149" s="61">
        <v>1</v>
      </c>
      <c r="AJ1149" s="20">
        <v>2</v>
      </c>
      <c r="AL1149" s="108">
        <v>35</v>
      </c>
    </row>
    <row r="1150" spans="1:45" ht="26">
      <c r="A1150" s="76" t="s">
        <v>3837</v>
      </c>
      <c r="B1150" s="76"/>
      <c r="C1150" s="76">
        <v>4</v>
      </c>
      <c r="D1150" s="76"/>
      <c r="E1150" s="76" t="s">
        <v>2632</v>
      </c>
      <c r="F1150" s="76" t="s">
        <v>3672</v>
      </c>
      <c r="G1150" s="76" t="s">
        <v>3673</v>
      </c>
      <c r="H1150" s="76" t="s">
        <v>2331</v>
      </c>
      <c r="I1150" s="76" t="str">
        <f>VLOOKUP(F1150,'#对话模型配置'!A:O,15,FALSE)</f>
        <v>newbie_oversea_mose</v>
      </c>
      <c r="J1150" s="76" t="s">
        <v>3846</v>
      </c>
      <c r="K1150" s="136" t="s">
        <v>3847</v>
      </c>
      <c r="L1150" s="76">
        <v>110006</v>
      </c>
      <c r="M1150" s="76" t="s">
        <v>3840</v>
      </c>
      <c r="N1150" s="76"/>
      <c r="O1150" s="132" t="s">
        <v>3828</v>
      </c>
      <c r="P1150" s="132"/>
      <c r="Q1150" s="132"/>
      <c r="R1150" s="132"/>
      <c r="S1150" s="132"/>
      <c r="U1150" s="20">
        <v>2</v>
      </c>
      <c r="V1150" s="20">
        <v>0</v>
      </c>
      <c r="Y1150" s="71" t="b">
        <v>0</v>
      </c>
      <c r="AA1150" s="20" t="b">
        <v>1</v>
      </c>
      <c r="AE1150" s="20">
        <f t="shared" si="96"/>
        <v>9</v>
      </c>
      <c r="AH1150" s="61">
        <v>0.1</v>
      </c>
      <c r="AI1150" s="61">
        <v>1</v>
      </c>
      <c r="AJ1150" s="20">
        <v>2</v>
      </c>
      <c r="AL1150" s="108">
        <v>35</v>
      </c>
    </row>
    <row r="1151" spans="1:45" ht="26">
      <c r="A1151" s="76" t="s">
        <v>3837</v>
      </c>
      <c r="B1151" s="76"/>
      <c r="C1151" s="76">
        <v>5</v>
      </c>
      <c r="D1151" s="76"/>
      <c r="E1151" s="76" t="s">
        <v>2632</v>
      </c>
      <c r="F1151" s="76" t="s">
        <v>3672</v>
      </c>
      <c r="G1151" s="76" t="s">
        <v>3673</v>
      </c>
      <c r="H1151" s="76" t="s">
        <v>2331</v>
      </c>
      <c r="I1151" s="76" t="str">
        <f>VLOOKUP(F1151,'#对话模型配置'!A:O,15,FALSE)</f>
        <v>newbie_oversea_mose</v>
      </c>
      <c r="J1151" s="76" t="s">
        <v>3848</v>
      </c>
      <c r="K1151" s="136" t="s">
        <v>3849</v>
      </c>
      <c r="L1151" s="76">
        <v>110006</v>
      </c>
      <c r="M1151" s="76" t="s">
        <v>3840</v>
      </c>
      <c r="N1151" s="76"/>
      <c r="O1151" s="132" t="s">
        <v>3828</v>
      </c>
      <c r="P1151" s="132"/>
      <c r="Q1151" s="132"/>
      <c r="R1151" s="132"/>
      <c r="S1151" s="132"/>
      <c r="U1151" s="20">
        <v>2</v>
      </c>
      <c r="V1151" s="20">
        <v>0</v>
      </c>
      <c r="Y1151" s="71" t="b">
        <v>0</v>
      </c>
      <c r="AA1151" s="20" t="b">
        <v>1</v>
      </c>
      <c r="AE1151" s="20">
        <f t="shared" si="96"/>
        <v>11</v>
      </c>
      <c r="AH1151" s="61">
        <v>0.1</v>
      </c>
      <c r="AI1151" s="61">
        <v>1</v>
      </c>
      <c r="AJ1151" s="20">
        <v>2</v>
      </c>
      <c r="AL1151" s="108">
        <v>35</v>
      </c>
    </row>
    <row r="1152" spans="1:45">
      <c r="A1152" s="76" t="s">
        <v>3837</v>
      </c>
      <c r="B1152" s="76"/>
      <c r="C1152" s="76">
        <v>6</v>
      </c>
      <c r="D1152" s="76"/>
      <c r="E1152" s="76" t="s">
        <v>2632</v>
      </c>
      <c r="F1152" s="76" t="s">
        <v>3672</v>
      </c>
      <c r="G1152" s="76" t="s">
        <v>3673</v>
      </c>
      <c r="H1152" s="76" t="s">
        <v>2331</v>
      </c>
      <c r="I1152" s="76" t="str">
        <f>VLOOKUP(F1152,'#对话模型配置'!A:O,15,FALSE)</f>
        <v>newbie_oversea_mose</v>
      </c>
      <c r="J1152" s="76" t="s">
        <v>3850</v>
      </c>
      <c r="K1152" s="136" t="s">
        <v>3851</v>
      </c>
      <c r="L1152" s="76">
        <v>110006</v>
      </c>
      <c r="M1152" s="76" t="s">
        <v>3840</v>
      </c>
      <c r="N1152" s="76"/>
      <c r="O1152" s="132" t="s">
        <v>3828</v>
      </c>
      <c r="P1152" s="132"/>
      <c r="Q1152" s="132"/>
      <c r="R1152" s="132"/>
      <c r="S1152" s="132"/>
      <c r="U1152" s="20">
        <v>2</v>
      </c>
      <c r="V1152" s="20">
        <v>0</v>
      </c>
      <c r="Y1152" s="71" t="b">
        <v>0</v>
      </c>
      <c r="AA1152" s="20" t="b">
        <v>1</v>
      </c>
      <c r="AE1152" s="20">
        <f t="shared" si="96"/>
        <v>5</v>
      </c>
      <c r="AH1152" s="61">
        <v>0.1</v>
      </c>
      <c r="AI1152" s="61">
        <v>1</v>
      </c>
      <c r="AJ1152" s="20">
        <v>2</v>
      </c>
      <c r="AL1152" s="108">
        <v>35</v>
      </c>
    </row>
    <row r="1153" spans="1:45">
      <c r="A1153" s="76" t="s">
        <v>3837</v>
      </c>
      <c r="B1153" s="76"/>
      <c r="C1153" s="76">
        <v>7</v>
      </c>
      <c r="D1153" s="76"/>
      <c r="E1153" s="76" t="s">
        <v>2632</v>
      </c>
      <c r="F1153" s="76" t="s">
        <v>3672</v>
      </c>
      <c r="G1153" s="76" t="s">
        <v>3673</v>
      </c>
      <c r="H1153" s="76" t="s">
        <v>2331</v>
      </c>
      <c r="I1153" s="76" t="str">
        <f>VLOOKUP(F1153,'#对话模型配置'!A:O,15,FALSE)</f>
        <v>newbie_oversea_mose</v>
      </c>
      <c r="J1153" s="76" t="s">
        <v>3852</v>
      </c>
      <c r="K1153" s="136" t="s">
        <v>3853</v>
      </c>
      <c r="L1153" s="76">
        <v>110006</v>
      </c>
      <c r="M1153" s="76" t="s">
        <v>3840</v>
      </c>
      <c r="N1153" s="76"/>
      <c r="O1153" s="132" t="s">
        <v>3828</v>
      </c>
      <c r="P1153" s="132"/>
      <c r="Q1153" s="132"/>
      <c r="R1153" s="132"/>
      <c r="S1153" s="132"/>
      <c r="U1153" s="20">
        <v>2</v>
      </c>
      <c r="V1153" s="20">
        <v>0</v>
      </c>
      <c r="Y1153" s="71" t="b">
        <v>0</v>
      </c>
      <c r="AA1153" s="20" t="b">
        <v>1</v>
      </c>
      <c r="AE1153" s="20">
        <f t="shared" si="96"/>
        <v>5</v>
      </c>
      <c r="AH1153" s="61">
        <v>0.1</v>
      </c>
      <c r="AI1153" s="61">
        <v>1</v>
      </c>
      <c r="AJ1153" s="20">
        <v>2</v>
      </c>
      <c r="AL1153" s="108">
        <v>35</v>
      </c>
    </row>
    <row r="1154" spans="1:45" ht="26">
      <c r="A1154" s="129" t="s">
        <v>3854</v>
      </c>
      <c r="B1154" s="129"/>
      <c r="C1154" s="129">
        <v>1</v>
      </c>
      <c r="D1154" s="129"/>
      <c r="E1154" s="129" t="s">
        <v>2632</v>
      </c>
      <c r="F1154" s="129" t="s">
        <v>3855</v>
      </c>
      <c r="G1154" s="129" t="s">
        <v>3856</v>
      </c>
      <c r="H1154" s="129" t="s">
        <v>2331</v>
      </c>
      <c r="I1154" s="129" t="str">
        <f>VLOOKUP(F1154,'#对话模型配置'!A:O,15,FALSE)</f>
        <v>story_kruvis_big</v>
      </c>
      <c r="J1154" s="129" t="s">
        <v>3857</v>
      </c>
      <c r="K1154" s="135" t="s">
        <v>3858</v>
      </c>
      <c r="L1154" s="129">
        <v>110007</v>
      </c>
      <c r="M1154" s="129" t="s">
        <v>3415</v>
      </c>
      <c r="N1154" s="129"/>
      <c r="O1154" s="134" t="s">
        <v>3859</v>
      </c>
      <c r="P1154" s="134"/>
      <c r="Q1154" s="134"/>
      <c r="R1154" s="134" t="s">
        <v>3860</v>
      </c>
      <c r="S1154" s="134"/>
      <c r="U1154" s="20">
        <v>2</v>
      </c>
      <c r="V1154" s="20">
        <v>0</v>
      </c>
      <c r="Y1154" s="71" t="b">
        <v>0</v>
      </c>
      <c r="AA1154" s="20" t="b">
        <v>1</v>
      </c>
      <c r="AE1154" s="20">
        <f t="shared" si="96"/>
        <v>15</v>
      </c>
      <c r="AH1154" s="61">
        <v>0.1</v>
      </c>
      <c r="AI1154" s="61">
        <v>1</v>
      </c>
      <c r="AJ1154" s="20">
        <v>2</v>
      </c>
      <c r="AL1154" s="108">
        <v>35</v>
      </c>
      <c r="AS1154" s="20" t="s">
        <v>3300</v>
      </c>
    </row>
    <row r="1155" spans="1:45" ht="26">
      <c r="A1155" s="129" t="s">
        <v>3854</v>
      </c>
      <c r="B1155" s="129"/>
      <c r="C1155" s="129">
        <v>2</v>
      </c>
      <c r="D1155" s="129"/>
      <c r="E1155" s="129" t="s">
        <v>2632</v>
      </c>
      <c r="F1155" s="129" t="s">
        <v>2637</v>
      </c>
      <c r="G1155" s="129" t="s">
        <v>2335</v>
      </c>
      <c r="H1155" s="129" t="s">
        <v>2331</v>
      </c>
      <c r="I1155" s="129" t="str">
        <f>VLOOKUP(F1155,'#对话模型配置'!A:O,15,FALSE)</f>
        <v>newbie_oversea_andrea</v>
      </c>
      <c r="J1155" s="129" t="s">
        <v>3861</v>
      </c>
      <c r="K1155" s="135" t="s">
        <v>3862</v>
      </c>
      <c r="L1155" s="129">
        <v>110003</v>
      </c>
      <c r="M1155" s="129" t="s">
        <v>3289</v>
      </c>
      <c r="N1155" s="129"/>
      <c r="O1155" s="134" t="s">
        <v>3863</v>
      </c>
      <c r="P1155" s="134"/>
      <c r="Q1155" s="134"/>
      <c r="R1155" s="134"/>
      <c r="S1155" s="134"/>
      <c r="U1155" s="20">
        <v>2</v>
      </c>
      <c r="V1155" s="20">
        <v>0</v>
      </c>
      <c r="Y1155" s="71" t="b">
        <v>0</v>
      </c>
      <c r="AA1155" s="20" t="b">
        <v>1</v>
      </c>
      <c r="AE1155" s="20">
        <f t="shared" si="96"/>
        <v>16</v>
      </c>
      <c r="AH1155" s="61">
        <v>0.1</v>
      </c>
      <c r="AI1155" s="61">
        <v>1</v>
      </c>
      <c r="AJ1155" s="20">
        <v>2</v>
      </c>
      <c r="AL1155" s="108">
        <v>35</v>
      </c>
    </row>
    <row r="1156" spans="1:45" ht="39">
      <c r="A1156" s="129" t="s">
        <v>3854</v>
      </c>
      <c r="B1156" s="129"/>
      <c r="C1156" s="129">
        <v>3</v>
      </c>
      <c r="D1156" s="129"/>
      <c r="E1156" s="129" t="s">
        <v>2632</v>
      </c>
      <c r="F1156" s="129" t="s">
        <v>3855</v>
      </c>
      <c r="G1156" s="129" t="s">
        <v>3856</v>
      </c>
      <c r="H1156" s="129" t="s">
        <v>2331</v>
      </c>
      <c r="I1156" s="129" t="str">
        <f>VLOOKUP(F1156,'#对话模型配置'!A:O,15,FALSE)</f>
        <v>story_kruvis_big</v>
      </c>
      <c r="J1156" s="129" t="s">
        <v>3864</v>
      </c>
      <c r="K1156" s="135" t="s">
        <v>3865</v>
      </c>
      <c r="L1156" s="129">
        <v>110007</v>
      </c>
      <c r="M1156" s="129" t="s">
        <v>3289</v>
      </c>
      <c r="N1156" s="129"/>
      <c r="O1156" s="134" t="s">
        <v>3859</v>
      </c>
      <c r="P1156" s="134"/>
      <c r="Q1156" s="134"/>
      <c r="R1156" s="134"/>
      <c r="S1156" s="134"/>
      <c r="U1156" s="20">
        <v>2</v>
      </c>
      <c r="V1156" s="20">
        <v>0</v>
      </c>
      <c r="Y1156" s="71" t="b">
        <v>0</v>
      </c>
      <c r="AA1156" s="20" t="b">
        <v>1</v>
      </c>
      <c r="AE1156" s="20">
        <f t="shared" si="96"/>
        <v>16</v>
      </c>
      <c r="AH1156" s="61">
        <v>0.1</v>
      </c>
      <c r="AI1156" s="61">
        <v>1</v>
      </c>
      <c r="AJ1156" s="20">
        <v>2</v>
      </c>
      <c r="AL1156" s="108">
        <v>35</v>
      </c>
    </row>
    <row r="1157" spans="1:45" ht="26">
      <c r="A1157" s="129" t="s">
        <v>3854</v>
      </c>
      <c r="B1157" s="129"/>
      <c r="C1157" s="129">
        <v>4</v>
      </c>
      <c r="D1157" s="129"/>
      <c r="E1157" s="129" t="s">
        <v>2632</v>
      </c>
      <c r="F1157" s="129" t="s">
        <v>3855</v>
      </c>
      <c r="G1157" s="129" t="s">
        <v>3856</v>
      </c>
      <c r="H1157" s="129" t="s">
        <v>2331</v>
      </c>
      <c r="I1157" s="129" t="str">
        <f>VLOOKUP(F1157,'#对话模型配置'!A:O,15,FALSE)</f>
        <v>story_kruvis_big</v>
      </c>
      <c r="J1157" s="129" t="s">
        <v>3866</v>
      </c>
      <c r="K1157" s="135" t="s">
        <v>3867</v>
      </c>
      <c r="L1157" s="129">
        <v>110007</v>
      </c>
      <c r="M1157" s="129" t="s">
        <v>3415</v>
      </c>
      <c r="N1157" s="129"/>
      <c r="O1157" s="134" t="s">
        <v>3859</v>
      </c>
      <c r="P1157" s="134"/>
      <c r="Q1157" s="134"/>
      <c r="R1157" s="134"/>
      <c r="S1157" s="134"/>
      <c r="U1157" s="20">
        <v>2</v>
      </c>
      <c r="V1157" s="20">
        <v>0</v>
      </c>
      <c r="Y1157" s="71" t="b">
        <v>0</v>
      </c>
      <c r="AA1157" s="20" t="b">
        <v>1</v>
      </c>
      <c r="AE1157" s="20">
        <f t="shared" si="96"/>
        <v>16</v>
      </c>
      <c r="AH1157" s="61">
        <v>0.1</v>
      </c>
      <c r="AI1157" s="61">
        <v>1</v>
      </c>
      <c r="AJ1157" s="20">
        <v>2</v>
      </c>
      <c r="AL1157" s="108">
        <v>35</v>
      </c>
    </row>
    <row r="1158" spans="1:45">
      <c r="A1158" s="129" t="s">
        <v>3854</v>
      </c>
      <c r="B1158" s="129"/>
      <c r="C1158" s="129">
        <v>5</v>
      </c>
      <c r="D1158" s="129"/>
      <c r="E1158" s="129" t="s">
        <v>2632</v>
      </c>
      <c r="F1158" s="129" t="s">
        <v>2637</v>
      </c>
      <c r="G1158" s="129" t="s">
        <v>2335</v>
      </c>
      <c r="H1158" s="129" t="s">
        <v>2331</v>
      </c>
      <c r="I1158" s="129" t="str">
        <f>VLOOKUP(F1158,'#对话模型配置'!A:O,15,FALSE)</f>
        <v>newbie_oversea_andrea</v>
      </c>
      <c r="J1158" s="129" t="s">
        <v>3868</v>
      </c>
      <c r="K1158" s="135" t="s">
        <v>3869</v>
      </c>
      <c r="L1158" s="129">
        <v>110003</v>
      </c>
      <c r="M1158" s="129" t="s">
        <v>3289</v>
      </c>
      <c r="N1158" s="129"/>
      <c r="O1158" s="134" t="s">
        <v>3863</v>
      </c>
      <c r="P1158" s="134"/>
      <c r="Q1158" s="134"/>
      <c r="R1158" s="134"/>
      <c r="S1158" s="134"/>
      <c r="U1158" s="20">
        <v>2</v>
      </c>
      <c r="V1158" s="20">
        <v>0</v>
      </c>
      <c r="Y1158" s="71" t="b">
        <v>0</v>
      </c>
      <c r="AA1158" s="20" t="b">
        <v>1</v>
      </c>
      <c r="AE1158" s="20">
        <f t="shared" si="96"/>
        <v>5</v>
      </c>
      <c r="AH1158" s="61">
        <v>0.1</v>
      </c>
      <c r="AI1158" s="61">
        <v>1</v>
      </c>
      <c r="AJ1158" s="20">
        <v>2</v>
      </c>
      <c r="AL1158" s="108">
        <v>35</v>
      </c>
    </row>
    <row r="1159" spans="1:45">
      <c r="A1159" s="129" t="s">
        <v>3854</v>
      </c>
      <c r="B1159" s="129"/>
      <c r="C1159" s="129">
        <v>6</v>
      </c>
      <c r="D1159" s="129"/>
      <c r="E1159" s="129" t="s">
        <v>2632</v>
      </c>
      <c r="F1159" s="129" t="s">
        <v>3855</v>
      </c>
      <c r="G1159" s="129" t="s">
        <v>3856</v>
      </c>
      <c r="H1159" s="129" t="s">
        <v>2331</v>
      </c>
      <c r="I1159" s="129" t="str">
        <f>VLOOKUP(F1159,'#对话模型配置'!A:O,15,FALSE)</f>
        <v>story_kruvis_big</v>
      </c>
      <c r="J1159" s="129" t="s">
        <v>3870</v>
      </c>
      <c r="K1159" s="135" t="s">
        <v>3871</v>
      </c>
      <c r="L1159" s="129">
        <v>110007</v>
      </c>
      <c r="M1159" s="129" t="s">
        <v>3289</v>
      </c>
      <c r="N1159" s="129"/>
      <c r="O1159" s="134" t="s">
        <v>3859</v>
      </c>
      <c r="P1159" s="134"/>
      <c r="Q1159" s="134"/>
      <c r="R1159" s="134"/>
      <c r="S1159" s="134"/>
      <c r="U1159" s="20">
        <v>2</v>
      </c>
      <c r="V1159" s="20">
        <v>0</v>
      </c>
      <c r="Y1159" s="71" t="b">
        <v>0</v>
      </c>
      <c r="AA1159" s="20" t="b">
        <v>1</v>
      </c>
      <c r="AE1159" s="20">
        <f t="shared" si="96"/>
        <v>5</v>
      </c>
      <c r="AH1159" s="61">
        <v>0.1</v>
      </c>
      <c r="AI1159" s="61">
        <v>1</v>
      </c>
      <c r="AJ1159" s="20">
        <v>2</v>
      </c>
      <c r="AL1159" s="108">
        <v>35</v>
      </c>
    </row>
    <row r="1160" spans="1:45">
      <c r="A1160" s="76" t="s">
        <v>3872</v>
      </c>
      <c r="B1160" s="76"/>
      <c r="C1160" s="76">
        <v>1</v>
      </c>
      <c r="D1160" s="76"/>
      <c r="E1160" s="76" t="s">
        <v>2632</v>
      </c>
      <c r="F1160" s="76" t="s">
        <v>2637</v>
      </c>
      <c r="G1160" s="76" t="s">
        <v>2335</v>
      </c>
      <c r="H1160" s="76" t="s">
        <v>2331</v>
      </c>
      <c r="I1160" s="76" t="str">
        <f>VLOOKUP(F1160,'#对话模型配置'!A:O,15,FALSE)</f>
        <v>newbie_oversea_andrea</v>
      </c>
      <c r="J1160" s="76" t="s">
        <v>3873</v>
      </c>
      <c r="K1160" s="136" t="s">
        <v>3874</v>
      </c>
      <c r="L1160" s="76">
        <v>110003</v>
      </c>
      <c r="M1160" s="76" t="s">
        <v>3289</v>
      </c>
      <c r="N1160" s="76"/>
      <c r="O1160" s="132" t="s">
        <v>3875</v>
      </c>
      <c r="P1160" s="132"/>
      <c r="Q1160" s="132"/>
      <c r="R1160" s="132" t="s">
        <v>3876</v>
      </c>
      <c r="S1160" s="132"/>
      <c r="U1160" s="20">
        <v>2</v>
      </c>
      <c r="V1160" s="20">
        <v>0</v>
      </c>
      <c r="Y1160" s="71" t="b">
        <v>0</v>
      </c>
      <c r="AA1160" s="20" t="b">
        <v>1</v>
      </c>
      <c r="AE1160" s="20">
        <f t="shared" si="96"/>
        <v>5</v>
      </c>
      <c r="AH1160" s="61">
        <v>0.1</v>
      </c>
      <c r="AI1160" s="61">
        <v>1</v>
      </c>
      <c r="AJ1160" s="20">
        <v>2</v>
      </c>
      <c r="AL1160" s="108">
        <v>35</v>
      </c>
      <c r="AS1160" s="20" t="s">
        <v>3282</v>
      </c>
    </row>
    <row r="1161" spans="1:45" ht="26">
      <c r="A1161" s="76" t="s">
        <v>3872</v>
      </c>
      <c r="B1161" s="76"/>
      <c r="C1161" s="76">
        <v>2</v>
      </c>
      <c r="D1161" s="76"/>
      <c r="E1161" s="76" t="s">
        <v>2632</v>
      </c>
      <c r="F1161" s="76" t="s">
        <v>3855</v>
      </c>
      <c r="G1161" s="76" t="s">
        <v>3856</v>
      </c>
      <c r="H1161" s="76" t="s">
        <v>2331</v>
      </c>
      <c r="I1161" s="76" t="str">
        <f>VLOOKUP(F1161,'#对话模型配置'!A:O,15,FALSE)</f>
        <v>story_kruvis_big</v>
      </c>
      <c r="J1161" s="76" t="s">
        <v>3877</v>
      </c>
      <c r="K1161" s="136" t="s">
        <v>3878</v>
      </c>
      <c r="L1161" s="76">
        <v>110007</v>
      </c>
      <c r="M1161" s="76" t="s">
        <v>3840</v>
      </c>
      <c r="N1161" s="76"/>
      <c r="O1161" s="132" t="s">
        <v>3879</v>
      </c>
      <c r="P1161" s="132"/>
      <c r="Q1161" s="132"/>
      <c r="R1161" s="132"/>
      <c r="S1161" s="132"/>
      <c r="U1161" s="20">
        <v>2</v>
      </c>
      <c r="V1161" s="20">
        <v>0</v>
      </c>
      <c r="Y1161" s="71" t="b">
        <v>0</v>
      </c>
      <c r="AA1161" s="20" t="b">
        <v>1</v>
      </c>
      <c r="AE1161" s="20">
        <f t="shared" si="96"/>
        <v>14</v>
      </c>
      <c r="AH1161" s="61">
        <v>0.1</v>
      </c>
      <c r="AI1161" s="61">
        <v>1</v>
      </c>
      <c r="AJ1161" s="20">
        <v>2</v>
      </c>
      <c r="AL1161" s="108">
        <v>35</v>
      </c>
    </row>
    <row r="1162" spans="1:45">
      <c r="A1162" s="76" t="s">
        <v>3872</v>
      </c>
      <c r="B1162" s="76"/>
      <c r="C1162" s="76">
        <v>3</v>
      </c>
      <c r="D1162" s="76"/>
      <c r="E1162" s="76" t="s">
        <v>2632</v>
      </c>
      <c r="F1162" s="76" t="s">
        <v>2637</v>
      </c>
      <c r="G1162" s="76" t="s">
        <v>2335</v>
      </c>
      <c r="H1162" s="76" t="s">
        <v>2331</v>
      </c>
      <c r="I1162" s="76" t="str">
        <f>VLOOKUP(F1162,'#对话模型配置'!A:O,15,FALSE)</f>
        <v>newbie_oversea_andrea</v>
      </c>
      <c r="J1162" s="76" t="s">
        <v>3880</v>
      </c>
      <c r="K1162" s="136" t="s">
        <v>3881</v>
      </c>
      <c r="L1162" s="76">
        <v>110003</v>
      </c>
      <c r="M1162" s="76" t="s">
        <v>3289</v>
      </c>
      <c r="N1162" s="76"/>
      <c r="O1162" s="132" t="s">
        <v>3875</v>
      </c>
      <c r="P1162" s="132"/>
      <c r="Q1162" s="132"/>
      <c r="R1162" s="132"/>
      <c r="S1162" s="132"/>
      <c r="U1162" s="20">
        <v>2</v>
      </c>
      <c r="V1162" s="20">
        <v>0</v>
      </c>
      <c r="Y1162" s="71" t="b">
        <v>0</v>
      </c>
      <c r="AA1162" s="20" t="b">
        <v>1</v>
      </c>
      <c r="AE1162" s="20">
        <f t="shared" si="96"/>
        <v>5</v>
      </c>
      <c r="AH1162" s="61">
        <v>0.1</v>
      </c>
      <c r="AI1162" s="61">
        <v>1</v>
      </c>
      <c r="AJ1162" s="20">
        <v>2</v>
      </c>
      <c r="AL1162" s="108">
        <v>35</v>
      </c>
    </row>
    <row r="1163" spans="1:45" ht="26">
      <c r="A1163" s="76" t="s">
        <v>3872</v>
      </c>
      <c r="B1163" s="76"/>
      <c r="C1163" s="76">
        <v>4</v>
      </c>
      <c r="D1163" s="76"/>
      <c r="E1163" s="76" t="s">
        <v>2632</v>
      </c>
      <c r="F1163" s="76" t="s">
        <v>3855</v>
      </c>
      <c r="G1163" s="76" t="s">
        <v>3856</v>
      </c>
      <c r="H1163" s="76" t="s">
        <v>2331</v>
      </c>
      <c r="I1163" s="76" t="str">
        <f>VLOOKUP(F1163,'#对话模型配置'!A:O,15,FALSE)</f>
        <v>story_kruvis_big</v>
      </c>
      <c r="J1163" s="76" t="s">
        <v>3882</v>
      </c>
      <c r="K1163" s="136" t="s">
        <v>3883</v>
      </c>
      <c r="L1163" s="76">
        <v>110007</v>
      </c>
      <c r="M1163" s="76" t="s">
        <v>3840</v>
      </c>
      <c r="N1163" s="76"/>
      <c r="O1163" s="132" t="s">
        <v>3879</v>
      </c>
      <c r="P1163" s="132"/>
      <c r="Q1163" s="132"/>
      <c r="R1163" s="132"/>
      <c r="S1163" s="132"/>
      <c r="U1163" s="20">
        <v>2</v>
      </c>
      <c r="V1163" s="20">
        <v>0</v>
      </c>
      <c r="Y1163" s="71" t="b">
        <v>0</v>
      </c>
      <c r="AA1163" s="20" t="b">
        <v>1</v>
      </c>
      <c r="AE1163" s="20">
        <f t="shared" si="96"/>
        <v>14</v>
      </c>
      <c r="AH1163" s="61">
        <v>0.1</v>
      </c>
      <c r="AI1163" s="61">
        <v>1</v>
      </c>
      <c r="AJ1163" s="20">
        <v>2</v>
      </c>
      <c r="AL1163" s="108">
        <v>35</v>
      </c>
    </row>
    <row r="1164" spans="1:45">
      <c r="A1164" s="76" t="s">
        <v>3872</v>
      </c>
      <c r="B1164" s="76"/>
      <c r="C1164" s="76">
        <v>5</v>
      </c>
      <c r="D1164" s="76"/>
      <c r="E1164" s="76" t="s">
        <v>2632</v>
      </c>
      <c r="F1164" s="76" t="s">
        <v>2637</v>
      </c>
      <c r="G1164" s="76" t="s">
        <v>2335</v>
      </c>
      <c r="H1164" s="76" t="s">
        <v>2331</v>
      </c>
      <c r="I1164" s="76" t="str">
        <f>VLOOKUP(F1164,'#对话模型配置'!A:O,15,FALSE)</f>
        <v>newbie_oversea_andrea</v>
      </c>
      <c r="J1164" s="76" t="s">
        <v>3884</v>
      </c>
      <c r="K1164" s="136" t="s">
        <v>3885</v>
      </c>
      <c r="L1164" s="76">
        <v>110003</v>
      </c>
      <c r="M1164" s="76" t="s">
        <v>3289</v>
      </c>
      <c r="N1164" s="76"/>
      <c r="O1164" s="132" t="s">
        <v>3875</v>
      </c>
      <c r="P1164" s="132"/>
      <c r="Q1164" s="132"/>
      <c r="R1164" s="132"/>
      <c r="S1164" s="132"/>
      <c r="U1164" s="20">
        <v>2</v>
      </c>
      <c r="V1164" s="20">
        <v>0</v>
      </c>
      <c r="Y1164" s="71" t="b">
        <v>0</v>
      </c>
      <c r="AA1164" s="20" t="b">
        <v>1</v>
      </c>
      <c r="AE1164" s="20">
        <f t="shared" si="96"/>
        <v>5</v>
      </c>
      <c r="AH1164" s="61">
        <v>0.1</v>
      </c>
      <c r="AI1164" s="61">
        <v>1</v>
      </c>
      <c r="AJ1164" s="20">
        <v>2</v>
      </c>
      <c r="AL1164" s="108">
        <v>35</v>
      </c>
    </row>
    <row r="1165" spans="1:45">
      <c r="A1165" s="76" t="s">
        <v>3872</v>
      </c>
      <c r="B1165" s="76"/>
      <c r="C1165" s="76">
        <v>6</v>
      </c>
      <c r="D1165" s="76"/>
      <c r="E1165" s="76" t="s">
        <v>2632</v>
      </c>
      <c r="F1165" s="76" t="s">
        <v>3855</v>
      </c>
      <c r="G1165" s="76" t="s">
        <v>3856</v>
      </c>
      <c r="H1165" s="76" t="s">
        <v>2331</v>
      </c>
      <c r="I1165" s="76" t="str">
        <f>VLOOKUP(F1165,'#对话模型配置'!A:O,15,FALSE)</f>
        <v>story_kruvis_big</v>
      </c>
      <c r="J1165" s="76" t="s">
        <v>3886</v>
      </c>
      <c r="K1165" s="136" t="s">
        <v>3887</v>
      </c>
      <c r="L1165" s="76">
        <v>110007</v>
      </c>
      <c r="M1165" s="76" t="s">
        <v>3840</v>
      </c>
      <c r="N1165" s="76"/>
      <c r="O1165" s="132" t="s">
        <v>3879</v>
      </c>
      <c r="P1165" s="132"/>
      <c r="Q1165" s="132"/>
      <c r="R1165" s="132"/>
      <c r="S1165" s="132"/>
      <c r="U1165" s="20">
        <v>2</v>
      </c>
      <c r="V1165" s="20">
        <v>0</v>
      </c>
      <c r="Y1165" s="71" t="b">
        <v>0</v>
      </c>
      <c r="AA1165" s="20" t="b">
        <v>1</v>
      </c>
      <c r="AE1165" s="20">
        <f t="shared" si="96"/>
        <v>5</v>
      </c>
      <c r="AH1165" s="61">
        <v>0.1</v>
      </c>
      <c r="AI1165" s="61">
        <v>1</v>
      </c>
      <c r="AJ1165" s="20">
        <v>2</v>
      </c>
      <c r="AL1165" s="108">
        <v>35</v>
      </c>
    </row>
    <row r="1166" spans="1:45">
      <c r="A1166" s="20">
        <v>1990001</v>
      </c>
      <c r="C1166" s="20">
        <v>1</v>
      </c>
      <c r="E1166" s="76" t="s">
        <v>3888</v>
      </c>
      <c r="F1166" s="76" t="s">
        <v>2637</v>
      </c>
      <c r="G1166" s="76" t="s">
        <v>2335</v>
      </c>
      <c r="H1166" s="20" t="s">
        <v>3889</v>
      </c>
      <c r="I1166" s="76" t="str">
        <f>VLOOKUP(F1166,'#对话模型配置'!A:O,15,FALSE)</f>
        <v>newbie_oversea_andrea</v>
      </c>
      <c r="J1166" s="20" t="s">
        <v>3890</v>
      </c>
      <c r="K1166" s="78" t="s">
        <v>3891</v>
      </c>
      <c r="U1166" s="20">
        <v>2</v>
      </c>
      <c r="V1166" s="20">
        <v>0</v>
      </c>
      <c r="Y1166" s="71" t="b">
        <v>0</v>
      </c>
      <c r="AA1166" s="20" t="b">
        <v>1</v>
      </c>
      <c r="AE1166" s="20">
        <v>5</v>
      </c>
      <c r="AH1166" s="68">
        <v>6</v>
      </c>
      <c r="AI1166" s="61">
        <v>1</v>
      </c>
      <c r="AL1166" s="108">
        <v>35</v>
      </c>
    </row>
    <row r="1167" spans="1:45">
      <c r="A1167" s="20">
        <v>1990002</v>
      </c>
      <c r="C1167" s="20">
        <v>1</v>
      </c>
      <c r="E1167" s="76" t="s">
        <v>3888</v>
      </c>
      <c r="F1167" s="76" t="s">
        <v>2637</v>
      </c>
      <c r="G1167" s="76" t="s">
        <v>2335</v>
      </c>
      <c r="H1167" s="20" t="s">
        <v>3889</v>
      </c>
      <c r="I1167" s="76" t="str">
        <f>VLOOKUP(F1167,'#对话模型配置'!A:O,15,FALSE)</f>
        <v>newbie_oversea_andrea</v>
      </c>
      <c r="J1167" s="20" t="s">
        <v>3892</v>
      </c>
      <c r="K1167" s="78" t="s">
        <v>3893</v>
      </c>
      <c r="U1167" s="20">
        <v>2</v>
      </c>
      <c r="V1167" s="20">
        <v>0</v>
      </c>
      <c r="Y1167" s="71" t="b">
        <v>0</v>
      </c>
      <c r="AA1167" s="20" t="b">
        <v>1</v>
      </c>
      <c r="AE1167" s="20">
        <v>5</v>
      </c>
      <c r="AH1167" s="68">
        <v>6</v>
      </c>
      <c r="AI1167" s="61">
        <v>1</v>
      </c>
      <c r="AL1167" s="108">
        <v>35</v>
      </c>
    </row>
    <row r="1168" spans="1:45" ht="26">
      <c r="A1168" s="20">
        <v>1990003</v>
      </c>
      <c r="C1168" s="20">
        <v>1</v>
      </c>
      <c r="E1168" s="76" t="s">
        <v>3888</v>
      </c>
      <c r="F1168" s="76" t="s">
        <v>2637</v>
      </c>
      <c r="G1168" s="76" t="s">
        <v>2335</v>
      </c>
      <c r="H1168" s="20" t="s">
        <v>3889</v>
      </c>
      <c r="I1168" s="76" t="str">
        <f>VLOOKUP(F1168,'#对话模型配置'!A:O,15,FALSE)</f>
        <v>newbie_oversea_andrea</v>
      </c>
      <c r="J1168" s="20" t="s">
        <v>3894</v>
      </c>
      <c r="K1168" s="78" t="s">
        <v>3895</v>
      </c>
      <c r="U1168" s="20">
        <v>2</v>
      </c>
      <c r="V1168" s="20">
        <v>0</v>
      </c>
      <c r="Y1168" s="71" t="b">
        <v>0</v>
      </c>
      <c r="AA1168" s="20" t="b">
        <v>1</v>
      </c>
      <c r="AE1168" s="20">
        <v>5</v>
      </c>
      <c r="AH1168" s="68">
        <v>6</v>
      </c>
      <c r="AI1168" s="61">
        <v>1</v>
      </c>
      <c r="AL1168" s="108">
        <v>35</v>
      </c>
    </row>
    <row r="1169" spans="1:38">
      <c r="A1169" s="20">
        <v>1990004</v>
      </c>
      <c r="C1169" s="20">
        <v>1</v>
      </c>
      <c r="E1169" s="76" t="s">
        <v>3888</v>
      </c>
      <c r="F1169" s="76" t="s">
        <v>2637</v>
      </c>
      <c r="G1169" s="76" t="s">
        <v>2335</v>
      </c>
      <c r="H1169" s="20" t="s">
        <v>3889</v>
      </c>
      <c r="I1169" s="76" t="str">
        <f>VLOOKUP(F1169,'#对话模型配置'!A:O,15,FALSE)</f>
        <v>newbie_oversea_andrea</v>
      </c>
      <c r="J1169" s="20" t="s">
        <v>3896</v>
      </c>
      <c r="K1169" s="78" t="s">
        <v>3897</v>
      </c>
      <c r="U1169" s="20">
        <v>2</v>
      </c>
      <c r="V1169" s="20">
        <v>0</v>
      </c>
      <c r="Y1169" s="71" t="b">
        <v>0</v>
      </c>
      <c r="AA1169" s="20" t="b">
        <v>1</v>
      </c>
      <c r="AE1169" s="20">
        <v>5</v>
      </c>
      <c r="AH1169" s="68">
        <v>6</v>
      </c>
      <c r="AI1169" s="61">
        <v>1</v>
      </c>
      <c r="AL1169" s="108">
        <v>35</v>
      </c>
    </row>
    <row r="1170" spans="1:38" ht="26">
      <c r="A1170" s="20">
        <v>1990005</v>
      </c>
      <c r="C1170" s="20">
        <v>1</v>
      </c>
      <c r="E1170" s="76" t="s">
        <v>3888</v>
      </c>
      <c r="F1170" s="76" t="s">
        <v>2637</v>
      </c>
      <c r="G1170" s="76" t="s">
        <v>2335</v>
      </c>
      <c r="H1170" s="20" t="s">
        <v>3889</v>
      </c>
      <c r="I1170" s="76" t="str">
        <f>VLOOKUP(F1170,'#对话模型配置'!A:O,15,FALSE)</f>
        <v>newbie_oversea_andrea</v>
      </c>
      <c r="J1170" s="20" t="s">
        <v>3898</v>
      </c>
      <c r="K1170" s="78" t="s">
        <v>3899</v>
      </c>
      <c r="U1170" s="20">
        <v>2</v>
      </c>
      <c r="V1170" s="20">
        <v>0</v>
      </c>
      <c r="Y1170" s="71" t="b">
        <v>0</v>
      </c>
      <c r="AA1170" s="20" t="b">
        <v>1</v>
      </c>
      <c r="AE1170" s="20">
        <v>5</v>
      </c>
      <c r="AH1170" s="68">
        <v>6</v>
      </c>
      <c r="AI1170" s="61">
        <v>1</v>
      </c>
      <c r="AL1170" s="108">
        <v>35</v>
      </c>
    </row>
    <row r="1171" spans="1:38">
      <c r="A1171" s="20">
        <v>1990006</v>
      </c>
      <c r="C1171" s="20">
        <v>1</v>
      </c>
      <c r="E1171" s="76" t="s">
        <v>3888</v>
      </c>
      <c r="F1171" s="76" t="s">
        <v>2637</v>
      </c>
      <c r="G1171" s="76" t="s">
        <v>2335</v>
      </c>
      <c r="H1171" s="20" t="s">
        <v>3889</v>
      </c>
      <c r="I1171" s="76" t="str">
        <f>VLOOKUP(F1171,'#对话模型配置'!A:O,15,FALSE)</f>
        <v>newbie_oversea_andrea</v>
      </c>
      <c r="J1171" s="20" t="s">
        <v>3900</v>
      </c>
      <c r="K1171" s="78" t="s">
        <v>3901</v>
      </c>
      <c r="U1171" s="20">
        <v>2</v>
      </c>
      <c r="V1171" s="20">
        <v>0</v>
      </c>
      <c r="Y1171" s="71" t="b">
        <v>0</v>
      </c>
      <c r="AA1171" s="20" t="b">
        <v>1</v>
      </c>
      <c r="AE1171" s="20">
        <v>5</v>
      </c>
      <c r="AH1171" s="68">
        <v>6</v>
      </c>
      <c r="AI1171" s="61">
        <v>1</v>
      </c>
      <c r="AL1171" s="108">
        <v>35</v>
      </c>
    </row>
    <row r="1172" spans="1:38" ht="26">
      <c r="A1172" s="20">
        <v>1990007</v>
      </c>
      <c r="C1172" s="20">
        <v>1</v>
      </c>
      <c r="E1172" s="76" t="s">
        <v>3888</v>
      </c>
      <c r="F1172" s="76" t="s">
        <v>2637</v>
      </c>
      <c r="G1172" s="76" t="s">
        <v>2335</v>
      </c>
      <c r="H1172" s="20" t="s">
        <v>3889</v>
      </c>
      <c r="I1172" s="76" t="str">
        <f>VLOOKUP(F1172,'#对话模型配置'!A:O,15,FALSE)</f>
        <v>newbie_oversea_andrea</v>
      </c>
      <c r="J1172" s="20" t="s">
        <v>3902</v>
      </c>
      <c r="K1172" s="78" t="s">
        <v>3903</v>
      </c>
      <c r="U1172" s="20">
        <v>2</v>
      </c>
      <c r="V1172" s="20">
        <v>0</v>
      </c>
      <c r="Y1172" s="71" t="b">
        <v>0</v>
      </c>
      <c r="AA1172" s="20" t="b">
        <v>1</v>
      </c>
      <c r="AE1172" s="20">
        <v>5</v>
      </c>
      <c r="AH1172" s="68">
        <v>6</v>
      </c>
      <c r="AI1172" s="61">
        <v>1</v>
      </c>
      <c r="AL1172" s="108">
        <v>35</v>
      </c>
    </row>
    <row r="1173" spans="1:38">
      <c r="A1173" s="20">
        <v>1990008</v>
      </c>
      <c r="C1173" s="20">
        <v>1</v>
      </c>
      <c r="E1173" s="76" t="s">
        <v>3888</v>
      </c>
      <c r="F1173" s="76" t="s">
        <v>2637</v>
      </c>
      <c r="G1173" s="76" t="s">
        <v>2335</v>
      </c>
      <c r="H1173" s="20" t="s">
        <v>3889</v>
      </c>
      <c r="I1173" s="76" t="str">
        <f>VLOOKUP(F1173,'#对话模型配置'!A:O,15,FALSE)</f>
        <v>newbie_oversea_andrea</v>
      </c>
      <c r="J1173" s="20" t="s">
        <v>3904</v>
      </c>
      <c r="K1173" s="78" t="s">
        <v>3905</v>
      </c>
      <c r="U1173" s="20">
        <v>2</v>
      </c>
      <c r="V1173" s="20">
        <v>0</v>
      </c>
      <c r="Y1173" s="71" t="b">
        <v>0</v>
      </c>
      <c r="AA1173" s="20" t="b">
        <v>1</v>
      </c>
      <c r="AE1173" s="20">
        <v>5</v>
      </c>
      <c r="AH1173" s="68">
        <v>6</v>
      </c>
      <c r="AI1173" s="61">
        <v>1</v>
      </c>
      <c r="AL1173" s="108">
        <v>35</v>
      </c>
    </row>
    <row r="1174" spans="1:38">
      <c r="A1174" s="20">
        <v>1990009</v>
      </c>
      <c r="C1174" s="20">
        <v>1</v>
      </c>
      <c r="E1174" s="76" t="s">
        <v>3888</v>
      </c>
      <c r="F1174" s="76" t="s">
        <v>2637</v>
      </c>
      <c r="G1174" s="76" t="s">
        <v>2335</v>
      </c>
      <c r="H1174" s="20" t="s">
        <v>3889</v>
      </c>
      <c r="I1174" s="76" t="str">
        <f>VLOOKUP(F1174,'#对话模型配置'!A:O,15,FALSE)</f>
        <v>newbie_oversea_andrea</v>
      </c>
      <c r="J1174" s="20" t="s">
        <v>3906</v>
      </c>
      <c r="K1174" s="78" t="s">
        <v>3907</v>
      </c>
      <c r="U1174" s="20">
        <v>2</v>
      </c>
      <c r="V1174" s="20">
        <v>0</v>
      </c>
      <c r="Y1174" s="71" t="b">
        <v>0</v>
      </c>
      <c r="AA1174" s="20" t="b">
        <v>1</v>
      </c>
      <c r="AE1174" s="20">
        <v>5</v>
      </c>
      <c r="AH1174" s="68">
        <v>6</v>
      </c>
      <c r="AI1174" s="61">
        <v>1</v>
      </c>
      <c r="AL1174" s="108">
        <v>35</v>
      </c>
    </row>
    <row r="1175" spans="1:38" ht="26">
      <c r="A1175" s="20">
        <v>1990301</v>
      </c>
      <c r="C1175" s="20">
        <v>1</v>
      </c>
      <c r="E1175" s="76" t="s">
        <v>3908</v>
      </c>
      <c r="F1175" s="20" t="s">
        <v>3909</v>
      </c>
      <c r="G1175" s="20" t="s">
        <v>3910</v>
      </c>
      <c r="H1175" s="20" t="s">
        <v>3889</v>
      </c>
      <c r="I1175" s="20" t="s">
        <v>3911</v>
      </c>
      <c r="J1175" s="20" t="s">
        <v>3912</v>
      </c>
      <c r="K1175" s="78" t="s">
        <v>3913</v>
      </c>
      <c r="U1175" s="20">
        <v>2</v>
      </c>
      <c r="V1175" s="20">
        <v>0</v>
      </c>
      <c r="Y1175" s="71" t="b">
        <v>0</v>
      </c>
      <c r="AA1175" s="20" t="b">
        <v>1</v>
      </c>
      <c r="AE1175" s="20">
        <v>5</v>
      </c>
      <c r="AH1175" s="68">
        <v>6</v>
      </c>
      <c r="AI1175" s="61">
        <v>1</v>
      </c>
      <c r="AL1175" s="108">
        <v>35</v>
      </c>
    </row>
    <row r="1176" spans="1:38">
      <c r="A1176" s="20">
        <v>1990302</v>
      </c>
      <c r="C1176" s="20">
        <v>1</v>
      </c>
      <c r="E1176" s="76" t="s">
        <v>3908</v>
      </c>
      <c r="F1176" s="20" t="s">
        <v>3909</v>
      </c>
      <c r="G1176" s="20" t="s">
        <v>3910</v>
      </c>
      <c r="H1176" s="20" t="s">
        <v>3889</v>
      </c>
      <c r="I1176" s="20" t="s">
        <v>3911</v>
      </c>
      <c r="J1176" s="20" t="s">
        <v>3914</v>
      </c>
      <c r="K1176" s="78" t="s">
        <v>3915</v>
      </c>
      <c r="U1176" s="20">
        <v>2</v>
      </c>
      <c r="V1176" s="20">
        <v>0</v>
      </c>
      <c r="Y1176" s="71" t="b">
        <v>0</v>
      </c>
      <c r="AA1176" s="20" t="b">
        <v>1</v>
      </c>
      <c r="AE1176" s="20">
        <v>5</v>
      </c>
      <c r="AH1176" s="68">
        <v>6</v>
      </c>
      <c r="AI1176" s="61">
        <v>1</v>
      </c>
      <c r="AL1176" s="108">
        <v>35</v>
      </c>
    </row>
    <row r="1177" spans="1:38">
      <c r="A1177" s="20">
        <v>1990201</v>
      </c>
      <c r="C1177" s="20">
        <v>1</v>
      </c>
      <c r="E1177" s="76" t="s">
        <v>3888</v>
      </c>
      <c r="F1177" s="76" t="s">
        <v>2637</v>
      </c>
      <c r="G1177" s="76" t="s">
        <v>2335</v>
      </c>
      <c r="H1177" s="20" t="s">
        <v>3889</v>
      </c>
      <c r="I1177" s="76" t="str">
        <f>VLOOKUP(F1177,'#对话模型配置'!A:O,15,FALSE)</f>
        <v>newbie_oversea_andrea</v>
      </c>
      <c r="J1177" s="20" t="s">
        <v>3916</v>
      </c>
      <c r="K1177" s="78" t="s">
        <v>3917</v>
      </c>
      <c r="U1177" s="20">
        <v>2</v>
      </c>
      <c r="V1177" s="20">
        <v>0</v>
      </c>
      <c r="Y1177" s="71" t="b">
        <v>0</v>
      </c>
      <c r="AA1177" s="20" t="b">
        <v>1</v>
      </c>
      <c r="AE1177" s="20">
        <v>5</v>
      </c>
      <c r="AH1177" s="68">
        <v>6</v>
      </c>
      <c r="AI1177" s="61">
        <v>1</v>
      </c>
      <c r="AL1177" s="108">
        <v>35</v>
      </c>
    </row>
    <row r="1178" spans="1:38">
      <c r="A1178" s="20">
        <v>1990202</v>
      </c>
      <c r="C1178" s="20">
        <v>1</v>
      </c>
      <c r="E1178" s="76" t="s">
        <v>3888</v>
      </c>
      <c r="F1178" s="76" t="s">
        <v>2637</v>
      </c>
      <c r="G1178" s="76" t="s">
        <v>2335</v>
      </c>
      <c r="H1178" s="20" t="s">
        <v>3889</v>
      </c>
      <c r="I1178" s="76" t="str">
        <f>VLOOKUP(F1178,'#对话模型配置'!A:O,15,FALSE)</f>
        <v>newbie_oversea_andrea</v>
      </c>
      <c r="J1178" s="20" t="s">
        <v>3918</v>
      </c>
      <c r="K1178" s="78" t="s">
        <v>3919</v>
      </c>
      <c r="U1178" s="20">
        <v>2</v>
      </c>
      <c r="V1178" s="20">
        <v>0</v>
      </c>
      <c r="Y1178" s="71" t="b">
        <v>0</v>
      </c>
      <c r="AA1178" s="20" t="b">
        <v>1</v>
      </c>
      <c r="AE1178" s="20">
        <v>5</v>
      </c>
      <c r="AH1178" s="68">
        <v>6</v>
      </c>
      <c r="AI1178" s="61">
        <v>1</v>
      </c>
      <c r="AL1178" s="108">
        <v>35</v>
      </c>
    </row>
    <row r="1179" spans="1:38">
      <c r="A1179" s="20">
        <v>1990203</v>
      </c>
      <c r="C1179" s="20">
        <v>1</v>
      </c>
      <c r="E1179" s="76" t="s">
        <v>3888</v>
      </c>
      <c r="F1179" s="76" t="s">
        <v>2637</v>
      </c>
      <c r="G1179" s="76" t="s">
        <v>2335</v>
      </c>
      <c r="H1179" s="20" t="s">
        <v>3889</v>
      </c>
      <c r="I1179" s="76" t="str">
        <f>VLOOKUP(F1179,'#对话模型配置'!A:O,15,FALSE)</f>
        <v>newbie_oversea_andrea</v>
      </c>
      <c r="J1179" s="20" t="s">
        <v>3920</v>
      </c>
      <c r="K1179" s="78" t="s">
        <v>3921</v>
      </c>
      <c r="U1179" s="20">
        <v>2</v>
      </c>
      <c r="V1179" s="20">
        <v>0</v>
      </c>
      <c r="Y1179" s="71" t="b">
        <v>0</v>
      </c>
      <c r="AA1179" s="20" t="b">
        <v>1</v>
      </c>
      <c r="AE1179" s="20">
        <v>5</v>
      </c>
      <c r="AH1179" s="68">
        <v>6</v>
      </c>
      <c r="AI1179" s="61">
        <v>1</v>
      </c>
      <c r="AL1179" s="108">
        <v>35</v>
      </c>
    </row>
    <row r="1180" spans="1:38">
      <c r="A1180" s="20">
        <v>1990204</v>
      </c>
      <c r="C1180" s="20">
        <v>1</v>
      </c>
      <c r="E1180" s="76" t="s">
        <v>3888</v>
      </c>
      <c r="F1180" s="76" t="s">
        <v>2637</v>
      </c>
      <c r="G1180" s="76" t="s">
        <v>2335</v>
      </c>
      <c r="H1180" s="20" t="s">
        <v>3889</v>
      </c>
      <c r="I1180" s="76" t="str">
        <f>VLOOKUP(F1180,'#对话模型配置'!A:O,15,FALSE)</f>
        <v>newbie_oversea_andrea</v>
      </c>
      <c r="J1180" s="20" t="s">
        <v>3922</v>
      </c>
      <c r="K1180" s="78" t="s">
        <v>3923</v>
      </c>
      <c r="U1180" s="20">
        <v>2</v>
      </c>
      <c r="V1180" s="20">
        <v>0</v>
      </c>
      <c r="Y1180" s="71" t="b">
        <v>0</v>
      </c>
      <c r="AA1180" s="20" t="b">
        <v>1</v>
      </c>
      <c r="AE1180" s="20">
        <v>5</v>
      </c>
      <c r="AH1180" s="68">
        <v>6</v>
      </c>
      <c r="AI1180" s="61">
        <v>1</v>
      </c>
      <c r="AL1180" s="108">
        <v>35</v>
      </c>
    </row>
    <row r="1181" spans="1:38">
      <c r="A1181" s="20">
        <v>1100101</v>
      </c>
      <c r="C1181" s="20">
        <v>1</v>
      </c>
      <c r="E1181" s="76" t="s">
        <v>3924</v>
      </c>
      <c r="F1181" s="20" t="s">
        <v>2633</v>
      </c>
      <c r="G1181" s="20" t="str">
        <f>VLOOKUP(F1181,'[1]#对话模型配置'!A:N,11,FALSE)</f>
        <v>TID_DialogueConf_1060001_name_CN_Main</v>
      </c>
      <c r="H1181" s="20" t="s">
        <v>3889</v>
      </c>
      <c r="I1181" s="76" t="str">
        <f>VLOOKUP(F1181,'#对话模型配置'!A:O,15,FALSE)</f>
        <v>newbie_oversea_axe</v>
      </c>
      <c r="J1181" s="20" t="s">
        <v>3925</v>
      </c>
      <c r="K1181" s="78" t="s">
        <v>3926</v>
      </c>
      <c r="U1181" s="20">
        <v>2</v>
      </c>
      <c r="V1181" s="20">
        <v>0</v>
      </c>
      <c r="Y1181" s="71" t="b">
        <v>0</v>
      </c>
      <c r="AA1181" s="20" t="b">
        <v>1</v>
      </c>
      <c r="AE1181" s="20">
        <v>5</v>
      </c>
      <c r="AH1181" s="68">
        <v>6</v>
      </c>
      <c r="AI1181" s="61">
        <v>1</v>
      </c>
      <c r="AL1181" s="108">
        <v>35</v>
      </c>
    </row>
    <row r="1182" spans="1:38">
      <c r="A1182" s="20">
        <v>1100101</v>
      </c>
      <c r="C1182" s="20">
        <v>2</v>
      </c>
      <c r="E1182" s="76" t="s">
        <v>3924</v>
      </c>
      <c r="F1182" s="20" t="s">
        <v>2637</v>
      </c>
      <c r="G1182" s="20" t="str">
        <f>VLOOKUP(F1182,'[1]#对话模型配置'!A:N,11,FALSE)</f>
        <v>TID_DialogueConf_1060001_name_337966742914_CN_Main</v>
      </c>
      <c r="H1182" s="20" t="s">
        <v>3889</v>
      </c>
      <c r="I1182" s="76" t="str">
        <f>VLOOKUP(F1182,'#对话模型配置'!A:O,15,FALSE)</f>
        <v>newbie_oversea_andrea</v>
      </c>
      <c r="J1182" s="20" t="s">
        <v>3927</v>
      </c>
      <c r="K1182" s="78" t="s">
        <v>3928</v>
      </c>
      <c r="U1182" s="20">
        <v>2</v>
      </c>
      <c r="V1182" s="20">
        <v>0</v>
      </c>
      <c r="Y1182" s="71" t="b">
        <v>0</v>
      </c>
      <c r="AA1182" s="20" t="b">
        <v>1</v>
      </c>
      <c r="AE1182" s="20">
        <v>5</v>
      </c>
      <c r="AH1182" s="68">
        <v>6</v>
      </c>
      <c r="AI1182" s="61">
        <v>1</v>
      </c>
      <c r="AL1182" s="108">
        <v>35</v>
      </c>
    </row>
    <row r="1183" spans="1:38">
      <c r="A1183" s="20">
        <v>1100102</v>
      </c>
      <c r="C1183" s="20">
        <v>1</v>
      </c>
      <c r="E1183" s="76" t="s">
        <v>3924</v>
      </c>
      <c r="F1183" s="20" t="s">
        <v>2633</v>
      </c>
      <c r="G1183" s="20" t="str">
        <f>VLOOKUP(F1183,'[1]#对话模型配置'!A:N,11,FALSE)</f>
        <v>TID_DialogueConf_1060001_name_CN_Main</v>
      </c>
      <c r="H1183" s="20" t="s">
        <v>3889</v>
      </c>
      <c r="I1183" s="76" t="str">
        <f>VLOOKUP(F1183,'#对话模型配置'!A:O,15,FALSE)</f>
        <v>newbie_oversea_axe</v>
      </c>
      <c r="J1183" s="20" t="s">
        <v>3929</v>
      </c>
      <c r="K1183" s="78" t="s">
        <v>3930</v>
      </c>
      <c r="U1183" s="20">
        <v>2</v>
      </c>
      <c r="V1183" s="20">
        <v>0</v>
      </c>
      <c r="Y1183" s="71" t="b">
        <v>0</v>
      </c>
      <c r="AA1183" s="20" t="b">
        <v>1</v>
      </c>
      <c r="AE1183" s="20">
        <v>5</v>
      </c>
      <c r="AH1183" s="68">
        <v>6</v>
      </c>
      <c r="AI1183" s="61">
        <v>1</v>
      </c>
      <c r="AL1183" s="108">
        <v>35</v>
      </c>
    </row>
    <row r="1184" spans="1:38">
      <c r="A1184" s="20">
        <v>1100102</v>
      </c>
      <c r="C1184" s="20">
        <v>2</v>
      </c>
      <c r="E1184" s="76" t="s">
        <v>3924</v>
      </c>
      <c r="F1184" s="20" t="s">
        <v>2637</v>
      </c>
      <c r="G1184" s="20" t="str">
        <f>VLOOKUP(F1184,'[1]#对话模型配置'!A:N,11,FALSE)</f>
        <v>TID_DialogueConf_1060001_name_337966742914_CN_Main</v>
      </c>
      <c r="H1184" s="20" t="s">
        <v>3889</v>
      </c>
      <c r="I1184" s="76" t="str">
        <f>VLOOKUP(F1184,'#对话模型配置'!A:O,15,FALSE)</f>
        <v>newbie_oversea_andrea</v>
      </c>
      <c r="J1184" s="20" t="s">
        <v>3931</v>
      </c>
      <c r="K1184" s="78" t="s">
        <v>3932</v>
      </c>
      <c r="U1184" s="20">
        <v>2</v>
      </c>
      <c r="V1184" s="20">
        <v>0</v>
      </c>
      <c r="Y1184" s="71" t="b">
        <v>0</v>
      </c>
      <c r="AA1184" s="20" t="b">
        <v>1</v>
      </c>
      <c r="AE1184" s="20">
        <v>5</v>
      </c>
      <c r="AH1184" s="68">
        <v>6</v>
      </c>
      <c r="AI1184" s="61">
        <v>1</v>
      </c>
      <c r="AL1184" s="108">
        <v>35</v>
      </c>
    </row>
    <row r="1185" spans="1:38">
      <c r="A1185" s="129">
        <v>2100001</v>
      </c>
      <c r="B1185" s="129"/>
      <c r="C1185" s="129">
        <v>1</v>
      </c>
      <c r="D1185" s="129"/>
      <c r="E1185" s="129" t="s">
        <v>3933</v>
      </c>
      <c r="F1185" s="129" t="s">
        <v>2775</v>
      </c>
      <c r="G1185" s="129" t="str">
        <f>VLOOKUP(F1185,'[1]#对话模型配置'!A:N,11,FALSE)</f>
        <v>TID_Name_tuerkan_CN_Main</v>
      </c>
      <c r="H1185" s="129" t="s">
        <v>3889</v>
      </c>
      <c r="I1185" s="129" t="str">
        <f>VLOOKUP(F1185,'#对话模型配置'!A:O,15,FALSE)</f>
        <v>newbie_oversea_enemy</v>
      </c>
      <c r="J1185" s="129" t="s">
        <v>3934</v>
      </c>
      <c r="K1185" s="135" t="s">
        <v>3935</v>
      </c>
      <c r="L1185" s="129"/>
      <c r="M1185" s="129"/>
      <c r="N1185" s="129"/>
      <c r="O1185" s="134"/>
      <c r="P1185" s="134"/>
      <c r="Q1185" s="134"/>
      <c r="R1185" s="134"/>
      <c r="S1185" s="134"/>
      <c r="U1185" s="20">
        <v>2</v>
      </c>
      <c r="V1185" s="20">
        <v>0</v>
      </c>
      <c r="Y1185" s="71" t="b">
        <v>0</v>
      </c>
      <c r="AA1185" s="20" t="b">
        <v>1</v>
      </c>
      <c r="AE1185" s="20">
        <v>5</v>
      </c>
      <c r="AH1185" s="61">
        <v>6</v>
      </c>
      <c r="AI1185" s="61">
        <v>1</v>
      </c>
      <c r="AL1185" s="108">
        <v>35</v>
      </c>
    </row>
    <row r="1186" spans="1:38">
      <c r="A1186" s="129">
        <v>2100002</v>
      </c>
      <c r="B1186" s="129"/>
      <c r="C1186" s="129">
        <v>1</v>
      </c>
      <c r="D1186" s="129"/>
      <c r="E1186" s="129" t="s">
        <v>3933</v>
      </c>
      <c r="F1186" s="129" t="s">
        <v>2633</v>
      </c>
      <c r="G1186" s="129" t="str">
        <f>VLOOKUP(F1186,'[1]#对话模型配置'!A:N,11,FALSE)</f>
        <v>TID_DialogueConf_1060001_name_CN_Main</v>
      </c>
      <c r="H1186" s="129" t="s">
        <v>3889</v>
      </c>
      <c r="I1186" s="129" t="str">
        <f>VLOOKUP(F1186,'#对话模型配置'!A:O,15,FALSE)</f>
        <v>newbie_oversea_axe</v>
      </c>
      <c r="J1186" s="129" t="s">
        <v>3936</v>
      </c>
      <c r="K1186" s="135" t="s">
        <v>3937</v>
      </c>
      <c r="L1186" s="129"/>
      <c r="M1186" s="129"/>
      <c r="N1186" s="129"/>
      <c r="O1186" s="134"/>
      <c r="P1186" s="134"/>
      <c r="Q1186" s="134"/>
      <c r="R1186" s="134"/>
      <c r="S1186" s="134"/>
      <c r="U1186" s="20">
        <v>2</v>
      </c>
      <c r="V1186" s="20">
        <v>0</v>
      </c>
      <c r="Y1186" s="71" t="b">
        <v>0</v>
      </c>
      <c r="AA1186" s="20" t="b">
        <v>1</v>
      </c>
      <c r="AE1186" s="20">
        <v>5</v>
      </c>
      <c r="AH1186" s="61">
        <v>6</v>
      </c>
      <c r="AI1186" s="61">
        <v>1</v>
      </c>
      <c r="AL1186" s="108">
        <v>35</v>
      </c>
    </row>
    <row r="1187" spans="1:38">
      <c r="A1187" s="129">
        <v>2100002</v>
      </c>
      <c r="B1187" s="129"/>
      <c r="C1187" s="129">
        <v>2</v>
      </c>
      <c r="D1187" s="129"/>
      <c r="E1187" s="129" t="s">
        <v>3933</v>
      </c>
      <c r="F1187" s="129" t="s">
        <v>2637</v>
      </c>
      <c r="G1187" s="129" t="str">
        <f>VLOOKUP(F1187,'[1]#对话模型配置'!A:N,11,FALSE)</f>
        <v>TID_DialogueConf_1060001_name_337966742914_CN_Main</v>
      </c>
      <c r="H1187" s="129" t="s">
        <v>3889</v>
      </c>
      <c r="I1187" s="129" t="str">
        <f>VLOOKUP(F1187,'#对话模型配置'!A:O,15,FALSE)</f>
        <v>newbie_oversea_andrea</v>
      </c>
      <c r="J1187" s="129" t="s">
        <v>3938</v>
      </c>
      <c r="K1187" s="135" t="s">
        <v>3939</v>
      </c>
      <c r="L1187" s="129"/>
      <c r="M1187" s="129"/>
      <c r="N1187" s="129"/>
      <c r="O1187" s="134"/>
      <c r="P1187" s="134"/>
      <c r="Q1187" s="134"/>
      <c r="R1187" s="134"/>
      <c r="S1187" s="134"/>
      <c r="U1187" s="20">
        <v>2</v>
      </c>
      <c r="V1187" s="20">
        <v>0</v>
      </c>
      <c r="Y1187" s="71" t="b">
        <v>0</v>
      </c>
      <c r="AA1187" s="20" t="b">
        <v>1</v>
      </c>
      <c r="AE1187" s="20">
        <v>5</v>
      </c>
      <c r="AH1187" s="61">
        <v>6</v>
      </c>
      <c r="AI1187" s="61">
        <v>1</v>
      </c>
      <c r="AL1187" s="108">
        <v>35</v>
      </c>
    </row>
    <row r="1188" spans="1:38">
      <c r="A1188" s="129">
        <v>2100002</v>
      </c>
      <c r="B1188" s="129"/>
      <c r="C1188" s="129">
        <v>3</v>
      </c>
      <c r="D1188" s="129"/>
      <c r="E1188" s="129" t="s">
        <v>3933</v>
      </c>
      <c r="F1188" s="129" t="s">
        <v>2637</v>
      </c>
      <c r="G1188" s="129" t="str">
        <f>VLOOKUP(F1188,'[1]#对话模型配置'!A:N,11,FALSE)</f>
        <v>TID_DialogueConf_1060001_name_337966742914_CN_Main</v>
      </c>
      <c r="H1188" s="129" t="s">
        <v>3889</v>
      </c>
      <c r="I1188" s="129" t="str">
        <f>VLOOKUP(F1188,'#对话模型配置'!A:O,15,FALSE)</f>
        <v>newbie_oversea_andrea</v>
      </c>
      <c r="J1188" s="129" t="s">
        <v>3940</v>
      </c>
      <c r="K1188" s="135" t="s">
        <v>3941</v>
      </c>
      <c r="L1188" s="129"/>
      <c r="M1188" s="129"/>
      <c r="N1188" s="129"/>
      <c r="O1188" s="134"/>
      <c r="P1188" s="134"/>
      <c r="Q1188" s="134"/>
      <c r="R1188" s="134"/>
      <c r="S1188" s="134"/>
      <c r="U1188" s="20">
        <v>2</v>
      </c>
      <c r="V1188" s="20">
        <v>0</v>
      </c>
      <c r="Y1188" s="71" t="b">
        <v>0</v>
      </c>
      <c r="AA1188" s="20" t="b">
        <v>1</v>
      </c>
      <c r="AE1188" s="20">
        <v>5</v>
      </c>
      <c r="AH1188" s="61">
        <v>6</v>
      </c>
      <c r="AI1188" s="61">
        <v>1</v>
      </c>
      <c r="AL1188" s="108">
        <v>35</v>
      </c>
    </row>
    <row r="1189" spans="1:38">
      <c r="A1189" s="129">
        <v>2100005</v>
      </c>
      <c r="B1189" s="129"/>
      <c r="C1189" s="129">
        <v>1</v>
      </c>
      <c r="D1189" s="129"/>
      <c r="E1189" s="129" t="s">
        <v>3933</v>
      </c>
      <c r="F1189" s="129" t="s">
        <v>2637</v>
      </c>
      <c r="G1189" s="129" t="str">
        <f>VLOOKUP(F1189,'[1]#对话模型配置'!A:N,11,FALSE)</f>
        <v>TID_DialogueConf_1060001_name_337966742914_CN_Main</v>
      </c>
      <c r="H1189" s="129" t="s">
        <v>3889</v>
      </c>
      <c r="I1189" s="129" t="str">
        <f>VLOOKUP(F1189,'#对话模型配置'!A:O,15,FALSE)</f>
        <v>newbie_oversea_andrea</v>
      </c>
      <c r="J1189" s="129" t="s">
        <v>3942</v>
      </c>
      <c r="K1189" s="135" t="s">
        <v>3943</v>
      </c>
      <c r="L1189" s="129"/>
      <c r="M1189" s="129"/>
      <c r="N1189" s="129"/>
      <c r="O1189" s="134"/>
      <c r="P1189" s="134"/>
      <c r="Q1189" s="134"/>
      <c r="R1189" s="134"/>
      <c r="S1189" s="134"/>
      <c r="U1189" s="20">
        <v>2</v>
      </c>
      <c r="V1189" s="20">
        <v>0</v>
      </c>
      <c r="Y1189" s="71" t="b">
        <v>0</v>
      </c>
      <c r="AA1189" s="20" t="b">
        <v>1</v>
      </c>
      <c r="AE1189" s="20">
        <v>5</v>
      </c>
      <c r="AH1189" s="61">
        <v>6</v>
      </c>
      <c r="AI1189" s="61">
        <v>1</v>
      </c>
      <c r="AL1189" s="108">
        <v>35</v>
      </c>
    </row>
    <row r="1190" spans="1:38">
      <c r="A1190" s="129">
        <v>2100006</v>
      </c>
      <c r="B1190" s="129"/>
      <c r="C1190" s="129">
        <v>1</v>
      </c>
      <c r="D1190" s="129"/>
      <c r="E1190" s="129" t="s">
        <v>3933</v>
      </c>
      <c r="F1190" s="129" t="s">
        <v>2637</v>
      </c>
      <c r="G1190" s="129" t="str">
        <f>VLOOKUP(F1190,'[1]#对话模型配置'!A:N,11,FALSE)</f>
        <v>TID_DialogueConf_1060001_name_337966742914_CN_Main</v>
      </c>
      <c r="H1190" s="129" t="s">
        <v>3889</v>
      </c>
      <c r="I1190" s="129" t="str">
        <f>VLOOKUP(F1190,'#对话模型配置'!A:O,15,FALSE)</f>
        <v>newbie_oversea_andrea</v>
      </c>
      <c r="J1190" s="129" t="s">
        <v>3944</v>
      </c>
      <c r="K1190" s="135" t="s">
        <v>3945</v>
      </c>
      <c r="L1190" s="129"/>
      <c r="M1190" s="129"/>
      <c r="N1190" s="129"/>
      <c r="O1190" s="134"/>
      <c r="P1190" s="134"/>
      <c r="Q1190" s="134"/>
      <c r="R1190" s="134"/>
      <c r="S1190" s="134"/>
      <c r="U1190" s="20">
        <v>2</v>
      </c>
      <c r="V1190" s="20">
        <v>0</v>
      </c>
      <c r="Y1190" s="71" t="b">
        <v>0</v>
      </c>
      <c r="AA1190" s="20" t="b">
        <v>1</v>
      </c>
      <c r="AE1190" s="20">
        <v>5</v>
      </c>
      <c r="AH1190" s="61">
        <v>6</v>
      </c>
      <c r="AI1190" s="61">
        <v>1</v>
      </c>
      <c r="AL1190" s="108">
        <v>35</v>
      </c>
    </row>
    <row r="1191" spans="1:38">
      <c r="A1191" s="129">
        <v>2100007</v>
      </c>
      <c r="B1191" s="129"/>
      <c r="C1191" s="129">
        <v>1</v>
      </c>
      <c r="D1191" s="129"/>
      <c r="E1191" s="129" t="s">
        <v>3933</v>
      </c>
      <c r="F1191" s="129" t="s">
        <v>2637</v>
      </c>
      <c r="G1191" s="129" t="str">
        <f>VLOOKUP(F1191,'[1]#对话模型配置'!A:N,11,FALSE)</f>
        <v>TID_DialogueConf_1060001_name_337966742914_CN_Main</v>
      </c>
      <c r="H1191" s="129" t="s">
        <v>3889</v>
      </c>
      <c r="I1191" s="129" t="str">
        <f>VLOOKUP(F1191,'#对话模型配置'!A:O,15,FALSE)</f>
        <v>newbie_oversea_andrea</v>
      </c>
      <c r="J1191" s="129" t="s">
        <v>3946</v>
      </c>
      <c r="K1191" s="135" t="s">
        <v>3947</v>
      </c>
      <c r="L1191" s="129"/>
      <c r="M1191" s="129"/>
      <c r="N1191" s="129"/>
      <c r="O1191" s="134"/>
      <c r="P1191" s="134"/>
      <c r="Q1191" s="134"/>
      <c r="R1191" s="134"/>
      <c r="S1191" s="134"/>
      <c r="U1191" s="20">
        <v>2</v>
      </c>
      <c r="V1191" s="20">
        <v>0</v>
      </c>
      <c r="Y1191" s="71" t="b">
        <v>0</v>
      </c>
      <c r="AA1191" s="20" t="b">
        <v>1</v>
      </c>
      <c r="AE1191" s="20">
        <v>5</v>
      </c>
      <c r="AH1191" s="61">
        <v>6</v>
      </c>
      <c r="AI1191" s="61">
        <v>1</v>
      </c>
      <c r="AL1191" s="108">
        <v>35</v>
      </c>
    </row>
    <row r="1192" spans="1:38">
      <c r="A1192" s="129">
        <v>2100008</v>
      </c>
      <c r="B1192" s="129"/>
      <c r="C1192" s="129">
        <v>1</v>
      </c>
      <c r="D1192" s="129"/>
      <c r="E1192" s="129" t="s">
        <v>3933</v>
      </c>
      <c r="F1192" s="129" t="s">
        <v>2637</v>
      </c>
      <c r="G1192" s="129" t="str">
        <f>VLOOKUP(F1192,'[1]#对话模型配置'!A:N,11,FALSE)</f>
        <v>TID_DialogueConf_1060001_name_337966742914_CN_Main</v>
      </c>
      <c r="H1192" s="129" t="s">
        <v>3889</v>
      </c>
      <c r="I1192" s="129" t="str">
        <f>VLOOKUP(F1192,'#对话模型配置'!A:O,15,FALSE)</f>
        <v>newbie_oversea_andrea</v>
      </c>
      <c r="J1192" s="129" t="s">
        <v>3948</v>
      </c>
      <c r="K1192" s="135" t="s">
        <v>3949</v>
      </c>
      <c r="L1192" s="129"/>
      <c r="M1192" s="129"/>
      <c r="N1192" s="129"/>
      <c r="O1192" s="134"/>
      <c r="P1192" s="134"/>
      <c r="Q1192" s="134"/>
      <c r="R1192" s="134"/>
      <c r="S1192" s="134"/>
      <c r="U1192" s="20">
        <v>2</v>
      </c>
      <c r="V1192" s="20">
        <v>0</v>
      </c>
      <c r="Y1192" s="71" t="b">
        <v>0</v>
      </c>
      <c r="AA1192" s="20" t="b">
        <v>1</v>
      </c>
      <c r="AE1192" s="20">
        <v>5</v>
      </c>
      <c r="AH1192" s="61">
        <v>6</v>
      </c>
      <c r="AI1192" s="61">
        <v>1</v>
      </c>
      <c r="AL1192" s="108">
        <v>35</v>
      </c>
    </row>
    <row r="1193" spans="1:38">
      <c r="A1193" s="129">
        <v>2100009</v>
      </c>
      <c r="B1193" s="129"/>
      <c r="C1193" s="129">
        <v>1</v>
      </c>
      <c r="D1193" s="129"/>
      <c r="E1193" s="129" t="s">
        <v>3933</v>
      </c>
      <c r="F1193" s="129" t="s">
        <v>2633</v>
      </c>
      <c r="G1193" s="129" t="str">
        <f>VLOOKUP(F1193,'[1]#对话模型配置'!A:N,11,FALSE)</f>
        <v>TID_DialogueConf_1060001_name_CN_Main</v>
      </c>
      <c r="H1193" s="129" t="s">
        <v>3889</v>
      </c>
      <c r="I1193" s="129" t="str">
        <f>VLOOKUP(F1193,'#对话模型配置'!A:O,15,FALSE)</f>
        <v>newbie_oversea_axe</v>
      </c>
      <c r="J1193" s="129" t="s">
        <v>3950</v>
      </c>
      <c r="K1193" s="135" t="s">
        <v>3951</v>
      </c>
      <c r="L1193" s="129"/>
      <c r="M1193" s="129"/>
      <c r="N1193" s="129"/>
      <c r="O1193" s="134"/>
      <c r="P1193" s="134"/>
      <c r="Q1193" s="134"/>
      <c r="R1193" s="134"/>
      <c r="S1193" s="134"/>
      <c r="U1193" s="20">
        <v>2</v>
      </c>
      <c r="V1193" s="20">
        <v>0</v>
      </c>
      <c r="Y1193" s="71" t="b">
        <v>0</v>
      </c>
      <c r="AA1193" s="20" t="b">
        <v>1</v>
      </c>
      <c r="AE1193" s="20">
        <v>5</v>
      </c>
      <c r="AH1193" s="61">
        <v>6</v>
      </c>
      <c r="AI1193" s="61">
        <v>1</v>
      </c>
      <c r="AL1193" s="108">
        <v>35</v>
      </c>
    </row>
    <row r="1194" spans="1:38">
      <c r="A1194" s="129">
        <v>2100009</v>
      </c>
      <c r="B1194" s="129"/>
      <c r="C1194" s="129">
        <v>2</v>
      </c>
      <c r="D1194" s="129"/>
      <c r="E1194" s="129" t="s">
        <v>3933</v>
      </c>
      <c r="F1194" s="129" t="s">
        <v>2637</v>
      </c>
      <c r="G1194" s="129" t="str">
        <f>VLOOKUP(F1194,'[1]#对话模型配置'!A:N,11,FALSE)</f>
        <v>TID_DialogueConf_1060001_name_337966742914_CN_Main</v>
      </c>
      <c r="H1194" s="129" t="s">
        <v>3889</v>
      </c>
      <c r="I1194" s="129" t="str">
        <f>VLOOKUP(F1194,'#对话模型配置'!A:O,15,FALSE)</f>
        <v>newbie_oversea_andrea</v>
      </c>
      <c r="J1194" s="129" t="s">
        <v>3952</v>
      </c>
      <c r="K1194" s="135" t="s">
        <v>3953</v>
      </c>
      <c r="L1194" s="129"/>
      <c r="M1194" s="129"/>
      <c r="N1194" s="129"/>
      <c r="O1194" s="134"/>
      <c r="P1194" s="134"/>
      <c r="Q1194" s="134"/>
      <c r="R1194" s="134"/>
      <c r="S1194" s="134"/>
      <c r="U1194" s="20">
        <v>2</v>
      </c>
      <c r="V1194" s="20">
        <v>0</v>
      </c>
      <c r="Y1194" s="71" t="b">
        <v>0</v>
      </c>
      <c r="AA1194" s="20" t="b">
        <v>1</v>
      </c>
      <c r="AE1194" s="20">
        <v>5</v>
      </c>
      <c r="AH1194" s="61">
        <v>6</v>
      </c>
      <c r="AI1194" s="61">
        <v>1</v>
      </c>
      <c r="AL1194" s="108">
        <v>35</v>
      </c>
    </row>
    <row r="1195" spans="1:38">
      <c r="A1195" s="129">
        <v>2100010</v>
      </c>
      <c r="B1195" s="129"/>
      <c r="C1195" s="129">
        <v>1</v>
      </c>
      <c r="D1195" s="129"/>
      <c r="E1195" s="129" t="s">
        <v>3933</v>
      </c>
      <c r="F1195" s="129" t="s">
        <v>2637</v>
      </c>
      <c r="G1195" s="129" t="str">
        <f>VLOOKUP(F1195,'[1]#对话模型配置'!A:N,11,FALSE)</f>
        <v>TID_DialogueConf_1060001_name_337966742914_CN_Main</v>
      </c>
      <c r="H1195" s="129" t="s">
        <v>3889</v>
      </c>
      <c r="I1195" s="129" t="str">
        <f>VLOOKUP(F1195,'#对话模型配置'!A:O,15,FALSE)</f>
        <v>newbie_oversea_andrea</v>
      </c>
      <c r="J1195" s="129" t="s">
        <v>3954</v>
      </c>
      <c r="K1195" s="135" t="s">
        <v>3955</v>
      </c>
      <c r="L1195" s="129"/>
      <c r="M1195" s="129"/>
      <c r="N1195" s="129"/>
      <c r="O1195" s="134"/>
      <c r="P1195" s="134"/>
      <c r="Q1195" s="134"/>
      <c r="R1195" s="134"/>
      <c r="S1195" s="134"/>
      <c r="U1195" s="20">
        <v>2</v>
      </c>
      <c r="V1195" s="20">
        <v>0</v>
      </c>
      <c r="Y1195" s="71" t="b">
        <v>0</v>
      </c>
      <c r="AA1195" s="20" t="b">
        <v>1</v>
      </c>
      <c r="AE1195" s="20">
        <v>5</v>
      </c>
      <c r="AH1195" s="61">
        <v>6</v>
      </c>
      <c r="AI1195" s="61">
        <v>1</v>
      </c>
      <c r="AL1195" s="108">
        <v>35</v>
      </c>
    </row>
    <row r="1196" spans="1:38">
      <c r="A1196" s="129">
        <v>2100011</v>
      </c>
      <c r="B1196" s="129"/>
      <c r="C1196" s="129">
        <v>1</v>
      </c>
      <c r="D1196" s="129"/>
      <c r="E1196" s="129" t="s">
        <v>3933</v>
      </c>
      <c r="F1196" s="129" t="s">
        <v>2768</v>
      </c>
      <c r="G1196" s="129" t="str">
        <f>VLOOKUP(F1196,'[1]#对话模型配置'!A:N,11,FALSE)</f>
        <v>TID_Name_mengduke_CN_Main</v>
      </c>
      <c r="H1196" s="129" t="s">
        <v>3889</v>
      </c>
      <c r="I1196" s="129" t="str">
        <f>VLOOKUP(F1196,'#对话模型配置'!A:O,15,FALSE)</f>
        <v>newbie_oversea_monduk</v>
      </c>
      <c r="J1196" s="129" t="s">
        <v>3956</v>
      </c>
      <c r="K1196" s="135" t="s">
        <v>3957</v>
      </c>
      <c r="L1196" s="129"/>
      <c r="M1196" s="129"/>
      <c r="N1196" s="129"/>
      <c r="O1196" s="134"/>
      <c r="P1196" s="134"/>
      <c r="Q1196" s="134"/>
      <c r="R1196" s="134"/>
      <c r="S1196" s="134"/>
      <c r="U1196" s="20">
        <v>2</v>
      </c>
      <c r="V1196" s="20">
        <v>0</v>
      </c>
      <c r="Y1196" s="71" t="b">
        <v>0</v>
      </c>
      <c r="AA1196" s="20" t="b">
        <v>1</v>
      </c>
      <c r="AE1196" s="20">
        <v>5</v>
      </c>
      <c r="AH1196" s="61">
        <v>6</v>
      </c>
      <c r="AI1196" s="61">
        <v>1</v>
      </c>
      <c r="AL1196" s="108">
        <v>35</v>
      </c>
    </row>
    <row r="1197" spans="1:38">
      <c r="A1197" s="129">
        <v>2100012</v>
      </c>
      <c r="B1197" s="129"/>
      <c r="C1197" s="129">
        <v>1</v>
      </c>
      <c r="D1197" s="129"/>
      <c r="E1197" s="129" t="s">
        <v>3933</v>
      </c>
      <c r="F1197" s="129" t="s">
        <v>2768</v>
      </c>
      <c r="G1197" s="129" t="str">
        <f>VLOOKUP(F1197,'[1]#对话模型配置'!A:N,11,FALSE)</f>
        <v>TID_Name_mengduke_CN_Main</v>
      </c>
      <c r="H1197" s="129" t="s">
        <v>3889</v>
      </c>
      <c r="I1197" s="129" t="str">
        <f>VLOOKUP(F1197,'#对话模型配置'!A:O,15,FALSE)</f>
        <v>newbie_oversea_monduk</v>
      </c>
      <c r="J1197" s="129" t="s">
        <v>3958</v>
      </c>
      <c r="K1197" s="135" t="s">
        <v>3959</v>
      </c>
      <c r="L1197" s="129"/>
      <c r="M1197" s="129"/>
      <c r="N1197" s="129"/>
      <c r="O1197" s="134"/>
      <c r="P1197" s="134"/>
      <c r="Q1197" s="134"/>
      <c r="R1197" s="134"/>
      <c r="S1197" s="134"/>
      <c r="U1197" s="20">
        <v>2</v>
      </c>
      <c r="V1197" s="20">
        <v>0</v>
      </c>
      <c r="Y1197" s="71" t="b">
        <v>0</v>
      </c>
      <c r="AA1197" s="20" t="b">
        <v>1</v>
      </c>
      <c r="AE1197" s="20">
        <v>5</v>
      </c>
      <c r="AH1197" s="61">
        <v>6</v>
      </c>
      <c r="AI1197" s="61">
        <v>1</v>
      </c>
      <c r="AL1197" s="108">
        <v>35</v>
      </c>
    </row>
    <row r="1198" spans="1:38">
      <c r="A1198" s="129">
        <v>2100013</v>
      </c>
      <c r="B1198" s="129"/>
      <c r="C1198" s="129">
        <v>1</v>
      </c>
      <c r="D1198" s="129"/>
      <c r="E1198" s="129" t="s">
        <v>3933</v>
      </c>
      <c r="F1198" s="129" t="s">
        <v>2768</v>
      </c>
      <c r="G1198" s="129" t="str">
        <f>VLOOKUP(F1198,'[1]#对话模型配置'!A:N,11,FALSE)</f>
        <v>TID_Name_mengduke_CN_Main</v>
      </c>
      <c r="H1198" s="129" t="s">
        <v>3889</v>
      </c>
      <c r="I1198" s="129" t="str">
        <f>VLOOKUP(F1198,'#对话模型配置'!A:O,15,FALSE)</f>
        <v>newbie_oversea_monduk</v>
      </c>
      <c r="J1198" s="129" t="s">
        <v>3960</v>
      </c>
      <c r="K1198" s="135" t="s">
        <v>3961</v>
      </c>
      <c r="L1198" s="129"/>
      <c r="M1198" s="129"/>
      <c r="N1198" s="129"/>
      <c r="O1198" s="134"/>
      <c r="P1198" s="134"/>
      <c r="Q1198" s="134"/>
      <c r="R1198" s="134"/>
      <c r="S1198" s="134"/>
      <c r="U1198" s="20">
        <v>2</v>
      </c>
      <c r="V1198" s="20">
        <v>0</v>
      </c>
      <c r="Y1198" s="71" t="b">
        <v>0</v>
      </c>
      <c r="AA1198" s="20" t="b">
        <v>1</v>
      </c>
      <c r="AE1198" s="20">
        <v>5</v>
      </c>
      <c r="AH1198" s="61">
        <v>6</v>
      </c>
      <c r="AI1198" s="61">
        <v>1</v>
      </c>
      <c r="AL1198" s="108">
        <v>35</v>
      </c>
    </row>
    <row r="1199" spans="1:38">
      <c r="A1199" s="129">
        <v>2100014</v>
      </c>
      <c r="B1199" s="129"/>
      <c r="C1199" s="129">
        <v>1</v>
      </c>
      <c r="D1199" s="129"/>
      <c r="E1199" s="129" t="s">
        <v>3933</v>
      </c>
      <c r="F1199" s="129" t="s">
        <v>2768</v>
      </c>
      <c r="G1199" s="129" t="str">
        <f>VLOOKUP(F1199,'[1]#对话模型配置'!A:N,11,FALSE)</f>
        <v>TID_Name_mengduke_CN_Main</v>
      </c>
      <c r="H1199" s="129" t="s">
        <v>3889</v>
      </c>
      <c r="I1199" s="129" t="str">
        <f>VLOOKUP(F1199,'#对话模型配置'!A:O,15,FALSE)</f>
        <v>newbie_oversea_monduk</v>
      </c>
      <c r="J1199" s="129" t="s">
        <v>3962</v>
      </c>
      <c r="K1199" s="135" t="s">
        <v>3935</v>
      </c>
      <c r="L1199" s="129"/>
      <c r="M1199" s="129"/>
      <c r="N1199" s="129"/>
      <c r="O1199" s="134"/>
      <c r="P1199" s="134"/>
      <c r="Q1199" s="134"/>
      <c r="R1199" s="134"/>
      <c r="S1199" s="134"/>
      <c r="U1199" s="20">
        <v>2</v>
      </c>
      <c r="V1199" s="20">
        <v>0</v>
      </c>
      <c r="Y1199" s="71" t="b">
        <v>0</v>
      </c>
      <c r="AA1199" s="20" t="b">
        <v>1</v>
      </c>
      <c r="AE1199" s="20">
        <v>5</v>
      </c>
      <c r="AH1199" s="61">
        <v>6</v>
      </c>
      <c r="AI1199" s="61">
        <v>1</v>
      </c>
      <c r="AL1199" s="108">
        <v>35</v>
      </c>
    </row>
    <row r="1200" spans="1:38">
      <c r="A1200" s="129">
        <v>2100015</v>
      </c>
      <c r="B1200" s="129"/>
      <c r="C1200" s="129">
        <v>1</v>
      </c>
      <c r="D1200" s="129"/>
      <c r="E1200" s="129" t="s">
        <v>3933</v>
      </c>
      <c r="F1200" s="129" t="s">
        <v>2768</v>
      </c>
      <c r="G1200" s="129" t="str">
        <f>VLOOKUP(F1200,'[1]#对话模型配置'!A:N,11,FALSE)</f>
        <v>TID_Name_mengduke_CN_Main</v>
      </c>
      <c r="H1200" s="129" t="s">
        <v>3889</v>
      </c>
      <c r="I1200" s="129" t="str">
        <f>VLOOKUP(F1200,'#对话模型配置'!A:O,15,FALSE)</f>
        <v>newbie_oversea_monduk</v>
      </c>
      <c r="J1200" s="129" t="s">
        <v>3963</v>
      </c>
      <c r="K1200" s="135" t="s">
        <v>3937</v>
      </c>
      <c r="L1200" s="129"/>
      <c r="M1200" s="129"/>
      <c r="N1200" s="129"/>
      <c r="O1200" s="134"/>
      <c r="P1200" s="134"/>
      <c r="Q1200" s="134"/>
      <c r="R1200" s="134"/>
      <c r="S1200" s="134"/>
      <c r="U1200" s="20">
        <v>2</v>
      </c>
      <c r="V1200" s="20">
        <v>0</v>
      </c>
      <c r="Y1200" s="71" t="b">
        <v>0</v>
      </c>
      <c r="AA1200" s="20" t="b">
        <v>1</v>
      </c>
      <c r="AE1200" s="20">
        <v>5</v>
      </c>
      <c r="AH1200" s="61">
        <v>6</v>
      </c>
      <c r="AI1200" s="61">
        <v>1</v>
      </c>
      <c r="AL1200" s="108">
        <v>35</v>
      </c>
    </row>
    <row r="1201" spans="1:38">
      <c r="A1201" s="129">
        <v>2100016</v>
      </c>
      <c r="B1201" s="129"/>
      <c r="C1201" s="129">
        <v>1</v>
      </c>
      <c r="D1201" s="129"/>
      <c r="E1201" s="129" t="s">
        <v>3933</v>
      </c>
      <c r="F1201" s="129" t="s">
        <v>2768</v>
      </c>
      <c r="G1201" s="129" t="str">
        <f>VLOOKUP(F1201,'[1]#对话模型配置'!A:N,11,FALSE)</f>
        <v>TID_Name_mengduke_CN_Main</v>
      </c>
      <c r="H1201" s="129" t="s">
        <v>3889</v>
      </c>
      <c r="I1201" s="129" t="str">
        <f>VLOOKUP(F1201,'#对话模型配置'!A:O,15,FALSE)</f>
        <v>newbie_oversea_monduk</v>
      </c>
      <c r="J1201" s="129" t="s">
        <v>3964</v>
      </c>
      <c r="K1201" s="135" t="s">
        <v>3965</v>
      </c>
      <c r="L1201" s="129"/>
      <c r="M1201" s="129"/>
      <c r="N1201" s="129"/>
      <c r="O1201" s="134"/>
      <c r="P1201" s="134"/>
      <c r="Q1201" s="134"/>
      <c r="R1201" s="134"/>
      <c r="S1201" s="134"/>
      <c r="U1201" s="20">
        <v>2</v>
      </c>
      <c r="V1201" s="20">
        <v>0</v>
      </c>
      <c r="Y1201" s="71" t="b">
        <v>0</v>
      </c>
      <c r="AA1201" s="20" t="b">
        <v>1</v>
      </c>
      <c r="AE1201" s="20">
        <v>5</v>
      </c>
      <c r="AH1201" s="61">
        <v>6</v>
      </c>
      <c r="AI1201" s="61">
        <v>1</v>
      </c>
      <c r="AL1201" s="108">
        <v>35</v>
      </c>
    </row>
    <row r="1202" spans="1:38">
      <c r="A1202" s="129">
        <v>2100017</v>
      </c>
      <c r="B1202" s="129"/>
      <c r="C1202" s="129">
        <v>1</v>
      </c>
      <c r="D1202" s="129"/>
      <c r="E1202" s="129" t="s">
        <v>3933</v>
      </c>
      <c r="F1202" s="129" t="s">
        <v>2633</v>
      </c>
      <c r="G1202" s="129" t="str">
        <f>VLOOKUP(F1202,'[1]#对话模型配置'!A:N,11,FALSE)</f>
        <v>TID_DialogueConf_1060001_name_CN_Main</v>
      </c>
      <c r="H1202" s="129" t="s">
        <v>3889</v>
      </c>
      <c r="I1202" s="129" t="str">
        <f>VLOOKUP(F1202,'#对话模型配置'!A:O,15,FALSE)</f>
        <v>newbie_oversea_axe</v>
      </c>
      <c r="J1202" s="129" t="s">
        <v>3966</v>
      </c>
      <c r="K1202" s="135" t="s">
        <v>3967</v>
      </c>
      <c r="L1202" s="129"/>
      <c r="M1202" s="129"/>
      <c r="N1202" s="129"/>
      <c r="O1202" s="134"/>
      <c r="P1202" s="134"/>
      <c r="Q1202" s="134"/>
      <c r="R1202" s="134"/>
      <c r="S1202" s="134"/>
      <c r="U1202" s="20">
        <v>2</v>
      </c>
      <c r="V1202" s="20">
        <v>0</v>
      </c>
      <c r="Y1202" s="71" t="b">
        <v>0</v>
      </c>
      <c r="AA1202" s="20" t="b">
        <v>1</v>
      </c>
      <c r="AE1202" s="20">
        <v>5</v>
      </c>
      <c r="AH1202" s="61">
        <v>6</v>
      </c>
      <c r="AI1202" s="61">
        <v>1</v>
      </c>
      <c r="AL1202" s="108">
        <v>35</v>
      </c>
    </row>
    <row r="1203" spans="1:38">
      <c r="A1203" s="129">
        <v>2100018</v>
      </c>
      <c r="B1203" s="129"/>
      <c r="C1203" s="129">
        <v>1</v>
      </c>
      <c r="D1203" s="129"/>
      <c r="E1203" s="129" t="s">
        <v>3933</v>
      </c>
      <c r="F1203" s="129" t="s">
        <v>2637</v>
      </c>
      <c r="G1203" s="129" t="str">
        <f>VLOOKUP(F1203,'[1]#对话模型配置'!A:N,11,FALSE)</f>
        <v>TID_DialogueConf_1060001_name_337966742914_CN_Main</v>
      </c>
      <c r="H1203" s="129" t="s">
        <v>3889</v>
      </c>
      <c r="I1203" s="129" t="str">
        <f>VLOOKUP(F1203,'#对话模型配置'!A:O,15,FALSE)</f>
        <v>newbie_oversea_andrea</v>
      </c>
      <c r="J1203" s="129" t="s">
        <v>3968</v>
      </c>
      <c r="K1203" s="135" t="s">
        <v>3969</v>
      </c>
      <c r="L1203" s="129"/>
      <c r="M1203" s="129"/>
      <c r="N1203" s="129"/>
      <c r="O1203" s="134"/>
      <c r="P1203" s="134"/>
      <c r="Q1203" s="134"/>
      <c r="R1203" s="134"/>
      <c r="S1203" s="134"/>
      <c r="U1203" s="20">
        <v>2</v>
      </c>
      <c r="V1203" s="20">
        <v>0</v>
      </c>
      <c r="Y1203" s="71" t="b">
        <v>0</v>
      </c>
      <c r="AA1203" s="20" t="b">
        <v>1</v>
      </c>
      <c r="AE1203" s="20">
        <v>5</v>
      </c>
      <c r="AH1203" s="61">
        <v>6</v>
      </c>
      <c r="AI1203" s="61">
        <v>1</v>
      </c>
      <c r="AL1203" s="108">
        <v>35</v>
      </c>
    </row>
    <row r="1204" spans="1:38">
      <c r="A1204" s="129">
        <v>2100019</v>
      </c>
      <c r="B1204" s="129"/>
      <c r="C1204" s="129">
        <v>1</v>
      </c>
      <c r="D1204" s="129"/>
      <c r="E1204" s="129" t="s">
        <v>3933</v>
      </c>
      <c r="F1204" s="129" t="s">
        <v>2637</v>
      </c>
      <c r="G1204" s="129" t="str">
        <f>VLOOKUP(F1204,'[1]#对话模型配置'!A:N,11,FALSE)</f>
        <v>TID_DialogueConf_1060001_name_337966742914_CN_Main</v>
      </c>
      <c r="H1204" s="129" t="s">
        <v>3889</v>
      </c>
      <c r="I1204" s="129" t="str">
        <f>VLOOKUP(F1204,'#对话模型配置'!A:O,15,FALSE)</f>
        <v>newbie_oversea_andrea</v>
      </c>
      <c r="J1204" s="129" t="s">
        <v>3970</v>
      </c>
      <c r="K1204" s="135" t="s">
        <v>3971</v>
      </c>
      <c r="L1204" s="129"/>
      <c r="M1204" s="129"/>
      <c r="N1204" s="129"/>
      <c r="O1204" s="134"/>
      <c r="P1204" s="134"/>
      <c r="Q1204" s="134"/>
      <c r="R1204" s="134"/>
      <c r="S1204" s="134"/>
      <c r="U1204" s="20">
        <v>2</v>
      </c>
      <c r="V1204" s="20">
        <v>0</v>
      </c>
      <c r="Y1204" s="71" t="b">
        <v>0</v>
      </c>
      <c r="AA1204" s="20" t="b">
        <v>1</v>
      </c>
      <c r="AE1204" s="20">
        <v>5</v>
      </c>
      <c r="AH1204" s="61">
        <v>6</v>
      </c>
      <c r="AI1204" s="61">
        <v>1</v>
      </c>
      <c r="AL1204" s="108">
        <v>35</v>
      </c>
    </row>
    <row r="1205" spans="1:38">
      <c r="A1205" s="129">
        <v>2100020</v>
      </c>
      <c r="B1205" s="129"/>
      <c r="C1205" s="129">
        <v>1</v>
      </c>
      <c r="D1205" s="129"/>
      <c r="E1205" s="129" t="s">
        <v>3933</v>
      </c>
      <c r="F1205" s="129" t="s">
        <v>2637</v>
      </c>
      <c r="G1205" s="129" t="str">
        <f>VLOOKUP(F1205,'[1]#对话模型配置'!A:N,11,FALSE)</f>
        <v>TID_DialogueConf_1060001_name_337966742914_CN_Main</v>
      </c>
      <c r="H1205" s="129" t="s">
        <v>3889</v>
      </c>
      <c r="I1205" s="129" t="str">
        <f>VLOOKUP(F1205,'#对话模型配置'!A:O,15,FALSE)</f>
        <v>newbie_oversea_andrea</v>
      </c>
      <c r="J1205" s="129" t="s">
        <v>3972</v>
      </c>
      <c r="K1205" s="135" t="s">
        <v>3973</v>
      </c>
      <c r="L1205" s="129"/>
      <c r="M1205" s="129"/>
      <c r="N1205" s="129"/>
      <c r="O1205" s="134"/>
      <c r="P1205" s="134"/>
      <c r="Q1205" s="134"/>
      <c r="R1205" s="134"/>
      <c r="S1205" s="134"/>
      <c r="U1205" s="20">
        <v>2</v>
      </c>
      <c r="V1205" s="20">
        <v>0</v>
      </c>
      <c r="Y1205" s="71" t="b">
        <v>0</v>
      </c>
      <c r="AA1205" s="20" t="b">
        <v>1</v>
      </c>
      <c r="AE1205" s="20">
        <v>5</v>
      </c>
      <c r="AH1205" s="61">
        <v>6</v>
      </c>
      <c r="AI1205" s="61">
        <v>1</v>
      </c>
      <c r="AL1205" s="108">
        <v>35</v>
      </c>
    </row>
    <row r="1206" spans="1:38">
      <c r="A1206" s="129">
        <v>2100021</v>
      </c>
      <c r="B1206" s="129"/>
      <c r="C1206" s="129">
        <v>1</v>
      </c>
      <c r="D1206" s="129"/>
      <c r="E1206" s="129" t="s">
        <v>3933</v>
      </c>
      <c r="F1206" s="129" t="s">
        <v>2637</v>
      </c>
      <c r="G1206" s="129" t="str">
        <f>VLOOKUP(F1206,'[1]#对话模型配置'!A:N,11,FALSE)</f>
        <v>TID_DialogueConf_1060001_name_337966742914_CN_Main</v>
      </c>
      <c r="H1206" s="129" t="s">
        <v>3889</v>
      </c>
      <c r="I1206" s="129" t="str">
        <f>VLOOKUP(F1206,'#对话模型配置'!A:O,15,FALSE)</f>
        <v>newbie_oversea_andrea</v>
      </c>
      <c r="J1206" s="129" t="s">
        <v>3974</v>
      </c>
      <c r="K1206" s="135" t="s">
        <v>3975</v>
      </c>
      <c r="L1206" s="129"/>
      <c r="M1206" s="129"/>
      <c r="N1206" s="129"/>
      <c r="O1206" s="134"/>
      <c r="P1206" s="134"/>
      <c r="Q1206" s="134"/>
      <c r="R1206" s="134"/>
      <c r="S1206" s="134"/>
      <c r="U1206" s="20">
        <v>2</v>
      </c>
      <c r="V1206" s="20">
        <v>0</v>
      </c>
      <c r="Y1206" s="71" t="b">
        <v>0</v>
      </c>
      <c r="AA1206" s="20" t="b">
        <v>1</v>
      </c>
      <c r="AE1206" s="20">
        <v>5</v>
      </c>
      <c r="AH1206" s="61">
        <v>6</v>
      </c>
      <c r="AI1206" s="61">
        <v>1</v>
      </c>
      <c r="AL1206" s="108">
        <v>35</v>
      </c>
    </row>
    <row r="1207" spans="1:38">
      <c r="A1207" s="129">
        <v>2100022</v>
      </c>
      <c r="B1207" s="129"/>
      <c r="C1207" s="129">
        <v>1</v>
      </c>
      <c r="E1207" s="129" t="s">
        <v>3933</v>
      </c>
      <c r="F1207" s="129" t="s">
        <v>2637</v>
      </c>
      <c r="G1207" s="129" t="str">
        <f>VLOOKUP(F1207,'[1]#对话模型配置'!A:N,11,FALSE)</f>
        <v>TID_DialogueConf_1060001_name_337966742914_CN_Main</v>
      </c>
      <c r="H1207" s="129" t="s">
        <v>3889</v>
      </c>
      <c r="I1207" s="129" t="str">
        <f>VLOOKUP(F1207,'#对话模型配置'!A:O,15,FALSE)</f>
        <v>newbie_oversea_andrea</v>
      </c>
      <c r="J1207" s="129" t="s">
        <v>3976</v>
      </c>
      <c r="K1207" s="135" t="s">
        <v>3977</v>
      </c>
      <c r="L1207" s="129"/>
      <c r="M1207" s="129"/>
      <c r="N1207" s="129"/>
      <c r="O1207" s="134"/>
      <c r="P1207" s="134"/>
      <c r="Q1207" s="134"/>
      <c r="R1207" s="134"/>
      <c r="S1207" s="134"/>
      <c r="U1207" s="20">
        <v>2</v>
      </c>
      <c r="V1207" s="20">
        <v>0</v>
      </c>
      <c r="Y1207" s="71" t="b">
        <v>0</v>
      </c>
      <c r="AA1207" s="20" t="b">
        <v>1</v>
      </c>
      <c r="AE1207" s="20">
        <v>5</v>
      </c>
      <c r="AH1207" s="61">
        <v>6</v>
      </c>
      <c r="AL1207" s="108">
        <v>35</v>
      </c>
    </row>
    <row r="1208" spans="1:38">
      <c r="A1208" s="129">
        <v>2100023</v>
      </c>
      <c r="B1208" s="129"/>
      <c r="C1208" s="129">
        <v>1</v>
      </c>
      <c r="E1208" s="129" t="s">
        <v>3933</v>
      </c>
      <c r="F1208" s="129" t="s">
        <v>2637</v>
      </c>
      <c r="G1208" s="129" t="str">
        <f>VLOOKUP(F1208,'[1]#对话模型配置'!A:N,11,FALSE)</f>
        <v>TID_DialogueConf_1060001_name_337966742914_CN_Main</v>
      </c>
      <c r="H1208" s="129" t="s">
        <v>3889</v>
      </c>
      <c r="I1208" s="129" t="str">
        <f>VLOOKUP(F1208,'#对话模型配置'!A:O,15,FALSE)</f>
        <v>newbie_oversea_andrea</v>
      </c>
      <c r="J1208" s="129" t="s">
        <v>3978</v>
      </c>
      <c r="K1208" s="135" t="s">
        <v>3979</v>
      </c>
      <c r="L1208" s="129"/>
      <c r="M1208" s="129"/>
      <c r="N1208" s="129"/>
      <c r="O1208" s="134"/>
      <c r="P1208" s="134"/>
      <c r="Q1208" s="134"/>
      <c r="R1208" s="134"/>
      <c r="S1208" s="134"/>
      <c r="U1208" s="20">
        <v>2</v>
      </c>
      <c r="V1208" s="20">
        <v>0</v>
      </c>
      <c r="Y1208" s="71" t="b">
        <v>0</v>
      </c>
      <c r="AA1208" s="20" t="b">
        <v>1</v>
      </c>
      <c r="AE1208" s="20">
        <v>5</v>
      </c>
      <c r="AH1208" s="61">
        <v>6</v>
      </c>
      <c r="AL1208" s="108">
        <v>35</v>
      </c>
    </row>
    <row r="1209" spans="1:38">
      <c r="A1209" s="129">
        <v>2100024</v>
      </c>
      <c r="B1209" s="129"/>
      <c r="C1209" s="129">
        <v>1</v>
      </c>
      <c r="E1209" s="129" t="s">
        <v>3933</v>
      </c>
      <c r="F1209" s="129" t="s">
        <v>2637</v>
      </c>
      <c r="G1209" s="129" t="str">
        <f>VLOOKUP(F1209,'[1]#对话模型配置'!A:N,11,FALSE)</f>
        <v>TID_DialogueConf_1060001_name_337966742914_CN_Main</v>
      </c>
      <c r="H1209" s="129" t="s">
        <v>3889</v>
      </c>
      <c r="I1209" s="129" t="str">
        <f>VLOOKUP(F1209,'#对话模型配置'!A:O,15,FALSE)</f>
        <v>newbie_oversea_andrea</v>
      </c>
      <c r="J1209" s="129" t="s">
        <v>3980</v>
      </c>
      <c r="K1209" s="135" t="s">
        <v>3981</v>
      </c>
      <c r="L1209" s="129"/>
      <c r="M1209" s="129"/>
      <c r="N1209" s="129"/>
      <c r="O1209" s="134"/>
      <c r="P1209" s="134"/>
      <c r="Q1209" s="134"/>
      <c r="R1209" s="134"/>
      <c r="S1209" s="134"/>
      <c r="U1209" s="20">
        <v>2</v>
      </c>
      <c r="V1209" s="20">
        <v>0</v>
      </c>
      <c r="Y1209" s="71" t="b">
        <v>0</v>
      </c>
      <c r="AA1209" s="20" t="b">
        <v>1</v>
      </c>
      <c r="AE1209" s="20">
        <v>5</v>
      </c>
      <c r="AH1209" s="61">
        <v>6</v>
      </c>
      <c r="AL1209" s="108">
        <v>35</v>
      </c>
    </row>
    <row r="1210" spans="1:38">
      <c r="A1210" s="129">
        <v>2100025</v>
      </c>
      <c r="B1210" s="129"/>
      <c r="C1210" s="129">
        <v>1</v>
      </c>
      <c r="E1210" s="129" t="s">
        <v>3933</v>
      </c>
      <c r="F1210" s="129" t="s">
        <v>2775</v>
      </c>
      <c r="G1210" s="129" t="str">
        <f>VLOOKUP(F1210,'[1]#对话模型配置'!A:N,11,FALSE)</f>
        <v>TID_Name_tuerkan_CN_Main</v>
      </c>
      <c r="H1210" s="129" t="s">
        <v>3889</v>
      </c>
      <c r="I1210" s="129" t="str">
        <f>VLOOKUP(F1210,'#对话模型配置'!A:O,15,FALSE)</f>
        <v>newbie_oversea_enemy</v>
      </c>
      <c r="J1210" s="129" t="s">
        <v>3982</v>
      </c>
      <c r="K1210" s="135" t="s">
        <v>3983</v>
      </c>
      <c r="L1210" s="129"/>
      <c r="M1210" s="129"/>
      <c r="N1210" s="129"/>
      <c r="O1210" s="134"/>
      <c r="P1210" s="134"/>
      <c r="Q1210" s="134"/>
      <c r="R1210" s="134"/>
      <c r="S1210" s="134"/>
      <c r="U1210" s="20">
        <v>2</v>
      </c>
      <c r="V1210" s="20">
        <v>0</v>
      </c>
      <c r="Y1210" s="71" t="b">
        <v>0</v>
      </c>
      <c r="AA1210" s="20" t="b">
        <v>1</v>
      </c>
      <c r="AE1210" s="20">
        <v>5</v>
      </c>
      <c r="AH1210" s="61">
        <v>6</v>
      </c>
      <c r="AL1210" s="108">
        <v>35</v>
      </c>
    </row>
    <row r="1211" spans="1:38">
      <c r="A1211" s="129">
        <v>2100026</v>
      </c>
      <c r="B1211" s="129"/>
      <c r="C1211" s="129">
        <v>1</v>
      </c>
      <c r="E1211" s="129" t="s">
        <v>3933</v>
      </c>
      <c r="F1211" s="129" t="s">
        <v>2637</v>
      </c>
      <c r="G1211" s="129" t="str">
        <f>VLOOKUP(F1211,'[1]#对话模型配置'!A:N,11,FALSE)</f>
        <v>TID_DialogueConf_1060001_name_337966742914_CN_Main</v>
      </c>
      <c r="H1211" s="129" t="s">
        <v>3889</v>
      </c>
      <c r="I1211" s="129" t="str">
        <f>VLOOKUP(F1211,'#对话模型配置'!A:O,15,FALSE)</f>
        <v>newbie_oversea_andrea</v>
      </c>
      <c r="J1211" s="129" t="s">
        <v>3984</v>
      </c>
      <c r="K1211" s="135" t="s">
        <v>3985</v>
      </c>
      <c r="L1211" s="129"/>
      <c r="M1211" s="129"/>
      <c r="N1211" s="129"/>
      <c r="O1211" s="134"/>
      <c r="P1211" s="134"/>
      <c r="Q1211" s="134"/>
      <c r="R1211" s="134"/>
      <c r="S1211" s="134"/>
      <c r="U1211" s="20">
        <v>2</v>
      </c>
      <c r="V1211" s="20">
        <v>0</v>
      </c>
      <c r="Y1211" s="71" t="b">
        <v>0</v>
      </c>
      <c r="AA1211" s="20" t="b">
        <v>1</v>
      </c>
      <c r="AE1211" s="20">
        <v>5</v>
      </c>
      <c r="AH1211" s="61">
        <v>6</v>
      </c>
      <c r="AL1211" s="108">
        <v>35</v>
      </c>
    </row>
    <row r="1212" spans="1:38">
      <c r="A1212" s="129">
        <v>2100027</v>
      </c>
      <c r="B1212" s="129"/>
      <c r="C1212" s="129">
        <v>1</v>
      </c>
      <c r="E1212" s="129" t="s">
        <v>3933</v>
      </c>
      <c r="F1212" s="129" t="s">
        <v>2637</v>
      </c>
      <c r="G1212" s="129" t="str">
        <f>VLOOKUP(F1212,'[1]#对话模型配置'!A:N,11,FALSE)</f>
        <v>TID_DialogueConf_1060001_name_337966742914_CN_Main</v>
      </c>
      <c r="H1212" s="129" t="s">
        <v>3889</v>
      </c>
      <c r="I1212" s="129" t="str">
        <f>VLOOKUP(F1212,'#对话模型配置'!A:O,15,FALSE)</f>
        <v>newbie_oversea_andrea</v>
      </c>
      <c r="J1212" s="129" t="s">
        <v>3986</v>
      </c>
      <c r="K1212" s="135" t="s">
        <v>3987</v>
      </c>
      <c r="L1212" s="129"/>
      <c r="M1212" s="129"/>
      <c r="N1212" s="129"/>
      <c r="O1212" s="134"/>
      <c r="P1212" s="134"/>
      <c r="Q1212" s="134"/>
      <c r="R1212" s="134"/>
      <c r="S1212" s="134"/>
      <c r="U1212" s="20">
        <v>2</v>
      </c>
      <c r="V1212" s="20">
        <v>0</v>
      </c>
      <c r="Y1212" s="71" t="b">
        <v>0</v>
      </c>
      <c r="AA1212" s="20" t="b">
        <v>1</v>
      </c>
      <c r="AE1212" s="20">
        <v>5</v>
      </c>
      <c r="AH1212" s="61">
        <v>6</v>
      </c>
      <c r="AL1212" s="108">
        <v>35</v>
      </c>
    </row>
    <row r="1213" spans="1:38">
      <c r="A1213" s="129">
        <v>2100028</v>
      </c>
      <c r="B1213" s="129"/>
      <c r="C1213" s="129">
        <v>1</v>
      </c>
      <c r="E1213" s="129" t="s">
        <v>3933</v>
      </c>
      <c r="F1213" s="129" t="s">
        <v>2633</v>
      </c>
      <c r="G1213" s="129" t="str">
        <f>VLOOKUP(F1213,'[1]#对话模型配置'!A:N,11,FALSE)</f>
        <v>TID_DialogueConf_1060001_name_CN_Main</v>
      </c>
      <c r="H1213" s="129" t="s">
        <v>3889</v>
      </c>
      <c r="I1213" s="129" t="str">
        <f>VLOOKUP(F1213,'#对话模型配置'!A:O,15,FALSE)</f>
        <v>newbie_oversea_axe</v>
      </c>
      <c r="J1213" s="129" t="s">
        <v>3988</v>
      </c>
      <c r="K1213" s="135" t="s">
        <v>3989</v>
      </c>
      <c r="L1213" s="129"/>
      <c r="M1213" s="129"/>
      <c r="N1213" s="129"/>
      <c r="O1213" s="134"/>
      <c r="P1213" s="134"/>
      <c r="Q1213" s="134"/>
      <c r="R1213" s="134"/>
      <c r="S1213" s="134"/>
      <c r="U1213" s="20">
        <v>2</v>
      </c>
      <c r="V1213" s="20">
        <v>0</v>
      </c>
      <c r="Y1213" s="71" t="b">
        <v>0</v>
      </c>
      <c r="AA1213" s="20" t="b">
        <v>1</v>
      </c>
      <c r="AE1213" s="20">
        <v>5</v>
      </c>
      <c r="AH1213" s="61">
        <v>6</v>
      </c>
      <c r="AL1213" s="108">
        <v>35</v>
      </c>
    </row>
    <row r="1214" spans="1:38">
      <c r="A1214" s="129">
        <v>2100029</v>
      </c>
      <c r="B1214" s="129"/>
      <c r="C1214" s="129">
        <v>1</v>
      </c>
      <c r="E1214" s="129" t="s">
        <v>3933</v>
      </c>
      <c r="F1214" s="129" t="s">
        <v>2637</v>
      </c>
      <c r="G1214" s="129" t="str">
        <f>VLOOKUP(F1214,'[1]#对话模型配置'!A:N,11,FALSE)</f>
        <v>TID_DialogueConf_1060001_name_337966742914_CN_Main</v>
      </c>
      <c r="H1214" s="129" t="s">
        <v>3889</v>
      </c>
      <c r="I1214" s="129" t="str">
        <f>VLOOKUP(F1214,'#对话模型配置'!A:O,15,FALSE)</f>
        <v>newbie_oversea_andrea</v>
      </c>
      <c r="J1214" s="129" t="s">
        <v>3990</v>
      </c>
      <c r="K1214" s="135" t="s">
        <v>3991</v>
      </c>
      <c r="L1214" s="129"/>
      <c r="M1214" s="129"/>
      <c r="N1214" s="129"/>
      <c r="O1214" s="134"/>
      <c r="P1214" s="134"/>
      <c r="Q1214" s="134"/>
      <c r="R1214" s="134"/>
      <c r="S1214" s="134"/>
      <c r="U1214" s="20">
        <v>2</v>
      </c>
      <c r="V1214" s="20">
        <v>0</v>
      </c>
      <c r="Y1214" s="71" t="b">
        <v>0</v>
      </c>
      <c r="AA1214" s="20" t="b">
        <v>1</v>
      </c>
      <c r="AE1214" s="20">
        <v>5</v>
      </c>
      <c r="AH1214" s="61">
        <v>6</v>
      </c>
      <c r="AL1214" s="108">
        <v>35</v>
      </c>
    </row>
    <row r="1215" spans="1:38">
      <c r="A1215" s="129">
        <v>2100030</v>
      </c>
      <c r="B1215" s="129"/>
      <c r="C1215" s="129">
        <v>1</v>
      </c>
      <c r="E1215" s="129" t="s">
        <v>3933</v>
      </c>
      <c r="F1215" s="129" t="s">
        <v>2637</v>
      </c>
      <c r="G1215" s="129" t="str">
        <f>VLOOKUP(F1215,'[1]#对话模型配置'!A:N,11,FALSE)</f>
        <v>TID_DialogueConf_1060001_name_337966742914_CN_Main</v>
      </c>
      <c r="H1215" s="129" t="s">
        <v>3889</v>
      </c>
      <c r="I1215" s="129" t="str">
        <f>VLOOKUP(F1215,'#对话模型配置'!A:O,15,FALSE)</f>
        <v>newbie_oversea_andrea</v>
      </c>
      <c r="J1215" s="129" t="s">
        <v>3992</v>
      </c>
      <c r="K1215" s="135" t="s">
        <v>3993</v>
      </c>
      <c r="L1215" s="129"/>
      <c r="M1215" s="129"/>
      <c r="N1215" s="129"/>
      <c r="O1215" s="134"/>
      <c r="P1215" s="134"/>
      <c r="Q1215" s="134"/>
      <c r="R1215" s="134"/>
      <c r="S1215" s="134"/>
      <c r="U1215" s="20">
        <v>2</v>
      </c>
      <c r="V1215" s="20">
        <v>0</v>
      </c>
      <c r="Y1215" s="71" t="b">
        <v>0</v>
      </c>
      <c r="AA1215" s="20" t="b">
        <v>1</v>
      </c>
      <c r="AE1215" s="20">
        <v>5</v>
      </c>
      <c r="AH1215" s="61">
        <v>6</v>
      </c>
      <c r="AL1215" s="108">
        <v>35</v>
      </c>
    </row>
    <row r="1216" spans="1:38">
      <c r="A1216" s="129">
        <v>2100031</v>
      </c>
      <c r="B1216" s="129"/>
      <c r="C1216" s="129">
        <v>1</v>
      </c>
      <c r="E1216" s="129" t="s">
        <v>3933</v>
      </c>
      <c r="F1216" s="129" t="s">
        <v>2768</v>
      </c>
      <c r="G1216" s="129" t="str">
        <f>VLOOKUP(F1216,'[1]#对话模型配置'!A:N,11,FALSE)</f>
        <v>TID_Name_mengduke_CN_Main</v>
      </c>
      <c r="H1216" s="129" t="s">
        <v>3889</v>
      </c>
      <c r="I1216" s="129" t="str">
        <f>VLOOKUP(F1216,'#对话模型配置'!A:O,15,FALSE)</f>
        <v>newbie_oversea_monduk</v>
      </c>
      <c r="J1216" s="129" t="s">
        <v>3994</v>
      </c>
      <c r="K1216" s="135" t="s">
        <v>3957</v>
      </c>
      <c r="L1216" s="129"/>
      <c r="M1216" s="129"/>
      <c r="N1216" s="129"/>
      <c r="O1216" s="134"/>
      <c r="P1216" s="134"/>
      <c r="Q1216" s="134"/>
      <c r="R1216" s="134"/>
      <c r="S1216" s="134"/>
      <c r="U1216" s="20">
        <v>2</v>
      </c>
      <c r="V1216" s="20">
        <v>0</v>
      </c>
      <c r="Y1216" s="71" t="b">
        <v>0</v>
      </c>
      <c r="AA1216" s="20" t="b">
        <v>1</v>
      </c>
      <c r="AE1216" s="20">
        <v>5</v>
      </c>
      <c r="AH1216" s="61">
        <v>6</v>
      </c>
      <c r="AL1216" s="108">
        <v>35</v>
      </c>
    </row>
    <row r="1217" spans="1:58">
      <c r="A1217" s="129">
        <v>2100031</v>
      </c>
      <c r="B1217" s="129"/>
      <c r="C1217" s="129">
        <v>2</v>
      </c>
      <c r="E1217" s="129" t="s">
        <v>3933</v>
      </c>
      <c r="F1217" s="129" t="s">
        <v>2768</v>
      </c>
      <c r="G1217" s="129" t="str">
        <f>VLOOKUP(F1217,'[1]#对话模型配置'!A:N,11,FALSE)</f>
        <v>TID_Name_mengduke_CN_Main</v>
      </c>
      <c r="H1217" s="129" t="s">
        <v>3889</v>
      </c>
      <c r="I1217" s="129" t="str">
        <f>VLOOKUP(F1217,'#对话模型配置'!A:O,15,FALSE)</f>
        <v>newbie_oversea_monduk</v>
      </c>
      <c r="J1217" s="129" t="s">
        <v>3995</v>
      </c>
      <c r="K1217" s="135" t="s">
        <v>3959</v>
      </c>
      <c r="L1217" s="129"/>
      <c r="M1217" s="129"/>
      <c r="N1217" s="129"/>
      <c r="O1217" s="134"/>
      <c r="P1217" s="134"/>
      <c r="Q1217" s="134"/>
      <c r="R1217" s="134"/>
      <c r="S1217" s="134"/>
      <c r="U1217" s="20">
        <v>2</v>
      </c>
      <c r="V1217" s="20">
        <v>0</v>
      </c>
      <c r="Y1217" s="71" t="b">
        <v>0</v>
      </c>
      <c r="AA1217" s="20" t="b">
        <v>1</v>
      </c>
      <c r="AE1217" s="20">
        <v>5</v>
      </c>
      <c r="AH1217" s="61">
        <v>6</v>
      </c>
      <c r="AL1217" s="108">
        <v>35</v>
      </c>
    </row>
    <row r="1218" spans="1:58">
      <c r="A1218" s="129">
        <v>2100033</v>
      </c>
      <c r="B1218" s="129"/>
      <c r="C1218" s="129">
        <v>1</v>
      </c>
      <c r="E1218" s="129" t="s">
        <v>3933</v>
      </c>
      <c r="F1218" s="129" t="s">
        <v>2768</v>
      </c>
      <c r="G1218" s="129" t="str">
        <f>VLOOKUP(F1218,'[1]#对话模型配置'!A:N,11,FALSE)</f>
        <v>TID_Name_mengduke_CN_Main</v>
      </c>
      <c r="H1218" s="129" t="s">
        <v>3889</v>
      </c>
      <c r="I1218" s="129" t="str">
        <f>VLOOKUP(F1218,'#对话模型配置'!A:O,15,FALSE)</f>
        <v>newbie_oversea_monduk</v>
      </c>
      <c r="J1218" s="129" t="s">
        <v>3996</v>
      </c>
      <c r="K1218" s="135" t="s">
        <v>3961</v>
      </c>
      <c r="L1218" s="129"/>
      <c r="M1218" s="129"/>
      <c r="N1218" s="129"/>
      <c r="O1218" s="134"/>
      <c r="P1218" s="134"/>
      <c r="Q1218" s="134"/>
      <c r="R1218" s="134"/>
      <c r="S1218" s="134"/>
      <c r="U1218" s="20">
        <v>2</v>
      </c>
      <c r="V1218" s="20">
        <v>0</v>
      </c>
      <c r="Y1218" s="71" t="b">
        <v>0</v>
      </c>
      <c r="AA1218" s="20" t="b">
        <v>1</v>
      </c>
      <c r="AE1218" s="20">
        <v>5</v>
      </c>
      <c r="AH1218" s="61">
        <v>6</v>
      </c>
      <c r="AL1218" s="108">
        <v>35</v>
      </c>
    </row>
    <row r="1219" spans="1:58">
      <c r="A1219" s="129">
        <v>2100034</v>
      </c>
      <c r="B1219" s="129"/>
      <c r="C1219" s="129">
        <v>1</v>
      </c>
      <c r="E1219" s="129" t="s">
        <v>3933</v>
      </c>
      <c r="F1219" s="129" t="s">
        <v>2633</v>
      </c>
      <c r="G1219" s="129" t="str">
        <f>VLOOKUP(F1219,'[1]#对话模型配置'!A:N,11,FALSE)</f>
        <v>TID_DialogueConf_1060001_name_CN_Main</v>
      </c>
      <c r="H1219" s="129" t="s">
        <v>3889</v>
      </c>
      <c r="I1219" s="129" t="str">
        <f>VLOOKUP(F1219,'#对话模型配置'!A:O,15,FALSE)</f>
        <v>newbie_oversea_axe</v>
      </c>
      <c r="J1219" s="129" t="s">
        <v>3997</v>
      </c>
      <c r="K1219" s="135" t="s">
        <v>3998</v>
      </c>
      <c r="L1219" s="129"/>
      <c r="M1219" s="129"/>
      <c r="N1219" s="129"/>
      <c r="O1219" s="134"/>
      <c r="P1219" s="134"/>
      <c r="Q1219" s="134"/>
      <c r="R1219" s="134"/>
      <c r="S1219" s="134"/>
      <c r="U1219" s="20">
        <v>2</v>
      </c>
      <c r="V1219" s="20">
        <v>0</v>
      </c>
      <c r="Y1219" s="71" t="b">
        <v>0</v>
      </c>
      <c r="AA1219" s="20" t="b">
        <v>1</v>
      </c>
      <c r="AE1219" s="20">
        <v>5</v>
      </c>
      <c r="AH1219" s="61">
        <v>6</v>
      </c>
      <c r="AL1219" s="108">
        <v>35</v>
      </c>
    </row>
    <row r="1220" spans="1:58" s="72" customFormat="1" ht="26">
      <c r="A1220" s="72">
        <v>2100035</v>
      </c>
      <c r="C1220" s="72">
        <v>1</v>
      </c>
      <c r="E1220" s="72" t="s">
        <v>3933</v>
      </c>
      <c r="F1220" s="72" t="s">
        <v>2633</v>
      </c>
      <c r="G1220" s="72" t="str">
        <f>VLOOKUP(F1220,'[1]#对话模型配置'!A:N,11,FALSE)</f>
        <v>TID_DialogueConf_1060001_name_CN_Main</v>
      </c>
      <c r="H1220" s="72" t="s">
        <v>3889</v>
      </c>
      <c r="I1220" s="72" t="str">
        <f>VLOOKUP(F1220,'#对话模型配置'!A:O,15,FALSE)</f>
        <v>newbie_oversea_axe</v>
      </c>
      <c r="J1220" s="72" t="s">
        <v>3999</v>
      </c>
      <c r="K1220" s="135" t="s">
        <v>4000</v>
      </c>
      <c r="O1220" s="144"/>
      <c r="P1220" s="144"/>
      <c r="Q1220" s="144"/>
      <c r="R1220" s="144"/>
      <c r="S1220" s="144"/>
      <c r="U1220" s="72">
        <v>2</v>
      </c>
      <c r="V1220" s="72">
        <v>0</v>
      </c>
      <c r="Y1220" s="72" t="b">
        <v>0</v>
      </c>
      <c r="AA1220" s="72" t="b">
        <v>1</v>
      </c>
      <c r="AE1220" s="72">
        <v>9</v>
      </c>
      <c r="AH1220" s="72">
        <v>6</v>
      </c>
      <c r="AL1220" s="151">
        <v>35</v>
      </c>
    </row>
    <row r="1221" spans="1:58" s="72" customFormat="1">
      <c r="A1221" s="72">
        <v>2100036</v>
      </c>
      <c r="C1221" s="72">
        <v>1</v>
      </c>
      <c r="E1221" s="72" t="s">
        <v>3933</v>
      </c>
      <c r="F1221" s="72" t="s">
        <v>2633</v>
      </c>
      <c r="G1221" s="72" t="str">
        <f>VLOOKUP(F1221,'[1]#对话模型配置'!A:N,11,FALSE)</f>
        <v>TID_DialogueConf_1060001_name_CN_Main</v>
      </c>
      <c r="H1221" s="72" t="s">
        <v>3889</v>
      </c>
      <c r="I1221" s="72" t="str">
        <f>VLOOKUP(F1221,'#对话模型配置'!A:O,15,FALSE)</f>
        <v>newbie_oversea_axe</v>
      </c>
      <c r="J1221" s="72" t="s">
        <v>4001</v>
      </c>
      <c r="K1221" s="135" t="s">
        <v>4002</v>
      </c>
      <c r="O1221" s="144"/>
      <c r="P1221" s="144"/>
      <c r="Q1221" s="144"/>
      <c r="R1221" s="144"/>
      <c r="S1221" s="144"/>
      <c r="U1221" s="72">
        <v>2</v>
      </c>
      <c r="V1221" s="72">
        <v>0</v>
      </c>
      <c r="Y1221" s="72" t="b">
        <v>0</v>
      </c>
      <c r="AA1221" s="72" t="b">
        <v>1</v>
      </c>
      <c r="AE1221" s="72">
        <v>7</v>
      </c>
      <c r="AH1221" s="72">
        <v>6</v>
      </c>
      <c r="AL1221" s="151">
        <v>35</v>
      </c>
    </row>
    <row r="1222" spans="1:58" s="72" customFormat="1">
      <c r="A1222" s="72">
        <v>2100037</v>
      </c>
      <c r="C1222" s="72">
        <v>1</v>
      </c>
      <c r="E1222" s="72" t="s">
        <v>3933</v>
      </c>
      <c r="F1222" s="72" t="s">
        <v>2633</v>
      </c>
      <c r="G1222" s="72" t="str">
        <f>VLOOKUP(F1222,'[1]#对话模型配置'!A:N,11,FALSE)</f>
        <v>TID_DialogueConf_1060001_name_CN_Main</v>
      </c>
      <c r="H1222" s="72" t="s">
        <v>3889</v>
      </c>
      <c r="I1222" s="72" t="str">
        <f>VLOOKUP(F1222,'#对话模型配置'!A:O,15,FALSE)</f>
        <v>newbie_oversea_axe</v>
      </c>
      <c r="J1222" s="72" t="s">
        <v>4003</v>
      </c>
      <c r="K1222" s="135" t="s">
        <v>4004</v>
      </c>
      <c r="O1222" s="144"/>
      <c r="P1222" s="144"/>
      <c r="Q1222" s="144"/>
      <c r="R1222" s="144"/>
      <c r="S1222" s="144"/>
      <c r="U1222" s="72">
        <v>2</v>
      </c>
      <c r="V1222" s="72">
        <v>0</v>
      </c>
      <c r="Y1222" s="72" t="b">
        <v>0</v>
      </c>
      <c r="AA1222" s="72" t="b">
        <v>1</v>
      </c>
      <c r="AE1222" s="72">
        <v>7</v>
      </c>
      <c r="AH1222" s="72">
        <v>6</v>
      </c>
      <c r="AL1222" s="151">
        <v>35</v>
      </c>
    </row>
    <row r="1223" spans="1:58" s="73" customFormat="1">
      <c r="A1223" s="73">
        <v>2100050</v>
      </c>
      <c r="C1223" s="73">
        <v>1</v>
      </c>
      <c r="E1223" s="73" t="s">
        <v>4005</v>
      </c>
      <c r="F1223" s="73" t="s">
        <v>2633</v>
      </c>
      <c r="G1223" s="73" t="str">
        <f>VLOOKUP(F1223,'#对话模型配置'!A:O,12,FALSE)</f>
        <v>TID_DialogueConf_1060001_name_CN_Main</v>
      </c>
      <c r="H1223" s="73" t="str">
        <f>VLOOKUP(F1223,'#对话模型配置'!A:O,14,FALSE)</f>
        <v>icon_newbie</v>
      </c>
      <c r="I1223" s="73" t="str">
        <f>VLOOKUP(F1223,'#对话模型配置'!A:O,15,FALSE)</f>
        <v>newbie_oversea_axe</v>
      </c>
      <c r="J1223" s="73" t="s">
        <v>4006</v>
      </c>
      <c r="K1223" s="73" t="s">
        <v>4007</v>
      </c>
      <c r="U1223" s="73">
        <v>5</v>
      </c>
      <c r="V1223" s="73">
        <v>0</v>
      </c>
      <c r="Y1223" s="73" t="b">
        <v>0</v>
      </c>
      <c r="AA1223" s="73" t="b">
        <v>1</v>
      </c>
      <c r="AD1223" s="73">
        <v>3</v>
      </c>
      <c r="AE1223" s="73">
        <f t="shared" ref="AE1223:AE1243" si="97">AD1223</f>
        <v>3</v>
      </c>
      <c r="AH1223" s="73">
        <f>AE1223+1.5</f>
        <v>4.5</v>
      </c>
      <c r="AI1223" s="73">
        <v>1</v>
      </c>
      <c r="AL1223" s="152">
        <v>35</v>
      </c>
      <c r="BA1223" s="73">
        <v>140002</v>
      </c>
      <c r="BF1223" s="73">
        <v>0</v>
      </c>
    </row>
    <row r="1224" spans="1:58" s="73" customFormat="1">
      <c r="A1224" s="73">
        <v>2100051</v>
      </c>
      <c r="C1224" s="73">
        <v>1</v>
      </c>
      <c r="E1224" s="73" t="s">
        <v>4005</v>
      </c>
      <c r="F1224" s="73" t="s">
        <v>4008</v>
      </c>
      <c r="G1224" s="73" t="str">
        <f>VLOOKUP(F1224,'#对话模型配置'!A:O,12,FALSE)</f>
        <v>TID_Dialogue_Character_11</v>
      </c>
      <c r="H1224" s="73" t="str">
        <f>VLOOKUP(F1224,'#对话模型配置'!A:O,14,FALSE)</f>
        <v>icon_newbie</v>
      </c>
      <c r="I1224" s="73" t="str">
        <f>VLOOKUP(F1224,'#对话模型配置'!A:O,15,FALSE)</f>
        <v>newbie_oversea_andrea</v>
      </c>
      <c r="J1224" s="73" t="s">
        <v>4009</v>
      </c>
      <c r="K1224" s="73" t="s">
        <v>4010</v>
      </c>
      <c r="U1224" s="73">
        <v>5</v>
      </c>
      <c r="V1224" s="73">
        <v>0</v>
      </c>
      <c r="Y1224" s="73" t="b">
        <v>0</v>
      </c>
      <c r="AA1224" s="73" t="b">
        <v>1</v>
      </c>
      <c r="AD1224" s="73">
        <v>3</v>
      </c>
      <c r="AE1224" s="73">
        <f t="shared" si="97"/>
        <v>3</v>
      </c>
      <c r="AH1224" s="73">
        <f>AE1224+1.5</f>
        <v>4.5</v>
      </c>
      <c r="AI1224" s="73">
        <v>1</v>
      </c>
      <c r="AL1224" s="152">
        <v>35</v>
      </c>
      <c r="BF1224" s="73">
        <v>0</v>
      </c>
    </row>
    <row r="1225" spans="1:58" s="73" customFormat="1">
      <c r="A1225" s="73">
        <v>2100052</v>
      </c>
      <c r="C1225" s="73">
        <v>1</v>
      </c>
      <c r="E1225" s="73" t="s">
        <v>4005</v>
      </c>
      <c r="F1225" s="73" t="s">
        <v>2646</v>
      </c>
      <c r="G1225" s="73" t="str">
        <f>VLOOKUP(F1225,'#对话模型配置'!A:O,12,FALSE)</f>
        <v>TID_DialogueConf_1060611_name_CN_Main</v>
      </c>
      <c r="H1225" s="73" t="str">
        <f>VLOOKUP(F1225,'#对话模型配置'!A:O,14,FALSE)</f>
        <v>icon_newbie</v>
      </c>
      <c r="I1225" s="73" t="str">
        <f>VLOOKUP(F1225,'#对话模型配置'!A:O,15,FALSE)</f>
        <v>newbie_oversea_farmernohat</v>
      </c>
      <c r="J1225" s="73" t="s">
        <v>4011</v>
      </c>
      <c r="K1225" s="73" t="s">
        <v>4012</v>
      </c>
      <c r="U1225" s="73">
        <v>5</v>
      </c>
      <c r="V1225" s="73">
        <v>0</v>
      </c>
      <c r="Y1225" s="73" t="b">
        <v>0</v>
      </c>
      <c r="Z1225" s="73" t="s">
        <v>4013</v>
      </c>
      <c r="AA1225" s="73" t="b">
        <v>1</v>
      </c>
      <c r="AD1225" s="73">
        <v>1.1507920026779199</v>
      </c>
      <c r="AE1225" s="73">
        <f t="shared" si="97"/>
        <v>1.1507920026779199</v>
      </c>
      <c r="AH1225" s="73">
        <f>AE1225+1.5</f>
        <v>2.6507920026779201</v>
      </c>
      <c r="AI1225" s="73">
        <v>1</v>
      </c>
      <c r="AL1225" s="152">
        <v>35</v>
      </c>
      <c r="BF1225" s="73">
        <v>0</v>
      </c>
    </row>
    <row r="1226" spans="1:58" s="73" customFormat="1">
      <c r="A1226" s="73">
        <v>2100052</v>
      </c>
      <c r="C1226" s="73">
        <v>2</v>
      </c>
      <c r="E1226" s="73" t="s">
        <v>4005</v>
      </c>
      <c r="F1226" s="73" t="s">
        <v>2633</v>
      </c>
      <c r="G1226" s="73" t="str">
        <f>VLOOKUP(F1226,'#对话模型配置'!A:O,12,FALSE)</f>
        <v>TID_DialogueConf_1060001_name_CN_Main</v>
      </c>
      <c r="H1226" s="73" t="str">
        <f>VLOOKUP(F1226,'#对话模型配置'!A:O,14,FALSE)</f>
        <v>icon_newbie</v>
      </c>
      <c r="I1226" s="73" t="str">
        <f>VLOOKUP(F1226,'#对话模型配置'!A:O,15,FALSE)</f>
        <v>newbie_oversea_axe</v>
      </c>
      <c r="J1226" s="73" t="s">
        <v>4014</v>
      </c>
      <c r="K1226" s="73" t="s">
        <v>2635</v>
      </c>
      <c r="U1226" s="73">
        <v>5</v>
      </c>
      <c r="V1226" s="73">
        <v>0</v>
      </c>
      <c r="Y1226" s="73" t="b">
        <v>0</v>
      </c>
      <c r="Z1226" s="73" t="s">
        <v>4015</v>
      </c>
      <c r="AA1226" s="73" t="b">
        <v>1</v>
      </c>
      <c r="AD1226" s="73">
        <v>1.2058119773864699</v>
      </c>
      <c r="AE1226" s="73">
        <f t="shared" si="97"/>
        <v>1.2058119773864699</v>
      </c>
      <c r="AH1226" s="73">
        <f>AE1226+1.5</f>
        <v>2.7058119773864702</v>
      </c>
      <c r="AI1226" s="73">
        <v>1</v>
      </c>
      <c r="AL1226" s="152">
        <v>35</v>
      </c>
      <c r="BA1226" s="73">
        <v>140002</v>
      </c>
      <c r="BB1226" s="73">
        <v>102003005</v>
      </c>
      <c r="BC1226" s="73">
        <v>1.1000000000000001</v>
      </c>
      <c r="BF1226" s="73">
        <v>0</v>
      </c>
    </row>
    <row r="1227" spans="1:58" s="73" customFormat="1">
      <c r="A1227" s="73">
        <v>2100115</v>
      </c>
      <c r="C1227" s="73">
        <v>1</v>
      </c>
      <c r="E1227" s="73" t="s">
        <v>4016</v>
      </c>
      <c r="F1227" s="73" t="s">
        <v>4008</v>
      </c>
      <c r="G1227" s="73" t="str">
        <f>VLOOKUP(F1227,'#对话模型配置'!A:O,12,FALSE)</f>
        <v>TID_Dialogue_Character_11</v>
      </c>
      <c r="H1227" s="73" t="str">
        <f>VLOOKUP(F1227,'#对话模型配置'!A:O,14,FALSE)</f>
        <v>icon_newbie</v>
      </c>
      <c r="I1227" s="73" t="str">
        <f>VLOOKUP(F1227,'#对话模型配置'!A:O,15,FALSE)</f>
        <v>newbie_oversea_andrea</v>
      </c>
      <c r="J1227" s="73" t="s">
        <v>4017</v>
      </c>
      <c r="K1227" s="73" t="s">
        <v>4018</v>
      </c>
      <c r="U1227" s="73">
        <v>5</v>
      </c>
      <c r="V1227" s="73">
        <v>0</v>
      </c>
      <c r="Y1227" s="73" t="b">
        <v>0</v>
      </c>
      <c r="Z1227" s="73" t="s">
        <v>4019</v>
      </c>
      <c r="AA1227" s="73" t="b">
        <v>1</v>
      </c>
      <c r="AD1227" s="73">
        <v>3.1772289276122998</v>
      </c>
      <c r="AE1227" s="73">
        <f t="shared" si="97"/>
        <v>3.1772289276122998</v>
      </c>
      <c r="AH1227" s="73">
        <v>0.1</v>
      </c>
      <c r="AI1227" s="73">
        <v>0.5</v>
      </c>
      <c r="AL1227" s="152">
        <v>35</v>
      </c>
      <c r="BF1227" s="73">
        <v>0</v>
      </c>
    </row>
    <row r="1228" spans="1:58" s="73" customFormat="1">
      <c r="A1228" s="73">
        <v>2100116</v>
      </c>
      <c r="C1228" s="73">
        <v>1</v>
      </c>
      <c r="E1228" s="73" t="s">
        <v>4016</v>
      </c>
      <c r="F1228" s="73" t="s">
        <v>4008</v>
      </c>
      <c r="G1228" s="73" t="str">
        <f>VLOOKUP(F1228,'#对话模型配置'!A:O,12,FALSE)</f>
        <v>TID_Dialogue_Character_11</v>
      </c>
      <c r="H1228" s="73" t="str">
        <f>VLOOKUP(F1228,'#对话模型配置'!A:O,14,FALSE)</f>
        <v>icon_newbie</v>
      </c>
      <c r="I1228" s="73" t="str">
        <f>VLOOKUP(F1228,'#对话模型配置'!A:O,15,FALSE)</f>
        <v>newbie_oversea_andrea</v>
      </c>
      <c r="J1228" s="73" t="s">
        <v>4020</v>
      </c>
      <c r="K1228" s="73" t="s">
        <v>4021</v>
      </c>
      <c r="U1228" s="73">
        <v>5</v>
      </c>
      <c r="V1228" s="73">
        <v>0</v>
      </c>
      <c r="Y1228" s="73" t="b">
        <v>0</v>
      </c>
      <c r="Z1228" s="73" t="s">
        <v>4022</v>
      </c>
      <c r="AA1228" s="73" t="b">
        <v>1</v>
      </c>
      <c r="AD1228" s="73">
        <v>2.7957079410553001</v>
      </c>
      <c r="AE1228" s="73">
        <f t="shared" si="97"/>
        <v>2.7957079410553001</v>
      </c>
      <c r="AH1228" s="73">
        <v>0.1</v>
      </c>
      <c r="AI1228" s="73">
        <v>0.5</v>
      </c>
      <c r="AL1228" s="152">
        <v>35</v>
      </c>
      <c r="BF1228" s="73">
        <v>0</v>
      </c>
    </row>
    <row r="1229" spans="1:58" s="73" customFormat="1">
      <c r="A1229" s="73">
        <v>2100117</v>
      </c>
      <c r="C1229" s="73">
        <v>1</v>
      </c>
      <c r="E1229" s="73" t="s">
        <v>4016</v>
      </c>
      <c r="F1229" s="73" t="s">
        <v>4008</v>
      </c>
      <c r="G1229" s="73" t="str">
        <f>VLOOKUP(F1229,'#对话模型配置'!A:O,12,FALSE)</f>
        <v>TID_Dialogue_Character_11</v>
      </c>
      <c r="H1229" s="73" t="str">
        <f>VLOOKUP(F1229,'#对话模型配置'!A:O,14,FALSE)</f>
        <v>icon_newbie</v>
      </c>
      <c r="I1229" s="73" t="str">
        <f>VLOOKUP(F1229,'#对话模型配置'!A:O,15,FALSE)</f>
        <v>newbie_oversea_andrea</v>
      </c>
      <c r="J1229" s="73" t="s">
        <v>4023</v>
      </c>
      <c r="K1229" s="73" t="s">
        <v>4024</v>
      </c>
      <c r="U1229" s="73">
        <v>5</v>
      </c>
      <c r="V1229" s="73">
        <v>0</v>
      </c>
      <c r="Y1229" s="73" t="b">
        <v>0</v>
      </c>
      <c r="Z1229" s="73" t="s">
        <v>4025</v>
      </c>
      <c r="AA1229" s="73" t="b">
        <v>1</v>
      </c>
      <c r="AD1229" s="73">
        <v>3.8066670894622798</v>
      </c>
      <c r="AE1229" s="73">
        <f t="shared" si="97"/>
        <v>3.8066670894622798</v>
      </c>
      <c r="AH1229" s="73">
        <v>0.1</v>
      </c>
      <c r="AI1229" s="73">
        <v>0.5</v>
      </c>
      <c r="AL1229" s="152">
        <v>35</v>
      </c>
      <c r="BF1229" s="73">
        <v>0</v>
      </c>
    </row>
    <row r="1230" spans="1:58" s="73" customFormat="1">
      <c r="A1230" s="73">
        <v>2100118</v>
      </c>
      <c r="C1230" s="73">
        <v>1</v>
      </c>
      <c r="E1230" s="73" t="s">
        <v>4016</v>
      </c>
      <c r="F1230" s="73" t="s">
        <v>4008</v>
      </c>
      <c r="G1230" s="73" t="str">
        <f>VLOOKUP(F1230,'#对话模型配置'!A:O,12,FALSE)</f>
        <v>TID_Dialogue_Character_11</v>
      </c>
      <c r="H1230" s="73" t="str">
        <f>VLOOKUP(F1230,'#对话模型配置'!A:O,14,FALSE)</f>
        <v>icon_newbie</v>
      </c>
      <c r="I1230" s="73" t="str">
        <f>VLOOKUP(F1230,'#对话模型配置'!A:O,15,FALSE)</f>
        <v>newbie_oversea_andrea</v>
      </c>
      <c r="J1230" s="73" t="s">
        <v>4026</v>
      </c>
      <c r="K1230" s="73" t="s">
        <v>4027</v>
      </c>
      <c r="U1230" s="73">
        <v>5</v>
      </c>
      <c r="V1230" s="73">
        <v>0</v>
      </c>
      <c r="Y1230" s="73" t="b">
        <v>0</v>
      </c>
      <c r="Z1230" s="73" t="s">
        <v>4028</v>
      </c>
      <c r="AA1230" s="73" t="b">
        <v>1</v>
      </c>
      <c r="AD1230" s="73">
        <v>4.7225618362426802</v>
      </c>
      <c r="AE1230" s="73">
        <f t="shared" si="97"/>
        <v>4.7225618362426802</v>
      </c>
      <c r="AH1230" s="73">
        <v>0.1</v>
      </c>
      <c r="AI1230" s="73">
        <v>0.5</v>
      </c>
      <c r="AL1230" s="152">
        <v>35</v>
      </c>
      <c r="BF1230" s="73">
        <v>0</v>
      </c>
    </row>
    <row r="1231" spans="1:58" s="73" customFormat="1">
      <c r="A1231" s="73">
        <v>2100119</v>
      </c>
      <c r="C1231" s="73">
        <v>1</v>
      </c>
      <c r="E1231" s="73" t="s">
        <v>4016</v>
      </c>
      <c r="F1231" s="73" t="s">
        <v>4008</v>
      </c>
      <c r="G1231" s="73" t="str">
        <f>VLOOKUP(F1231,'#对话模型配置'!A:O,12,FALSE)</f>
        <v>TID_Dialogue_Character_11</v>
      </c>
      <c r="H1231" s="73" t="str">
        <f>VLOOKUP(F1231,'#对话模型配置'!A:O,14,FALSE)</f>
        <v>icon_newbie</v>
      </c>
      <c r="I1231" s="73" t="str">
        <f>VLOOKUP(F1231,'#对话模型配置'!A:O,15,FALSE)</f>
        <v>newbie_oversea_andrea</v>
      </c>
      <c r="J1231" s="73" t="s">
        <v>4029</v>
      </c>
      <c r="K1231" s="73" t="s">
        <v>4030</v>
      </c>
      <c r="U1231" s="73">
        <v>5</v>
      </c>
      <c r="V1231" s="73">
        <v>0</v>
      </c>
      <c r="Y1231" s="73" t="b">
        <v>0</v>
      </c>
      <c r="Z1231" s="73" t="s">
        <v>4031</v>
      </c>
      <c r="AA1231" s="73" t="b">
        <v>1</v>
      </c>
      <c r="AD1231" s="73">
        <v>6.0576667785644496</v>
      </c>
      <c r="AE1231" s="73">
        <f t="shared" si="97"/>
        <v>6.0576667785644496</v>
      </c>
      <c r="AH1231" s="73">
        <v>0.1</v>
      </c>
      <c r="AI1231" s="73">
        <v>0.5</v>
      </c>
      <c r="AL1231" s="152">
        <v>35</v>
      </c>
      <c r="BF1231" s="73">
        <v>0</v>
      </c>
    </row>
    <row r="1232" spans="1:58" s="73" customFormat="1">
      <c r="A1232" s="73">
        <v>2100120</v>
      </c>
      <c r="C1232" s="73">
        <v>1</v>
      </c>
      <c r="E1232" s="73" t="s">
        <v>4016</v>
      </c>
      <c r="F1232" s="73" t="s">
        <v>4008</v>
      </c>
      <c r="G1232" s="73" t="str">
        <f>VLOOKUP(F1232,'#对话模型配置'!A:O,12,FALSE)</f>
        <v>TID_Dialogue_Character_11</v>
      </c>
      <c r="H1232" s="73" t="str">
        <f>VLOOKUP(F1232,'#对话模型配置'!A:O,14,FALSE)</f>
        <v>icon_newbie</v>
      </c>
      <c r="I1232" s="73" t="str">
        <f>VLOOKUP(F1232,'#对话模型配置'!A:O,15,FALSE)</f>
        <v>newbie_oversea_andrea</v>
      </c>
      <c r="J1232" s="73" t="s">
        <v>4032</v>
      </c>
      <c r="K1232" s="73" t="s">
        <v>4033</v>
      </c>
      <c r="U1232" s="73">
        <v>5</v>
      </c>
      <c r="V1232" s="73">
        <v>0</v>
      </c>
      <c r="Y1232" s="73" t="b">
        <v>0</v>
      </c>
      <c r="Z1232" s="73" t="s">
        <v>4034</v>
      </c>
      <c r="AA1232" s="73" t="b">
        <v>1</v>
      </c>
      <c r="AD1232" s="73">
        <v>4.1687707901001003</v>
      </c>
      <c r="AE1232" s="73">
        <f t="shared" si="97"/>
        <v>4.1687707901001003</v>
      </c>
      <c r="AH1232" s="73">
        <v>0.1</v>
      </c>
      <c r="AI1232" s="73">
        <v>0.5</v>
      </c>
      <c r="AL1232" s="152">
        <v>35</v>
      </c>
      <c r="BF1232" s="73">
        <v>0</v>
      </c>
    </row>
    <row r="1233" spans="1:58" s="73" customFormat="1">
      <c r="A1233" s="73">
        <v>2100121</v>
      </c>
      <c r="C1233" s="73">
        <v>1</v>
      </c>
      <c r="E1233" s="73" t="s">
        <v>4016</v>
      </c>
      <c r="F1233" s="73" t="s">
        <v>4008</v>
      </c>
      <c r="G1233" s="73" t="str">
        <f>VLOOKUP(F1233,'#对话模型配置'!A:O,12,FALSE)</f>
        <v>TID_Dialogue_Character_11</v>
      </c>
      <c r="H1233" s="73" t="str">
        <f>VLOOKUP(F1233,'#对话模型配置'!A:O,14,FALSE)</f>
        <v>icon_newbie</v>
      </c>
      <c r="I1233" s="73" t="str">
        <f>VLOOKUP(F1233,'#对话模型配置'!A:O,15,FALSE)</f>
        <v>newbie_oversea_andrea</v>
      </c>
      <c r="J1233" s="73" t="s">
        <v>4035</v>
      </c>
      <c r="K1233" s="73" t="s">
        <v>4036</v>
      </c>
      <c r="U1233" s="73">
        <v>5</v>
      </c>
      <c r="V1233" s="73">
        <v>0</v>
      </c>
      <c r="Y1233" s="73" t="b">
        <v>0</v>
      </c>
      <c r="Z1233" s="73" t="s">
        <v>4037</v>
      </c>
      <c r="AA1233" s="73" t="b">
        <v>1</v>
      </c>
      <c r="AD1233" s="73">
        <v>5.9902081489562997</v>
      </c>
      <c r="AE1233" s="73">
        <f t="shared" si="97"/>
        <v>5.9902081489562997</v>
      </c>
      <c r="AH1233" s="73">
        <v>0.1</v>
      </c>
      <c r="AI1233" s="73">
        <v>0.5</v>
      </c>
      <c r="AL1233" s="152">
        <v>35</v>
      </c>
      <c r="BF1233" s="73">
        <v>0</v>
      </c>
    </row>
    <row r="1234" spans="1:58" s="73" customFormat="1">
      <c r="A1234" s="73">
        <v>2100122</v>
      </c>
      <c r="C1234" s="73">
        <v>1</v>
      </c>
      <c r="E1234" s="73" t="s">
        <v>4016</v>
      </c>
      <c r="F1234" s="73" t="s">
        <v>4008</v>
      </c>
      <c r="G1234" s="73" t="str">
        <f>VLOOKUP(F1234,'#对话模型配置'!A:O,12,FALSE)</f>
        <v>TID_Dialogue_Character_11</v>
      </c>
      <c r="H1234" s="73" t="str">
        <f>VLOOKUP(F1234,'#对话模型配置'!A:O,14,FALSE)</f>
        <v>icon_newbie</v>
      </c>
      <c r="I1234" s="73" t="str">
        <f>VLOOKUP(F1234,'#对话模型配置'!A:O,15,FALSE)</f>
        <v>newbie_oversea_andrea</v>
      </c>
      <c r="J1234" s="73" t="s">
        <v>4038</v>
      </c>
      <c r="K1234" s="73" t="s">
        <v>4039</v>
      </c>
      <c r="U1234" s="73">
        <v>5</v>
      </c>
      <c r="V1234" s="73">
        <v>0</v>
      </c>
      <c r="Y1234" s="73" t="b">
        <v>0</v>
      </c>
      <c r="Z1234" s="73" t="s">
        <v>4040</v>
      </c>
      <c r="AA1234" s="73" t="b">
        <v>1</v>
      </c>
      <c r="AD1234" s="73">
        <v>2.2536039352417001</v>
      </c>
      <c r="AE1234" s="73">
        <f t="shared" si="97"/>
        <v>2.2536039352417001</v>
      </c>
      <c r="AH1234" s="73">
        <v>0.1</v>
      </c>
      <c r="AI1234" s="73">
        <v>0.5</v>
      </c>
      <c r="AL1234" s="152">
        <v>35</v>
      </c>
      <c r="BF1234" s="73">
        <v>0</v>
      </c>
    </row>
    <row r="1235" spans="1:58" s="73" customFormat="1">
      <c r="A1235" s="73">
        <v>2100123</v>
      </c>
      <c r="C1235" s="73">
        <v>1</v>
      </c>
      <c r="E1235" s="73" t="s">
        <v>4016</v>
      </c>
      <c r="F1235" s="73" t="s">
        <v>4008</v>
      </c>
      <c r="G1235" s="73" t="str">
        <f>VLOOKUP(F1235,'#对话模型配置'!A:O,12,FALSE)</f>
        <v>TID_Dialogue_Character_11</v>
      </c>
      <c r="H1235" s="73" t="str">
        <f>VLOOKUP(F1235,'#对话模型配置'!A:O,14,FALSE)</f>
        <v>icon_newbie</v>
      </c>
      <c r="I1235" s="73" t="str">
        <f>VLOOKUP(F1235,'#对话模型配置'!A:O,15,FALSE)</f>
        <v>newbie_oversea_andrea</v>
      </c>
      <c r="J1235" s="73" t="s">
        <v>4041</v>
      </c>
      <c r="K1235" s="73" t="s">
        <v>4042</v>
      </c>
      <c r="U1235" s="73">
        <v>5</v>
      </c>
      <c r="V1235" s="73">
        <v>0</v>
      </c>
      <c r="Y1235" s="73" t="b">
        <v>0</v>
      </c>
      <c r="Z1235" s="73" t="s">
        <v>4043</v>
      </c>
      <c r="AA1235" s="73" t="b">
        <v>1</v>
      </c>
      <c r="AD1235" s="73">
        <v>5.3812708854675302</v>
      </c>
      <c r="AE1235" s="73">
        <f t="shared" si="97"/>
        <v>5.3812708854675302</v>
      </c>
      <c r="AH1235" s="73">
        <v>0.1</v>
      </c>
      <c r="AI1235" s="73">
        <v>0.5</v>
      </c>
      <c r="AL1235" s="152">
        <v>35</v>
      </c>
      <c r="BF1235" s="73">
        <v>0</v>
      </c>
    </row>
    <row r="1236" spans="1:58" s="73" customFormat="1">
      <c r="A1236" s="73">
        <v>2100124</v>
      </c>
      <c r="C1236" s="73">
        <v>1</v>
      </c>
      <c r="E1236" s="73" t="s">
        <v>4016</v>
      </c>
      <c r="F1236" s="73" t="s">
        <v>4008</v>
      </c>
      <c r="G1236" s="73" t="str">
        <f>VLOOKUP(F1236,'#对话模型配置'!A:O,12,FALSE)</f>
        <v>TID_Dialogue_Character_11</v>
      </c>
      <c r="H1236" s="73" t="str">
        <f>VLOOKUP(F1236,'#对话模型配置'!A:O,14,FALSE)</f>
        <v>icon_newbie</v>
      </c>
      <c r="I1236" s="73" t="str">
        <f>VLOOKUP(F1236,'#对话模型配置'!A:O,15,FALSE)</f>
        <v>newbie_oversea_andrea</v>
      </c>
      <c r="J1236" s="73" t="s">
        <v>4044</v>
      </c>
      <c r="K1236" s="73" t="s">
        <v>4045</v>
      </c>
      <c r="U1236" s="73">
        <v>5</v>
      </c>
      <c r="V1236" s="73">
        <v>0</v>
      </c>
      <c r="Y1236" s="73" t="b">
        <v>0</v>
      </c>
      <c r="Z1236" s="73" t="s">
        <v>4046</v>
      </c>
      <c r="AA1236" s="73" t="b">
        <v>1</v>
      </c>
      <c r="AD1236" s="73">
        <v>6.1098327636718697</v>
      </c>
      <c r="AE1236" s="73">
        <f t="shared" si="97"/>
        <v>6.1098327636718697</v>
      </c>
      <c r="AH1236" s="73">
        <v>0.1</v>
      </c>
      <c r="AI1236" s="73">
        <v>0.5</v>
      </c>
      <c r="AL1236" s="152">
        <v>35</v>
      </c>
      <c r="BF1236" s="73">
        <v>0</v>
      </c>
    </row>
    <row r="1237" spans="1:58" s="73" customFormat="1">
      <c r="A1237" s="73">
        <v>2100125</v>
      </c>
      <c r="C1237" s="73">
        <v>1</v>
      </c>
      <c r="E1237" s="73" t="s">
        <v>4016</v>
      </c>
      <c r="F1237" s="73" t="s">
        <v>2775</v>
      </c>
      <c r="G1237" s="73" t="str">
        <f>VLOOKUP(F1237,'#对话模型配置'!A:O,12,FALSE)</f>
        <v>TID_Name_tuerkan_CN_Main</v>
      </c>
      <c r="H1237" s="73" t="str">
        <f>VLOOKUP(F1237,'#对话模型配置'!A:O,14,FALSE)</f>
        <v>icon_newbie</v>
      </c>
      <c r="I1237" s="73" t="str">
        <f>VLOOKUP(F1237,'#对话模型配置'!A:O,15,FALSE)</f>
        <v>newbie_oversea_enemy</v>
      </c>
      <c r="J1237" s="73" t="s">
        <v>4047</v>
      </c>
      <c r="K1237" s="73" t="s">
        <v>3983</v>
      </c>
      <c r="U1237" s="73">
        <v>5</v>
      </c>
      <c r="V1237" s="73">
        <v>0</v>
      </c>
      <c r="Y1237" s="73" t="b">
        <v>0</v>
      </c>
      <c r="Z1237" s="73" t="s">
        <v>4048</v>
      </c>
      <c r="AA1237" s="73" t="b">
        <v>1</v>
      </c>
      <c r="AD1237" s="73">
        <v>4.5256671905517596</v>
      </c>
      <c r="AE1237" s="73">
        <f t="shared" si="97"/>
        <v>4.5256671905517596</v>
      </c>
      <c r="AH1237" s="73">
        <v>0.1</v>
      </c>
      <c r="AI1237" s="73">
        <v>0.5</v>
      </c>
      <c r="AL1237" s="152">
        <v>35</v>
      </c>
      <c r="BF1237" s="73">
        <v>0</v>
      </c>
    </row>
    <row r="1238" spans="1:58" s="73" customFormat="1">
      <c r="A1238" s="73">
        <v>2100125</v>
      </c>
      <c r="C1238" s="73">
        <v>2</v>
      </c>
      <c r="E1238" s="73" t="s">
        <v>4016</v>
      </c>
      <c r="F1238" s="73" t="s">
        <v>2775</v>
      </c>
      <c r="G1238" s="73" t="str">
        <f>VLOOKUP(F1238,'#对话模型配置'!A:O,12,FALSE)</f>
        <v>TID_Name_tuerkan_CN_Main</v>
      </c>
      <c r="H1238" s="73" t="str">
        <f>VLOOKUP(F1238,'#对话模型配置'!A:O,14,FALSE)</f>
        <v>icon_newbie</v>
      </c>
      <c r="I1238" s="73" t="str">
        <f>VLOOKUP(F1238,'#对话模型配置'!A:O,15,FALSE)</f>
        <v>newbie_oversea_enemy</v>
      </c>
      <c r="J1238" s="73" t="s">
        <v>4049</v>
      </c>
      <c r="K1238" s="73" t="s">
        <v>4050</v>
      </c>
      <c r="U1238" s="73">
        <v>5</v>
      </c>
      <c r="V1238" s="73">
        <v>0</v>
      </c>
      <c r="Y1238" s="73" t="b">
        <v>0</v>
      </c>
      <c r="Z1238" s="73" t="s">
        <v>4051</v>
      </c>
      <c r="AA1238" s="73" t="b">
        <v>1</v>
      </c>
      <c r="AD1238" s="73">
        <v>2.4776248931884801</v>
      </c>
      <c r="AE1238" s="73">
        <f t="shared" si="97"/>
        <v>2.4776248931884801</v>
      </c>
      <c r="AH1238" s="73">
        <v>0.1</v>
      </c>
      <c r="AI1238" s="73">
        <v>0.5</v>
      </c>
      <c r="AL1238" s="152">
        <v>35</v>
      </c>
      <c r="BF1238" s="73">
        <v>0</v>
      </c>
    </row>
    <row r="1239" spans="1:58" s="73" customFormat="1">
      <c r="A1239" s="73">
        <v>2100125</v>
      </c>
      <c r="C1239" s="73">
        <v>3</v>
      </c>
      <c r="E1239" s="73" t="s">
        <v>4016</v>
      </c>
      <c r="F1239" s="73" t="s">
        <v>2775</v>
      </c>
      <c r="G1239" s="73" t="str">
        <f>VLOOKUP(F1239,'#对话模型配置'!A:O,12,FALSE)</f>
        <v>TID_Name_tuerkan_CN_Main</v>
      </c>
      <c r="H1239" s="73" t="str">
        <f>VLOOKUP(F1239,'#对话模型配置'!A:O,14,FALSE)</f>
        <v>icon_newbie</v>
      </c>
      <c r="I1239" s="73" t="str">
        <f>VLOOKUP(F1239,'#对话模型配置'!A:O,15,FALSE)</f>
        <v>newbie_oversea_enemy</v>
      </c>
      <c r="J1239" s="73" t="s">
        <v>4052</v>
      </c>
      <c r="K1239" s="73" t="s">
        <v>4053</v>
      </c>
      <c r="U1239" s="73">
        <v>5</v>
      </c>
      <c r="V1239" s="73">
        <v>0</v>
      </c>
      <c r="Y1239" s="73" t="b">
        <v>0</v>
      </c>
      <c r="Z1239" s="73" t="s">
        <v>4054</v>
      </c>
      <c r="AA1239" s="73" t="b">
        <v>1</v>
      </c>
      <c r="AD1239" s="73">
        <v>2.5744578838348402</v>
      </c>
      <c r="AE1239" s="73">
        <f t="shared" si="97"/>
        <v>2.5744578838348402</v>
      </c>
      <c r="AH1239" s="73">
        <v>0.1</v>
      </c>
      <c r="AI1239" s="73">
        <v>0.5</v>
      </c>
      <c r="AL1239" s="152">
        <v>35</v>
      </c>
      <c r="BF1239" s="73">
        <v>0</v>
      </c>
    </row>
    <row r="1240" spans="1:58" s="73" customFormat="1">
      <c r="A1240" s="73">
        <v>2100128</v>
      </c>
      <c r="C1240" s="73">
        <v>1</v>
      </c>
      <c r="E1240" s="73" t="s">
        <v>4016</v>
      </c>
      <c r="F1240" s="73" t="s">
        <v>4008</v>
      </c>
      <c r="G1240" s="73" t="str">
        <f>VLOOKUP(F1240,'#对话模型配置'!A:O,12,FALSE)</f>
        <v>TID_Dialogue_Character_11</v>
      </c>
      <c r="H1240" s="73" t="str">
        <f>VLOOKUP(F1240,'#对话模型配置'!A:O,14,FALSE)</f>
        <v>icon_newbie</v>
      </c>
      <c r="I1240" s="73" t="str">
        <f>VLOOKUP(F1240,'#对话模型配置'!A:O,15,FALSE)</f>
        <v>newbie_oversea_andrea</v>
      </c>
      <c r="J1240" s="73" t="s">
        <v>4055</v>
      </c>
      <c r="K1240" s="73" t="s">
        <v>3985</v>
      </c>
      <c r="U1240" s="73">
        <v>5</v>
      </c>
      <c r="V1240" s="73">
        <v>0</v>
      </c>
      <c r="Y1240" s="73" t="b">
        <v>0</v>
      </c>
      <c r="Z1240" s="73" t="s">
        <v>4056</v>
      </c>
      <c r="AA1240" s="73" t="b">
        <v>1</v>
      </c>
      <c r="AD1240" s="73">
        <v>2.4993119239807098</v>
      </c>
      <c r="AE1240" s="73">
        <f t="shared" si="97"/>
        <v>2.4993119239807098</v>
      </c>
      <c r="AH1240" s="73">
        <v>0.1</v>
      </c>
      <c r="AI1240" s="73">
        <v>0.5</v>
      </c>
      <c r="AL1240" s="152">
        <v>35</v>
      </c>
      <c r="BF1240" s="73">
        <v>0</v>
      </c>
    </row>
    <row r="1241" spans="1:58" s="73" customFormat="1">
      <c r="A1241" s="73">
        <v>2100128</v>
      </c>
      <c r="C1241" s="73">
        <v>2</v>
      </c>
      <c r="E1241" s="73" t="s">
        <v>4016</v>
      </c>
      <c r="F1241" s="73" t="s">
        <v>3002</v>
      </c>
      <c r="G1241" s="73" t="str">
        <f>VLOOKUP(F1241,'#对话模型配置'!A:O,12,FALSE)</f>
        <v>TID_Name_manzushibing_CN_Main</v>
      </c>
      <c r="H1241" s="73" t="str">
        <f>VLOOKUP(F1241,'#对话模型配置'!A:O,14,FALSE)</f>
        <v>icon_newbie</v>
      </c>
      <c r="I1241" s="73" t="str">
        <f>VLOOKUP(F1241,'#对话模型配置'!A:O,15,FALSE)</f>
        <v>newbie_oversea_enemy</v>
      </c>
      <c r="J1241" s="73" t="s">
        <v>4057</v>
      </c>
      <c r="K1241" s="73" t="s">
        <v>4058</v>
      </c>
      <c r="U1241" s="73">
        <v>5</v>
      </c>
      <c r="V1241" s="73">
        <v>0</v>
      </c>
      <c r="Y1241" s="73" t="b">
        <v>0</v>
      </c>
      <c r="Z1241" s="73" t="s">
        <v>4059</v>
      </c>
      <c r="AA1241" s="73" t="b">
        <v>1</v>
      </c>
      <c r="AD1241" s="73">
        <v>3.93539595603943</v>
      </c>
      <c r="AE1241" s="73">
        <f t="shared" si="97"/>
        <v>3.93539595603943</v>
      </c>
      <c r="AH1241" s="73">
        <v>0.1</v>
      </c>
      <c r="AI1241" s="73">
        <v>0.5</v>
      </c>
      <c r="AL1241" s="152">
        <v>35</v>
      </c>
      <c r="BF1241" s="73">
        <v>0</v>
      </c>
    </row>
    <row r="1242" spans="1:58" s="73" customFormat="1">
      <c r="A1242" s="73">
        <v>2100134</v>
      </c>
      <c r="C1242" s="73">
        <v>1</v>
      </c>
      <c r="E1242" s="73" t="s">
        <v>4016</v>
      </c>
      <c r="F1242" s="73" t="s">
        <v>2633</v>
      </c>
      <c r="G1242" s="73" t="str">
        <f>VLOOKUP(F1242,'#对话模型配置'!A:O,12,FALSE)</f>
        <v>TID_DialogueConf_1060001_name_CN_Main</v>
      </c>
      <c r="H1242" s="73" t="str">
        <f>VLOOKUP(F1242,'#对话模型配置'!A:O,14,FALSE)</f>
        <v>icon_newbie</v>
      </c>
      <c r="I1242" s="73" t="str">
        <f>VLOOKUP(F1242,'#对话模型配置'!A:O,15,FALSE)</f>
        <v>newbie_oversea_axe</v>
      </c>
      <c r="J1242" s="73" t="s">
        <v>4060</v>
      </c>
      <c r="K1242" s="73" t="s">
        <v>4061</v>
      </c>
      <c r="U1242" s="73">
        <v>5</v>
      </c>
      <c r="V1242" s="73">
        <v>0</v>
      </c>
      <c r="Y1242" s="73" t="b">
        <v>0</v>
      </c>
      <c r="Z1242" s="73" t="s">
        <v>4062</v>
      </c>
      <c r="AA1242" s="73" t="b">
        <v>1</v>
      </c>
      <c r="AD1242" s="73">
        <v>4.31937503814697</v>
      </c>
      <c r="AE1242" s="73">
        <f t="shared" si="97"/>
        <v>4.31937503814697</v>
      </c>
      <c r="AH1242" s="73">
        <v>0.1</v>
      </c>
      <c r="AI1242" s="73">
        <v>0.5</v>
      </c>
      <c r="AL1242" s="152">
        <v>35</v>
      </c>
      <c r="BF1242" s="73">
        <v>0</v>
      </c>
    </row>
    <row r="1243" spans="1:58" s="73" customFormat="1">
      <c r="A1243" s="73">
        <v>2100134</v>
      </c>
      <c r="C1243" s="73">
        <v>2</v>
      </c>
      <c r="E1243" s="73" t="s">
        <v>4016</v>
      </c>
      <c r="F1243" s="73" t="s">
        <v>4008</v>
      </c>
      <c r="G1243" s="73" t="str">
        <f>VLOOKUP(F1243,'#对话模型配置'!A:O,12,FALSE)</f>
        <v>TID_Dialogue_Character_11</v>
      </c>
      <c r="H1243" s="73" t="str">
        <f>VLOOKUP(F1243,'#对话模型配置'!A:O,14,FALSE)</f>
        <v>icon_newbie</v>
      </c>
      <c r="I1243" s="73" t="str">
        <f>VLOOKUP(F1243,'#对话模型配置'!A:O,15,FALSE)</f>
        <v>newbie_oversea_andrea</v>
      </c>
      <c r="J1243" s="73" t="s">
        <v>4063</v>
      </c>
      <c r="K1243" s="73" t="s">
        <v>4064</v>
      </c>
      <c r="U1243" s="73">
        <v>5</v>
      </c>
      <c r="V1243" s="73">
        <v>0</v>
      </c>
      <c r="Y1243" s="73" t="b">
        <v>0</v>
      </c>
      <c r="Z1243" s="73" t="s">
        <v>4065</v>
      </c>
      <c r="AA1243" s="73" t="b">
        <v>1</v>
      </c>
      <c r="AD1243" s="73">
        <v>1.17799997329712</v>
      </c>
      <c r="AE1243" s="73">
        <f t="shared" si="97"/>
        <v>1.17799997329712</v>
      </c>
      <c r="AH1243" s="73">
        <v>0.1</v>
      </c>
      <c r="AI1243" s="73">
        <v>0.5</v>
      </c>
      <c r="AL1243" s="152">
        <v>35</v>
      </c>
      <c r="BF1243" s="73">
        <v>0</v>
      </c>
    </row>
    <row r="1244" spans="1:58" s="73" customFormat="1">
      <c r="A1244" s="73">
        <v>2100136</v>
      </c>
      <c r="C1244" s="73">
        <v>1</v>
      </c>
      <c r="E1244" s="73" t="s">
        <v>4016</v>
      </c>
      <c r="F1244" s="73" t="s">
        <v>2633</v>
      </c>
      <c r="G1244" s="73" t="str">
        <f>VLOOKUP(F1244,'#对话模型配置'!A:O,12,FALSE)</f>
        <v>TID_DialogueConf_1060001_name_CN_Main</v>
      </c>
      <c r="H1244" s="73" t="str">
        <f>VLOOKUP(F1244,'#对话模型配置'!A:O,14,FALSE)</f>
        <v>icon_newbie</v>
      </c>
      <c r="I1244" s="73" t="str">
        <f>VLOOKUP(F1244,'#对话模型配置'!A:O,15,FALSE)</f>
        <v>newbie_oversea_axe</v>
      </c>
      <c r="J1244" s="73" t="s">
        <v>3999</v>
      </c>
      <c r="K1244" s="73" t="s">
        <v>4000</v>
      </c>
      <c r="U1244" s="73">
        <v>5</v>
      </c>
      <c r="V1244" s="73">
        <v>0</v>
      </c>
      <c r="Y1244" s="73" t="b">
        <v>0</v>
      </c>
      <c r="Z1244" s="73" t="s">
        <v>4066</v>
      </c>
      <c r="AA1244" s="73" t="b">
        <v>1</v>
      </c>
      <c r="AD1244" s="73">
        <v>7.9742288589477504</v>
      </c>
      <c r="AE1244" s="73">
        <v>9.4742288589477504</v>
      </c>
      <c r="AH1244" s="73">
        <v>0.1</v>
      </c>
      <c r="AI1244" s="73">
        <v>0.5</v>
      </c>
      <c r="AL1244" s="152">
        <v>35</v>
      </c>
      <c r="BF1244" s="73">
        <v>0</v>
      </c>
    </row>
    <row r="1245" spans="1:58" s="73" customFormat="1">
      <c r="A1245" s="73">
        <v>2100137</v>
      </c>
      <c r="C1245" s="73">
        <v>1</v>
      </c>
      <c r="E1245" s="73" t="s">
        <v>4016</v>
      </c>
      <c r="F1245" s="73" t="s">
        <v>2633</v>
      </c>
      <c r="G1245" s="73" t="str">
        <f>VLOOKUP(F1245,'#对话模型配置'!A:O,12,FALSE)</f>
        <v>TID_DialogueConf_1060001_name_CN_Main</v>
      </c>
      <c r="H1245" s="73" t="str">
        <f>VLOOKUP(F1245,'#对话模型配置'!A:O,14,FALSE)</f>
        <v>icon_newbie</v>
      </c>
      <c r="I1245" s="73" t="str">
        <f>VLOOKUP(F1245,'#对话模型配置'!A:O,15,FALSE)</f>
        <v>newbie_oversea_axe</v>
      </c>
      <c r="J1245" s="73" t="s">
        <v>4001</v>
      </c>
      <c r="K1245" s="73" t="s">
        <v>4002</v>
      </c>
      <c r="U1245" s="73">
        <v>5</v>
      </c>
      <c r="V1245" s="73">
        <v>0</v>
      </c>
      <c r="Y1245" s="73" t="b">
        <v>0</v>
      </c>
      <c r="Z1245" s="73" t="s">
        <v>4067</v>
      </c>
      <c r="AA1245" s="73" t="b">
        <v>1</v>
      </c>
      <c r="AD1245" s="73">
        <v>4.7851881980895996</v>
      </c>
      <c r="AE1245" s="73">
        <v>6.7851881980895996</v>
      </c>
      <c r="AH1245" s="73">
        <v>0.1</v>
      </c>
      <c r="AI1245" s="73">
        <v>0.5</v>
      </c>
      <c r="AL1245" s="152">
        <v>35</v>
      </c>
      <c r="BF1245" s="73">
        <v>0</v>
      </c>
    </row>
    <row r="1246" spans="1:58" s="73" customFormat="1">
      <c r="A1246" s="73">
        <v>2100138</v>
      </c>
      <c r="C1246" s="73">
        <v>1</v>
      </c>
      <c r="E1246" s="73" t="s">
        <v>4016</v>
      </c>
      <c r="F1246" s="73" t="s">
        <v>2633</v>
      </c>
      <c r="G1246" s="73" t="str">
        <f>VLOOKUP(F1246,'#对话模型配置'!A:O,12,FALSE)</f>
        <v>TID_DialogueConf_1060001_name_CN_Main</v>
      </c>
      <c r="H1246" s="73" t="str">
        <f>VLOOKUP(F1246,'#对话模型配置'!A:O,14,FALSE)</f>
        <v>icon_newbie</v>
      </c>
      <c r="I1246" s="73" t="str">
        <f>VLOOKUP(F1246,'#对话模型配置'!A:O,15,FALSE)</f>
        <v>newbie_oversea_axe</v>
      </c>
      <c r="J1246" s="73" t="s">
        <v>4003</v>
      </c>
      <c r="K1246" s="73" t="s">
        <v>4004</v>
      </c>
      <c r="U1246" s="73">
        <v>5</v>
      </c>
      <c r="V1246" s="73">
        <v>0</v>
      </c>
      <c r="Y1246" s="73" t="b">
        <v>0</v>
      </c>
      <c r="Z1246" s="73" t="s">
        <v>4068</v>
      </c>
      <c r="AA1246" s="73" t="b">
        <v>1</v>
      </c>
      <c r="AD1246" s="73">
        <v>4.7704381942748997</v>
      </c>
      <c r="AE1246" s="73">
        <v>6.7704381942748997</v>
      </c>
      <c r="AH1246" s="73">
        <v>0.1</v>
      </c>
      <c r="AI1246" s="73">
        <v>0.5</v>
      </c>
      <c r="AL1246" s="152">
        <v>35</v>
      </c>
      <c r="BF1246" s="73">
        <v>0</v>
      </c>
    </row>
    <row r="1247" spans="1:58" s="73" customFormat="1">
      <c r="A1247" s="73">
        <v>2100139</v>
      </c>
      <c r="C1247" s="73">
        <v>1</v>
      </c>
      <c r="E1247" s="73" t="s">
        <v>4016</v>
      </c>
      <c r="F1247" s="73" t="s">
        <v>4008</v>
      </c>
      <c r="G1247" s="73" t="str">
        <f>VLOOKUP(F1247,'#对话模型配置'!A:O,12,FALSE)</f>
        <v>TID_Dialogue_Character_11</v>
      </c>
      <c r="H1247" s="73" t="str">
        <f>VLOOKUP(F1247,'#对话模型配置'!A:O,14,FALSE)</f>
        <v>icon_newbie</v>
      </c>
      <c r="I1247" s="73" t="str">
        <f>VLOOKUP(F1247,'#对话模型配置'!A:O,15,FALSE)</f>
        <v>newbie_oversea_andrea</v>
      </c>
      <c r="J1247" s="73" t="s">
        <v>4069</v>
      </c>
      <c r="K1247" s="73" t="s">
        <v>4070</v>
      </c>
      <c r="U1247" s="73">
        <v>5</v>
      </c>
      <c r="V1247" s="73">
        <v>0</v>
      </c>
      <c r="Y1247" s="73" t="b">
        <v>0</v>
      </c>
      <c r="Z1247" s="73" t="s">
        <v>4071</v>
      </c>
      <c r="AA1247" s="73" t="b">
        <v>1</v>
      </c>
      <c r="AD1247" s="73">
        <v>3.7198960781097399</v>
      </c>
      <c r="AE1247" s="73">
        <f t="shared" ref="AE1247:AE1260" si="98">AD1247</f>
        <v>3.7198960781097399</v>
      </c>
      <c r="AH1247" s="73">
        <v>0.1</v>
      </c>
      <c r="AI1247" s="73">
        <v>0.5</v>
      </c>
      <c r="AL1247" s="152">
        <v>35</v>
      </c>
      <c r="BF1247" s="73">
        <v>0</v>
      </c>
    </row>
    <row r="1248" spans="1:58" s="73" customFormat="1">
      <c r="A1248" s="73">
        <v>2100139</v>
      </c>
      <c r="C1248" s="73">
        <v>2</v>
      </c>
      <c r="E1248" s="73" t="s">
        <v>4016</v>
      </c>
      <c r="F1248" s="73" t="s">
        <v>2633</v>
      </c>
      <c r="G1248" s="73" t="str">
        <f>VLOOKUP(F1248,'#对话模型配置'!A:O,12,FALSE)</f>
        <v>TID_DialogueConf_1060001_name_CN_Main</v>
      </c>
      <c r="H1248" s="73" t="str">
        <f>VLOOKUP(F1248,'#对话模型配置'!A:O,14,FALSE)</f>
        <v>icon_newbie</v>
      </c>
      <c r="I1248" s="73" t="str">
        <f>VLOOKUP(F1248,'#对话模型配置'!A:O,15,FALSE)</f>
        <v>newbie_oversea_axe</v>
      </c>
      <c r="J1248" s="73" t="s">
        <v>4072</v>
      </c>
      <c r="K1248" s="73" t="s">
        <v>4073</v>
      </c>
      <c r="U1248" s="73">
        <v>5</v>
      </c>
      <c r="V1248" s="73">
        <v>0</v>
      </c>
      <c r="Y1248" s="73" t="b">
        <v>0</v>
      </c>
      <c r="Z1248" s="73" t="s">
        <v>4074</v>
      </c>
      <c r="AA1248" s="73" t="b">
        <v>1</v>
      </c>
      <c r="AD1248" s="73">
        <v>4.8540630340576199</v>
      </c>
      <c r="AE1248" s="73">
        <f t="shared" si="98"/>
        <v>4.8540630340576199</v>
      </c>
      <c r="AH1248" s="73">
        <v>0.1</v>
      </c>
      <c r="AI1248" s="73">
        <v>0.5</v>
      </c>
      <c r="AL1248" s="152">
        <v>35</v>
      </c>
      <c r="BF1248" s="73">
        <v>0</v>
      </c>
    </row>
    <row r="1249" spans="1:58" s="73" customFormat="1">
      <c r="A1249" s="73">
        <v>2100141</v>
      </c>
      <c r="C1249" s="73">
        <v>1</v>
      </c>
      <c r="E1249" s="73" t="s">
        <v>4016</v>
      </c>
      <c r="F1249" s="73" t="s">
        <v>4008</v>
      </c>
      <c r="G1249" s="73" t="str">
        <f>VLOOKUP(F1249,'#对话模型配置'!A:O,12,FALSE)</f>
        <v>TID_Dialogue_Character_11</v>
      </c>
      <c r="H1249" s="73" t="str">
        <f>VLOOKUP(F1249,'#对话模型配置'!A:O,14,FALSE)</f>
        <v>icon_newbie</v>
      </c>
      <c r="I1249" s="73" t="str">
        <f>VLOOKUP(F1249,'#对话模型配置'!A:O,15,FALSE)</f>
        <v>newbie_oversea_andrea</v>
      </c>
      <c r="J1249" s="73" t="s">
        <v>4075</v>
      </c>
      <c r="K1249" s="73" t="s">
        <v>4076</v>
      </c>
      <c r="U1249" s="73">
        <v>5</v>
      </c>
      <c r="V1249" s="73">
        <v>0</v>
      </c>
      <c r="Y1249" s="73" t="b">
        <v>0</v>
      </c>
      <c r="Z1249" s="73" t="s">
        <v>4077</v>
      </c>
      <c r="AA1249" s="73" t="b">
        <v>1</v>
      </c>
      <c r="AD1249" s="73">
        <v>4.2851881980895996</v>
      </c>
      <c r="AE1249" s="73">
        <f t="shared" si="98"/>
        <v>4.2851881980895996</v>
      </c>
      <c r="AH1249" s="73">
        <v>0.1</v>
      </c>
      <c r="AI1249" s="73">
        <v>0.5</v>
      </c>
      <c r="AL1249" s="152">
        <v>35</v>
      </c>
      <c r="BF1249" s="73">
        <v>0</v>
      </c>
    </row>
    <row r="1250" spans="1:58" s="73" customFormat="1">
      <c r="A1250" s="73">
        <v>2100142</v>
      </c>
      <c r="C1250" s="73">
        <v>1</v>
      </c>
      <c r="E1250" s="73" t="s">
        <v>4016</v>
      </c>
      <c r="F1250" s="73" t="s">
        <v>2768</v>
      </c>
      <c r="G1250" s="73" t="str">
        <f>VLOOKUP(F1250,'#对话模型配置'!A:O,12,FALSE)</f>
        <v>TID_Name_mengduke_CN_Main</v>
      </c>
      <c r="H1250" s="73" t="str">
        <f>VLOOKUP(F1250,'#对话模型配置'!A:O,14,FALSE)</f>
        <v>icon_newbie</v>
      </c>
      <c r="I1250" s="73" t="str">
        <f>VLOOKUP(F1250,'#对话模型配置'!A:O,15,FALSE)</f>
        <v>newbie_oversea_monduk</v>
      </c>
      <c r="J1250" s="73" t="s">
        <v>4078</v>
      </c>
      <c r="K1250" s="73" t="s">
        <v>4079</v>
      </c>
      <c r="U1250" s="73">
        <v>5</v>
      </c>
      <c r="V1250" s="73">
        <v>0</v>
      </c>
      <c r="Y1250" s="73" t="b">
        <v>0</v>
      </c>
      <c r="Z1250" s="73" t="s">
        <v>4080</v>
      </c>
      <c r="AA1250" s="73" t="b">
        <v>1</v>
      </c>
      <c r="AD1250" s="73">
        <v>3.69666695594788</v>
      </c>
      <c r="AE1250" s="73">
        <f t="shared" si="98"/>
        <v>3.69666695594788</v>
      </c>
      <c r="AH1250" s="73">
        <v>0.1</v>
      </c>
      <c r="AI1250" s="73">
        <v>0.5</v>
      </c>
      <c r="AL1250" s="152">
        <v>35</v>
      </c>
      <c r="BF1250" s="73">
        <v>0</v>
      </c>
    </row>
    <row r="1251" spans="1:58" s="73" customFormat="1">
      <c r="A1251" s="73">
        <v>2100143</v>
      </c>
      <c r="C1251" s="73">
        <v>1</v>
      </c>
      <c r="E1251" s="73" t="s">
        <v>4016</v>
      </c>
      <c r="F1251" s="73" t="s">
        <v>2768</v>
      </c>
      <c r="G1251" s="73" t="str">
        <f>VLOOKUP(F1251,'#对话模型配置'!A:O,12,FALSE)</f>
        <v>TID_Name_mengduke_CN_Main</v>
      </c>
      <c r="H1251" s="73" t="str">
        <f>VLOOKUP(F1251,'#对话模型配置'!A:O,14,FALSE)</f>
        <v>icon_newbie</v>
      </c>
      <c r="I1251" s="73" t="str">
        <f>VLOOKUP(F1251,'#对话模型配置'!A:O,15,FALSE)</f>
        <v>newbie_oversea_monduk</v>
      </c>
      <c r="J1251" s="73" t="s">
        <v>4081</v>
      </c>
      <c r="K1251" s="73" t="s">
        <v>4082</v>
      </c>
      <c r="U1251" s="73">
        <v>5</v>
      </c>
      <c r="V1251" s="73">
        <v>0</v>
      </c>
      <c r="Y1251" s="73" t="b">
        <v>0</v>
      </c>
      <c r="Z1251" s="73" t="s">
        <v>4083</v>
      </c>
      <c r="AA1251" s="73" t="b">
        <v>1</v>
      </c>
      <c r="AD1251" s="73">
        <v>8.2558746337890607</v>
      </c>
      <c r="AE1251" s="73">
        <f t="shared" si="98"/>
        <v>8.2558746337890607</v>
      </c>
      <c r="AH1251" s="73">
        <v>0.1</v>
      </c>
      <c r="AI1251" s="73">
        <v>0.5</v>
      </c>
      <c r="AL1251" s="152">
        <v>35</v>
      </c>
      <c r="BF1251" s="73">
        <v>1</v>
      </c>
    </row>
    <row r="1252" spans="1:58" s="73" customFormat="1">
      <c r="A1252" s="73">
        <v>2100058</v>
      </c>
      <c r="C1252" s="73">
        <v>1</v>
      </c>
      <c r="E1252" s="73" t="s">
        <v>4005</v>
      </c>
      <c r="F1252" s="73" t="s">
        <v>2633</v>
      </c>
      <c r="G1252" s="73" t="str">
        <f>VLOOKUP(F1252,'#对话模型配置'!A:O,12,FALSE)</f>
        <v>TID_DialogueConf_1060001_name_CN_Main</v>
      </c>
      <c r="H1252" s="73" t="str">
        <f>VLOOKUP(F1252,'#对话模型配置'!A:O,14,FALSE)</f>
        <v>icon_newbie</v>
      </c>
      <c r="I1252" s="73" t="str">
        <f>VLOOKUP(F1252,'#对话模型配置'!A:O,15,FALSE)</f>
        <v>newbie_oversea_axe</v>
      </c>
      <c r="J1252" s="73" t="s">
        <v>4084</v>
      </c>
      <c r="K1252" s="73" t="s">
        <v>4085</v>
      </c>
      <c r="U1252" s="73">
        <v>5</v>
      </c>
      <c r="V1252" s="73">
        <v>0</v>
      </c>
      <c r="Y1252" s="73" t="b">
        <v>0</v>
      </c>
      <c r="AA1252" s="73" t="b">
        <v>1</v>
      </c>
      <c r="AD1252" s="73">
        <v>5</v>
      </c>
      <c r="AE1252" s="73">
        <f t="shared" si="98"/>
        <v>5</v>
      </c>
      <c r="AH1252" s="73">
        <f>AE1252+1.5</f>
        <v>6.5</v>
      </c>
      <c r="AI1252" s="73">
        <v>1</v>
      </c>
      <c r="AL1252" s="152">
        <v>25</v>
      </c>
      <c r="BA1252" s="73">
        <v>140002</v>
      </c>
      <c r="BB1252" s="73">
        <v>102003005</v>
      </c>
      <c r="BC1252" s="73">
        <v>1.1000000000000001</v>
      </c>
      <c r="BF1252" s="73">
        <v>0</v>
      </c>
    </row>
    <row r="1253" spans="1:58" s="73" customFormat="1">
      <c r="A1253" s="73">
        <v>2100144</v>
      </c>
      <c r="C1253" s="73">
        <v>1</v>
      </c>
      <c r="E1253" s="73" t="s">
        <v>4016</v>
      </c>
      <c r="F1253" s="73" t="s">
        <v>2768</v>
      </c>
      <c r="G1253" s="73" t="str">
        <f>VLOOKUP(F1253,'#对话模型配置'!A:O,12,FALSE)</f>
        <v>TID_Name_mengduke_CN_Main</v>
      </c>
      <c r="H1253" s="73" t="str">
        <f>VLOOKUP(F1253,'#对话模型配置'!A:O,14,FALSE)</f>
        <v>icon_newbie</v>
      </c>
      <c r="I1253" s="73" t="str">
        <f>VLOOKUP(F1253,'#对话模型配置'!A:O,15,FALSE)</f>
        <v>newbie_oversea_monduk</v>
      </c>
      <c r="J1253" s="73" t="s">
        <v>4086</v>
      </c>
      <c r="K1253" s="73" t="s">
        <v>4087</v>
      </c>
      <c r="U1253" s="73">
        <v>5</v>
      </c>
      <c r="V1253" s="73">
        <v>0</v>
      </c>
      <c r="Y1253" s="73" t="b">
        <v>0</v>
      </c>
      <c r="Z1253" s="73" t="s">
        <v>4088</v>
      </c>
      <c r="AA1253" s="73" t="b">
        <v>1</v>
      </c>
      <c r="AD1253" s="73">
        <v>8.0623750686645508</v>
      </c>
      <c r="AE1253" s="73">
        <f t="shared" si="98"/>
        <v>8.0623750686645508</v>
      </c>
      <c r="AH1253" s="73">
        <v>0.1</v>
      </c>
      <c r="AI1253" s="73">
        <v>0.5</v>
      </c>
      <c r="AL1253" s="152">
        <v>35</v>
      </c>
      <c r="BF1253" s="73">
        <v>1</v>
      </c>
    </row>
    <row r="1254" spans="1:58" s="73" customFormat="1">
      <c r="A1254" s="73">
        <v>2100075</v>
      </c>
      <c r="C1254" s="73">
        <v>1</v>
      </c>
      <c r="E1254" s="73" t="s">
        <v>4005</v>
      </c>
      <c r="F1254" s="73" t="s">
        <v>2663</v>
      </c>
      <c r="G1254" s="73" t="str">
        <f>VLOOKUP(F1254,'#对话模型配置'!A:O,12,FALSE)</f>
        <v>TID_DialogueConf_1060607_name_CN_Main</v>
      </c>
      <c r="H1254" s="73" t="str">
        <f>VLOOKUP(F1254,'#对话模型配置'!A:O,14,FALSE)</f>
        <v>icon_newbie</v>
      </c>
      <c r="I1254" s="73" t="str">
        <f>VLOOKUP(F1254,'#对话模型配置'!A:O,15,FALSE)</f>
        <v>newbie_oversea_enemy</v>
      </c>
      <c r="J1254" s="73" t="s">
        <v>4089</v>
      </c>
      <c r="K1254" s="73" t="s">
        <v>4090</v>
      </c>
      <c r="U1254" s="73">
        <v>5</v>
      </c>
      <c r="V1254" s="73">
        <v>0</v>
      </c>
      <c r="Y1254" s="73" t="b">
        <v>0</v>
      </c>
      <c r="Z1254" s="73" t="s">
        <v>4091</v>
      </c>
      <c r="AA1254" s="73" t="b">
        <v>1</v>
      </c>
      <c r="AD1254" s="73">
        <v>4.8639578819274902</v>
      </c>
      <c r="AE1254" s="73">
        <f t="shared" si="98"/>
        <v>4.8639578819274902</v>
      </c>
      <c r="AH1254" s="73">
        <f>AE1254+1.5</f>
        <v>6.3639578819274902</v>
      </c>
      <c r="AI1254" s="73">
        <v>1</v>
      </c>
      <c r="AL1254" s="152">
        <v>25</v>
      </c>
      <c r="BF1254" s="73">
        <v>1</v>
      </c>
    </row>
    <row r="1255" spans="1:58" s="73" customFormat="1">
      <c r="A1255" s="73">
        <v>2100076</v>
      </c>
      <c r="C1255" s="73">
        <v>1</v>
      </c>
      <c r="E1255" s="73" t="s">
        <v>4005</v>
      </c>
      <c r="F1255" s="73" t="s">
        <v>2663</v>
      </c>
      <c r="G1255" s="73" t="str">
        <f>VLOOKUP(F1255,'#对话模型配置'!A:O,12,FALSE)</f>
        <v>TID_DialogueConf_1060607_name_CN_Main</v>
      </c>
      <c r="H1255" s="73" t="str">
        <f>VLOOKUP(F1255,'#对话模型配置'!A:O,14,FALSE)</f>
        <v>icon_newbie</v>
      </c>
      <c r="I1255" s="73" t="str">
        <f>VLOOKUP(F1255,'#对话模型配置'!A:O,15,FALSE)</f>
        <v>newbie_oversea_enemy</v>
      </c>
      <c r="J1255" s="73" t="s">
        <v>4092</v>
      </c>
      <c r="K1255" s="73" t="s">
        <v>4093</v>
      </c>
      <c r="U1255" s="73">
        <v>5</v>
      </c>
      <c r="V1255" s="73">
        <v>0</v>
      </c>
      <c r="Y1255" s="73" t="b">
        <v>0</v>
      </c>
      <c r="Z1255" s="73" t="s">
        <v>4094</v>
      </c>
      <c r="AA1255" s="73" t="b">
        <v>1</v>
      </c>
      <c r="AD1255" s="73">
        <v>6.7893118858337402</v>
      </c>
      <c r="AE1255" s="73">
        <f t="shared" si="98"/>
        <v>6.7893118858337402</v>
      </c>
      <c r="AH1255" s="73">
        <f>AE1255+1.5</f>
        <v>8.2893118858337402</v>
      </c>
      <c r="AI1255" s="73">
        <v>1</v>
      </c>
      <c r="AL1255" s="152">
        <v>25</v>
      </c>
      <c r="BF1255" s="73">
        <v>1</v>
      </c>
    </row>
    <row r="1256" spans="1:58" s="73" customFormat="1">
      <c r="A1256" s="73">
        <v>2100077</v>
      </c>
      <c r="C1256" s="73">
        <v>1</v>
      </c>
      <c r="E1256" s="73" t="s">
        <v>4005</v>
      </c>
      <c r="F1256" s="73" t="s">
        <v>2663</v>
      </c>
      <c r="G1256" s="73" t="str">
        <f>VLOOKUP(F1256,'#对话模型配置'!A:O,12,FALSE)</f>
        <v>TID_DialogueConf_1060607_name_CN_Main</v>
      </c>
      <c r="H1256" s="73" t="str">
        <f>VLOOKUP(F1256,'#对话模型配置'!A:O,14,FALSE)</f>
        <v>icon_newbie</v>
      </c>
      <c r="I1256" s="73" t="str">
        <f>VLOOKUP(F1256,'#对话模型配置'!A:O,15,FALSE)</f>
        <v>newbie_oversea_enemy</v>
      </c>
      <c r="J1256" s="73" t="s">
        <v>4095</v>
      </c>
      <c r="K1256" s="73" t="s">
        <v>4096</v>
      </c>
      <c r="U1256" s="73">
        <v>5</v>
      </c>
      <c r="V1256" s="73">
        <v>0</v>
      </c>
      <c r="Y1256" s="73" t="b">
        <v>0</v>
      </c>
      <c r="Z1256" s="73" t="s">
        <v>4097</v>
      </c>
      <c r="AA1256" s="73" t="b">
        <v>1</v>
      </c>
      <c r="AD1256" s="73">
        <v>3.2917919158935498</v>
      </c>
      <c r="AE1256" s="73">
        <f t="shared" si="98"/>
        <v>3.2917919158935498</v>
      </c>
      <c r="AH1256" s="73">
        <f>AE1256+1.5</f>
        <v>4.7917919158935494</v>
      </c>
      <c r="AI1256" s="73">
        <v>1</v>
      </c>
      <c r="AL1256" s="152">
        <v>25</v>
      </c>
      <c r="BF1256" s="73">
        <v>1</v>
      </c>
    </row>
    <row r="1257" spans="1:58" s="73" customFormat="1">
      <c r="A1257" s="73">
        <v>2100078</v>
      </c>
      <c r="C1257" s="73">
        <v>1</v>
      </c>
      <c r="E1257" s="73" t="s">
        <v>4005</v>
      </c>
      <c r="F1257" s="73" t="s">
        <v>4008</v>
      </c>
      <c r="G1257" s="73" t="str">
        <f>VLOOKUP(F1257,'#对话模型配置'!A:O,12,FALSE)</f>
        <v>TID_Dialogue_Character_11</v>
      </c>
      <c r="H1257" s="73" t="str">
        <f>VLOOKUP(F1257,'#对话模型配置'!A:O,14,FALSE)</f>
        <v>icon_newbie</v>
      </c>
      <c r="I1257" s="73" t="str">
        <f>VLOOKUP(F1257,'#对话模型配置'!A:O,15,FALSE)</f>
        <v>newbie_oversea_andrea</v>
      </c>
      <c r="J1257" s="73" t="s">
        <v>4098</v>
      </c>
      <c r="K1257" s="73" t="s">
        <v>4099</v>
      </c>
      <c r="U1257" s="73">
        <v>5</v>
      </c>
      <c r="V1257" s="73">
        <v>0</v>
      </c>
      <c r="Y1257" s="73" t="b">
        <v>0</v>
      </c>
      <c r="Z1257" s="73" t="s">
        <v>4100</v>
      </c>
      <c r="AA1257" s="73" t="b">
        <v>1</v>
      </c>
      <c r="AD1257" s="73">
        <v>1.4657499790191699</v>
      </c>
      <c r="AE1257" s="73">
        <f t="shared" si="98"/>
        <v>1.4657499790191699</v>
      </c>
      <c r="AH1257" s="73">
        <f>AE1257+1.5</f>
        <v>2.9657499790191699</v>
      </c>
      <c r="AI1257" s="73">
        <v>1</v>
      </c>
      <c r="AL1257" s="152">
        <v>25</v>
      </c>
      <c r="BF1257" s="73">
        <v>0</v>
      </c>
    </row>
    <row r="1258" spans="1:58" s="73" customFormat="1">
      <c r="A1258" s="73">
        <v>2100160</v>
      </c>
      <c r="C1258" s="73">
        <v>1</v>
      </c>
      <c r="E1258" s="73" t="s">
        <v>4101</v>
      </c>
      <c r="F1258" s="73" t="s">
        <v>2633</v>
      </c>
      <c r="G1258" s="73" t="str">
        <f>VLOOKUP(F1258,'[3]#对话模型配置'!A:O,12,FALSE)</f>
        <v>TID_DialogueConf_1060001_name_CN_Main</v>
      </c>
      <c r="H1258" s="73" t="str">
        <f>VLOOKUP(F1258,'#对话模型配置'!A:O,14,FALSE)</f>
        <v>icon_newbie</v>
      </c>
      <c r="I1258" s="73" t="str">
        <f>VLOOKUP(F1258,'[3]#对话模型配置'!A:O,15,FALSE)</f>
        <v>newbie_oversea_axe</v>
      </c>
      <c r="J1258" s="73" t="s">
        <v>4102</v>
      </c>
      <c r="K1258" s="73" t="s">
        <v>4103</v>
      </c>
      <c r="U1258" s="73">
        <v>5</v>
      </c>
      <c r="V1258" s="73">
        <v>0</v>
      </c>
      <c r="Y1258" s="73" t="b">
        <v>0</v>
      </c>
      <c r="AA1258" s="73" t="b">
        <v>1</v>
      </c>
      <c r="AD1258" s="73">
        <v>8</v>
      </c>
      <c r="AE1258" s="73">
        <f t="shared" si="98"/>
        <v>8</v>
      </c>
      <c r="AH1258" s="73">
        <v>0.1</v>
      </c>
      <c r="AI1258" s="73">
        <v>0.5</v>
      </c>
      <c r="AL1258" s="152">
        <v>35</v>
      </c>
      <c r="BF1258" s="73">
        <v>0</v>
      </c>
    </row>
    <row r="1259" spans="1:58" s="74" customFormat="1">
      <c r="A1259" s="74">
        <v>2100167</v>
      </c>
      <c r="C1259" s="74">
        <v>1</v>
      </c>
      <c r="E1259" s="74" t="s">
        <v>4101</v>
      </c>
      <c r="F1259" s="74" t="s">
        <v>4008</v>
      </c>
      <c r="G1259" s="74" t="str">
        <f>VLOOKUP(F1259,'[3]#对话模型配置'!A:O,12,FALSE)</f>
        <v>TID_Dialogue_Character_11</v>
      </c>
      <c r="H1259" s="20" t="str">
        <f>VLOOKUP(F1259,'#对话模型配置'!A:O,14,FALSE)</f>
        <v>icon_newbie</v>
      </c>
      <c r="I1259" s="74" t="str">
        <f>VLOOKUP(F1259,'[3]#对话模型配置'!A:O,15,FALSE)</f>
        <v>newbie_oversea_andrea</v>
      </c>
      <c r="J1259" s="74" t="s">
        <v>4104</v>
      </c>
      <c r="K1259" s="74" t="s">
        <v>4105</v>
      </c>
      <c r="U1259" s="74">
        <v>5</v>
      </c>
      <c r="V1259" s="74">
        <v>0</v>
      </c>
      <c r="Y1259" s="74" t="b">
        <v>0</v>
      </c>
      <c r="Z1259" s="20"/>
      <c r="AA1259" s="74" t="b">
        <v>1</v>
      </c>
      <c r="AD1259" s="74">
        <v>5</v>
      </c>
      <c r="AE1259" s="20">
        <f t="shared" si="98"/>
        <v>5</v>
      </c>
      <c r="AF1259" s="20"/>
      <c r="AG1259" s="20"/>
      <c r="AH1259" s="61">
        <v>0.1</v>
      </c>
      <c r="AI1259" s="20">
        <v>0.5</v>
      </c>
      <c r="AL1259" s="153">
        <v>35</v>
      </c>
      <c r="BF1259" s="74">
        <v>0</v>
      </c>
    </row>
    <row r="1260" spans="1:58" s="74" customFormat="1">
      <c r="A1260" s="74">
        <v>2100167</v>
      </c>
      <c r="C1260" s="74">
        <v>2</v>
      </c>
      <c r="E1260" s="74" t="s">
        <v>4101</v>
      </c>
      <c r="F1260" s="74" t="s">
        <v>2633</v>
      </c>
      <c r="G1260" s="74" t="str">
        <f>VLOOKUP(F1260,'[3]#对话模型配置'!A:O,12,FALSE)</f>
        <v>TID_DialogueConf_1060001_name_CN_Main</v>
      </c>
      <c r="H1260" s="20" t="str">
        <f>VLOOKUP(F1260,'#对话模型配置'!A:O,14,FALSE)</f>
        <v>icon_newbie</v>
      </c>
      <c r="I1260" s="74" t="str">
        <f>VLOOKUP(F1260,'[3]#对话模型配置'!A:O,15,FALSE)</f>
        <v>newbie_oversea_axe</v>
      </c>
      <c r="J1260" s="74" t="s">
        <v>4106</v>
      </c>
      <c r="K1260" s="74" t="s">
        <v>4107</v>
      </c>
      <c r="U1260" s="74">
        <v>5</v>
      </c>
      <c r="V1260" s="74">
        <v>0</v>
      </c>
      <c r="Y1260" s="74" t="b">
        <v>0</v>
      </c>
      <c r="Z1260" s="20"/>
      <c r="AA1260" s="74" t="b">
        <v>1</v>
      </c>
      <c r="AD1260" s="74">
        <v>5</v>
      </c>
      <c r="AE1260" s="20">
        <f t="shared" si="98"/>
        <v>5</v>
      </c>
      <c r="AF1260" s="20"/>
      <c r="AG1260" s="20"/>
      <c r="AH1260" s="61">
        <v>0.1</v>
      </c>
      <c r="AI1260" s="20">
        <v>0.5</v>
      </c>
      <c r="AL1260" s="153">
        <v>35</v>
      </c>
      <c r="BF1260" s="74">
        <v>0</v>
      </c>
    </row>
    <row r="1261" spans="1:58" s="56" customFormat="1">
      <c r="A1261" s="20">
        <v>2100168</v>
      </c>
      <c r="C1261" s="56">
        <v>1</v>
      </c>
      <c r="D1261" s="56" t="s">
        <v>646</v>
      </c>
      <c r="E1261" s="20" t="s">
        <v>4108</v>
      </c>
      <c r="F1261" s="20" t="s">
        <v>4008</v>
      </c>
      <c r="G1261" s="20" t="str">
        <f>VLOOKUP(F1261,'[3]#对话模型配置'!A:O,12,FALSE)</f>
        <v>TID_Dialogue_Character_11</v>
      </c>
      <c r="H1261" s="20" t="s">
        <v>112</v>
      </c>
      <c r="I1261" s="20" t="s">
        <v>113</v>
      </c>
      <c r="J1261" s="56" t="s">
        <v>4109</v>
      </c>
      <c r="K1261" s="74" t="s">
        <v>4110</v>
      </c>
      <c r="L1261" s="61"/>
      <c r="M1261" s="61"/>
      <c r="N1261" s="61"/>
      <c r="O1261" s="61"/>
      <c r="P1261" s="61"/>
      <c r="Q1261" s="61"/>
      <c r="R1261" s="61"/>
      <c r="S1261" s="61"/>
      <c r="U1261" s="56">
        <v>1</v>
      </c>
      <c r="V1261" s="56">
        <v>0</v>
      </c>
      <c r="X1261" s="56">
        <v>0</v>
      </c>
      <c r="Y1261" s="56" t="b">
        <v>0</v>
      </c>
      <c r="AA1261" s="56" t="b">
        <v>0</v>
      </c>
      <c r="AC1261" s="56">
        <v>20001102</v>
      </c>
      <c r="AD1261" s="56">
        <v>8.1546669006347692</v>
      </c>
      <c r="AE1261" s="48">
        <f>AD1261+1</f>
        <v>9.1546669006347692</v>
      </c>
      <c r="AF1261" s="48"/>
      <c r="AG1261" s="48"/>
      <c r="AH1261" s="56">
        <v>0.1</v>
      </c>
      <c r="AL1261" s="56">
        <v>25</v>
      </c>
      <c r="AM1261" s="48">
        <v>30001001</v>
      </c>
      <c r="AN1261" s="56" t="s">
        <v>649</v>
      </c>
      <c r="BF1261" s="56">
        <v>0</v>
      </c>
    </row>
    <row r="1262" spans="1:58" s="56" customFormat="1">
      <c r="A1262" s="20">
        <v>2100168</v>
      </c>
      <c r="C1262" s="56">
        <v>2</v>
      </c>
      <c r="D1262" s="56" t="s">
        <v>646</v>
      </c>
      <c r="E1262" s="20" t="s">
        <v>4108</v>
      </c>
      <c r="F1262" s="20" t="s">
        <v>4008</v>
      </c>
      <c r="G1262" s="20" t="str">
        <f>VLOOKUP(F1262,'[3]#对话模型配置'!A:O,12,FALSE)</f>
        <v>TID_Dialogue_Character_11</v>
      </c>
      <c r="H1262" s="20" t="s">
        <v>112</v>
      </c>
      <c r="I1262" s="20" t="s">
        <v>113</v>
      </c>
      <c r="J1262" s="56" t="s">
        <v>4111</v>
      </c>
      <c r="K1262" s="74" t="s">
        <v>4112</v>
      </c>
      <c r="L1262" s="61"/>
      <c r="M1262" s="61"/>
      <c r="N1262" s="61"/>
      <c r="O1262" s="61"/>
      <c r="P1262" s="61"/>
      <c r="Q1262" s="61"/>
      <c r="R1262" s="61"/>
      <c r="S1262" s="61"/>
      <c r="U1262" s="56">
        <v>1</v>
      </c>
      <c r="V1262" s="56">
        <v>0</v>
      </c>
      <c r="X1262" s="56">
        <v>0</v>
      </c>
      <c r="Y1262" s="56" t="b">
        <v>0</v>
      </c>
      <c r="AA1262" s="56" t="b">
        <v>0</v>
      </c>
      <c r="AC1262" s="56">
        <v>20001102</v>
      </c>
      <c r="AD1262" s="56">
        <v>8.1546669006347692</v>
      </c>
      <c r="AE1262" s="48">
        <f>AD1262+1</f>
        <v>9.1546669006347692</v>
      </c>
      <c r="AF1262" s="48"/>
      <c r="AG1262" s="48"/>
      <c r="AH1262" s="56">
        <v>0.1</v>
      </c>
      <c r="AL1262" s="56">
        <v>25</v>
      </c>
      <c r="AM1262" s="48">
        <v>30001001</v>
      </c>
      <c r="AN1262" s="56" t="s">
        <v>649</v>
      </c>
      <c r="BF1262" s="56">
        <v>0</v>
      </c>
    </row>
    <row r="1263" spans="1:58" s="74" customFormat="1" ht="14.5">
      <c r="A1263" s="74">
        <v>2100169</v>
      </c>
      <c r="C1263" s="74">
        <v>1</v>
      </c>
      <c r="E1263" s="74" t="s">
        <v>4101</v>
      </c>
      <c r="F1263" s="74" t="s">
        <v>2633</v>
      </c>
      <c r="G1263" s="74" t="str">
        <f>VLOOKUP(F1263,'[3]#对话模型配置'!A:O,12,FALSE)</f>
        <v>TID_DialogueConf_1060001_name_CN_Main</v>
      </c>
      <c r="H1263" s="20" t="str">
        <f>VLOOKUP(F1263,'#对话模型配置'!A:O,14,FALSE)</f>
        <v>icon_newbie</v>
      </c>
      <c r="I1263" s="74" t="str">
        <f>VLOOKUP(F1263,'[3]#对话模型配置'!A:O,15,FALSE)</f>
        <v>newbie_oversea_axe</v>
      </c>
      <c r="J1263" s="145" t="s">
        <v>4113</v>
      </c>
      <c r="K1263" s="146" t="s">
        <v>4114</v>
      </c>
      <c r="U1263" s="74">
        <v>5</v>
      </c>
      <c r="V1263" s="74">
        <v>0</v>
      </c>
      <c r="Y1263" s="74" t="b">
        <v>0</v>
      </c>
      <c r="Z1263" s="20"/>
      <c r="AA1263" s="74" t="b">
        <v>1</v>
      </c>
      <c r="AD1263" s="74">
        <v>5</v>
      </c>
      <c r="AE1263" s="20">
        <f t="shared" ref="AE1263:AE1279" si="99">AD1263</f>
        <v>5</v>
      </c>
      <c r="AF1263" s="20"/>
      <c r="AG1263" s="20"/>
      <c r="AH1263" s="61">
        <v>0.1</v>
      </c>
      <c r="AI1263" s="20">
        <v>0.5</v>
      </c>
      <c r="AL1263" s="153">
        <v>35</v>
      </c>
      <c r="BF1263" s="74">
        <v>0</v>
      </c>
    </row>
    <row r="1264" spans="1:58" s="74" customFormat="1" ht="14.5">
      <c r="A1264" s="74">
        <v>2100169</v>
      </c>
      <c r="C1264" s="74">
        <v>2</v>
      </c>
      <c r="E1264" s="74" t="s">
        <v>4101</v>
      </c>
      <c r="F1264" s="74" t="s">
        <v>4008</v>
      </c>
      <c r="G1264" s="74" t="str">
        <f>VLOOKUP(F1264,'[3]#对话模型配置'!A:O,12,FALSE)</f>
        <v>TID_Dialogue_Character_11</v>
      </c>
      <c r="H1264" s="20" t="str">
        <f>VLOOKUP(F1264,'#对话模型配置'!A:O,14,FALSE)</f>
        <v>icon_newbie</v>
      </c>
      <c r="I1264" s="74" t="str">
        <f>VLOOKUP(F1264,'[3]#对话模型配置'!A:O,15,FALSE)</f>
        <v>newbie_oversea_andrea</v>
      </c>
      <c r="J1264" s="24" t="s">
        <v>4115</v>
      </c>
      <c r="K1264" s="146" t="s">
        <v>4116</v>
      </c>
      <c r="U1264" s="74">
        <v>5</v>
      </c>
      <c r="V1264" s="74">
        <v>0</v>
      </c>
      <c r="Y1264" s="74" t="b">
        <v>0</v>
      </c>
      <c r="Z1264" s="20"/>
      <c r="AA1264" s="74" t="b">
        <v>1</v>
      </c>
      <c r="AD1264" s="74">
        <v>5</v>
      </c>
      <c r="AE1264" s="20">
        <f t="shared" si="99"/>
        <v>5</v>
      </c>
      <c r="AF1264" s="20"/>
      <c r="AG1264" s="20"/>
      <c r="AH1264" s="61">
        <v>0.1</v>
      </c>
      <c r="AI1264" s="20">
        <v>0.5</v>
      </c>
      <c r="AL1264" s="153">
        <v>35</v>
      </c>
      <c r="BF1264" s="74">
        <v>0</v>
      </c>
    </row>
    <row r="1265" spans="1:58" s="74" customFormat="1" ht="14.5">
      <c r="A1265" s="74">
        <v>2100169</v>
      </c>
      <c r="C1265" s="74">
        <v>3</v>
      </c>
      <c r="E1265" s="74" t="s">
        <v>4101</v>
      </c>
      <c r="F1265" s="74" t="s">
        <v>4008</v>
      </c>
      <c r="G1265" s="74" t="str">
        <f>VLOOKUP(F1265,'[3]#对话模型配置'!A:O,12,FALSE)</f>
        <v>TID_Dialogue_Character_11</v>
      </c>
      <c r="H1265" s="20" t="str">
        <f>VLOOKUP(F1265,'#对话模型配置'!A:O,14,FALSE)</f>
        <v>icon_newbie</v>
      </c>
      <c r="I1265" s="74" t="str">
        <f>VLOOKUP(F1265,'[3]#对话模型配置'!A:O,15,FALSE)</f>
        <v>newbie_oversea_andrea</v>
      </c>
      <c r="J1265" s="24" t="s">
        <v>4117</v>
      </c>
      <c r="K1265" s="146" t="s">
        <v>4118</v>
      </c>
      <c r="U1265" s="74">
        <v>5</v>
      </c>
      <c r="V1265" s="74">
        <v>0</v>
      </c>
      <c r="Y1265" s="74" t="b">
        <v>0</v>
      </c>
      <c r="Z1265" s="20"/>
      <c r="AA1265" s="74" t="b">
        <v>1</v>
      </c>
      <c r="AD1265" s="74">
        <v>5</v>
      </c>
      <c r="AE1265" s="20">
        <f t="shared" si="99"/>
        <v>5</v>
      </c>
      <c r="AF1265" s="20"/>
      <c r="AG1265" s="20"/>
      <c r="AH1265" s="61">
        <v>0.1</v>
      </c>
      <c r="AI1265" s="20">
        <v>0.5</v>
      </c>
      <c r="AL1265" s="153">
        <v>35</v>
      </c>
      <c r="BF1265" s="74">
        <v>0</v>
      </c>
    </row>
    <row r="1266" spans="1:58" s="74" customFormat="1" ht="14.5">
      <c r="A1266" s="74">
        <v>2100169</v>
      </c>
      <c r="C1266" s="74">
        <v>4</v>
      </c>
      <c r="E1266" s="74" t="s">
        <v>4101</v>
      </c>
      <c r="F1266" s="74" t="s">
        <v>2633</v>
      </c>
      <c r="G1266" s="74" t="str">
        <f>VLOOKUP(F1266,'[3]#对话模型配置'!A:O,12,FALSE)</f>
        <v>TID_DialogueConf_1060001_name_CN_Main</v>
      </c>
      <c r="H1266" s="20" t="str">
        <f>VLOOKUP(F1266,'#对话模型配置'!A:O,14,FALSE)</f>
        <v>icon_newbie</v>
      </c>
      <c r="I1266" s="74" t="str">
        <f>VLOOKUP(F1266,'[3]#对话模型配置'!A:O,15,FALSE)</f>
        <v>newbie_oversea_axe</v>
      </c>
      <c r="J1266" s="24" t="s">
        <v>4119</v>
      </c>
      <c r="K1266" s="146" t="s">
        <v>2928</v>
      </c>
      <c r="U1266" s="74">
        <v>5</v>
      </c>
      <c r="V1266" s="74">
        <v>0</v>
      </c>
      <c r="Y1266" s="74" t="b">
        <v>0</v>
      </c>
      <c r="Z1266" s="20"/>
      <c r="AA1266" s="74" t="b">
        <v>1</v>
      </c>
      <c r="AD1266" s="74">
        <v>5</v>
      </c>
      <c r="AE1266" s="20">
        <f t="shared" si="99"/>
        <v>5</v>
      </c>
      <c r="AF1266" s="20"/>
      <c r="AG1266" s="20"/>
      <c r="AH1266" s="61">
        <v>0.1</v>
      </c>
      <c r="AI1266" s="20">
        <v>0.5</v>
      </c>
      <c r="AL1266" s="153">
        <v>35</v>
      </c>
      <c r="BF1266" s="74">
        <v>0</v>
      </c>
    </row>
    <row r="1267" spans="1:58" s="74" customFormat="1" ht="14.5">
      <c r="A1267" s="74">
        <v>2100170</v>
      </c>
      <c r="C1267" s="74">
        <v>1</v>
      </c>
      <c r="E1267" s="74" t="s">
        <v>4101</v>
      </c>
      <c r="F1267" s="74" t="s">
        <v>2633</v>
      </c>
      <c r="G1267" s="74" t="str">
        <f>VLOOKUP(F1267,'[3]#对话模型配置'!A:O,12,FALSE)</f>
        <v>TID_DialogueConf_1060001_name_CN_Main</v>
      </c>
      <c r="H1267" s="20" t="str">
        <f>VLOOKUP(F1267,'#对话模型配置'!A:O,14,FALSE)</f>
        <v>icon_newbie</v>
      </c>
      <c r="I1267" s="74" t="str">
        <f>VLOOKUP(F1267,'[3]#对话模型配置'!A:O,15,FALSE)</f>
        <v>newbie_oversea_axe</v>
      </c>
      <c r="J1267" s="24" t="s">
        <v>4120</v>
      </c>
      <c r="K1267" s="146" t="s">
        <v>4121</v>
      </c>
      <c r="U1267" s="74">
        <v>5</v>
      </c>
      <c r="V1267" s="74">
        <v>0</v>
      </c>
      <c r="Y1267" s="74" t="b">
        <v>0</v>
      </c>
      <c r="Z1267" s="20"/>
      <c r="AA1267" s="74" t="b">
        <v>1</v>
      </c>
      <c r="AD1267" s="74">
        <v>5</v>
      </c>
      <c r="AE1267" s="20">
        <f t="shared" si="99"/>
        <v>5</v>
      </c>
      <c r="AF1267" s="20"/>
      <c r="AG1267" s="20"/>
      <c r="AH1267" s="61">
        <v>0.1</v>
      </c>
      <c r="AI1267" s="20">
        <v>0.5</v>
      </c>
      <c r="AL1267" s="153">
        <v>35</v>
      </c>
      <c r="BF1267" s="74">
        <v>0</v>
      </c>
    </row>
    <row r="1268" spans="1:58" s="74" customFormat="1" ht="14.5">
      <c r="A1268" s="74">
        <v>2100170</v>
      </c>
      <c r="C1268" s="74">
        <v>2</v>
      </c>
      <c r="E1268" s="74" t="s">
        <v>4101</v>
      </c>
      <c r="F1268" s="74" t="s">
        <v>4008</v>
      </c>
      <c r="G1268" s="74" t="str">
        <f>VLOOKUP(F1268,'[3]#对话模型配置'!A:O,12,FALSE)</f>
        <v>TID_Dialogue_Character_11</v>
      </c>
      <c r="H1268" s="20" t="str">
        <f>VLOOKUP(F1268,'#对话模型配置'!A:O,14,FALSE)</f>
        <v>icon_newbie</v>
      </c>
      <c r="I1268" s="74" t="str">
        <f>VLOOKUP(F1268,'[3]#对话模型配置'!A:O,15,FALSE)</f>
        <v>newbie_oversea_andrea</v>
      </c>
      <c r="J1268" s="24" t="s">
        <v>4122</v>
      </c>
      <c r="K1268" s="146" t="s">
        <v>4123</v>
      </c>
      <c r="U1268" s="74">
        <v>5</v>
      </c>
      <c r="V1268" s="74">
        <v>0</v>
      </c>
      <c r="Y1268" s="74" t="b">
        <v>0</v>
      </c>
      <c r="Z1268" s="20"/>
      <c r="AA1268" s="74" t="b">
        <v>1</v>
      </c>
      <c r="AD1268" s="74">
        <v>5</v>
      </c>
      <c r="AE1268" s="20">
        <f t="shared" si="99"/>
        <v>5</v>
      </c>
      <c r="AF1268" s="20"/>
      <c r="AG1268" s="20"/>
      <c r="AH1268" s="61">
        <v>0.1</v>
      </c>
      <c r="AI1268" s="20">
        <v>0.5</v>
      </c>
      <c r="AL1268" s="153">
        <v>35</v>
      </c>
      <c r="BF1268" s="74">
        <v>0</v>
      </c>
    </row>
    <row r="1269" spans="1:58" s="74" customFormat="1" ht="14.5">
      <c r="A1269" s="74">
        <v>2100170</v>
      </c>
      <c r="C1269" s="74">
        <v>3</v>
      </c>
      <c r="E1269" s="74" t="s">
        <v>4101</v>
      </c>
      <c r="F1269" s="74" t="s">
        <v>2633</v>
      </c>
      <c r="G1269" s="74" t="str">
        <f>VLOOKUP(F1269,'[3]#对话模型配置'!A:O,12,FALSE)</f>
        <v>TID_DialogueConf_1060001_name_CN_Main</v>
      </c>
      <c r="H1269" s="20" t="str">
        <f>VLOOKUP(F1269,'#对话模型配置'!A:O,14,FALSE)</f>
        <v>icon_newbie</v>
      </c>
      <c r="I1269" s="74" t="str">
        <f>VLOOKUP(F1269,'[3]#对话模型配置'!A:O,15,FALSE)</f>
        <v>newbie_oversea_axe</v>
      </c>
      <c r="J1269" s="24" t="s">
        <v>4124</v>
      </c>
      <c r="K1269" s="146" t="s">
        <v>4125</v>
      </c>
      <c r="U1269" s="74">
        <v>5</v>
      </c>
      <c r="V1269" s="74">
        <v>0</v>
      </c>
      <c r="Y1269" s="74" t="b">
        <v>0</v>
      </c>
      <c r="Z1269" s="20"/>
      <c r="AA1269" s="74" t="b">
        <v>1</v>
      </c>
      <c r="AD1269" s="74">
        <v>5</v>
      </c>
      <c r="AE1269" s="20">
        <f t="shared" si="99"/>
        <v>5</v>
      </c>
      <c r="AF1269" s="20"/>
      <c r="AG1269" s="20"/>
      <c r="AH1269" s="61">
        <v>0.1</v>
      </c>
      <c r="AI1269" s="20">
        <v>0.5</v>
      </c>
      <c r="AL1269" s="153">
        <v>35</v>
      </c>
      <c r="BF1269" s="74">
        <v>0</v>
      </c>
    </row>
    <row r="1270" spans="1:58" s="74" customFormat="1" ht="14.5">
      <c r="A1270" s="74">
        <v>2100171</v>
      </c>
      <c r="C1270" s="74">
        <v>1</v>
      </c>
      <c r="E1270" s="74" t="s">
        <v>4101</v>
      </c>
      <c r="F1270" s="74" t="s">
        <v>2633</v>
      </c>
      <c r="G1270" s="74" t="str">
        <f>VLOOKUP(F1270,'[3]#对话模型配置'!A:O,12,FALSE)</f>
        <v>TID_DialogueConf_1060001_name_CN_Main</v>
      </c>
      <c r="H1270" s="20" t="str">
        <f>VLOOKUP(F1270,'#对话模型配置'!A:O,14,FALSE)</f>
        <v>icon_newbie</v>
      </c>
      <c r="I1270" s="74" t="str">
        <f>VLOOKUP(F1270,'[3]#对话模型配置'!A:O,15,FALSE)</f>
        <v>newbie_oversea_axe</v>
      </c>
      <c r="J1270" s="24" t="s">
        <v>4126</v>
      </c>
      <c r="K1270" s="146" t="s">
        <v>4127</v>
      </c>
      <c r="U1270" s="74">
        <v>5</v>
      </c>
      <c r="V1270" s="74">
        <v>0</v>
      </c>
      <c r="Y1270" s="74" t="b">
        <v>0</v>
      </c>
      <c r="Z1270" s="20"/>
      <c r="AA1270" s="74" t="b">
        <v>1</v>
      </c>
      <c r="AD1270" s="74">
        <v>5</v>
      </c>
      <c r="AE1270" s="20">
        <f t="shared" si="99"/>
        <v>5</v>
      </c>
      <c r="AF1270" s="20"/>
      <c r="AG1270" s="20"/>
      <c r="AH1270" s="61">
        <v>0.1</v>
      </c>
      <c r="AI1270" s="20">
        <v>0.5</v>
      </c>
      <c r="AL1270" s="153">
        <v>35</v>
      </c>
      <c r="BF1270" s="74">
        <v>0</v>
      </c>
    </row>
    <row r="1271" spans="1:58" s="74" customFormat="1" ht="14.5">
      <c r="A1271" s="74">
        <v>2100171</v>
      </c>
      <c r="C1271" s="74">
        <v>2</v>
      </c>
      <c r="E1271" s="74" t="s">
        <v>4101</v>
      </c>
      <c r="F1271" s="74" t="s">
        <v>4008</v>
      </c>
      <c r="G1271" s="74" t="str">
        <f>VLOOKUP(F1271,'[3]#对话模型配置'!A:O,12,FALSE)</f>
        <v>TID_Dialogue_Character_11</v>
      </c>
      <c r="H1271" s="20" t="str">
        <f>VLOOKUP(F1271,'#对话模型配置'!A:O,14,FALSE)</f>
        <v>icon_newbie</v>
      </c>
      <c r="I1271" s="74" t="str">
        <f>VLOOKUP(F1271,'[3]#对话模型配置'!A:O,15,FALSE)</f>
        <v>newbie_oversea_andrea</v>
      </c>
      <c r="J1271" s="24" t="s">
        <v>4128</v>
      </c>
      <c r="K1271" s="146" t="s">
        <v>4129</v>
      </c>
      <c r="U1271" s="74">
        <v>5</v>
      </c>
      <c r="V1271" s="74">
        <v>0</v>
      </c>
      <c r="Y1271" s="74" t="b">
        <v>0</v>
      </c>
      <c r="Z1271" s="20"/>
      <c r="AA1271" s="74" t="b">
        <v>1</v>
      </c>
      <c r="AD1271" s="74">
        <v>8</v>
      </c>
      <c r="AE1271" s="20">
        <f t="shared" si="99"/>
        <v>8</v>
      </c>
      <c r="AF1271" s="20"/>
      <c r="AG1271" s="20"/>
      <c r="AH1271" s="61">
        <v>0.1</v>
      </c>
      <c r="AI1271" s="20">
        <v>0.5</v>
      </c>
      <c r="AL1271" s="153">
        <v>35</v>
      </c>
      <c r="BF1271" s="74">
        <v>0</v>
      </c>
    </row>
    <row r="1272" spans="1:58" s="74" customFormat="1" ht="14.5">
      <c r="A1272" s="74">
        <v>2100171</v>
      </c>
      <c r="C1272" s="74">
        <v>3</v>
      </c>
      <c r="E1272" s="74" t="s">
        <v>4101</v>
      </c>
      <c r="F1272" s="74" t="s">
        <v>2633</v>
      </c>
      <c r="G1272" s="74" t="str">
        <f>VLOOKUP(F1272,'[3]#对话模型配置'!A:O,12,FALSE)</f>
        <v>TID_DialogueConf_1060001_name_CN_Main</v>
      </c>
      <c r="H1272" s="20" t="str">
        <f>VLOOKUP(F1272,'#对话模型配置'!A:O,14,FALSE)</f>
        <v>icon_newbie</v>
      </c>
      <c r="I1272" s="74" t="str">
        <f>VLOOKUP(F1272,'[3]#对话模型配置'!A:O,15,FALSE)</f>
        <v>newbie_oversea_axe</v>
      </c>
      <c r="J1272" s="24" t="s">
        <v>4130</v>
      </c>
      <c r="K1272" s="146" t="s">
        <v>4131</v>
      </c>
      <c r="U1272" s="74">
        <v>5</v>
      </c>
      <c r="V1272" s="74">
        <v>0</v>
      </c>
      <c r="Y1272" s="74" t="b">
        <v>0</v>
      </c>
      <c r="Z1272" s="20"/>
      <c r="AA1272" s="74" t="b">
        <v>1</v>
      </c>
      <c r="AD1272" s="74">
        <v>8</v>
      </c>
      <c r="AE1272" s="20">
        <f t="shared" si="99"/>
        <v>8</v>
      </c>
      <c r="AF1272" s="20"/>
      <c r="AG1272" s="20"/>
      <c r="AH1272" s="61">
        <v>0.1</v>
      </c>
      <c r="AI1272" s="20">
        <v>0.5</v>
      </c>
      <c r="AL1272" s="153">
        <v>35</v>
      </c>
      <c r="BF1272" s="74">
        <v>0</v>
      </c>
    </row>
    <row r="1273" spans="1:58" s="74" customFormat="1" ht="14.5">
      <c r="A1273" s="74">
        <v>2100172</v>
      </c>
      <c r="C1273" s="74">
        <v>1</v>
      </c>
      <c r="E1273" s="74" t="s">
        <v>4101</v>
      </c>
      <c r="F1273" s="74" t="s">
        <v>4008</v>
      </c>
      <c r="G1273" s="74" t="str">
        <f>VLOOKUP(F1273,'[3]#对话模型配置'!A:O,12,FALSE)</f>
        <v>TID_Dialogue_Character_11</v>
      </c>
      <c r="H1273" s="20" t="str">
        <f>VLOOKUP(F1273,'#对话模型配置'!A:O,14,FALSE)</f>
        <v>icon_newbie</v>
      </c>
      <c r="I1273" s="74" t="str">
        <f>VLOOKUP(F1273,'[3]#对话模型配置'!A:O,15,FALSE)</f>
        <v>newbie_oversea_andrea</v>
      </c>
      <c r="J1273" s="24" t="s">
        <v>4132</v>
      </c>
      <c r="K1273" s="146" t="s">
        <v>4133</v>
      </c>
      <c r="U1273" s="74">
        <v>5</v>
      </c>
      <c r="V1273" s="74">
        <v>0</v>
      </c>
      <c r="Y1273" s="74" t="b">
        <v>0</v>
      </c>
      <c r="Z1273" s="20"/>
      <c r="AA1273" s="74" t="b">
        <v>1</v>
      </c>
      <c r="AD1273" s="74">
        <v>5</v>
      </c>
      <c r="AE1273" s="20">
        <f t="shared" si="99"/>
        <v>5</v>
      </c>
      <c r="AF1273" s="20"/>
      <c r="AG1273" s="20"/>
      <c r="AH1273" s="61">
        <v>0.1</v>
      </c>
      <c r="AI1273" s="20">
        <v>0.5</v>
      </c>
      <c r="AL1273" s="153">
        <v>35</v>
      </c>
      <c r="BF1273" s="74">
        <v>0</v>
      </c>
    </row>
    <row r="1274" spans="1:58" s="74" customFormat="1" ht="14.5">
      <c r="A1274" s="74">
        <v>2100172</v>
      </c>
      <c r="C1274" s="74">
        <v>2</v>
      </c>
      <c r="E1274" s="74" t="s">
        <v>4101</v>
      </c>
      <c r="F1274" s="74" t="s">
        <v>2633</v>
      </c>
      <c r="G1274" s="74" t="str">
        <f>VLOOKUP(F1274,'[3]#对话模型配置'!A:O,12,FALSE)</f>
        <v>TID_DialogueConf_1060001_name_CN_Main</v>
      </c>
      <c r="H1274" s="20" t="str">
        <f>VLOOKUP(F1274,'#对话模型配置'!A:O,14,FALSE)</f>
        <v>icon_newbie</v>
      </c>
      <c r="I1274" s="74" t="str">
        <f>VLOOKUP(F1274,'[3]#对话模型配置'!A:O,15,FALSE)</f>
        <v>newbie_oversea_axe</v>
      </c>
      <c r="J1274" s="24" t="s">
        <v>4134</v>
      </c>
      <c r="K1274" s="146" t="s">
        <v>4135</v>
      </c>
      <c r="U1274" s="74">
        <v>5</v>
      </c>
      <c r="V1274" s="74">
        <v>0</v>
      </c>
      <c r="Y1274" s="74" t="b">
        <v>0</v>
      </c>
      <c r="Z1274" s="20"/>
      <c r="AA1274" s="74" t="b">
        <v>1</v>
      </c>
      <c r="AD1274" s="74">
        <v>5</v>
      </c>
      <c r="AE1274" s="20">
        <f t="shared" si="99"/>
        <v>5</v>
      </c>
      <c r="AF1274" s="20"/>
      <c r="AG1274" s="20"/>
      <c r="AH1274" s="61">
        <v>0.1</v>
      </c>
      <c r="AI1274" s="20">
        <v>0.5</v>
      </c>
      <c r="AL1274" s="153">
        <v>35</v>
      </c>
      <c r="BF1274" s="74">
        <v>0</v>
      </c>
    </row>
    <row r="1275" spans="1:58" s="74" customFormat="1" ht="14.5">
      <c r="A1275" s="74">
        <v>2100172</v>
      </c>
      <c r="C1275" s="74">
        <v>3</v>
      </c>
      <c r="E1275" s="74" t="s">
        <v>4101</v>
      </c>
      <c r="F1275" s="74" t="s">
        <v>4008</v>
      </c>
      <c r="G1275" s="74" t="str">
        <f>VLOOKUP(F1275,'[3]#对话模型配置'!A:O,12,FALSE)</f>
        <v>TID_Dialogue_Character_11</v>
      </c>
      <c r="H1275" s="20" t="str">
        <f>VLOOKUP(F1275,'#对话模型配置'!A:O,14,FALSE)</f>
        <v>icon_newbie</v>
      </c>
      <c r="I1275" s="74" t="str">
        <f>VLOOKUP(F1275,'[3]#对话模型配置'!A:O,15,FALSE)</f>
        <v>newbie_oversea_andrea</v>
      </c>
      <c r="J1275" s="24" t="s">
        <v>4136</v>
      </c>
      <c r="K1275" s="146" t="s">
        <v>4137</v>
      </c>
      <c r="U1275" s="74">
        <v>5</v>
      </c>
      <c r="V1275" s="74">
        <v>0</v>
      </c>
      <c r="Y1275" s="74" t="b">
        <v>0</v>
      </c>
      <c r="Z1275" s="20"/>
      <c r="AA1275" s="74" t="b">
        <v>1</v>
      </c>
      <c r="AD1275" s="74">
        <v>5</v>
      </c>
      <c r="AE1275" s="20">
        <f t="shared" si="99"/>
        <v>5</v>
      </c>
      <c r="AF1275" s="20"/>
      <c r="AG1275" s="20"/>
      <c r="AH1275" s="61">
        <v>0.1</v>
      </c>
      <c r="AI1275" s="20">
        <v>0.5</v>
      </c>
      <c r="AL1275" s="153">
        <v>35</v>
      </c>
      <c r="BF1275" s="74">
        <v>0</v>
      </c>
    </row>
    <row r="1276" spans="1:58" s="74" customFormat="1" ht="14.5">
      <c r="A1276" s="74">
        <v>2100173</v>
      </c>
      <c r="C1276" s="74">
        <v>1</v>
      </c>
      <c r="E1276" s="74" t="s">
        <v>4101</v>
      </c>
      <c r="F1276" s="74" t="s">
        <v>2633</v>
      </c>
      <c r="G1276" s="74" t="str">
        <f>VLOOKUP(F1276,'[3]#对话模型配置'!A:O,12,FALSE)</f>
        <v>TID_DialogueConf_1060001_name_CN_Main</v>
      </c>
      <c r="H1276" s="20" t="str">
        <f>VLOOKUP(F1276,'#对话模型配置'!A:O,14,FALSE)</f>
        <v>icon_newbie</v>
      </c>
      <c r="I1276" s="74" t="str">
        <f>VLOOKUP(F1276,'[3]#对话模型配置'!A:O,15,FALSE)</f>
        <v>newbie_oversea_axe</v>
      </c>
      <c r="J1276" s="24" t="s">
        <v>4138</v>
      </c>
      <c r="K1276" s="146" t="s">
        <v>4139</v>
      </c>
      <c r="U1276" s="74">
        <v>5</v>
      </c>
      <c r="V1276" s="74">
        <v>0</v>
      </c>
      <c r="Y1276" s="74" t="b">
        <v>0</v>
      </c>
      <c r="Z1276" s="20"/>
      <c r="AA1276" s="74" t="b">
        <v>1</v>
      </c>
      <c r="AD1276" s="74">
        <v>5</v>
      </c>
      <c r="AE1276" s="20">
        <f t="shared" si="99"/>
        <v>5</v>
      </c>
      <c r="AF1276" s="20"/>
      <c r="AG1276" s="20"/>
      <c r="AH1276" s="61">
        <v>0.1</v>
      </c>
      <c r="AI1276" s="20">
        <v>0.5</v>
      </c>
      <c r="AL1276" s="153">
        <v>35</v>
      </c>
      <c r="BF1276" s="74">
        <v>0</v>
      </c>
    </row>
    <row r="1277" spans="1:58" s="74" customFormat="1" ht="14.5">
      <c r="A1277" s="74">
        <v>2100173</v>
      </c>
      <c r="C1277" s="74">
        <v>2</v>
      </c>
      <c r="E1277" s="74" t="s">
        <v>4101</v>
      </c>
      <c r="F1277" s="74" t="s">
        <v>4008</v>
      </c>
      <c r="G1277" s="74" t="str">
        <f>VLOOKUP(F1277,'[3]#对话模型配置'!A:O,12,FALSE)</f>
        <v>TID_Dialogue_Character_11</v>
      </c>
      <c r="H1277" s="20" t="str">
        <f>VLOOKUP(F1277,'#对话模型配置'!A:O,14,FALSE)</f>
        <v>icon_newbie</v>
      </c>
      <c r="I1277" s="74" t="str">
        <f>VLOOKUP(F1277,'[3]#对话模型配置'!A:O,15,FALSE)</f>
        <v>newbie_oversea_andrea</v>
      </c>
      <c r="J1277" s="145" t="s">
        <v>4140</v>
      </c>
      <c r="K1277" s="146" t="s">
        <v>4141</v>
      </c>
      <c r="U1277" s="74">
        <v>5</v>
      </c>
      <c r="V1277" s="74">
        <v>0</v>
      </c>
      <c r="Y1277" s="74" t="b">
        <v>0</v>
      </c>
      <c r="Z1277" s="20"/>
      <c r="AA1277" s="74" t="b">
        <v>1</v>
      </c>
      <c r="AD1277" s="74">
        <v>5</v>
      </c>
      <c r="AE1277" s="20">
        <f t="shared" si="99"/>
        <v>5</v>
      </c>
      <c r="AF1277" s="20"/>
      <c r="AG1277" s="20"/>
      <c r="AH1277" s="61">
        <v>0.1</v>
      </c>
      <c r="AI1277" s="20">
        <v>0.5</v>
      </c>
      <c r="AL1277" s="153">
        <v>35</v>
      </c>
      <c r="BF1277" s="74">
        <v>0</v>
      </c>
    </row>
    <row r="1278" spans="1:58" s="74" customFormat="1" ht="14.5">
      <c r="A1278" s="74">
        <v>2100173</v>
      </c>
      <c r="C1278" s="74">
        <v>2</v>
      </c>
      <c r="E1278" s="74" t="s">
        <v>4101</v>
      </c>
      <c r="F1278" s="74" t="s">
        <v>2633</v>
      </c>
      <c r="G1278" s="74" t="str">
        <f>VLOOKUP(F1278,'[3]#对话模型配置'!A:O,12,FALSE)</f>
        <v>TID_DialogueConf_1060001_name_CN_Main</v>
      </c>
      <c r="H1278" s="20" t="str">
        <f>VLOOKUP(F1278,'#对话模型配置'!A:O,14,FALSE)</f>
        <v>icon_newbie</v>
      </c>
      <c r="I1278" s="74" t="str">
        <f>VLOOKUP(F1278,'[3]#对话模型配置'!A:O,15,FALSE)</f>
        <v>newbie_oversea_axe</v>
      </c>
      <c r="J1278" s="24" t="s">
        <v>4142</v>
      </c>
      <c r="K1278" s="146" t="s">
        <v>4143</v>
      </c>
      <c r="U1278" s="74">
        <v>5</v>
      </c>
      <c r="V1278" s="74">
        <v>0</v>
      </c>
      <c r="Y1278" s="74" t="b">
        <v>0</v>
      </c>
      <c r="Z1278" s="20"/>
      <c r="AA1278" s="74" t="b">
        <v>1</v>
      </c>
      <c r="AD1278" s="74">
        <v>5</v>
      </c>
      <c r="AE1278" s="20">
        <f t="shared" si="99"/>
        <v>5</v>
      </c>
      <c r="AF1278" s="20"/>
      <c r="AG1278" s="20"/>
      <c r="AH1278" s="61">
        <v>0.1</v>
      </c>
      <c r="AI1278" s="20">
        <v>0.5</v>
      </c>
      <c r="AL1278" s="153">
        <v>35</v>
      </c>
      <c r="BF1278" s="74">
        <v>0</v>
      </c>
    </row>
    <row r="1279" spans="1:58" s="74" customFormat="1" ht="14.5">
      <c r="A1279" s="74">
        <v>2100174</v>
      </c>
      <c r="C1279" s="74">
        <v>1</v>
      </c>
      <c r="E1279" s="74" t="s">
        <v>4101</v>
      </c>
      <c r="F1279" s="74" t="s">
        <v>4008</v>
      </c>
      <c r="G1279" s="74" t="str">
        <f>VLOOKUP(F1279,'[3]#对话模型配置'!A:O,12,FALSE)</f>
        <v>TID_Dialogue_Character_11</v>
      </c>
      <c r="H1279" s="74" t="s">
        <v>3889</v>
      </c>
      <c r="I1279" s="74" t="str">
        <f>VLOOKUP(F1279,'[3]#对话模型配置'!A:O,15,FALSE)</f>
        <v>newbie_oversea_andrea</v>
      </c>
      <c r="J1279" s="24" t="s">
        <v>4144</v>
      </c>
      <c r="K1279" s="146" t="s">
        <v>4145</v>
      </c>
      <c r="U1279" s="74">
        <v>5</v>
      </c>
      <c r="V1279" s="74">
        <v>0</v>
      </c>
      <c r="Y1279" s="74" t="b">
        <v>0</v>
      </c>
      <c r="Z1279" s="20"/>
      <c r="AA1279" s="74" t="b">
        <v>1</v>
      </c>
      <c r="AD1279" s="74">
        <v>5</v>
      </c>
      <c r="AE1279" s="20">
        <f t="shared" si="99"/>
        <v>5</v>
      </c>
      <c r="AF1279" s="20"/>
      <c r="AG1279" s="20"/>
      <c r="AH1279" s="61">
        <v>0.1</v>
      </c>
      <c r="AI1279" s="20">
        <v>0.5</v>
      </c>
      <c r="AL1279" s="153">
        <v>35</v>
      </c>
      <c r="BF1279" s="74">
        <v>0</v>
      </c>
    </row>
    <row r="1280" spans="1:58" ht="16.5">
      <c r="A1280" s="140">
        <v>2100180</v>
      </c>
      <c r="B1280" s="141"/>
      <c r="C1280" s="141">
        <v>1</v>
      </c>
      <c r="D1280" s="141"/>
      <c r="E1280" s="141" t="s">
        <v>4146</v>
      </c>
      <c r="F1280" s="142" t="s">
        <v>4008</v>
      </c>
      <c r="G1280" s="22" t="s">
        <v>4147</v>
      </c>
      <c r="H1280" s="143" t="s">
        <v>3889</v>
      </c>
      <c r="I1280" s="143" t="s">
        <v>4148</v>
      </c>
      <c r="J1280" s="147" t="s">
        <v>4149</v>
      </c>
      <c r="K1280" s="148" t="s">
        <v>4150</v>
      </c>
      <c r="L1280" s="140"/>
      <c r="M1280" s="141"/>
      <c r="N1280" s="141"/>
      <c r="O1280" s="141"/>
      <c r="P1280" s="141"/>
      <c r="Q1280" s="141"/>
      <c r="R1280" s="141"/>
      <c r="S1280" s="141"/>
      <c r="T1280" s="141"/>
      <c r="U1280" s="141">
        <v>5</v>
      </c>
      <c r="V1280" s="141">
        <v>0</v>
      </c>
      <c r="W1280" s="141"/>
      <c r="X1280" s="141"/>
      <c r="Y1280" s="149" t="b">
        <v>0</v>
      </c>
      <c r="Z1280" s="141" t="s">
        <v>4151</v>
      </c>
      <c r="AA1280" s="150" t="b">
        <v>1</v>
      </c>
      <c r="AB1280" s="141"/>
      <c r="AC1280" s="141"/>
      <c r="AD1280" s="141">
        <v>7.4429168701171902</v>
      </c>
      <c r="AE1280" s="141">
        <v>5</v>
      </c>
      <c r="AF1280" s="141"/>
      <c r="AG1280" s="141"/>
      <c r="AH1280" s="141">
        <v>0.1</v>
      </c>
      <c r="AI1280" s="141">
        <v>0.5</v>
      </c>
      <c r="AJ1280" s="141"/>
      <c r="AK1280" s="141"/>
      <c r="AL1280" s="154">
        <v>35</v>
      </c>
      <c r="AM1280" s="141"/>
      <c r="AN1280" s="141"/>
      <c r="AO1280" s="141"/>
      <c r="AP1280" s="141"/>
      <c r="AQ1280" s="141"/>
      <c r="AR1280" s="141"/>
      <c r="AS1280" s="141"/>
      <c r="AT1280" s="141"/>
      <c r="AU1280" s="141"/>
      <c r="AV1280" s="141"/>
      <c r="AW1280" s="141"/>
      <c r="AX1280" s="141"/>
      <c r="AY1280" s="141"/>
      <c r="AZ1280" s="141"/>
      <c r="BD1280" s="20">
        <v>-1</v>
      </c>
      <c r="BE1280" s="20" t="s">
        <v>4152</v>
      </c>
      <c r="BF1280" s="20">
        <v>0</v>
      </c>
    </row>
    <row r="1281" spans="1:58" ht="16.5">
      <c r="A1281" s="155">
        <v>2100181</v>
      </c>
      <c r="B1281" s="156"/>
      <c r="C1281" s="156">
        <v>1</v>
      </c>
      <c r="D1281" s="156"/>
      <c r="E1281" s="156" t="s">
        <v>4146</v>
      </c>
      <c r="F1281" s="157" t="s">
        <v>4008</v>
      </c>
      <c r="G1281" s="158" t="s">
        <v>4147</v>
      </c>
      <c r="H1281" s="159" t="s">
        <v>3889</v>
      </c>
      <c r="I1281" s="159" t="s">
        <v>4148</v>
      </c>
      <c r="J1281" s="147" t="s">
        <v>4153</v>
      </c>
      <c r="K1281" s="167" t="s">
        <v>4154</v>
      </c>
      <c r="L1281" s="155"/>
      <c r="M1281" s="156"/>
      <c r="N1281" s="156"/>
      <c r="O1281" s="156"/>
      <c r="P1281" s="156"/>
      <c r="Q1281" s="156"/>
      <c r="R1281" s="156"/>
      <c r="S1281" s="156"/>
      <c r="T1281" s="156"/>
      <c r="U1281" s="156">
        <v>5</v>
      </c>
      <c r="V1281" s="156">
        <v>0</v>
      </c>
      <c r="W1281" s="156"/>
      <c r="X1281" s="156"/>
      <c r="Y1281" s="175" t="b">
        <v>0</v>
      </c>
      <c r="Z1281" s="141" t="s">
        <v>4155</v>
      </c>
      <c r="AA1281" s="176" t="b">
        <v>1</v>
      </c>
      <c r="AB1281" s="156"/>
      <c r="AC1281" s="156"/>
      <c r="AD1281" s="156">
        <v>9.9528751373290998</v>
      </c>
      <c r="AE1281" s="156">
        <v>5</v>
      </c>
      <c r="AF1281" s="156"/>
      <c r="AG1281" s="156"/>
      <c r="AH1281" s="156">
        <v>0.1</v>
      </c>
      <c r="AI1281" s="156">
        <v>0.5</v>
      </c>
      <c r="AJ1281" s="156"/>
      <c r="AK1281" s="156"/>
      <c r="AL1281" s="177">
        <v>35</v>
      </c>
      <c r="AM1281" s="156"/>
      <c r="AN1281" s="156"/>
      <c r="AO1281" s="156"/>
      <c r="AP1281" s="156"/>
      <c r="AQ1281" s="156"/>
      <c r="AR1281" s="156"/>
      <c r="AS1281" s="156"/>
      <c r="AT1281" s="156"/>
      <c r="AU1281" s="156"/>
      <c r="AV1281" s="156"/>
      <c r="AW1281" s="156"/>
      <c r="AX1281" s="156"/>
      <c r="AY1281" s="156"/>
      <c r="AZ1281" s="156"/>
      <c r="BD1281" s="20">
        <v>-1</v>
      </c>
      <c r="BE1281" s="20" t="s">
        <v>4152</v>
      </c>
      <c r="BF1281" s="20">
        <v>0</v>
      </c>
    </row>
    <row r="1282" spans="1:58" ht="16.5">
      <c r="A1282" s="155">
        <v>2100182</v>
      </c>
      <c r="B1282" s="156"/>
      <c r="C1282" s="156">
        <v>1</v>
      </c>
      <c r="D1282" s="156"/>
      <c r="E1282" s="156" t="s">
        <v>4146</v>
      </c>
      <c r="F1282" s="157" t="s">
        <v>4156</v>
      </c>
      <c r="G1282" s="158" t="s">
        <v>4157</v>
      </c>
      <c r="H1282" s="159" t="s">
        <v>3889</v>
      </c>
      <c r="I1282" s="159" t="s">
        <v>4158</v>
      </c>
      <c r="J1282" s="147" t="s">
        <v>4159</v>
      </c>
      <c r="K1282" s="167" t="s">
        <v>4160</v>
      </c>
      <c r="L1282" s="155"/>
      <c r="M1282" s="156"/>
      <c r="N1282" s="156"/>
      <c r="O1282" s="156"/>
      <c r="P1282" s="156"/>
      <c r="Q1282" s="156"/>
      <c r="R1282" s="156"/>
      <c r="S1282" s="156"/>
      <c r="T1282" s="156"/>
      <c r="U1282" s="141">
        <v>5</v>
      </c>
      <c r="V1282" s="156">
        <v>0</v>
      </c>
      <c r="W1282" s="156"/>
      <c r="X1282" s="156"/>
      <c r="Y1282" s="175" t="b">
        <v>0</v>
      </c>
      <c r="Z1282" s="156"/>
      <c r="AA1282" s="176" t="b">
        <v>1</v>
      </c>
      <c r="AB1282" s="156"/>
      <c r="AC1282" s="156"/>
      <c r="AD1282" s="156">
        <v>5</v>
      </c>
      <c r="AE1282" s="156">
        <v>5</v>
      </c>
      <c r="AF1282" s="156"/>
      <c r="AG1282" s="156"/>
      <c r="AH1282" s="141">
        <v>0.1</v>
      </c>
      <c r="AI1282" s="156">
        <v>0.5</v>
      </c>
      <c r="AJ1282" s="156"/>
      <c r="AK1282" s="156"/>
      <c r="AL1282" s="177">
        <v>35</v>
      </c>
      <c r="AM1282" s="156"/>
      <c r="AN1282" s="156"/>
      <c r="AO1282" s="156"/>
      <c r="AP1282" s="156"/>
      <c r="AQ1282" s="156"/>
      <c r="AR1282" s="156"/>
      <c r="AS1282" s="156"/>
      <c r="AT1282" s="156"/>
      <c r="AU1282" s="156"/>
      <c r="AV1282" s="156"/>
      <c r="AW1282" s="156"/>
      <c r="AX1282" s="156"/>
      <c r="AY1282" s="156"/>
      <c r="AZ1282" s="156"/>
      <c r="BD1282" s="20">
        <v>-1</v>
      </c>
      <c r="BE1282" s="20" t="s">
        <v>4152</v>
      </c>
      <c r="BF1282" s="20">
        <v>0</v>
      </c>
    </row>
    <row r="1283" spans="1:58" ht="16.5">
      <c r="A1283" s="155">
        <v>2100182</v>
      </c>
      <c r="B1283" s="156"/>
      <c r="C1283" s="156">
        <v>2</v>
      </c>
      <c r="D1283" s="156"/>
      <c r="E1283" s="156" t="s">
        <v>4146</v>
      </c>
      <c r="F1283" s="157" t="s">
        <v>4008</v>
      </c>
      <c r="G1283" s="158" t="s">
        <v>4147</v>
      </c>
      <c r="H1283" s="159" t="s">
        <v>3889</v>
      </c>
      <c r="I1283" s="159" t="s">
        <v>4148</v>
      </c>
      <c r="J1283" s="147" t="s">
        <v>4161</v>
      </c>
      <c r="K1283" s="167" t="s">
        <v>4162</v>
      </c>
      <c r="L1283" s="155"/>
      <c r="M1283" s="156"/>
      <c r="N1283" s="156"/>
      <c r="O1283" s="156"/>
      <c r="P1283" s="156"/>
      <c r="Q1283" s="156"/>
      <c r="R1283" s="156"/>
      <c r="S1283" s="156"/>
      <c r="T1283" s="156"/>
      <c r="U1283" s="156">
        <v>5</v>
      </c>
      <c r="V1283" s="156">
        <v>0</v>
      </c>
      <c r="W1283" s="156"/>
      <c r="X1283" s="156"/>
      <c r="Y1283" s="175" t="b">
        <v>0</v>
      </c>
      <c r="Z1283" s="156"/>
      <c r="AA1283" s="176" t="b">
        <v>1</v>
      </c>
      <c r="AB1283" s="156"/>
      <c r="AC1283" s="156"/>
      <c r="AD1283" s="156">
        <v>5</v>
      </c>
      <c r="AE1283" s="156">
        <v>5</v>
      </c>
      <c r="AF1283" s="156"/>
      <c r="AG1283" s="156"/>
      <c r="AH1283" s="156">
        <v>0.1</v>
      </c>
      <c r="AI1283" s="156">
        <v>0.5</v>
      </c>
      <c r="AJ1283" s="156"/>
      <c r="AK1283" s="156"/>
      <c r="AL1283" s="177">
        <v>35</v>
      </c>
      <c r="AM1283" s="156"/>
      <c r="AN1283" s="156"/>
      <c r="AO1283" s="156"/>
      <c r="AP1283" s="156"/>
      <c r="AQ1283" s="156"/>
      <c r="AR1283" s="156"/>
      <c r="AS1283" s="156"/>
      <c r="AT1283" s="156"/>
      <c r="AU1283" s="156"/>
      <c r="AV1283" s="156"/>
      <c r="AW1283" s="156"/>
      <c r="AX1283" s="156"/>
      <c r="AY1283" s="156"/>
      <c r="AZ1283" s="156"/>
      <c r="BD1283" s="20">
        <v>-1</v>
      </c>
      <c r="BE1283" s="20" t="s">
        <v>4152</v>
      </c>
      <c r="BF1283" s="20">
        <v>0</v>
      </c>
    </row>
    <row r="1284" spans="1:58" ht="16.5">
      <c r="A1284" s="155">
        <v>2100183</v>
      </c>
      <c r="B1284" s="156"/>
      <c r="C1284" s="156">
        <v>1</v>
      </c>
      <c r="D1284" s="156"/>
      <c r="E1284" s="156" t="s">
        <v>4146</v>
      </c>
      <c r="F1284" s="157" t="s">
        <v>4008</v>
      </c>
      <c r="G1284" s="158" t="s">
        <v>4147</v>
      </c>
      <c r="H1284" s="159" t="s">
        <v>3889</v>
      </c>
      <c r="I1284" s="159" t="s">
        <v>4148</v>
      </c>
      <c r="J1284" s="147" t="s">
        <v>4163</v>
      </c>
      <c r="K1284" s="167" t="s">
        <v>4164</v>
      </c>
      <c r="L1284" s="155"/>
      <c r="M1284" s="156"/>
      <c r="N1284" s="156"/>
      <c r="O1284" s="156"/>
      <c r="P1284" s="156"/>
      <c r="Q1284" s="156"/>
      <c r="R1284" s="156"/>
      <c r="S1284" s="156"/>
      <c r="T1284" s="156"/>
      <c r="U1284" s="141">
        <v>5</v>
      </c>
      <c r="V1284" s="156">
        <v>0</v>
      </c>
      <c r="W1284" s="156"/>
      <c r="X1284" s="156"/>
      <c r="Y1284" s="175" t="b">
        <v>0</v>
      </c>
      <c r="Z1284" s="141" t="s">
        <v>4165</v>
      </c>
      <c r="AA1284" s="176" t="b">
        <v>1</v>
      </c>
      <c r="AB1284" s="156"/>
      <c r="AC1284" s="156"/>
      <c r="AD1284" s="156">
        <v>7.6411042213439897</v>
      </c>
      <c r="AE1284" s="156">
        <v>8</v>
      </c>
      <c r="AF1284" s="156"/>
      <c r="AG1284" s="156"/>
      <c r="AH1284" s="141">
        <v>0.1</v>
      </c>
      <c r="AI1284" s="156">
        <v>0.5</v>
      </c>
      <c r="AJ1284" s="156"/>
      <c r="AK1284" s="156"/>
      <c r="AL1284" s="177">
        <v>35</v>
      </c>
      <c r="AM1284" s="156"/>
      <c r="AN1284" s="156"/>
      <c r="AO1284" s="156"/>
      <c r="AP1284" s="156"/>
      <c r="AQ1284" s="156"/>
      <c r="AR1284" s="156"/>
      <c r="AS1284" s="156"/>
      <c r="AT1284" s="156"/>
      <c r="AU1284" s="156"/>
      <c r="AV1284" s="156"/>
      <c r="AW1284" s="156"/>
      <c r="AX1284" s="156"/>
      <c r="AY1284" s="156"/>
      <c r="AZ1284" s="156"/>
      <c r="BD1284" s="20">
        <v>-1</v>
      </c>
      <c r="BE1284" s="20" t="s">
        <v>4152</v>
      </c>
      <c r="BF1284" s="20">
        <v>0</v>
      </c>
    </row>
    <row r="1285" spans="1:58" ht="16.5">
      <c r="A1285" s="155">
        <v>2100184</v>
      </c>
      <c r="B1285" s="156"/>
      <c r="C1285" s="156">
        <v>1</v>
      </c>
      <c r="D1285" s="156"/>
      <c r="E1285" s="156" t="s">
        <v>4146</v>
      </c>
      <c r="F1285" s="160" t="s">
        <v>4008</v>
      </c>
      <c r="G1285" s="158" t="s">
        <v>4147</v>
      </c>
      <c r="H1285" s="159" t="s">
        <v>3889</v>
      </c>
      <c r="I1285" s="159" t="s">
        <v>4148</v>
      </c>
      <c r="J1285" s="147" t="s">
        <v>4166</v>
      </c>
      <c r="K1285" s="168" t="s">
        <v>4167</v>
      </c>
      <c r="L1285" s="155"/>
      <c r="M1285" s="156"/>
      <c r="N1285" s="156"/>
      <c r="O1285" s="156"/>
      <c r="P1285" s="156"/>
      <c r="Q1285" s="156"/>
      <c r="R1285" s="156"/>
      <c r="S1285" s="156"/>
      <c r="T1285" s="156"/>
      <c r="U1285" s="156">
        <v>5</v>
      </c>
      <c r="V1285" s="156">
        <v>0</v>
      </c>
      <c r="W1285" s="156"/>
      <c r="X1285" s="156"/>
      <c r="Y1285" s="175" t="b">
        <v>0</v>
      </c>
      <c r="Z1285" s="141" t="s">
        <v>4168</v>
      </c>
      <c r="AA1285" s="176" t="b">
        <v>1</v>
      </c>
      <c r="AB1285" s="156"/>
      <c r="AC1285" s="156"/>
      <c r="AD1285" s="156">
        <v>8.87322902679443</v>
      </c>
      <c r="AE1285" s="156">
        <v>8</v>
      </c>
      <c r="AF1285" s="156"/>
      <c r="AG1285" s="156"/>
      <c r="AH1285" s="156">
        <v>0.1</v>
      </c>
      <c r="AI1285" s="156">
        <v>0.5</v>
      </c>
      <c r="AJ1285" s="156"/>
      <c r="AK1285" s="156"/>
      <c r="AL1285" s="177">
        <v>35</v>
      </c>
      <c r="AM1285" s="156"/>
      <c r="AN1285" s="156"/>
      <c r="AO1285" s="156"/>
      <c r="AP1285" s="156"/>
      <c r="AQ1285" s="156"/>
      <c r="AR1285" s="156"/>
      <c r="AS1285" s="156"/>
      <c r="AT1285" s="156"/>
      <c r="AU1285" s="156"/>
      <c r="AV1285" s="156"/>
      <c r="AW1285" s="156"/>
      <c r="AX1285" s="156"/>
      <c r="AY1285" s="156"/>
      <c r="AZ1285" s="156"/>
      <c r="BD1285" s="20">
        <v>-1</v>
      </c>
      <c r="BE1285" s="20" t="s">
        <v>4152</v>
      </c>
      <c r="BF1285" s="20">
        <v>0</v>
      </c>
    </row>
    <row r="1286" spans="1:58" ht="16.5">
      <c r="A1286" s="155">
        <v>2100185</v>
      </c>
      <c r="B1286" s="156"/>
      <c r="C1286" s="156">
        <v>1</v>
      </c>
      <c r="D1286" s="156"/>
      <c r="E1286" s="156" t="s">
        <v>4146</v>
      </c>
      <c r="F1286" s="157" t="s">
        <v>4008</v>
      </c>
      <c r="G1286" s="158" t="s">
        <v>4147</v>
      </c>
      <c r="H1286" s="159" t="s">
        <v>3889</v>
      </c>
      <c r="I1286" s="159" t="s">
        <v>4148</v>
      </c>
      <c r="J1286" s="147" t="s">
        <v>4169</v>
      </c>
      <c r="K1286" s="169" t="s">
        <v>4170</v>
      </c>
      <c r="L1286" s="155"/>
      <c r="M1286" s="156"/>
      <c r="N1286" s="156"/>
      <c r="O1286" s="156"/>
      <c r="P1286" s="156"/>
      <c r="Q1286" s="156"/>
      <c r="R1286" s="156"/>
      <c r="S1286" s="156"/>
      <c r="T1286" s="156"/>
      <c r="U1286" s="141">
        <v>5</v>
      </c>
      <c r="V1286" s="156">
        <v>0</v>
      </c>
      <c r="W1286" s="156"/>
      <c r="X1286" s="156"/>
      <c r="Y1286" s="175" t="b">
        <v>0</v>
      </c>
      <c r="Z1286" s="141" t="s">
        <v>4171</v>
      </c>
      <c r="AA1286" s="176" t="b">
        <v>1</v>
      </c>
      <c r="AB1286" s="156"/>
      <c r="AC1286" s="156"/>
      <c r="AD1286" s="156">
        <v>6.1348328590393102</v>
      </c>
      <c r="AE1286" s="156">
        <v>8</v>
      </c>
      <c r="AF1286" s="156"/>
      <c r="AG1286" s="156"/>
      <c r="AH1286" s="141">
        <v>0.1</v>
      </c>
      <c r="AI1286" s="156">
        <v>0.5</v>
      </c>
      <c r="AJ1286" s="156"/>
      <c r="AK1286" s="156"/>
      <c r="AL1286" s="177">
        <v>35</v>
      </c>
      <c r="AM1286" s="156"/>
      <c r="AN1286" s="156"/>
      <c r="AO1286" s="156"/>
      <c r="AP1286" s="156"/>
      <c r="AQ1286" s="156"/>
      <c r="AR1286" s="156"/>
      <c r="AS1286" s="156"/>
      <c r="AT1286" s="156"/>
      <c r="AU1286" s="156"/>
      <c r="AV1286" s="156"/>
      <c r="AW1286" s="156"/>
      <c r="AX1286" s="156"/>
      <c r="AY1286" s="156"/>
      <c r="AZ1286" s="156"/>
      <c r="BD1286" s="20">
        <v>-1</v>
      </c>
      <c r="BE1286" s="20" t="s">
        <v>4152</v>
      </c>
      <c r="BF1286" s="20">
        <v>0</v>
      </c>
    </row>
    <row r="1287" spans="1:58" ht="16.5">
      <c r="A1287" s="155">
        <v>2100186</v>
      </c>
      <c r="B1287" s="156"/>
      <c r="C1287" s="156">
        <v>1</v>
      </c>
      <c r="D1287" s="156"/>
      <c r="E1287" s="156" t="s">
        <v>4146</v>
      </c>
      <c r="F1287" s="157" t="s">
        <v>4008</v>
      </c>
      <c r="G1287" s="158" t="s">
        <v>4147</v>
      </c>
      <c r="H1287" s="159" t="s">
        <v>3889</v>
      </c>
      <c r="I1287" s="159" t="s">
        <v>4148</v>
      </c>
      <c r="J1287" s="147" t="s">
        <v>4172</v>
      </c>
      <c r="K1287" s="167" t="s">
        <v>4173</v>
      </c>
      <c r="L1287" s="155"/>
      <c r="M1287" s="156"/>
      <c r="N1287" s="156"/>
      <c r="O1287" s="156"/>
      <c r="P1287" s="156"/>
      <c r="Q1287" s="156"/>
      <c r="R1287" s="156"/>
      <c r="S1287" s="156"/>
      <c r="T1287" s="156"/>
      <c r="U1287" s="156">
        <v>5</v>
      </c>
      <c r="V1287" s="156">
        <v>0</v>
      </c>
      <c r="W1287" s="156"/>
      <c r="X1287" s="156"/>
      <c r="Y1287" s="175" t="b">
        <v>0</v>
      </c>
      <c r="Z1287" s="141" t="s">
        <v>4174</v>
      </c>
      <c r="AA1287" s="176" t="b">
        <v>1</v>
      </c>
      <c r="AB1287" s="156"/>
      <c r="AC1287" s="156"/>
      <c r="AD1287" s="156">
        <v>4.6907501220703098</v>
      </c>
      <c r="AE1287" s="156">
        <v>5</v>
      </c>
      <c r="AF1287" s="156"/>
      <c r="AG1287" s="156"/>
      <c r="AH1287" s="156">
        <v>0.1</v>
      </c>
      <c r="AI1287" s="156">
        <v>0.5</v>
      </c>
      <c r="AJ1287" s="156"/>
      <c r="AK1287" s="156"/>
      <c r="AL1287" s="177">
        <v>35</v>
      </c>
      <c r="AM1287" s="156"/>
      <c r="AN1287" s="156"/>
      <c r="AO1287" s="156"/>
      <c r="AP1287" s="156"/>
      <c r="AQ1287" s="156"/>
      <c r="AR1287" s="156"/>
      <c r="AS1287" s="156"/>
      <c r="AT1287" s="156"/>
      <c r="AU1287" s="156"/>
      <c r="AV1287" s="156"/>
      <c r="AW1287" s="156"/>
      <c r="AX1287" s="156"/>
      <c r="AY1287" s="156"/>
      <c r="AZ1287" s="156"/>
      <c r="BD1287" s="20">
        <v>-1</v>
      </c>
      <c r="BE1287" s="20" t="s">
        <v>4152</v>
      </c>
      <c r="BF1287" s="20">
        <v>0</v>
      </c>
    </row>
    <row r="1288" spans="1:58" ht="16.5">
      <c r="A1288" s="155">
        <v>2100187</v>
      </c>
      <c r="B1288" s="156"/>
      <c r="C1288" s="156">
        <v>1</v>
      </c>
      <c r="D1288" s="156"/>
      <c r="E1288" s="156" t="s">
        <v>4146</v>
      </c>
      <c r="F1288" s="157" t="s">
        <v>4008</v>
      </c>
      <c r="G1288" s="158" t="s">
        <v>4147</v>
      </c>
      <c r="H1288" s="159" t="s">
        <v>3889</v>
      </c>
      <c r="I1288" s="159" t="s">
        <v>4148</v>
      </c>
      <c r="J1288" s="147" t="s">
        <v>4175</v>
      </c>
      <c r="K1288" s="167" t="s">
        <v>4176</v>
      </c>
      <c r="L1288" s="155"/>
      <c r="M1288" s="156"/>
      <c r="N1288" s="156"/>
      <c r="O1288" s="156"/>
      <c r="P1288" s="156"/>
      <c r="Q1288" s="156"/>
      <c r="R1288" s="156"/>
      <c r="S1288" s="156"/>
      <c r="T1288" s="156"/>
      <c r="U1288" s="141">
        <v>5</v>
      </c>
      <c r="V1288" s="156">
        <v>0</v>
      </c>
      <c r="W1288" s="156"/>
      <c r="X1288" s="156"/>
      <c r="Y1288" s="175" t="b">
        <v>0</v>
      </c>
      <c r="Z1288" s="141" t="s">
        <v>4177</v>
      </c>
      <c r="AA1288" s="176" t="b">
        <v>1</v>
      </c>
      <c r="AB1288" s="156"/>
      <c r="AC1288" s="156"/>
      <c r="AD1288" s="156">
        <v>5.029541015625</v>
      </c>
      <c r="AE1288" s="156">
        <v>5</v>
      </c>
      <c r="AF1288" s="156"/>
      <c r="AG1288" s="156"/>
      <c r="AH1288" s="141">
        <v>0.1</v>
      </c>
      <c r="AI1288" s="156">
        <v>0.5</v>
      </c>
      <c r="AJ1288" s="156"/>
      <c r="AK1288" s="156"/>
      <c r="AL1288" s="177">
        <v>35</v>
      </c>
      <c r="AM1288" s="156"/>
      <c r="AN1288" s="156"/>
      <c r="AO1288" s="156"/>
      <c r="AP1288" s="156"/>
      <c r="AQ1288" s="156"/>
      <c r="AR1288" s="156"/>
      <c r="AS1288" s="156"/>
      <c r="AT1288" s="156"/>
      <c r="AU1288" s="156"/>
      <c r="AV1288" s="156"/>
      <c r="AW1288" s="156"/>
      <c r="AX1288" s="156"/>
      <c r="AY1288" s="156"/>
      <c r="AZ1288" s="156"/>
      <c r="BD1288" s="20">
        <v>-1</v>
      </c>
      <c r="BE1288" s="20" t="s">
        <v>4152</v>
      </c>
      <c r="BF1288" s="20">
        <v>0</v>
      </c>
    </row>
    <row r="1289" spans="1:58" ht="33">
      <c r="A1289" s="155">
        <v>2100188</v>
      </c>
      <c r="B1289" s="156"/>
      <c r="C1289" s="156">
        <v>1</v>
      </c>
      <c r="D1289" s="156"/>
      <c r="E1289" s="156" t="s">
        <v>4146</v>
      </c>
      <c r="F1289" s="157" t="s">
        <v>4008</v>
      </c>
      <c r="G1289" s="158" t="s">
        <v>4147</v>
      </c>
      <c r="H1289" s="159" t="s">
        <v>3889</v>
      </c>
      <c r="I1289" s="159" t="s">
        <v>4148</v>
      </c>
      <c r="J1289" s="147" t="s">
        <v>4178</v>
      </c>
      <c r="K1289" s="170" t="s">
        <v>4179</v>
      </c>
      <c r="L1289" s="155"/>
      <c r="M1289" s="156"/>
      <c r="N1289" s="156"/>
      <c r="O1289" s="156"/>
      <c r="P1289" s="156"/>
      <c r="Q1289" s="156"/>
      <c r="R1289" s="156"/>
      <c r="S1289" s="156"/>
      <c r="T1289" s="156"/>
      <c r="U1289" s="156">
        <v>5</v>
      </c>
      <c r="V1289" s="156">
        <v>0</v>
      </c>
      <c r="W1289" s="156"/>
      <c r="X1289" s="156"/>
      <c r="Y1289" s="175" t="b">
        <v>0</v>
      </c>
      <c r="Z1289" s="141" t="s">
        <v>4180</v>
      </c>
      <c r="AA1289" s="176" t="b">
        <v>1</v>
      </c>
      <c r="AB1289" s="156"/>
      <c r="AC1289" s="156"/>
      <c r="AD1289" s="156">
        <v>10.068208694458001</v>
      </c>
      <c r="AE1289" s="156">
        <v>5</v>
      </c>
      <c r="AF1289" s="156"/>
      <c r="AG1289" s="156"/>
      <c r="AH1289" s="156">
        <v>0.1</v>
      </c>
      <c r="AI1289" s="156">
        <v>0.5</v>
      </c>
      <c r="AJ1289" s="156"/>
      <c r="AK1289" s="156"/>
      <c r="AL1289" s="177">
        <v>35</v>
      </c>
      <c r="AM1289" s="156"/>
      <c r="AN1289" s="156"/>
      <c r="AO1289" s="156"/>
      <c r="AP1289" s="156"/>
      <c r="AQ1289" s="156"/>
      <c r="AR1289" s="156"/>
      <c r="AS1289" s="156"/>
      <c r="AT1289" s="156"/>
      <c r="AU1289" s="156"/>
      <c r="AV1289" s="156"/>
      <c r="AW1289" s="156"/>
      <c r="AX1289" s="156"/>
      <c r="AY1289" s="156"/>
      <c r="AZ1289" s="156"/>
      <c r="BD1289" s="20">
        <v>-1</v>
      </c>
      <c r="BE1289" s="20" t="s">
        <v>4152</v>
      </c>
      <c r="BF1289" s="20">
        <v>0</v>
      </c>
    </row>
    <row r="1290" spans="1:58" ht="16.5">
      <c r="A1290" s="155">
        <v>2100189</v>
      </c>
      <c r="B1290" s="156"/>
      <c r="C1290" s="156">
        <v>1</v>
      </c>
      <c r="D1290" s="156"/>
      <c r="E1290" s="156" t="s">
        <v>4146</v>
      </c>
      <c r="F1290" s="161" t="s">
        <v>4008</v>
      </c>
      <c r="G1290" s="158" t="s">
        <v>4147</v>
      </c>
      <c r="H1290" s="159" t="s">
        <v>3889</v>
      </c>
      <c r="I1290" s="159" t="s">
        <v>4148</v>
      </c>
      <c r="J1290" s="147" t="s">
        <v>4181</v>
      </c>
      <c r="K1290" s="171" t="s">
        <v>4182</v>
      </c>
      <c r="L1290" s="155"/>
      <c r="M1290" s="156"/>
      <c r="N1290" s="156"/>
      <c r="O1290" s="156"/>
      <c r="P1290" s="156"/>
      <c r="Q1290" s="156"/>
      <c r="R1290" s="156"/>
      <c r="S1290" s="156"/>
      <c r="T1290" s="156"/>
      <c r="U1290" s="141">
        <v>5</v>
      </c>
      <c r="V1290" s="156">
        <v>0</v>
      </c>
      <c r="W1290" s="156"/>
      <c r="X1290" s="156"/>
      <c r="Y1290" s="175" t="b">
        <v>0</v>
      </c>
      <c r="Z1290" s="141" t="s">
        <v>4183</v>
      </c>
      <c r="AA1290" s="176" t="b">
        <v>1</v>
      </c>
      <c r="AB1290" s="156"/>
      <c r="AC1290" s="156"/>
      <c r="AD1290" s="156">
        <v>5.5747909545898402</v>
      </c>
      <c r="AE1290" s="156">
        <v>5</v>
      </c>
      <c r="AF1290" s="156"/>
      <c r="AG1290" s="156"/>
      <c r="AH1290" s="141">
        <v>0.1</v>
      </c>
      <c r="AI1290" s="156">
        <v>0.5</v>
      </c>
      <c r="AJ1290" s="156"/>
      <c r="AK1290" s="156"/>
      <c r="AL1290" s="177">
        <v>35</v>
      </c>
      <c r="AM1290" s="156"/>
      <c r="AN1290" s="156"/>
      <c r="AO1290" s="156"/>
      <c r="AP1290" s="156"/>
      <c r="AQ1290" s="156"/>
      <c r="AR1290" s="156"/>
      <c r="AS1290" s="156"/>
      <c r="AT1290" s="156"/>
      <c r="AU1290" s="156"/>
      <c r="AV1290" s="156"/>
      <c r="AW1290" s="156"/>
      <c r="AX1290" s="156"/>
      <c r="AY1290" s="156"/>
      <c r="AZ1290" s="156"/>
      <c r="BD1290" s="20">
        <v>-1</v>
      </c>
      <c r="BE1290" s="20" t="s">
        <v>4152</v>
      </c>
      <c r="BF1290" s="20">
        <v>0</v>
      </c>
    </row>
    <row r="1291" spans="1:58" ht="33">
      <c r="A1291" s="155">
        <v>2100190</v>
      </c>
      <c r="B1291" s="156"/>
      <c r="C1291" s="156">
        <v>1</v>
      </c>
      <c r="D1291" s="156"/>
      <c r="E1291" s="156" t="s">
        <v>4146</v>
      </c>
      <c r="F1291" s="157" t="s">
        <v>4008</v>
      </c>
      <c r="G1291" s="158" t="s">
        <v>4147</v>
      </c>
      <c r="H1291" s="159" t="s">
        <v>3889</v>
      </c>
      <c r="I1291" s="159" t="s">
        <v>4148</v>
      </c>
      <c r="J1291" s="147" t="s">
        <v>4184</v>
      </c>
      <c r="K1291" s="167" t="s">
        <v>4185</v>
      </c>
      <c r="L1291" s="155"/>
      <c r="M1291" s="156"/>
      <c r="N1291" s="156"/>
      <c r="O1291" s="156"/>
      <c r="P1291" s="156"/>
      <c r="Q1291" s="156"/>
      <c r="R1291" s="156"/>
      <c r="S1291" s="156"/>
      <c r="T1291" s="156"/>
      <c r="U1291" s="156">
        <v>5</v>
      </c>
      <c r="V1291" s="156">
        <v>0</v>
      </c>
      <c r="W1291" s="156"/>
      <c r="X1291" s="156"/>
      <c r="Y1291" s="175" t="b">
        <v>0</v>
      </c>
      <c r="Z1291" s="141" t="s">
        <v>4186</v>
      </c>
      <c r="AA1291" s="176" t="b">
        <v>1</v>
      </c>
      <c r="AB1291" s="156"/>
      <c r="AC1291" s="156"/>
      <c r="AD1291" s="156">
        <v>7.4198331832885698</v>
      </c>
      <c r="AE1291" s="156">
        <v>5</v>
      </c>
      <c r="AF1291" s="156"/>
      <c r="AG1291" s="156"/>
      <c r="AH1291" s="156">
        <v>0.1</v>
      </c>
      <c r="AI1291" s="156">
        <v>0.5</v>
      </c>
      <c r="AJ1291" s="156"/>
      <c r="AK1291" s="156"/>
      <c r="AL1291" s="177">
        <v>35</v>
      </c>
      <c r="AM1291" s="156"/>
      <c r="AN1291" s="156"/>
      <c r="AO1291" s="156"/>
      <c r="AP1291" s="156"/>
      <c r="AQ1291" s="156"/>
      <c r="AR1291" s="156"/>
      <c r="AS1291" s="156"/>
      <c r="AT1291" s="156"/>
      <c r="AU1291" s="156"/>
      <c r="AV1291" s="156"/>
      <c r="AW1291" s="156"/>
      <c r="AX1291" s="156"/>
      <c r="AY1291" s="156"/>
      <c r="AZ1291" s="156"/>
      <c r="BD1291" s="20">
        <v>-1</v>
      </c>
      <c r="BE1291" s="20" t="s">
        <v>4152</v>
      </c>
      <c r="BF1291" s="20">
        <v>0</v>
      </c>
    </row>
    <row r="1292" spans="1:58" ht="16.5">
      <c r="A1292" s="155">
        <v>2100191</v>
      </c>
      <c r="B1292" s="156"/>
      <c r="C1292" s="156">
        <v>1</v>
      </c>
      <c r="D1292" s="156"/>
      <c r="E1292" s="156" t="s">
        <v>4146</v>
      </c>
      <c r="F1292" s="157" t="s">
        <v>4008</v>
      </c>
      <c r="G1292" s="158" t="s">
        <v>4147</v>
      </c>
      <c r="H1292" s="159" t="s">
        <v>3889</v>
      </c>
      <c r="I1292" s="159" t="s">
        <v>4148</v>
      </c>
      <c r="J1292" s="147" t="s">
        <v>4187</v>
      </c>
      <c r="K1292" s="167" t="s">
        <v>4188</v>
      </c>
      <c r="L1292" s="155"/>
      <c r="M1292" s="156"/>
      <c r="N1292" s="156"/>
      <c r="O1292" s="156"/>
      <c r="P1292" s="156"/>
      <c r="Q1292" s="156"/>
      <c r="R1292" s="156"/>
      <c r="S1292" s="156"/>
      <c r="T1292" s="156"/>
      <c r="U1292" s="141">
        <v>5</v>
      </c>
      <c r="V1292" s="156">
        <v>0</v>
      </c>
      <c r="W1292" s="156"/>
      <c r="X1292" s="156"/>
      <c r="Y1292" s="175" t="b">
        <v>0</v>
      </c>
      <c r="Z1292" s="141" t="s">
        <v>4189</v>
      </c>
      <c r="AA1292" s="176" t="b">
        <v>1</v>
      </c>
      <c r="AB1292" s="156"/>
      <c r="AC1292" s="156"/>
      <c r="AD1292" s="156">
        <v>4.1303119659423801</v>
      </c>
      <c r="AE1292" s="156">
        <v>5</v>
      </c>
      <c r="AF1292" s="156"/>
      <c r="AG1292" s="156"/>
      <c r="AH1292" s="141">
        <v>0.1</v>
      </c>
      <c r="AI1292" s="156">
        <v>0.5</v>
      </c>
      <c r="AJ1292" s="156"/>
      <c r="AK1292" s="156"/>
      <c r="AL1292" s="177">
        <v>35</v>
      </c>
      <c r="AM1292" s="156"/>
      <c r="AN1292" s="156"/>
      <c r="AO1292" s="156"/>
      <c r="AP1292" s="156"/>
      <c r="AQ1292" s="156"/>
      <c r="AR1292" s="156"/>
      <c r="AS1292" s="156"/>
      <c r="AT1292" s="156"/>
      <c r="AU1292" s="156"/>
      <c r="AV1292" s="156"/>
      <c r="AW1292" s="156"/>
      <c r="AX1292" s="156"/>
      <c r="AY1292" s="156"/>
      <c r="AZ1292" s="156"/>
      <c r="BD1292" s="20">
        <v>-1</v>
      </c>
      <c r="BE1292" s="20" t="s">
        <v>4152</v>
      </c>
      <c r="BF1292" s="20">
        <v>0</v>
      </c>
    </row>
    <row r="1293" spans="1:58" ht="16.5">
      <c r="A1293" s="155">
        <v>2100192</v>
      </c>
      <c r="B1293" s="156"/>
      <c r="C1293" s="156">
        <v>1</v>
      </c>
      <c r="D1293" s="156"/>
      <c r="E1293" s="156" t="s">
        <v>4146</v>
      </c>
      <c r="F1293" s="162" t="s">
        <v>4156</v>
      </c>
      <c r="G1293" s="158" t="s">
        <v>4157</v>
      </c>
      <c r="H1293" s="159" t="s">
        <v>3889</v>
      </c>
      <c r="I1293" s="159" t="s">
        <v>4158</v>
      </c>
      <c r="J1293" s="147" t="s">
        <v>4190</v>
      </c>
      <c r="K1293" s="167" t="s">
        <v>4191</v>
      </c>
      <c r="L1293" s="155"/>
      <c r="M1293" s="156"/>
      <c r="N1293" s="156"/>
      <c r="O1293" s="156"/>
      <c r="P1293" s="156"/>
      <c r="Q1293" s="156"/>
      <c r="R1293" s="156"/>
      <c r="S1293" s="156"/>
      <c r="T1293" s="156"/>
      <c r="U1293" s="156">
        <v>5</v>
      </c>
      <c r="V1293" s="156">
        <v>0</v>
      </c>
      <c r="W1293" s="156"/>
      <c r="X1293" s="156"/>
      <c r="Y1293" s="175" t="b">
        <v>0</v>
      </c>
      <c r="Z1293" s="141" t="s">
        <v>4192</v>
      </c>
      <c r="AA1293" s="176" t="b">
        <v>1</v>
      </c>
      <c r="AB1293" s="156"/>
      <c r="AC1293" s="156"/>
      <c r="AD1293" s="156">
        <v>4.9615631103515598</v>
      </c>
      <c r="AE1293" s="156">
        <v>5</v>
      </c>
      <c r="AF1293" s="156"/>
      <c r="AG1293" s="156"/>
      <c r="AH1293" s="156">
        <v>0.1</v>
      </c>
      <c r="AI1293" s="156">
        <v>0.5</v>
      </c>
      <c r="AJ1293" s="156"/>
      <c r="AK1293" s="156"/>
      <c r="AL1293" s="177">
        <v>35</v>
      </c>
      <c r="AM1293" s="156"/>
      <c r="AN1293" s="156"/>
      <c r="AO1293" s="156"/>
      <c r="AP1293" s="156"/>
      <c r="AQ1293" s="156"/>
      <c r="AR1293" s="156"/>
      <c r="AS1293" s="156"/>
      <c r="AT1293" s="156"/>
      <c r="AU1293" s="156"/>
      <c r="AV1293" s="156"/>
      <c r="AW1293" s="156"/>
      <c r="AX1293" s="156"/>
      <c r="AY1293" s="156"/>
      <c r="AZ1293" s="156"/>
      <c r="BD1293" s="20">
        <v>-1</v>
      </c>
      <c r="BE1293" s="20" t="s">
        <v>4152</v>
      </c>
      <c r="BF1293" s="20">
        <v>0</v>
      </c>
    </row>
    <row r="1294" spans="1:58" ht="16.5">
      <c r="A1294" s="155">
        <v>2100193</v>
      </c>
      <c r="B1294" s="156"/>
      <c r="C1294" s="156">
        <v>1</v>
      </c>
      <c r="D1294" s="156"/>
      <c r="E1294" s="156" t="s">
        <v>4146</v>
      </c>
      <c r="F1294" s="163" t="s">
        <v>4008</v>
      </c>
      <c r="G1294" s="158" t="s">
        <v>4147</v>
      </c>
      <c r="H1294" s="159" t="s">
        <v>3889</v>
      </c>
      <c r="I1294" s="159" t="s">
        <v>4148</v>
      </c>
      <c r="J1294" s="147" t="s">
        <v>4193</v>
      </c>
      <c r="K1294" s="172" t="s">
        <v>4194</v>
      </c>
      <c r="L1294" s="155"/>
      <c r="M1294" s="156"/>
      <c r="N1294" s="156"/>
      <c r="O1294" s="156"/>
      <c r="P1294" s="156"/>
      <c r="Q1294" s="156"/>
      <c r="R1294" s="156"/>
      <c r="S1294" s="156"/>
      <c r="T1294" s="156"/>
      <c r="U1294" s="141">
        <v>5</v>
      </c>
      <c r="V1294" s="156">
        <v>0</v>
      </c>
      <c r="W1294" s="156"/>
      <c r="X1294" s="156"/>
      <c r="Y1294" s="175" t="b">
        <v>0</v>
      </c>
      <c r="Z1294" s="141" t="s">
        <v>4195</v>
      </c>
      <c r="AA1294" s="176" t="b">
        <v>1</v>
      </c>
      <c r="AB1294" s="156"/>
      <c r="AC1294" s="156"/>
      <c r="AD1294" s="156">
        <v>2.7967290878295898</v>
      </c>
      <c r="AE1294" s="156">
        <v>3</v>
      </c>
      <c r="AF1294" s="156"/>
      <c r="AG1294" s="156"/>
      <c r="AH1294" s="141">
        <v>0.1</v>
      </c>
      <c r="AI1294" s="156">
        <v>0.5</v>
      </c>
      <c r="AJ1294" s="156"/>
      <c r="AK1294" s="156"/>
      <c r="AL1294" s="177">
        <v>35</v>
      </c>
      <c r="AM1294" s="156"/>
      <c r="AN1294" s="156"/>
      <c r="AO1294" s="156"/>
      <c r="AP1294" s="156"/>
      <c r="AQ1294" s="156"/>
      <c r="AR1294" s="156"/>
      <c r="AS1294" s="156"/>
      <c r="AT1294" s="156"/>
      <c r="AU1294" s="156"/>
      <c r="AV1294" s="156"/>
      <c r="AW1294" s="156"/>
      <c r="AX1294" s="156"/>
      <c r="AY1294" s="156"/>
      <c r="AZ1294" s="156"/>
      <c r="BD1294" s="20">
        <v>-1</v>
      </c>
      <c r="BE1294" s="20" t="s">
        <v>4152</v>
      </c>
      <c r="BF1294" s="20">
        <v>0</v>
      </c>
    </row>
    <row r="1295" spans="1:58" ht="16.5">
      <c r="A1295" s="155">
        <v>2100193</v>
      </c>
      <c r="B1295" s="156"/>
      <c r="C1295" s="156">
        <v>2</v>
      </c>
      <c r="D1295" s="156"/>
      <c r="E1295" s="156" t="s">
        <v>4146</v>
      </c>
      <c r="F1295" s="157" t="s">
        <v>2663</v>
      </c>
      <c r="G1295" s="158" t="s">
        <v>2412</v>
      </c>
      <c r="H1295" s="159" t="s">
        <v>3889</v>
      </c>
      <c r="I1295" s="159" t="s">
        <v>3003</v>
      </c>
      <c r="J1295" s="147" t="s">
        <v>4196</v>
      </c>
      <c r="K1295" s="173" t="s">
        <v>4197</v>
      </c>
      <c r="L1295" s="155"/>
      <c r="M1295" s="156"/>
      <c r="N1295" s="156"/>
      <c r="O1295" s="156"/>
      <c r="P1295" s="156"/>
      <c r="Q1295" s="156"/>
      <c r="R1295" s="156"/>
      <c r="S1295" s="156"/>
      <c r="T1295" s="156"/>
      <c r="U1295" s="156">
        <v>5</v>
      </c>
      <c r="V1295" s="156">
        <v>0</v>
      </c>
      <c r="W1295" s="156"/>
      <c r="X1295" s="156"/>
      <c r="Y1295" s="175" t="b">
        <v>0</v>
      </c>
      <c r="Z1295" s="141" t="s">
        <v>4198</v>
      </c>
      <c r="AA1295" s="176" t="b">
        <v>1</v>
      </c>
      <c r="AB1295" s="156"/>
      <c r="AC1295" s="156"/>
      <c r="AD1295" s="156">
        <v>7.0408749580383301</v>
      </c>
      <c r="AE1295" s="156">
        <v>8</v>
      </c>
      <c r="AF1295" s="156"/>
      <c r="AG1295" s="156"/>
      <c r="AH1295" s="156">
        <v>0.1</v>
      </c>
      <c r="AI1295" s="156">
        <v>0.5</v>
      </c>
      <c r="AJ1295" s="156"/>
      <c r="AK1295" s="156"/>
      <c r="AL1295" s="177">
        <v>35</v>
      </c>
      <c r="AM1295" s="156"/>
      <c r="AN1295" s="156"/>
      <c r="AO1295" s="156"/>
      <c r="AP1295" s="156"/>
      <c r="AQ1295" s="156"/>
      <c r="AR1295" s="156"/>
      <c r="AS1295" s="156"/>
      <c r="AT1295" s="156"/>
      <c r="AU1295" s="156"/>
      <c r="AV1295" s="156"/>
      <c r="AW1295" s="156"/>
      <c r="AX1295" s="156"/>
      <c r="AY1295" s="156"/>
      <c r="AZ1295" s="156"/>
      <c r="BD1295" s="20">
        <v>140036</v>
      </c>
      <c r="BE1295" s="20" t="s">
        <v>4199</v>
      </c>
      <c r="BF1295" s="20">
        <v>1</v>
      </c>
    </row>
    <row r="1296" spans="1:58" ht="16.5">
      <c r="A1296" s="155">
        <v>2100195</v>
      </c>
      <c r="B1296" s="156"/>
      <c r="C1296" s="156">
        <v>1</v>
      </c>
      <c r="D1296" s="156"/>
      <c r="E1296" s="156" t="s">
        <v>4146</v>
      </c>
      <c r="F1296" s="164" t="s">
        <v>2663</v>
      </c>
      <c r="G1296" s="158" t="s">
        <v>2412</v>
      </c>
      <c r="H1296" s="159" t="s">
        <v>3889</v>
      </c>
      <c r="I1296" s="159" t="s">
        <v>3003</v>
      </c>
      <c r="J1296" s="147" t="s">
        <v>4200</v>
      </c>
      <c r="K1296" s="174" t="s">
        <v>4201</v>
      </c>
      <c r="L1296" s="155"/>
      <c r="M1296" s="156"/>
      <c r="N1296" s="156"/>
      <c r="O1296" s="156"/>
      <c r="P1296" s="156"/>
      <c r="Q1296" s="156"/>
      <c r="R1296" s="156"/>
      <c r="S1296" s="156"/>
      <c r="T1296" s="156"/>
      <c r="U1296" s="141">
        <v>5</v>
      </c>
      <c r="V1296" s="156">
        <v>0</v>
      </c>
      <c r="W1296" s="156"/>
      <c r="X1296" s="156"/>
      <c r="Y1296" s="175" t="b">
        <v>0</v>
      </c>
      <c r="Z1296" s="141" t="s">
        <v>4202</v>
      </c>
      <c r="AA1296" s="176" t="b">
        <v>1</v>
      </c>
      <c r="AB1296" s="156"/>
      <c r="AC1296" s="156"/>
      <c r="AD1296" s="156">
        <v>2.7944369316101101</v>
      </c>
      <c r="AE1296" s="156">
        <v>3</v>
      </c>
      <c r="AF1296" s="156"/>
      <c r="AG1296" s="156"/>
      <c r="AH1296" s="141">
        <v>0.1</v>
      </c>
      <c r="AI1296" s="156">
        <v>0.5</v>
      </c>
      <c r="AJ1296" s="156"/>
      <c r="AK1296" s="156"/>
      <c r="AL1296" s="177">
        <v>35</v>
      </c>
      <c r="AM1296" s="156"/>
      <c r="AN1296" s="156"/>
      <c r="AO1296" s="156"/>
      <c r="AP1296" s="156"/>
      <c r="AQ1296" s="156"/>
      <c r="AR1296" s="156"/>
      <c r="AS1296" s="156"/>
      <c r="AT1296" s="156"/>
      <c r="AU1296" s="156"/>
      <c r="AV1296" s="156"/>
      <c r="AW1296" s="156"/>
      <c r="AX1296" s="156"/>
      <c r="AY1296" s="156"/>
      <c r="AZ1296" s="156"/>
      <c r="BD1296" s="20">
        <v>140038</v>
      </c>
      <c r="BE1296" s="20" t="s">
        <v>4199</v>
      </c>
      <c r="BF1296" s="20">
        <v>1</v>
      </c>
    </row>
    <row r="1297" spans="1:58" ht="16.5">
      <c r="A1297" s="155">
        <v>2100196</v>
      </c>
      <c r="B1297" s="156"/>
      <c r="C1297" s="156">
        <v>1</v>
      </c>
      <c r="D1297" s="156"/>
      <c r="E1297" s="156" t="s">
        <v>4146</v>
      </c>
      <c r="F1297" s="164" t="s">
        <v>2663</v>
      </c>
      <c r="G1297" s="158" t="s">
        <v>2412</v>
      </c>
      <c r="H1297" s="159" t="s">
        <v>3889</v>
      </c>
      <c r="I1297" s="159" t="s">
        <v>3003</v>
      </c>
      <c r="J1297" s="147" t="s">
        <v>4203</v>
      </c>
      <c r="K1297" s="174" t="s">
        <v>4204</v>
      </c>
      <c r="L1297" s="155"/>
      <c r="M1297" s="156"/>
      <c r="N1297" s="156"/>
      <c r="O1297" s="156"/>
      <c r="P1297" s="156"/>
      <c r="Q1297" s="156"/>
      <c r="R1297" s="156"/>
      <c r="S1297" s="156"/>
      <c r="T1297" s="156"/>
      <c r="U1297" s="156">
        <v>5</v>
      </c>
      <c r="V1297" s="156">
        <v>0</v>
      </c>
      <c r="W1297" s="156"/>
      <c r="X1297" s="156"/>
      <c r="Y1297" s="175" t="b">
        <v>0</v>
      </c>
      <c r="Z1297" s="141" t="s">
        <v>4205</v>
      </c>
      <c r="AA1297" s="176" t="b">
        <v>1</v>
      </c>
      <c r="AB1297" s="156"/>
      <c r="AC1297" s="156"/>
      <c r="AD1297" s="156">
        <v>6.4633541107177699</v>
      </c>
      <c r="AE1297" s="156">
        <v>7</v>
      </c>
      <c r="AF1297" s="156"/>
      <c r="AG1297" s="156"/>
      <c r="AH1297" s="156">
        <v>0.1</v>
      </c>
      <c r="AI1297" s="156">
        <v>0.5</v>
      </c>
      <c r="AJ1297" s="156"/>
      <c r="AK1297" s="156"/>
      <c r="AL1297" s="177">
        <v>35</v>
      </c>
      <c r="AM1297" s="156"/>
      <c r="AN1297" s="156"/>
      <c r="AO1297" s="156"/>
      <c r="AP1297" s="156"/>
      <c r="AQ1297" s="156"/>
      <c r="AR1297" s="156"/>
      <c r="AS1297" s="156"/>
      <c r="AT1297" s="156"/>
      <c r="AU1297" s="156"/>
      <c r="AV1297" s="156"/>
      <c r="AW1297" s="156"/>
      <c r="AX1297" s="156"/>
      <c r="AY1297" s="156"/>
      <c r="AZ1297" s="156"/>
      <c r="BD1297" s="20">
        <v>140038</v>
      </c>
      <c r="BE1297" s="20" t="s">
        <v>4199</v>
      </c>
      <c r="BF1297" s="20">
        <v>1</v>
      </c>
    </row>
    <row r="1298" spans="1:58" ht="16.5">
      <c r="A1298" s="155">
        <v>2100197</v>
      </c>
      <c r="B1298" s="156"/>
      <c r="C1298" s="156">
        <v>1</v>
      </c>
      <c r="D1298" s="156"/>
      <c r="E1298" s="156" t="s">
        <v>4146</v>
      </c>
      <c r="F1298" s="164" t="s">
        <v>2663</v>
      </c>
      <c r="G1298" s="158" t="s">
        <v>2412</v>
      </c>
      <c r="H1298" s="159" t="s">
        <v>3889</v>
      </c>
      <c r="I1298" s="159" t="s">
        <v>3003</v>
      </c>
      <c r="J1298" s="147" t="s">
        <v>4206</v>
      </c>
      <c r="K1298" s="174" t="s">
        <v>4207</v>
      </c>
      <c r="L1298" s="155"/>
      <c r="M1298" s="156"/>
      <c r="N1298" s="156"/>
      <c r="O1298" s="156"/>
      <c r="P1298" s="156"/>
      <c r="Q1298" s="156"/>
      <c r="R1298" s="156"/>
      <c r="S1298" s="156"/>
      <c r="T1298" s="156"/>
      <c r="U1298" s="141">
        <v>5</v>
      </c>
      <c r="V1298" s="156">
        <v>0</v>
      </c>
      <c r="W1298" s="156"/>
      <c r="X1298" s="156"/>
      <c r="Y1298" s="175" t="b">
        <v>0</v>
      </c>
      <c r="Z1298" s="141" t="s">
        <v>4208</v>
      </c>
      <c r="AA1298" s="176" t="b">
        <v>1</v>
      </c>
      <c r="AB1298" s="156"/>
      <c r="AC1298" s="156"/>
      <c r="AD1298" s="156">
        <v>3.71662497520447</v>
      </c>
      <c r="AE1298" s="156">
        <v>4</v>
      </c>
      <c r="AF1298" s="156"/>
      <c r="AG1298" s="156"/>
      <c r="AH1298" s="141">
        <v>0.1</v>
      </c>
      <c r="AI1298" s="156">
        <v>0.5</v>
      </c>
      <c r="AJ1298" s="156"/>
      <c r="AK1298" s="156"/>
      <c r="AL1298" s="177">
        <v>35</v>
      </c>
      <c r="AM1298" s="156"/>
      <c r="AN1298" s="156"/>
      <c r="AO1298" s="156"/>
      <c r="AP1298" s="156"/>
      <c r="AQ1298" s="156"/>
      <c r="AR1298" s="156"/>
      <c r="AS1298" s="156"/>
      <c r="AT1298" s="156"/>
      <c r="AU1298" s="156"/>
      <c r="AV1298" s="156"/>
      <c r="AW1298" s="156"/>
      <c r="AX1298" s="156"/>
      <c r="AY1298" s="156"/>
      <c r="AZ1298" s="156"/>
      <c r="BD1298" s="20">
        <v>140038</v>
      </c>
      <c r="BE1298" s="20" t="s">
        <v>4199</v>
      </c>
      <c r="BF1298" s="20">
        <v>1</v>
      </c>
    </row>
    <row r="1299" spans="1:58" ht="16.5">
      <c r="A1299" s="155">
        <v>2100198</v>
      </c>
      <c r="B1299" s="156"/>
      <c r="C1299" s="156">
        <v>1</v>
      </c>
      <c r="D1299" s="156"/>
      <c r="E1299" s="156" t="s">
        <v>4146</v>
      </c>
      <c r="F1299" s="161" t="s">
        <v>2663</v>
      </c>
      <c r="G1299" s="158" t="s">
        <v>2412</v>
      </c>
      <c r="H1299" s="159" t="s">
        <v>3889</v>
      </c>
      <c r="I1299" s="159" t="s">
        <v>3003</v>
      </c>
      <c r="J1299" s="147" t="s">
        <v>4209</v>
      </c>
      <c r="K1299" s="171" t="s">
        <v>4093</v>
      </c>
      <c r="L1299" s="155"/>
      <c r="M1299" s="156"/>
      <c r="N1299" s="156"/>
      <c r="O1299" s="156"/>
      <c r="P1299" s="156"/>
      <c r="Q1299" s="156"/>
      <c r="R1299" s="156"/>
      <c r="S1299" s="156"/>
      <c r="T1299" s="156"/>
      <c r="U1299" s="156">
        <v>5</v>
      </c>
      <c r="V1299" s="156">
        <v>0</v>
      </c>
      <c r="W1299" s="156"/>
      <c r="X1299" s="156"/>
      <c r="Y1299" s="175" t="b">
        <v>0</v>
      </c>
      <c r="Z1299" s="141" t="s">
        <v>4210</v>
      </c>
      <c r="AA1299" s="176" t="b">
        <v>1</v>
      </c>
      <c r="AB1299" s="156"/>
      <c r="AC1299" s="156"/>
      <c r="AD1299" s="156">
        <v>7.1238331794738796</v>
      </c>
      <c r="AE1299" s="156">
        <v>8</v>
      </c>
      <c r="AF1299" s="156"/>
      <c r="AG1299" s="156"/>
      <c r="AH1299" s="156">
        <v>0.1</v>
      </c>
      <c r="AI1299" s="156">
        <v>0.5</v>
      </c>
      <c r="AJ1299" s="156"/>
      <c r="AK1299" s="156"/>
      <c r="AL1299" s="177">
        <v>35</v>
      </c>
      <c r="AM1299" s="156"/>
      <c r="AN1299" s="156"/>
      <c r="AO1299" s="156"/>
      <c r="AP1299" s="156"/>
      <c r="AQ1299" s="156"/>
      <c r="AR1299" s="156"/>
      <c r="AS1299" s="156"/>
      <c r="AT1299" s="156"/>
      <c r="AU1299" s="156"/>
      <c r="AV1299" s="156"/>
      <c r="AW1299" s="156"/>
      <c r="AX1299" s="156"/>
      <c r="AY1299" s="156"/>
      <c r="AZ1299" s="156"/>
      <c r="BD1299" s="20">
        <v>140038</v>
      </c>
      <c r="BE1299" s="20" t="s">
        <v>4199</v>
      </c>
      <c r="BF1299" s="20">
        <v>1</v>
      </c>
    </row>
    <row r="1300" spans="1:58" ht="16.5">
      <c r="A1300" s="155">
        <v>2100199</v>
      </c>
      <c r="B1300" s="156"/>
      <c r="C1300" s="156">
        <v>1</v>
      </c>
      <c r="D1300" s="156"/>
      <c r="E1300" s="156" t="s">
        <v>4146</v>
      </c>
      <c r="F1300" s="157" t="s">
        <v>2663</v>
      </c>
      <c r="G1300" s="158" t="s">
        <v>2412</v>
      </c>
      <c r="H1300" s="159" t="s">
        <v>3889</v>
      </c>
      <c r="I1300" s="159" t="s">
        <v>3003</v>
      </c>
      <c r="J1300" s="147" t="s">
        <v>4211</v>
      </c>
      <c r="K1300" s="167" t="s">
        <v>4212</v>
      </c>
      <c r="L1300" s="155"/>
      <c r="M1300" s="156"/>
      <c r="N1300" s="156"/>
      <c r="O1300" s="156"/>
      <c r="P1300" s="156"/>
      <c r="Q1300" s="156"/>
      <c r="R1300" s="156"/>
      <c r="S1300" s="156"/>
      <c r="T1300" s="156"/>
      <c r="U1300" s="141">
        <v>5</v>
      </c>
      <c r="V1300" s="156">
        <v>0</v>
      </c>
      <c r="W1300" s="156"/>
      <c r="X1300" s="156"/>
      <c r="Y1300" s="175" t="b">
        <v>0</v>
      </c>
      <c r="Z1300" s="141" t="s">
        <v>4213</v>
      </c>
      <c r="AA1300" s="176" t="b">
        <v>1</v>
      </c>
      <c r="AB1300" s="156"/>
      <c r="AC1300" s="156"/>
      <c r="AD1300" s="156">
        <v>3.3743329048156698</v>
      </c>
      <c r="AE1300" s="156">
        <v>5</v>
      </c>
      <c r="AF1300" s="156"/>
      <c r="AG1300" s="156"/>
      <c r="AH1300" s="141">
        <v>0.1</v>
      </c>
      <c r="AI1300" s="156">
        <v>0.5</v>
      </c>
      <c r="AJ1300" s="156"/>
      <c r="AK1300" s="156"/>
      <c r="AL1300" s="177">
        <v>35</v>
      </c>
      <c r="AM1300" s="156"/>
      <c r="AN1300" s="156"/>
      <c r="AO1300" s="156"/>
      <c r="AP1300" s="156"/>
      <c r="AQ1300" s="156"/>
      <c r="AR1300" s="156"/>
      <c r="AS1300" s="156"/>
      <c r="AT1300" s="156"/>
      <c r="AU1300" s="156"/>
      <c r="AV1300" s="156"/>
      <c r="AW1300" s="156"/>
      <c r="AX1300" s="156"/>
      <c r="AY1300" s="156"/>
      <c r="AZ1300" s="156"/>
      <c r="BD1300" s="20">
        <v>140038</v>
      </c>
      <c r="BE1300" s="20" t="s">
        <v>4199</v>
      </c>
      <c r="BF1300" s="20">
        <v>0</v>
      </c>
    </row>
    <row r="1301" spans="1:58" ht="16.5">
      <c r="A1301" s="155">
        <v>2100199</v>
      </c>
      <c r="B1301" s="156"/>
      <c r="C1301" s="156">
        <v>2</v>
      </c>
      <c r="D1301" s="156"/>
      <c r="E1301" s="156" t="s">
        <v>4146</v>
      </c>
      <c r="F1301" s="157" t="s">
        <v>4008</v>
      </c>
      <c r="G1301" s="158" t="s">
        <v>4147</v>
      </c>
      <c r="H1301" s="159" t="s">
        <v>3889</v>
      </c>
      <c r="I1301" s="159" t="s">
        <v>4148</v>
      </c>
      <c r="J1301" s="147" t="s">
        <v>4214</v>
      </c>
      <c r="K1301" s="167" t="s">
        <v>4215</v>
      </c>
      <c r="L1301" s="155"/>
      <c r="M1301" s="156"/>
      <c r="N1301" s="156"/>
      <c r="O1301" s="156"/>
      <c r="P1301" s="156"/>
      <c r="Q1301" s="156"/>
      <c r="R1301" s="156"/>
      <c r="S1301" s="156"/>
      <c r="T1301" s="156"/>
      <c r="U1301" s="156">
        <v>5</v>
      </c>
      <c r="V1301" s="156">
        <v>0</v>
      </c>
      <c r="W1301" s="156"/>
      <c r="X1301" s="156"/>
      <c r="Y1301" s="175" t="b">
        <v>0</v>
      </c>
      <c r="Z1301" s="141" t="s">
        <v>4216</v>
      </c>
      <c r="AA1301" s="176" t="b">
        <v>1</v>
      </c>
      <c r="AB1301" s="156"/>
      <c r="AC1301" s="156"/>
      <c r="AD1301" s="156">
        <v>1.7745209932327299</v>
      </c>
      <c r="AE1301" s="156">
        <v>2</v>
      </c>
      <c r="AF1301" s="156"/>
      <c r="AG1301" s="156"/>
      <c r="AH1301" s="156">
        <v>0.1</v>
      </c>
      <c r="AI1301" s="156">
        <v>0.5</v>
      </c>
      <c r="AJ1301" s="156"/>
      <c r="AK1301" s="156"/>
      <c r="AL1301" s="177">
        <v>35</v>
      </c>
      <c r="AM1301" s="156"/>
      <c r="AN1301" s="156"/>
      <c r="AO1301" s="156"/>
      <c r="AP1301" s="156"/>
      <c r="AQ1301" s="156"/>
      <c r="AR1301" s="156"/>
      <c r="AS1301" s="156"/>
      <c r="AT1301" s="156"/>
      <c r="AU1301" s="156"/>
      <c r="AV1301" s="156"/>
      <c r="AW1301" s="156"/>
      <c r="AX1301" s="156"/>
      <c r="AY1301" s="156"/>
      <c r="AZ1301" s="156"/>
      <c r="BD1301" s="20">
        <v>-1</v>
      </c>
      <c r="BE1301" s="20" t="s">
        <v>4152</v>
      </c>
      <c r="BF1301" s="20">
        <v>0</v>
      </c>
    </row>
    <row r="1302" spans="1:58" ht="16.5">
      <c r="A1302" s="155">
        <v>2100200</v>
      </c>
      <c r="B1302" s="156"/>
      <c r="C1302" s="156">
        <v>1</v>
      </c>
      <c r="D1302" s="156"/>
      <c r="E1302" s="156" t="s">
        <v>4146</v>
      </c>
      <c r="F1302" s="157" t="s">
        <v>4008</v>
      </c>
      <c r="G1302" s="158" t="s">
        <v>4147</v>
      </c>
      <c r="H1302" s="159" t="s">
        <v>3889</v>
      </c>
      <c r="I1302" s="159" t="s">
        <v>4148</v>
      </c>
      <c r="J1302" s="147" t="s">
        <v>4217</v>
      </c>
      <c r="K1302" s="167" t="s">
        <v>4218</v>
      </c>
      <c r="L1302" s="155"/>
      <c r="M1302" s="156"/>
      <c r="N1302" s="156"/>
      <c r="O1302" s="156"/>
      <c r="P1302" s="156"/>
      <c r="Q1302" s="156"/>
      <c r="R1302" s="156"/>
      <c r="S1302" s="156"/>
      <c r="T1302" s="156"/>
      <c r="U1302" s="141">
        <v>5</v>
      </c>
      <c r="V1302" s="156">
        <v>0</v>
      </c>
      <c r="W1302" s="156"/>
      <c r="X1302" s="156"/>
      <c r="Y1302" s="175" t="b">
        <v>0</v>
      </c>
      <c r="Z1302" s="141" t="s">
        <v>4219</v>
      </c>
      <c r="AA1302" s="176" t="b">
        <v>1</v>
      </c>
      <c r="AB1302" s="156"/>
      <c r="AC1302" s="156"/>
      <c r="AD1302" s="156">
        <v>3.0840210914611799</v>
      </c>
      <c r="AE1302" s="156">
        <v>5</v>
      </c>
      <c r="AF1302" s="156"/>
      <c r="AG1302" s="156"/>
      <c r="AH1302" s="141">
        <v>0.1</v>
      </c>
      <c r="AI1302" s="156">
        <v>0.5</v>
      </c>
      <c r="AJ1302" s="156"/>
      <c r="AK1302" s="156"/>
      <c r="AL1302" s="177">
        <v>35</v>
      </c>
      <c r="AM1302" s="156"/>
      <c r="AN1302" s="156"/>
      <c r="AO1302" s="156"/>
      <c r="AP1302" s="156"/>
      <c r="AQ1302" s="156"/>
      <c r="AR1302" s="156"/>
      <c r="AS1302" s="156"/>
      <c r="AT1302" s="156"/>
      <c r="AU1302" s="156"/>
      <c r="AV1302" s="156"/>
      <c r="AW1302" s="156"/>
      <c r="AX1302" s="156"/>
      <c r="AY1302" s="156"/>
      <c r="AZ1302" s="156"/>
      <c r="BD1302" s="20">
        <v>-1</v>
      </c>
      <c r="BE1302" s="20" t="s">
        <v>4152</v>
      </c>
      <c r="BF1302" s="20">
        <v>0</v>
      </c>
    </row>
    <row r="1303" spans="1:58" ht="16.5">
      <c r="A1303" s="155">
        <v>2100201</v>
      </c>
      <c r="B1303" s="156"/>
      <c r="C1303" s="156">
        <v>1</v>
      </c>
      <c r="D1303" s="156"/>
      <c r="E1303" s="156" t="s">
        <v>4146</v>
      </c>
      <c r="F1303" s="157" t="s">
        <v>2775</v>
      </c>
      <c r="G1303" s="158" t="s">
        <v>4220</v>
      </c>
      <c r="H1303" s="159" t="s">
        <v>3889</v>
      </c>
      <c r="I1303" s="159" t="s">
        <v>3003</v>
      </c>
      <c r="J1303" s="147" t="s">
        <v>4221</v>
      </c>
      <c r="K1303" s="167" t="s">
        <v>4222</v>
      </c>
      <c r="L1303" s="155"/>
      <c r="M1303" s="156"/>
      <c r="N1303" s="156"/>
      <c r="O1303" s="156"/>
      <c r="P1303" s="156"/>
      <c r="Q1303" s="156"/>
      <c r="R1303" s="156"/>
      <c r="S1303" s="156"/>
      <c r="T1303" s="156"/>
      <c r="U1303" s="156">
        <v>5</v>
      </c>
      <c r="V1303" s="156">
        <v>0</v>
      </c>
      <c r="W1303" s="156"/>
      <c r="X1303" s="156"/>
      <c r="Y1303" s="175" t="b">
        <v>0</v>
      </c>
      <c r="Z1303" s="141" t="s">
        <v>4223</v>
      </c>
      <c r="AA1303" s="176" t="b">
        <v>1</v>
      </c>
      <c r="AB1303" s="156"/>
      <c r="AC1303" s="156"/>
      <c r="AD1303" s="156">
        <v>6.1243119239807102</v>
      </c>
      <c r="AE1303" s="156">
        <v>5</v>
      </c>
      <c r="AF1303" s="156"/>
      <c r="AG1303" s="156"/>
      <c r="AH1303" s="156">
        <v>0.1</v>
      </c>
      <c r="AI1303" s="156">
        <v>0.5</v>
      </c>
      <c r="AJ1303" s="156"/>
      <c r="AK1303" s="156"/>
      <c r="AL1303" s="177">
        <v>35</v>
      </c>
      <c r="AM1303" s="156"/>
      <c r="AN1303" s="156"/>
      <c r="AO1303" s="156"/>
      <c r="AP1303" s="156"/>
      <c r="AQ1303" s="156"/>
      <c r="AR1303" s="156"/>
      <c r="AS1303" s="156"/>
      <c r="AT1303" s="156"/>
      <c r="AU1303" s="156"/>
      <c r="AV1303" s="156"/>
      <c r="AW1303" s="156"/>
      <c r="AX1303" s="156"/>
      <c r="AY1303" s="156"/>
      <c r="AZ1303" s="156"/>
      <c r="BD1303" s="20">
        <v>140033</v>
      </c>
      <c r="BE1303" s="20" t="s">
        <v>4199</v>
      </c>
      <c r="BF1303" s="20">
        <v>1</v>
      </c>
    </row>
    <row r="1304" spans="1:58" ht="16.5">
      <c r="A1304" s="155">
        <v>2100202</v>
      </c>
      <c r="B1304" s="156"/>
      <c r="C1304" s="156">
        <v>1</v>
      </c>
      <c r="D1304" s="156"/>
      <c r="E1304" s="156" t="s">
        <v>4146</v>
      </c>
      <c r="F1304" s="161" t="s">
        <v>2775</v>
      </c>
      <c r="G1304" s="158" t="s">
        <v>4220</v>
      </c>
      <c r="H1304" s="159" t="s">
        <v>3889</v>
      </c>
      <c r="I1304" s="159" t="s">
        <v>3003</v>
      </c>
      <c r="J1304" s="147" t="s">
        <v>4224</v>
      </c>
      <c r="K1304" s="171" t="s">
        <v>4225</v>
      </c>
      <c r="L1304" s="155"/>
      <c r="M1304" s="156"/>
      <c r="N1304" s="156"/>
      <c r="O1304" s="156"/>
      <c r="P1304" s="156"/>
      <c r="Q1304" s="156"/>
      <c r="R1304" s="156"/>
      <c r="S1304" s="156"/>
      <c r="T1304" s="156"/>
      <c r="U1304" s="141">
        <v>5</v>
      </c>
      <c r="V1304" s="156">
        <v>0</v>
      </c>
      <c r="W1304" s="156"/>
      <c r="X1304" s="156"/>
      <c r="Y1304" s="175" t="b">
        <v>0</v>
      </c>
      <c r="Z1304" s="141" t="s">
        <v>4226</v>
      </c>
      <c r="AA1304" s="176" t="b">
        <v>1</v>
      </c>
      <c r="AB1304" s="156"/>
      <c r="AC1304" s="156"/>
      <c r="AD1304" s="156">
        <v>5.66662502288818</v>
      </c>
      <c r="AE1304" s="156">
        <v>5</v>
      </c>
      <c r="AF1304" s="156"/>
      <c r="AG1304" s="156"/>
      <c r="AH1304" s="141">
        <v>0.1</v>
      </c>
      <c r="AI1304" s="156">
        <v>0.5</v>
      </c>
      <c r="AJ1304" s="156"/>
      <c r="AK1304" s="156"/>
      <c r="AL1304" s="177">
        <v>35</v>
      </c>
      <c r="AM1304" s="156"/>
      <c r="AN1304" s="156"/>
      <c r="AO1304" s="156"/>
      <c r="AP1304" s="156"/>
      <c r="AQ1304" s="156"/>
      <c r="AR1304" s="156"/>
      <c r="AS1304" s="156"/>
      <c r="AT1304" s="156"/>
      <c r="AU1304" s="156"/>
      <c r="AV1304" s="156"/>
      <c r="AW1304" s="156"/>
      <c r="AX1304" s="156"/>
      <c r="AY1304" s="156"/>
      <c r="AZ1304" s="156"/>
      <c r="BD1304" s="20">
        <v>140033</v>
      </c>
      <c r="BE1304" s="20" t="s">
        <v>4199</v>
      </c>
      <c r="BF1304" s="20">
        <v>1</v>
      </c>
    </row>
    <row r="1305" spans="1:58" ht="16.5">
      <c r="A1305" s="155">
        <v>2100203</v>
      </c>
      <c r="B1305" s="156"/>
      <c r="C1305" s="156">
        <v>1</v>
      </c>
      <c r="D1305" s="156"/>
      <c r="E1305" s="156" t="s">
        <v>4146</v>
      </c>
      <c r="F1305" s="157" t="s">
        <v>4008</v>
      </c>
      <c r="G1305" s="158" t="s">
        <v>4147</v>
      </c>
      <c r="H1305" s="159" t="s">
        <v>3889</v>
      </c>
      <c r="I1305" s="159" t="s">
        <v>4148</v>
      </c>
      <c r="J1305" s="147" t="s">
        <v>4227</v>
      </c>
      <c r="K1305" s="167" t="s">
        <v>4228</v>
      </c>
      <c r="L1305" s="155"/>
      <c r="M1305" s="156"/>
      <c r="N1305" s="156"/>
      <c r="O1305" s="156"/>
      <c r="P1305" s="156"/>
      <c r="Q1305" s="156"/>
      <c r="R1305" s="156"/>
      <c r="S1305" s="156"/>
      <c r="T1305" s="156"/>
      <c r="U1305" s="156">
        <v>5</v>
      </c>
      <c r="V1305" s="156">
        <v>0</v>
      </c>
      <c r="W1305" s="156"/>
      <c r="X1305" s="156"/>
      <c r="Y1305" s="175" t="b">
        <v>0</v>
      </c>
      <c r="Z1305" s="141" t="s">
        <v>4229</v>
      </c>
      <c r="AA1305" s="176" t="b">
        <v>1</v>
      </c>
      <c r="AB1305" s="156"/>
      <c r="AC1305" s="156"/>
      <c r="AD1305" s="156">
        <v>6.4586248397827104</v>
      </c>
      <c r="AE1305" s="156">
        <v>5</v>
      </c>
      <c r="AF1305" s="156"/>
      <c r="AG1305" s="156"/>
      <c r="AH1305" s="156">
        <v>0.1</v>
      </c>
      <c r="AI1305" s="156">
        <v>0.5</v>
      </c>
      <c r="AJ1305" s="156"/>
      <c r="AK1305" s="156"/>
      <c r="AL1305" s="177">
        <v>35</v>
      </c>
      <c r="AM1305" s="156"/>
      <c r="AN1305" s="156"/>
      <c r="AO1305" s="156"/>
      <c r="AP1305" s="156"/>
      <c r="AQ1305" s="156"/>
      <c r="AR1305" s="156"/>
      <c r="AS1305" s="156"/>
      <c r="AT1305" s="156"/>
      <c r="AU1305" s="156"/>
      <c r="AV1305" s="156"/>
      <c r="AW1305" s="156"/>
      <c r="AX1305" s="156"/>
      <c r="AY1305" s="156"/>
      <c r="AZ1305" s="156"/>
      <c r="BF1305" s="20">
        <v>0</v>
      </c>
    </row>
    <row r="1306" spans="1:58" ht="16.5">
      <c r="A1306" s="155">
        <v>2100203</v>
      </c>
      <c r="B1306" s="156"/>
      <c r="C1306" s="156">
        <v>2</v>
      </c>
      <c r="D1306" s="156"/>
      <c r="E1306" s="156" t="s">
        <v>4146</v>
      </c>
      <c r="F1306" s="157" t="s">
        <v>4008</v>
      </c>
      <c r="G1306" s="158" t="s">
        <v>4147</v>
      </c>
      <c r="H1306" s="159" t="s">
        <v>3889</v>
      </c>
      <c r="I1306" s="159" t="s">
        <v>4148</v>
      </c>
      <c r="J1306" s="147" t="s">
        <v>4230</v>
      </c>
      <c r="K1306" s="167" t="s">
        <v>4231</v>
      </c>
      <c r="L1306" s="155"/>
      <c r="M1306" s="156"/>
      <c r="N1306" s="156"/>
      <c r="O1306" s="156"/>
      <c r="P1306" s="156"/>
      <c r="Q1306" s="156"/>
      <c r="R1306" s="156"/>
      <c r="S1306" s="156"/>
      <c r="T1306" s="156"/>
      <c r="U1306" s="141">
        <v>5</v>
      </c>
      <c r="V1306" s="156">
        <v>0</v>
      </c>
      <c r="W1306" s="156"/>
      <c r="X1306" s="156"/>
      <c r="Y1306" s="175" t="b">
        <v>0</v>
      </c>
      <c r="Z1306" s="141" t="s">
        <v>4232</v>
      </c>
      <c r="AA1306" s="176" t="b">
        <v>1</v>
      </c>
      <c r="AB1306" s="156"/>
      <c r="AC1306" s="156"/>
      <c r="AD1306" s="156">
        <v>5.2953958511352504</v>
      </c>
      <c r="AE1306" s="156">
        <v>5</v>
      </c>
      <c r="AF1306" s="156"/>
      <c r="AG1306" s="156"/>
      <c r="AH1306" s="141">
        <v>0.1</v>
      </c>
      <c r="AI1306" s="156">
        <v>0.5</v>
      </c>
      <c r="AJ1306" s="156"/>
      <c r="AK1306" s="156"/>
      <c r="AL1306" s="177">
        <v>35</v>
      </c>
      <c r="AM1306" s="156"/>
      <c r="AN1306" s="156"/>
      <c r="AO1306" s="156"/>
      <c r="AP1306" s="156"/>
      <c r="AQ1306" s="156"/>
      <c r="AR1306" s="156"/>
      <c r="AS1306" s="156"/>
      <c r="AT1306" s="156"/>
      <c r="AU1306" s="156"/>
      <c r="AV1306" s="156"/>
      <c r="AW1306" s="156"/>
      <c r="AX1306" s="156"/>
      <c r="AY1306" s="156"/>
      <c r="AZ1306" s="156"/>
      <c r="BF1306" s="20">
        <v>0</v>
      </c>
    </row>
    <row r="1307" spans="1:58" ht="16.5">
      <c r="A1307" s="155">
        <v>2100203</v>
      </c>
      <c r="B1307" s="156"/>
      <c r="C1307" s="156">
        <v>3</v>
      </c>
      <c r="D1307" s="156"/>
      <c r="E1307" s="156" t="s">
        <v>4146</v>
      </c>
      <c r="F1307" s="165" t="s">
        <v>4008</v>
      </c>
      <c r="G1307" s="158" t="s">
        <v>4147</v>
      </c>
      <c r="H1307" s="159" t="s">
        <v>3889</v>
      </c>
      <c r="I1307" s="159" t="s">
        <v>4148</v>
      </c>
      <c r="J1307" s="147" t="s">
        <v>4233</v>
      </c>
      <c r="K1307" s="167" t="s">
        <v>4234</v>
      </c>
      <c r="L1307" s="155"/>
      <c r="M1307" s="156"/>
      <c r="N1307" s="156"/>
      <c r="O1307" s="156"/>
      <c r="P1307" s="156"/>
      <c r="Q1307" s="156"/>
      <c r="R1307" s="156"/>
      <c r="S1307" s="156"/>
      <c r="T1307" s="156"/>
      <c r="U1307" s="156">
        <v>5</v>
      </c>
      <c r="V1307" s="156">
        <v>0</v>
      </c>
      <c r="W1307" s="156"/>
      <c r="X1307" s="156"/>
      <c r="Y1307" s="175" t="b">
        <v>0</v>
      </c>
      <c r="Z1307" s="141" t="s">
        <v>4235</v>
      </c>
      <c r="AA1307" s="176" t="b">
        <v>1</v>
      </c>
      <c r="AB1307" s="156"/>
      <c r="AC1307" s="156"/>
      <c r="AD1307" s="156">
        <v>4.9663329124450701</v>
      </c>
      <c r="AE1307" s="156">
        <v>5</v>
      </c>
      <c r="AF1307" s="156"/>
      <c r="AG1307" s="156"/>
      <c r="AH1307" s="156">
        <v>0.1</v>
      </c>
      <c r="AI1307" s="156">
        <v>0.5</v>
      </c>
      <c r="AJ1307" s="156"/>
      <c r="AK1307" s="156"/>
      <c r="AL1307" s="177">
        <v>35</v>
      </c>
      <c r="AM1307" s="156"/>
      <c r="AN1307" s="156"/>
      <c r="AO1307" s="156"/>
      <c r="AP1307" s="156"/>
      <c r="AQ1307" s="156"/>
      <c r="AR1307" s="156"/>
      <c r="AS1307" s="156"/>
      <c r="AT1307" s="156"/>
      <c r="AU1307" s="156"/>
      <c r="AV1307" s="156"/>
      <c r="AW1307" s="156"/>
      <c r="AX1307" s="156"/>
      <c r="AY1307" s="156"/>
      <c r="AZ1307" s="156"/>
      <c r="BF1307" s="20">
        <v>0</v>
      </c>
    </row>
    <row r="1308" spans="1:58" s="74" customFormat="1" ht="14.5">
      <c r="A1308" s="74">
        <v>2100205</v>
      </c>
      <c r="C1308" s="74">
        <v>1</v>
      </c>
      <c r="E1308" s="74" t="s">
        <v>4101</v>
      </c>
      <c r="F1308" s="74" t="s">
        <v>4008</v>
      </c>
      <c r="G1308" s="74" t="str">
        <f>VLOOKUP(F1308,'[3]#对话模型配置'!A:O,12,FALSE)</f>
        <v>TID_Dialogue_Character_11</v>
      </c>
      <c r="H1308" s="74" t="s">
        <v>3889</v>
      </c>
      <c r="I1308" s="74" t="str">
        <f>VLOOKUP(F1308,'[3]#对话模型配置'!A:O,15,FALSE)</f>
        <v>newbie_oversea_andrea</v>
      </c>
      <c r="J1308" s="24" t="s">
        <v>4236</v>
      </c>
      <c r="K1308" s="146" t="s">
        <v>4237</v>
      </c>
      <c r="U1308" s="74">
        <v>2</v>
      </c>
      <c r="V1308" s="74">
        <v>0</v>
      </c>
      <c r="Y1308" s="74" t="b">
        <v>0</v>
      </c>
      <c r="Z1308" s="20"/>
      <c r="AA1308" s="74" t="b">
        <v>1</v>
      </c>
      <c r="AD1308" s="74">
        <v>5</v>
      </c>
      <c r="AE1308" s="20">
        <f>AD1308</f>
        <v>5</v>
      </c>
      <c r="AF1308" s="20"/>
      <c r="AG1308" s="20"/>
      <c r="AH1308" s="61">
        <f t="shared" ref="AH1308:AH1311" si="100">AE1308+1.5</f>
        <v>6.5</v>
      </c>
      <c r="AI1308" s="20">
        <v>0.5</v>
      </c>
      <c r="AL1308" s="153">
        <v>35</v>
      </c>
      <c r="BF1308" s="74">
        <v>0</v>
      </c>
    </row>
    <row r="1309" spans="1:58" s="74" customFormat="1" ht="14.5">
      <c r="A1309" s="74">
        <v>2100206</v>
      </c>
      <c r="C1309" s="74">
        <v>1</v>
      </c>
      <c r="E1309" s="74" t="s">
        <v>4101</v>
      </c>
      <c r="F1309" s="74" t="s">
        <v>4008</v>
      </c>
      <c r="G1309" s="74" t="str">
        <f>VLOOKUP(F1309,'[3]#对话模型配置'!A:O,12,FALSE)</f>
        <v>TID_Dialogue_Character_11</v>
      </c>
      <c r="H1309" s="74" t="s">
        <v>3889</v>
      </c>
      <c r="I1309" s="74" t="str">
        <f>VLOOKUP(F1309,'[3]#对话模型配置'!A:O,15,FALSE)</f>
        <v>newbie_oversea_andrea</v>
      </c>
      <c r="J1309" s="24" t="s">
        <v>4238</v>
      </c>
      <c r="K1309" s="146" t="s">
        <v>4239</v>
      </c>
      <c r="U1309" s="74">
        <v>2</v>
      </c>
      <c r="V1309" s="74">
        <v>0</v>
      </c>
      <c r="Y1309" s="74" t="b">
        <v>0</v>
      </c>
      <c r="Z1309" s="20"/>
      <c r="AA1309" s="74" t="b">
        <v>1</v>
      </c>
      <c r="AD1309" s="74">
        <v>5</v>
      </c>
      <c r="AE1309" s="20">
        <f>AD1309</f>
        <v>5</v>
      </c>
      <c r="AF1309" s="20"/>
      <c r="AG1309" s="20"/>
      <c r="AH1309" s="61">
        <f t="shared" si="100"/>
        <v>6.5</v>
      </c>
      <c r="AI1309" s="20">
        <v>0.5</v>
      </c>
      <c r="AL1309" s="153">
        <v>35</v>
      </c>
      <c r="BF1309" s="74">
        <v>0</v>
      </c>
    </row>
    <row r="1310" spans="1:58" s="74" customFormat="1" ht="14.5">
      <c r="A1310" s="74">
        <v>2100207</v>
      </c>
      <c r="C1310" s="74">
        <v>1</v>
      </c>
      <c r="E1310" s="74" t="s">
        <v>4101</v>
      </c>
      <c r="F1310" s="74" t="s">
        <v>4008</v>
      </c>
      <c r="G1310" s="74" t="str">
        <f>VLOOKUP(F1310,'[3]#对话模型配置'!A:O,12,FALSE)</f>
        <v>TID_Dialogue_Character_11</v>
      </c>
      <c r="H1310" s="74" t="s">
        <v>3889</v>
      </c>
      <c r="I1310" s="74" t="str">
        <f>VLOOKUP(F1310,'[3]#对话模型配置'!A:O,15,FALSE)</f>
        <v>newbie_oversea_andrea</v>
      </c>
      <c r="J1310" s="24" t="s">
        <v>4240</v>
      </c>
      <c r="K1310" s="146" t="s">
        <v>4241</v>
      </c>
      <c r="U1310" s="74">
        <v>2</v>
      </c>
      <c r="V1310" s="74">
        <v>0</v>
      </c>
      <c r="Y1310" s="74" t="b">
        <v>0</v>
      </c>
      <c r="Z1310" s="20"/>
      <c r="AA1310" s="74" t="b">
        <v>1</v>
      </c>
      <c r="AD1310" s="74">
        <v>5</v>
      </c>
      <c r="AE1310" s="20">
        <f>AD1310</f>
        <v>5</v>
      </c>
      <c r="AF1310" s="20"/>
      <c r="AG1310" s="20"/>
      <c r="AH1310" s="61">
        <f t="shared" si="100"/>
        <v>6.5</v>
      </c>
      <c r="AI1310" s="20">
        <v>0.5</v>
      </c>
      <c r="AL1310" s="153">
        <v>35</v>
      </c>
      <c r="BF1310" s="74">
        <v>0</v>
      </c>
    </row>
    <row r="1311" spans="1:58" s="74" customFormat="1" ht="14.5">
      <c r="A1311" s="74">
        <v>2100208</v>
      </c>
      <c r="C1311" s="74">
        <v>1</v>
      </c>
      <c r="E1311" s="74" t="s">
        <v>4101</v>
      </c>
      <c r="F1311" s="74" t="s">
        <v>4008</v>
      </c>
      <c r="G1311" s="74" t="str">
        <f>VLOOKUP(F1311,'[3]#对话模型配置'!A:O,12,FALSE)</f>
        <v>TID_Dialogue_Character_11</v>
      </c>
      <c r="H1311" s="74" t="s">
        <v>3889</v>
      </c>
      <c r="I1311" s="74" t="str">
        <f>VLOOKUP(F1311,'[3]#对话模型配置'!A:O,15,FALSE)</f>
        <v>newbie_oversea_andrea</v>
      </c>
      <c r="J1311" s="24" t="s">
        <v>4242</v>
      </c>
      <c r="K1311" s="146" t="s">
        <v>4243</v>
      </c>
      <c r="U1311" s="74">
        <v>2</v>
      </c>
      <c r="V1311" s="74">
        <v>0</v>
      </c>
      <c r="Y1311" s="74" t="b">
        <v>0</v>
      </c>
      <c r="Z1311" s="141"/>
      <c r="AA1311" s="74" t="b">
        <v>1</v>
      </c>
      <c r="AD1311" s="74">
        <v>5</v>
      </c>
      <c r="AE1311" s="20">
        <f>AD1311</f>
        <v>5</v>
      </c>
      <c r="AF1311" s="20"/>
      <c r="AG1311" s="20"/>
      <c r="AH1311" s="61">
        <f t="shared" si="100"/>
        <v>6.5</v>
      </c>
      <c r="AI1311" s="20">
        <v>0.5</v>
      </c>
      <c r="AL1311" s="153">
        <v>35</v>
      </c>
      <c r="BF1311" s="74">
        <v>0</v>
      </c>
    </row>
    <row r="1312" spans="1:58">
      <c r="A1312" s="20">
        <v>2100209</v>
      </c>
      <c r="C1312" s="20">
        <v>1</v>
      </c>
      <c r="E1312" s="20" t="s">
        <v>4146</v>
      </c>
      <c r="F1312" s="20" t="s">
        <v>2663</v>
      </c>
      <c r="G1312" s="20" t="s">
        <v>2412</v>
      </c>
      <c r="H1312" s="20" t="s">
        <v>3889</v>
      </c>
      <c r="I1312" s="20" t="s">
        <v>3003</v>
      </c>
      <c r="J1312" s="20" t="s">
        <v>4244</v>
      </c>
      <c r="K1312" s="78" t="s">
        <v>4245</v>
      </c>
      <c r="U1312" s="20">
        <v>4</v>
      </c>
      <c r="V1312" s="20">
        <v>0</v>
      </c>
      <c r="Y1312" s="20" t="b">
        <v>0</v>
      </c>
      <c r="Z1312" s="141" t="s">
        <v>4246</v>
      </c>
      <c r="AA1312" s="20" t="b">
        <v>1</v>
      </c>
      <c r="AD1312" s="20">
        <v>2.77081298828125</v>
      </c>
      <c r="AE1312" s="20">
        <v>3</v>
      </c>
      <c r="AH1312" s="20">
        <v>3</v>
      </c>
      <c r="AI1312" s="20">
        <v>0.5</v>
      </c>
      <c r="AL1312" s="20">
        <v>35</v>
      </c>
      <c r="BF1312" s="20">
        <v>1</v>
      </c>
    </row>
    <row r="1313" spans="1:58">
      <c r="A1313" s="20">
        <v>2100210</v>
      </c>
      <c r="C1313" s="20">
        <v>1</v>
      </c>
      <c r="E1313" s="20" t="s">
        <v>4146</v>
      </c>
      <c r="F1313" s="20" t="s">
        <v>2663</v>
      </c>
      <c r="G1313" s="20" t="s">
        <v>2412</v>
      </c>
      <c r="H1313" s="20" t="s">
        <v>3889</v>
      </c>
      <c r="I1313" s="20" t="s">
        <v>3003</v>
      </c>
      <c r="J1313" s="20" t="s">
        <v>4247</v>
      </c>
      <c r="K1313" s="78" t="s">
        <v>4248</v>
      </c>
      <c r="U1313" s="20">
        <v>4</v>
      </c>
      <c r="V1313" s="20">
        <v>0</v>
      </c>
      <c r="Y1313" s="20" t="b">
        <v>0</v>
      </c>
      <c r="Z1313" s="141" t="s">
        <v>4249</v>
      </c>
      <c r="AA1313" s="20" t="b">
        <v>1</v>
      </c>
      <c r="AD1313" s="20">
        <v>3.4410419464111301</v>
      </c>
      <c r="AE1313" s="20">
        <v>4</v>
      </c>
      <c r="AH1313" s="20">
        <v>4</v>
      </c>
      <c r="AI1313" s="20">
        <v>0.5</v>
      </c>
      <c r="AL1313" s="20">
        <v>35</v>
      </c>
      <c r="BF1313" s="20">
        <v>1</v>
      </c>
    </row>
    <row r="1314" spans="1:58">
      <c r="A1314" s="20">
        <v>2100211</v>
      </c>
      <c r="C1314" s="20">
        <v>1</v>
      </c>
      <c r="E1314" s="20" t="s">
        <v>4146</v>
      </c>
      <c r="F1314" s="20" t="s">
        <v>2663</v>
      </c>
      <c r="G1314" s="20" t="s">
        <v>2412</v>
      </c>
      <c r="H1314" s="20" t="s">
        <v>3889</v>
      </c>
      <c r="I1314" s="20" t="s">
        <v>3003</v>
      </c>
      <c r="J1314" s="20" t="s">
        <v>4250</v>
      </c>
      <c r="K1314" s="78" t="s">
        <v>4251</v>
      </c>
      <c r="U1314" s="20">
        <v>4</v>
      </c>
      <c r="V1314" s="20">
        <v>0</v>
      </c>
      <c r="Y1314" s="20" t="b">
        <v>0</v>
      </c>
      <c r="Z1314" s="141" t="s">
        <v>4252</v>
      </c>
      <c r="AA1314" s="20" t="b">
        <v>1</v>
      </c>
      <c r="AD1314" s="20">
        <v>2.0564999580383301</v>
      </c>
      <c r="AE1314" s="20">
        <v>3</v>
      </c>
      <c r="AH1314" s="20">
        <v>3</v>
      </c>
      <c r="AI1314" s="20">
        <v>0.5</v>
      </c>
      <c r="AL1314" s="20">
        <v>35</v>
      </c>
      <c r="BF1314" s="20">
        <v>1</v>
      </c>
    </row>
    <row r="1315" spans="1:58">
      <c r="A1315" s="20">
        <v>2100212</v>
      </c>
      <c r="C1315" s="20">
        <v>1</v>
      </c>
      <c r="F1315" s="20" t="s">
        <v>672</v>
      </c>
      <c r="G1315" s="74" t="str">
        <f>VLOOKUP(F1315,'[3]#对话模型配置'!A:O,12,FALSE)</f>
        <v>TID_Dialogue_Character_6</v>
      </c>
      <c r="H1315" s="74" t="s">
        <v>3889</v>
      </c>
      <c r="I1315" s="74" t="str">
        <f>VLOOKUP(F1315,'[3]#对话模型配置'!A:O,15,FALSE)</f>
        <v>newbie_oversea_enemy</v>
      </c>
      <c r="J1315" s="20" t="s">
        <v>4253</v>
      </c>
      <c r="K1315" s="78" t="s">
        <v>4254</v>
      </c>
      <c r="U1315" s="20">
        <v>4</v>
      </c>
      <c r="V1315" s="20">
        <v>0</v>
      </c>
      <c r="Y1315" s="20" t="b">
        <v>0</v>
      </c>
      <c r="Z1315" s="141" t="s">
        <v>4255</v>
      </c>
      <c r="AA1315" s="20" t="b">
        <v>1</v>
      </c>
      <c r="AD1315" s="20">
        <v>3.6799790859222399</v>
      </c>
      <c r="AE1315" s="20">
        <v>4</v>
      </c>
      <c r="AH1315" s="20">
        <v>4</v>
      </c>
      <c r="AI1315" s="20">
        <v>0.5</v>
      </c>
      <c r="AL1315" s="20">
        <v>35</v>
      </c>
      <c r="BF1315" s="20">
        <v>1</v>
      </c>
    </row>
    <row r="1316" spans="1:58" s="74" customFormat="1" ht="14.5">
      <c r="A1316" s="74">
        <v>2100213</v>
      </c>
      <c r="C1316" s="74">
        <v>1</v>
      </c>
      <c r="E1316" s="74" t="s">
        <v>4101</v>
      </c>
      <c r="F1316" s="74" t="s">
        <v>4008</v>
      </c>
      <c r="G1316" s="74" t="str">
        <f>VLOOKUP(F1316,'[3]#对话模型配置'!A:O,12,FALSE)</f>
        <v>TID_Dialogue_Character_11</v>
      </c>
      <c r="H1316" s="74" t="s">
        <v>3889</v>
      </c>
      <c r="I1316" s="74" t="str">
        <f>VLOOKUP(F1316,'[3]#对话模型配置'!A:O,15,FALSE)</f>
        <v>newbie_oversea_andrea</v>
      </c>
      <c r="J1316" s="145" t="s">
        <v>4256</v>
      </c>
      <c r="K1316" s="146" t="s">
        <v>4257</v>
      </c>
      <c r="U1316" s="74">
        <v>5</v>
      </c>
      <c r="V1316" s="74">
        <v>0</v>
      </c>
      <c r="Y1316" s="74" t="b">
        <v>0</v>
      </c>
      <c r="Z1316" s="141"/>
      <c r="AA1316" s="74" t="b">
        <v>1</v>
      </c>
      <c r="AD1316" s="74">
        <v>5</v>
      </c>
      <c r="AE1316" s="74">
        <v>5</v>
      </c>
      <c r="AG1316" s="20"/>
      <c r="AH1316" s="74">
        <v>5</v>
      </c>
      <c r="AI1316" s="20">
        <v>0.5</v>
      </c>
      <c r="AL1316" s="153">
        <v>35</v>
      </c>
      <c r="BF1316" s="74">
        <v>0</v>
      </c>
    </row>
    <row r="1317" spans="1:58" s="56" customFormat="1">
      <c r="A1317" s="20">
        <v>2100216</v>
      </c>
      <c r="B1317" s="20"/>
      <c r="C1317" s="56">
        <v>1</v>
      </c>
      <c r="D1317" s="56" t="s">
        <v>4258</v>
      </c>
      <c r="E1317" s="20"/>
      <c r="F1317" s="20" t="s">
        <v>4259</v>
      </c>
      <c r="G1317" s="20" t="s">
        <v>4260</v>
      </c>
      <c r="H1317" s="20" t="s">
        <v>112</v>
      </c>
      <c r="I1317" s="20" t="s">
        <v>113</v>
      </c>
      <c r="J1317" s="56" t="s">
        <v>4261</v>
      </c>
      <c r="K1317" s="74" t="s">
        <v>4262</v>
      </c>
      <c r="L1317" s="61"/>
      <c r="M1317" s="61"/>
      <c r="N1317" s="61"/>
      <c r="O1317" s="61"/>
      <c r="P1317" s="61"/>
      <c r="Q1317" s="61"/>
      <c r="R1317" s="61"/>
      <c r="S1317" s="61"/>
      <c r="U1317" s="56">
        <v>1</v>
      </c>
      <c r="V1317" s="56">
        <v>0</v>
      </c>
      <c r="X1317" s="56">
        <v>0</v>
      </c>
      <c r="Y1317" s="56" t="b">
        <v>0</v>
      </c>
      <c r="AA1317" s="56" t="b">
        <v>0</v>
      </c>
      <c r="AC1317" s="56">
        <v>20001102</v>
      </c>
      <c r="AD1317" s="56">
        <v>8.1546669006347692</v>
      </c>
      <c r="AE1317" s="48">
        <f>AD1317+1</f>
        <v>9.1546669006347692</v>
      </c>
      <c r="AF1317" s="48"/>
      <c r="AG1317" s="48"/>
      <c r="AH1317" s="56">
        <v>0.1</v>
      </c>
      <c r="AI1317" s="56">
        <v>0.5</v>
      </c>
      <c r="AL1317" s="56">
        <v>25</v>
      </c>
      <c r="BF1317" s="56">
        <v>0</v>
      </c>
    </row>
    <row r="1318" spans="1:58" s="56" customFormat="1">
      <c r="A1318" s="20">
        <v>2100216</v>
      </c>
      <c r="B1318" s="20"/>
      <c r="C1318" s="56">
        <v>2</v>
      </c>
      <c r="D1318" s="56" t="s">
        <v>4258</v>
      </c>
      <c r="E1318" s="20"/>
      <c r="F1318" s="20" t="s">
        <v>4259</v>
      </c>
      <c r="G1318" s="20" t="s">
        <v>4260</v>
      </c>
      <c r="H1318" s="20" t="s">
        <v>112</v>
      </c>
      <c r="I1318" s="20" t="s">
        <v>113</v>
      </c>
      <c r="J1318" s="56" t="s">
        <v>4263</v>
      </c>
      <c r="K1318" s="74" t="s">
        <v>4264</v>
      </c>
      <c r="L1318" s="61"/>
      <c r="M1318" s="61"/>
      <c r="N1318" s="61"/>
      <c r="O1318" s="61"/>
      <c r="P1318" s="61"/>
      <c r="Q1318" s="61"/>
      <c r="R1318" s="61"/>
      <c r="S1318" s="61"/>
      <c r="U1318" s="56">
        <v>1</v>
      </c>
      <c r="V1318" s="56">
        <v>0</v>
      </c>
      <c r="X1318" s="56">
        <v>0</v>
      </c>
      <c r="Y1318" s="56" t="b">
        <v>0</v>
      </c>
      <c r="AA1318" s="56" t="b">
        <v>0</v>
      </c>
      <c r="AC1318" s="56">
        <v>20001102</v>
      </c>
      <c r="AD1318" s="56">
        <v>8.1546669006347692</v>
      </c>
      <c r="AE1318" s="48">
        <f>AD1318+1</f>
        <v>9.1546669006347692</v>
      </c>
      <c r="AF1318" s="48"/>
      <c r="AG1318" s="48"/>
      <c r="AH1318" s="56">
        <v>0.1</v>
      </c>
      <c r="AI1318" s="56">
        <v>0.5</v>
      </c>
      <c r="AL1318" s="56">
        <v>25</v>
      </c>
      <c r="BF1318" s="56">
        <v>0</v>
      </c>
    </row>
    <row r="1319" spans="1:58" s="56" customFormat="1">
      <c r="A1319" s="20">
        <v>2100216</v>
      </c>
      <c r="B1319" s="20"/>
      <c r="C1319" s="56">
        <v>3</v>
      </c>
      <c r="D1319" s="56" t="s">
        <v>4258</v>
      </c>
      <c r="E1319" s="20"/>
      <c r="F1319" s="20" t="s">
        <v>4259</v>
      </c>
      <c r="G1319" s="20" t="s">
        <v>4260</v>
      </c>
      <c r="H1319" s="20" t="s">
        <v>112</v>
      </c>
      <c r="I1319" s="20" t="s">
        <v>113</v>
      </c>
      <c r="J1319" s="56" t="s">
        <v>4265</v>
      </c>
      <c r="K1319" s="74" t="s">
        <v>4266</v>
      </c>
      <c r="L1319" s="61"/>
      <c r="M1319" s="61"/>
      <c r="N1319" s="61"/>
      <c r="O1319" s="61"/>
      <c r="P1319" s="61"/>
      <c r="Q1319" s="61"/>
      <c r="R1319" s="61"/>
      <c r="S1319" s="61"/>
      <c r="U1319" s="56">
        <v>1</v>
      </c>
      <c r="V1319" s="56">
        <v>0</v>
      </c>
      <c r="X1319" s="56">
        <v>0</v>
      </c>
      <c r="Y1319" s="56" t="b">
        <v>0</v>
      </c>
      <c r="AA1319" s="56" t="b">
        <v>0</v>
      </c>
      <c r="AC1319" s="56">
        <v>20001102</v>
      </c>
      <c r="AD1319" s="56">
        <v>8.1546669006347692</v>
      </c>
      <c r="AE1319" s="48">
        <f>AD1319+1</f>
        <v>9.1546669006347692</v>
      </c>
      <c r="AF1319" s="48"/>
      <c r="AG1319" s="48"/>
      <c r="AH1319" s="56">
        <v>0.1</v>
      </c>
      <c r="AI1319" s="56">
        <v>0.5</v>
      </c>
      <c r="AL1319" s="56">
        <v>25</v>
      </c>
      <c r="BF1319" s="56">
        <v>0</v>
      </c>
    </row>
    <row r="1320" spans="1:58" s="56" customFormat="1">
      <c r="A1320" s="20">
        <v>2100217</v>
      </c>
      <c r="C1320" s="56">
        <v>1</v>
      </c>
      <c r="D1320" s="56" t="s">
        <v>646</v>
      </c>
      <c r="E1320" s="20" t="s">
        <v>4108</v>
      </c>
      <c r="F1320" s="20" t="s">
        <v>4008</v>
      </c>
      <c r="G1320" s="20" t="str">
        <f>VLOOKUP(F1320,'[3]#对话模型配置'!A:O,12,FALSE)</f>
        <v>TID_Dialogue_Character_11</v>
      </c>
      <c r="H1320" s="20" t="s">
        <v>112</v>
      </c>
      <c r="I1320" s="20" t="s">
        <v>113</v>
      </c>
      <c r="J1320" s="56" t="s">
        <v>4267</v>
      </c>
      <c r="K1320" s="74" t="s">
        <v>4268</v>
      </c>
      <c r="L1320" s="61"/>
      <c r="M1320" s="61"/>
      <c r="N1320" s="61"/>
      <c r="O1320" s="61"/>
      <c r="P1320" s="61"/>
      <c r="Q1320" s="61"/>
      <c r="R1320" s="61"/>
      <c r="S1320" s="61"/>
      <c r="U1320" s="56">
        <v>1</v>
      </c>
      <c r="V1320" s="56">
        <v>0</v>
      </c>
      <c r="X1320" s="56">
        <v>0</v>
      </c>
      <c r="Y1320" s="56" t="b">
        <v>0</v>
      </c>
      <c r="AA1320" s="56" t="b">
        <v>0</v>
      </c>
      <c r="AC1320" s="56">
        <v>20001102</v>
      </c>
      <c r="AD1320" s="56">
        <v>8.1546669006347692</v>
      </c>
      <c r="AE1320" s="48">
        <v>5</v>
      </c>
      <c r="AF1320" s="48"/>
      <c r="AG1320" s="48"/>
      <c r="AH1320" s="56">
        <v>1</v>
      </c>
      <c r="AL1320" s="56">
        <v>35</v>
      </c>
      <c r="AM1320" s="48">
        <v>30001001</v>
      </c>
      <c r="AN1320" s="56" t="s">
        <v>649</v>
      </c>
      <c r="BF1320" s="56">
        <v>0</v>
      </c>
    </row>
    <row r="1321" spans="1:58" s="56" customFormat="1">
      <c r="A1321" s="20">
        <v>2100218</v>
      </c>
      <c r="C1321" s="56">
        <v>1</v>
      </c>
      <c r="D1321" s="56" t="s">
        <v>646</v>
      </c>
      <c r="E1321" s="20" t="s">
        <v>4108</v>
      </c>
      <c r="F1321" s="20" t="s">
        <v>4008</v>
      </c>
      <c r="G1321" s="20" t="str">
        <f>VLOOKUP(F1321,'[3]#对话模型配置'!A:O,12,FALSE)</f>
        <v>TID_Dialogue_Character_11</v>
      </c>
      <c r="H1321" s="20" t="s">
        <v>112</v>
      </c>
      <c r="I1321" s="20" t="s">
        <v>113</v>
      </c>
      <c r="J1321" s="56" t="s">
        <v>4269</v>
      </c>
      <c r="K1321" s="74" t="s">
        <v>4270</v>
      </c>
      <c r="L1321" s="61"/>
      <c r="M1321" s="61"/>
      <c r="N1321" s="61"/>
      <c r="O1321" s="61"/>
      <c r="P1321" s="61"/>
      <c r="Q1321" s="61"/>
      <c r="R1321" s="61"/>
      <c r="S1321" s="61"/>
      <c r="U1321" s="56">
        <v>1</v>
      </c>
      <c r="V1321" s="56">
        <v>0</v>
      </c>
      <c r="X1321" s="56">
        <v>0</v>
      </c>
      <c r="Y1321" s="56" t="b">
        <v>0</v>
      </c>
      <c r="AA1321" s="56" t="b">
        <v>0</v>
      </c>
      <c r="AC1321" s="56">
        <v>20001102</v>
      </c>
      <c r="AD1321" s="56">
        <v>8.1546669006347692</v>
      </c>
      <c r="AE1321" s="48">
        <v>5</v>
      </c>
      <c r="AF1321" s="48"/>
      <c r="AG1321" s="48"/>
      <c r="AH1321" s="56">
        <v>1</v>
      </c>
      <c r="AL1321" s="56">
        <v>35</v>
      </c>
      <c r="AM1321" s="48">
        <v>30001001</v>
      </c>
      <c r="AN1321" s="56" t="s">
        <v>649</v>
      </c>
      <c r="BF1321" s="56">
        <v>0</v>
      </c>
    </row>
    <row r="1322" spans="1:58" s="56" customFormat="1">
      <c r="A1322" s="20">
        <v>2100218</v>
      </c>
      <c r="C1322" s="56">
        <v>2</v>
      </c>
      <c r="D1322" s="56" t="s">
        <v>646</v>
      </c>
      <c r="E1322" s="20" t="s">
        <v>4108</v>
      </c>
      <c r="F1322" s="20" t="s">
        <v>4008</v>
      </c>
      <c r="G1322" s="20" t="str">
        <f>VLOOKUP(F1322,'[3]#对话模型配置'!A:O,12,FALSE)</f>
        <v>TID_Dialogue_Character_11</v>
      </c>
      <c r="H1322" s="20" t="s">
        <v>112</v>
      </c>
      <c r="I1322" s="20" t="s">
        <v>113</v>
      </c>
      <c r="J1322" s="56" t="s">
        <v>4271</v>
      </c>
      <c r="K1322" s="74" t="s">
        <v>4272</v>
      </c>
      <c r="L1322" s="61"/>
      <c r="M1322" s="61"/>
      <c r="N1322" s="61"/>
      <c r="O1322" s="61"/>
      <c r="P1322" s="61"/>
      <c r="Q1322" s="61"/>
      <c r="R1322" s="61"/>
      <c r="S1322" s="61"/>
      <c r="U1322" s="56">
        <v>1</v>
      </c>
      <c r="V1322" s="56">
        <v>0</v>
      </c>
      <c r="X1322" s="56">
        <v>0</v>
      </c>
      <c r="Y1322" s="56" t="b">
        <v>0</v>
      </c>
      <c r="AA1322" s="56" t="b">
        <v>0</v>
      </c>
      <c r="AC1322" s="56">
        <v>20001102</v>
      </c>
      <c r="AD1322" s="56">
        <v>8.1546669006347692</v>
      </c>
      <c r="AE1322" s="48">
        <v>5</v>
      </c>
      <c r="AF1322" s="48"/>
      <c r="AG1322" s="48"/>
      <c r="AH1322" s="56">
        <v>1</v>
      </c>
      <c r="AL1322" s="56">
        <v>35</v>
      </c>
      <c r="AM1322" s="48">
        <v>30001001</v>
      </c>
      <c r="AN1322" s="56" t="s">
        <v>649</v>
      </c>
      <c r="BF1322" s="56">
        <v>0</v>
      </c>
    </row>
    <row r="1323" spans="1:58" s="56" customFormat="1">
      <c r="A1323" s="20">
        <v>2100218</v>
      </c>
      <c r="C1323" s="56">
        <v>3</v>
      </c>
      <c r="D1323" s="56" t="s">
        <v>646</v>
      </c>
      <c r="E1323" s="20" t="s">
        <v>4108</v>
      </c>
      <c r="F1323" s="20" t="s">
        <v>4008</v>
      </c>
      <c r="G1323" s="20" t="str">
        <f>VLOOKUP(F1323,'[3]#对话模型配置'!A:O,12,FALSE)</f>
        <v>TID_Dialogue_Character_11</v>
      </c>
      <c r="H1323" s="20" t="s">
        <v>112</v>
      </c>
      <c r="I1323" s="20" t="s">
        <v>113</v>
      </c>
      <c r="J1323" s="56" t="s">
        <v>4273</v>
      </c>
      <c r="K1323" s="74" t="s">
        <v>4274</v>
      </c>
      <c r="L1323" s="61"/>
      <c r="M1323" s="61"/>
      <c r="N1323" s="61"/>
      <c r="O1323" s="61"/>
      <c r="P1323" s="61"/>
      <c r="Q1323" s="61"/>
      <c r="R1323" s="61"/>
      <c r="S1323" s="61"/>
      <c r="U1323" s="56">
        <v>1</v>
      </c>
      <c r="V1323" s="56">
        <v>0</v>
      </c>
      <c r="X1323" s="56">
        <v>0</v>
      </c>
      <c r="Y1323" s="56" t="b">
        <v>0</v>
      </c>
      <c r="AA1323" s="56" t="b">
        <v>0</v>
      </c>
      <c r="AC1323" s="56">
        <v>20001102</v>
      </c>
      <c r="AD1323" s="56">
        <v>8.1546669006347692</v>
      </c>
      <c r="AE1323" s="48">
        <v>5</v>
      </c>
      <c r="AF1323" s="48"/>
      <c r="AG1323" s="48"/>
      <c r="AH1323" s="56">
        <v>1</v>
      </c>
      <c r="AL1323" s="56">
        <v>35</v>
      </c>
      <c r="AM1323" s="48">
        <v>30001001</v>
      </c>
      <c r="AN1323" s="56" t="s">
        <v>649</v>
      </c>
      <c r="BF1323" s="56">
        <v>0</v>
      </c>
    </row>
    <row r="1324" spans="1:58" s="56" customFormat="1">
      <c r="A1324" s="20">
        <v>2100219</v>
      </c>
      <c r="C1324" s="56">
        <v>1</v>
      </c>
      <c r="D1324" s="56" t="s">
        <v>646</v>
      </c>
      <c r="E1324" s="20" t="s">
        <v>4108</v>
      </c>
      <c r="F1324" s="20" t="s">
        <v>4008</v>
      </c>
      <c r="G1324" s="74" t="str">
        <f>VLOOKUP(F1324,'[3]#对话模型配置'!A:O,12,FALSE)</f>
        <v>TID_Dialogue_Character_11</v>
      </c>
      <c r="H1324" s="74" t="s">
        <v>3889</v>
      </c>
      <c r="I1324" s="74" t="str">
        <f>VLOOKUP(F1324,'[3]#对话模型配置'!A:O,15,FALSE)</f>
        <v>newbie_oversea_andrea</v>
      </c>
      <c r="J1324" s="56" t="s">
        <v>4275</v>
      </c>
      <c r="K1324" s="74" t="s">
        <v>4276</v>
      </c>
      <c r="L1324" s="61"/>
      <c r="M1324" s="61"/>
      <c r="N1324" s="61"/>
      <c r="O1324" s="61"/>
      <c r="P1324" s="61"/>
      <c r="Q1324" s="61"/>
      <c r="R1324" s="61"/>
      <c r="S1324" s="61"/>
      <c r="U1324" s="56">
        <v>2</v>
      </c>
      <c r="V1324" s="56">
        <v>0</v>
      </c>
      <c r="X1324" s="56">
        <v>0</v>
      </c>
      <c r="Y1324" s="56" t="b">
        <v>0</v>
      </c>
      <c r="AA1324" s="56" t="b">
        <v>0</v>
      </c>
      <c r="AD1324" s="56">
        <v>8.1546669006347692</v>
      </c>
      <c r="AE1324" s="48">
        <v>4</v>
      </c>
      <c r="AF1324" s="48"/>
      <c r="AG1324" s="48"/>
      <c r="AH1324" s="56">
        <v>1</v>
      </c>
      <c r="AL1324" s="56">
        <v>40</v>
      </c>
      <c r="AM1324" s="48"/>
      <c r="BF1324" s="56">
        <v>0</v>
      </c>
    </row>
    <row r="1325" spans="1:58" s="56" customFormat="1">
      <c r="A1325" s="20">
        <v>2100219</v>
      </c>
      <c r="C1325" s="56">
        <v>2</v>
      </c>
      <c r="D1325" s="56" t="s">
        <v>646</v>
      </c>
      <c r="E1325" s="20" t="s">
        <v>4108</v>
      </c>
      <c r="F1325" s="20" t="s">
        <v>4008</v>
      </c>
      <c r="G1325" s="74" t="str">
        <f>VLOOKUP(F1325,'[3]#对话模型配置'!A:O,12,FALSE)</f>
        <v>TID_Dialogue_Character_11</v>
      </c>
      <c r="H1325" s="74" t="s">
        <v>3889</v>
      </c>
      <c r="I1325" s="74" t="str">
        <f>VLOOKUP(F1325,'[3]#对话模型配置'!A:O,15,FALSE)</f>
        <v>newbie_oversea_andrea</v>
      </c>
      <c r="J1325" s="56" t="s">
        <v>4277</v>
      </c>
      <c r="K1325" s="74" t="s">
        <v>4278</v>
      </c>
      <c r="L1325" s="61"/>
      <c r="M1325" s="61"/>
      <c r="N1325" s="61"/>
      <c r="O1325" s="61"/>
      <c r="P1325" s="61"/>
      <c r="Q1325" s="61"/>
      <c r="R1325" s="61"/>
      <c r="S1325" s="61"/>
      <c r="U1325" s="56">
        <v>2</v>
      </c>
      <c r="V1325" s="56">
        <v>0</v>
      </c>
      <c r="X1325" s="56">
        <v>0</v>
      </c>
      <c r="Y1325" s="56" t="b">
        <v>0</v>
      </c>
      <c r="AA1325" s="56" t="b">
        <v>0</v>
      </c>
      <c r="AD1325" s="56">
        <v>8.1546669006347692</v>
      </c>
      <c r="AE1325" s="48">
        <v>8</v>
      </c>
      <c r="AF1325" s="48"/>
      <c r="AG1325" s="48"/>
      <c r="AH1325" s="56">
        <v>1</v>
      </c>
      <c r="AL1325" s="56">
        <v>40</v>
      </c>
      <c r="AM1325" s="48"/>
      <c r="BF1325" s="56">
        <v>0</v>
      </c>
    </row>
    <row r="1326" spans="1:58" s="56" customFormat="1">
      <c r="A1326" s="20">
        <v>2100219</v>
      </c>
      <c r="C1326" s="56">
        <v>3</v>
      </c>
      <c r="D1326" s="56" t="s">
        <v>646</v>
      </c>
      <c r="E1326" s="20" t="s">
        <v>4108</v>
      </c>
      <c r="F1326" s="20" t="s">
        <v>4008</v>
      </c>
      <c r="G1326" s="74" t="str">
        <f>VLOOKUP(F1326,'[3]#对话模型配置'!A:O,12,FALSE)</f>
        <v>TID_Dialogue_Character_11</v>
      </c>
      <c r="H1326" s="74" t="s">
        <v>3889</v>
      </c>
      <c r="I1326" s="74" t="str">
        <f>VLOOKUP(F1326,'[3]#对话模型配置'!A:O,15,FALSE)</f>
        <v>newbie_oversea_andrea</v>
      </c>
      <c r="J1326" s="56" t="s">
        <v>4279</v>
      </c>
      <c r="K1326" s="74" t="s">
        <v>4280</v>
      </c>
      <c r="L1326" s="61"/>
      <c r="M1326" s="61"/>
      <c r="N1326" s="61"/>
      <c r="O1326" s="61"/>
      <c r="P1326" s="61"/>
      <c r="Q1326" s="61"/>
      <c r="R1326" s="61"/>
      <c r="S1326" s="61"/>
      <c r="U1326" s="56">
        <v>2</v>
      </c>
      <c r="V1326" s="56">
        <v>0</v>
      </c>
      <c r="X1326" s="56">
        <v>0</v>
      </c>
      <c r="Y1326" s="56" t="b">
        <v>0</v>
      </c>
      <c r="AA1326" s="56" t="b">
        <v>0</v>
      </c>
      <c r="AD1326" s="56">
        <v>8.1546669006347692</v>
      </c>
      <c r="AE1326" s="48">
        <v>4</v>
      </c>
      <c r="AF1326" s="48"/>
      <c r="AG1326" s="48"/>
      <c r="AH1326" s="56">
        <v>1</v>
      </c>
      <c r="AL1326" s="56">
        <v>40</v>
      </c>
      <c r="AM1326" s="48"/>
      <c r="BF1326" s="56">
        <v>0</v>
      </c>
    </row>
    <row r="1327" spans="1:58" s="212" customFormat="1">
      <c r="A1327" s="211">
        <v>2100310</v>
      </c>
      <c r="B1327" s="211"/>
      <c r="C1327" s="212">
        <v>1</v>
      </c>
      <c r="D1327" s="212" t="s">
        <v>4258</v>
      </c>
      <c r="E1327" s="211"/>
      <c r="F1327" s="211" t="s">
        <v>4259</v>
      </c>
      <c r="G1327" s="211" t="s">
        <v>4260</v>
      </c>
      <c r="H1327" s="211" t="s">
        <v>112</v>
      </c>
      <c r="I1327" s="211" t="s">
        <v>113</v>
      </c>
      <c r="J1327" s="212" t="s">
        <v>7687</v>
      </c>
      <c r="K1327" s="213" t="s">
        <v>7688</v>
      </c>
      <c r="L1327" s="214"/>
      <c r="M1327" s="214"/>
      <c r="N1327" s="214"/>
      <c r="O1327" s="214"/>
      <c r="P1327" s="214"/>
      <c r="Q1327" s="214"/>
      <c r="R1327" s="214"/>
      <c r="S1327" s="214"/>
      <c r="U1327" s="212">
        <v>1</v>
      </c>
      <c r="V1327" s="212">
        <v>0</v>
      </c>
      <c r="X1327" s="212">
        <v>0</v>
      </c>
      <c r="Y1327" s="212" t="b">
        <v>0</v>
      </c>
      <c r="AA1327" s="212" t="b">
        <v>0</v>
      </c>
      <c r="AC1327" s="212">
        <v>20001102</v>
      </c>
      <c r="AD1327" s="212">
        <v>8.1546669006347692</v>
      </c>
      <c r="AE1327" s="215">
        <f>AD1327+1</f>
        <v>9.1546669006347692</v>
      </c>
      <c r="AF1327" s="215"/>
      <c r="AG1327" s="215"/>
      <c r="AH1327" s="212">
        <v>0.1</v>
      </c>
      <c r="AI1327" s="212">
        <v>0.5</v>
      </c>
      <c r="AL1327" s="212">
        <v>25</v>
      </c>
      <c r="BF1327" s="212">
        <v>0</v>
      </c>
    </row>
    <row r="1328" spans="1:58" s="212" customFormat="1">
      <c r="A1328" s="211">
        <v>2100311</v>
      </c>
      <c r="B1328" s="211"/>
      <c r="C1328" s="212">
        <v>1</v>
      </c>
      <c r="D1328" s="212" t="s">
        <v>4258</v>
      </c>
      <c r="E1328" s="211"/>
      <c r="F1328" s="211" t="s">
        <v>4259</v>
      </c>
      <c r="G1328" s="211" t="s">
        <v>4260</v>
      </c>
      <c r="H1328" s="211" t="s">
        <v>112</v>
      </c>
      <c r="I1328" s="211" t="s">
        <v>113</v>
      </c>
      <c r="J1328" s="212" t="s">
        <v>7689</v>
      </c>
      <c r="K1328" s="213" t="s">
        <v>7690</v>
      </c>
      <c r="L1328" s="214"/>
      <c r="M1328" s="214"/>
      <c r="N1328" s="214"/>
      <c r="O1328" s="214"/>
      <c r="P1328" s="214"/>
      <c r="Q1328" s="214"/>
      <c r="R1328" s="214"/>
      <c r="S1328" s="214"/>
      <c r="U1328" s="212">
        <v>1</v>
      </c>
      <c r="V1328" s="212">
        <v>0</v>
      </c>
      <c r="X1328" s="212">
        <v>0</v>
      </c>
      <c r="Y1328" s="212" t="b">
        <v>0</v>
      </c>
      <c r="AA1328" s="212" t="b">
        <v>0</v>
      </c>
      <c r="AC1328" s="212">
        <v>20001102</v>
      </c>
      <c r="AD1328" s="212">
        <v>8.1546669006347692</v>
      </c>
      <c r="AE1328" s="215">
        <f>AD1328+1</f>
        <v>9.1546669006347692</v>
      </c>
      <c r="AF1328" s="215"/>
      <c r="AG1328" s="215"/>
      <c r="AH1328" s="212">
        <v>0.1</v>
      </c>
      <c r="AI1328" s="212">
        <v>0.5</v>
      </c>
      <c r="AL1328" s="212">
        <v>25</v>
      </c>
      <c r="BF1328" s="212">
        <v>0</v>
      </c>
    </row>
    <row r="1329" spans="1:61" s="207" customFormat="1">
      <c r="A1329" s="206">
        <v>2100991</v>
      </c>
      <c r="C1329" s="207">
        <v>1</v>
      </c>
      <c r="D1329" s="207" t="s">
        <v>7673</v>
      </c>
      <c r="E1329" s="206" t="s">
        <v>7674</v>
      </c>
      <c r="F1329" s="206" t="s">
        <v>4008</v>
      </c>
      <c r="G1329" s="208" t="str">
        <f>VLOOKUP(F1329,'[3]#对话模型配置'!A:O,12,FALSE)</f>
        <v>TID_Dialogue_Character_11</v>
      </c>
      <c r="H1329" s="206" t="s">
        <v>112</v>
      </c>
      <c r="I1329" s="206" t="s">
        <v>113</v>
      </c>
      <c r="J1329" s="207" t="s">
        <v>7675</v>
      </c>
      <c r="K1329" s="208" t="s">
        <v>7676</v>
      </c>
      <c r="L1329" s="209"/>
      <c r="M1329" s="209"/>
      <c r="N1329" s="209"/>
      <c r="O1329" s="209"/>
      <c r="P1329" s="209"/>
      <c r="Q1329" s="209"/>
      <c r="R1329" s="209"/>
      <c r="S1329" s="209"/>
      <c r="U1329" s="207">
        <v>1</v>
      </c>
      <c r="V1329" s="207">
        <v>0</v>
      </c>
      <c r="X1329" s="207">
        <v>0</v>
      </c>
      <c r="Y1329" s="207" t="b">
        <v>0</v>
      </c>
      <c r="AA1329" s="207" t="b">
        <v>0</v>
      </c>
      <c r="AE1329" s="210">
        <v>3.5</v>
      </c>
      <c r="AF1329" s="210"/>
      <c r="AG1329" s="210"/>
      <c r="AH1329" s="207">
        <v>1</v>
      </c>
      <c r="AL1329" s="207">
        <v>45</v>
      </c>
      <c r="AM1329" s="210">
        <v>30001001</v>
      </c>
      <c r="AN1329" s="207" t="s">
        <v>649</v>
      </c>
      <c r="BF1329" s="207">
        <v>0</v>
      </c>
    </row>
    <row r="1330" spans="1:61" s="207" customFormat="1">
      <c r="A1330" s="206">
        <v>2100991</v>
      </c>
      <c r="C1330" s="207">
        <v>2</v>
      </c>
      <c r="D1330" s="207" t="s">
        <v>7673</v>
      </c>
      <c r="E1330" s="206" t="s">
        <v>7674</v>
      </c>
      <c r="F1330" s="206" t="s">
        <v>4008</v>
      </c>
      <c r="G1330" s="208" t="str">
        <f>VLOOKUP(F1330,'[3]#对话模型配置'!A:O,12,FALSE)</f>
        <v>TID_Dialogue_Character_11</v>
      </c>
      <c r="H1330" s="206" t="s">
        <v>112</v>
      </c>
      <c r="I1330" s="206" t="s">
        <v>113</v>
      </c>
      <c r="J1330" s="207" t="s">
        <v>7677</v>
      </c>
      <c r="K1330" s="208" t="s">
        <v>7678</v>
      </c>
      <c r="L1330" s="209"/>
      <c r="M1330" s="209"/>
      <c r="N1330" s="209"/>
      <c r="O1330" s="209"/>
      <c r="P1330" s="209"/>
      <c r="Q1330" s="209"/>
      <c r="R1330" s="209"/>
      <c r="S1330" s="209"/>
      <c r="U1330" s="207">
        <v>1</v>
      </c>
      <c r="V1330" s="207">
        <v>0</v>
      </c>
      <c r="X1330" s="207">
        <v>0</v>
      </c>
      <c r="Y1330" s="207" t="b">
        <v>0</v>
      </c>
      <c r="AA1330" s="207" t="b">
        <v>0</v>
      </c>
      <c r="AE1330" s="210">
        <v>3.5</v>
      </c>
      <c r="AF1330" s="210"/>
      <c r="AG1330" s="210"/>
      <c r="AH1330" s="207">
        <v>1</v>
      </c>
      <c r="AL1330" s="207">
        <v>45</v>
      </c>
      <c r="AM1330" s="210">
        <v>30001001</v>
      </c>
      <c r="AN1330" s="207" t="s">
        <v>649</v>
      </c>
      <c r="BF1330" s="207">
        <v>0</v>
      </c>
    </row>
    <row r="1331" spans="1:61" s="207" customFormat="1">
      <c r="A1331" s="206">
        <v>2100991</v>
      </c>
      <c r="C1331" s="207">
        <v>3</v>
      </c>
      <c r="D1331" s="207" t="s">
        <v>7673</v>
      </c>
      <c r="E1331" s="206" t="s">
        <v>7674</v>
      </c>
      <c r="F1331" s="206" t="s">
        <v>4008</v>
      </c>
      <c r="G1331" s="208" t="str">
        <f>VLOOKUP(F1331,'[3]#对话模型配置'!A:O,12,FALSE)</f>
        <v>TID_Dialogue_Character_11</v>
      </c>
      <c r="H1331" s="206" t="s">
        <v>112</v>
      </c>
      <c r="I1331" s="206" t="s">
        <v>113</v>
      </c>
      <c r="J1331" s="207" t="s">
        <v>7679</v>
      </c>
      <c r="K1331" s="208" t="s">
        <v>7680</v>
      </c>
      <c r="L1331" s="209"/>
      <c r="M1331" s="209"/>
      <c r="N1331" s="209"/>
      <c r="O1331" s="209"/>
      <c r="P1331" s="209"/>
      <c r="Q1331" s="209"/>
      <c r="R1331" s="209"/>
      <c r="S1331" s="209"/>
      <c r="U1331" s="207">
        <v>1</v>
      </c>
      <c r="V1331" s="207">
        <v>0</v>
      </c>
      <c r="X1331" s="207">
        <v>0</v>
      </c>
      <c r="Y1331" s="207" t="b">
        <v>0</v>
      </c>
      <c r="AA1331" s="207" t="b">
        <v>0</v>
      </c>
      <c r="AE1331" s="210">
        <v>3.5</v>
      </c>
      <c r="AF1331" s="210"/>
      <c r="AG1331" s="210"/>
      <c r="AH1331" s="207">
        <v>1</v>
      </c>
      <c r="AL1331" s="207">
        <v>45</v>
      </c>
      <c r="AM1331" s="210">
        <v>30001001</v>
      </c>
      <c r="AN1331" s="207" t="s">
        <v>649</v>
      </c>
      <c r="BF1331" s="207">
        <v>0</v>
      </c>
    </row>
    <row r="1332" spans="1:61" s="207" customFormat="1">
      <c r="A1332" s="206">
        <v>2100992</v>
      </c>
      <c r="C1332" s="207">
        <v>1</v>
      </c>
      <c r="D1332" s="207" t="s">
        <v>7673</v>
      </c>
      <c r="E1332" s="206" t="s">
        <v>7674</v>
      </c>
      <c r="F1332" s="206" t="s">
        <v>4008</v>
      </c>
      <c r="G1332" s="208" t="str">
        <f>VLOOKUP(F1332,'[3]#对话模型配置'!A:O,12,FALSE)</f>
        <v>TID_Dialogue_Character_11</v>
      </c>
      <c r="H1332" s="208" t="s">
        <v>3889</v>
      </c>
      <c r="I1332" s="208" t="str">
        <f>VLOOKUP(F1332,'[3]#对话模型配置'!A:O,15,FALSE)</f>
        <v>newbie_oversea_andrea</v>
      </c>
      <c r="J1332" s="207" t="s">
        <v>7681</v>
      </c>
      <c r="K1332" s="208" t="s">
        <v>7682</v>
      </c>
      <c r="L1332" s="209"/>
      <c r="M1332" s="209"/>
      <c r="N1332" s="209"/>
      <c r="O1332" s="209"/>
      <c r="P1332" s="209"/>
      <c r="Q1332" s="209"/>
      <c r="R1332" s="209"/>
      <c r="S1332" s="209"/>
      <c r="U1332" s="207">
        <v>2</v>
      </c>
      <c r="V1332" s="207">
        <v>0</v>
      </c>
      <c r="X1332" s="207">
        <v>0</v>
      </c>
      <c r="Y1332" s="207" t="b">
        <v>0</v>
      </c>
      <c r="AA1332" s="207" t="b">
        <v>0</v>
      </c>
      <c r="AE1332" s="210">
        <v>9</v>
      </c>
      <c r="AF1332" s="210"/>
      <c r="AG1332" s="210"/>
      <c r="AH1332" s="207">
        <v>9</v>
      </c>
      <c r="AL1332" s="207">
        <v>15</v>
      </c>
      <c r="AM1332" s="210"/>
      <c r="BF1332" s="207">
        <v>0</v>
      </c>
    </row>
    <row r="1333" spans="1:61" s="207" customFormat="1">
      <c r="A1333" s="206">
        <v>2100993</v>
      </c>
      <c r="C1333" s="207">
        <v>1</v>
      </c>
      <c r="D1333" s="207" t="s">
        <v>7673</v>
      </c>
      <c r="E1333" s="206" t="s">
        <v>7674</v>
      </c>
      <c r="F1333" s="206" t="s">
        <v>4008</v>
      </c>
      <c r="G1333" s="208" t="str">
        <f>VLOOKUP(F1333,'[3]#对话模型配置'!A:O,12,FALSE)</f>
        <v>TID_Dialogue_Character_11</v>
      </c>
      <c r="H1333" s="208" t="s">
        <v>3889</v>
      </c>
      <c r="I1333" s="208" t="str">
        <f>VLOOKUP(F1333,'[3]#对话模型配置'!A:O,15,FALSE)</f>
        <v>newbie_oversea_andrea</v>
      </c>
      <c r="J1333" s="207" t="s">
        <v>7683</v>
      </c>
      <c r="K1333" s="208" t="s">
        <v>7684</v>
      </c>
      <c r="L1333" s="209"/>
      <c r="M1333" s="209"/>
      <c r="N1333" s="209"/>
      <c r="O1333" s="209"/>
      <c r="P1333" s="209"/>
      <c r="Q1333" s="209"/>
      <c r="R1333" s="209"/>
      <c r="S1333" s="209"/>
      <c r="U1333" s="207">
        <v>2</v>
      </c>
      <c r="V1333" s="207">
        <v>0</v>
      </c>
      <c r="X1333" s="207">
        <v>0</v>
      </c>
      <c r="Y1333" s="207" t="b">
        <v>0</v>
      </c>
      <c r="AA1333" s="207" t="b">
        <v>0</v>
      </c>
      <c r="AE1333" s="210">
        <v>3.5</v>
      </c>
      <c r="AF1333" s="210"/>
      <c r="AG1333" s="210"/>
      <c r="AH1333" s="207">
        <v>1</v>
      </c>
      <c r="AL1333" s="207">
        <v>45</v>
      </c>
      <c r="AM1333" s="210"/>
      <c r="BF1333" s="207">
        <v>0</v>
      </c>
    </row>
    <row r="1334" spans="1:61" s="207" customFormat="1">
      <c r="A1334" s="206">
        <v>2100993</v>
      </c>
      <c r="C1334" s="207">
        <v>2</v>
      </c>
      <c r="D1334" s="207" t="s">
        <v>7673</v>
      </c>
      <c r="E1334" s="206" t="s">
        <v>7674</v>
      </c>
      <c r="F1334" s="206" t="s">
        <v>4008</v>
      </c>
      <c r="G1334" s="208" t="str">
        <f>VLOOKUP(F1334,'[3]#对话模型配置'!A:O,12,FALSE)</f>
        <v>TID_Dialogue_Character_11</v>
      </c>
      <c r="H1334" s="208" t="s">
        <v>3889</v>
      </c>
      <c r="I1334" s="208" t="str">
        <f>VLOOKUP(F1334,'[3]#对话模型配置'!A:O,15,FALSE)</f>
        <v>newbie_oversea_andrea</v>
      </c>
      <c r="J1334" s="207" t="s">
        <v>7685</v>
      </c>
      <c r="K1334" s="208" t="s">
        <v>7686</v>
      </c>
      <c r="L1334" s="209"/>
      <c r="M1334" s="209"/>
      <c r="N1334" s="209"/>
      <c r="O1334" s="209"/>
      <c r="P1334" s="209"/>
      <c r="Q1334" s="209"/>
      <c r="R1334" s="209"/>
      <c r="S1334" s="209"/>
      <c r="U1334" s="207">
        <v>2</v>
      </c>
      <c r="V1334" s="207">
        <v>0</v>
      </c>
      <c r="X1334" s="207">
        <v>0</v>
      </c>
      <c r="Y1334" s="207" t="b">
        <v>0</v>
      </c>
      <c r="AA1334" s="207" t="b">
        <v>0</v>
      </c>
      <c r="AE1334" s="210">
        <v>3.5</v>
      </c>
      <c r="AF1334" s="210"/>
      <c r="AG1334" s="210"/>
      <c r="AH1334" s="207">
        <v>1</v>
      </c>
      <c r="AL1334" s="207">
        <v>45</v>
      </c>
      <c r="AM1334" s="210"/>
      <c r="BF1334" s="207">
        <v>0</v>
      </c>
    </row>
    <row r="1335" spans="1:61" s="75" customFormat="1" ht="14.5">
      <c r="A1335" s="166">
        <v>2100038</v>
      </c>
      <c r="C1335" s="75">
        <v>1</v>
      </c>
      <c r="E1335" s="75" t="s">
        <v>4005</v>
      </c>
      <c r="F1335" s="75" t="s">
        <v>2633</v>
      </c>
      <c r="G1335" s="75" t="str">
        <f>VLOOKUP(F1335,'#对话模型配置'!A:O,12,FALSE)</f>
        <v>TID_DialogueConf_1060001_name_CN_Main</v>
      </c>
      <c r="H1335" s="75" t="str">
        <f>VLOOKUP(F1335,'#对话模型配置'!A:O,14,FALSE)</f>
        <v>icon_newbie</v>
      </c>
      <c r="I1335" s="75" t="str">
        <f>VLOOKUP(F1335,'#对话模型配置'!A:O,15,FALSE)</f>
        <v>newbie_oversea_axe</v>
      </c>
      <c r="J1335" s="75" t="s">
        <v>4281</v>
      </c>
      <c r="K1335" s="75" t="s">
        <v>4282</v>
      </c>
      <c r="U1335" s="75">
        <v>5</v>
      </c>
      <c r="V1335" s="75">
        <v>0</v>
      </c>
      <c r="Y1335" s="75" t="b">
        <v>0</v>
      </c>
      <c r="Z1335" s="75" t="s">
        <v>4283</v>
      </c>
      <c r="AA1335" s="75" t="b">
        <v>1</v>
      </c>
      <c r="AD1335" s="75">
        <v>6.1410632133483896</v>
      </c>
      <c r="AE1335" s="75">
        <f t="shared" ref="AE1335:AE1357" si="101">AD1335</f>
        <v>6.1410632133483896</v>
      </c>
      <c r="AF1335" s="75" t="s">
        <v>4284</v>
      </c>
      <c r="AG1335" s="75" t="s">
        <v>4285</v>
      </c>
      <c r="AH1335" s="75">
        <f>AE1335+2.5</f>
        <v>8.6410632133483887</v>
      </c>
      <c r="AI1335" s="75">
        <v>2.2000000000000002</v>
      </c>
      <c r="AL1335" s="178">
        <v>55</v>
      </c>
      <c r="BA1335" s="75">
        <v>140002</v>
      </c>
      <c r="BB1335" s="75">
        <v>102003005</v>
      </c>
      <c r="BF1335" s="75">
        <v>0</v>
      </c>
      <c r="BI1335" s="75">
        <v>1</v>
      </c>
    </row>
    <row r="1336" spans="1:61" s="75" customFormat="1" ht="14.5">
      <c r="A1336" s="166">
        <v>2100038</v>
      </c>
      <c r="C1336" s="75">
        <v>2</v>
      </c>
      <c r="E1336" s="75" t="s">
        <v>4005</v>
      </c>
      <c r="F1336" s="75" t="s">
        <v>4008</v>
      </c>
      <c r="G1336" s="75" t="str">
        <f>VLOOKUP(F1336,'#对话模型配置'!A:O,12,FALSE)</f>
        <v>TID_Dialogue_Character_11</v>
      </c>
      <c r="H1336" s="75" t="str">
        <f>VLOOKUP(F1336,'#对话模型配置'!A:O,14,FALSE)</f>
        <v>icon_newbie</v>
      </c>
      <c r="I1336" s="75" t="str">
        <f>VLOOKUP(F1336,'#对话模型配置'!A:O,15,FALSE)</f>
        <v>newbie_oversea_andrea</v>
      </c>
      <c r="J1336" s="75" t="s">
        <v>4286</v>
      </c>
      <c r="K1336" s="75" t="s">
        <v>4287</v>
      </c>
      <c r="U1336" s="75">
        <v>5</v>
      </c>
      <c r="V1336" s="75">
        <v>0</v>
      </c>
      <c r="Y1336" s="75" t="b">
        <v>0</v>
      </c>
      <c r="Z1336" s="75" t="s">
        <v>4288</v>
      </c>
      <c r="AA1336" s="75" t="b">
        <v>1</v>
      </c>
      <c r="AD1336" s="75">
        <v>7.0542497634887704</v>
      </c>
      <c r="AE1336" s="75">
        <f t="shared" si="101"/>
        <v>7.0542497634887704</v>
      </c>
      <c r="AF1336" s="75" t="s">
        <v>4289</v>
      </c>
      <c r="AG1336" s="75" t="s">
        <v>4289</v>
      </c>
      <c r="AH1336" s="75">
        <f>AE1336+1.5</f>
        <v>8.5542497634887695</v>
      </c>
      <c r="AI1336" s="75">
        <v>2</v>
      </c>
      <c r="AL1336" s="178">
        <v>35</v>
      </c>
      <c r="BA1336" s="75">
        <v>140002</v>
      </c>
      <c r="BF1336" s="75">
        <v>0</v>
      </c>
      <c r="BI1336" s="75">
        <v>1</v>
      </c>
    </row>
    <row r="1337" spans="1:61" s="75" customFormat="1" ht="14.5">
      <c r="A1337" s="166">
        <v>2100038</v>
      </c>
      <c r="C1337" s="75">
        <v>3</v>
      </c>
      <c r="E1337" s="75" t="s">
        <v>4005</v>
      </c>
      <c r="F1337" s="75" t="s">
        <v>4290</v>
      </c>
      <c r="G1337" s="75" t="str">
        <f>VLOOKUP(F1337,'#对话模型配置'!A:O,12,FALSE)</f>
        <v>TID_Dialogue_Character_12</v>
      </c>
      <c r="H1337" s="75" t="str">
        <f>VLOOKUP(F1337,'#对话模型配置'!A:O,14,FALSE)</f>
        <v>icon_newbie</v>
      </c>
      <c r="I1337" s="75" t="str">
        <f>VLOOKUP(F1337,'#对话模型配置'!A:O,15,FALSE)</f>
        <v>newbie_oversea_carl</v>
      </c>
      <c r="J1337" s="75" t="s">
        <v>4291</v>
      </c>
      <c r="K1337" s="75" t="s">
        <v>4292</v>
      </c>
      <c r="U1337" s="75">
        <v>5</v>
      </c>
      <c r="V1337" s="75">
        <v>0</v>
      </c>
      <c r="Y1337" s="75" t="b">
        <v>0</v>
      </c>
      <c r="Z1337" s="75" t="s">
        <v>4293</v>
      </c>
      <c r="AA1337" s="75" t="b">
        <v>1</v>
      </c>
      <c r="AD1337" s="75">
        <v>3.6415209770202601</v>
      </c>
      <c r="AE1337" s="75">
        <f t="shared" si="101"/>
        <v>3.6415209770202601</v>
      </c>
      <c r="AF1337" s="75" t="s">
        <v>4294</v>
      </c>
      <c r="AG1337" s="75" t="s">
        <v>4295</v>
      </c>
      <c r="AH1337" s="75">
        <f t="shared" ref="AH1337:AH1394" si="102">AE1337+1.5</f>
        <v>5.1415209770202601</v>
      </c>
      <c r="AI1337" s="75">
        <v>2</v>
      </c>
      <c r="AL1337" s="178">
        <v>35</v>
      </c>
      <c r="BA1337" s="75">
        <v>140002</v>
      </c>
      <c r="BB1337" s="75">
        <v>400053112</v>
      </c>
      <c r="BC1337" s="75">
        <v>1.1000000000000001</v>
      </c>
      <c r="BF1337" s="75">
        <v>0</v>
      </c>
      <c r="BI1337" s="75">
        <v>1</v>
      </c>
    </row>
    <row r="1338" spans="1:61" s="75" customFormat="1" ht="14.5">
      <c r="A1338" s="166">
        <v>2100042</v>
      </c>
      <c r="C1338" s="75">
        <v>1</v>
      </c>
      <c r="E1338" s="75" t="s">
        <v>4005</v>
      </c>
      <c r="F1338" s="75" t="s">
        <v>4008</v>
      </c>
      <c r="G1338" s="75" t="str">
        <f>VLOOKUP(F1338,'#对话模型配置'!A:O,12,FALSE)</f>
        <v>TID_Dialogue_Character_11</v>
      </c>
      <c r="H1338" s="75" t="str">
        <f>VLOOKUP(F1338,'#对话模型配置'!A:O,14,FALSE)</f>
        <v>icon_newbie</v>
      </c>
      <c r="I1338" s="75" t="str">
        <f>VLOOKUP(F1338,'#对话模型配置'!A:O,15,FALSE)</f>
        <v>newbie_oversea_andrea</v>
      </c>
      <c r="J1338" s="75" t="s">
        <v>4296</v>
      </c>
      <c r="K1338" s="75" t="s">
        <v>4297</v>
      </c>
      <c r="U1338" s="75">
        <v>5</v>
      </c>
      <c r="V1338" s="75">
        <v>0</v>
      </c>
      <c r="Y1338" s="75" t="b">
        <v>0</v>
      </c>
      <c r="Z1338" s="75" t="s">
        <v>4298</v>
      </c>
      <c r="AA1338" s="75" t="b">
        <v>1</v>
      </c>
      <c r="AD1338" s="75">
        <v>13.7324371337891</v>
      </c>
      <c r="AE1338" s="75">
        <f t="shared" si="101"/>
        <v>13.7324371337891</v>
      </c>
      <c r="AF1338" s="75" t="s">
        <v>4299</v>
      </c>
      <c r="AG1338" s="75" t="s">
        <v>4299</v>
      </c>
      <c r="AH1338" s="75">
        <f t="shared" si="102"/>
        <v>15.2324371337891</v>
      </c>
      <c r="AI1338" s="75">
        <v>2</v>
      </c>
      <c r="AL1338" s="178">
        <v>35</v>
      </c>
      <c r="BA1338" s="75">
        <v>140002</v>
      </c>
      <c r="BF1338" s="75">
        <v>0</v>
      </c>
      <c r="BI1338" s="75">
        <v>1</v>
      </c>
    </row>
    <row r="1339" spans="1:61" s="75" customFormat="1" ht="14.5">
      <c r="A1339" s="166">
        <v>2100041</v>
      </c>
      <c r="C1339" s="75">
        <v>1</v>
      </c>
      <c r="E1339" s="75" t="s">
        <v>4005</v>
      </c>
      <c r="F1339" s="75" t="s">
        <v>2633</v>
      </c>
      <c r="G1339" s="75" t="str">
        <f>VLOOKUP(F1339,'#对话模型配置'!A:O,12,FALSE)</f>
        <v>TID_DialogueConf_1060001_name_CN_Main</v>
      </c>
      <c r="H1339" s="75" t="str">
        <f>VLOOKUP(F1339,'#对话模型配置'!A:O,14,FALSE)</f>
        <v>icon_newbie</v>
      </c>
      <c r="I1339" s="75" t="str">
        <f>VLOOKUP(F1339,'#对话模型配置'!A:O,15,FALSE)</f>
        <v>newbie_oversea_axe</v>
      </c>
      <c r="J1339" s="75" t="s">
        <v>4300</v>
      </c>
      <c r="K1339" s="75" t="s">
        <v>4301</v>
      </c>
      <c r="U1339" s="75">
        <v>5</v>
      </c>
      <c r="V1339" s="75">
        <v>0</v>
      </c>
      <c r="Y1339" s="75" t="b">
        <v>0</v>
      </c>
      <c r="Z1339" s="75" t="s">
        <v>4302</v>
      </c>
      <c r="AA1339" s="75" t="b">
        <v>1</v>
      </c>
      <c r="AD1339" s="75">
        <v>4.8165831565856898</v>
      </c>
      <c r="AE1339" s="75">
        <f t="shared" si="101"/>
        <v>4.8165831565856898</v>
      </c>
      <c r="AF1339" s="75" t="s">
        <v>4303</v>
      </c>
      <c r="AG1339" s="75" t="s">
        <v>4304</v>
      </c>
      <c r="AH1339" s="75">
        <f t="shared" si="102"/>
        <v>6.3165831565856898</v>
      </c>
      <c r="AI1339" s="75">
        <v>2</v>
      </c>
      <c r="AL1339" s="178">
        <v>35</v>
      </c>
      <c r="BA1339" s="75">
        <v>140002</v>
      </c>
      <c r="BB1339" s="75">
        <v>102003005</v>
      </c>
      <c r="BC1339" s="75">
        <v>1.1000000000000001</v>
      </c>
      <c r="BF1339" s="75">
        <v>0</v>
      </c>
      <c r="BI1339" s="75">
        <v>1</v>
      </c>
    </row>
    <row r="1340" spans="1:61" s="75" customFormat="1" ht="14.5">
      <c r="A1340" s="166">
        <v>2100043</v>
      </c>
      <c r="C1340" s="75">
        <v>1</v>
      </c>
      <c r="E1340" s="75" t="s">
        <v>4005</v>
      </c>
      <c r="F1340" s="75" t="s">
        <v>4290</v>
      </c>
      <c r="G1340" s="75" t="str">
        <f>VLOOKUP(F1340,'#对话模型配置'!A:O,12,FALSE)</f>
        <v>TID_Dialogue_Character_12</v>
      </c>
      <c r="H1340" s="75" t="str">
        <f>VLOOKUP(F1340,'#对话模型配置'!A:O,14,FALSE)</f>
        <v>icon_newbie</v>
      </c>
      <c r="I1340" s="75" t="str">
        <f>VLOOKUP(F1340,'#对话模型配置'!A:O,15,FALSE)</f>
        <v>newbie_oversea_carl</v>
      </c>
      <c r="J1340" s="75" t="s">
        <v>4305</v>
      </c>
      <c r="K1340" s="75" t="s">
        <v>4306</v>
      </c>
      <c r="U1340" s="75">
        <v>5</v>
      </c>
      <c r="V1340" s="75">
        <v>0</v>
      </c>
      <c r="Y1340" s="75" t="b">
        <v>0</v>
      </c>
      <c r="Z1340" s="75" t="s">
        <v>4307</v>
      </c>
      <c r="AA1340" s="75" t="b">
        <v>1</v>
      </c>
      <c r="AD1340" s="75">
        <v>1.46416699886322</v>
      </c>
      <c r="AE1340" s="75">
        <f t="shared" si="101"/>
        <v>1.46416699886322</v>
      </c>
      <c r="AF1340" s="75" t="s">
        <v>4308</v>
      </c>
      <c r="AG1340" s="75" t="s">
        <v>4308</v>
      </c>
      <c r="AH1340" s="75">
        <f t="shared" si="102"/>
        <v>2.9641669988632202</v>
      </c>
      <c r="AI1340" s="75">
        <v>2</v>
      </c>
      <c r="AL1340" s="178">
        <v>35</v>
      </c>
      <c r="BA1340" s="75">
        <v>140002</v>
      </c>
      <c r="BB1340" s="75">
        <v>400053112</v>
      </c>
      <c r="BC1340" s="75">
        <v>1.1000000000000001</v>
      </c>
      <c r="BF1340" s="75">
        <v>0</v>
      </c>
      <c r="BI1340" s="75">
        <v>1</v>
      </c>
    </row>
    <row r="1341" spans="1:61" s="75" customFormat="1" ht="14.5">
      <c r="A1341" s="166">
        <v>2100044</v>
      </c>
      <c r="C1341" s="75">
        <v>1</v>
      </c>
      <c r="E1341" s="75" t="s">
        <v>4005</v>
      </c>
      <c r="F1341" s="75" t="s">
        <v>4290</v>
      </c>
      <c r="G1341" s="75" t="str">
        <f>VLOOKUP(F1341,'#对话模型配置'!A:O,12,FALSE)</f>
        <v>TID_Dialogue_Character_12</v>
      </c>
      <c r="H1341" s="75" t="str">
        <f>VLOOKUP(F1341,'#对话模型配置'!A:O,14,FALSE)</f>
        <v>icon_newbie</v>
      </c>
      <c r="I1341" s="75" t="str">
        <f>VLOOKUP(F1341,'#对话模型配置'!A:O,15,FALSE)</f>
        <v>newbie_oversea_carl</v>
      </c>
      <c r="J1341" s="75" t="s">
        <v>4309</v>
      </c>
      <c r="K1341" s="75" t="s">
        <v>4310</v>
      </c>
      <c r="U1341" s="75">
        <v>5</v>
      </c>
      <c r="V1341" s="75">
        <v>0</v>
      </c>
      <c r="Y1341" s="75" t="b">
        <v>0</v>
      </c>
      <c r="Z1341" s="75" t="s">
        <v>4311</v>
      </c>
      <c r="AA1341" s="75" t="b">
        <v>1</v>
      </c>
      <c r="AD1341" s="75">
        <v>3.7342500686645499</v>
      </c>
      <c r="AE1341" s="75">
        <f t="shared" si="101"/>
        <v>3.7342500686645499</v>
      </c>
      <c r="AF1341" s="75" t="s">
        <v>4312</v>
      </c>
      <c r="AG1341" s="75" t="s">
        <v>4312</v>
      </c>
      <c r="AH1341" s="75">
        <f t="shared" si="102"/>
        <v>5.2342500686645499</v>
      </c>
      <c r="AI1341" s="75">
        <v>2</v>
      </c>
      <c r="AL1341" s="178">
        <v>35</v>
      </c>
      <c r="BA1341" s="75">
        <v>140002</v>
      </c>
      <c r="BB1341" s="75">
        <v>400053112</v>
      </c>
      <c r="BC1341" s="75">
        <v>1.1000000000000001</v>
      </c>
      <c r="BF1341" s="75">
        <v>0</v>
      </c>
      <c r="BI1341" s="75">
        <v>1</v>
      </c>
    </row>
    <row r="1342" spans="1:61" s="75" customFormat="1" ht="14.5">
      <c r="A1342" s="166">
        <v>1060004</v>
      </c>
      <c r="B1342" s="75" t="s">
        <v>2328</v>
      </c>
      <c r="C1342" s="75">
        <v>1</v>
      </c>
      <c r="D1342" s="75" t="str">
        <f>"新手海外-"&amp;G1342</f>
        <v>新手海外-TID_DialogueConf_1060001_name_CN_Main</v>
      </c>
      <c r="E1342" s="75" t="s">
        <v>4005</v>
      </c>
      <c r="F1342" s="75" t="str">
        <f>VLOOKUP(G1342,'#TID_base_up'!B:C,2,0)</f>
        <v>副官</v>
      </c>
      <c r="G1342" s="75" t="s">
        <v>2330</v>
      </c>
      <c r="H1342" s="75" t="s">
        <v>2331</v>
      </c>
      <c r="I1342" s="75" t="str">
        <f>VLOOKUP(F1342,'#对话模型配置'!A:O,15,FALSE)</f>
        <v>newbie_oversea_axe</v>
      </c>
      <c r="J1342" s="75" t="s">
        <v>2354</v>
      </c>
      <c r="K1342" s="75" t="s">
        <v>2356</v>
      </c>
      <c r="U1342" s="75">
        <v>2</v>
      </c>
      <c r="V1342" s="75">
        <v>0</v>
      </c>
      <c r="Y1342" s="75" t="b">
        <v>0</v>
      </c>
      <c r="Z1342" s="75" t="s">
        <v>4313</v>
      </c>
      <c r="AA1342" s="75" t="b">
        <v>1</v>
      </c>
      <c r="AD1342" s="75">
        <v>2.6575000286102299</v>
      </c>
      <c r="AE1342" s="75">
        <f>AD1342+1</f>
        <v>3.6575000286102299</v>
      </c>
      <c r="AF1342" s="75" t="s">
        <v>4314</v>
      </c>
      <c r="AG1342" s="75" t="s">
        <v>4314</v>
      </c>
      <c r="AH1342" s="75">
        <v>0.1</v>
      </c>
      <c r="AI1342" s="75">
        <v>2</v>
      </c>
      <c r="AL1342" s="178">
        <v>35</v>
      </c>
      <c r="BF1342" s="75">
        <v>0</v>
      </c>
      <c r="BI1342" s="75">
        <v>1</v>
      </c>
    </row>
    <row r="1343" spans="1:61" s="75" customFormat="1" ht="14.5">
      <c r="A1343" s="166">
        <v>2100046</v>
      </c>
      <c r="C1343" s="75">
        <v>1</v>
      </c>
      <c r="E1343" s="75" t="s">
        <v>4005</v>
      </c>
      <c r="F1343" s="75" t="s">
        <v>4290</v>
      </c>
      <c r="G1343" s="75" t="str">
        <f>VLOOKUP(F1343,'#对话模型配置'!A:O,12,FALSE)</f>
        <v>TID_Dialogue_Character_12</v>
      </c>
      <c r="H1343" s="75" t="str">
        <f>VLOOKUP(F1343,'#对话模型配置'!A:O,14,FALSE)</f>
        <v>icon_newbie</v>
      </c>
      <c r="I1343" s="75" t="str">
        <f>VLOOKUP(F1343,'#对话模型配置'!A:O,15,FALSE)</f>
        <v>newbie_oversea_carl</v>
      </c>
      <c r="J1343" s="75" t="s">
        <v>4315</v>
      </c>
      <c r="K1343" s="75" t="s">
        <v>4316</v>
      </c>
      <c r="U1343" s="75">
        <v>5</v>
      </c>
      <c r="V1343" s="75">
        <v>0</v>
      </c>
      <c r="Y1343" s="75" t="b">
        <v>0</v>
      </c>
      <c r="Z1343" s="75" t="s">
        <v>4317</v>
      </c>
      <c r="AA1343" s="75" t="b">
        <v>1</v>
      </c>
      <c r="AD1343" s="75">
        <v>3.2500419616699201</v>
      </c>
      <c r="AE1343" s="75">
        <f t="shared" si="101"/>
        <v>3.2500419616699201</v>
      </c>
      <c r="AF1343" s="75" t="s">
        <v>4318</v>
      </c>
      <c r="AG1343" s="75" t="s">
        <v>4318</v>
      </c>
      <c r="AH1343" s="75">
        <f t="shared" si="102"/>
        <v>4.7500419616699201</v>
      </c>
      <c r="AI1343" s="75">
        <v>2</v>
      </c>
      <c r="AL1343" s="178">
        <v>35</v>
      </c>
      <c r="BF1343" s="75">
        <v>0</v>
      </c>
      <c r="BI1343" s="75">
        <v>1</v>
      </c>
    </row>
    <row r="1344" spans="1:61" s="75" customFormat="1" ht="14.5">
      <c r="A1344" s="166">
        <v>2100047</v>
      </c>
      <c r="C1344" s="75">
        <v>1</v>
      </c>
      <c r="E1344" s="75" t="s">
        <v>4005</v>
      </c>
      <c r="F1344" s="75" t="s">
        <v>4290</v>
      </c>
      <c r="G1344" s="75" t="str">
        <f>VLOOKUP(F1344,'#对话模型配置'!A:O,12,FALSE)</f>
        <v>TID_Dialogue_Character_12</v>
      </c>
      <c r="H1344" s="75" t="str">
        <f>VLOOKUP(F1344,'#对话模型配置'!A:O,14,FALSE)</f>
        <v>icon_newbie</v>
      </c>
      <c r="I1344" s="75" t="str">
        <f>VLOOKUP(F1344,'#对话模型配置'!A:O,15,FALSE)</f>
        <v>newbie_oversea_carl</v>
      </c>
      <c r="J1344" s="75" t="s">
        <v>4319</v>
      </c>
      <c r="K1344" s="75" t="s">
        <v>4320</v>
      </c>
      <c r="U1344" s="75">
        <v>2</v>
      </c>
      <c r="V1344" s="75">
        <v>0</v>
      </c>
      <c r="Y1344" s="75" t="b">
        <v>0</v>
      </c>
      <c r="Z1344" s="75" t="s">
        <v>4321</v>
      </c>
      <c r="AA1344" s="75" t="b">
        <v>1</v>
      </c>
      <c r="AD1344" s="75">
        <v>7.3600001335143999</v>
      </c>
      <c r="AE1344" s="75">
        <f t="shared" si="101"/>
        <v>7.3600001335143999</v>
      </c>
      <c r="AF1344" s="75" t="s">
        <v>4322</v>
      </c>
      <c r="AG1344" s="75" t="s">
        <v>4322</v>
      </c>
      <c r="AH1344" s="75">
        <f t="shared" si="102"/>
        <v>8.8600001335144007</v>
      </c>
      <c r="AI1344" s="75">
        <v>2</v>
      </c>
      <c r="AL1344" s="178">
        <v>35</v>
      </c>
      <c r="BF1344" s="75">
        <v>0</v>
      </c>
      <c r="BI1344" s="75">
        <v>1</v>
      </c>
    </row>
    <row r="1345" spans="1:61" s="75" customFormat="1" ht="14.5">
      <c r="A1345" s="166">
        <v>2100049</v>
      </c>
      <c r="C1345" s="75">
        <v>1</v>
      </c>
      <c r="E1345" s="75" t="s">
        <v>4005</v>
      </c>
      <c r="F1345" s="75" t="s">
        <v>4323</v>
      </c>
      <c r="G1345" s="75" t="str">
        <f>VLOOKUP(F1345,'#对话模型配置'!A:O,12,FALSE)</f>
        <v>TID_Dialogue_Character_12</v>
      </c>
      <c r="H1345" s="75" t="str">
        <f>VLOOKUP(F1345,'#对话模型配置'!A:O,14,FALSE)</f>
        <v>icon_hero</v>
      </c>
      <c r="I1345" s="75" t="str">
        <f>VLOOKUP(F1345,'#对话模型配置'!A:O,15,FALSE)</f>
        <v>newbie_carl_big</v>
      </c>
      <c r="J1345" s="75" t="s">
        <v>4324</v>
      </c>
      <c r="K1345" s="75" t="s">
        <v>4325</v>
      </c>
      <c r="U1345" s="75">
        <v>6</v>
      </c>
      <c r="V1345" s="75">
        <v>0</v>
      </c>
      <c r="Y1345" s="75" t="b">
        <v>0</v>
      </c>
      <c r="Z1345" s="75" t="s">
        <v>4326</v>
      </c>
      <c r="AA1345" s="75" t="b">
        <v>1</v>
      </c>
      <c r="AD1345" s="75">
        <v>5.7600002288818404</v>
      </c>
      <c r="AE1345" s="75">
        <f t="shared" si="101"/>
        <v>5.7600002288818404</v>
      </c>
      <c r="AF1345" s="75" t="s">
        <v>4327</v>
      </c>
      <c r="AG1345" s="75" t="s">
        <v>4328</v>
      </c>
      <c r="AH1345" s="75">
        <f t="shared" si="102"/>
        <v>7.2600002288818404</v>
      </c>
      <c r="AI1345" s="75">
        <v>2</v>
      </c>
      <c r="AL1345" s="178">
        <v>35</v>
      </c>
      <c r="BF1345" s="75">
        <v>0</v>
      </c>
      <c r="BI1345" s="75">
        <v>1</v>
      </c>
    </row>
    <row r="1346" spans="1:61" s="75" customFormat="1" ht="14.5">
      <c r="A1346" s="166">
        <v>2100049</v>
      </c>
      <c r="C1346" s="75">
        <v>2</v>
      </c>
      <c r="E1346" s="75" t="s">
        <v>4005</v>
      </c>
      <c r="F1346" s="75" t="s">
        <v>4329</v>
      </c>
      <c r="G1346" s="75" t="str">
        <f>VLOOKUP(F1346,'#对话模型配置'!A:O,12,FALSE)</f>
        <v>TID_Dialogue_Character_11</v>
      </c>
      <c r="H1346" s="75" t="str">
        <f>VLOOKUP(F1346,'#对话模型配置'!A:O,14,FALSE)</f>
        <v>icon_hero</v>
      </c>
      <c r="I1346" s="75" t="str">
        <f>VLOOKUP(F1346,'#对话模型配置'!A:O,15,FALSE)</f>
        <v>icon_hero_036_big</v>
      </c>
      <c r="J1346" s="75" t="s">
        <v>4330</v>
      </c>
      <c r="K1346" s="75" t="s">
        <v>4331</v>
      </c>
      <c r="U1346" s="75">
        <v>6</v>
      </c>
      <c r="V1346" s="75">
        <v>0</v>
      </c>
      <c r="Y1346" s="75" t="b">
        <v>0</v>
      </c>
      <c r="Z1346" s="75" t="s">
        <v>4332</v>
      </c>
      <c r="AA1346" s="75" t="b">
        <v>1</v>
      </c>
      <c r="AD1346" s="75">
        <v>6.7615618705749503</v>
      </c>
      <c r="AE1346" s="75">
        <f t="shared" si="101"/>
        <v>6.7615618705749503</v>
      </c>
      <c r="AF1346" s="75" t="s">
        <v>4322</v>
      </c>
      <c r="AG1346" s="75" t="s">
        <v>4333</v>
      </c>
      <c r="AH1346" s="75">
        <f t="shared" si="102"/>
        <v>8.2615618705749512</v>
      </c>
      <c r="AI1346" s="75">
        <v>2</v>
      </c>
      <c r="AL1346" s="178">
        <v>35</v>
      </c>
      <c r="BF1346" s="75">
        <v>0</v>
      </c>
      <c r="BI1346" s="75">
        <v>1</v>
      </c>
    </row>
    <row r="1347" spans="1:61" s="75" customFormat="1" ht="14.5">
      <c r="A1347" s="166">
        <v>2100054</v>
      </c>
      <c r="C1347" s="75">
        <v>1</v>
      </c>
      <c r="E1347" s="75" t="s">
        <v>4005</v>
      </c>
      <c r="F1347" s="75" t="s">
        <v>4008</v>
      </c>
      <c r="G1347" s="75" t="str">
        <f>VLOOKUP(F1347,'#对话模型配置'!A:O,12,FALSE)</f>
        <v>TID_Dialogue_Character_11</v>
      </c>
      <c r="H1347" s="75" t="str">
        <f>VLOOKUP(F1347,'#对话模型配置'!A:O,14,FALSE)</f>
        <v>icon_newbie</v>
      </c>
      <c r="I1347" s="75" t="str">
        <f>VLOOKUP(F1347,'#对话模型配置'!A:O,15,FALSE)</f>
        <v>newbie_oversea_andrea</v>
      </c>
      <c r="J1347" s="75" t="s">
        <v>4334</v>
      </c>
      <c r="K1347" s="75" t="s">
        <v>4335</v>
      </c>
      <c r="U1347" s="75">
        <v>5</v>
      </c>
      <c r="V1347" s="75">
        <v>0</v>
      </c>
      <c r="Y1347" s="75" t="b">
        <v>0</v>
      </c>
      <c r="Z1347" s="75" t="s">
        <v>4336</v>
      </c>
      <c r="AA1347" s="75" t="b">
        <v>1</v>
      </c>
      <c r="AD1347" s="75">
        <v>3.9574999809265101</v>
      </c>
      <c r="AE1347" s="75">
        <f t="shared" si="101"/>
        <v>3.9574999809265101</v>
      </c>
      <c r="AF1347" s="75" t="s">
        <v>4337</v>
      </c>
      <c r="AG1347" s="75" t="s">
        <v>4337</v>
      </c>
      <c r="AH1347" s="75">
        <f t="shared" si="102"/>
        <v>5.4574999809265101</v>
      </c>
      <c r="AI1347" s="75">
        <v>2</v>
      </c>
      <c r="AL1347" s="178">
        <v>25</v>
      </c>
      <c r="BA1347" s="75">
        <v>140002</v>
      </c>
      <c r="BF1347" s="75">
        <v>0</v>
      </c>
      <c r="BI1347" s="75">
        <v>1</v>
      </c>
    </row>
    <row r="1348" spans="1:61" s="75" customFormat="1" ht="14.5">
      <c r="A1348" s="166">
        <v>2100056</v>
      </c>
      <c r="C1348" s="75">
        <v>1</v>
      </c>
      <c r="E1348" s="75" t="s">
        <v>4005</v>
      </c>
      <c r="F1348" s="75" t="s">
        <v>4008</v>
      </c>
      <c r="G1348" s="75" t="str">
        <f>VLOOKUP(F1348,'#对话模型配置'!A:O,12,FALSE)</f>
        <v>TID_Dialogue_Character_11</v>
      </c>
      <c r="H1348" s="75" t="str">
        <f>VLOOKUP(F1348,'#对话模型配置'!A:O,14,FALSE)</f>
        <v>icon_newbie</v>
      </c>
      <c r="I1348" s="75" t="str">
        <f>VLOOKUP(F1348,'#对话模型配置'!A:O,15,FALSE)</f>
        <v>newbie_oversea_andrea</v>
      </c>
      <c r="J1348" s="75" t="s">
        <v>4338</v>
      </c>
      <c r="K1348" s="75" t="s">
        <v>2383</v>
      </c>
      <c r="U1348" s="75">
        <v>5</v>
      </c>
      <c r="V1348" s="75">
        <v>0</v>
      </c>
      <c r="Y1348" s="75" t="b">
        <v>0</v>
      </c>
      <c r="Z1348" s="75" t="s">
        <v>4339</v>
      </c>
      <c r="AA1348" s="75" t="b">
        <v>1</v>
      </c>
      <c r="AD1348" s="75">
        <v>4.06252098083496</v>
      </c>
      <c r="AE1348" s="75">
        <f t="shared" si="101"/>
        <v>4.06252098083496</v>
      </c>
      <c r="AF1348" s="75" t="s">
        <v>4340</v>
      </c>
      <c r="AG1348" s="75" t="s">
        <v>4341</v>
      </c>
      <c r="AH1348" s="75">
        <f t="shared" si="102"/>
        <v>5.56252098083496</v>
      </c>
      <c r="AI1348" s="75">
        <v>2</v>
      </c>
      <c r="AL1348" s="178">
        <v>25</v>
      </c>
      <c r="BA1348" s="75">
        <v>140002</v>
      </c>
      <c r="BF1348" s="75">
        <v>0</v>
      </c>
      <c r="BI1348" s="75">
        <v>1</v>
      </c>
    </row>
    <row r="1349" spans="1:61" s="75" customFormat="1" ht="14.5">
      <c r="A1349" s="166">
        <v>2100057</v>
      </c>
      <c r="C1349" s="75">
        <v>1</v>
      </c>
      <c r="E1349" s="75" t="s">
        <v>4005</v>
      </c>
      <c r="F1349" s="75" t="s">
        <v>2633</v>
      </c>
      <c r="G1349" s="75" t="str">
        <f>VLOOKUP(F1349,'#对话模型配置'!A:O,12,FALSE)</f>
        <v>TID_DialogueConf_1060001_name_CN_Main</v>
      </c>
      <c r="H1349" s="75" t="str">
        <f>VLOOKUP(F1349,'#对话模型配置'!A:O,14,FALSE)</f>
        <v>icon_newbie</v>
      </c>
      <c r="I1349" s="75" t="str">
        <f>VLOOKUP(F1349,'#对话模型配置'!A:O,15,FALSE)</f>
        <v>newbie_oversea_axe</v>
      </c>
      <c r="J1349" s="75" t="s">
        <v>4342</v>
      </c>
      <c r="K1349" s="75" t="s">
        <v>4343</v>
      </c>
      <c r="U1349" s="75">
        <v>5</v>
      </c>
      <c r="V1349" s="75">
        <v>0</v>
      </c>
      <c r="Y1349" s="75" t="b">
        <v>0</v>
      </c>
      <c r="Z1349" s="75" t="s">
        <v>4344</v>
      </c>
      <c r="AA1349" s="75" t="b">
        <v>1</v>
      </c>
      <c r="AD1349" s="75">
        <v>2.6216249465942401</v>
      </c>
      <c r="AE1349" s="75">
        <f t="shared" si="101"/>
        <v>2.6216249465942401</v>
      </c>
      <c r="AF1349" s="75" t="s">
        <v>4345</v>
      </c>
      <c r="AG1349" s="75" t="s">
        <v>4346</v>
      </c>
      <c r="AH1349" s="75">
        <f t="shared" si="102"/>
        <v>4.1216249465942401</v>
      </c>
      <c r="AI1349" s="75">
        <v>2</v>
      </c>
      <c r="AL1349" s="178">
        <v>25</v>
      </c>
      <c r="BA1349" s="75">
        <v>140002</v>
      </c>
      <c r="BB1349" s="75">
        <v>102003005</v>
      </c>
      <c r="BC1349" s="75">
        <v>1.1000000000000001</v>
      </c>
      <c r="BF1349" s="75">
        <v>0</v>
      </c>
      <c r="BI1349" s="75">
        <v>1</v>
      </c>
    </row>
    <row r="1350" spans="1:61" s="75" customFormat="1" ht="14.5">
      <c r="A1350" s="166">
        <v>2100155</v>
      </c>
      <c r="C1350" s="75">
        <v>1</v>
      </c>
      <c r="E1350" s="75" t="s">
        <v>4016</v>
      </c>
      <c r="F1350" s="75" t="s">
        <v>2633</v>
      </c>
      <c r="G1350" s="75" t="str">
        <f>VLOOKUP(F1350,'#对话模型配置'!A:O,12,FALSE)</f>
        <v>TID_DialogueConf_1060001_name_CN_Main</v>
      </c>
      <c r="H1350" s="75" t="str">
        <f>VLOOKUP(F1350,'#对话模型配置'!A:O,14,FALSE)</f>
        <v>icon_newbie</v>
      </c>
      <c r="I1350" s="75" t="str">
        <f>VLOOKUP(F1350,'#对话模型配置'!A:O,15,FALSE)</f>
        <v>newbie_oversea_axe</v>
      </c>
      <c r="J1350" s="75" t="s">
        <v>4347</v>
      </c>
      <c r="K1350" s="75" t="s">
        <v>4348</v>
      </c>
      <c r="U1350" s="75">
        <v>5</v>
      </c>
      <c r="V1350" s="75">
        <v>0</v>
      </c>
      <c r="Y1350" s="75" t="b">
        <v>0</v>
      </c>
      <c r="Z1350" s="75" t="s">
        <v>4349</v>
      </c>
      <c r="AA1350" s="75" t="b">
        <v>1</v>
      </c>
      <c r="AD1350" s="75">
        <v>4.4004368782043501</v>
      </c>
      <c r="AE1350" s="75">
        <f t="shared" si="101"/>
        <v>4.4004368782043501</v>
      </c>
      <c r="AF1350" s="75" t="s">
        <v>4350</v>
      </c>
      <c r="AG1350" s="75" t="s">
        <v>4351</v>
      </c>
      <c r="AH1350" s="75">
        <v>0.1</v>
      </c>
      <c r="AI1350" s="75">
        <v>2</v>
      </c>
      <c r="AL1350" s="178">
        <v>35</v>
      </c>
      <c r="BF1350" s="75">
        <v>0</v>
      </c>
      <c r="BI1350" s="75">
        <v>1</v>
      </c>
    </row>
    <row r="1351" spans="1:61" s="75" customFormat="1" ht="14.5">
      <c r="A1351" s="166">
        <v>2100059</v>
      </c>
      <c r="C1351" s="75">
        <v>1</v>
      </c>
      <c r="E1351" s="75" t="s">
        <v>4005</v>
      </c>
      <c r="F1351" s="75" t="s">
        <v>2633</v>
      </c>
      <c r="G1351" s="75" t="str">
        <f>VLOOKUP(F1351,'#对话模型配置'!A:O,12,FALSE)</f>
        <v>TID_DialogueConf_1060001_name_CN_Main</v>
      </c>
      <c r="H1351" s="75" t="str">
        <f>VLOOKUP(F1351,'#对话模型配置'!A:O,14,FALSE)</f>
        <v>icon_newbie</v>
      </c>
      <c r="I1351" s="75" t="str">
        <f>VLOOKUP(F1351,'#对话模型配置'!A:O,15,FALSE)</f>
        <v>newbie_oversea_axe</v>
      </c>
      <c r="J1351" s="75" t="s">
        <v>4352</v>
      </c>
      <c r="K1351" s="75" t="s">
        <v>4353</v>
      </c>
      <c r="U1351" s="75">
        <v>5</v>
      </c>
      <c r="V1351" s="75">
        <v>0</v>
      </c>
      <c r="Y1351" s="75" t="b">
        <v>0</v>
      </c>
      <c r="Z1351" s="75" t="s">
        <v>4354</v>
      </c>
      <c r="AA1351" s="75" t="b">
        <v>1</v>
      </c>
      <c r="AD1351" s="75">
        <v>7.0401668548584002</v>
      </c>
      <c r="AE1351" s="75">
        <f t="shared" si="101"/>
        <v>7.0401668548584002</v>
      </c>
      <c r="AF1351" s="75" t="s">
        <v>4355</v>
      </c>
      <c r="AG1351" s="75" t="s">
        <v>4356</v>
      </c>
      <c r="AH1351" s="75">
        <f t="shared" si="102"/>
        <v>8.5401668548584002</v>
      </c>
      <c r="AI1351" s="75">
        <v>2</v>
      </c>
      <c r="AL1351" s="178">
        <v>25</v>
      </c>
      <c r="BA1351" s="75">
        <v>140002</v>
      </c>
      <c r="BB1351" s="75">
        <v>102003005</v>
      </c>
      <c r="BC1351" s="75">
        <v>1.1000000000000001</v>
      </c>
      <c r="BF1351" s="75">
        <v>0</v>
      </c>
      <c r="BI1351" s="75">
        <v>1</v>
      </c>
    </row>
    <row r="1352" spans="1:61" s="75" customFormat="1" ht="14.5">
      <c r="A1352" s="166">
        <v>2100060</v>
      </c>
      <c r="C1352" s="75">
        <v>1</v>
      </c>
      <c r="E1352" s="75" t="s">
        <v>4005</v>
      </c>
      <c r="F1352" s="75" t="s">
        <v>4008</v>
      </c>
      <c r="G1352" s="75" t="str">
        <f>VLOOKUP(F1352,'#对话模型配置'!A:O,12,FALSE)</f>
        <v>TID_Dialogue_Character_11</v>
      </c>
      <c r="H1352" s="75" t="str">
        <f>VLOOKUP(F1352,'#对话模型配置'!A:O,14,FALSE)</f>
        <v>icon_newbie</v>
      </c>
      <c r="I1352" s="75" t="str">
        <f>VLOOKUP(F1352,'#对话模型配置'!A:O,15,FALSE)</f>
        <v>newbie_oversea_andrea</v>
      </c>
      <c r="J1352" s="75" t="s">
        <v>4357</v>
      </c>
      <c r="K1352" s="75" t="s">
        <v>4358</v>
      </c>
      <c r="U1352" s="75">
        <v>5</v>
      </c>
      <c r="V1352" s="75">
        <v>0</v>
      </c>
      <c r="Y1352" s="75" t="b">
        <v>0</v>
      </c>
      <c r="Z1352" s="75" t="s">
        <v>4359</v>
      </c>
      <c r="AA1352" s="75" t="b">
        <v>1</v>
      </c>
      <c r="AD1352" s="75">
        <v>3.7788960933685298</v>
      </c>
      <c r="AE1352" s="75">
        <f t="shared" si="101"/>
        <v>3.7788960933685298</v>
      </c>
      <c r="AF1352" s="75" t="s">
        <v>4360</v>
      </c>
      <c r="AG1352" s="75" t="s">
        <v>4361</v>
      </c>
      <c r="AH1352" s="75">
        <f t="shared" si="102"/>
        <v>5.2788960933685303</v>
      </c>
      <c r="AI1352" s="75">
        <v>2</v>
      </c>
      <c r="AL1352" s="178">
        <v>25</v>
      </c>
      <c r="BA1352" s="75">
        <v>140002</v>
      </c>
      <c r="BF1352" s="75">
        <v>0</v>
      </c>
      <c r="BI1352" s="75">
        <v>1</v>
      </c>
    </row>
    <row r="1353" spans="1:61" s="75" customFormat="1" ht="14.5">
      <c r="A1353" s="166">
        <v>2100060</v>
      </c>
      <c r="C1353" s="75">
        <v>2</v>
      </c>
      <c r="E1353" s="75" t="s">
        <v>4005</v>
      </c>
      <c r="F1353" s="75" t="s">
        <v>4008</v>
      </c>
      <c r="G1353" s="75" t="str">
        <f>VLOOKUP(F1353,'#对话模型配置'!A:O,12,FALSE)</f>
        <v>TID_Dialogue_Character_11</v>
      </c>
      <c r="H1353" s="75" t="str">
        <f>VLOOKUP(F1353,'#对话模型配置'!A:O,14,FALSE)</f>
        <v>icon_newbie</v>
      </c>
      <c r="I1353" s="75" t="str">
        <f>VLOOKUP(F1353,'#对话模型配置'!A:O,15,FALSE)</f>
        <v>newbie_oversea_andrea</v>
      </c>
      <c r="J1353" s="75" t="s">
        <v>4362</v>
      </c>
      <c r="K1353" s="75" t="s">
        <v>4363</v>
      </c>
      <c r="U1353" s="75">
        <v>5</v>
      </c>
      <c r="V1353" s="75">
        <v>0</v>
      </c>
      <c r="Y1353" s="75" t="b">
        <v>0</v>
      </c>
      <c r="Z1353" s="75" t="s">
        <v>4364</v>
      </c>
      <c r="AA1353" s="75" t="b">
        <v>1</v>
      </c>
      <c r="AD1353" s="75">
        <v>6.1254172325134304</v>
      </c>
      <c r="AE1353" s="75">
        <f t="shared" si="101"/>
        <v>6.1254172325134304</v>
      </c>
      <c r="AF1353" s="75" t="s">
        <v>4365</v>
      </c>
      <c r="AG1353" s="75" t="s">
        <v>4365</v>
      </c>
      <c r="AH1353" s="75">
        <f t="shared" si="102"/>
        <v>7.6254172325134304</v>
      </c>
      <c r="AI1353" s="75">
        <v>2</v>
      </c>
      <c r="AL1353" s="178">
        <v>25</v>
      </c>
      <c r="BA1353" s="75">
        <v>140002</v>
      </c>
      <c r="BF1353" s="75">
        <v>0</v>
      </c>
      <c r="BI1353" s="75">
        <v>1</v>
      </c>
    </row>
    <row r="1354" spans="1:61" s="75" customFormat="1" ht="14.5">
      <c r="A1354" s="166">
        <v>2100062</v>
      </c>
      <c r="C1354" s="75">
        <v>1</v>
      </c>
      <c r="E1354" s="75" t="s">
        <v>4005</v>
      </c>
      <c r="F1354" s="75" t="s">
        <v>4366</v>
      </c>
      <c r="G1354" s="75" t="str">
        <f>VLOOKUP(F1354,'#对话模型配置'!A:O,12,FALSE)</f>
        <v>TID_DialogueConf_1060607_name_CN_Main</v>
      </c>
      <c r="H1354" s="75" t="str">
        <f>VLOOKUP(F1354,'#对话模型配置'!A:O,14,FALSE)</f>
        <v>icon_hero</v>
      </c>
      <c r="I1354" s="75" t="str">
        <f>VLOOKUP(F1354,'#对话模型配置'!A:O,15,FALSE)</f>
        <v>newbie_urdin_big</v>
      </c>
      <c r="J1354" s="75" t="s">
        <v>4367</v>
      </c>
      <c r="K1354" s="75" t="s">
        <v>4368</v>
      </c>
      <c r="U1354" s="75">
        <v>6</v>
      </c>
      <c r="V1354" s="75">
        <v>0</v>
      </c>
      <c r="Y1354" s="75" t="b">
        <v>0</v>
      </c>
      <c r="Z1354" s="75" t="s">
        <v>4369</v>
      </c>
      <c r="AA1354" s="75" t="b">
        <v>1</v>
      </c>
      <c r="AD1354" s="75">
        <v>7.2753748893737802</v>
      </c>
      <c r="AE1354" s="75">
        <f t="shared" si="101"/>
        <v>7.2753748893737802</v>
      </c>
      <c r="AF1354" s="75" t="s">
        <v>4370</v>
      </c>
      <c r="AG1354" s="75" t="s">
        <v>4370</v>
      </c>
      <c r="AH1354" s="75">
        <f t="shared" si="102"/>
        <v>8.7753748893737793</v>
      </c>
      <c r="AI1354" s="75">
        <v>2</v>
      </c>
      <c r="AL1354" s="178">
        <v>25</v>
      </c>
      <c r="BA1354" s="75">
        <v>140003</v>
      </c>
      <c r="BF1354" s="75">
        <v>1</v>
      </c>
      <c r="BG1354" s="75">
        <v>11</v>
      </c>
      <c r="BH1354" s="75">
        <v>4.5</v>
      </c>
      <c r="BI1354" s="75">
        <v>1</v>
      </c>
    </row>
    <row r="1355" spans="1:61" s="75" customFormat="1" ht="14.5">
      <c r="A1355" s="166">
        <v>2100062</v>
      </c>
      <c r="C1355" s="75">
        <v>2</v>
      </c>
      <c r="E1355" s="75" t="s">
        <v>4005</v>
      </c>
      <c r="F1355" s="75" t="s">
        <v>4366</v>
      </c>
      <c r="G1355" s="75" t="str">
        <f>VLOOKUP(F1355,'#对话模型配置'!A:O,12,FALSE)</f>
        <v>TID_DialogueConf_1060607_name_CN_Main</v>
      </c>
      <c r="H1355" s="75" t="str">
        <f>VLOOKUP(F1355,'#对话模型配置'!A:O,14,FALSE)</f>
        <v>icon_hero</v>
      </c>
      <c r="I1355" s="75" t="str">
        <f>VLOOKUP(F1355,'#对话模型配置'!A:O,15,FALSE)</f>
        <v>newbie_urdin_big</v>
      </c>
      <c r="J1355" s="75" t="s">
        <v>4371</v>
      </c>
      <c r="K1355" s="75" t="s">
        <v>2667</v>
      </c>
      <c r="U1355" s="75">
        <v>6</v>
      </c>
      <c r="V1355" s="75">
        <v>0</v>
      </c>
      <c r="Y1355" s="75" t="b">
        <v>0</v>
      </c>
      <c r="Z1355" s="75" t="s">
        <v>4372</v>
      </c>
      <c r="AA1355" s="75" t="b">
        <v>1</v>
      </c>
      <c r="AD1355" s="75">
        <v>3.23514604568481</v>
      </c>
      <c r="AE1355" s="75">
        <f t="shared" si="101"/>
        <v>3.23514604568481</v>
      </c>
      <c r="AF1355" s="75" t="s">
        <v>4373</v>
      </c>
      <c r="AG1355" s="75" t="s">
        <v>4374</v>
      </c>
      <c r="AH1355" s="75">
        <f t="shared" si="102"/>
        <v>4.73514604568481</v>
      </c>
      <c r="AI1355" s="75">
        <v>2</v>
      </c>
      <c r="AL1355" s="178">
        <v>25</v>
      </c>
      <c r="BA1355" s="75">
        <v>140003</v>
      </c>
      <c r="BF1355" s="75">
        <v>1</v>
      </c>
      <c r="BG1355" s="75">
        <v>11</v>
      </c>
      <c r="BH1355" s="75">
        <v>10.5</v>
      </c>
      <c r="BI1355" s="75">
        <v>1</v>
      </c>
    </row>
    <row r="1356" spans="1:61" s="75" customFormat="1" ht="14.5">
      <c r="A1356" s="166">
        <v>2100062</v>
      </c>
      <c r="C1356" s="75">
        <v>3</v>
      </c>
      <c r="E1356" s="75" t="s">
        <v>4005</v>
      </c>
      <c r="F1356" s="75" t="s">
        <v>4329</v>
      </c>
      <c r="G1356" s="75" t="str">
        <f>VLOOKUP(F1356,'#对话模型配置'!A:O,12,FALSE)</f>
        <v>TID_Dialogue_Character_11</v>
      </c>
      <c r="H1356" s="75" t="str">
        <f>VLOOKUP(F1356,'#对话模型配置'!A:O,14,FALSE)</f>
        <v>icon_hero</v>
      </c>
      <c r="I1356" s="75" t="str">
        <f>VLOOKUP(F1356,'#对话模型配置'!A:O,15,FALSE)</f>
        <v>icon_hero_036_big</v>
      </c>
      <c r="J1356" s="75" t="s">
        <v>4375</v>
      </c>
      <c r="K1356" s="75" t="s">
        <v>4376</v>
      </c>
      <c r="U1356" s="75">
        <v>6</v>
      </c>
      <c r="V1356" s="75">
        <v>0</v>
      </c>
      <c r="Y1356" s="75" t="b">
        <v>0</v>
      </c>
      <c r="Z1356" s="75" t="s">
        <v>4377</v>
      </c>
      <c r="AA1356" s="75" t="b">
        <v>1</v>
      </c>
      <c r="AD1356" s="75">
        <v>6.5818538665771502</v>
      </c>
      <c r="AE1356" s="75">
        <f t="shared" si="101"/>
        <v>6.5818538665771502</v>
      </c>
      <c r="AF1356" s="75" t="s">
        <v>4322</v>
      </c>
      <c r="AG1356" s="75" t="s">
        <v>4322</v>
      </c>
      <c r="AH1356" s="75">
        <v>7</v>
      </c>
      <c r="AI1356" s="75">
        <v>2</v>
      </c>
      <c r="AL1356" s="178">
        <v>25</v>
      </c>
      <c r="BA1356" s="75">
        <v>140002</v>
      </c>
      <c r="BF1356" s="75">
        <v>0</v>
      </c>
      <c r="BG1356" s="75">
        <v>11</v>
      </c>
      <c r="BH1356" s="75">
        <v>15.5</v>
      </c>
      <c r="BI1356" s="75">
        <v>1</v>
      </c>
    </row>
    <row r="1357" spans="1:61" s="75" customFormat="1" ht="14.5">
      <c r="A1357" s="166">
        <v>2100156</v>
      </c>
      <c r="C1357" s="75">
        <v>1</v>
      </c>
      <c r="E1357" s="75" t="s">
        <v>4016</v>
      </c>
      <c r="F1357" s="75" t="s">
        <v>4378</v>
      </c>
      <c r="G1357" s="75" t="str">
        <f>VLOOKUP(F1357,'#对话模型配置'!A:O,12,FALSE)</f>
        <v>TID_DialogueConf_1060611_name_CN_Main</v>
      </c>
      <c r="H1357" s="75" t="str">
        <f>VLOOKUP(F1357,'#对话模型配置'!A:O,14,FALSE)</f>
        <v>icon_hero</v>
      </c>
      <c r="I1357" s="75" t="str">
        <f>VLOOKUP(F1357,'#对话模型配置'!A:O,15,FALSE)</f>
        <v>newbie_farmer_big</v>
      </c>
      <c r="J1357" s="75" t="s">
        <v>4379</v>
      </c>
      <c r="K1357" s="75" t="s">
        <v>4380</v>
      </c>
      <c r="U1357" s="75">
        <v>6</v>
      </c>
      <c r="V1357" s="75">
        <v>0</v>
      </c>
      <c r="Y1357" s="75" t="b">
        <v>0</v>
      </c>
      <c r="Z1357" s="75" t="s">
        <v>4381</v>
      </c>
      <c r="AA1357" s="75" t="b">
        <v>1</v>
      </c>
      <c r="AD1357" s="75">
        <v>2.48300004005432</v>
      </c>
      <c r="AE1357" s="75">
        <f t="shared" si="101"/>
        <v>2.48300004005432</v>
      </c>
      <c r="AF1357" s="75" t="s">
        <v>4382</v>
      </c>
      <c r="AG1357" s="75" t="s">
        <v>4382</v>
      </c>
      <c r="AH1357" s="75">
        <v>0.1</v>
      </c>
      <c r="AI1357" s="75">
        <v>2</v>
      </c>
      <c r="AL1357" s="178">
        <v>35</v>
      </c>
      <c r="BF1357" s="75">
        <v>0</v>
      </c>
      <c r="BI1357" s="75">
        <v>1</v>
      </c>
    </row>
    <row r="1358" spans="1:61" s="75" customFormat="1" ht="14.5">
      <c r="A1358" s="166">
        <v>2100065</v>
      </c>
      <c r="C1358" s="75">
        <v>1</v>
      </c>
      <c r="E1358" s="75" t="s">
        <v>4005</v>
      </c>
      <c r="F1358" s="75" t="s">
        <v>2633</v>
      </c>
      <c r="G1358" s="75" t="str">
        <f>VLOOKUP(F1358,'#对话模型配置'!A:O,12,FALSE)</f>
        <v>TID_DialogueConf_1060001_name_CN_Main</v>
      </c>
      <c r="H1358" s="75" t="str">
        <f>VLOOKUP(F1358,'#对话模型配置'!A:O,14,FALSE)</f>
        <v>icon_newbie</v>
      </c>
      <c r="I1358" s="75" t="str">
        <f>VLOOKUP(F1358,'#对话模型配置'!A:O,15,FALSE)</f>
        <v>newbie_oversea_axe</v>
      </c>
      <c r="J1358" s="75" t="s">
        <v>4383</v>
      </c>
      <c r="K1358" s="75" t="s">
        <v>4384</v>
      </c>
      <c r="U1358" s="75">
        <v>5</v>
      </c>
      <c r="V1358" s="75">
        <v>0</v>
      </c>
      <c r="Y1358" s="75" t="b">
        <v>0</v>
      </c>
      <c r="Z1358" s="75" t="s">
        <v>4385</v>
      </c>
      <c r="AA1358" s="75" t="b">
        <v>1</v>
      </c>
      <c r="AD1358" s="75">
        <v>4.5549578666687003</v>
      </c>
      <c r="AE1358" s="75">
        <f t="shared" ref="AE1358:AE1368" si="103">AD1358</f>
        <v>4.5549578666687003</v>
      </c>
      <c r="AF1358" s="75" t="s">
        <v>4386</v>
      </c>
      <c r="AG1358" s="75" t="s">
        <v>4387</v>
      </c>
      <c r="AH1358" s="75">
        <f t="shared" si="102"/>
        <v>6.0549578666687003</v>
      </c>
      <c r="AI1358" s="75">
        <v>2</v>
      </c>
      <c r="AL1358" s="178">
        <v>25</v>
      </c>
      <c r="BA1358" s="75">
        <v>140002</v>
      </c>
      <c r="BB1358" s="75">
        <v>102003005</v>
      </c>
      <c r="BC1358" s="75">
        <v>1.1000000000000001</v>
      </c>
      <c r="BF1358" s="75">
        <v>0</v>
      </c>
      <c r="BI1358" s="75">
        <v>1</v>
      </c>
    </row>
    <row r="1359" spans="1:61" s="75" customFormat="1" ht="14.5">
      <c r="A1359" s="166">
        <v>2100066</v>
      </c>
      <c r="C1359" s="75">
        <v>1</v>
      </c>
      <c r="E1359" s="75" t="s">
        <v>4005</v>
      </c>
      <c r="F1359" s="75" t="s">
        <v>2663</v>
      </c>
      <c r="G1359" s="75" t="str">
        <f>VLOOKUP(F1359,'#对话模型配置'!A:O,12,FALSE)</f>
        <v>TID_DialogueConf_1060607_name_CN_Main</v>
      </c>
      <c r="H1359" s="75" t="str">
        <f>VLOOKUP(F1359,'#对话模型配置'!A:O,14,FALSE)</f>
        <v>icon_newbie</v>
      </c>
      <c r="I1359" s="75" t="str">
        <f>VLOOKUP(F1359,'#对话模型配置'!A:O,15,FALSE)</f>
        <v>newbie_oversea_enemy</v>
      </c>
      <c r="J1359" s="75" t="s">
        <v>4388</v>
      </c>
      <c r="K1359" s="75" t="s">
        <v>4389</v>
      </c>
      <c r="U1359" s="75">
        <v>5</v>
      </c>
      <c r="V1359" s="75">
        <v>0</v>
      </c>
      <c r="Y1359" s="75" t="b">
        <v>0</v>
      </c>
      <c r="Z1359" s="75" t="s">
        <v>4390</v>
      </c>
      <c r="AA1359" s="75" t="b">
        <v>1</v>
      </c>
      <c r="AD1359" s="75">
        <v>5.7322077751159703</v>
      </c>
      <c r="AE1359" s="75">
        <f t="shared" si="103"/>
        <v>5.7322077751159703</v>
      </c>
      <c r="AF1359" s="75" t="s">
        <v>4391</v>
      </c>
      <c r="AG1359" s="75" t="s">
        <v>4392</v>
      </c>
      <c r="AH1359" s="75">
        <f t="shared" si="102"/>
        <v>7.2322077751159703</v>
      </c>
      <c r="AI1359" s="75">
        <v>2</v>
      </c>
      <c r="AL1359" s="178">
        <v>25</v>
      </c>
      <c r="BA1359" s="75">
        <v>140003</v>
      </c>
      <c r="BF1359" s="75">
        <v>1</v>
      </c>
      <c r="BI1359" s="75">
        <v>1</v>
      </c>
    </row>
    <row r="1360" spans="1:61" s="75" customFormat="1" ht="14.5">
      <c r="A1360" s="166">
        <v>2100067</v>
      </c>
      <c r="C1360" s="75">
        <v>1</v>
      </c>
      <c r="E1360" s="75" t="s">
        <v>4005</v>
      </c>
      <c r="F1360" s="75" t="s">
        <v>4366</v>
      </c>
      <c r="G1360" s="75" t="str">
        <f>VLOOKUP(F1360,'#对话模型配置'!A:O,12,FALSE)</f>
        <v>TID_DialogueConf_1060607_name_CN_Main</v>
      </c>
      <c r="H1360" s="75" t="str">
        <f>VLOOKUP(F1360,'#对话模型配置'!A:O,14,FALSE)</f>
        <v>icon_hero</v>
      </c>
      <c r="I1360" s="75" t="str">
        <f>VLOOKUP(F1360,'#对话模型配置'!A:O,15,FALSE)</f>
        <v>newbie_urdin_big</v>
      </c>
      <c r="J1360" s="75" t="s">
        <v>4393</v>
      </c>
      <c r="K1360" s="75" t="s">
        <v>4394</v>
      </c>
      <c r="U1360" s="75">
        <v>6</v>
      </c>
      <c r="V1360" s="75">
        <v>0</v>
      </c>
      <c r="Y1360" s="75" t="b">
        <v>0</v>
      </c>
      <c r="Z1360" s="75" t="s">
        <v>4395</v>
      </c>
      <c r="AA1360" s="75" t="b">
        <v>1</v>
      </c>
      <c r="AD1360" s="75">
        <v>7.7754168510437003</v>
      </c>
      <c r="AE1360" s="75">
        <f t="shared" si="103"/>
        <v>7.7754168510437003</v>
      </c>
      <c r="AF1360" s="75" t="s">
        <v>4396</v>
      </c>
      <c r="AG1360" s="75" t="s">
        <v>4397</v>
      </c>
      <c r="AH1360" s="75">
        <f>AE1360+4</f>
        <v>11.775416851043701</v>
      </c>
      <c r="AI1360" s="75">
        <v>2</v>
      </c>
      <c r="AL1360" s="178">
        <v>30</v>
      </c>
      <c r="BF1360" s="75">
        <v>1</v>
      </c>
      <c r="BG1360" s="75">
        <v>38</v>
      </c>
      <c r="BH1360" s="75">
        <v>11</v>
      </c>
      <c r="BI1360" s="75">
        <v>1</v>
      </c>
    </row>
    <row r="1361" spans="1:61" s="75" customFormat="1" ht="14.5">
      <c r="A1361" s="166">
        <v>2100067</v>
      </c>
      <c r="C1361" s="75">
        <v>2</v>
      </c>
      <c r="E1361" s="75" t="s">
        <v>4005</v>
      </c>
      <c r="F1361" s="75" t="s">
        <v>4366</v>
      </c>
      <c r="G1361" s="75" t="str">
        <f>VLOOKUP(F1361,'#对话模型配置'!A:O,12,FALSE)</f>
        <v>TID_DialogueConf_1060607_name_CN_Main</v>
      </c>
      <c r="H1361" s="75" t="str">
        <f>VLOOKUP(F1361,'#对话模型配置'!A:O,14,FALSE)</f>
        <v>icon_hero</v>
      </c>
      <c r="I1361" s="75" t="str">
        <f>VLOOKUP(F1361,'#对话模型配置'!A:O,15,FALSE)</f>
        <v>newbie_urdin_big</v>
      </c>
      <c r="J1361" s="75" t="s">
        <v>4398</v>
      </c>
      <c r="K1361" s="75" t="s">
        <v>4399</v>
      </c>
      <c r="U1361" s="75">
        <v>6</v>
      </c>
      <c r="V1361" s="75">
        <v>0</v>
      </c>
      <c r="Y1361" s="75" t="b">
        <v>0</v>
      </c>
      <c r="Z1361" s="75" t="s">
        <v>4400</v>
      </c>
      <c r="AA1361" s="75" t="b">
        <v>1</v>
      </c>
      <c r="AD1361" s="75">
        <v>4.7546038627624503</v>
      </c>
      <c r="AE1361" s="75">
        <f t="shared" si="103"/>
        <v>4.7546038627624503</v>
      </c>
      <c r="AF1361" s="75" t="s">
        <v>4401</v>
      </c>
      <c r="AG1361" s="75" t="s">
        <v>4402</v>
      </c>
      <c r="AH1361" s="75">
        <f t="shared" si="102"/>
        <v>6.2546038627624503</v>
      </c>
      <c r="AI1361" s="75">
        <v>2</v>
      </c>
      <c r="AL1361" s="178">
        <v>25</v>
      </c>
      <c r="BF1361" s="75">
        <v>1</v>
      </c>
      <c r="BG1361" s="75">
        <v>38</v>
      </c>
      <c r="BH1361" s="75">
        <v>16.5</v>
      </c>
      <c r="BI1361" s="75">
        <v>1</v>
      </c>
    </row>
    <row r="1362" spans="1:61" s="75" customFormat="1" ht="14.5">
      <c r="A1362" s="166">
        <v>2100069</v>
      </c>
      <c r="C1362" s="75">
        <v>1</v>
      </c>
      <c r="E1362" s="75" t="s">
        <v>4005</v>
      </c>
      <c r="F1362" s="75" t="s">
        <v>4329</v>
      </c>
      <c r="G1362" s="75" t="str">
        <f>VLOOKUP(F1362,'#对话模型配置'!A:O,12,FALSE)</f>
        <v>TID_Dialogue_Character_11</v>
      </c>
      <c r="H1362" s="75" t="str">
        <f>VLOOKUP(F1362,'#对话模型配置'!A:O,14,FALSE)</f>
        <v>icon_hero</v>
      </c>
      <c r="I1362" s="75" t="str">
        <f>VLOOKUP(F1362,'#对话模型配置'!A:O,15,FALSE)</f>
        <v>icon_hero_036_big</v>
      </c>
      <c r="J1362" s="75" t="s">
        <v>4403</v>
      </c>
      <c r="K1362" s="75" t="s">
        <v>2435</v>
      </c>
      <c r="U1362" s="75">
        <v>6</v>
      </c>
      <c r="V1362" s="75">
        <v>0</v>
      </c>
      <c r="Y1362" s="75" t="b">
        <v>0</v>
      </c>
      <c r="Z1362" s="75" t="s">
        <v>4404</v>
      </c>
      <c r="AA1362" s="75" t="b">
        <v>1</v>
      </c>
      <c r="AD1362" s="75">
        <v>7.0824170112609899</v>
      </c>
      <c r="AE1362" s="75">
        <f t="shared" si="103"/>
        <v>7.0824170112609899</v>
      </c>
      <c r="AF1362" s="75" t="s">
        <v>4322</v>
      </c>
      <c r="AG1362" s="75" t="s">
        <v>4322</v>
      </c>
      <c r="AH1362" s="75">
        <f t="shared" si="102"/>
        <v>8.5824170112609899</v>
      </c>
      <c r="AI1362" s="75">
        <v>2</v>
      </c>
      <c r="AL1362" s="178">
        <v>25</v>
      </c>
      <c r="BF1362" s="75">
        <v>0</v>
      </c>
      <c r="BG1362" s="75">
        <v>38</v>
      </c>
      <c r="BH1362" s="75">
        <v>29.5</v>
      </c>
      <c r="BI1362" s="75">
        <v>1</v>
      </c>
    </row>
    <row r="1363" spans="1:61" s="75" customFormat="1" ht="14.5">
      <c r="A1363" s="166">
        <v>2100069</v>
      </c>
      <c r="C1363" s="75">
        <v>2</v>
      </c>
      <c r="E1363" s="75" t="s">
        <v>4005</v>
      </c>
      <c r="F1363" s="75" t="s">
        <v>4366</v>
      </c>
      <c r="G1363" s="75" t="str">
        <f>VLOOKUP(F1363,'#对话模型配置'!A:O,12,FALSE)</f>
        <v>TID_DialogueConf_1060607_name_CN_Main</v>
      </c>
      <c r="H1363" s="75" t="str">
        <f>VLOOKUP(F1363,'#对话模型配置'!A:O,14,FALSE)</f>
        <v>icon_hero</v>
      </c>
      <c r="I1363" s="75" t="str">
        <f>VLOOKUP(F1363,'#对话模型配置'!A:O,15,FALSE)</f>
        <v>newbie_urdin_big</v>
      </c>
      <c r="J1363" s="75" t="s">
        <v>4405</v>
      </c>
      <c r="K1363" s="75" t="s">
        <v>2438</v>
      </c>
      <c r="U1363" s="75">
        <v>6</v>
      </c>
      <c r="V1363" s="75">
        <v>0</v>
      </c>
      <c r="Y1363" s="75" t="b">
        <v>0</v>
      </c>
      <c r="Z1363" s="75" t="s">
        <v>4406</v>
      </c>
      <c r="AA1363" s="75" t="b">
        <v>1</v>
      </c>
      <c r="AD1363" s="75">
        <v>3.5257709026336701</v>
      </c>
      <c r="AE1363" s="75">
        <f t="shared" si="103"/>
        <v>3.5257709026336701</v>
      </c>
      <c r="AF1363" s="75" t="s">
        <v>4407</v>
      </c>
      <c r="AG1363" s="75" t="s">
        <v>4407</v>
      </c>
      <c r="AH1363" s="75">
        <f t="shared" si="102"/>
        <v>5.0257709026336705</v>
      </c>
      <c r="AI1363" s="75">
        <v>2</v>
      </c>
      <c r="AL1363" s="178">
        <v>25</v>
      </c>
      <c r="BF1363" s="75">
        <v>1</v>
      </c>
      <c r="BG1363" s="75">
        <v>38</v>
      </c>
      <c r="BH1363" s="75">
        <v>32.5</v>
      </c>
      <c r="BI1363" s="75">
        <v>1</v>
      </c>
    </row>
    <row r="1364" spans="1:61" s="75" customFormat="1" ht="14.5">
      <c r="A1364" s="166">
        <v>2100069</v>
      </c>
      <c r="C1364" s="75">
        <v>3</v>
      </c>
      <c r="E1364" s="75" t="s">
        <v>4005</v>
      </c>
      <c r="F1364" s="75" t="s">
        <v>4329</v>
      </c>
      <c r="G1364" s="75" t="str">
        <f>VLOOKUP(F1364,'#对话模型配置'!A:O,12,FALSE)</f>
        <v>TID_Dialogue_Character_11</v>
      </c>
      <c r="H1364" s="75" t="str">
        <f>VLOOKUP(F1364,'#对话模型配置'!A:O,14,FALSE)</f>
        <v>icon_hero</v>
      </c>
      <c r="I1364" s="75" t="str">
        <f>VLOOKUP(F1364,'#对话模型配置'!A:O,15,FALSE)</f>
        <v>icon_hero_036_big</v>
      </c>
      <c r="J1364" s="75" t="s">
        <v>4408</v>
      </c>
      <c r="K1364" s="75" t="s">
        <v>4409</v>
      </c>
      <c r="U1364" s="75">
        <v>6</v>
      </c>
      <c r="V1364" s="75">
        <v>0</v>
      </c>
      <c r="Y1364" s="75" t="b">
        <v>0</v>
      </c>
      <c r="Z1364" s="75" t="s">
        <v>4410</v>
      </c>
      <c r="AA1364" s="75" t="b">
        <v>1</v>
      </c>
      <c r="AD1364" s="75">
        <v>3.5627920627593999</v>
      </c>
      <c r="AE1364" s="75">
        <f t="shared" si="103"/>
        <v>3.5627920627593999</v>
      </c>
      <c r="AF1364" s="75" t="s">
        <v>4322</v>
      </c>
      <c r="AG1364" s="75" t="s">
        <v>4322</v>
      </c>
      <c r="AH1364" s="75">
        <f t="shared" si="102"/>
        <v>5.0627920627593994</v>
      </c>
      <c r="AI1364" s="75">
        <v>2</v>
      </c>
      <c r="AL1364" s="178">
        <v>25</v>
      </c>
      <c r="BF1364" s="75">
        <v>0</v>
      </c>
      <c r="BG1364" s="75">
        <v>38</v>
      </c>
      <c r="BH1364" s="75">
        <v>36</v>
      </c>
      <c r="BI1364" s="75">
        <v>1</v>
      </c>
    </row>
    <row r="1365" spans="1:61" s="75" customFormat="1" ht="14.5">
      <c r="A1365" s="166">
        <v>2100072</v>
      </c>
      <c r="C1365" s="75">
        <v>1</v>
      </c>
      <c r="E1365" s="75" t="s">
        <v>4005</v>
      </c>
      <c r="F1365" s="75" t="s">
        <v>4329</v>
      </c>
      <c r="G1365" s="75" t="str">
        <f>VLOOKUP(F1365,'#对话模型配置'!A:O,12,FALSE)</f>
        <v>TID_Dialogue_Character_11</v>
      </c>
      <c r="H1365" s="75" t="str">
        <f>VLOOKUP(F1365,'#对话模型配置'!A:O,14,FALSE)</f>
        <v>icon_hero</v>
      </c>
      <c r="I1365" s="75" t="str">
        <f>VLOOKUP(F1365,'#对话模型配置'!A:O,15,FALSE)</f>
        <v>icon_hero_036_big</v>
      </c>
      <c r="J1365" s="75" t="s">
        <v>4411</v>
      </c>
      <c r="K1365" s="75" t="s">
        <v>2444</v>
      </c>
      <c r="U1365" s="75">
        <v>6</v>
      </c>
      <c r="V1365" s="75">
        <v>0</v>
      </c>
      <c r="Y1365" s="75" t="b">
        <v>0</v>
      </c>
      <c r="Z1365" s="75" t="s">
        <v>4412</v>
      </c>
      <c r="AA1365" s="75" t="b">
        <v>1</v>
      </c>
      <c r="AD1365" s="75">
        <v>6.6285209655761701</v>
      </c>
      <c r="AE1365" s="75">
        <f t="shared" si="103"/>
        <v>6.6285209655761701</v>
      </c>
      <c r="AF1365" s="75" t="s">
        <v>4413</v>
      </c>
      <c r="AG1365" s="75" t="s">
        <v>4413</v>
      </c>
      <c r="AH1365" s="75">
        <f t="shared" si="102"/>
        <v>8.1285209655761701</v>
      </c>
      <c r="AI1365" s="75">
        <v>2</v>
      </c>
      <c r="AL1365" s="178">
        <v>25</v>
      </c>
      <c r="BF1365" s="75">
        <v>0</v>
      </c>
      <c r="BG1365" s="75">
        <v>38</v>
      </c>
      <c r="BH1365" s="75">
        <v>50</v>
      </c>
      <c r="BI1365" s="75">
        <v>1</v>
      </c>
    </row>
    <row r="1366" spans="1:61" s="75" customFormat="1" ht="14.5">
      <c r="A1366" s="166">
        <v>2100073</v>
      </c>
      <c r="C1366" s="75">
        <v>1</v>
      </c>
      <c r="E1366" s="75" t="s">
        <v>4005</v>
      </c>
      <c r="F1366" s="75" t="s">
        <v>4008</v>
      </c>
      <c r="G1366" s="75" t="str">
        <f>VLOOKUP(F1366,'#对话模型配置'!A:O,12,FALSE)</f>
        <v>TID_Dialogue_Character_11</v>
      </c>
      <c r="H1366" s="75" t="str">
        <f>VLOOKUP(F1366,'#对话模型配置'!A:O,14,FALSE)</f>
        <v>icon_newbie</v>
      </c>
      <c r="I1366" s="75" t="str">
        <f>VLOOKUP(F1366,'#对话模型配置'!A:O,15,FALSE)</f>
        <v>newbie_oversea_andrea</v>
      </c>
      <c r="J1366" s="75" t="s">
        <v>4414</v>
      </c>
      <c r="K1366" s="75" t="s">
        <v>4415</v>
      </c>
      <c r="U1366" s="75">
        <v>5</v>
      </c>
      <c r="V1366" s="75">
        <v>0</v>
      </c>
      <c r="Y1366" s="75" t="b">
        <v>0</v>
      </c>
      <c r="Z1366" s="75" t="s">
        <v>4416</v>
      </c>
      <c r="AA1366" s="75" t="b">
        <v>1</v>
      </c>
      <c r="AD1366" s="75">
        <v>4.4656457901001003</v>
      </c>
      <c r="AE1366" s="75">
        <f t="shared" si="103"/>
        <v>4.4656457901001003</v>
      </c>
      <c r="AF1366" s="75" t="s">
        <v>4417</v>
      </c>
      <c r="AG1366" s="75" t="s">
        <v>4418</v>
      </c>
      <c r="AH1366" s="75">
        <f t="shared" si="102"/>
        <v>5.9656457901001003</v>
      </c>
      <c r="AI1366" s="75">
        <v>2</v>
      </c>
      <c r="AL1366" s="178">
        <v>25</v>
      </c>
      <c r="BF1366" s="75">
        <v>0</v>
      </c>
      <c r="BI1366" s="75">
        <v>1</v>
      </c>
    </row>
    <row r="1367" spans="1:61" s="75" customFormat="1" ht="14.5">
      <c r="A1367" s="166">
        <v>2100073</v>
      </c>
      <c r="C1367" s="75">
        <v>2</v>
      </c>
      <c r="E1367" s="75" t="s">
        <v>4005</v>
      </c>
      <c r="F1367" s="75" t="s">
        <v>4008</v>
      </c>
      <c r="G1367" s="75" t="str">
        <f>VLOOKUP(F1367,'#对话模型配置'!A:O,12,FALSE)</f>
        <v>TID_Dialogue_Character_11</v>
      </c>
      <c r="H1367" s="75" t="str">
        <f>VLOOKUP(F1367,'#对话模型配置'!A:O,14,FALSE)</f>
        <v>icon_newbie</v>
      </c>
      <c r="I1367" s="75" t="str">
        <f>VLOOKUP(F1367,'#对话模型配置'!A:O,15,FALSE)</f>
        <v>newbie_oversea_andrea</v>
      </c>
      <c r="J1367" s="75" t="s">
        <v>4419</v>
      </c>
      <c r="K1367" s="75" t="s">
        <v>4420</v>
      </c>
      <c r="U1367" s="75">
        <v>5</v>
      </c>
      <c r="V1367" s="75">
        <v>0</v>
      </c>
      <c r="Y1367" s="75" t="b">
        <v>0</v>
      </c>
      <c r="Z1367" s="75" t="s">
        <v>4421</v>
      </c>
      <c r="AA1367" s="75" t="b">
        <v>1</v>
      </c>
      <c r="AD1367" s="75">
        <v>5.342041015625</v>
      </c>
      <c r="AE1367" s="75">
        <f t="shared" si="103"/>
        <v>5.342041015625</v>
      </c>
      <c r="AF1367" s="75" t="s">
        <v>4422</v>
      </c>
      <c r="AG1367" s="75" t="s">
        <v>4423</v>
      </c>
      <c r="AH1367" s="75">
        <f t="shared" si="102"/>
        <v>6.842041015625</v>
      </c>
      <c r="AI1367" s="75">
        <v>2</v>
      </c>
      <c r="AL1367" s="178">
        <v>25</v>
      </c>
      <c r="BF1367" s="75">
        <v>0</v>
      </c>
      <c r="BI1367" s="75">
        <v>1</v>
      </c>
    </row>
    <row r="1368" spans="1:61" s="75" customFormat="1" ht="14.5">
      <c r="A1368" s="166">
        <v>2100079</v>
      </c>
      <c r="C1368" s="75">
        <v>1</v>
      </c>
      <c r="E1368" s="75" t="s">
        <v>4005</v>
      </c>
      <c r="F1368" s="75" t="s">
        <v>2633</v>
      </c>
      <c r="G1368" s="75" t="str">
        <f>VLOOKUP(F1368,'#对话模型配置'!A:O,12,FALSE)</f>
        <v>TID_DialogueConf_1060001_name_CN_Main</v>
      </c>
      <c r="H1368" s="75" t="str">
        <f>VLOOKUP(F1368,'#对话模型配置'!A:O,14,FALSE)</f>
        <v>icon_newbie</v>
      </c>
      <c r="I1368" s="75" t="str">
        <f>VLOOKUP(F1368,'#对话模型配置'!A:O,15,FALSE)</f>
        <v>newbie_oversea_axe</v>
      </c>
      <c r="J1368" s="75" t="s">
        <v>4424</v>
      </c>
      <c r="K1368" s="75" t="s">
        <v>4425</v>
      </c>
      <c r="U1368" s="75">
        <v>5</v>
      </c>
      <c r="V1368" s="75">
        <v>0</v>
      </c>
      <c r="Y1368" s="75" t="b">
        <v>0</v>
      </c>
      <c r="Z1368" s="75" t="s">
        <v>4426</v>
      </c>
      <c r="AA1368" s="75" t="b">
        <v>1</v>
      </c>
      <c r="AD1368" s="75">
        <v>4.4385209083557102</v>
      </c>
      <c r="AE1368" s="75">
        <f t="shared" si="103"/>
        <v>4.4385209083557102</v>
      </c>
      <c r="AF1368" s="75" t="s">
        <v>4427</v>
      </c>
      <c r="AG1368" s="75" t="s">
        <v>4428</v>
      </c>
      <c r="AH1368" s="75">
        <f t="shared" si="102"/>
        <v>5.9385209083557102</v>
      </c>
      <c r="AI1368" s="75">
        <v>2</v>
      </c>
      <c r="AL1368" s="178">
        <v>25</v>
      </c>
      <c r="BA1368" s="75">
        <v>140002</v>
      </c>
      <c r="BB1368" s="75">
        <v>102003005</v>
      </c>
      <c r="BC1368" s="75">
        <v>1.1000000000000001</v>
      </c>
      <c r="BF1368" s="75">
        <v>0</v>
      </c>
      <c r="BI1368" s="75">
        <v>1</v>
      </c>
    </row>
    <row r="1369" spans="1:61" s="75" customFormat="1" ht="14.5">
      <c r="A1369" s="166">
        <v>2100079</v>
      </c>
      <c r="C1369" s="75">
        <v>2</v>
      </c>
      <c r="E1369" s="75" t="s">
        <v>4005</v>
      </c>
      <c r="F1369" s="75" t="s">
        <v>2633</v>
      </c>
      <c r="G1369" s="75" t="str">
        <f>VLOOKUP(F1369,'#对话模型配置'!A:O,12,FALSE)</f>
        <v>TID_DialogueConf_1060001_name_CN_Main</v>
      </c>
      <c r="H1369" s="75" t="str">
        <f>VLOOKUP(F1369,'#对话模型配置'!A:O,14,FALSE)</f>
        <v>icon_newbie</v>
      </c>
      <c r="I1369" s="75" t="str">
        <f>VLOOKUP(F1369,'#对话模型配置'!A:O,15,FALSE)</f>
        <v>newbie_oversea_axe</v>
      </c>
      <c r="J1369" s="75" t="s">
        <v>4429</v>
      </c>
      <c r="K1369" s="75" t="s">
        <v>4430</v>
      </c>
      <c r="U1369" s="75">
        <v>5</v>
      </c>
      <c r="V1369" s="75">
        <v>0</v>
      </c>
      <c r="Y1369" s="75" t="b">
        <v>0</v>
      </c>
      <c r="Z1369" s="75" t="s">
        <v>4431</v>
      </c>
      <c r="AA1369" s="75" t="b">
        <v>1</v>
      </c>
      <c r="AD1369" s="75">
        <v>4.4385828971862802</v>
      </c>
      <c r="AE1369" s="75">
        <f>AD1369+3</f>
        <v>7.4385828971862802</v>
      </c>
      <c r="AF1369" s="75" t="s">
        <v>4432</v>
      </c>
      <c r="AG1369" s="75" t="s">
        <v>4433</v>
      </c>
      <c r="AH1369" s="75">
        <f t="shared" si="102"/>
        <v>8.9385828971862793</v>
      </c>
      <c r="AI1369" s="75">
        <v>2</v>
      </c>
      <c r="AL1369" s="178">
        <v>25</v>
      </c>
      <c r="BA1369" s="75">
        <v>140002</v>
      </c>
      <c r="BB1369" s="75">
        <v>102003005</v>
      </c>
      <c r="BC1369" s="75">
        <v>1.1000000000000001</v>
      </c>
      <c r="BF1369" s="75">
        <v>0</v>
      </c>
      <c r="BI1369" s="75">
        <v>1</v>
      </c>
    </row>
    <row r="1370" spans="1:61" s="75" customFormat="1" ht="14.5">
      <c r="A1370" s="166">
        <v>2100081</v>
      </c>
      <c r="C1370" s="75">
        <v>1</v>
      </c>
      <c r="E1370" s="75" t="s">
        <v>4005</v>
      </c>
      <c r="F1370" s="75" t="s">
        <v>2633</v>
      </c>
      <c r="G1370" s="75" t="str">
        <f>VLOOKUP(F1370,'#对话模型配置'!A:O,12,FALSE)</f>
        <v>TID_DialogueConf_1060001_name_CN_Main</v>
      </c>
      <c r="H1370" s="75" t="str">
        <f>VLOOKUP(F1370,'#对话模型配置'!A:O,14,FALSE)</f>
        <v>icon_newbie</v>
      </c>
      <c r="I1370" s="75" t="str">
        <f>VLOOKUP(F1370,'#对话模型配置'!A:O,15,FALSE)</f>
        <v>newbie_oversea_axe</v>
      </c>
      <c r="J1370" s="75" t="s">
        <v>4434</v>
      </c>
      <c r="K1370" s="75" t="s">
        <v>4435</v>
      </c>
      <c r="U1370" s="75">
        <v>5</v>
      </c>
      <c r="V1370" s="75">
        <v>0</v>
      </c>
      <c r="Y1370" s="75" t="b">
        <v>0</v>
      </c>
      <c r="Z1370" s="75" t="s">
        <v>4436</v>
      </c>
      <c r="AA1370" s="75" t="b">
        <v>1</v>
      </c>
      <c r="AD1370" s="75">
        <v>2.70483303070068</v>
      </c>
      <c r="AE1370" s="75">
        <f t="shared" ref="AE1370:AE1395" si="104">AD1370</f>
        <v>2.70483303070068</v>
      </c>
      <c r="AF1370" s="75" t="s">
        <v>4437</v>
      </c>
      <c r="AG1370" s="75" t="s">
        <v>4438</v>
      </c>
      <c r="AH1370" s="75">
        <f t="shared" si="102"/>
        <v>4.20483303070068</v>
      </c>
      <c r="AI1370" s="75">
        <v>2</v>
      </c>
      <c r="AL1370" s="178">
        <v>25</v>
      </c>
      <c r="BA1370" s="75">
        <v>140002</v>
      </c>
      <c r="BB1370" s="75">
        <v>102003005</v>
      </c>
      <c r="BC1370" s="75">
        <v>1.1000000000000001</v>
      </c>
      <c r="BF1370" s="75">
        <v>0</v>
      </c>
      <c r="BI1370" s="75">
        <v>1</v>
      </c>
    </row>
    <row r="1371" spans="1:61" s="75" customFormat="1" ht="14.5">
      <c r="A1371" s="166">
        <v>2100082</v>
      </c>
      <c r="C1371" s="75">
        <v>1</v>
      </c>
      <c r="E1371" s="75" t="s">
        <v>4005</v>
      </c>
      <c r="F1371" s="75" t="s">
        <v>2633</v>
      </c>
      <c r="G1371" s="75" t="str">
        <f>VLOOKUP(F1371,'#对话模型配置'!A:O,12,FALSE)</f>
        <v>TID_DialogueConf_1060001_name_CN_Main</v>
      </c>
      <c r="H1371" s="75" t="str">
        <f>VLOOKUP(F1371,'#对话模型配置'!A:O,14,FALSE)</f>
        <v>icon_newbie</v>
      </c>
      <c r="I1371" s="75" t="str">
        <f>VLOOKUP(F1371,'#对话模型配置'!A:O,15,FALSE)</f>
        <v>newbie_oversea_axe</v>
      </c>
      <c r="J1371" s="75" t="s">
        <v>4439</v>
      </c>
      <c r="K1371" s="75" t="s">
        <v>2472</v>
      </c>
      <c r="U1371" s="75">
        <v>5</v>
      </c>
      <c r="V1371" s="75">
        <v>0</v>
      </c>
      <c r="Y1371" s="75" t="b">
        <v>0</v>
      </c>
      <c r="Z1371" s="75" t="s">
        <v>4440</v>
      </c>
      <c r="AA1371" s="75" t="b">
        <v>1</v>
      </c>
      <c r="AD1371" s="75">
        <v>4.3383331298828098</v>
      </c>
      <c r="AE1371" s="75">
        <f t="shared" si="104"/>
        <v>4.3383331298828098</v>
      </c>
      <c r="AF1371" s="75" t="s">
        <v>4441</v>
      </c>
      <c r="AG1371" s="75" t="s">
        <v>4442</v>
      </c>
      <c r="AH1371" s="75">
        <f t="shared" si="102"/>
        <v>5.8383331298828098</v>
      </c>
      <c r="AI1371" s="75">
        <v>2</v>
      </c>
      <c r="AL1371" s="178">
        <v>25</v>
      </c>
      <c r="BA1371" s="75">
        <v>140002</v>
      </c>
      <c r="BB1371" s="75">
        <v>102003005</v>
      </c>
      <c r="BC1371" s="75">
        <v>1.1000000000000001</v>
      </c>
      <c r="BF1371" s="75">
        <v>0</v>
      </c>
      <c r="BI1371" s="75">
        <v>1</v>
      </c>
    </row>
    <row r="1372" spans="1:61" s="75" customFormat="1" ht="14.5">
      <c r="A1372" s="166">
        <v>2100083</v>
      </c>
      <c r="C1372" s="75">
        <v>1</v>
      </c>
      <c r="E1372" s="75" t="s">
        <v>4005</v>
      </c>
      <c r="F1372" s="75" t="s">
        <v>2633</v>
      </c>
      <c r="G1372" s="75" t="str">
        <f>VLOOKUP(F1372,'#对话模型配置'!A:O,12,FALSE)</f>
        <v>TID_DialogueConf_1060001_name_CN_Main</v>
      </c>
      <c r="H1372" s="75" t="str">
        <f>VLOOKUP(F1372,'#对话模型配置'!A:O,14,FALSE)</f>
        <v>icon_newbie</v>
      </c>
      <c r="I1372" s="75" t="str">
        <f>VLOOKUP(F1372,'#对话模型配置'!A:O,15,FALSE)</f>
        <v>newbie_oversea_axe</v>
      </c>
      <c r="J1372" s="75" t="s">
        <v>4443</v>
      </c>
      <c r="K1372" s="75" t="s">
        <v>2476</v>
      </c>
      <c r="U1372" s="75">
        <v>5</v>
      </c>
      <c r="V1372" s="75">
        <v>0</v>
      </c>
      <c r="Y1372" s="75" t="b">
        <v>0</v>
      </c>
      <c r="Z1372" s="75" t="s">
        <v>4444</v>
      </c>
      <c r="AA1372" s="75" t="b">
        <v>1</v>
      </c>
      <c r="AD1372" s="75">
        <v>6.3609790802001998</v>
      </c>
      <c r="AE1372" s="75">
        <f t="shared" si="104"/>
        <v>6.3609790802001998</v>
      </c>
      <c r="AF1372" s="75" t="s">
        <v>4445</v>
      </c>
      <c r="AG1372" s="75" t="s">
        <v>4446</v>
      </c>
      <c r="AH1372" s="75">
        <f t="shared" si="102"/>
        <v>7.8609790802001998</v>
      </c>
      <c r="AI1372" s="75">
        <v>2</v>
      </c>
      <c r="AL1372" s="178">
        <v>25</v>
      </c>
      <c r="BA1372" s="75">
        <v>140002</v>
      </c>
      <c r="BB1372" s="75">
        <v>102003005</v>
      </c>
      <c r="BC1372" s="75">
        <v>1.1000000000000001</v>
      </c>
      <c r="BF1372" s="75">
        <v>0</v>
      </c>
      <c r="BI1372" s="75">
        <v>1</v>
      </c>
    </row>
    <row r="1373" spans="1:61" s="75" customFormat="1" ht="14.5">
      <c r="A1373" s="166">
        <v>2100084</v>
      </c>
      <c r="C1373" s="75">
        <v>1</v>
      </c>
      <c r="E1373" s="75" t="s">
        <v>4005</v>
      </c>
      <c r="F1373" s="75" t="s">
        <v>2633</v>
      </c>
      <c r="G1373" s="75" t="str">
        <f>VLOOKUP(F1373,'#对话模型配置'!A:O,12,FALSE)</f>
        <v>TID_DialogueConf_1060001_name_CN_Main</v>
      </c>
      <c r="H1373" s="75" t="str">
        <f>VLOOKUP(F1373,'#对话模型配置'!A:O,14,FALSE)</f>
        <v>icon_newbie</v>
      </c>
      <c r="I1373" s="75" t="str">
        <f>VLOOKUP(F1373,'#对话模型配置'!A:O,15,FALSE)</f>
        <v>newbie_oversea_axe</v>
      </c>
      <c r="J1373" s="75" t="s">
        <v>4447</v>
      </c>
      <c r="K1373" s="75" t="s">
        <v>2488</v>
      </c>
      <c r="U1373" s="75">
        <v>5</v>
      </c>
      <c r="V1373" s="75">
        <v>0</v>
      </c>
      <c r="Y1373" s="75" t="b">
        <v>0</v>
      </c>
      <c r="Z1373" s="75" t="s">
        <v>4448</v>
      </c>
      <c r="AA1373" s="75" t="b">
        <v>1</v>
      </c>
      <c r="AD1373" s="75">
        <v>3.46731305122375</v>
      </c>
      <c r="AE1373" s="75">
        <f t="shared" si="104"/>
        <v>3.46731305122375</v>
      </c>
      <c r="AF1373" s="75" t="s">
        <v>4449</v>
      </c>
      <c r="AG1373" s="75" t="s">
        <v>4450</v>
      </c>
      <c r="AH1373" s="75">
        <f t="shared" si="102"/>
        <v>4.9673130512237496</v>
      </c>
      <c r="AI1373" s="75">
        <v>2</v>
      </c>
      <c r="AL1373" s="178">
        <v>25</v>
      </c>
      <c r="BF1373" s="75">
        <v>0</v>
      </c>
      <c r="BI1373" s="75">
        <v>1</v>
      </c>
    </row>
    <row r="1374" spans="1:61" s="75" customFormat="1" ht="14.5">
      <c r="A1374" s="166">
        <v>2100085</v>
      </c>
      <c r="C1374" s="75">
        <v>1</v>
      </c>
      <c r="E1374" s="75" t="s">
        <v>4005</v>
      </c>
      <c r="F1374" s="75" t="s">
        <v>4329</v>
      </c>
      <c r="G1374" s="75" t="str">
        <f>VLOOKUP(F1374,'#对话模型配置'!A:O,12,FALSE)</f>
        <v>TID_Dialogue_Character_11</v>
      </c>
      <c r="H1374" s="75" t="str">
        <f>VLOOKUP(F1374,'#对话模型配置'!A:O,14,FALSE)</f>
        <v>icon_hero</v>
      </c>
      <c r="I1374" s="75" t="str">
        <f>VLOOKUP(F1374,'#对话模型配置'!A:O,15,FALSE)</f>
        <v>icon_hero_036_big</v>
      </c>
      <c r="J1374" s="75" t="s">
        <v>4451</v>
      </c>
      <c r="K1374" s="75" t="s">
        <v>4452</v>
      </c>
      <c r="U1374" s="75">
        <v>6</v>
      </c>
      <c r="V1374" s="75">
        <v>0</v>
      </c>
      <c r="Y1374" s="75" t="b">
        <v>0</v>
      </c>
      <c r="Z1374" s="75" t="s">
        <v>4453</v>
      </c>
      <c r="AA1374" s="75" t="b">
        <v>1</v>
      </c>
      <c r="AD1374" s="75">
        <v>9.9358329772949201</v>
      </c>
      <c r="AE1374" s="75">
        <f t="shared" si="104"/>
        <v>9.9358329772949201</v>
      </c>
      <c r="AF1374" s="75" t="s">
        <v>4322</v>
      </c>
      <c r="AG1374" s="75" t="s">
        <v>4454</v>
      </c>
      <c r="AH1374" s="75">
        <f t="shared" si="102"/>
        <v>11.43583297729492</v>
      </c>
      <c r="AI1374" s="75">
        <v>2</v>
      </c>
      <c r="AL1374" s="178">
        <v>25</v>
      </c>
      <c r="BF1374" s="75">
        <v>0</v>
      </c>
      <c r="BG1374" s="75">
        <v>10</v>
      </c>
      <c r="BH1374" s="75">
        <v>11</v>
      </c>
      <c r="BI1374" s="75">
        <v>1</v>
      </c>
    </row>
    <row r="1375" spans="1:61" s="75" customFormat="1" ht="14.5">
      <c r="A1375" s="166">
        <v>2100085</v>
      </c>
      <c r="C1375" s="75">
        <v>2</v>
      </c>
      <c r="E1375" s="75" t="s">
        <v>4005</v>
      </c>
      <c r="F1375" s="75" t="s">
        <v>4329</v>
      </c>
      <c r="G1375" s="75" t="str">
        <f>VLOOKUP(F1375,'#对话模型配置'!A:O,12,FALSE)</f>
        <v>TID_Dialogue_Character_11</v>
      </c>
      <c r="H1375" s="75" t="str">
        <f>VLOOKUP(F1375,'#对话模型配置'!A:O,14,FALSE)</f>
        <v>icon_hero</v>
      </c>
      <c r="I1375" s="75" t="str">
        <f>VLOOKUP(F1375,'#对话模型配置'!A:O,15,FALSE)</f>
        <v>icon_hero_036_big</v>
      </c>
      <c r="J1375" s="75" t="s">
        <v>4455</v>
      </c>
      <c r="K1375" s="75" t="s">
        <v>2558</v>
      </c>
      <c r="U1375" s="75">
        <v>6</v>
      </c>
      <c r="V1375" s="75">
        <v>0</v>
      </c>
      <c r="Y1375" s="75" t="b">
        <v>0</v>
      </c>
      <c r="Z1375" s="75" t="s">
        <v>4456</v>
      </c>
      <c r="AA1375" s="75" t="b">
        <v>1</v>
      </c>
      <c r="AD1375" s="75">
        <v>7.9763960838317898</v>
      </c>
      <c r="AE1375" s="75">
        <f t="shared" si="104"/>
        <v>7.9763960838317898</v>
      </c>
      <c r="AF1375" s="75" t="s">
        <v>4457</v>
      </c>
      <c r="AG1375" s="75" t="s">
        <v>4457</v>
      </c>
      <c r="AH1375" s="75">
        <f t="shared" si="102"/>
        <v>9.4763960838317907</v>
      </c>
      <c r="AI1375" s="75">
        <v>2</v>
      </c>
      <c r="AL1375" s="178">
        <v>25</v>
      </c>
      <c r="BF1375" s="75">
        <v>0</v>
      </c>
      <c r="BG1375" s="75">
        <v>10</v>
      </c>
      <c r="BH1375" s="75">
        <v>19</v>
      </c>
      <c r="BI1375" s="75">
        <v>1</v>
      </c>
    </row>
    <row r="1376" spans="1:61" s="75" customFormat="1" ht="14.5">
      <c r="A1376" s="166">
        <v>2100087</v>
      </c>
      <c r="C1376" s="75">
        <v>1</v>
      </c>
      <c r="E1376" s="75" t="s">
        <v>4005</v>
      </c>
      <c r="F1376" s="75" t="s">
        <v>4329</v>
      </c>
      <c r="G1376" s="75" t="str">
        <f>VLOOKUP(F1376,'#对话模型配置'!A:O,12,FALSE)</f>
        <v>TID_Dialogue_Character_11</v>
      </c>
      <c r="H1376" s="75" t="str">
        <f>VLOOKUP(F1376,'#对话模型配置'!A:O,14,FALSE)</f>
        <v>icon_hero</v>
      </c>
      <c r="I1376" s="75" t="str">
        <f>VLOOKUP(F1376,'#对话模型配置'!A:O,15,FALSE)</f>
        <v>icon_hero_036_big</v>
      </c>
      <c r="J1376" s="75" t="s">
        <v>4458</v>
      </c>
      <c r="K1376" s="75" t="s">
        <v>4459</v>
      </c>
      <c r="U1376" s="75">
        <v>6</v>
      </c>
      <c r="V1376" s="75">
        <v>0</v>
      </c>
      <c r="Y1376" s="75" t="b">
        <v>0</v>
      </c>
      <c r="Z1376" s="75" t="s">
        <v>4460</v>
      </c>
      <c r="AA1376" s="75" t="b">
        <v>1</v>
      </c>
      <c r="AD1376" s="75">
        <v>2.0589580535888699</v>
      </c>
      <c r="AE1376" s="75">
        <f t="shared" si="104"/>
        <v>2.0589580535888699</v>
      </c>
      <c r="AF1376" s="75" t="s">
        <v>4457</v>
      </c>
      <c r="AG1376" s="75" t="s">
        <v>4461</v>
      </c>
      <c r="AH1376" s="75">
        <f t="shared" si="102"/>
        <v>3.5589580535888699</v>
      </c>
      <c r="AI1376" s="75">
        <v>2</v>
      </c>
      <c r="AL1376" s="178">
        <v>25</v>
      </c>
      <c r="BF1376" s="75">
        <v>0</v>
      </c>
      <c r="BG1376" s="75">
        <v>10</v>
      </c>
      <c r="BH1376" s="75">
        <v>23</v>
      </c>
      <c r="BI1376" s="75">
        <v>1</v>
      </c>
    </row>
    <row r="1377" spans="1:61" s="75" customFormat="1" ht="14.5">
      <c r="A1377" s="166">
        <v>2100087</v>
      </c>
      <c r="C1377" s="75">
        <v>2</v>
      </c>
      <c r="E1377" s="75" t="s">
        <v>4005</v>
      </c>
      <c r="F1377" s="75" t="s">
        <v>4329</v>
      </c>
      <c r="G1377" s="75" t="str">
        <f>VLOOKUP(F1377,'#对话模型配置'!A:O,12,FALSE)</f>
        <v>TID_Dialogue_Character_11</v>
      </c>
      <c r="H1377" s="75" t="str">
        <f>VLOOKUP(F1377,'#对话模型配置'!A:O,14,FALSE)</f>
        <v>icon_hero</v>
      </c>
      <c r="I1377" s="75" t="str">
        <f>VLOOKUP(F1377,'#对话模型配置'!A:O,15,FALSE)</f>
        <v>icon_hero_036_big</v>
      </c>
      <c r="J1377" s="75" t="s">
        <v>4462</v>
      </c>
      <c r="K1377" s="75" t="s">
        <v>2683</v>
      </c>
      <c r="U1377" s="75">
        <v>6</v>
      </c>
      <c r="V1377" s="75">
        <v>0</v>
      </c>
      <c r="Y1377" s="75" t="b">
        <v>0</v>
      </c>
      <c r="Z1377" s="75" t="s">
        <v>4463</v>
      </c>
      <c r="AA1377" s="75" t="b">
        <v>1</v>
      </c>
      <c r="AD1377" s="75">
        <v>5.3049998283386204</v>
      </c>
      <c r="AE1377" s="75">
        <f t="shared" si="104"/>
        <v>5.3049998283386204</v>
      </c>
      <c r="AF1377" s="75" t="s">
        <v>4322</v>
      </c>
      <c r="AG1377" s="75" t="s">
        <v>4322</v>
      </c>
      <c r="AH1377" s="75">
        <f t="shared" si="102"/>
        <v>6.8049998283386204</v>
      </c>
      <c r="AI1377" s="75">
        <v>2</v>
      </c>
      <c r="AL1377" s="178">
        <v>25</v>
      </c>
      <c r="BF1377" s="75">
        <v>0</v>
      </c>
      <c r="BG1377" s="75">
        <v>10</v>
      </c>
      <c r="BH1377" s="75">
        <v>28.5</v>
      </c>
      <c r="BI1377" s="75">
        <v>1</v>
      </c>
    </row>
    <row r="1378" spans="1:61" s="75" customFormat="1" ht="14.5">
      <c r="A1378" s="166">
        <v>2100087</v>
      </c>
      <c r="C1378" s="75">
        <v>3</v>
      </c>
      <c r="E1378" s="75" t="s">
        <v>4005</v>
      </c>
      <c r="F1378" s="75" t="s">
        <v>4464</v>
      </c>
      <c r="G1378" s="75" t="str">
        <f>VLOOKUP(F1378,'#对话模型配置'!A:O,12,FALSE)</f>
        <v>TID_DialogueConf_1060001_name_CN_Main</v>
      </c>
      <c r="H1378" s="75" t="str">
        <f>VLOOKUP(F1378,'#对话模型配置'!A:O,14,FALSE)</f>
        <v>icon_hero</v>
      </c>
      <c r="I1378" s="75" t="str">
        <f>VLOOKUP(F1378,'#对话模型配置'!A:O,15,FALSE)</f>
        <v>icon_hero_206_big</v>
      </c>
      <c r="J1378" s="75" t="s">
        <v>4465</v>
      </c>
      <c r="K1378" s="75" t="s">
        <v>2686</v>
      </c>
      <c r="U1378" s="75">
        <v>6</v>
      </c>
      <c r="V1378" s="75">
        <v>0</v>
      </c>
      <c r="Y1378" s="75" t="b">
        <v>0</v>
      </c>
      <c r="Z1378" s="75" t="s">
        <v>4466</v>
      </c>
      <c r="AA1378" s="75" t="b">
        <v>1</v>
      </c>
      <c r="AD1378" s="75">
        <v>1.37066698074341</v>
      </c>
      <c r="AE1378" s="75">
        <f t="shared" si="104"/>
        <v>1.37066698074341</v>
      </c>
      <c r="AF1378" s="75" t="s">
        <v>4322</v>
      </c>
      <c r="AG1378" s="75" t="s">
        <v>4322</v>
      </c>
      <c r="AH1378" s="75">
        <f t="shared" si="102"/>
        <v>2.87066698074341</v>
      </c>
      <c r="AI1378" s="75">
        <v>2</v>
      </c>
      <c r="AL1378" s="178">
        <v>25</v>
      </c>
      <c r="BF1378" s="75">
        <v>0</v>
      </c>
      <c r="BG1378" s="75">
        <v>10</v>
      </c>
      <c r="BH1378" s="75">
        <v>30</v>
      </c>
      <c r="BI1378" s="75">
        <v>1</v>
      </c>
    </row>
    <row r="1379" spans="1:61" s="75" customFormat="1" ht="14.5">
      <c r="A1379" s="166">
        <v>2100087</v>
      </c>
      <c r="C1379" s="75">
        <v>4</v>
      </c>
      <c r="E1379" s="75" t="s">
        <v>4005</v>
      </c>
      <c r="F1379" s="75" t="s">
        <v>4329</v>
      </c>
      <c r="G1379" s="75" t="str">
        <f>VLOOKUP(F1379,'#对话模型配置'!A:O,12,FALSE)</f>
        <v>TID_Dialogue_Character_11</v>
      </c>
      <c r="H1379" s="75" t="str">
        <f>VLOOKUP(F1379,'#对话模型配置'!A:O,14,FALSE)</f>
        <v>icon_hero</v>
      </c>
      <c r="I1379" s="75" t="str">
        <f>VLOOKUP(F1379,'#对话模型配置'!A:O,15,FALSE)</f>
        <v>icon_hero_036_big</v>
      </c>
      <c r="J1379" s="75" t="s">
        <v>4467</v>
      </c>
      <c r="K1379" s="75" t="s">
        <v>2689</v>
      </c>
      <c r="U1379" s="75">
        <v>6</v>
      </c>
      <c r="V1379" s="75">
        <v>0</v>
      </c>
      <c r="Y1379" s="75" t="b">
        <v>0</v>
      </c>
      <c r="Z1379" s="75" t="s">
        <v>4468</v>
      </c>
      <c r="AA1379" s="75" t="b">
        <v>1</v>
      </c>
      <c r="AD1379" s="75">
        <v>3.1577079296112101</v>
      </c>
      <c r="AE1379" s="75">
        <f t="shared" si="104"/>
        <v>3.1577079296112101</v>
      </c>
      <c r="AF1379" s="75" t="s">
        <v>4322</v>
      </c>
      <c r="AG1379" s="75" t="s">
        <v>4322</v>
      </c>
      <c r="AH1379" s="75">
        <f t="shared" si="102"/>
        <v>4.6577079296112096</v>
      </c>
      <c r="AI1379" s="75">
        <v>2</v>
      </c>
      <c r="AL1379" s="178">
        <v>25</v>
      </c>
      <c r="BF1379" s="75">
        <v>0</v>
      </c>
      <c r="BG1379" s="75">
        <v>10</v>
      </c>
      <c r="BH1379" s="75">
        <v>34</v>
      </c>
      <c r="BI1379" s="75">
        <v>1</v>
      </c>
    </row>
    <row r="1380" spans="1:61" s="75" customFormat="1" ht="14.5">
      <c r="A1380" s="166">
        <v>2100087</v>
      </c>
      <c r="C1380" s="75">
        <v>5</v>
      </c>
      <c r="E1380" s="75" t="s">
        <v>4005</v>
      </c>
      <c r="F1380" s="75" t="s">
        <v>4329</v>
      </c>
      <c r="G1380" s="75" t="str">
        <f>VLOOKUP(F1380,'#对话模型配置'!A:O,12,FALSE)</f>
        <v>TID_Dialogue_Character_11</v>
      </c>
      <c r="H1380" s="75" t="str">
        <f>VLOOKUP(F1380,'#对话模型配置'!A:O,14,FALSE)</f>
        <v>icon_hero</v>
      </c>
      <c r="I1380" s="75" t="str">
        <f>VLOOKUP(F1380,'#对话模型配置'!A:O,15,FALSE)</f>
        <v>icon_hero_036_big</v>
      </c>
      <c r="J1380" s="75" t="s">
        <v>4469</v>
      </c>
      <c r="K1380" s="75" t="s">
        <v>4470</v>
      </c>
      <c r="U1380" s="75">
        <v>6</v>
      </c>
      <c r="V1380" s="75">
        <v>0</v>
      </c>
      <c r="Y1380" s="75" t="b">
        <v>0</v>
      </c>
      <c r="Z1380" s="75" t="s">
        <v>4471</v>
      </c>
      <c r="AA1380" s="75" t="b">
        <v>1</v>
      </c>
      <c r="AD1380" s="75">
        <v>7.3594160079956099</v>
      </c>
      <c r="AE1380" s="75">
        <f t="shared" si="104"/>
        <v>7.3594160079956099</v>
      </c>
      <c r="AF1380" s="75" t="s">
        <v>4472</v>
      </c>
      <c r="AG1380" s="75" t="s">
        <v>4472</v>
      </c>
      <c r="AH1380" s="75">
        <f t="shared" si="102"/>
        <v>8.859416007995609</v>
      </c>
      <c r="AI1380" s="75">
        <v>2</v>
      </c>
      <c r="AL1380" s="178">
        <v>25</v>
      </c>
      <c r="BF1380" s="75">
        <v>0</v>
      </c>
      <c r="BG1380" s="75">
        <v>10</v>
      </c>
      <c r="BH1380" s="75">
        <v>40</v>
      </c>
      <c r="BI1380" s="75">
        <v>1</v>
      </c>
    </row>
    <row r="1381" spans="1:61" s="75" customFormat="1" ht="14.5">
      <c r="A1381" s="166">
        <v>2100092</v>
      </c>
      <c r="C1381" s="75">
        <v>1</v>
      </c>
      <c r="E1381" s="75" t="s">
        <v>4005</v>
      </c>
      <c r="F1381" s="75" t="s">
        <v>2633</v>
      </c>
      <c r="G1381" s="75" t="str">
        <f>VLOOKUP(F1381,'#对话模型配置'!A:O,12,FALSE)</f>
        <v>TID_DialogueConf_1060001_name_CN_Main</v>
      </c>
      <c r="H1381" s="75" t="str">
        <f>VLOOKUP(F1381,'#对话模型配置'!A:O,14,FALSE)</f>
        <v>icon_newbie</v>
      </c>
      <c r="I1381" s="75" t="str">
        <f>VLOOKUP(F1381,'#对话模型配置'!A:O,15,FALSE)</f>
        <v>newbie_oversea_axe</v>
      </c>
      <c r="J1381" s="75" t="s">
        <v>4473</v>
      </c>
      <c r="K1381" s="75" t="s">
        <v>4474</v>
      </c>
      <c r="U1381" s="75">
        <v>5</v>
      </c>
      <c r="V1381" s="75">
        <v>0</v>
      </c>
      <c r="Y1381" s="75" t="b">
        <v>0</v>
      </c>
      <c r="Z1381" s="75" t="s">
        <v>4475</v>
      </c>
      <c r="AA1381" s="75" t="b">
        <v>1</v>
      </c>
      <c r="AD1381" s="75">
        <v>5.67799997329712</v>
      </c>
      <c r="AE1381" s="75">
        <f t="shared" si="104"/>
        <v>5.67799997329712</v>
      </c>
      <c r="AF1381" s="75" t="s">
        <v>4476</v>
      </c>
      <c r="AG1381" s="75" t="s">
        <v>4477</v>
      </c>
      <c r="AH1381" s="75">
        <f t="shared" si="102"/>
        <v>7.17799997329712</v>
      </c>
      <c r="AI1381" s="75">
        <v>2</v>
      </c>
      <c r="AL1381" s="178">
        <v>25</v>
      </c>
      <c r="BA1381" s="75">
        <v>140029</v>
      </c>
      <c r="BF1381" s="75">
        <v>0</v>
      </c>
      <c r="BI1381" s="75">
        <v>1</v>
      </c>
    </row>
    <row r="1382" spans="1:61" s="75" customFormat="1" ht="14.5">
      <c r="A1382" s="166">
        <v>2100093</v>
      </c>
      <c r="C1382" s="75">
        <v>1</v>
      </c>
      <c r="E1382" s="75" t="s">
        <v>4005</v>
      </c>
      <c r="F1382" s="75" t="s">
        <v>2633</v>
      </c>
      <c r="G1382" s="75" t="str">
        <f>VLOOKUP(F1382,'#对话模型配置'!A:O,12,FALSE)</f>
        <v>TID_DialogueConf_1060001_name_CN_Main</v>
      </c>
      <c r="H1382" s="75" t="str">
        <f>VLOOKUP(F1382,'#对话模型配置'!A:O,14,FALSE)</f>
        <v>icon_newbie</v>
      </c>
      <c r="I1382" s="75" t="str">
        <f>VLOOKUP(F1382,'#对话模型配置'!A:O,15,FALSE)</f>
        <v>newbie_oversea_axe</v>
      </c>
      <c r="J1382" s="75" t="s">
        <v>4478</v>
      </c>
      <c r="K1382" s="75" t="s">
        <v>2580</v>
      </c>
      <c r="U1382" s="75">
        <v>5</v>
      </c>
      <c r="V1382" s="75">
        <v>0</v>
      </c>
      <c r="Y1382" s="75" t="b">
        <v>0</v>
      </c>
      <c r="Z1382" s="75" t="s">
        <v>4479</v>
      </c>
      <c r="AA1382" s="75" t="b">
        <v>1</v>
      </c>
      <c r="AD1382" s="75">
        <v>4.4706039428710902</v>
      </c>
      <c r="AE1382" s="75">
        <f t="shared" si="104"/>
        <v>4.4706039428710902</v>
      </c>
      <c r="AF1382" s="75" t="s">
        <v>4480</v>
      </c>
      <c r="AG1382" s="75" t="s">
        <v>4481</v>
      </c>
      <c r="AH1382" s="75">
        <f t="shared" si="102"/>
        <v>5.9706039428710902</v>
      </c>
      <c r="AI1382" s="75">
        <v>2</v>
      </c>
      <c r="AL1382" s="178">
        <v>25</v>
      </c>
      <c r="BA1382" s="75">
        <v>140029</v>
      </c>
      <c r="BF1382" s="75">
        <v>0</v>
      </c>
      <c r="BI1382" s="75">
        <v>1</v>
      </c>
    </row>
    <row r="1383" spans="1:61" s="75" customFormat="1" ht="14.5">
      <c r="A1383" s="166">
        <v>2100094</v>
      </c>
      <c r="C1383" s="75">
        <v>1</v>
      </c>
      <c r="E1383" s="75" t="s">
        <v>4005</v>
      </c>
      <c r="F1383" s="75" t="s">
        <v>4008</v>
      </c>
      <c r="G1383" s="75" t="str">
        <f>VLOOKUP(F1383,'#对话模型配置'!A:O,12,FALSE)</f>
        <v>TID_Dialogue_Character_11</v>
      </c>
      <c r="H1383" s="75" t="str">
        <f>VLOOKUP(F1383,'#对话模型配置'!A:O,14,FALSE)</f>
        <v>icon_newbie</v>
      </c>
      <c r="I1383" s="75" t="str">
        <f>VLOOKUP(F1383,'#对话模型配置'!A:O,15,FALSE)</f>
        <v>newbie_oversea_andrea</v>
      </c>
      <c r="J1383" s="75" t="s">
        <v>4482</v>
      </c>
      <c r="K1383" s="75" t="s">
        <v>2698</v>
      </c>
      <c r="U1383" s="75">
        <v>5</v>
      </c>
      <c r="V1383" s="75">
        <v>0</v>
      </c>
      <c r="Y1383" s="75" t="b">
        <v>0</v>
      </c>
      <c r="Z1383" s="75" t="s">
        <v>4483</v>
      </c>
      <c r="AA1383" s="75" t="b">
        <v>1</v>
      </c>
      <c r="AD1383" s="75">
        <v>4.36114597320557</v>
      </c>
      <c r="AE1383" s="75">
        <f t="shared" si="104"/>
        <v>4.36114597320557</v>
      </c>
      <c r="AF1383" s="75" t="s">
        <v>4484</v>
      </c>
      <c r="AG1383" s="75" t="s">
        <v>4484</v>
      </c>
      <c r="AH1383" s="75">
        <f t="shared" si="102"/>
        <v>5.86114597320557</v>
      </c>
      <c r="AI1383" s="75">
        <v>2</v>
      </c>
      <c r="AL1383" s="178">
        <v>25</v>
      </c>
      <c r="BA1383" s="75">
        <v>140002</v>
      </c>
      <c r="BF1383" s="75">
        <v>0</v>
      </c>
      <c r="BI1383" s="75">
        <v>1</v>
      </c>
    </row>
    <row r="1384" spans="1:61" s="75" customFormat="1" ht="14.5">
      <c r="A1384" s="166">
        <v>2100095</v>
      </c>
      <c r="C1384" s="75">
        <v>1</v>
      </c>
      <c r="E1384" s="75" t="s">
        <v>4005</v>
      </c>
      <c r="F1384" s="75" t="s">
        <v>4485</v>
      </c>
      <c r="G1384" s="75" t="str">
        <f>VLOOKUP(F1384,'#对话模型配置'!A:O,12,FALSE)</f>
        <v>TID_DialogueConf_1060620_name_CN_Main</v>
      </c>
      <c r="H1384" s="75" t="str">
        <f>VLOOKUP(F1384,'#对话模型配置'!A:O,14,FALSE)</f>
        <v>icon_hero</v>
      </c>
      <c r="I1384" s="75" t="str">
        <f>VLOOKUP(F1384,'#对话模型配置'!A:O,15,FALSE)</f>
        <v>icon_hero_032_big</v>
      </c>
      <c r="J1384" s="75" t="s">
        <v>4486</v>
      </c>
      <c r="K1384" s="75" t="s">
        <v>4487</v>
      </c>
      <c r="U1384" s="75">
        <v>6</v>
      </c>
      <c r="V1384" s="75">
        <v>0</v>
      </c>
      <c r="Y1384" s="75" t="b">
        <v>0</v>
      </c>
      <c r="Z1384" s="75" t="s">
        <v>4488</v>
      </c>
      <c r="AA1384" s="75" t="b">
        <v>1</v>
      </c>
      <c r="AD1384" s="75">
        <v>7.2323331832885698</v>
      </c>
      <c r="AE1384" s="75">
        <f t="shared" si="104"/>
        <v>7.2323331832885698</v>
      </c>
      <c r="AF1384" s="75" t="s">
        <v>4457</v>
      </c>
      <c r="AG1384" s="75" t="s">
        <v>4489</v>
      </c>
      <c r="AH1384" s="75">
        <f t="shared" si="102"/>
        <v>8.7323331832885707</v>
      </c>
      <c r="AI1384" s="75">
        <v>2</v>
      </c>
      <c r="AL1384" s="178">
        <v>25</v>
      </c>
      <c r="BF1384" s="75">
        <v>1</v>
      </c>
      <c r="BG1384" s="75">
        <v>12</v>
      </c>
      <c r="BH1384" s="75">
        <v>9.5</v>
      </c>
      <c r="BI1384" s="75">
        <v>1</v>
      </c>
    </row>
    <row r="1385" spans="1:61" s="75" customFormat="1" ht="14.5">
      <c r="A1385" s="166">
        <v>2100095</v>
      </c>
      <c r="C1385" s="75">
        <v>2</v>
      </c>
      <c r="E1385" s="75" t="s">
        <v>4005</v>
      </c>
      <c r="F1385" s="75" t="s">
        <v>4485</v>
      </c>
      <c r="G1385" s="75" t="str">
        <f>VLOOKUP(F1385,'#对话模型配置'!A:O,12,FALSE)</f>
        <v>TID_DialogueConf_1060620_name_CN_Main</v>
      </c>
      <c r="H1385" s="75" t="str">
        <f>VLOOKUP(F1385,'#对话模型配置'!A:O,14,FALSE)</f>
        <v>icon_hero</v>
      </c>
      <c r="I1385" s="75" t="str">
        <f>VLOOKUP(F1385,'#对话模型配置'!A:O,15,FALSE)</f>
        <v>icon_hero_032_big</v>
      </c>
      <c r="J1385" s="75" t="s">
        <v>4490</v>
      </c>
      <c r="K1385" s="75" t="s">
        <v>4491</v>
      </c>
      <c r="U1385" s="75">
        <v>6</v>
      </c>
      <c r="V1385" s="75">
        <v>0</v>
      </c>
      <c r="Y1385" s="75" t="b">
        <v>0</v>
      </c>
      <c r="Z1385" s="75" t="s">
        <v>4492</v>
      </c>
      <c r="AA1385" s="75" t="b">
        <v>1</v>
      </c>
      <c r="AD1385" s="75">
        <v>12.003999710083001</v>
      </c>
      <c r="AE1385" s="75">
        <f t="shared" si="104"/>
        <v>12.003999710083001</v>
      </c>
      <c r="AF1385" s="75" t="s">
        <v>4457</v>
      </c>
      <c r="AG1385" s="75" t="s">
        <v>4493</v>
      </c>
      <c r="AH1385" s="75">
        <f>AE1385</f>
        <v>12.003999710083001</v>
      </c>
      <c r="AI1385" s="75">
        <v>2</v>
      </c>
      <c r="AL1385" s="178">
        <v>30</v>
      </c>
      <c r="BF1385" s="75">
        <v>1</v>
      </c>
      <c r="BG1385" s="75">
        <v>12</v>
      </c>
      <c r="BH1385" s="75">
        <v>21</v>
      </c>
      <c r="BI1385" s="75">
        <v>1</v>
      </c>
    </row>
    <row r="1386" spans="1:61" s="75" customFormat="1" ht="14.5">
      <c r="A1386" s="166">
        <v>2100095</v>
      </c>
      <c r="C1386" s="75">
        <v>3</v>
      </c>
      <c r="E1386" s="75" t="s">
        <v>4005</v>
      </c>
      <c r="F1386" s="75" t="s">
        <v>4329</v>
      </c>
      <c r="G1386" s="75" t="str">
        <f>VLOOKUP(F1386,'#对话模型配置'!A:O,12,FALSE)</f>
        <v>TID_Dialogue_Character_11</v>
      </c>
      <c r="H1386" s="75" t="str">
        <f>VLOOKUP(F1386,'#对话模型配置'!A:O,14,FALSE)</f>
        <v>icon_hero</v>
      </c>
      <c r="I1386" s="75" t="str">
        <f>VLOOKUP(F1386,'#对话模型配置'!A:O,15,FALSE)</f>
        <v>icon_hero_036_big</v>
      </c>
      <c r="J1386" s="75" t="s">
        <v>4494</v>
      </c>
      <c r="K1386" s="75" t="s">
        <v>4495</v>
      </c>
      <c r="U1386" s="75">
        <v>6</v>
      </c>
      <c r="V1386" s="75">
        <v>0</v>
      </c>
      <c r="Y1386" s="75" t="b">
        <v>0</v>
      </c>
      <c r="Z1386" s="75" t="s">
        <v>4496</v>
      </c>
      <c r="AA1386" s="75" t="b">
        <v>1</v>
      </c>
      <c r="AD1386" s="75">
        <v>3.6677079200744598</v>
      </c>
      <c r="AE1386" s="75">
        <f t="shared" si="104"/>
        <v>3.6677079200744598</v>
      </c>
      <c r="AF1386" s="75" t="s">
        <v>4322</v>
      </c>
      <c r="AG1386" s="75" t="s">
        <v>4322</v>
      </c>
      <c r="AH1386" s="75">
        <f t="shared" si="102"/>
        <v>5.1677079200744593</v>
      </c>
      <c r="AI1386" s="75">
        <v>2</v>
      </c>
      <c r="AL1386" s="178">
        <v>25</v>
      </c>
      <c r="BF1386" s="75">
        <v>0</v>
      </c>
      <c r="BG1386" s="75">
        <v>12</v>
      </c>
      <c r="BH1386" s="75">
        <v>24.5</v>
      </c>
      <c r="BI1386" s="75">
        <v>1</v>
      </c>
    </row>
    <row r="1387" spans="1:61" s="75" customFormat="1" ht="14.5">
      <c r="A1387" s="166">
        <v>2100095</v>
      </c>
      <c r="C1387" s="75">
        <v>4</v>
      </c>
      <c r="E1387" s="75" t="s">
        <v>4005</v>
      </c>
      <c r="F1387" s="75" t="s">
        <v>4485</v>
      </c>
      <c r="G1387" s="75" t="str">
        <f>VLOOKUP(F1387,'#对话模型配置'!A:O,12,FALSE)</f>
        <v>TID_DialogueConf_1060620_name_CN_Main</v>
      </c>
      <c r="H1387" s="75" t="str">
        <f>VLOOKUP(F1387,'#对话模型配置'!A:O,14,FALSE)</f>
        <v>icon_hero</v>
      </c>
      <c r="I1387" s="75" t="str">
        <f>VLOOKUP(F1387,'#对话模型配置'!A:O,15,FALSE)</f>
        <v>icon_hero_032_big</v>
      </c>
      <c r="J1387" s="75" t="s">
        <v>4497</v>
      </c>
      <c r="K1387" s="75" t="s">
        <v>4498</v>
      </c>
      <c r="U1387" s="75">
        <v>6</v>
      </c>
      <c r="V1387" s="75">
        <v>0</v>
      </c>
      <c r="Y1387" s="75" t="b">
        <v>0</v>
      </c>
      <c r="Z1387" s="75" t="s">
        <v>4499</v>
      </c>
      <c r="AA1387" s="75" t="b">
        <v>1</v>
      </c>
      <c r="AD1387" s="75">
        <v>7.1533331871032697</v>
      </c>
      <c r="AE1387" s="75">
        <f t="shared" si="104"/>
        <v>7.1533331871032697</v>
      </c>
      <c r="AF1387" s="75" t="s">
        <v>4322</v>
      </c>
      <c r="AG1387" s="75" t="s">
        <v>4500</v>
      </c>
      <c r="AH1387" s="75">
        <f t="shared" si="102"/>
        <v>8.6533331871032697</v>
      </c>
      <c r="AI1387" s="75">
        <v>2</v>
      </c>
      <c r="AL1387" s="178">
        <v>25</v>
      </c>
      <c r="BF1387" s="75">
        <v>1</v>
      </c>
      <c r="BG1387" s="75">
        <v>12</v>
      </c>
      <c r="BH1387" s="75">
        <v>32</v>
      </c>
      <c r="BI1387" s="75">
        <v>1</v>
      </c>
    </row>
    <row r="1388" spans="1:61" s="75" customFormat="1" ht="14.5">
      <c r="A1388" s="166">
        <v>2100099</v>
      </c>
      <c r="C1388" s="75">
        <v>1</v>
      </c>
      <c r="E1388" s="75" t="s">
        <v>4005</v>
      </c>
      <c r="F1388" s="75" t="s">
        <v>4008</v>
      </c>
      <c r="G1388" s="75" t="str">
        <f>VLOOKUP(F1388,'#对话模型配置'!A:O,12,FALSE)</f>
        <v>TID_Dialogue_Character_11</v>
      </c>
      <c r="H1388" s="75" t="str">
        <f>VLOOKUP(F1388,'#对话模型配置'!A:O,14,FALSE)</f>
        <v>icon_newbie</v>
      </c>
      <c r="I1388" s="75" t="str">
        <f>VLOOKUP(F1388,'#对话模型配置'!A:O,15,FALSE)</f>
        <v>newbie_oversea_andrea</v>
      </c>
      <c r="J1388" s="75" t="s">
        <v>4501</v>
      </c>
      <c r="K1388" s="75" t="s">
        <v>4502</v>
      </c>
      <c r="U1388" s="75">
        <v>5</v>
      </c>
      <c r="V1388" s="75">
        <v>0</v>
      </c>
      <c r="Y1388" s="75" t="b">
        <v>0</v>
      </c>
      <c r="Z1388" s="75" t="s">
        <v>4503</v>
      </c>
      <c r="AA1388" s="75" t="b">
        <v>1</v>
      </c>
      <c r="AD1388" s="75">
        <v>4.8721461296081499</v>
      </c>
      <c r="AE1388" s="75">
        <f t="shared" si="104"/>
        <v>4.8721461296081499</v>
      </c>
      <c r="AF1388" s="75" t="s">
        <v>4504</v>
      </c>
      <c r="AG1388" s="75" t="s">
        <v>4505</v>
      </c>
      <c r="AH1388" s="75">
        <f t="shared" si="102"/>
        <v>6.3721461296081499</v>
      </c>
      <c r="AI1388" s="75">
        <v>2</v>
      </c>
      <c r="AL1388" s="178">
        <v>25</v>
      </c>
      <c r="BF1388" s="75">
        <v>0</v>
      </c>
      <c r="BI1388" s="75">
        <v>1</v>
      </c>
    </row>
    <row r="1389" spans="1:61" s="75" customFormat="1" ht="14.5">
      <c r="A1389" s="166">
        <v>2100100</v>
      </c>
      <c r="C1389" s="75">
        <v>1</v>
      </c>
      <c r="E1389" s="75" t="s">
        <v>4005</v>
      </c>
      <c r="F1389" s="75" t="s">
        <v>2428</v>
      </c>
      <c r="G1389" s="75" t="str">
        <f>VLOOKUP(F1389,'#对话模型配置'!A:O,12,FALSE)</f>
        <v>TID_DialogueConf_1060620_name_CN_Main</v>
      </c>
      <c r="H1389" s="75" t="str">
        <f>VLOOKUP(F1389,'#对话模型配置'!A:O,14,FALSE)</f>
        <v>icon_newbie</v>
      </c>
      <c r="I1389" s="75" t="str">
        <f>VLOOKUP(F1389,'#对话模型配置'!A:O,15,FALSE)</f>
        <v>newbie_oversea_attila</v>
      </c>
      <c r="J1389" s="75" t="s">
        <v>4506</v>
      </c>
      <c r="K1389" s="75" t="s">
        <v>4507</v>
      </c>
      <c r="U1389" s="75">
        <v>5</v>
      </c>
      <c r="V1389" s="75">
        <v>0</v>
      </c>
      <c r="Y1389" s="75" t="b">
        <v>0</v>
      </c>
      <c r="Z1389" s="75" t="s">
        <v>4508</v>
      </c>
      <c r="AA1389" s="75" t="b">
        <v>1</v>
      </c>
      <c r="AD1389" s="75">
        <v>6.4935421943664604</v>
      </c>
      <c r="AE1389" s="75">
        <f t="shared" si="104"/>
        <v>6.4935421943664604</v>
      </c>
      <c r="AF1389" s="75" t="s">
        <v>4509</v>
      </c>
      <c r="AG1389" s="75" t="s">
        <v>4510</v>
      </c>
      <c r="AH1389" s="75">
        <f t="shared" si="102"/>
        <v>7.9935421943664604</v>
      </c>
      <c r="AI1389" s="75">
        <v>2</v>
      </c>
      <c r="AL1389" s="178">
        <v>25</v>
      </c>
      <c r="BF1389" s="75">
        <v>1</v>
      </c>
      <c r="BI1389" s="75">
        <v>1</v>
      </c>
    </row>
    <row r="1390" spans="1:61" s="75" customFormat="1" ht="14.5">
      <c r="A1390" s="166">
        <v>2100101</v>
      </c>
      <c r="C1390" s="75">
        <v>1</v>
      </c>
      <c r="E1390" s="75" t="s">
        <v>4005</v>
      </c>
      <c r="F1390" s="75" t="s">
        <v>2428</v>
      </c>
      <c r="G1390" s="75" t="str">
        <f>VLOOKUP(F1390,'#对话模型配置'!A:O,12,FALSE)</f>
        <v>TID_DialogueConf_1060620_name_CN_Main</v>
      </c>
      <c r="H1390" s="75" t="str">
        <f>VLOOKUP(F1390,'#对话模型配置'!A:O,14,FALSE)</f>
        <v>icon_newbie</v>
      </c>
      <c r="I1390" s="75" t="str">
        <f>VLOOKUP(F1390,'#对话模型配置'!A:O,15,FALSE)</f>
        <v>newbie_oversea_attila</v>
      </c>
      <c r="J1390" s="75" t="s">
        <v>4511</v>
      </c>
      <c r="K1390" s="75" t="s">
        <v>2518</v>
      </c>
      <c r="U1390" s="75">
        <v>5</v>
      </c>
      <c r="V1390" s="75">
        <v>0</v>
      </c>
      <c r="Y1390" s="75" t="b">
        <v>0</v>
      </c>
      <c r="Z1390" s="75" t="s">
        <v>4512</v>
      </c>
      <c r="AA1390" s="75" t="b">
        <v>1</v>
      </c>
      <c r="AD1390" s="75">
        <v>5.2813959121704102</v>
      </c>
      <c r="AE1390" s="75">
        <f t="shared" si="104"/>
        <v>5.2813959121704102</v>
      </c>
      <c r="AF1390" s="75" t="s">
        <v>4513</v>
      </c>
      <c r="AG1390" s="75" t="s">
        <v>4510</v>
      </c>
      <c r="AH1390" s="75">
        <f t="shared" si="102"/>
        <v>6.7813959121704102</v>
      </c>
      <c r="AI1390" s="75">
        <v>2</v>
      </c>
      <c r="AL1390" s="178">
        <v>25</v>
      </c>
      <c r="BF1390" s="75">
        <v>1</v>
      </c>
      <c r="BI1390" s="75">
        <v>1</v>
      </c>
    </row>
    <row r="1391" spans="1:61" s="75" customFormat="1" ht="14.5">
      <c r="A1391" s="166">
        <v>2100159</v>
      </c>
      <c r="C1391" s="75">
        <v>1</v>
      </c>
      <c r="E1391" s="75" t="s">
        <v>4016</v>
      </c>
      <c r="F1391" s="75" t="s">
        <v>2428</v>
      </c>
      <c r="G1391" s="75" t="str">
        <f>VLOOKUP(F1391,'[3]#对话模型配置'!A:O,12,FALSE)</f>
        <v>TID_DialogueConf_1060620_name_CN_Main</v>
      </c>
      <c r="H1391" s="75" t="str">
        <f>VLOOKUP(F1391,'#对话模型配置'!A:O,14,FALSE)</f>
        <v>icon_newbie</v>
      </c>
      <c r="I1391" s="75" t="str">
        <f>VLOOKUP(F1391,'[3]#对话模型配置'!A:O,15,FALSE)</f>
        <v>newbie_oversea_attila</v>
      </c>
      <c r="J1391" s="75" t="s">
        <v>4514</v>
      </c>
      <c r="K1391" s="75" t="s">
        <v>4515</v>
      </c>
      <c r="U1391" s="75">
        <v>5</v>
      </c>
      <c r="V1391" s="75">
        <v>0</v>
      </c>
      <c r="Y1391" s="75" t="b">
        <v>0</v>
      </c>
      <c r="Z1391" s="75" t="s">
        <v>4516</v>
      </c>
      <c r="AA1391" s="75" t="b">
        <v>1</v>
      </c>
      <c r="AD1391" s="75">
        <v>7.1978340148925799</v>
      </c>
      <c r="AE1391" s="75">
        <f t="shared" si="104"/>
        <v>7.1978340148925799</v>
      </c>
      <c r="AF1391" s="75" t="s">
        <v>4517</v>
      </c>
      <c r="AG1391" s="75" t="s">
        <v>4510</v>
      </c>
      <c r="AH1391" s="75">
        <v>0.1</v>
      </c>
      <c r="AI1391" s="75">
        <v>2</v>
      </c>
      <c r="AL1391" s="178">
        <v>35</v>
      </c>
      <c r="BF1391" s="75">
        <v>1</v>
      </c>
      <c r="BI1391" s="75">
        <v>1</v>
      </c>
    </row>
    <row r="1392" spans="1:61" s="75" customFormat="1" ht="14.5">
      <c r="A1392" s="166">
        <v>2100159</v>
      </c>
      <c r="C1392" s="75">
        <v>2</v>
      </c>
      <c r="E1392" s="75" t="s">
        <v>4016</v>
      </c>
      <c r="F1392" s="75" t="s">
        <v>4008</v>
      </c>
      <c r="G1392" s="75" t="str">
        <f>VLOOKUP(F1392,'[3]#对话模型配置'!A:O,12,FALSE)</f>
        <v>TID_Dialogue_Character_11</v>
      </c>
      <c r="H1392" s="75" t="str">
        <f>VLOOKUP(F1392,'#对话模型配置'!A:O,14,FALSE)</f>
        <v>icon_newbie</v>
      </c>
      <c r="I1392" s="75" t="str">
        <f>VLOOKUP(F1392,'[3]#对话模型配置'!A:O,15,FALSE)</f>
        <v>newbie_oversea_andrea</v>
      </c>
      <c r="J1392" s="75" t="s">
        <v>4518</v>
      </c>
      <c r="K1392" s="75" t="s">
        <v>4519</v>
      </c>
      <c r="U1392" s="75">
        <v>5</v>
      </c>
      <c r="V1392" s="75">
        <v>0</v>
      </c>
      <c r="Y1392" s="75" t="b">
        <v>0</v>
      </c>
      <c r="Z1392" s="75" t="s">
        <v>4520</v>
      </c>
      <c r="AA1392" s="75" t="b">
        <v>1</v>
      </c>
      <c r="AD1392" s="75">
        <v>4.7760210037231401</v>
      </c>
      <c r="AE1392" s="75">
        <f t="shared" si="104"/>
        <v>4.7760210037231401</v>
      </c>
      <c r="AF1392" s="75" t="s">
        <v>4521</v>
      </c>
      <c r="AG1392" s="75" t="s">
        <v>4522</v>
      </c>
      <c r="AH1392" s="75">
        <v>0.1</v>
      </c>
      <c r="AI1392" s="75">
        <v>2</v>
      </c>
      <c r="AL1392" s="178">
        <v>35</v>
      </c>
      <c r="BF1392" s="75">
        <v>0</v>
      </c>
      <c r="BI1392" s="75">
        <v>1</v>
      </c>
    </row>
    <row r="1393" spans="1:61" s="75" customFormat="1" ht="14.5">
      <c r="A1393" s="166">
        <v>2100102</v>
      </c>
      <c r="C1393" s="75">
        <v>1</v>
      </c>
      <c r="E1393" s="75" t="s">
        <v>4005</v>
      </c>
      <c r="F1393" s="75" t="s">
        <v>2428</v>
      </c>
      <c r="G1393" s="75" t="str">
        <f>VLOOKUP(F1393,'#对话模型配置'!A:O,12,FALSE)</f>
        <v>TID_DialogueConf_1060620_name_CN_Main</v>
      </c>
      <c r="H1393" s="75" t="str">
        <f>VLOOKUP(F1393,'#对话模型配置'!A:O,14,FALSE)</f>
        <v>icon_newbie</v>
      </c>
      <c r="I1393" s="75" t="str">
        <f>VLOOKUP(F1393,'#对话模型配置'!A:O,15,FALSE)</f>
        <v>newbie_oversea_attila</v>
      </c>
      <c r="J1393" s="75" t="s">
        <v>4523</v>
      </c>
      <c r="K1393" s="75" t="s">
        <v>4524</v>
      </c>
      <c r="U1393" s="75">
        <v>5</v>
      </c>
      <c r="V1393" s="75">
        <v>0</v>
      </c>
      <c r="Y1393" s="75" t="b">
        <v>0</v>
      </c>
      <c r="Z1393" s="75" t="s">
        <v>4525</v>
      </c>
      <c r="AA1393" s="75" t="b">
        <v>1</v>
      </c>
      <c r="AD1393" s="75">
        <v>8.1765413284301793</v>
      </c>
      <c r="AE1393" s="75">
        <f t="shared" si="104"/>
        <v>8.1765413284301793</v>
      </c>
      <c r="AF1393" s="75" t="s">
        <v>4526</v>
      </c>
      <c r="AG1393" s="75" t="s">
        <v>4527</v>
      </c>
      <c r="AH1393" s="75">
        <f t="shared" si="102"/>
        <v>9.6765413284301793</v>
      </c>
      <c r="AI1393" s="75">
        <v>2</v>
      </c>
      <c r="AL1393" s="178">
        <v>25</v>
      </c>
      <c r="BF1393" s="75">
        <v>1</v>
      </c>
      <c r="BI1393" s="75">
        <v>1</v>
      </c>
    </row>
    <row r="1394" spans="1:61" s="75" customFormat="1" ht="14.5">
      <c r="A1394" s="166">
        <v>2100102</v>
      </c>
      <c r="C1394" s="75">
        <v>2</v>
      </c>
      <c r="E1394" s="75" t="s">
        <v>4005</v>
      </c>
      <c r="F1394" s="75" t="s">
        <v>4008</v>
      </c>
      <c r="G1394" s="75" t="str">
        <f>VLOOKUP(F1394,'#对话模型配置'!A:O,12,FALSE)</f>
        <v>TID_Dialogue_Character_11</v>
      </c>
      <c r="H1394" s="75" t="str">
        <f>VLOOKUP(F1394,'#对话模型配置'!A:O,14,FALSE)</f>
        <v>icon_newbie</v>
      </c>
      <c r="I1394" s="75" t="str">
        <f>VLOOKUP(F1394,'#对话模型配置'!A:O,15,FALSE)</f>
        <v>newbie_oversea_andrea</v>
      </c>
      <c r="J1394" s="75" t="s">
        <v>4528</v>
      </c>
      <c r="K1394" s="75" t="s">
        <v>2525</v>
      </c>
      <c r="U1394" s="75">
        <v>5</v>
      </c>
      <c r="V1394" s="75">
        <v>0</v>
      </c>
      <c r="Y1394" s="75" t="b">
        <v>0</v>
      </c>
      <c r="Z1394" s="75" t="s">
        <v>4529</v>
      </c>
      <c r="AA1394" s="75" t="b">
        <v>1</v>
      </c>
      <c r="AD1394" s="75">
        <v>5.7988538742065403</v>
      </c>
      <c r="AE1394" s="75">
        <f t="shared" si="104"/>
        <v>5.7988538742065403</v>
      </c>
      <c r="AF1394" s="75" t="s">
        <v>4530</v>
      </c>
      <c r="AG1394" s="75" t="s">
        <v>4530</v>
      </c>
      <c r="AH1394" s="75">
        <f t="shared" si="102"/>
        <v>7.2988538742065403</v>
      </c>
      <c r="AI1394" s="75">
        <v>2</v>
      </c>
      <c r="AL1394" s="178">
        <v>25</v>
      </c>
      <c r="BA1394" s="75">
        <v>140002</v>
      </c>
      <c r="BF1394" s="75">
        <v>0</v>
      </c>
      <c r="BI1394" s="75">
        <v>1</v>
      </c>
    </row>
    <row r="1395" spans="1:61" s="75" customFormat="1" ht="14.5">
      <c r="A1395" s="166">
        <v>2100104</v>
      </c>
      <c r="C1395" s="75">
        <v>1</v>
      </c>
      <c r="E1395" s="75" t="s">
        <v>4005</v>
      </c>
      <c r="F1395" s="75" t="s">
        <v>2633</v>
      </c>
      <c r="G1395" s="75" t="str">
        <f>VLOOKUP(F1395,'#对话模型配置'!A:O,12,FALSE)</f>
        <v>TID_DialogueConf_1060001_name_CN_Main</v>
      </c>
      <c r="H1395" s="75" t="str">
        <f>VLOOKUP(F1395,'#对话模型配置'!A:O,14,FALSE)</f>
        <v>icon_newbie</v>
      </c>
      <c r="I1395" s="75" t="str">
        <f>VLOOKUP(F1395,'#对话模型配置'!A:O,15,FALSE)</f>
        <v>newbie_oversea_axe</v>
      </c>
      <c r="J1395" s="75" t="s">
        <v>4531</v>
      </c>
      <c r="K1395" s="75" t="s">
        <v>4532</v>
      </c>
      <c r="U1395" s="75">
        <v>5</v>
      </c>
      <c r="V1395" s="75">
        <v>0</v>
      </c>
      <c r="Y1395" s="75" t="b">
        <v>0</v>
      </c>
      <c r="Z1395" s="75" t="s">
        <v>4533</v>
      </c>
      <c r="AA1395" s="75" t="b">
        <v>1</v>
      </c>
      <c r="AD1395" s="75">
        <v>4.0120000839233398</v>
      </c>
      <c r="AE1395" s="75">
        <f t="shared" si="104"/>
        <v>4.0120000839233398</v>
      </c>
      <c r="AF1395" s="75" t="s">
        <v>4534</v>
      </c>
      <c r="AG1395" s="75" t="s">
        <v>4535</v>
      </c>
      <c r="AH1395" s="75">
        <f>AE1395+2</f>
        <v>6.0120000839233398</v>
      </c>
      <c r="AI1395" s="75">
        <v>2</v>
      </c>
      <c r="AL1395" s="178">
        <v>25</v>
      </c>
      <c r="BA1395" s="75">
        <v>140002</v>
      </c>
      <c r="BB1395" s="75">
        <v>102003005</v>
      </c>
      <c r="BC1395" s="75">
        <v>1.1000000000000001</v>
      </c>
      <c r="BF1395" s="75">
        <v>0</v>
      </c>
      <c r="BI1395" s="75">
        <v>1</v>
      </c>
    </row>
    <row r="1396" spans="1:61" s="75" customFormat="1" ht="14.5">
      <c r="A1396" s="166">
        <v>2100104</v>
      </c>
      <c r="C1396" s="75">
        <v>2</v>
      </c>
      <c r="E1396" s="75" t="s">
        <v>4005</v>
      </c>
      <c r="F1396" s="75" t="s">
        <v>4008</v>
      </c>
      <c r="G1396" s="75" t="str">
        <f>VLOOKUP(F1396,'#对话模型配置'!A:O,12,FALSE)</f>
        <v>TID_Dialogue_Character_11</v>
      </c>
      <c r="H1396" s="75" t="str">
        <f>VLOOKUP(F1396,'#对话模型配置'!A:O,14,FALSE)</f>
        <v>icon_newbie</v>
      </c>
      <c r="I1396" s="75" t="str">
        <f>VLOOKUP(F1396,'#对话模型配置'!A:O,15,FALSE)</f>
        <v>newbie_oversea_andrea</v>
      </c>
      <c r="J1396" s="75" t="s">
        <v>4536</v>
      </c>
      <c r="K1396" s="75" t="s">
        <v>4537</v>
      </c>
      <c r="U1396" s="75">
        <v>5</v>
      </c>
      <c r="V1396" s="75">
        <v>0</v>
      </c>
      <c r="Y1396" s="75" t="b">
        <v>0</v>
      </c>
      <c r="Z1396" s="75" t="s">
        <v>4538</v>
      </c>
      <c r="AA1396" s="75" t="b">
        <v>1</v>
      </c>
      <c r="AD1396" s="75">
        <v>9.9559583663940394</v>
      </c>
      <c r="AE1396" s="75">
        <f>AD1396+2</f>
        <v>11.955958366394039</v>
      </c>
      <c r="AF1396" s="75" t="s">
        <v>4539</v>
      </c>
      <c r="AG1396" s="75" t="s">
        <v>4539</v>
      </c>
      <c r="AH1396" s="75">
        <f>AE1396</f>
        <v>11.955958366394039</v>
      </c>
      <c r="AI1396" s="75">
        <v>2</v>
      </c>
      <c r="AL1396" s="178">
        <v>25</v>
      </c>
      <c r="BA1396" s="75">
        <v>140002</v>
      </c>
      <c r="BF1396" s="75">
        <v>0</v>
      </c>
      <c r="BI1396" s="75">
        <v>1</v>
      </c>
    </row>
    <row r="1397" spans="1:61" s="75" customFormat="1" ht="14.5">
      <c r="A1397" s="166">
        <v>2100105</v>
      </c>
      <c r="C1397" s="75">
        <v>1</v>
      </c>
      <c r="E1397" s="75" t="s">
        <v>4005</v>
      </c>
      <c r="F1397" s="75" t="s">
        <v>4008</v>
      </c>
      <c r="G1397" s="75" t="str">
        <f>VLOOKUP(F1397,'#对话模型配置'!A:O,12,FALSE)</f>
        <v>TID_Dialogue_Character_11</v>
      </c>
      <c r="H1397" s="75" t="str">
        <f>VLOOKUP(F1397,'#对话模型配置'!A:O,14,FALSE)</f>
        <v>icon_newbie</v>
      </c>
      <c r="I1397" s="75" t="str">
        <f>VLOOKUP(F1397,'#对话模型配置'!A:O,15,FALSE)</f>
        <v>newbie_oversea_andrea</v>
      </c>
      <c r="J1397" s="75" t="s">
        <v>4540</v>
      </c>
      <c r="K1397" s="75" t="s">
        <v>4541</v>
      </c>
      <c r="U1397" s="75">
        <v>5</v>
      </c>
      <c r="V1397" s="75">
        <v>0</v>
      </c>
      <c r="Y1397" s="75" t="b">
        <v>0</v>
      </c>
      <c r="Z1397" s="75" t="s">
        <v>4542</v>
      </c>
      <c r="AA1397" s="75" t="b">
        <v>1</v>
      </c>
      <c r="AD1397" s="75">
        <v>5.8859381675720197</v>
      </c>
      <c r="AE1397" s="75">
        <f t="shared" ref="AE1397:AE1407" si="105">AD1397</f>
        <v>5.8859381675720197</v>
      </c>
      <c r="AF1397" s="75" t="s">
        <v>4543</v>
      </c>
      <c r="AG1397" s="75" t="s">
        <v>4543</v>
      </c>
      <c r="AH1397" s="75">
        <f t="shared" ref="AH1397:AH1399" si="106">AE1397+1.5</f>
        <v>7.3859381675720197</v>
      </c>
      <c r="AI1397" s="75">
        <v>2</v>
      </c>
      <c r="AL1397" s="178">
        <v>25</v>
      </c>
      <c r="BA1397" s="75">
        <v>140002</v>
      </c>
      <c r="BF1397" s="75">
        <v>0</v>
      </c>
      <c r="BI1397" s="75">
        <v>1</v>
      </c>
    </row>
    <row r="1398" spans="1:61" s="75" customFormat="1" ht="14.5">
      <c r="A1398" s="166">
        <v>2100106</v>
      </c>
      <c r="C1398" s="75">
        <v>1</v>
      </c>
      <c r="E1398" s="75" t="s">
        <v>4005</v>
      </c>
      <c r="F1398" s="75" t="s">
        <v>4008</v>
      </c>
      <c r="G1398" s="75" t="str">
        <f>VLOOKUP(F1398,'#对话模型配置'!A:O,12,FALSE)</f>
        <v>TID_Dialogue_Character_11</v>
      </c>
      <c r="H1398" s="75" t="str">
        <f>VLOOKUP(F1398,'#对话模型配置'!A:O,14,FALSE)</f>
        <v>icon_newbie</v>
      </c>
      <c r="I1398" s="75" t="str">
        <f>VLOOKUP(F1398,'#对话模型配置'!A:O,15,FALSE)</f>
        <v>newbie_oversea_andrea</v>
      </c>
      <c r="J1398" s="75" t="s">
        <v>4544</v>
      </c>
      <c r="K1398" s="75" t="s">
        <v>4545</v>
      </c>
      <c r="U1398" s="75">
        <v>5</v>
      </c>
      <c r="V1398" s="75">
        <v>0</v>
      </c>
      <c r="Y1398" s="75" t="b">
        <v>0</v>
      </c>
      <c r="Z1398" s="75" t="s">
        <v>4546</v>
      </c>
      <c r="AA1398" s="75" t="b">
        <v>1</v>
      </c>
      <c r="AD1398" s="75">
        <v>8.2003955841064506</v>
      </c>
      <c r="AE1398" s="75">
        <f t="shared" si="105"/>
        <v>8.2003955841064506</v>
      </c>
      <c r="AF1398" s="75" t="s">
        <v>4547</v>
      </c>
      <c r="AG1398" s="75" t="s">
        <v>4547</v>
      </c>
      <c r="AH1398" s="75">
        <f t="shared" si="106"/>
        <v>9.7003955841064506</v>
      </c>
      <c r="AI1398" s="75">
        <v>2</v>
      </c>
      <c r="AL1398" s="178">
        <v>25</v>
      </c>
      <c r="BA1398" s="75">
        <v>140002</v>
      </c>
      <c r="BF1398" s="75">
        <v>0</v>
      </c>
      <c r="BI1398" s="75">
        <v>1</v>
      </c>
    </row>
    <row r="1399" spans="1:61" s="75" customFormat="1" ht="14.5">
      <c r="A1399" s="166">
        <v>2100106</v>
      </c>
      <c r="C1399" s="75">
        <v>2</v>
      </c>
      <c r="E1399" s="75" t="s">
        <v>4005</v>
      </c>
      <c r="F1399" s="75" t="s">
        <v>2633</v>
      </c>
      <c r="G1399" s="75" t="str">
        <f>VLOOKUP(F1399,'#对话模型配置'!A:O,12,FALSE)</f>
        <v>TID_DialogueConf_1060001_name_CN_Main</v>
      </c>
      <c r="H1399" s="75" t="str">
        <f>VLOOKUP(F1399,'#对话模型配置'!A:O,14,FALSE)</f>
        <v>icon_newbie</v>
      </c>
      <c r="I1399" s="75" t="str">
        <f>VLOOKUP(F1399,'#对话模型配置'!A:O,15,FALSE)</f>
        <v>newbie_oversea_axe</v>
      </c>
      <c r="J1399" s="75" t="s">
        <v>4548</v>
      </c>
      <c r="K1399" s="75" t="s">
        <v>2928</v>
      </c>
      <c r="U1399" s="75">
        <v>5</v>
      </c>
      <c r="V1399" s="75">
        <v>0</v>
      </c>
      <c r="Y1399" s="75" t="b">
        <v>0</v>
      </c>
      <c r="Z1399" s="75" t="s">
        <v>4549</v>
      </c>
      <c r="AA1399" s="75" t="b">
        <v>1</v>
      </c>
      <c r="AD1399" s="75">
        <v>1.49199998378754</v>
      </c>
      <c r="AE1399" s="75">
        <f t="shared" si="105"/>
        <v>1.49199998378754</v>
      </c>
      <c r="AF1399" s="75" t="s">
        <v>4550</v>
      </c>
      <c r="AG1399" s="75" t="s">
        <v>4551</v>
      </c>
      <c r="AH1399" s="75">
        <f t="shared" si="106"/>
        <v>2.9919999837875402</v>
      </c>
      <c r="AI1399" s="75">
        <v>2</v>
      </c>
      <c r="AL1399" s="178">
        <v>35</v>
      </c>
      <c r="BA1399" s="75">
        <v>140002</v>
      </c>
      <c r="BB1399" s="75">
        <v>102003005</v>
      </c>
      <c r="BC1399" s="75">
        <v>1.1000000000000001</v>
      </c>
      <c r="BF1399" s="75">
        <v>0</v>
      </c>
      <c r="BI1399" s="75">
        <v>1</v>
      </c>
    </row>
    <row r="1400" spans="1:61" s="75" customFormat="1" ht="14.5">
      <c r="A1400" s="166">
        <v>2100109</v>
      </c>
      <c r="C1400" s="75">
        <v>1</v>
      </c>
      <c r="E1400" s="75" t="s">
        <v>4016</v>
      </c>
      <c r="F1400" s="75" t="s">
        <v>2633</v>
      </c>
      <c r="G1400" s="75" t="str">
        <f>VLOOKUP(F1400,'#对话模型配置'!A:O,12,FALSE)</f>
        <v>TID_DialogueConf_1060001_name_CN_Main</v>
      </c>
      <c r="H1400" s="75" t="str">
        <f>VLOOKUP(F1400,'#对话模型配置'!A:O,14,FALSE)</f>
        <v>icon_newbie</v>
      </c>
      <c r="I1400" s="75" t="str">
        <f>VLOOKUP(F1400,'#对话模型配置'!A:O,15,FALSE)</f>
        <v>newbie_oversea_axe</v>
      </c>
      <c r="J1400" s="75" t="s">
        <v>4552</v>
      </c>
      <c r="K1400" s="75" t="s">
        <v>4553</v>
      </c>
      <c r="U1400" s="75">
        <v>5</v>
      </c>
      <c r="V1400" s="75">
        <v>0</v>
      </c>
      <c r="Y1400" s="75" t="b">
        <v>0</v>
      </c>
      <c r="Z1400" s="75" t="s">
        <v>4554</v>
      </c>
      <c r="AA1400" s="75" t="b">
        <v>1</v>
      </c>
      <c r="AD1400" s="75">
        <v>3.4177711009979199</v>
      </c>
      <c r="AE1400" s="75">
        <f t="shared" si="105"/>
        <v>3.4177711009979199</v>
      </c>
      <c r="AF1400" s="75" t="s">
        <v>4555</v>
      </c>
      <c r="AG1400" s="75" t="s">
        <v>4556</v>
      </c>
      <c r="AH1400" s="75">
        <v>0.1</v>
      </c>
      <c r="AI1400" s="75">
        <v>2</v>
      </c>
      <c r="AL1400" s="178">
        <v>35</v>
      </c>
      <c r="BF1400" s="75">
        <v>0</v>
      </c>
      <c r="BI1400" s="75">
        <v>1</v>
      </c>
    </row>
    <row r="1401" spans="1:61" s="75" customFormat="1" ht="14.5">
      <c r="A1401" s="166">
        <v>2100109</v>
      </c>
      <c r="C1401" s="75">
        <v>2</v>
      </c>
      <c r="E1401" s="75" t="s">
        <v>4016</v>
      </c>
      <c r="F1401" s="75" t="s">
        <v>4008</v>
      </c>
      <c r="G1401" s="75" t="str">
        <f>VLOOKUP(F1401,'#对话模型配置'!A:O,12,FALSE)</f>
        <v>TID_Dialogue_Character_11</v>
      </c>
      <c r="H1401" s="75" t="str">
        <f>VLOOKUP(F1401,'#对话模型配置'!A:O,14,FALSE)</f>
        <v>icon_newbie</v>
      </c>
      <c r="I1401" s="75" t="str">
        <f>VLOOKUP(F1401,'#对话模型配置'!A:O,15,FALSE)</f>
        <v>newbie_oversea_andrea</v>
      </c>
      <c r="J1401" s="75" t="s">
        <v>4557</v>
      </c>
      <c r="K1401" s="75" t="s">
        <v>4558</v>
      </c>
      <c r="U1401" s="75">
        <v>5</v>
      </c>
      <c r="V1401" s="75">
        <v>0</v>
      </c>
      <c r="Y1401" s="75" t="b">
        <v>0</v>
      </c>
      <c r="Z1401" s="75" t="s">
        <v>4559</v>
      </c>
      <c r="AA1401" s="75" t="b">
        <v>1</v>
      </c>
      <c r="AD1401" s="75">
        <v>3.9968960285186799</v>
      </c>
      <c r="AE1401" s="75">
        <f t="shared" si="105"/>
        <v>3.9968960285186799</v>
      </c>
      <c r="AF1401" s="75" t="s">
        <v>4560</v>
      </c>
      <c r="AG1401" s="75" t="s">
        <v>4560</v>
      </c>
      <c r="AH1401" s="75">
        <v>0.1</v>
      </c>
      <c r="AI1401" s="75">
        <v>2</v>
      </c>
      <c r="AL1401" s="178">
        <v>35</v>
      </c>
      <c r="BF1401" s="75">
        <v>0</v>
      </c>
      <c r="BI1401" s="75">
        <v>1</v>
      </c>
    </row>
    <row r="1402" spans="1:61" s="75" customFormat="1" ht="14.5">
      <c r="A1402" s="166">
        <v>2100111</v>
      </c>
      <c r="C1402" s="75">
        <v>1</v>
      </c>
      <c r="E1402" s="75" t="s">
        <v>4016</v>
      </c>
      <c r="F1402" s="75" t="s">
        <v>4008</v>
      </c>
      <c r="G1402" s="75" t="str">
        <f>VLOOKUP(F1402,'#对话模型配置'!A:O,12,FALSE)</f>
        <v>TID_Dialogue_Character_11</v>
      </c>
      <c r="H1402" s="75" t="str">
        <f>VLOOKUP(F1402,'#对话模型配置'!A:O,14,FALSE)</f>
        <v>icon_newbie</v>
      </c>
      <c r="I1402" s="75" t="str">
        <f>VLOOKUP(F1402,'#对话模型配置'!A:O,15,FALSE)</f>
        <v>newbie_oversea_andrea</v>
      </c>
      <c r="J1402" s="75" t="s">
        <v>4561</v>
      </c>
      <c r="K1402" s="75" t="s">
        <v>4562</v>
      </c>
      <c r="U1402" s="75">
        <v>5</v>
      </c>
      <c r="V1402" s="75">
        <v>0</v>
      </c>
      <c r="Y1402" s="75" t="b">
        <v>0</v>
      </c>
      <c r="Z1402" s="75" t="s">
        <v>4563</v>
      </c>
      <c r="AA1402" s="75" t="b">
        <v>1</v>
      </c>
      <c r="AD1402" s="75">
        <v>2.5534579753875701</v>
      </c>
      <c r="AE1402" s="75">
        <f t="shared" si="105"/>
        <v>2.5534579753875701</v>
      </c>
      <c r="AF1402" s="75" t="s">
        <v>4564</v>
      </c>
      <c r="AG1402" s="75" t="s">
        <v>4564</v>
      </c>
      <c r="AH1402" s="75">
        <v>0.1</v>
      </c>
      <c r="AI1402" s="75">
        <v>2</v>
      </c>
      <c r="AL1402" s="178">
        <v>35</v>
      </c>
      <c r="BF1402" s="75">
        <v>0</v>
      </c>
      <c r="BI1402" s="75">
        <v>1</v>
      </c>
    </row>
    <row r="1403" spans="1:61" s="75" customFormat="1" ht="14.5">
      <c r="A1403" s="166">
        <v>2100114</v>
      </c>
      <c r="C1403" s="75">
        <v>1</v>
      </c>
      <c r="E1403" s="75" t="s">
        <v>4016</v>
      </c>
      <c r="F1403" s="75" t="s">
        <v>2633</v>
      </c>
      <c r="G1403" s="75" t="str">
        <f>VLOOKUP(F1403,'#对话模型配置'!A:O,12,FALSE)</f>
        <v>TID_DialogueConf_1060001_name_CN_Main</v>
      </c>
      <c r="H1403" s="75" t="str">
        <f>VLOOKUP(F1403,'#对话模型配置'!A:O,14,FALSE)</f>
        <v>icon_newbie</v>
      </c>
      <c r="I1403" s="75" t="str">
        <f>VLOOKUP(F1403,'#对话模型配置'!A:O,15,FALSE)</f>
        <v>newbie_oversea_axe</v>
      </c>
      <c r="J1403" s="75" t="s">
        <v>4565</v>
      </c>
      <c r="K1403" s="75" t="s">
        <v>4566</v>
      </c>
      <c r="U1403" s="75">
        <v>5</v>
      </c>
      <c r="V1403" s="75">
        <v>0</v>
      </c>
      <c r="Y1403" s="75" t="b">
        <v>0</v>
      </c>
      <c r="Z1403" s="75" t="s">
        <v>4567</v>
      </c>
      <c r="AA1403" s="75" t="b">
        <v>1</v>
      </c>
      <c r="AD1403" s="75">
        <v>3.48691701889038</v>
      </c>
      <c r="AE1403" s="75">
        <f t="shared" si="105"/>
        <v>3.48691701889038</v>
      </c>
      <c r="AF1403" s="75" t="s">
        <v>4568</v>
      </c>
      <c r="AG1403" s="75" t="s">
        <v>4569</v>
      </c>
      <c r="AH1403" s="75">
        <v>0.1</v>
      </c>
      <c r="AI1403" s="75">
        <v>2</v>
      </c>
      <c r="AL1403" s="178">
        <v>35</v>
      </c>
      <c r="BF1403" s="75">
        <v>0</v>
      </c>
      <c r="BI1403" s="75">
        <v>1</v>
      </c>
    </row>
    <row r="1404" spans="1:61" s="75" customFormat="1" ht="14.5">
      <c r="A1404" s="166">
        <v>2100130</v>
      </c>
      <c r="C1404" s="75">
        <v>1</v>
      </c>
      <c r="E1404" s="75" t="s">
        <v>4016</v>
      </c>
      <c r="F1404" s="75" t="s">
        <v>4008</v>
      </c>
      <c r="G1404" s="75" t="str">
        <f>VLOOKUP(F1404,'[3]#对话模型配置'!A:O,12,FALSE)</f>
        <v>TID_Dialogue_Character_11</v>
      </c>
      <c r="H1404" s="75" t="str">
        <f>VLOOKUP(F1404,'#对话模型配置'!A:O,14,FALSE)</f>
        <v>icon_newbie</v>
      </c>
      <c r="I1404" s="75" t="str">
        <f>VLOOKUP(F1404,'[3]#对话模型配置'!A:O,15,FALSE)</f>
        <v>newbie_oversea_andrea</v>
      </c>
      <c r="J1404" s="75" t="s">
        <v>4570</v>
      </c>
      <c r="K1404" s="75" t="s">
        <v>4571</v>
      </c>
      <c r="U1404" s="75">
        <v>5</v>
      </c>
      <c r="V1404" s="75">
        <v>0</v>
      </c>
      <c r="Y1404" s="75" t="b">
        <v>0</v>
      </c>
      <c r="Z1404" s="75" t="s">
        <v>4572</v>
      </c>
      <c r="AA1404" s="75" t="b">
        <v>1</v>
      </c>
      <c r="AD1404" s="75">
        <v>5.2588539123535201</v>
      </c>
      <c r="AE1404" s="75">
        <f t="shared" si="105"/>
        <v>5.2588539123535201</v>
      </c>
      <c r="AF1404" s="75" t="s">
        <v>4573</v>
      </c>
      <c r="AG1404" s="75" t="s">
        <v>4573</v>
      </c>
      <c r="AH1404" s="75">
        <v>0.1</v>
      </c>
      <c r="AI1404" s="75">
        <v>2</v>
      </c>
      <c r="AL1404" s="178">
        <v>35</v>
      </c>
      <c r="BF1404" s="75">
        <v>0</v>
      </c>
      <c r="BI1404" s="75">
        <v>1</v>
      </c>
    </row>
    <row r="1405" spans="1:61" s="75" customFormat="1" ht="14.5">
      <c r="A1405" s="166">
        <v>2100130</v>
      </c>
      <c r="C1405" s="75">
        <v>2</v>
      </c>
      <c r="E1405" s="75" t="s">
        <v>4016</v>
      </c>
      <c r="F1405" s="75" t="s">
        <v>2633</v>
      </c>
      <c r="G1405" s="75" t="str">
        <f>VLOOKUP(F1405,'[3]#对话模型配置'!A:O,12,FALSE)</f>
        <v>TID_DialogueConf_1060001_name_CN_Main</v>
      </c>
      <c r="H1405" s="75" t="str">
        <f>VLOOKUP(F1405,'#对话模型配置'!A:O,14,FALSE)</f>
        <v>icon_newbie</v>
      </c>
      <c r="I1405" s="75" t="str">
        <f>VLOOKUP(F1405,'[3]#对话模型配置'!A:O,15,FALSE)</f>
        <v>newbie_oversea_axe</v>
      </c>
      <c r="J1405" s="75" t="s">
        <v>4574</v>
      </c>
      <c r="K1405" s="75" t="s">
        <v>4575</v>
      </c>
      <c r="U1405" s="75">
        <v>5</v>
      </c>
      <c r="V1405" s="75">
        <v>0</v>
      </c>
      <c r="Y1405" s="75" t="b">
        <v>0</v>
      </c>
      <c r="Z1405" s="75" t="s">
        <v>4576</v>
      </c>
      <c r="AA1405" s="75" t="b">
        <v>1</v>
      </c>
      <c r="AD1405" s="75">
        <v>7.3901247978210396</v>
      </c>
      <c r="AE1405" s="75">
        <f t="shared" si="105"/>
        <v>7.3901247978210396</v>
      </c>
      <c r="AF1405" s="75" t="s">
        <v>4577</v>
      </c>
      <c r="AG1405" s="75" t="s">
        <v>4578</v>
      </c>
      <c r="AH1405" s="75">
        <v>0.1</v>
      </c>
      <c r="AI1405" s="75">
        <v>2</v>
      </c>
      <c r="AL1405" s="178">
        <v>35</v>
      </c>
      <c r="BF1405" s="75">
        <v>0</v>
      </c>
      <c r="BI1405" s="75">
        <v>1</v>
      </c>
    </row>
    <row r="1406" spans="1:61" s="75" customFormat="1" ht="14.5">
      <c r="A1406" s="166">
        <v>2100130</v>
      </c>
      <c r="C1406" s="75">
        <v>3</v>
      </c>
      <c r="E1406" s="75" t="s">
        <v>4016</v>
      </c>
      <c r="F1406" s="75" t="s">
        <v>4008</v>
      </c>
      <c r="G1406" s="75" t="str">
        <f>VLOOKUP(F1406,'[3]#对话模型配置'!A:O,12,FALSE)</f>
        <v>TID_Dialogue_Character_11</v>
      </c>
      <c r="H1406" s="75" t="str">
        <f>VLOOKUP(F1406,'#对话模型配置'!A:O,14,FALSE)</f>
        <v>icon_newbie</v>
      </c>
      <c r="I1406" s="75" t="str">
        <f>VLOOKUP(F1406,'[3]#对话模型配置'!A:O,15,FALSE)</f>
        <v>newbie_oversea_andrea</v>
      </c>
      <c r="J1406" s="75" t="s">
        <v>4579</v>
      </c>
      <c r="K1406" s="75" t="s">
        <v>4580</v>
      </c>
      <c r="U1406" s="75">
        <v>5</v>
      </c>
      <c r="V1406" s="75">
        <v>0</v>
      </c>
      <c r="Y1406" s="75" t="b">
        <v>0</v>
      </c>
      <c r="Z1406" s="75" t="s">
        <v>4581</v>
      </c>
      <c r="AA1406" s="75" t="b">
        <v>1</v>
      </c>
      <c r="AD1406" s="75">
        <v>3.0248119831085201</v>
      </c>
      <c r="AE1406" s="75">
        <f t="shared" si="105"/>
        <v>3.0248119831085201</v>
      </c>
      <c r="AF1406" s="75" t="s">
        <v>4582</v>
      </c>
      <c r="AG1406" s="75" t="s">
        <v>4582</v>
      </c>
      <c r="AH1406" s="75">
        <v>0.1</v>
      </c>
      <c r="AI1406" s="75">
        <v>2</v>
      </c>
      <c r="AL1406" s="178">
        <v>35</v>
      </c>
      <c r="BF1406" s="75">
        <v>0</v>
      </c>
      <c r="BI1406" s="75">
        <v>1</v>
      </c>
    </row>
    <row r="1407" spans="1:61" s="75" customFormat="1" ht="14.5">
      <c r="A1407" s="166">
        <v>2100133</v>
      </c>
      <c r="C1407" s="75">
        <v>1</v>
      </c>
      <c r="E1407" s="75" t="s">
        <v>4016</v>
      </c>
      <c r="F1407" s="75" t="s">
        <v>4008</v>
      </c>
      <c r="G1407" s="75" t="str">
        <f>VLOOKUP(F1407,'#对话模型配置'!A:O,12,FALSE)</f>
        <v>TID_Dialogue_Character_11</v>
      </c>
      <c r="H1407" s="75" t="str">
        <f>VLOOKUP(F1407,'#对话模型配置'!A:O,14,FALSE)</f>
        <v>icon_newbie</v>
      </c>
      <c r="I1407" s="75" t="str">
        <f>VLOOKUP(F1407,'#对话模型配置'!A:O,15,FALSE)</f>
        <v>newbie_oversea_andrea</v>
      </c>
      <c r="J1407" s="75" t="s">
        <v>4583</v>
      </c>
      <c r="K1407" s="75" t="s">
        <v>3987</v>
      </c>
      <c r="U1407" s="75">
        <v>5</v>
      </c>
      <c r="V1407" s="75">
        <v>0</v>
      </c>
      <c r="Y1407" s="75" t="b">
        <v>0</v>
      </c>
      <c r="Z1407" s="75" t="s">
        <v>4584</v>
      </c>
      <c r="AA1407" s="75" t="b">
        <v>1</v>
      </c>
      <c r="AD1407" s="75">
        <v>6.1525001525878897</v>
      </c>
      <c r="AE1407" s="75">
        <f t="shared" si="105"/>
        <v>6.1525001525878897</v>
      </c>
      <c r="AF1407" s="75" t="s">
        <v>4585</v>
      </c>
      <c r="AG1407" s="75" t="s">
        <v>4585</v>
      </c>
      <c r="AH1407" s="75">
        <v>0.1</v>
      </c>
      <c r="AI1407" s="75">
        <v>2</v>
      </c>
      <c r="AL1407" s="178">
        <v>35</v>
      </c>
      <c r="BF1407" s="75">
        <v>0</v>
      </c>
      <c r="BI1407" s="75">
        <v>1</v>
      </c>
    </row>
    <row r="1408" spans="1:61" s="75" customFormat="1" ht="14.5">
      <c r="A1408" s="166">
        <v>2100145</v>
      </c>
      <c r="C1408" s="75">
        <v>1</v>
      </c>
      <c r="E1408" s="75" t="s">
        <v>4016</v>
      </c>
      <c r="F1408" s="75" t="s">
        <v>2633</v>
      </c>
      <c r="G1408" s="75" t="str">
        <f>VLOOKUP(F1408,'#对话模型配置'!A:O,12,FALSE)</f>
        <v>TID_DialogueConf_1060001_name_CN_Main</v>
      </c>
      <c r="H1408" s="75" t="str">
        <f>VLOOKUP(F1408,'#对话模型配置'!A:O,14,FALSE)</f>
        <v>icon_newbie</v>
      </c>
      <c r="I1408" s="75" t="str">
        <f>VLOOKUP(F1408,'#对话模型配置'!A:O,15,FALSE)</f>
        <v>newbie_oversea_axe</v>
      </c>
      <c r="J1408" s="75" t="s">
        <v>4586</v>
      </c>
      <c r="K1408" s="75" t="s">
        <v>4587</v>
      </c>
      <c r="U1408" s="75">
        <v>5</v>
      </c>
      <c r="V1408" s="75">
        <v>0</v>
      </c>
      <c r="Y1408" s="75" t="b">
        <v>0</v>
      </c>
      <c r="Z1408" s="75" t="s">
        <v>4588</v>
      </c>
      <c r="AA1408" s="75" t="b">
        <v>1</v>
      </c>
      <c r="AD1408" s="75">
        <v>6.5335631370544398</v>
      </c>
      <c r="AE1408" s="75">
        <f t="shared" ref="AE1408:AE1432" si="107">AD1408</f>
        <v>6.5335631370544398</v>
      </c>
      <c r="AF1408" s="75" t="s">
        <v>4589</v>
      </c>
      <c r="AG1408" s="75" t="s">
        <v>4590</v>
      </c>
      <c r="AH1408" s="75">
        <v>0.1</v>
      </c>
      <c r="AI1408" s="75">
        <v>2</v>
      </c>
      <c r="AL1408" s="178">
        <v>35</v>
      </c>
      <c r="BF1408" s="75">
        <v>0</v>
      </c>
      <c r="BI1408" s="75">
        <v>1</v>
      </c>
    </row>
    <row r="1409" spans="1:61" s="75" customFormat="1" ht="14.5">
      <c r="A1409" s="166">
        <v>2100145</v>
      </c>
      <c r="C1409" s="75">
        <v>2</v>
      </c>
      <c r="E1409" s="75" t="s">
        <v>4016</v>
      </c>
      <c r="F1409" s="75" t="s">
        <v>4008</v>
      </c>
      <c r="G1409" s="75" t="str">
        <f>VLOOKUP(F1409,'#对话模型配置'!A:O,12,FALSE)</f>
        <v>TID_Dialogue_Character_11</v>
      </c>
      <c r="H1409" s="75" t="str">
        <f>VLOOKUP(F1409,'#对话模型配置'!A:O,14,FALSE)</f>
        <v>icon_newbie</v>
      </c>
      <c r="I1409" s="75" t="str">
        <f>VLOOKUP(F1409,'#对话模型配置'!A:O,15,FALSE)</f>
        <v>newbie_oversea_andrea</v>
      </c>
      <c r="J1409" s="75" t="s">
        <v>4591</v>
      </c>
      <c r="K1409" s="75" t="s">
        <v>4592</v>
      </c>
      <c r="U1409" s="75">
        <v>5</v>
      </c>
      <c r="V1409" s="75">
        <v>0</v>
      </c>
      <c r="Y1409" s="75" t="b">
        <v>0</v>
      </c>
      <c r="Z1409" s="75" t="s">
        <v>4593</v>
      </c>
      <c r="AA1409" s="75" t="b">
        <v>1</v>
      </c>
      <c r="AD1409" s="75">
        <v>3.9536669254303001</v>
      </c>
      <c r="AE1409" s="75">
        <f t="shared" si="107"/>
        <v>3.9536669254303001</v>
      </c>
      <c r="AF1409" s="75" t="s">
        <v>4594</v>
      </c>
      <c r="AG1409" s="75" t="s">
        <v>4594</v>
      </c>
      <c r="AH1409" s="75">
        <v>0.1</v>
      </c>
      <c r="AI1409" s="75">
        <v>2</v>
      </c>
      <c r="AL1409" s="178">
        <v>35</v>
      </c>
      <c r="BF1409" s="75">
        <v>0</v>
      </c>
      <c r="BI1409" s="75">
        <v>1</v>
      </c>
    </row>
    <row r="1410" spans="1:61" s="75" customFormat="1" ht="14.5">
      <c r="A1410" s="166">
        <v>2100147</v>
      </c>
      <c r="C1410" s="75">
        <v>1</v>
      </c>
      <c r="E1410" s="75" t="s">
        <v>4016</v>
      </c>
      <c r="F1410" s="75" t="s">
        <v>2633</v>
      </c>
      <c r="G1410" s="75" t="str">
        <f>VLOOKUP(F1410,'#对话模型配置'!A:O,12,FALSE)</f>
        <v>TID_DialogueConf_1060001_name_CN_Main</v>
      </c>
      <c r="H1410" s="75" t="str">
        <f>VLOOKUP(F1410,'#对话模型配置'!A:O,14,FALSE)</f>
        <v>icon_newbie</v>
      </c>
      <c r="I1410" s="75" t="str">
        <f>VLOOKUP(F1410,'#对话模型配置'!A:O,15,FALSE)</f>
        <v>newbie_oversea_axe</v>
      </c>
      <c r="J1410" s="75" t="s">
        <v>4595</v>
      </c>
      <c r="K1410" s="75" t="s">
        <v>4596</v>
      </c>
      <c r="U1410" s="75">
        <v>5</v>
      </c>
      <c r="V1410" s="75">
        <v>0</v>
      </c>
      <c r="Y1410" s="75" t="b">
        <v>0</v>
      </c>
      <c r="Z1410" s="75" t="s">
        <v>4597</v>
      </c>
      <c r="AA1410" s="75" t="b">
        <v>1</v>
      </c>
      <c r="AD1410" s="75">
        <v>4.0266880989074698</v>
      </c>
      <c r="AE1410" s="75">
        <f t="shared" si="107"/>
        <v>4.0266880989074698</v>
      </c>
      <c r="AF1410" s="75" t="s">
        <v>4598</v>
      </c>
      <c r="AG1410" s="75" t="s">
        <v>4599</v>
      </c>
      <c r="AH1410" s="75">
        <v>0.1</v>
      </c>
      <c r="AI1410" s="75">
        <v>2</v>
      </c>
      <c r="AL1410" s="178">
        <v>35</v>
      </c>
      <c r="BF1410" s="75">
        <v>0</v>
      </c>
      <c r="BI1410" s="75">
        <v>1</v>
      </c>
    </row>
    <row r="1411" spans="1:61" s="75" customFormat="1" ht="14.5">
      <c r="A1411" s="166">
        <v>2100148</v>
      </c>
      <c r="C1411" s="75">
        <v>1</v>
      </c>
      <c r="E1411" s="75" t="s">
        <v>4016</v>
      </c>
      <c r="F1411" s="75" t="s">
        <v>2633</v>
      </c>
      <c r="G1411" s="75" t="str">
        <f>VLOOKUP(F1411,'[3]#对话模型配置'!A:O,12,FALSE)</f>
        <v>TID_DialogueConf_1060001_name_CN_Main</v>
      </c>
      <c r="H1411" s="75" t="str">
        <f>VLOOKUP(F1411,'#对话模型配置'!A:O,14,FALSE)</f>
        <v>icon_newbie</v>
      </c>
      <c r="I1411" s="75" t="str">
        <f>VLOOKUP(F1411,'[3]#对话模型配置'!A:O,15,FALSE)</f>
        <v>newbie_oversea_axe</v>
      </c>
      <c r="J1411" s="75" t="s">
        <v>4600</v>
      </c>
      <c r="K1411" s="75" t="s">
        <v>4601</v>
      </c>
      <c r="U1411" s="75">
        <v>5</v>
      </c>
      <c r="V1411" s="75">
        <v>0</v>
      </c>
      <c r="Y1411" s="75" t="b">
        <v>0</v>
      </c>
      <c r="Z1411" s="75" t="s">
        <v>4602</v>
      </c>
      <c r="AA1411" s="75" t="b">
        <v>1</v>
      </c>
      <c r="AD1411" s="75">
        <v>5.8133130073547399</v>
      </c>
      <c r="AE1411" s="75">
        <f t="shared" si="107"/>
        <v>5.8133130073547399</v>
      </c>
      <c r="AF1411" s="75" t="s">
        <v>4603</v>
      </c>
      <c r="AG1411" s="75" t="s">
        <v>4604</v>
      </c>
      <c r="AH1411" s="75">
        <v>0.1</v>
      </c>
      <c r="AI1411" s="75">
        <v>2</v>
      </c>
      <c r="AL1411" s="178">
        <v>35</v>
      </c>
      <c r="BF1411" s="75">
        <v>0</v>
      </c>
      <c r="BI1411" s="75">
        <v>1</v>
      </c>
    </row>
    <row r="1412" spans="1:61" s="75" customFormat="1" ht="14.5">
      <c r="A1412" s="166">
        <v>2100148</v>
      </c>
      <c r="C1412" s="75">
        <v>2</v>
      </c>
      <c r="E1412" s="75" t="s">
        <v>4016</v>
      </c>
      <c r="F1412" s="75" t="s">
        <v>2633</v>
      </c>
      <c r="G1412" s="75" t="str">
        <f>VLOOKUP(F1412,'[3]#对话模型配置'!A:O,12,FALSE)</f>
        <v>TID_DialogueConf_1060001_name_CN_Main</v>
      </c>
      <c r="H1412" s="75" t="str">
        <f>VLOOKUP(F1412,'#对话模型配置'!A:O,14,FALSE)</f>
        <v>icon_newbie</v>
      </c>
      <c r="I1412" s="75" t="str">
        <f>VLOOKUP(F1412,'[3]#对话模型配置'!A:O,15,FALSE)</f>
        <v>newbie_oversea_axe</v>
      </c>
      <c r="J1412" s="75" t="s">
        <v>4605</v>
      </c>
      <c r="K1412" s="75" t="s">
        <v>4606</v>
      </c>
      <c r="U1412" s="75">
        <v>5</v>
      </c>
      <c r="V1412" s="75">
        <v>0</v>
      </c>
      <c r="Y1412" s="75" t="b">
        <v>0</v>
      </c>
      <c r="Z1412" s="75" t="s">
        <v>4607</v>
      </c>
      <c r="AA1412" s="75" t="b">
        <v>1</v>
      </c>
      <c r="AD1412" s="75">
        <v>7.486083984375</v>
      </c>
      <c r="AE1412" s="75">
        <f t="shared" si="107"/>
        <v>7.486083984375</v>
      </c>
      <c r="AF1412" s="75" t="s">
        <v>4608</v>
      </c>
      <c r="AG1412" s="75" t="s">
        <v>4609</v>
      </c>
      <c r="AH1412" s="75">
        <v>0.1</v>
      </c>
      <c r="AI1412" s="75">
        <v>2</v>
      </c>
      <c r="AL1412" s="178">
        <v>35</v>
      </c>
      <c r="BF1412" s="75">
        <v>0</v>
      </c>
      <c r="BI1412" s="75">
        <v>1</v>
      </c>
    </row>
    <row r="1413" spans="1:61" s="75" customFormat="1" ht="14.5">
      <c r="A1413" s="166">
        <v>2100150</v>
      </c>
      <c r="C1413" s="75">
        <v>1</v>
      </c>
      <c r="E1413" s="75" t="s">
        <v>4016</v>
      </c>
      <c r="F1413" s="75" t="s">
        <v>2633</v>
      </c>
      <c r="G1413" s="75" t="str">
        <f>VLOOKUP(F1413,'[3]#对话模型配置'!A:O,12,FALSE)</f>
        <v>TID_DialogueConf_1060001_name_CN_Main</v>
      </c>
      <c r="H1413" s="75" t="str">
        <f>VLOOKUP(F1413,'#对话模型配置'!A:O,14,FALSE)</f>
        <v>icon_newbie</v>
      </c>
      <c r="I1413" s="75" t="str">
        <f>VLOOKUP(F1413,'[3]#对话模型配置'!A:O,15,FALSE)</f>
        <v>newbie_oversea_axe</v>
      </c>
      <c r="J1413" s="75" t="s">
        <v>4610</v>
      </c>
      <c r="K1413" s="75" t="s">
        <v>4611</v>
      </c>
      <c r="U1413" s="75">
        <v>5</v>
      </c>
      <c r="V1413" s="75">
        <v>0</v>
      </c>
      <c r="Y1413" s="75" t="b">
        <v>0</v>
      </c>
      <c r="Z1413" s="75" t="s">
        <v>4612</v>
      </c>
      <c r="AA1413" s="75" t="b">
        <v>1</v>
      </c>
      <c r="AD1413" s="75">
        <v>7.7485208511352504</v>
      </c>
      <c r="AE1413" s="75">
        <f t="shared" si="107"/>
        <v>7.7485208511352504</v>
      </c>
      <c r="AF1413" s="75" t="s">
        <v>4322</v>
      </c>
      <c r="AG1413" s="75" t="s">
        <v>4613</v>
      </c>
      <c r="AH1413" s="75">
        <f>AE1413+1</f>
        <v>8.7485208511352504</v>
      </c>
      <c r="AI1413" s="75">
        <v>2</v>
      </c>
      <c r="AL1413" s="178">
        <v>35</v>
      </c>
      <c r="BF1413" s="75">
        <v>0</v>
      </c>
      <c r="BI1413" s="75">
        <v>1</v>
      </c>
    </row>
    <row r="1414" spans="1:61" s="75" customFormat="1" ht="14.5">
      <c r="A1414" s="166">
        <v>2100150</v>
      </c>
      <c r="C1414" s="75">
        <v>2</v>
      </c>
      <c r="E1414" s="75" t="s">
        <v>4016</v>
      </c>
      <c r="F1414" s="75" t="s">
        <v>2633</v>
      </c>
      <c r="G1414" s="75" t="str">
        <f>VLOOKUP(F1414,'[3]#对话模型配置'!A:O,12,FALSE)</f>
        <v>TID_DialogueConf_1060001_name_CN_Main</v>
      </c>
      <c r="H1414" s="75" t="str">
        <f>VLOOKUP(F1414,'#对话模型配置'!A:O,14,FALSE)</f>
        <v>icon_newbie</v>
      </c>
      <c r="I1414" s="75" t="str">
        <f>VLOOKUP(F1414,'[3]#对话模型配置'!A:O,15,FALSE)</f>
        <v>newbie_oversea_axe</v>
      </c>
      <c r="J1414" s="75" t="s">
        <v>4614</v>
      </c>
      <c r="K1414" s="75" t="s">
        <v>4615</v>
      </c>
      <c r="U1414" s="75">
        <v>5</v>
      </c>
      <c r="V1414" s="75">
        <v>0</v>
      </c>
      <c r="Y1414" s="75" t="b">
        <v>0</v>
      </c>
      <c r="Z1414" s="75" t="s">
        <v>4616</v>
      </c>
      <c r="AA1414" s="75" t="b">
        <v>1</v>
      </c>
      <c r="AD1414" s="75">
        <v>9.5699787139892596</v>
      </c>
      <c r="AE1414" s="75">
        <f t="shared" si="107"/>
        <v>9.5699787139892596</v>
      </c>
      <c r="AF1414" s="75" t="s">
        <v>4322</v>
      </c>
      <c r="AG1414" s="75" t="s">
        <v>4613</v>
      </c>
      <c r="AH1414" s="75">
        <f>AE1414+1</f>
        <v>10.56997871398926</v>
      </c>
      <c r="AI1414" s="75">
        <v>2</v>
      </c>
      <c r="AL1414" s="178">
        <v>35</v>
      </c>
      <c r="BF1414" s="75">
        <v>0</v>
      </c>
      <c r="BI1414" s="75">
        <v>1</v>
      </c>
    </row>
    <row r="1415" spans="1:61" s="75" customFormat="1" ht="14.5">
      <c r="A1415" s="166">
        <v>2100150</v>
      </c>
      <c r="C1415" s="75">
        <v>3</v>
      </c>
      <c r="E1415" s="75" t="s">
        <v>4016</v>
      </c>
      <c r="F1415" s="75" t="s">
        <v>2633</v>
      </c>
      <c r="G1415" s="75" t="str">
        <f>VLOOKUP(F1415,'[3]#对话模型配置'!A:O,12,FALSE)</f>
        <v>TID_DialogueConf_1060001_name_CN_Main</v>
      </c>
      <c r="H1415" s="75" t="str">
        <f>VLOOKUP(F1415,'#对话模型配置'!A:O,14,FALSE)</f>
        <v>icon_newbie</v>
      </c>
      <c r="I1415" s="75" t="str">
        <f>VLOOKUP(F1415,'[3]#对话模型配置'!A:O,15,FALSE)</f>
        <v>newbie_oversea_axe</v>
      </c>
      <c r="J1415" s="75" t="s">
        <v>4617</v>
      </c>
      <c r="K1415" s="75" t="s">
        <v>4618</v>
      </c>
      <c r="U1415" s="75">
        <v>5</v>
      </c>
      <c r="V1415" s="75">
        <v>0</v>
      </c>
      <c r="Y1415" s="75" t="b">
        <v>0</v>
      </c>
      <c r="Z1415" s="75" t="s">
        <v>4619</v>
      </c>
      <c r="AA1415" s="75" t="b">
        <v>1</v>
      </c>
      <c r="AD1415" s="75">
        <v>9.5004167556762695</v>
      </c>
      <c r="AE1415" s="75">
        <f t="shared" si="107"/>
        <v>9.5004167556762695</v>
      </c>
      <c r="AF1415" s="75" t="s">
        <v>4322</v>
      </c>
      <c r="AG1415" s="75" t="s">
        <v>4613</v>
      </c>
      <c r="AH1415" s="75">
        <f>AE1415+1</f>
        <v>10.50041675567627</v>
      </c>
      <c r="AI1415" s="75">
        <v>2</v>
      </c>
      <c r="AL1415" s="178">
        <v>35</v>
      </c>
      <c r="BF1415" s="75">
        <v>0</v>
      </c>
      <c r="BI1415" s="75">
        <v>1</v>
      </c>
    </row>
    <row r="1416" spans="1:61" s="75" customFormat="1" ht="14.5">
      <c r="A1416" s="166">
        <v>2100150</v>
      </c>
      <c r="C1416" s="75">
        <v>4</v>
      </c>
      <c r="E1416" s="75" t="s">
        <v>4016</v>
      </c>
      <c r="F1416" s="75" t="s">
        <v>4008</v>
      </c>
      <c r="G1416" s="75" t="str">
        <f>VLOOKUP(F1416,'[3]#对话模型配置'!A:O,12,FALSE)</f>
        <v>TID_Dialogue_Character_11</v>
      </c>
      <c r="H1416" s="75" t="str">
        <f>VLOOKUP(F1416,'#对话模型配置'!A:O,14,FALSE)</f>
        <v>icon_newbie</v>
      </c>
      <c r="I1416" s="75" t="str">
        <f>VLOOKUP(F1416,'[3]#对话模型配置'!A:O,15,FALSE)</f>
        <v>newbie_oversea_andrea</v>
      </c>
      <c r="J1416" s="75" t="s">
        <v>4620</v>
      </c>
      <c r="K1416" s="75" t="s">
        <v>4621</v>
      </c>
      <c r="U1416" s="75">
        <v>5</v>
      </c>
      <c r="V1416" s="75">
        <v>0</v>
      </c>
      <c r="Y1416" s="75" t="b">
        <v>0</v>
      </c>
      <c r="Z1416" s="75" t="s">
        <v>4622</v>
      </c>
      <c r="AA1416" s="75" t="b">
        <v>1</v>
      </c>
      <c r="AD1416" s="75">
        <v>6.62577104568481</v>
      </c>
      <c r="AE1416" s="75">
        <f t="shared" si="107"/>
        <v>6.62577104568481</v>
      </c>
      <c r="AF1416" s="75" t="s">
        <v>4322</v>
      </c>
      <c r="AG1416" s="75" t="s">
        <v>4322</v>
      </c>
      <c r="AH1416" s="75">
        <f>AE1416+1</f>
        <v>7.62577104568481</v>
      </c>
      <c r="AI1416" s="75">
        <v>2</v>
      </c>
      <c r="AL1416" s="178">
        <v>35</v>
      </c>
      <c r="BF1416" s="75">
        <v>0</v>
      </c>
      <c r="BI1416" s="75">
        <v>1</v>
      </c>
    </row>
    <row r="1417" spans="1:61" s="75" customFormat="1" ht="14.5">
      <c r="A1417" s="166">
        <v>2100150</v>
      </c>
      <c r="C1417" s="75">
        <v>5</v>
      </c>
      <c r="E1417" s="75" t="s">
        <v>4016</v>
      </c>
      <c r="F1417" s="75" t="s">
        <v>2633</v>
      </c>
      <c r="G1417" s="75" t="str">
        <f>VLOOKUP(F1417,'[3]#对话模型配置'!A:O,12,FALSE)</f>
        <v>TID_DialogueConf_1060001_name_CN_Main</v>
      </c>
      <c r="H1417" s="75" t="str">
        <f>VLOOKUP(F1417,'#对话模型配置'!A:O,14,FALSE)</f>
        <v>icon_newbie</v>
      </c>
      <c r="I1417" s="75" t="str">
        <f>VLOOKUP(F1417,'[3]#对话模型配置'!A:O,15,FALSE)</f>
        <v>newbie_oversea_axe</v>
      </c>
      <c r="J1417" s="75" t="s">
        <v>4623</v>
      </c>
      <c r="K1417" s="75" t="s">
        <v>4624</v>
      </c>
      <c r="U1417" s="75">
        <v>5</v>
      </c>
      <c r="V1417" s="75">
        <v>0</v>
      </c>
      <c r="Y1417" s="75" t="b">
        <v>0</v>
      </c>
      <c r="Z1417" s="75" t="s">
        <v>4625</v>
      </c>
      <c r="AA1417" s="75" t="b">
        <v>1</v>
      </c>
      <c r="AD1417" s="75">
        <v>8.0601253509521502</v>
      </c>
      <c r="AE1417" s="75">
        <f t="shared" si="107"/>
        <v>8.0601253509521502</v>
      </c>
      <c r="AF1417" s="75" t="s">
        <v>4322</v>
      </c>
      <c r="AG1417" s="75" t="s">
        <v>4613</v>
      </c>
      <c r="AH1417" s="75">
        <f>AE1417+1</f>
        <v>9.0601253509521502</v>
      </c>
      <c r="AI1417" s="75">
        <v>2</v>
      </c>
      <c r="AL1417" s="178">
        <v>35</v>
      </c>
      <c r="BF1417" s="75">
        <v>0</v>
      </c>
      <c r="BI1417" s="75">
        <v>1</v>
      </c>
    </row>
    <row r="1418" spans="1:61" s="75" customFormat="1" ht="14.5">
      <c r="A1418" s="166">
        <v>2100214</v>
      </c>
      <c r="C1418" s="75">
        <v>1</v>
      </c>
      <c r="E1418" s="75" t="s">
        <v>4101</v>
      </c>
      <c r="F1418" s="75" t="s">
        <v>4008</v>
      </c>
      <c r="G1418" s="75" t="str">
        <f>VLOOKUP(F1418,'[3]#对话模型配置'!A:O,12,FALSE)</f>
        <v>TID_Dialogue_Character_11</v>
      </c>
      <c r="H1418" s="75" t="s">
        <v>3889</v>
      </c>
      <c r="I1418" s="75" t="str">
        <f>VLOOKUP(F1418,'[3]#对话模型配置'!A:O,15,FALSE)</f>
        <v>newbie_oversea_andrea</v>
      </c>
      <c r="J1418" s="75" t="s">
        <v>4626</v>
      </c>
      <c r="K1418" s="75" t="s">
        <v>4627</v>
      </c>
      <c r="U1418" s="75">
        <v>5</v>
      </c>
      <c r="V1418" s="75">
        <v>0</v>
      </c>
      <c r="Y1418" s="75" t="b">
        <v>0</v>
      </c>
      <c r="Z1418" s="75" t="s">
        <v>4628</v>
      </c>
      <c r="AA1418" s="75" t="b">
        <v>1</v>
      </c>
      <c r="AD1418" s="75">
        <v>6.94175004959106</v>
      </c>
      <c r="AE1418" s="75">
        <f t="shared" ref="AE1418:AE1423" si="108">AD1418</f>
        <v>6.94175004959106</v>
      </c>
      <c r="AF1418" s="75" t="s">
        <v>4629</v>
      </c>
      <c r="AG1418" s="75" t="s">
        <v>4629</v>
      </c>
      <c r="AH1418" s="75">
        <v>0.1</v>
      </c>
      <c r="AI1418" s="75">
        <v>2</v>
      </c>
      <c r="AL1418" s="178">
        <v>35</v>
      </c>
      <c r="BF1418" s="75">
        <v>0</v>
      </c>
      <c r="BI1418" s="75">
        <v>1</v>
      </c>
    </row>
    <row r="1419" spans="1:61" s="75" customFormat="1" ht="14.5">
      <c r="A1419" s="166">
        <v>2100214</v>
      </c>
      <c r="C1419" s="75">
        <v>2</v>
      </c>
      <c r="E1419" s="75" t="s">
        <v>4101</v>
      </c>
      <c r="F1419" s="75" t="s">
        <v>2633</v>
      </c>
      <c r="G1419" s="75" t="str">
        <f>VLOOKUP(F1419,'[3]#对话模型配置'!A:O,12,FALSE)</f>
        <v>TID_DialogueConf_1060001_name_CN_Main</v>
      </c>
      <c r="H1419" s="75" t="s">
        <v>3889</v>
      </c>
      <c r="I1419" s="75" t="str">
        <f>VLOOKUP(F1419,'[3]#对话模型配置'!A:O,15,FALSE)</f>
        <v>newbie_oversea_axe</v>
      </c>
      <c r="J1419" s="75" t="s">
        <v>4630</v>
      </c>
      <c r="K1419" s="75" t="s">
        <v>4631</v>
      </c>
      <c r="U1419" s="75">
        <v>5</v>
      </c>
      <c r="V1419" s="75">
        <v>0</v>
      </c>
      <c r="Y1419" s="75" t="b">
        <v>0</v>
      </c>
      <c r="Z1419" s="75" t="s">
        <v>4632</v>
      </c>
      <c r="AA1419" s="75" t="b">
        <v>1</v>
      </c>
      <c r="AD1419" s="75">
        <v>9.0231876373290998</v>
      </c>
      <c r="AE1419" s="75">
        <f t="shared" si="108"/>
        <v>9.0231876373290998</v>
      </c>
      <c r="AF1419" s="75" t="s">
        <v>4633</v>
      </c>
      <c r="AG1419" s="75" t="s">
        <v>4633</v>
      </c>
      <c r="AH1419" s="75">
        <v>0.1</v>
      </c>
      <c r="AI1419" s="75">
        <v>2</v>
      </c>
      <c r="AL1419" s="178">
        <v>35</v>
      </c>
      <c r="BF1419" s="75">
        <v>0</v>
      </c>
      <c r="BI1419" s="75">
        <v>1</v>
      </c>
    </row>
    <row r="1420" spans="1:61" s="75" customFormat="1" ht="14.5">
      <c r="A1420" s="166">
        <v>2100214</v>
      </c>
      <c r="C1420" s="75">
        <v>3</v>
      </c>
      <c r="E1420" s="75" t="s">
        <v>4101</v>
      </c>
      <c r="F1420" s="75" t="s">
        <v>2633</v>
      </c>
      <c r="G1420" s="75" t="str">
        <f>VLOOKUP(F1420,'[3]#对话模型配置'!A:O,12,FALSE)</f>
        <v>TID_DialogueConf_1060001_name_CN_Main</v>
      </c>
      <c r="H1420" s="75" t="s">
        <v>3889</v>
      </c>
      <c r="I1420" s="75" t="str">
        <f>VLOOKUP(F1420,'[3]#对话模型配置'!A:O,15,FALSE)</f>
        <v>newbie_oversea_axe</v>
      </c>
      <c r="J1420" s="75" t="s">
        <v>4634</v>
      </c>
      <c r="K1420" s="75" t="s">
        <v>4635</v>
      </c>
      <c r="U1420" s="75">
        <v>5</v>
      </c>
      <c r="V1420" s="75">
        <v>0</v>
      </c>
      <c r="Y1420" s="75" t="b">
        <v>0</v>
      </c>
      <c r="Z1420" s="75" t="s">
        <v>4636</v>
      </c>
      <c r="AA1420" s="75" t="b">
        <v>1</v>
      </c>
      <c r="AD1420" s="75">
        <v>5.7390828132629403</v>
      </c>
      <c r="AE1420" s="75">
        <f t="shared" si="108"/>
        <v>5.7390828132629403</v>
      </c>
      <c r="AF1420" s="75" t="s">
        <v>4637</v>
      </c>
      <c r="AG1420" s="75" t="s">
        <v>4637</v>
      </c>
      <c r="AH1420" s="75">
        <v>0.1</v>
      </c>
      <c r="AI1420" s="75">
        <v>2</v>
      </c>
      <c r="AL1420" s="178">
        <v>35</v>
      </c>
      <c r="BF1420" s="75">
        <v>0</v>
      </c>
      <c r="BI1420" s="75">
        <v>1</v>
      </c>
    </row>
    <row r="1421" spans="1:61" s="75" customFormat="1" ht="14.5">
      <c r="A1421" s="166">
        <v>2100161</v>
      </c>
      <c r="C1421" s="75">
        <v>1</v>
      </c>
      <c r="E1421" s="75" t="s">
        <v>4101</v>
      </c>
      <c r="F1421" s="75" t="s">
        <v>2633</v>
      </c>
      <c r="G1421" s="75" t="str">
        <f>VLOOKUP(F1421,'[3]#对话模型配置'!A:O,12,FALSE)</f>
        <v>TID_DialogueConf_1060001_name_CN_Main</v>
      </c>
      <c r="H1421" s="75" t="str">
        <f>VLOOKUP(F1421,'#对话模型配置'!A:O,14,FALSE)</f>
        <v>icon_newbie</v>
      </c>
      <c r="I1421" s="75" t="str">
        <f>VLOOKUP(F1421,'[3]#对话模型配置'!A:O,15,FALSE)</f>
        <v>newbie_oversea_axe</v>
      </c>
      <c r="J1421" s="75" t="s">
        <v>4638</v>
      </c>
      <c r="K1421" s="75" t="s">
        <v>4639</v>
      </c>
      <c r="U1421" s="75">
        <v>5</v>
      </c>
      <c r="V1421" s="75">
        <v>0</v>
      </c>
      <c r="Y1421" s="75" t="b">
        <v>0</v>
      </c>
      <c r="Z1421" s="75" t="s">
        <v>4640</v>
      </c>
      <c r="AA1421" s="75" t="b">
        <v>1</v>
      </c>
      <c r="AD1421" s="75">
        <v>4.1145000457763699</v>
      </c>
      <c r="AE1421" s="75">
        <f t="shared" si="108"/>
        <v>4.1145000457763699</v>
      </c>
      <c r="AF1421" s="75" t="s">
        <v>4641</v>
      </c>
      <c r="AH1421" s="75">
        <v>0.1</v>
      </c>
      <c r="AI1421" s="75">
        <v>2</v>
      </c>
      <c r="AL1421" s="178">
        <v>35</v>
      </c>
      <c r="BF1421" s="75">
        <v>0</v>
      </c>
      <c r="BI1421" s="75">
        <v>1</v>
      </c>
    </row>
    <row r="1422" spans="1:61" s="75" customFormat="1" ht="14.5">
      <c r="A1422" s="166">
        <v>2100215</v>
      </c>
      <c r="C1422" s="75">
        <v>1</v>
      </c>
      <c r="E1422" s="75" t="s">
        <v>4101</v>
      </c>
      <c r="F1422" s="75" t="s">
        <v>4008</v>
      </c>
      <c r="G1422" s="75" t="str">
        <f>VLOOKUP(F1422,'[3]#对话模型配置'!A:O,12,FALSE)</f>
        <v>TID_Dialogue_Character_11</v>
      </c>
      <c r="H1422" s="75" t="s">
        <v>3889</v>
      </c>
      <c r="I1422" s="75" t="str">
        <f>VLOOKUP(F1422,'[3]#对话模型配置'!A:O,15,FALSE)</f>
        <v>newbie_oversea_andrea</v>
      </c>
      <c r="J1422" s="75" t="s">
        <v>4642</v>
      </c>
      <c r="K1422" s="75" t="s">
        <v>4643</v>
      </c>
      <c r="U1422" s="75">
        <v>5</v>
      </c>
      <c r="V1422" s="75">
        <v>0</v>
      </c>
      <c r="Y1422" s="75" t="b">
        <v>0</v>
      </c>
      <c r="Z1422" s="75" t="s">
        <v>4644</v>
      </c>
      <c r="AA1422" s="75" t="b">
        <v>1</v>
      </c>
      <c r="AD1422" s="75">
        <v>7.7606458663940403</v>
      </c>
      <c r="AE1422" s="75">
        <f t="shared" si="108"/>
        <v>7.7606458663940403</v>
      </c>
      <c r="AF1422" s="75" t="s">
        <v>4645</v>
      </c>
      <c r="AG1422" s="75" t="s">
        <v>4645</v>
      </c>
      <c r="AH1422" s="75">
        <v>0.1</v>
      </c>
      <c r="AI1422" s="75">
        <v>2</v>
      </c>
      <c r="AL1422" s="178">
        <v>35</v>
      </c>
      <c r="BF1422" s="75">
        <v>0</v>
      </c>
      <c r="BI1422" s="75">
        <v>1</v>
      </c>
    </row>
    <row r="1423" spans="1:61" s="75" customFormat="1" ht="14.5">
      <c r="A1423" s="166">
        <v>2100215</v>
      </c>
      <c r="C1423" s="75">
        <v>2</v>
      </c>
      <c r="E1423" s="75" t="s">
        <v>4101</v>
      </c>
      <c r="F1423" s="75" t="s">
        <v>2633</v>
      </c>
      <c r="G1423" s="75" t="str">
        <f>VLOOKUP(F1423,'[3]#对话模型配置'!A:O,12,FALSE)</f>
        <v>TID_DialogueConf_1060001_name_CN_Main</v>
      </c>
      <c r="H1423" s="75" t="s">
        <v>3889</v>
      </c>
      <c r="I1423" s="75" t="str">
        <f>VLOOKUP(F1423,'[3]#对话模型配置'!A:O,15,FALSE)</f>
        <v>newbie_oversea_axe</v>
      </c>
      <c r="J1423" s="75" t="s">
        <v>4646</v>
      </c>
      <c r="K1423" s="75" t="s">
        <v>4647</v>
      </c>
      <c r="U1423" s="75">
        <v>5</v>
      </c>
      <c r="V1423" s="75">
        <v>0</v>
      </c>
      <c r="Y1423" s="75" t="b">
        <v>0</v>
      </c>
      <c r="Z1423" s="75" t="s">
        <v>4648</v>
      </c>
      <c r="AA1423" s="75" t="b">
        <v>1</v>
      </c>
      <c r="AD1423" s="75">
        <v>6.0340209007263201</v>
      </c>
      <c r="AE1423" s="75">
        <f t="shared" si="108"/>
        <v>6.0340209007263201</v>
      </c>
      <c r="AF1423" s="75" t="s">
        <v>4649</v>
      </c>
      <c r="AG1423" s="75" t="s">
        <v>4649</v>
      </c>
      <c r="AH1423" s="75">
        <v>0.1</v>
      </c>
      <c r="AI1423" s="75">
        <v>2</v>
      </c>
      <c r="AL1423" s="178">
        <v>35</v>
      </c>
      <c r="BF1423" s="75">
        <v>0</v>
      </c>
      <c r="BI1423" s="75">
        <v>1</v>
      </c>
    </row>
    <row r="1424" spans="1:61" s="75" customFormat="1" ht="14.5">
      <c r="A1424" s="166">
        <v>2100162</v>
      </c>
      <c r="C1424" s="75">
        <v>1</v>
      </c>
      <c r="E1424" s="75" t="s">
        <v>4101</v>
      </c>
      <c r="F1424" s="75" t="s">
        <v>2633</v>
      </c>
      <c r="G1424" s="75" t="str">
        <f>VLOOKUP(F1424,'[3]#对话模型配置'!A:O,12,FALSE)</f>
        <v>TID_DialogueConf_1060001_name_CN_Main</v>
      </c>
      <c r="H1424" s="75" t="str">
        <f>VLOOKUP(F1424,'#对话模型配置'!A:O,14,FALSE)</f>
        <v>icon_newbie</v>
      </c>
      <c r="I1424" s="75" t="str">
        <f>VLOOKUP(F1424,'[3]#对话模型配置'!A:O,15,FALSE)</f>
        <v>newbie_oversea_axe</v>
      </c>
      <c r="J1424" s="75" t="s">
        <v>4650</v>
      </c>
      <c r="K1424" s="75" t="s">
        <v>4651</v>
      </c>
      <c r="U1424" s="75">
        <v>5</v>
      </c>
      <c r="V1424" s="75">
        <v>0</v>
      </c>
      <c r="Y1424" s="75" t="b">
        <v>0</v>
      </c>
      <c r="Z1424" s="75" t="s">
        <v>4652</v>
      </c>
      <c r="AA1424" s="75" t="b">
        <v>1</v>
      </c>
      <c r="AD1424" s="75">
        <v>3.1663539409637398</v>
      </c>
      <c r="AE1424" s="75">
        <f t="shared" si="107"/>
        <v>3.1663539409637398</v>
      </c>
      <c r="AF1424" s="75" t="s">
        <v>4653</v>
      </c>
      <c r="AG1424" s="75" t="s">
        <v>4653</v>
      </c>
      <c r="AH1424" s="75">
        <v>0.1</v>
      </c>
      <c r="AI1424" s="75">
        <v>2</v>
      </c>
      <c r="AL1424" s="178">
        <v>35</v>
      </c>
      <c r="BF1424" s="75">
        <v>0</v>
      </c>
      <c r="BI1424" s="75">
        <v>1</v>
      </c>
    </row>
    <row r="1425" spans="1:61" s="75" customFormat="1" ht="14.5">
      <c r="A1425" s="166">
        <v>2100163</v>
      </c>
      <c r="C1425" s="75">
        <v>1</v>
      </c>
      <c r="E1425" s="75" t="s">
        <v>4101</v>
      </c>
      <c r="F1425" s="75" t="s">
        <v>2633</v>
      </c>
      <c r="G1425" s="75" t="str">
        <f>VLOOKUP(F1425,'[3]#对话模型配置'!A:O,12,FALSE)</f>
        <v>TID_DialogueConf_1060001_name_CN_Main</v>
      </c>
      <c r="H1425" s="75" t="str">
        <f>VLOOKUP(F1425,'#对话模型配置'!A:O,14,FALSE)</f>
        <v>icon_newbie</v>
      </c>
      <c r="I1425" s="75" t="str">
        <f>VLOOKUP(F1425,'[3]#对话模型配置'!A:O,15,FALSE)</f>
        <v>newbie_oversea_axe</v>
      </c>
      <c r="J1425" s="75" t="s">
        <v>4654</v>
      </c>
      <c r="K1425" s="75" t="s">
        <v>4655</v>
      </c>
      <c r="U1425" s="75">
        <v>5</v>
      </c>
      <c r="V1425" s="75">
        <v>0</v>
      </c>
      <c r="Y1425" s="75" t="b">
        <v>0</v>
      </c>
      <c r="Z1425" s="75" t="s">
        <v>4656</v>
      </c>
      <c r="AA1425" s="75" t="b">
        <v>1</v>
      </c>
      <c r="AD1425" s="75">
        <v>3.8049790859222399</v>
      </c>
      <c r="AE1425" s="75">
        <f t="shared" si="107"/>
        <v>3.8049790859222399</v>
      </c>
      <c r="AF1425" s="75" t="s">
        <v>4657</v>
      </c>
      <c r="AG1425" s="75" t="s">
        <v>4657</v>
      </c>
      <c r="AH1425" s="75">
        <v>0.1</v>
      </c>
      <c r="AI1425" s="75">
        <v>2</v>
      </c>
      <c r="AL1425" s="178">
        <v>35</v>
      </c>
      <c r="BF1425" s="75">
        <v>0</v>
      </c>
      <c r="BI1425" s="75">
        <v>1</v>
      </c>
    </row>
    <row r="1426" spans="1:61" s="75" customFormat="1" ht="14.5">
      <c r="A1426" s="166">
        <v>2100164</v>
      </c>
      <c r="C1426" s="75">
        <v>1</v>
      </c>
      <c r="E1426" s="75" t="s">
        <v>4101</v>
      </c>
      <c r="F1426" s="75" t="s">
        <v>2633</v>
      </c>
      <c r="G1426" s="75" t="str">
        <f>VLOOKUP(F1426,'[3]#对话模型配置'!A:O,12,FALSE)</f>
        <v>TID_DialogueConf_1060001_name_CN_Main</v>
      </c>
      <c r="H1426" s="75" t="str">
        <f>VLOOKUP(F1426,'#对话模型配置'!A:O,14,FALSE)</f>
        <v>icon_newbie</v>
      </c>
      <c r="I1426" s="75" t="str">
        <f>VLOOKUP(F1426,'[3]#对话模型配置'!A:O,15,FALSE)</f>
        <v>newbie_oversea_axe</v>
      </c>
      <c r="J1426" s="75" t="s">
        <v>4658</v>
      </c>
      <c r="K1426" s="75" t="s">
        <v>4659</v>
      </c>
      <c r="U1426" s="75">
        <v>5</v>
      </c>
      <c r="V1426" s="75">
        <v>0</v>
      </c>
      <c r="Y1426" s="75" t="b">
        <v>0</v>
      </c>
      <c r="Z1426" s="75" t="s">
        <v>4660</v>
      </c>
      <c r="AA1426" s="75" t="b">
        <v>1</v>
      </c>
      <c r="AD1426" s="75">
        <v>6.1892499923706099</v>
      </c>
      <c r="AE1426" s="75">
        <f t="shared" si="107"/>
        <v>6.1892499923706099</v>
      </c>
      <c r="AF1426" s="75" t="s">
        <v>4661</v>
      </c>
      <c r="AG1426" s="75" t="s">
        <v>4661</v>
      </c>
      <c r="AH1426" s="75">
        <v>0.1</v>
      </c>
      <c r="AI1426" s="75">
        <v>2</v>
      </c>
      <c r="AL1426" s="178">
        <v>35</v>
      </c>
      <c r="BF1426" s="75">
        <v>0</v>
      </c>
      <c r="BI1426" s="75">
        <v>1</v>
      </c>
    </row>
    <row r="1427" spans="1:61" s="75" customFormat="1" ht="14.5">
      <c r="A1427" s="166">
        <v>2100220</v>
      </c>
      <c r="C1427" s="75">
        <v>1</v>
      </c>
      <c r="D1427" s="75" t="s">
        <v>646</v>
      </c>
      <c r="E1427" s="75" t="s">
        <v>4662</v>
      </c>
      <c r="F1427" s="75" t="s">
        <v>4008</v>
      </c>
      <c r="G1427" s="75" t="str">
        <f>VLOOKUP(F1427,'[3]#对话模型配置'!A:O,12,FALSE)</f>
        <v>TID_Dialogue_Character_11</v>
      </c>
      <c r="H1427" s="75" t="s">
        <v>3889</v>
      </c>
      <c r="I1427" s="75" t="str">
        <f>VLOOKUP(F1427,'[3]#对话模型配置'!A:O,15,FALSE)</f>
        <v>newbie_oversea_andrea</v>
      </c>
      <c r="J1427" s="75" t="s">
        <v>146</v>
      </c>
      <c r="K1427" s="75" t="s">
        <v>4663</v>
      </c>
      <c r="U1427" s="75">
        <v>5</v>
      </c>
      <c r="V1427" s="75">
        <v>0</v>
      </c>
      <c r="X1427" s="75">
        <v>0</v>
      </c>
      <c r="Y1427" s="75" t="b">
        <v>0</v>
      </c>
      <c r="Z1427" s="75" t="s">
        <v>4664</v>
      </c>
      <c r="AA1427" s="75" t="b">
        <v>0</v>
      </c>
      <c r="AD1427" s="75">
        <v>7.6114368438720703</v>
      </c>
      <c r="AE1427" s="75">
        <f t="shared" si="107"/>
        <v>7.6114368438720703</v>
      </c>
      <c r="AF1427" s="75" t="s">
        <v>4665</v>
      </c>
      <c r="AG1427" s="75" t="s">
        <v>4665</v>
      </c>
      <c r="AH1427" s="75">
        <v>0.1</v>
      </c>
      <c r="AI1427" s="75">
        <v>2</v>
      </c>
      <c r="AL1427" s="178">
        <v>40</v>
      </c>
      <c r="BF1427" s="75">
        <v>0</v>
      </c>
      <c r="BI1427" s="75">
        <v>1</v>
      </c>
    </row>
    <row r="1428" spans="1:61" s="75" customFormat="1" ht="14.5">
      <c r="A1428" s="166">
        <v>2100220</v>
      </c>
      <c r="C1428" s="75">
        <v>2</v>
      </c>
      <c r="D1428" s="75" t="s">
        <v>646</v>
      </c>
      <c r="E1428" s="75" t="s">
        <v>4662</v>
      </c>
      <c r="F1428" s="75" t="s">
        <v>4008</v>
      </c>
      <c r="G1428" s="75" t="str">
        <f>VLOOKUP(F1428,'[3]#对话模型配置'!A:O,12,FALSE)</f>
        <v>TID_Dialogue_Character_11</v>
      </c>
      <c r="H1428" s="75" t="s">
        <v>3889</v>
      </c>
      <c r="I1428" s="75" t="str">
        <f>VLOOKUP(F1428,'[3]#对话模型配置'!A:O,15,FALSE)</f>
        <v>newbie_oversea_andrea</v>
      </c>
      <c r="J1428" s="75" t="s">
        <v>148</v>
      </c>
      <c r="K1428" s="75" t="s">
        <v>4666</v>
      </c>
      <c r="U1428" s="75">
        <v>5</v>
      </c>
      <c r="V1428" s="75">
        <v>0</v>
      </c>
      <c r="X1428" s="75">
        <v>0</v>
      </c>
      <c r="Y1428" s="75" t="b">
        <v>0</v>
      </c>
      <c r="Z1428" s="75" t="s">
        <v>4667</v>
      </c>
      <c r="AA1428" s="75" t="b">
        <v>0</v>
      </c>
      <c r="AD1428" s="75">
        <v>3.8094170093536399</v>
      </c>
      <c r="AE1428" s="75">
        <f t="shared" si="107"/>
        <v>3.8094170093536399</v>
      </c>
      <c r="AF1428" s="75" t="s">
        <v>4668</v>
      </c>
      <c r="AG1428" s="75" t="s">
        <v>4668</v>
      </c>
      <c r="AH1428" s="75">
        <v>0.1</v>
      </c>
      <c r="AI1428" s="75">
        <v>2</v>
      </c>
      <c r="AL1428" s="178">
        <v>40</v>
      </c>
      <c r="BF1428" s="75">
        <v>0</v>
      </c>
      <c r="BI1428" s="75">
        <v>1</v>
      </c>
    </row>
    <row r="1429" spans="1:61" s="75" customFormat="1" ht="14.5">
      <c r="A1429" s="166">
        <v>2100221</v>
      </c>
      <c r="C1429" s="75">
        <v>1</v>
      </c>
      <c r="D1429" s="75" t="s">
        <v>646</v>
      </c>
      <c r="E1429" s="75" t="s">
        <v>4669</v>
      </c>
      <c r="F1429" s="75" t="s">
        <v>4008</v>
      </c>
      <c r="G1429" s="75" t="str">
        <f>VLOOKUP(F1429,'[3]#对话模型配置'!A:O,12,FALSE)</f>
        <v>TID_Dialogue_Character_11</v>
      </c>
      <c r="H1429" s="75" t="s">
        <v>3889</v>
      </c>
      <c r="I1429" s="75" t="str">
        <f>VLOOKUP(F1429,'[3]#对话模型配置'!A:O,15,FALSE)</f>
        <v>newbie_oversea_andrea</v>
      </c>
      <c r="J1429" s="75" t="s">
        <v>151</v>
      </c>
      <c r="K1429" s="75" t="s">
        <v>4670</v>
      </c>
      <c r="U1429" s="75">
        <v>5</v>
      </c>
      <c r="V1429" s="75">
        <v>0</v>
      </c>
      <c r="X1429" s="75">
        <v>0</v>
      </c>
      <c r="Y1429" s="75" t="b">
        <v>0</v>
      </c>
      <c r="Z1429" s="75" t="s">
        <v>4671</v>
      </c>
      <c r="AA1429" s="75" t="b">
        <v>0</v>
      </c>
      <c r="AD1429" s="75">
        <v>6.08685398101807</v>
      </c>
      <c r="AE1429" s="75">
        <f t="shared" si="107"/>
        <v>6.08685398101807</v>
      </c>
      <c r="AF1429" s="75" t="s">
        <v>4672</v>
      </c>
      <c r="AG1429" s="75" t="s">
        <v>4672</v>
      </c>
      <c r="AH1429" s="75">
        <v>0.1</v>
      </c>
      <c r="AI1429" s="75">
        <v>2</v>
      </c>
      <c r="AL1429" s="178">
        <v>40</v>
      </c>
      <c r="BF1429" s="75">
        <v>0</v>
      </c>
      <c r="BI1429" s="75">
        <v>1</v>
      </c>
    </row>
    <row r="1430" spans="1:61" s="75" customFormat="1" ht="14.5">
      <c r="A1430" s="166">
        <v>2100165</v>
      </c>
      <c r="C1430" s="75">
        <v>1</v>
      </c>
      <c r="E1430" s="75" t="s">
        <v>4101</v>
      </c>
      <c r="F1430" s="75" t="s">
        <v>2633</v>
      </c>
      <c r="G1430" s="75" t="str">
        <f>VLOOKUP(F1430,'[3]#对话模型配置'!A:O,12,FALSE)</f>
        <v>TID_DialogueConf_1060001_name_CN_Main</v>
      </c>
      <c r="H1430" s="75" t="str">
        <f>VLOOKUP(F1430,'#对话模型配置'!A:O,14,FALSE)</f>
        <v>icon_newbie</v>
      </c>
      <c r="I1430" s="75" t="str">
        <f>VLOOKUP(F1430,'[3]#对话模型配置'!A:O,15,FALSE)</f>
        <v>newbie_oversea_axe</v>
      </c>
      <c r="J1430" s="75" t="s">
        <v>4673</v>
      </c>
      <c r="K1430" s="75" t="s">
        <v>4674</v>
      </c>
      <c r="U1430" s="75">
        <v>5</v>
      </c>
      <c r="V1430" s="75">
        <v>0</v>
      </c>
      <c r="Y1430" s="75" t="b">
        <v>0</v>
      </c>
      <c r="Z1430" s="75" t="s">
        <v>4675</v>
      </c>
      <c r="AA1430" s="75" t="b">
        <v>1</v>
      </c>
      <c r="AD1430" s="75">
        <v>5.2541670799255398</v>
      </c>
      <c r="AE1430" s="75">
        <f t="shared" si="107"/>
        <v>5.2541670799255398</v>
      </c>
      <c r="AF1430" s="75" t="s">
        <v>4676</v>
      </c>
      <c r="AG1430" s="75" t="s">
        <v>4676</v>
      </c>
      <c r="AH1430" s="75">
        <v>0.1</v>
      </c>
      <c r="AI1430" s="75">
        <v>2</v>
      </c>
      <c r="AL1430" s="178">
        <v>35</v>
      </c>
      <c r="BF1430" s="75">
        <v>0</v>
      </c>
      <c r="BI1430" s="75">
        <v>1</v>
      </c>
    </row>
    <row r="1431" spans="1:61" s="75" customFormat="1" ht="14.5">
      <c r="A1431" s="166">
        <v>2100166</v>
      </c>
      <c r="C1431" s="75">
        <v>1</v>
      </c>
      <c r="E1431" s="75" t="s">
        <v>4101</v>
      </c>
      <c r="F1431" s="75" t="s">
        <v>2633</v>
      </c>
      <c r="G1431" s="75" t="str">
        <f>VLOOKUP(F1431,'[3]#对话模型配置'!A:O,12,FALSE)</f>
        <v>TID_DialogueConf_1060001_name_CN_Main</v>
      </c>
      <c r="H1431" s="75" t="str">
        <f>VLOOKUP(F1431,'#对话模型配置'!A:O,14,FALSE)</f>
        <v>icon_newbie</v>
      </c>
      <c r="I1431" s="75" t="str">
        <f>VLOOKUP(F1431,'[3]#对话模型配置'!A:O,15,FALSE)</f>
        <v>newbie_oversea_axe</v>
      </c>
      <c r="J1431" s="75" t="s">
        <v>4677</v>
      </c>
      <c r="K1431" s="75" t="s">
        <v>4678</v>
      </c>
      <c r="U1431" s="75">
        <v>5</v>
      </c>
      <c r="V1431" s="75">
        <v>0</v>
      </c>
      <c r="Y1431" s="75" t="b">
        <v>0</v>
      </c>
      <c r="Z1431" s="75" t="s">
        <v>4679</v>
      </c>
      <c r="AA1431" s="75" t="b">
        <v>1</v>
      </c>
      <c r="AD1431" s="75">
        <v>3.9674379825592001</v>
      </c>
      <c r="AE1431" s="75">
        <f t="shared" si="107"/>
        <v>3.9674379825592001</v>
      </c>
      <c r="AF1431" s="75" t="s">
        <v>4680</v>
      </c>
      <c r="AG1431" s="75" t="s">
        <v>4680</v>
      </c>
      <c r="AH1431" s="75">
        <v>0.1</v>
      </c>
      <c r="AI1431" s="75">
        <v>2</v>
      </c>
      <c r="AL1431" s="178">
        <v>35</v>
      </c>
      <c r="BF1431" s="75">
        <v>0</v>
      </c>
      <c r="BI1431" s="75">
        <v>1</v>
      </c>
    </row>
    <row r="1432" spans="1:61" s="75" customFormat="1" ht="15">
      <c r="A1432" s="166">
        <v>2100151</v>
      </c>
      <c r="C1432" s="75">
        <v>1</v>
      </c>
      <c r="E1432" s="75" t="s">
        <v>4101</v>
      </c>
      <c r="F1432" s="75" t="s">
        <v>4464</v>
      </c>
      <c r="G1432" s="75" t="str">
        <f>VLOOKUP(F1432,'#对话模型配置'!A:O,12,FALSE)</f>
        <v>TID_DialogueConf_1060001_name_CN_Main</v>
      </c>
      <c r="H1432" s="75" t="str">
        <f>VLOOKUP(F1432,'#对话模型配置'!A:O,14,FALSE)</f>
        <v>icon_hero</v>
      </c>
      <c r="I1432" s="75" t="str">
        <f>VLOOKUP(F1432,'#对话模型配置'!A:O,15,FALSE)</f>
        <v>icon_hero_206_big</v>
      </c>
      <c r="J1432" s="75" t="s">
        <v>4681</v>
      </c>
      <c r="K1432" s="145" t="s">
        <v>4682</v>
      </c>
      <c r="U1432" s="75">
        <v>6</v>
      </c>
      <c r="V1432" s="75">
        <v>0</v>
      </c>
      <c r="Y1432" s="75" t="b">
        <v>0</v>
      </c>
      <c r="Z1432" s="75" t="s">
        <v>4683</v>
      </c>
      <c r="AA1432" s="75" t="b">
        <v>1</v>
      </c>
      <c r="AD1432" s="75">
        <v>3.9674379825592001</v>
      </c>
      <c r="AE1432" s="75">
        <f t="shared" si="107"/>
        <v>3.9674379825592001</v>
      </c>
      <c r="AF1432" s="75" t="s">
        <v>4680</v>
      </c>
      <c r="AG1432" s="75" t="s">
        <v>4680</v>
      </c>
      <c r="AH1432" s="75">
        <v>0.1</v>
      </c>
      <c r="AI1432" s="75">
        <v>2</v>
      </c>
      <c r="AL1432" s="178">
        <v>35</v>
      </c>
      <c r="BF1432" s="75">
        <v>0</v>
      </c>
      <c r="BI1432" s="75">
        <v>1</v>
      </c>
    </row>
    <row r="1433" spans="1:61" s="71" customFormat="1" ht="14">
      <c r="A1433" s="71">
        <v>1060635</v>
      </c>
      <c r="B1433" s="71" t="s">
        <v>4684</v>
      </c>
      <c r="C1433" s="71">
        <v>1</v>
      </c>
      <c r="D1433" s="71" t="str">
        <f t="shared" ref="D1433:D1439" si="109">"新手海外-"&amp;G1433</f>
        <v>新手海外-TID_DialogueConf_1060001_name_337966742914_CN_Main</v>
      </c>
      <c r="E1433" s="71" t="s">
        <v>2329</v>
      </c>
      <c r="F1433" s="20" t="str">
        <f>VLOOKUP(G1433,'#TID_base_up'!B:C,2,0)</f>
        <v>安德莉亚</v>
      </c>
      <c r="G1433" s="71" t="s">
        <v>2335</v>
      </c>
      <c r="H1433" s="61" t="s">
        <v>2331</v>
      </c>
      <c r="I1433" s="61" t="str">
        <f>VLOOKUP(F1433,'#对话模型配置'!A:O,15,FALSE)</f>
        <v>newbie_oversea_andrea</v>
      </c>
      <c r="J1433" s="71" t="s">
        <v>4685</v>
      </c>
      <c r="K1433" s="84" t="str">
        <f t="shared" ref="K1433:K1439" si="110">AT1433</f>
        <v>这次战斗，我们得谨慎些……我总有种不好的预感。</v>
      </c>
      <c r="U1433" s="71">
        <v>5</v>
      </c>
      <c r="V1433" s="71">
        <v>0</v>
      </c>
      <c r="X1433" s="71">
        <v>30011</v>
      </c>
      <c r="Y1433" s="71" t="b">
        <v>0</v>
      </c>
      <c r="Z1433" s="71" t="s">
        <v>4686</v>
      </c>
      <c r="AA1433" s="71" t="b">
        <v>0</v>
      </c>
      <c r="AD1433" s="71">
        <v>5.6438541412353498</v>
      </c>
      <c r="AE1433" s="61">
        <f t="shared" ref="AE1433:AE1439" si="111">AD1433+1</f>
        <v>6.6438541412353498</v>
      </c>
      <c r="AF1433" s="61"/>
      <c r="AG1433" s="61"/>
      <c r="AH1433" s="61">
        <v>0.1</v>
      </c>
      <c r="AI1433" s="61">
        <v>1</v>
      </c>
      <c r="AL1433" s="108">
        <v>35</v>
      </c>
      <c r="AT1433" s="71" t="str">
        <f t="shared" ref="AT1433:AT1439" si="112">IF($AU1433="","",SUBSTITUTE(SUBSTITUTE(SUBSTITUTE(SUBSTITUTE($AU1433,IF($AW1433="","",$AW1433),IF($AW1433="","",CONCATENATE("&lt;color=#FFCC71&gt;",$AW1433,"&lt;/color&gt;"))),IF($AX1433="","",$AX1433),IF($AX1433="","",CONCATENATE("&lt;color=#FFCC71&gt;",$AX1433,"&lt;/color&gt;"))),IF($AY1433="","",$AY1433),IF($AY1433="","",CONCATENATE("&lt;color=#FFCC71&gt;",$AY1433,"&lt;/color&gt;"))),IF($AZ1433="","",$AZ1433),IF($AZ1433="","",CONCATENATE("&lt;color=#FFCC71&gt;",$AZ1433,"&lt;/color&gt;"))))</f>
        <v>这次战斗，我们得谨慎些……我总有种不好的预感。</v>
      </c>
      <c r="AU1433" s="124" t="s">
        <v>4687</v>
      </c>
    </row>
    <row r="1434" spans="1:61" s="71" customFormat="1" ht="14">
      <c r="A1434" s="71">
        <v>1060635</v>
      </c>
      <c r="B1434" s="71" t="s">
        <v>4684</v>
      </c>
      <c r="C1434" s="71">
        <v>2</v>
      </c>
      <c r="D1434" s="71" t="str">
        <f t="shared" si="109"/>
        <v>新手海外-TID_DialogueConf_1060001_name_CN_Main</v>
      </c>
      <c r="E1434" s="71" t="s">
        <v>2329</v>
      </c>
      <c r="F1434" s="20" t="str">
        <f>VLOOKUP(G1434,'#TID_base_up'!B:C,2,0)</f>
        <v>副官</v>
      </c>
      <c r="G1434" s="71" t="s">
        <v>2330</v>
      </c>
      <c r="H1434" s="61" t="s">
        <v>2331</v>
      </c>
      <c r="I1434" s="61" t="str">
        <f>VLOOKUP(F1434,'#对话模型配置'!A:O,15,FALSE)</f>
        <v>newbie_oversea_axe</v>
      </c>
      <c r="J1434" s="71" t="s">
        <v>4688</v>
      </c>
      <c r="K1434" s="84" t="str">
        <f t="shared" si="110"/>
        <v>遵从您的命令，殿下。</v>
      </c>
      <c r="U1434" s="71">
        <v>5</v>
      </c>
      <c r="V1434" s="71">
        <v>0</v>
      </c>
      <c r="X1434" s="71">
        <v>30011</v>
      </c>
      <c r="Y1434" s="71" t="b">
        <v>0</v>
      </c>
      <c r="Z1434" s="71" t="s">
        <v>4689</v>
      </c>
      <c r="AA1434" s="71" t="b">
        <v>0</v>
      </c>
      <c r="AD1434" s="71">
        <v>1.6799999475479099</v>
      </c>
      <c r="AE1434" s="61">
        <f t="shared" si="111"/>
        <v>2.6799999475479099</v>
      </c>
      <c r="AF1434" s="61"/>
      <c r="AG1434" s="61"/>
      <c r="AH1434" s="61">
        <v>0.1</v>
      </c>
      <c r="AI1434" s="61">
        <v>1</v>
      </c>
      <c r="AL1434" s="108">
        <v>35</v>
      </c>
      <c r="AT1434" s="71" t="str">
        <f t="shared" si="112"/>
        <v>遵从您的命令，殿下。</v>
      </c>
      <c r="AU1434" s="124" t="s">
        <v>4690</v>
      </c>
    </row>
    <row r="1435" spans="1:61" s="71" customFormat="1" ht="28">
      <c r="A1435" s="71">
        <v>1060636</v>
      </c>
      <c r="B1435" s="71" t="s">
        <v>4684</v>
      </c>
      <c r="C1435" s="71">
        <v>1</v>
      </c>
      <c r="D1435" s="71" t="str">
        <f t="shared" si="109"/>
        <v>新手海外-TID_DialogueConf_1060001_name_337966742914_CN_Main</v>
      </c>
      <c r="E1435" s="71" t="s">
        <v>2329</v>
      </c>
      <c r="F1435" s="20" t="str">
        <f>VLOOKUP(G1435,'#TID_base_up'!B:C,2,0)</f>
        <v>安德莉亚</v>
      </c>
      <c r="G1435" s="71" t="s">
        <v>2335</v>
      </c>
      <c r="H1435" s="61" t="s">
        <v>2331</v>
      </c>
      <c r="I1435" s="61" t="str">
        <f>VLOOKUP(F1435,'#对话模型配置'!A:O,15,FALSE)</f>
        <v>newbie_oversea_andrea</v>
      </c>
      <c r="J1435" s="71" t="s">
        <v>4691</v>
      </c>
      <c r="K1435" s="84" t="str">
        <f t="shared" si="110"/>
        <v>……好像做了一场噩梦，我们现在是不是准备出发和敌人正面决战？</v>
      </c>
      <c r="U1435" s="71">
        <v>5</v>
      </c>
      <c r="V1435" s="71">
        <v>0</v>
      </c>
      <c r="X1435" s="71">
        <v>30011</v>
      </c>
      <c r="Y1435" s="71" t="b">
        <v>0</v>
      </c>
      <c r="Z1435" s="71" t="s">
        <v>4692</v>
      </c>
      <c r="AA1435" s="71" t="b">
        <v>0</v>
      </c>
      <c r="AD1435" s="71">
        <v>7.9400000572204599</v>
      </c>
      <c r="AE1435" s="61">
        <f t="shared" si="111"/>
        <v>8.940000057220459</v>
      </c>
      <c r="AF1435" s="61"/>
      <c r="AG1435" s="61"/>
      <c r="AH1435" s="61">
        <v>0.1</v>
      </c>
      <c r="AI1435" s="61">
        <v>1</v>
      </c>
      <c r="AL1435" s="108">
        <v>35</v>
      </c>
      <c r="AT1435" s="71" t="str">
        <f t="shared" si="112"/>
        <v>……好像做了一场噩梦，我们现在是不是准备出发和敌人正面决战？</v>
      </c>
      <c r="AU1435" s="124" t="s">
        <v>4693</v>
      </c>
    </row>
    <row r="1436" spans="1:61" s="71" customFormat="1" ht="14">
      <c r="A1436" s="71">
        <v>1060636</v>
      </c>
      <c r="B1436" s="71" t="s">
        <v>4684</v>
      </c>
      <c r="C1436" s="71">
        <v>2</v>
      </c>
      <c r="D1436" s="71" t="str">
        <f t="shared" si="109"/>
        <v>新手海外-TID_DialogueConf_1060001_name_CN_Main</v>
      </c>
      <c r="E1436" s="71" t="s">
        <v>2329</v>
      </c>
      <c r="F1436" s="20" t="str">
        <f>VLOOKUP(G1436,'#TID_base_up'!B:C,2,0)</f>
        <v>副官</v>
      </c>
      <c r="G1436" s="71" t="s">
        <v>2330</v>
      </c>
      <c r="H1436" s="61" t="s">
        <v>2331</v>
      </c>
      <c r="I1436" s="61" t="str">
        <f>VLOOKUP(F1436,'#对话模型配置'!A:O,15,FALSE)</f>
        <v>newbie_oversea_axe</v>
      </c>
      <c r="J1436" s="71" t="s">
        <v>4694</v>
      </c>
      <c r="K1436" s="84" t="str">
        <f t="shared" si="110"/>
        <v>对不起，殿下，除了有点痛，我什么都记不得了。</v>
      </c>
      <c r="U1436" s="71">
        <v>5</v>
      </c>
      <c r="V1436" s="71">
        <v>0</v>
      </c>
      <c r="X1436" s="71">
        <v>30011</v>
      </c>
      <c r="Y1436" s="71" t="b">
        <v>0</v>
      </c>
      <c r="Z1436" s="71" t="s">
        <v>4695</v>
      </c>
      <c r="AA1436" s="71" t="b">
        <v>0</v>
      </c>
      <c r="AD1436" s="71">
        <v>4.8746671676635698</v>
      </c>
      <c r="AE1436" s="61">
        <f t="shared" si="111"/>
        <v>5.8746671676635698</v>
      </c>
      <c r="AF1436" s="61"/>
      <c r="AG1436" s="61"/>
      <c r="AH1436" s="61">
        <v>0.1</v>
      </c>
      <c r="AI1436" s="61">
        <v>1</v>
      </c>
      <c r="AL1436" s="108">
        <v>35</v>
      </c>
      <c r="AT1436" s="71" t="str">
        <f t="shared" si="112"/>
        <v>对不起，殿下，除了有点痛，我什么都记不得了。</v>
      </c>
      <c r="AU1436" s="124" t="s">
        <v>4696</v>
      </c>
    </row>
    <row r="1437" spans="1:61" s="71" customFormat="1" ht="14">
      <c r="A1437" s="71">
        <v>1060637</v>
      </c>
      <c r="B1437" s="71" t="s">
        <v>4684</v>
      </c>
      <c r="C1437" s="71">
        <v>1</v>
      </c>
      <c r="D1437" s="71" t="str">
        <f t="shared" si="109"/>
        <v>新手海外-TID_DialogueConf_1060001_name_337966742914_CN_Main</v>
      </c>
      <c r="E1437" s="71" t="s">
        <v>2329</v>
      </c>
      <c r="F1437" s="20" t="str">
        <f>VLOOKUP(G1437,'#TID_base_up'!B:C,2,0)</f>
        <v>安德莉亚</v>
      </c>
      <c r="G1437" s="71" t="s">
        <v>2335</v>
      </c>
      <c r="H1437" s="61" t="s">
        <v>2331</v>
      </c>
      <c r="I1437" s="61" t="str">
        <f>VLOOKUP(F1437,'#对话模型配置'!A:O,15,FALSE)</f>
        <v>newbie_oversea_andrea</v>
      </c>
      <c r="J1437" s="71" t="s">
        <v>4697</v>
      </c>
      <c r="K1437" s="84" t="str">
        <f t="shared" si="110"/>
        <v>总感觉这个场景不是第一次发生了。</v>
      </c>
      <c r="U1437" s="71">
        <v>5</v>
      </c>
      <c r="V1437" s="71">
        <v>0</v>
      </c>
      <c r="X1437" s="71">
        <v>30011</v>
      </c>
      <c r="Y1437" s="71" t="b">
        <v>0</v>
      </c>
      <c r="Z1437" s="71" t="s">
        <v>4698</v>
      </c>
      <c r="AA1437" s="71" t="b">
        <v>0</v>
      </c>
      <c r="AD1437" s="71">
        <v>2.6346669197082502</v>
      </c>
      <c r="AE1437" s="61">
        <f t="shared" si="111"/>
        <v>3.6346669197082502</v>
      </c>
      <c r="AF1437" s="61"/>
      <c r="AG1437" s="61"/>
      <c r="AH1437" s="61">
        <v>0.1</v>
      </c>
      <c r="AI1437" s="61">
        <v>1</v>
      </c>
      <c r="AL1437" s="108">
        <v>35</v>
      </c>
      <c r="AT1437" s="71" t="str">
        <f t="shared" si="112"/>
        <v>总感觉这个场景不是第一次发生了。</v>
      </c>
      <c r="AU1437" s="124" t="s">
        <v>4699</v>
      </c>
    </row>
    <row r="1438" spans="1:61" s="71" customFormat="1" ht="14">
      <c r="A1438" s="71">
        <v>1060637</v>
      </c>
      <c r="B1438" s="71" t="s">
        <v>4684</v>
      </c>
      <c r="C1438" s="71">
        <v>2</v>
      </c>
      <c r="D1438" s="71" t="str">
        <f t="shared" si="109"/>
        <v>新手海外-TID_DialogueConf_1060001_name_CN_Main</v>
      </c>
      <c r="E1438" s="71" t="s">
        <v>2329</v>
      </c>
      <c r="F1438" s="20" t="str">
        <f>VLOOKUP(G1438,'#TID_base_up'!B:C,2,0)</f>
        <v>副官</v>
      </c>
      <c r="G1438" s="71" t="s">
        <v>2330</v>
      </c>
      <c r="H1438" s="61" t="s">
        <v>2331</v>
      </c>
      <c r="I1438" s="61" t="str">
        <f>VLOOKUP(F1438,'#对话模型配置'!A:O,15,FALSE)</f>
        <v>newbie_oversea_axe</v>
      </c>
      <c r="J1438" s="71" t="s">
        <v>4700</v>
      </c>
      <c r="K1438" s="84" t="str">
        <f t="shared" si="110"/>
        <v>书上说这叫dejavu，殿下。......</v>
      </c>
      <c r="U1438" s="71">
        <v>5</v>
      </c>
      <c r="V1438" s="71">
        <v>0</v>
      </c>
      <c r="X1438" s="71">
        <v>30011</v>
      </c>
      <c r="Y1438" s="71" t="b">
        <v>0</v>
      </c>
      <c r="Z1438" s="71" t="s">
        <v>4701</v>
      </c>
      <c r="AA1438" s="71" t="b">
        <v>0</v>
      </c>
      <c r="AD1438" s="71">
        <v>4.70933294296265</v>
      </c>
      <c r="AE1438" s="61">
        <f t="shared" si="111"/>
        <v>5.70933294296265</v>
      </c>
      <c r="AF1438" s="61"/>
      <c r="AG1438" s="61"/>
      <c r="AH1438" s="61">
        <v>0.1</v>
      </c>
      <c r="AI1438" s="61">
        <v>1</v>
      </c>
      <c r="AL1438" s="108">
        <v>35</v>
      </c>
      <c r="AT1438" s="71" t="str">
        <f t="shared" si="112"/>
        <v>书上说这叫dejavu，殿下。......</v>
      </c>
      <c r="AU1438" s="124" t="s">
        <v>4702</v>
      </c>
    </row>
    <row r="1439" spans="1:61" s="70" customFormat="1" ht="14">
      <c r="A1439" s="70">
        <v>1060633</v>
      </c>
      <c r="B1439" s="70" t="s">
        <v>2328</v>
      </c>
      <c r="C1439" s="70">
        <v>1</v>
      </c>
      <c r="D1439" s="70" t="str">
        <f t="shared" si="109"/>
        <v>新手海外-TID_DialogueConf_1060633_name_CN_Main</v>
      </c>
      <c r="E1439" s="70" t="s">
        <v>2329</v>
      </c>
      <c r="F1439" s="20" t="str">
        <f>VLOOKUP(G1439,'#TID_base_up'!B:C,2,0)</f>
        <v>肖恩</v>
      </c>
      <c r="G1439" s="70" t="s">
        <v>4703</v>
      </c>
      <c r="H1439" s="61" t="s">
        <v>2331</v>
      </c>
      <c r="I1439" s="61" t="str">
        <f>VLOOKUP(F1439,'#对话模型配置'!A:O,15,FALSE)</f>
        <v>newbie_oversea_leo</v>
      </c>
      <c r="J1439" s="70" t="s">
        <v>2091</v>
      </c>
      <c r="K1439" s="84" t="str">
        <f t="shared" si="110"/>
        <v>啊！</v>
      </c>
      <c r="U1439" s="70">
        <v>2</v>
      </c>
      <c r="V1439" s="70">
        <v>0</v>
      </c>
      <c r="X1439" s="20">
        <v>30011</v>
      </c>
      <c r="Y1439" s="70" t="b">
        <v>0</v>
      </c>
      <c r="Z1439" s="70" t="s">
        <v>2625</v>
      </c>
      <c r="AA1439" s="70" t="b">
        <v>0</v>
      </c>
      <c r="AD1439" s="20">
        <v>0.68066698312759399</v>
      </c>
      <c r="AE1439" s="61">
        <f t="shared" si="111"/>
        <v>1.680666983127594</v>
      </c>
      <c r="AF1439" s="61"/>
      <c r="AG1439" s="61"/>
      <c r="AH1439" s="61">
        <v>0.1</v>
      </c>
      <c r="AI1439" s="61">
        <v>1</v>
      </c>
      <c r="AL1439" s="108">
        <v>35</v>
      </c>
      <c r="AT1439" s="70" t="str">
        <f t="shared" si="112"/>
        <v>啊！</v>
      </c>
      <c r="AU1439" s="123" t="s">
        <v>2093</v>
      </c>
    </row>
    <row r="1440" spans="1:61" s="73" customFormat="1">
      <c r="A1440" s="73">
        <v>2100157</v>
      </c>
      <c r="C1440" s="73">
        <v>1</v>
      </c>
      <c r="E1440" s="73" t="s">
        <v>4016</v>
      </c>
      <c r="F1440" s="73" t="s">
        <v>2633</v>
      </c>
      <c r="G1440" s="73" t="str">
        <f>VLOOKUP(F1440,'#对话模型配置'!A:O,12,FALSE)</f>
        <v>TID_DialogueConf_1060001_name_CN_Main</v>
      </c>
      <c r="H1440" s="73" t="str">
        <f>VLOOKUP(F1440,'#对话模型配置'!A:O,14,FALSE)</f>
        <v>icon_newbie</v>
      </c>
      <c r="I1440" s="73" t="str">
        <f>VLOOKUP(F1440,'#对话模型配置'!A:O,15,FALSE)</f>
        <v>newbie_oversea_axe</v>
      </c>
      <c r="J1440" s="73" t="s">
        <v>4704</v>
      </c>
      <c r="K1440" s="73" t="s">
        <v>4705</v>
      </c>
      <c r="U1440" s="73">
        <v>5</v>
      </c>
      <c r="V1440" s="73">
        <v>0</v>
      </c>
      <c r="Y1440" s="73" t="b">
        <v>0</v>
      </c>
      <c r="Z1440" s="73" t="s">
        <v>4706</v>
      </c>
      <c r="AA1440" s="73" t="b">
        <v>1</v>
      </c>
      <c r="AD1440" s="73">
        <v>4.7770409584045401</v>
      </c>
      <c r="AE1440" s="73">
        <f>AD1440</f>
        <v>4.7770409584045401</v>
      </c>
      <c r="AH1440" s="73">
        <v>0.1</v>
      </c>
      <c r="AI1440" s="73">
        <v>0.5</v>
      </c>
      <c r="AL1440" s="152">
        <v>35</v>
      </c>
      <c r="BF1440" s="73">
        <v>0</v>
      </c>
    </row>
    <row r="1441" spans="1:61" s="71" customFormat="1" ht="14">
      <c r="A1441" s="71">
        <v>1060639</v>
      </c>
      <c r="B1441" s="71" t="s">
        <v>4707</v>
      </c>
      <c r="C1441" s="71">
        <v>1</v>
      </c>
      <c r="D1441" s="71" t="str">
        <f>"新手海外-"&amp;G1441</f>
        <v>新手海外-TID_DialogueConf_1060001_name_CN_Main</v>
      </c>
      <c r="E1441" s="71" t="s">
        <v>2329</v>
      </c>
      <c r="F1441" s="20" t="str">
        <f>VLOOKUP(G1441,'#TID_base_up'!B:C,2,0)</f>
        <v>副官</v>
      </c>
      <c r="G1441" s="71" t="s">
        <v>2330</v>
      </c>
      <c r="H1441" s="61" t="s">
        <v>2331</v>
      </c>
      <c r="I1441" s="61" t="str">
        <f>VLOOKUP(F1441,'#对话模型配置'!A:O,15,FALSE)</f>
        <v>newbie_oversea_axe</v>
      </c>
      <c r="J1441" s="71" t="s">
        <v>4708</v>
      </c>
      <c r="K1441" s="84" t="str">
        <f>AT1441</f>
        <v>殿下，这里的蛮族很不好对付，我们尽量避开他的视线范围</v>
      </c>
      <c r="U1441" s="71">
        <v>5</v>
      </c>
      <c r="V1441" s="71">
        <v>0</v>
      </c>
      <c r="X1441" s="71">
        <v>30011</v>
      </c>
      <c r="Y1441" s="71" t="b">
        <v>0</v>
      </c>
      <c r="Z1441" s="71" t="s">
        <v>4709</v>
      </c>
      <c r="AA1441" s="71" t="b">
        <v>0</v>
      </c>
      <c r="AD1441" s="71">
        <v>5.15199995040894</v>
      </c>
      <c r="AE1441" s="61">
        <f>AD1441+1</f>
        <v>6.15199995040894</v>
      </c>
      <c r="AF1441" s="61"/>
      <c r="AG1441" s="61"/>
      <c r="AH1441" s="61">
        <v>0.1</v>
      </c>
      <c r="AI1441" s="61">
        <v>1</v>
      </c>
      <c r="AL1441" s="108">
        <v>35</v>
      </c>
      <c r="AT1441" s="71" t="str">
        <f>IF($AU1441="","",SUBSTITUTE(SUBSTITUTE(SUBSTITUTE(SUBSTITUTE($AU1441,IF($AW1441="","",$AW1441),IF($AW1441="","",CONCATENATE("&lt;color=#FFCC71&gt;",$AW1441,"&lt;/color&gt;"))),IF($AX1441="","",$AX1441),IF($AX1441="","",CONCATENATE("&lt;color=#FFCC71&gt;",$AX1441,"&lt;/color&gt;"))),IF($AY1441="","",$AY1441),IF($AY1441="","",CONCATENATE("&lt;color=#FFCC71&gt;",$AY1441,"&lt;/color&gt;"))),IF($AZ1441="","",$AZ1441),IF($AZ1441="","",CONCATENATE("&lt;color=#FFCC71&gt;",$AZ1441,"&lt;/color&gt;"))))</f>
        <v>殿下，这里的蛮族很不好对付，我们尽量避开他的视线范围</v>
      </c>
      <c r="AU1441" s="190" t="s">
        <v>4710</v>
      </c>
    </row>
    <row r="1442" spans="1:61" s="71" customFormat="1" ht="14.5" customHeight="1">
      <c r="A1442" s="71">
        <v>1060638</v>
      </c>
      <c r="B1442" s="71" t="s">
        <v>4711</v>
      </c>
      <c r="C1442" s="71">
        <v>1</v>
      </c>
      <c r="D1442" s="71" t="str">
        <f>"新手海外-"&amp;G1442</f>
        <v>新手海外-TID_DialogueConf_1060001_name_CN_Main</v>
      </c>
      <c r="E1442" s="71" t="s">
        <v>2329</v>
      </c>
      <c r="F1442" s="20" t="str">
        <f>VLOOKUP(G1442,'#TID_base_up'!B:C,2,0)</f>
        <v>副官</v>
      </c>
      <c r="G1442" s="71" t="s">
        <v>2330</v>
      </c>
      <c r="H1442" s="61" t="s">
        <v>2331</v>
      </c>
      <c r="I1442" s="61" t="str">
        <f>VLOOKUP(F1442,'#对话模型配置'!A:O,15,FALSE)</f>
        <v>newbie_oversea_axe</v>
      </c>
      <c r="J1442" s="71" t="s">
        <v>4712</v>
      </c>
      <c r="K1442" s="84" t="str">
        <f t="shared" ref="K1442:K1443" si="113">AT1442</f>
        <v>可怜的肖恩，他也才刚刚入伍......</v>
      </c>
      <c r="U1442" s="71">
        <v>5</v>
      </c>
      <c r="V1442" s="71">
        <v>0</v>
      </c>
      <c r="X1442" s="71">
        <v>30011</v>
      </c>
      <c r="Y1442" s="71" t="b">
        <v>0</v>
      </c>
      <c r="Z1442" s="71" t="s">
        <v>4713</v>
      </c>
      <c r="AA1442" s="71" t="b">
        <v>0</v>
      </c>
      <c r="AD1442" s="71">
        <v>2.5493330955505402</v>
      </c>
      <c r="AE1442" s="61">
        <f>AD1442+1</f>
        <v>3.5493330955505402</v>
      </c>
      <c r="AF1442" s="61"/>
      <c r="AG1442" s="61"/>
      <c r="AH1442" s="61">
        <v>0.1</v>
      </c>
      <c r="AI1442" s="61">
        <v>1</v>
      </c>
      <c r="AL1442" s="108">
        <v>35</v>
      </c>
      <c r="AT1442" s="71" t="str">
        <f>IF($AU1442="","",SUBSTITUTE(SUBSTITUTE(SUBSTITUTE(SUBSTITUTE($AU1442,IF($AW1442="","",$AW1442),IF($AW1442="","",CONCATENATE("&lt;color=#FFCC71&gt;",$AW1442,"&lt;/color&gt;"))),IF($AX1442="","",$AX1442),IF($AX1442="","",CONCATENATE("&lt;color=#FFCC71&gt;",$AX1442,"&lt;/color&gt;"))),IF($AY1442="","",$AY1442),IF($AY1442="","",CONCATENATE("&lt;color=#FFCC71&gt;",$AY1442,"&lt;/color&gt;"))),IF($AZ1442="","",$AZ1442),IF($AZ1442="","",CONCATENATE("&lt;color=#FFCC71&gt;",$AZ1442,"&lt;/color&gt;"))))</f>
        <v>可怜的肖恩，他也才刚刚入伍......</v>
      </c>
      <c r="AU1442" s="191" t="s">
        <v>4714</v>
      </c>
    </row>
    <row r="1443" spans="1:61" s="71" customFormat="1" ht="14.5" customHeight="1">
      <c r="A1443" s="71">
        <v>1060638</v>
      </c>
      <c r="B1443" s="71" t="s">
        <v>4715</v>
      </c>
      <c r="C1443" s="71">
        <v>2</v>
      </c>
      <c r="D1443" s="71" t="str">
        <f>"新手海外-"&amp;G1443</f>
        <v>新手海外-TID_DialogueConf_1060001_name_337966742914_CN_Main</v>
      </c>
      <c r="E1443" s="71" t="s">
        <v>2329</v>
      </c>
      <c r="F1443" s="20" t="str">
        <f>VLOOKUP(G1443,'#TID_base_up'!B:C,2,0)</f>
        <v>安德莉亚</v>
      </c>
      <c r="G1443" s="71" t="s">
        <v>2335</v>
      </c>
      <c r="H1443" s="61" t="s">
        <v>2331</v>
      </c>
      <c r="I1443" s="61" t="str">
        <f>VLOOKUP(F1443,'#对话模型配置'!A:O,15,FALSE)</f>
        <v>newbie_oversea_andrea</v>
      </c>
      <c r="J1443" s="71" t="s">
        <v>4716</v>
      </c>
      <c r="K1443" s="84" t="str">
        <f t="shared" si="113"/>
        <v>副官，现在只剩我们俩了，要更加小心。</v>
      </c>
      <c r="U1443" s="71">
        <v>5</v>
      </c>
      <c r="V1443" s="71">
        <v>0</v>
      </c>
      <c r="X1443" s="71">
        <v>30011</v>
      </c>
      <c r="Y1443" s="71" t="b">
        <v>0</v>
      </c>
      <c r="Z1443" s="71" t="s">
        <v>4717</v>
      </c>
      <c r="AA1443" s="71" t="b">
        <v>0</v>
      </c>
      <c r="AD1443" s="71">
        <v>3.9866669178009002</v>
      </c>
      <c r="AE1443" s="61">
        <f>AD1443+1</f>
        <v>4.9866669178008998</v>
      </c>
      <c r="AF1443" s="61"/>
      <c r="AG1443" s="61"/>
      <c r="AH1443" s="61">
        <v>0.1</v>
      </c>
      <c r="AI1443" s="61">
        <v>1</v>
      </c>
      <c r="AL1443" s="108">
        <v>35</v>
      </c>
      <c r="AT1443" s="71" t="str">
        <f>IF($AU1443="","",SUBSTITUTE(SUBSTITUTE(SUBSTITUTE(SUBSTITUTE($AU1443,IF($AW1443="","",$AW1443),IF($AW1443="","",CONCATENATE("&lt;color=#FFCC71&gt;",$AW1443,"&lt;/color&gt;"))),IF($AX1443="","",$AX1443),IF($AX1443="","",CONCATENATE("&lt;color=#FFCC71&gt;",$AX1443,"&lt;/color&gt;"))),IF($AY1443="","",$AY1443),IF($AY1443="","",CONCATENATE("&lt;color=#FFCC71&gt;",$AY1443,"&lt;/color&gt;"))),IF($AZ1443="","",$AZ1443),IF($AZ1443="","",CONCATENATE("&lt;color=#FFCC71&gt;",$AZ1443,"&lt;/color&gt;"))))</f>
        <v>副官，现在只剩我们俩了，要更加小心。</v>
      </c>
      <c r="AU1443" s="192" t="s">
        <v>4718</v>
      </c>
    </row>
    <row r="1444" spans="1:61" s="73" customFormat="1">
      <c r="A1444" s="73">
        <v>2100158</v>
      </c>
      <c r="C1444" s="73">
        <v>1</v>
      </c>
      <c r="E1444" s="73" t="s">
        <v>4016</v>
      </c>
      <c r="F1444" s="73" t="s">
        <v>2633</v>
      </c>
      <c r="G1444" s="73" t="str">
        <f>VLOOKUP(F1444,'#对话模型配置'!A:O,12,FALSE)</f>
        <v>TID_DialogueConf_1060001_name_CN_Main</v>
      </c>
      <c r="H1444" s="73" t="str">
        <f>VLOOKUP(F1444,'#对话模型配置'!A:O,14,FALSE)</f>
        <v>icon_newbie</v>
      </c>
      <c r="I1444" s="73" t="str">
        <f>VLOOKUP(F1444,'#对话模型配置'!A:O,15,FALSE)</f>
        <v>newbie_oversea_axe</v>
      </c>
      <c r="J1444" s="73" t="s">
        <v>4719</v>
      </c>
      <c r="K1444" s="73" t="s">
        <v>4720</v>
      </c>
      <c r="U1444" s="73">
        <v>5</v>
      </c>
      <c r="V1444" s="73">
        <v>0</v>
      </c>
      <c r="Y1444" s="73" t="b">
        <v>0</v>
      </c>
      <c r="Z1444" s="73" t="s">
        <v>4721</v>
      </c>
      <c r="AA1444" s="73" t="b">
        <v>1</v>
      </c>
      <c r="AD1444" s="73">
        <v>3.3258960247039799</v>
      </c>
      <c r="AE1444" s="73">
        <f>AD1444</f>
        <v>3.3258960247039799</v>
      </c>
      <c r="AH1444" s="73">
        <v>0.1</v>
      </c>
      <c r="AI1444" s="73">
        <v>0.5</v>
      </c>
      <c r="AL1444" s="152">
        <v>35</v>
      </c>
      <c r="BF1444" s="73">
        <v>0</v>
      </c>
    </row>
    <row r="1445" spans="1:61" s="76" customFormat="1" ht="14.5">
      <c r="A1445" s="76">
        <v>21100001</v>
      </c>
      <c r="C1445" s="76">
        <v>1</v>
      </c>
      <c r="F1445" s="179" t="s">
        <v>4722</v>
      </c>
      <c r="G1445" s="180" t="s">
        <v>2330</v>
      </c>
      <c r="H1445" s="76" t="str">
        <f>VLOOKUP(F1445,'#对话模型配置'!A:O,14,FALSE)</f>
        <v>icon_hero</v>
      </c>
      <c r="I1445" s="76" t="s">
        <v>4723</v>
      </c>
      <c r="J1445" s="182" t="s">
        <v>4724</v>
      </c>
      <c r="K1445" s="183" t="s">
        <v>4725</v>
      </c>
      <c r="L1445" s="76">
        <v>110008</v>
      </c>
      <c r="M1445" s="76" t="s">
        <v>4726</v>
      </c>
      <c r="N1445" s="76" t="s">
        <v>4727</v>
      </c>
      <c r="O1445" s="132" t="s">
        <v>4728</v>
      </c>
      <c r="P1445" s="132" t="s">
        <v>4729</v>
      </c>
      <c r="Q1445" s="132" t="s">
        <v>4730</v>
      </c>
      <c r="R1445" s="132" t="s">
        <v>4731</v>
      </c>
      <c r="U1445" s="76">
        <v>6</v>
      </c>
      <c r="V1445" s="76">
        <v>0</v>
      </c>
      <c r="Y1445" s="76" t="b">
        <v>0</v>
      </c>
      <c r="Z1445" s="76" t="s">
        <v>4732</v>
      </c>
      <c r="AA1445" s="76" t="b">
        <v>0</v>
      </c>
      <c r="AD1445" s="76">
        <v>4.4098749160766602</v>
      </c>
      <c r="AE1445" s="76">
        <f>AD1445+1</f>
        <v>5.4098749160766602</v>
      </c>
      <c r="AF1445" s="76" t="s">
        <v>4733</v>
      </c>
      <c r="AH1445" s="188">
        <v>0.1</v>
      </c>
      <c r="AI1445" s="188">
        <v>2</v>
      </c>
      <c r="AL1445" s="76">
        <v>35</v>
      </c>
      <c r="BF1445" s="76">
        <v>0</v>
      </c>
      <c r="BI1445" s="76">
        <v>1</v>
      </c>
    </row>
    <row r="1446" spans="1:61" s="76" customFormat="1" ht="14.5">
      <c r="A1446" s="76">
        <v>21100001</v>
      </c>
      <c r="C1446" s="76">
        <v>2</v>
      </c>
      <c r="F1446" s="179" t="s">
        <v>4329</v>
      </c>
      <c r="G1446" s="180" t="s">
        <v>4147</v>
      </c>
      <c r="H1446" s="76" t="str">
        <f>VLOOKUP(F1446,'#对话模型配置'!A:O,14,FALSE)</f>
        <v>icon_hero</v>
      </c>
      <c r="I1446" s="76" t="s">
        <v>4734</v>
      </c>
      <c r="J1446" s="182" t="s">
        <v>4735</v>
      </c>
      <c r="K1446" s="183" t="s">
        <v>4736</v>
      </c>
      <c r="L1446" s="76">
        <v>110003</v>
      </c>
      <c r="M1446" s="76" t="s">
        <v>4737</v>
      </c>
      <c r="O1446" s="132" t="s">
        <v>4738</v>
      </c>
      <c r="U1446" s="76">
        <v>6</v>
      </c>
      <c r="V1446" s="76">
        <v>0</v>
      </c>
      <c r="Y1446" s="76" t="b">
        <v>0</v>
      </c>
      <c r="Z1446" s="76" t="s">
        <v>4739</v>
      </c>
      <c r="AA1446" s="76" t="b">
        <v>0</v>
      </c>
      <c r="AD1446" s="76">
        <v>2.68002104759216</v>
      </c>
      <c r="AE1446" s="76">
        <f t="shared" ref="AE1446:AE1496" si="114">AD1446+1</f>
        <v>3.68002104759216</v>
      </c>
      <c r="AF1446" s="76" t="s">
        <v>4740</v>
      </c>
      <c r="AH1446" s="188">
        <v>0.1</v>
      </c>
      <c r="AI1446" s="188">
        <v>2</v>
      </c>
      <c r="AL1446" s="76">
        <v>35</v>
      </c>
      <c r="BF1446" s="76">
        <v>0</v>
      </c>
      <c r="BI1446" s="76">
        <v>1</v>
      </c>
    </row>
    <row r="1447" spans="1:61" s="62" customFormat="1" ht="26">
      <c r="A1447" s="62">
        <v>21200001</v>
      </c>
      <c r="C1447" s="62">
        <v>1</v>
      </c>
      <c r="F1447" s="181" t="s">
        <v>3855</v>
      </c>
      <c r="G1447" s="106" t="s">
        <v>3856</v>
      </c>
      <c r="H1447" s="62" t="str">
        <f>VLOOKUP(F1447,'#对话模型配置'!A:O,14,FALSE)</f>
        <v>icon_hero</v>
      </c>
      <c r="I1447" s="62" t="s">
        <v>4741</v>
      </c>
      <c r="J1447" s="184" t="s">
        <v>4742</v>
      </c>
      <c r="K1447" s="185" t="s">
        <v>4743</v>
      </c>
      <c r="L1447" s="62">
        <v>110007</v>
      </c>
      <c r="M1447" s="62" t="s">
        <v>4726</v>
      </c>
      <c r="N1447" s="62" t="s">
        <v>4744</v>
      </c>
      <c r="O1447" s="62" t="s">
        <v>4745</v>
      </c>
      <c r="P1447" s="62" t="s">
        <v>4746</v>
      </c>
      <c r="Q1447" s="62">
        <v>3</v>
      </c>
      <c r="R1447" s="186" t="s">
        <v>4747</v>
      </c>
      <c r="U1447" s="62">
        <v>6</v>
      </c>
      <c r="V1447" s="62">
        <v>0</v>
      </c>
      <c r="Y1447" s="62" t="b">
        <v>0</v>
      </c>
      <c r="Z1447" s="62" t="s">
        <v>4748</v>
      </c>
      <c r="AA1447" s="62" t="b">
        <v>0</v>
      </c>
      <c r="AD1447" s="62">
        <v>9.0008344650268608</v>
      </c>
      <c r="AE1447" s="62">
        <f t="shared" si="114"/>
        <v>10.000834465026861</v>
      </c>
      <c r="AF1447" s="62" t="s">
        <v>4749</v>
      </c>
      <c r="AH1447" s="189">
        <v>0.1</v>
      </c>
      <c r="AI1447" s="189">
        <v>2</v>
      </c>
      <c r="AL1447" s="62">
        <v>35</v>
      </c>
      <c r="BF1447" s="62">
        <v>1</v>
      </c>
      <c r="BI1447" s="62">
        <v>1</v>
      </c>
    </row>
    <row r="1448" spans="1:61" s="62" customFormat="1" ht="14.5">
      <c r="A1448" s="62">
        <v>21200001</v>
      </c>
      <c r="C1448" s="62">
        <v>2</v>
      </c>
      <c r="F1448" s="181" t="s">
        <v>3855</v>
      </c>
      <c r="G1448" s="106" t="s">
        <v>3856</v>
      </c>
      <c r="H1448" s="62" t="str">
        <f>VLOOKUP(F1448,'#对话模型配置'!A:O,14,FALSE)</f>
        <v>icon_hero</v>
      </c>
      <c r="I1448" s="62" t="s">
        <v>4741</v>
      </c>
      <c r="J1448" s="184" t="s">
        <v>4750</v>
      </c>
      <c r="K1448" s="185" t="s">
        <v>4751</v>
      </c>
      <c r="L1448" s="62">
        <v>110007</v>
      </c>
      <c r="M1448" s="62" t="s">
        <v>3289</v>
      </c>
      <c r="O1448" s="62" t="s">
        <v>4746</v>
      </c>
      <c r="R1448" s="62" t="s">
        <v>4752</v>
      </c>
      <c r="S1448" s="62" t="s">
        <v>4753</v>
      </c>
      <c r="U1448" s="62">
        <v>6</v>
      </c>
      <c r="V1448" s="62">
        <v>0</v>
      </c>
      <c r="Y1448" s="62" t="b">
        <v>0</v>
      </c>
      <c r="Z1448" s="62" t="s">
        <v>4754</v>
      </c>
      <c r="AA1448" s="62" t="b">
        <v>0</v>
      </c>
      <c r="AD1448" s="62">
        <v>7.0155000686645499</v>
      </c>
      <c r="AE1448" s="62">
        <f t="shared" si="114"/>
        <v>8.0155000686645508</v>
      </c>
      <c r="AF1448" s="62" t="s">
        <v>4755</v>
      </c>
      <c r="AH1448" s="189">
        <v>0.1</v>
      </c>
      <c r="AI1448" s="189">
        <v>2</v>
      </c>
      <c r="AL1448" s="62">
        <v>35</v>
      </c>
      <c r="BF1448" s="62">
        <v>1</v>
      </c>
      <c r="BI1448" s="62">
        <v>1</v>
      </c>
    </row>
    <row r="1449" spans="1:61" s="62" customFormat="1" ht="26">
      <c r="A1449" s="62">
        <v>21200001</v>
      </c>
      <c r="C1449" s="62">
        <v>3</v>
      </c>
      <c r="F1449" s="181" t="s">
        <v>4329</v>
      </c>
      <c r="G1449" s="106" t="s">
        <v>4147</v>
      </c>
      <c r="H1449" s="62" t="str">
        <f>VLOOKUP(F1449,'#对话模型配置'!A:O,14,FALSE)</f>
        <v>icon_hero</v>
      </c>
      <c r="I1449" s="62" t="s">
        <v>4734</v>
      </c>
      <c r="J1449" s="184" t="s">
        <v>4756</v>
      </c>
      <c r="K1449" s="185" t="s">
        <v>4757</v>
      </c>
      <c r="L1449" s="62">
        <v>110003</v>
      </c>
      <c r="M1449" s="62" t="s">
        <v>3453</v>
      </c>
      <c r="O1449" s="62" t="s">
        <v>4758</v>
      </c>
      <c r="U1449" s="62">
        <v>6</v>
      </c>
      <c r="V1449" s="62">
        <v>0</v>
      </c>
      <c r="Y1449" s="62" t="b">
        <v>0</v>
      </c>
      <c r="Z1449" s="62" t="s">
        <v>4759</v>
      </c>
      <c r="AA1449" s="62" t="b">
        <v>0</v>
      </c>
      <c r="AD1449" s="62">
        <v>7.0135831832885698</v>
      </c>
      <c r="AE1449" s="62">
        <f t="shared" si="114"/>
        <v>8.0135831832885707</v>
      </c>
      <c r="AF1449" s="62" t="s">
        <v>4760</v>
      </c>
      <c r="AH1449" s="189">
        <v>0.1</v>
      </c>
      <c r="AI1449" s="189">
        <v>2</v>
      </c>
      <c r="AL1449" s="62">
        <v>35</v>
      </c>
      <c r="BF1449" s="62">
        <v>0</v>
      </c>
      <c r="BI1449" s="62">
        <v>1</v>
      </c>
    </row>
    <row r="1450" spans="1:61" s="62" customFormat="1" ht="26">
      <c r="A1450" s="62">
        <v>21200001</v>
      </c>
      <c r="C1450" s="62">
        <v>4</v>
      </c>
      <c r="F1450" s="181" t="s">
        <v>3855</v>
      </c>
      <c r="G1450" s="106" t="s">
        <v>3856</v>
      </c>
      <c r="H1450" s="62" t="str">
        <f>VLOOKUP(F1450,'#对话模型配置'!A:O,14,FALSE)</f>
        <v>icon_hero</v>
      </c>
      <c r="I1450" s="62" t="s">
        <v>4741</v>
      </c>
      <c r="J1450" s="184" t="s">
        <v>4761</v>
      </c>
      <c r="K1450" s="185" t="s">
        <v>4762</v>
      </c>
      <c r="L1450" s="62">
        <v>110007</v>
      </c>
      <c r="M1450" s="62" t="s">
        <v>3289</v>
      </c>
      <c r="O1450" s="62" t="s">
        <v>4746</v>
      </c>
      <c r="U1450" s="62">
        <v>6</v>
      </c>
      <c r="V1450" s="62">
        <v>0</v>
      </c>
      <c r="Y1450" s="62" t="b">
        <v>0</v>
      </c>
      <c r="Z1450" s="62" t="s">
        <v>4763</v>
      </c>
      <c r="AA1450" s="62" t="b">
        <v>0</v>
      </c>
      <c r="AD1450" s="62">
        <v>14.4809169769287</v>
      </c>
      <c r="AE1450" s="62">
        <f t="shared" si="114"/>
        <v>15.4809169769287</v>
      </c>
      <c r="AF1450" s="62" t="s">
        <v>4764</v>
      </c>
      <c r="AH1450" s="189">
        <v>0.1</v>
      </c>
      <c r="AI1450" s="189">
        <v>2</v>
      </c>
      <c r="AL1450" s="62">
        <v>35</v>
      </c>
      <c r="BF1450" s="62">
        <v>1</v>
      </c>
      <c r="BI1450" s="62">
        <v>1</v>
      </c>
    </row>
    <row r="1451" spans="1:61" s="62" customFormat="1" ht="26">
      <c r="A1451" s="62">
        <v>21200001</v>
      </c>
      <c r="C1451" s="62">
        <v>5</v>
      </c>
      <c r="F1451" s="181" t="s">
        <v>4329</v>
      </c>
      <c r="G1451" s="106" t="s">
        <v>4147</v>
      </c>
      <c r="H1451" s="62" t="str">
        <f>VLOOKUP(F1451,'#对话模型配置'!A:O,14,FALSE)</f>
        <v>icon_hero</v>
      </c>
      <c r="I1451" s="62" t="s">
        <v>4734</v>
      </c>
      <c r="J1451" s="184" t="s">
        <v>4765</v>
      </c>
      <c r="K1451" s="185" t="s">
        <v>4766</v>
      </c>
      <c r="L1451" s="62">
        <v>110003</v>
      </c>
      <c r="M1451" s="62" t="s">
        <v>3314</v>
      </c>
      <c r="O1451" s="62" t="s">
        <v>4758</v>
      </c>
      <c r="U1451" s="62">
        <v>6</v>
      </c>
      <c r="V1451" s="62">
        <v>0</v>
      </c>
      <c r="Y1451" s="62" t="b">
        <v>0</v>
      </c>
      <c r="Z1451" s="62" t="s">
        <v>4767</v>
      </c>
      <c r="AA1451" s="62" t="b">
        <v>0</v>
      </c>
      <c r="AD1451" s="62">
        <v>14.059166908264199</v>
      </c>
      <c r="AE1451" s="62">
        <f t="shared" si="114"/>
        <v>15.059166908264199</v>
      </c>
      <c r="AF1451" s="62" t="s">
        <v>4768</v>
      </c>
      <c r="AH1451" s="189">
        <v>0.1</v>
      </c>
      <c r="AI1451" s="189">
        <v>2</v>
      </c>
      <c r="AL1451" s="62">
        <v>35</v>
      </c>
      <c r="BF1451" s="62">
        <v>0</v>
      </c>
      <c r="BI1451" s="62">
        <v>1</v>
      </c>
    </row>
    <row r="1452" spans="1:61" s="62" customFormat="1" ht="39">
      <c r="A1452" s="62">
        <v>21200001</v>
      </c>
      <c r="C1452" s="62">
        <v>6</v>
      </c>
      <c r="F1452" s="181" t="s">
        <v>4329</v>
      </c>
      <c r="G1452" s="106" t="s">
        <v>4147</v>
      </c>
      <c r="H1452" s="62" t="str">
        <f>VLOOKUP(F1452,'#对话模型配置'!A:O,14,FALSE)</f>
        <v>icon_hero</v>
      </c>
      <c r="I1452" s="62" t="s">
        <v>4734</v>
      </c>
      <c r="J1452" s="184" t="s">
        <v>4769</v>
      </c>
      <c r="K1452" s="185" t="s">
        <v>4770</v>
      </c>
      <c r="L1452" s="62">
        <v>110003</v>
      </c>
      <c r="M1452" s="62" t="s">
        <v>3450</v>
      </c>
      <c r="O1452" s="62" t="s">
        <v>4758</v>
      </c>
      <c r="U1452" s="62">
        <v>6</v>
      </c>
      <c r="V1452" s="62">
        <v>0</v>
      </c>
      <c r="Y1452" s="62" t="b">
        <v>0</v>
      </c>
      <c r="Z1452" s="62" t="s">
        <v>4771</v>
      </c>
      <c r="AA1452" s="62" t="b">
        <v>0</v>
      </c>
      <c r="AD1452" s="62">
        <v>14.6171674728394</v>
      </c>
      <c r="AE1452" s="62">
        <f t="shared" si="114"/>
        <v>15.6171674728394</v>
      </c>
      <c r="AF1452" s="62" t="s">
        <v>4772</v>
      </c>
      <c r="AH1452" s="189">
        <v>0.1</v>
      </c>
      <c r="AI1452" s="189">
        <v>2</v>
      </c>
      <c r="AL1452" s="62">
        <v>35</v>
      </c>
      <c r="BF1452" s="62">
        <v>0</v>
      </c>
      <c r="BI1452" s="62">
        <v>1</v>
      </c>
    </row>
    <row r="1453" spans="1:61" s="62" customFormat="1" ht="26">
      <c r="A1453" s="62">
        <v>21200001</v>
      </c>
      <c r="C1453" s="62">
        <v>7</v>
      </c>
      <c r="F1453" s="181" t="s">
        <v>4329</v>
      </c>
      <c r="G1453" s="106" t="s">
        <v>4147</v>
      </c>
      <c r="H1453" s="62" t="str">
        <f>VLOOKUP(F1453,'#对话模型配置'!A:O,14,FALSE)</f>
        <v>icon_hero</v>
      </c>
      <c r="I1453" s="62" t="s">
        <v>4734</v>
      </c>
      <c r="J1453" s="184" t="s">
        <v>4773</v>
      </c>
      <c r="K1453" s="185" t="s">
        <v>4774</v>
      </c>
      <c r="L1453" s="62">
        <v>110003</v>
      </c>
      <c r="M1453" s="62" t="s">
        <v>3453</v>
      </c>
      <c r="O1453" s="62" t="s">
        <v>4758</v>
      </c>
      <c r="U1453" s="62">
        <v>6</v>
      </c>
      <c r="V1453" s="62">
        <v>0</v>
      </c>
      <c r="Y1453" s="62" t="b">
        <v>0</v>
      </c>
      <c r="Z1453" s="62" t="s">
        <v>4775</v>
      </c>
      <c r="AA1453" s="62" t="b">
        <v>0</v>
      </c>
      <c r="AD1453" s="62">
        <v>11.7306461334229</v>
      </c>
      <c r="AE1453" s="62">
        <f t="shared" si="114"/>
        <v>12.7306461334229</v>
      </c>
      <c r="AF1453" s="62" t="s">
        <v>4776</v>
      </c>
      <c r="AH1453" s="189">
        <v>0.1</v>
      </c>
      <c r="AI1453" s="189">
        <v>2</v>
      </c>
      <c r="AL1453" s="62">
        <v>35</v>
      </c>
      <c r="BF1453" s="62">
        <v>0</v>
      </c>
      <c r="BI1453" s="62">
        <v>1</v>
      </c>
    </row>
    <row r="1454" spans="1:61" s="62" customFormat="1" ht="39">
      <c r="A1454" s="62">
        <v>21200001</v>
      </c>
      <c r="C1454" s="62">
        <v>8</v>
      </c>
      <c r="F1454" s="181" t="s">
        <v>3855</v>
      </c>
      <c r="G1454" s="106" t="s">
        <v>3856</v>
      </c>
      <c r="H1454" s="62" t="str">
        <f>VLOOKUP(F1454,'#对话模型配置'!A:O,14,FALSE)</f>
        <v>icon_hero</v>
      </c>
      <c r="I1454" s="62" t="s">
        <v>4741</v>
      </c>
      <c r="J1454" s="184" t="s">
        <v>4777</v>
      </c>
      <c r="K1454" s="185" t="s">
        <v>4778</v>
      </c>
      <c r="L1454" s="62">
        <v>110007</v>
      </c>
      <c r="M1454" s="62" t="s">
        <v>3289</v>
      </c>
      <c r="O1454" s="62" t="s">
        <v>4746</v>
      </c>
      <c r="U1454" s="62">
        <v>6</v>
      </c>
      <c r="V1454" s="62">
        <v>0</v>
      </c>
      <c r="Y1454" s="62" t="b">
        <v>0</v>
      </c>
      <c r="Z1454" s="62" t="s">
        <v>4779</v>
      </c>
      <c r="AA1454" s="62" t="b">
        <v>0</v>
      </c>
      <c r="AD1454" s="62">
        <v>15.370541572570801</v>
      </c>
      <c r="AE1454" s="62">
        <f t="shared" si="114"/>
        <v>16.370541572570801</v>
      </c>
      <c r="AF1454" s="62" t="s">
        <v>4780</v>
      </c>
      <c r="AH1454" s="189">
        <v>0.1</v>
      </c>
      <c r="AI1454" s="189">
        <v>7</v>
      </c>
      <c r="AL1454" s="62">
        <v>35</v>
      </c>
      <c r="BF1454" s="62">
        <v>1</v>
      </c>
      <c r="BI1454" s="62">
        <v>1</v>
      </c>
    </row>
    <row r="1455" spans="1:61" s="62" customFormat="1" ht="26">
      <c r="A1455" s="62">
        <v>21200001</v>
      </c>
      <c r="C1455" s="62">
        <v>9</v>
      </c>
      <c r="F1455" s="181" t="s">
        <v>4329</v>
      </c>
      <c r="G1455" s="106" t="s">
        <v>4147</v>
      </c>
      <c r="H1455" s="62" t="str">
        <f>VLOOKUP(F1455,'#对话模型配置'!A:O,14,FALSE)</f>
        <v>icon_hero</v>
      </c>
      <c r="I1455" s="62" t="s">
        <v>4734</v>
      </c>
      <c r="J1455" s="184" t="s">
        <v>4781</v>
      </c>
      <c r="K1455" s="185" t="s">
        <v>4782</v>
      </c>
      <c r="L1455" s="62">
        <v>110003</v>
      </c>
      <c r="M1455" s="62" t="s">
        <v>3314</v>
      </c>
      <c r="O1455" s="62" t="s">
        <v>4758</v>
      </c>
      <c r="U1455" s="62">
        <v>6</v>
      </c>
      <c r="V1455" s="62">
        <v>0</v>
      </c>
      <c r="Y1455" s="62" t="b">
        <v>0</v>
      </c>
      <c r="Z1455" s="62" t="s">
        <v>4783</v>
      </c>
      <c r="AA1455" s="62" t="b">
        <v>0</v>
      </c>
      <c r="AD1455" s="62">
        <v>9.7120828628540004</v>
      </c>
      <c r="AE1455" s="62">
        <f t="shared" si="114"/>
        <v>10.712082862854</v>
      </c>
      <c r="AF1455" s="62" t="s">
        <v>4784</v>
      </c>
      <c r="AH1455" s="189">
        <v>0.1</v>
      </c>
      <c r="AI1455" s="189">
        <v>2</v>
      </c>
      <c r="AL1455" s="62">
        <v>35</v>
      </c>
      <c r="BF1455" s="62">
        <v>0</v>
      </c>
      <c r="BI1455" s="62">
        <v>1</v>
      </c>
    </row>
    <row r="1456" spans="1:61" s="62" customFormat="1" ht="26">
      <c r="A1456" s="62">
        <v>21200001</v>
      </c>
      <c r="C1456" s="62">
        <v>10</v>
      </c>
      <c r="F1456" s="181" t="s">
        <v>3855</v>
      </c>
      <c r="G1456" s="106" t="s">
        <v>3856</v>
      </c>
      <c r="H1456" s="62" t="str">
        <f>VLOOKUP(F1456,'#对话模型配置'!A:O,14,FALSE)</f>
        <v>icon_hero</v>
      </c>
      <c r="I1456" s="62" t="s">
        <v>4741</v>
      </c>
      <c r="J1456" s="184" t="s">
        <v>4785</v>
      </c>
      <c r="K1456" s="185" t="s">
        <v>4786</v>
      </c>
      <c r="L1456" s="62">
        <v>110007</v>
      </c>
      <c r="M1456" s="62" t="s">
        <v>3289</v>
      </c>
      <c r="O1456" s="62" t="s">
        <v>4746</v>
      </c>
      <c r="U1456" s="62">
        <v>6</v>
      </c>
      <c r="V1456" s="62">
        <v>0</v>
      </c>
      <c r="Y1456" s="62" t="b">
        <v>0</v>
      </c>
      <c r="Z1456" s="62" t="s">
        <v>4787</v>
      </c>
      <c r="AA1456" s="62" t="b">
        <v>0</v>
      </c>
      <c r="AD1456" s="62">
        <v>10.393771171569799</v>
      </c>
      <c r="AE1456" s="62">
        <f t="shared" si="114"/>
        <v>11.393771171569799</v>
      </c>
      <c r="AF1456" s="62" t="s">
        <v>4788</v>
      </c>
      <c r="AH1456" s="189">
        <v>0.1</v>
      </c>
      <c r="AI1456" s="189">
        <v>2</v>
      </c>
      <c r="AL1456" s="62">
        <v>35</v>
      </c>
      <c r="BF1456" s="62">
        <v>1</v>
      </c>
      <c r="BI1456" s="62">
        <v>1</v>
      </c>
    </row>
    <row r="1457" spans="1:61" s="62" customFormat="1" ht="14.5">
      <c r="A1457" s="62">
        <v>21200001</v>
      </c>
      <c r="C1457" s="62">
        <v>11</v>
      </c>
      <c r="F1457" s="181" t="s">
        <v>4329</v>
      </c>
      <c r="G1457" s="106" t="s">
        <v>4147</v>
      </c>
      <c r="H1457" s="62" t="str">
        <f>VLOOKUP(F1457,'#对话模型配置'!A:O,14,FALSE)</f>
        <v>icon_hero</v>
      </c>
      <c r="I1457" s="62" t="s">
        <v>4734</v>
      </c>
      <c r="J1457" s="184" t="s">
        <v>4789</v>
      </c>
      <c r="K1457" s="185" t="s">
        <v>4790</v>
      </c>
      <c r="L1457" s="62">
        <v>110003</v>
      </c>
      <c r="M1457" s="62" t="s">
        <v>3453</v>
      </c>
      <c r="O1457" s="62" t="s">
        <v>4758</v>
      </c>
      <c r="U1457" s="62">
        <v>6</v>
      </c>
      <c r="V1457" s="62">
        <v>0</v>
      </c>
      <c r="Y1457" s="62" t="b">
        <v>0</v>
      </c>
      <c r="Z1457" s="62" t="s">
        <v>4791</v>
      </c>
      <c r="AA1457" s="62" t="b">
        <v>0</v>
      </c>
      <c r="AD1457" s="62">
        <v>1.93995797634125</v>
      </c>
      <c r="AE1457" s="62">
        <f t="shared" si="114"/>
        <v>2.9399579763412502</v>
      </c>
      <c r="AF1457" s="62" t="s">
        <v>4792</v>
      </c>
      <c r="AH1457" s="189">
        <v>0.1</v>
      </c>
      <c r="AI1457" s="189">
        <v>2</v>
      </c>
      <c r="AL1457" s="62">
        <v>35</v>
      </c>
      <c r="BF1457" s="62">
        <v>0</v>
      </c>
      <c r="BI1457" s="62">
        <v>1</v>
      </c>
    </row>
    <row r="1458" spans="1:61" s="62" customFormat="1" ht="14.5">
      <c r="A1458" s="62">
        <v>21200001</v>
      </c>
      <c r="C1458" s="62">
        <v>12</v>
      </c>
      <c r="F1458" s="181" t="s">
        <v>3855</v>
      </c>
      <c r="G1458" s="106" t="s">
        <v>3856</v>
      </c>
      <c r="H1458" s="62" t="str">
        <f>VLOOKUP(F1458,'#对话模型配置'!A:O,14,FALSE)</f>
        <v>icon_hero</v>
      </c>
      <c r="I1458" s="62" t="s">
        <v>4741</v>
      </c>
      <c r="J1458" s="184" t="s">
        <v>4793</v>
      </c>
      <c r="K1458" s="185" t="s">
        <v>4794</v>
      </c>
      <c r="L1458" s="62">
        <v>110007</v>
      </c>
      <c r="M1458" s="62" t="s">
        <v>3285</v>
      </c>
      <c r="O1458" s="62" t="s">
        <v>4746</v>
      </c>
      <c r="U1458" s="62">
        <v>6</v>
      </c>
      <c r="V1458" s="62">
        <v>0</v>
      </c>
      <c r="Y1458" s="62" t="b">
        <v>0</v>
      </c>
      <c r="Z1458" s="62" t="s">
        <v>4795</v>
      </c>
      <c r="AA1458" s="62" t="b">
        <v>0</v>
      </c>
      <c r="AD1458" s="62">
        <v>7.1028537750244096</v>
      </c>
      <c r="AE1458" s="62">
        <f t="shared" si="114"/>
        <v>8.1028537750244105</v>
      </c>
      <c r="AF1458" s="62" t="s">
        <v>4796</v>
      </c>
      <c r="AH1458" s="189">
        <v>0.1</v>
      </c>
      <c r="AI1458" s="189">
        <v>2</v>
      </c>
      <c r="AL1458" s="62">
        <v>35</v>
      </c>
      <c r="BF1458" s="62">
        <v>1</v>
      </c>
      <c r="BI1458" s="62">
        <v>1</v>
      </c>
    </row>
    <row r="1459" spans="1:61" s="62" customFormat="1" ht="26">
      <c r="A1459" s="62">
        <v>21200001</v>
      </c>
      <c r="C1459" s="62">
        <v>13</v>
      </c>
      <c r="F1459" s="181" t="s">
        <v>3855</v>
      </c>
      <c r="G1459" s="106" t="s">
        <v>3856</v>
      </c>
      <c r="H1459" s="62" t="str">
        <f>VLOOKUP(F1459,'#对话模型配置'!A:O,14,FALSE)</f>
        <v>icon_hero</v>
      </c>
      <c r="I1459" s="62" t="s">
        <v>4741</v>
      </c>
      <c r="J1459" s="184" t="s">
        <v>4797</v>
      </c>
      <c r="K1459" s="185" t="s">
        <v>4798</v>
      </c>
      <c r="L1459" s="62">
        <v>110007</v>
      </c>
      <c r="M1459" s="62" t="s">
        <v>4726</v>
      </c>
      <c r="N1459" s="186" t="s">
        <v>4799</v>
      </c>
      <c r="O1459" s="62" t="s">
        <v>4746</v>
      </c>
      <c r="P1459" s="62" t="s">
        <v>4800</v>
      </c>
      <c r="Q1459" s="62">
        <v>4</v>
      </c>
      <c r="U1459" s="62">
        <v>6</v>
      </c>
      <c r="V1459" s="62">
        <v>0</v>
      </c>
      <c r="Y1459" s="62" t="b">
        <v>0</v>
      </c>
      <c r="Z1459" s="62" t="s">
        <v>4801</v>
      </c>
      <c r="AA1459" s="62" t="b">
        <v>0</v>
      </c>
      <c r="AD1459" s="62">
        <v>8.8612079620361293</v>
      </c>
      <c r="AE1459" s="62">
        <f t="shared" si="114"/>
        <v>9.8612079620361293</v>
      </c>
      <c r="AF1459" s="62" t="s">
        <v>4802</v>
      </c>
      <c r="AH1459" s="189">
        <v>0.1</v>
      </c>
      <c r="AI1459" s="189">
        <v>2</v>
      </c>
      <c r="AL1459" s="62">
        <v>35</v>
      </c>
      <c r="BF1459" s="62">
        <v>1</v>
      </c>
      <c r="BI1459" s="62">
        <v>1</v>
      </c>
    </row>
    <row r="1460" spans="1:61" s="76" customFormat="1" ht="14.5">
      <c r="A1460" s="62">
        <v>21200001</v>
      </c>
      <c r="C1460" s="62">
        <v>14</v>
      </c>
      <c r="F1460" s="179" t="s">
        <v>4329</v>
      </c>
      <c r="G1460" s="180" t="s">
        <v>4147</v>
      </c>
      <c r="H1460" s="76" t="str">
        <f>VLOOKUP(F1460,'#对话模型配置'!A:O,14,FALSE)</f>
        <v>icon_hero</v>
      </c>
      <c r="I1460" s="76" t="s">
        <v>4734</v>
      </c>
      <c r="J1460" s="182" t="s">
        <v>4803</v>
      </c>
      <c r="K1460" s="183" t="s">
        <v>4804</v>
      </c>
      <c r="L1460" s="76">
        <v>110003</v>
      </c>
      <c r="M1460" s="62" t="s">
        <v>4726</v>
      </c>
      <c r="N1460" s="76" t="s">
        <v>4799</v>
      </c>
      <c r="O1460" s="76" t="s">
        <v>4805</v>
      </c>
      <c r="P1460" s="76" t="s">
        <v>4806</v>
      </c>
      <c r="Q1460" s="76">
        <v>5</v>
      </c>
      <c r="R1460" s="76" t="s">
        <v>4807</v>
      </c>
      <c r="S1460" s="76" t="s">
        <v>4808</v>
      </c>
      <c r="U1460" s="76">
        <v>6</v>
      </c>
      <c r="V1460" s="76">
        <v>0</v>
      </c>
      <c r="Y1460" s="76" t="b">
        <v>0</v>
      </c>
      <c r="Z1460" s="76" t="s">
        <v>4809</v>
      </c>
      <c r="AA1460" s="76" t="b">
        <v>0</v>
      </c>
      <c r="AD1460" s="76">
        <v>5.11014604568481</v>
      </c>
      <c r="AE1460" s="76">
        <f t="shared" si="114"/>
        <v>6.11014604568481</v>
      </c>
      <c r="AF1460" s="76" t="s">
        <v>4810</v>
      </c>
      <c r="AH1460" s="188">
        <v>0.1</v>
      </c>
      <c r="AI1460" s="188">
        <v>2</v>
      </c>
      <c r="AL1460" s="76">
        <v>35</v>
      </c>
      <c r="BF1460" s="76">
        <v>0</v>
      </c>
      <c r="BI1460" s="76">
        <v>1</v>
      </c>
    </row>
    <row r="1461" spans="1:61" s="62" customFormat="1" ht="26">
      <c r="A1461" s="62">
        <v>21100002</v>
      </c>
      <c r="C1461" s="62">
        <v>1</v>
      </c>
      <c r="F1461" s="181" t="s">
        <v>4811</v>
      </c>
      <c r="G1461" s="106" t="s">
        <v>4812</v>
      </c>
      <c r="H1461" s="62" t="str">
        <f>VLOOKUP(F1461,'#对话模型配置'!A:O,14,FALSE)</f>
        <v>icon_hero</v>
      </c>
      <c r="I1461" s="62" t="s">
        <v>4813</v>
      </c>
      <c r="J1461" s="184" t="s">
        <v>4814</v>
      </c>
      <c r="K1461" s="185" t="s">
        <v>4815</v>
      </c>
      <c r="L1461" s="62">
        <v>110009</v>
      </c>
      <c r="M1461" s="62" t="s">
        <v>4816</v>
      </c>
      <c r="N1461" s="62" t="s">
        <v>4744</v>
      </c>
      <c r="O1461" s="62" t="s">
        <v>4817</v>
      </c>
      <c r="P1461" s="62" t="s">
        <v>4818</v>
      </c>
      <c r="Q1461" s="62">
        <v>3</v>
      </c>
      <c r="R1461" s="62" t="s">
        <v>4819</v>
      </c>
      <c r="U1461" s="62">
        <v>6</v>
      </c>
      <c r="V1461" s="62">
        <v>0</v>
      </c>
      <c r="Y1461" s="62" t="b">
        <v>0</v>
      </c>
      <c r="Z1461" s="62" t="s">
        <v>4820</v>
      </c>
      <c r="AA1461" s="62" t="b">
        <v>0</v>
      </c>
      <c r="AD1461" s="62">
        <v>8.9098129272460902</v>
      </c>
      <c r="AE1461" s="62">
        <f t="shared" si="114"/>
        <v>9.9098129272460902</v>
      </c>
      <c r="AF1461" s="62" t="s">
        <v>4821</v>
      </c>
      <c r="AH1461" s="189">
        <v>0.1</v>
      </c>
      <c r="AI1461" s="189">
        <v>2</v>
      </c>
      <c r="AL1461" s="62">
        <v>35</v>
      </c>
      <c r="BF1461" s="62">
        <v>0</v>
      </c>
      <c r="BI1461" s="62">
        <v>1</v>
      </c>
    </row>
    <row r="1462" spans="1:61" s="62" customFormat="1" ht="14.5">
      <c r="A1462" s="62">
        <v>21100002</v>
      </c>
      <c r="C1462" s="62">
        <v>2</v>
      </c>
      <c r="F1462" s="181" t="s">
        <v>4329</v>
      </c>
      <c r="G1462" s="106" t="s">
        <v>4147</v>
      </c>
      <c r="H1462" s="62" t="str">
        <f>VLOOKUP(F1462,'#对话模型配置'!A:O,14,FALSE)</f>
        <v>icon_hero</v>
      </c>
      <c r="I1462" s="62" t="s">
        <v>4734</v>
      </c>
      <c r="J1462" s="184" t="s">
        <v>4822</v>
      </c>
      <c r="K1462" s="185" t="s">
        <v>4823</v>
      </c>
      <c r="L1462" s="62">
        <v>110003</v>
      </c>
      <c r="M1462" s="62" t="s">
        <v>3285</v>
      </c>
      <c r="O1462" s="62" t="s">
        <v>4824</v>
      </c>
      <c r="R1462" s="62" t="s">
        <v>4825</v>
      </c>
      <c r="S1462" s="62" t="s">
        <v>4826</v>
      </c>
      <c r="U1462" s="62">
        <v>6</v>
      </c>
      <c r="V1462" s="62">
        <v>0</v>
      </c>
      <c r="Y1462" s="62" t="b">
        <v>0</v>
      </c>
      <c r="Z1462" s="62" t="s">
        <v>4827</v>
      </c>
      <c r="AA1462" s="62" t="b">
        <v>0</v>
      </c>
      <c r="AD1462" s="62">
        <v>5.9083538055419904</v>
      </c>
      <c r="AE1462" s="62">
        <f t="shared" si="114"/>
        <v>6.9083538055419904</v>
      </c>
      <c r="AF1462" s="62" t="s">
        <v>4828</v>
      </c>
      <c r="AH1462" s="189">
        <v>0.1</v>
      </c>
      <c r="AI1462" s="189">
        <v>2</v>
      </c>
      <c r="AL1462" s="62">
        <v>35</v>
      </c>
      <c r="BF1462" s="62">
        <v>0</v>
      </c>
      <c r="BI1462" s="62">
        <v>1</v>
      </c>
    </row>
    <row r="1463" spans="1:61" s="62" customFormat="1" ht="26">
      <c r="A1463" s="62">
        <v>21100002</v>
      </c>
      <c r="C1463" s="62">
        <v>3</v>
      </c>
      <c r="F1463" s="181" t="s">
        <v>4811</v>
      </c>
      <c r="G1463" s="106" t="s">
        <v>4812</v>
      </c>
      <c r="H1463" s="62" t="str">
        <f>VLOOKUP(F1463,'#对话模型配置'!A:O,14,FALSE)</f>
        <v>icon_hero</v>
      </c>
      <c r="I1463" s="62" t="s">
        <v>4813</v>
      </c>
      <c r="J1463" s="184" t="s">
        <v>4829</v>
      </c>
      <c r="K1463" s="185" t="s">
        <v>4830</v>
      </c>
      <c r="L1463" s="62">
        <v>110009</v>
      </c>
      <c r="M1463" s="62" t="s">
        <v>4831</v>
      </c>
      <c r="O1463" s="62" t="s">
        <v>4818</v>
      </c>
      <c r="U1463" s="62">
        <v>6</v>
      </c>
      <c r="V1463" s="62">
        <v>0</v>
      </c>
      <c r="Y1463" s="62" t="b">
        <v>0</v>
      </c>
      <c r="Z1463" s="62" t="s">
        <v>4832</v>
      </c>
      <c r="AA1463" s="62" t="b">
        <v>0</v>
      </c>
      <c r="AD1463" s="62">
        <v>10.1030626296997</v>
      </c>
      <c r="AE1463" s="62">
        <f t="shared" si="114"/>
        <v>11.1030626296997</v>
      </c>
      <c r="AF1463" s="62" t="s">
        <v>4833</v>
      </c>
      <c r="AH1463" s="189">
        <v>0.1</v>
      </c>
      <c r="AI1463" s="189">
        <v>2</v>
      </c>
      <c r="AL1463" s="62">
        <v>35</v>
      </c>
      <c r="BF1463" s="62">
        <v>0</v>
      </c>
      <c r="BI1463" s="62">
        <v>1</v>
      </c>
    </row>
    <row r="1464" spans="1:61" s="62" customFormat="1" ht="14.5">
      <c r="A1464" s="62">
        <v>21100002</v>
      </c>
      <c r="C1464" s="62">
        <v>4</v>
      </c>
      <c r="F1464" s="181" t="s">
        <v>4329</v>
      </c>
      <c r="G1464" s="106" t="s">
        <v>4147</v>
      </c>
      <c r="H1464" s="62" t="str">
        <f>VLOOKUP(F1464,'#对话模型配置'!A:O,14,FALSE)</f>
        <v>icon_hero</v>
      </c>
      <c r="I1464" s="62" t="s">
        <v>4734</v>
      </c>
      <c r="J1464" s="184" t="s">
        <v>4834</v>
      </c>
      <c r="K1464" s="185" t="s">
        <v>4835</v>
      </c>
      <c r="L1464" s="62">
        <v>110003</v>
      </c>
      <c r="M1464" s="62" t="s">
        <v>3289</v>
      </c>
      <c r="O1464" s="62" t="s">
        <v>4824</v>
      </c>
      <c r="U1464" s="62">
        <v>6</v>
      </c>
      <c r="V1464" s="62">
        <v>0</v>
      </c>
      <c r="Y1464" s="62" t="b">
        <v>0</v>
      </c>
      <c r="Z1464" s="62" t="s">
        <v>4836</v>
      </c>
      <c r="AA1464" s="62" t="b">
        <v>0</v>
      </c>
      <c r="AD1464" s="62">
        <v>6.1930208206176802</v>
      </c>
      <c r="AE1464" s="62">
        <f t="shared" si="114"/>
        <v>7.1930208206176802</v>
      </c>
      <c r="AF1464" s="62" t="s">
        <v>4837</v>
      </c>
      <c r="AH1464" s="189">
        <v>0.1</v>
      </c>
      <c r="AI1464" s="189">
        <v>2</v>
      </c>
      <c r="AL1464" s="62">
        <v>35</v>
      </c>
      <c r="BF1464" s="62">
        <v>0</v>
      </c>
      <c r="BI1464" s="62">
        <v>1</v>
      </c>
    </row>
    <row r="1465" spans="1:61" s="62" customFormat="1" ht="26">
      <c r="A1465" s="62">
        <v>21100002</v>
      </c>
      <c r="C1465" s="62">
        <v>5</v>
      </c>
      <c r="F1465" s="181" t="s">
        <v>4811</v>
      </c>
      <c r="G1465" s="106" t="s">
        <v>4812</v>
      </c>
      <c r="H1465" s="62" t="str">
        <f>VLOOKUP(F1465,'#对话模型配置'!A:O,14,FALSE)</f>
        <v>icon_hero</v>
      </c>
      <c r="I1465" s="62" t="s">
        <v>4813</v>
      </c>
      <c r="J1465" s="184" t="s">
        <v>4838</v>
      </c>
      <c r="K1465" s="187" t="s">
        <v>4839</v>
      </c>
      <c r="L1465" s="62">
        <v>110009</v>
      </c>
      <c r="M1465" s="62" t="s">
        <v>4840</v>
      </c>
      <c r="O1465" s="62" t="s">
        <v>4818</v>
      </c>
      <c r="U1465" s="62">
        <v>6</v>
      </c>
      <c r="V1465" s="62">
        <v>0</v>
      </c>
      <c r="Y1465" s="62" t="b">
        <v>0</v>
      </c>
      <c r="Z1465" s="62" t="s">
        <v>4841</v>
      </c>
      <c r="AA1465" s="62" t="b">
        <v>0</v>
      </c>
      <c r="AD1465" s="62">
        <v>12.411937713623001</v>
      </c>
      <c r="AE1465" s="62">
        <f t="shared" si="114"/>
        <v>13.411937713623001</v>
      </c>
      <c r="AF1465" s="62" t="s">
        <v>4842</v>
      </c>
      <c r="AH1465" s="189">
        <v>0.1</v>
      </c>
      <c r="AI1465" s="189">
        <v>2</v>
      </c>
      <c r="AL1465" s="62">
        <v>35</v>
      </c>
      <c r="BF1465" s="62">
        <v>0</v>
      </c>
      <c r="BI1465" s="62">
        <v>1</v>
      </c>
    </row>
    <row r="1466" spans="1:61" s="62" customFormat="1" ht="26">
      <c r="A1466" s="62">
        <v>21100002</v>
      </c>
      <c r="C1466" s="62">
        <v>6</v>
      </c>
      <c r="F1466" s="181" t="s">
        <v>4329</v>
      </c>
      <c r="G1466" s="106" t="s">
        <v>4147</v>
      </c>
      <c r="H1466" s="62" t="str">
        <f>VLOOKUP(F1466,'#对话模型配置'!A:O,14,FALSE)</f>
        <v>icon_hero</v>
      </c>
      <c r="I1466" s="62" t="s">
        <v>4734</v>
      </c>
      <c r="J1466" s="184" t="s">
        <v>4843</v>
      </c>
      <c r="K1466" s="185" t="s">
        <v>4844</v>
      </c>
      <c r="L1466" s="62">
        <v>110003</v>
      </c>
      <c r="M1466" s="62" t="s">
        <v>3285</v>
      </c>
      <c r="O1466" s="62" t="s">
        <v>4824</v>
      </c>
      <c r="U1466" s="62">
        <v>6</v>
      </c>
      <c r="V1466" s="62">
        <v>0</v>
      </c>
      <c r="Y1466" s="62" t="b">
        <v>0</v>
      </c>
      <c r="Z1466" s="62" t="s">
        <v>4845</v>
      </c>
      <c r="AA1466" s="62" t="b">
        <v>0</v>
      </c>
      <c r="AD1466" s="62">
        <v>8.8419170379638707</v>
      </c>
      <c r="AE1466" s="62">
        <f t="shared" si="114"/>
        <v>9.8419170379638707</v>
      </c>
      <c r="AF1466" s="62" t="s">
        <v>4846</v>
      </c>
      <c r="AH1466" s="189">
        <v>0.1</v>
      </c>
      <c r="AI1466" s="189">
        <v>2</v>
      </c>
      <c r="AL1466" s="62">
        <v>35</v>
      </c>
      <c r="BF1466" s="62">
        <v>0</v>
      </c>
      <c r="BI1466" s="62">
        <v>1</v>
      </c>
    </row>
    <row r="1467" spans="1:61" s="62" customFormat="1" ht="14.5">
      <c r="A1467" s="62">
        <v>21100002</v>
      </c>
      <c r="C1467" s="62">
        <v>7</v>
      </c>
      <c r="F1467" s="181" t="s">
        <v>4811</v>
      </c>
      <c r="G1467" s="106" t="s">
        <v>4812</v>
      </c>
      <c r="H1467" s="62" t="str">
        <f>VLOOKUP(F1467,'#对话模型配置'!A:O,14,FALSE)</f>
        <v>icon_hero</v>
      </c>
      <c r="I1467" s="62" t="s">
        <v>4813</v>
      </c>
      <c r="J1467" s="184" t="s">
        <v>4847</v>
      </c>
      <c r="K1467" s="185" t="s">
        <v>4848</v>
      </c>
      <c r="L1467" s="62">
        <v>110009</v>
      </c>
      <c r="M1467" s="62" t="s">
        <v>4831</v>
      </c>
      <c r="O1467" s="62" t="s">
        <v>4818</v>
      </c>
      <c r="U1467" s="62">
        <v>6</v>
      </c>
      <c r="V1467" s="62">
        <v>0</v>
      </c>
      <c r="Y1467" s="62" t="b">
        <v>0</v>
      </c>
      <c r="Z1467" s="62" t="s">
        <v>4849</v>
      </c>
      <c r="AA1467" s="62" t="b">
        <v>0</v>
      </c>
      <c r="AD1467" s="62">
        <v>3.57514595985413</v>
      </c>
      <c r="AE1467" s="62">
        <f t="shared" si="114"/>
        <v>4.5751459598541295</v>
      </c>
      <c r="AF1467" s="62" t="s">
        <v>4850</v>
      </c>
      <c r="AH1467" s="189">
        <v>0.1</v>
      </c>
      <c r="AI1467" s="189">
        <v>2</v>
      </c>
      <c r="AL1467" s="62">
        <v>35</v>
      </c>
      <c r="BF1467" s="62">
        <v>0</v>
      </c>
      <c r="BI1467" s="62">
        <v>1</v>
      </c>
    </row>
    <row r="1468" spans="1:61" s="62" customFormat="1" ht="39">
      <c r="A1468" s="62">
        <v>21100002</v>
      </c>
      <c r="C1468" s="62">
        <v>8</v>
      </c>
      <c r="F1468" s="181" t="s">
        <v>4329</v>
      </c>
      <c r="G1468" s="106" t="s">
        <v>4147</v>
      </c>
      <c r="H1468" s="62" t="str">
        <f>VLOOKUP(F1468,'#对话模型配置'!A:O,14,FALSE)</f>
        <v>icon_hero</v>
      </c>
      <c r="I1468" s="62" t="s">
        <v>4734</v>
      </c>
      <c r="J1468" s="184" t="s">
        <v>4851</v>
      </c>
      <c r="K1468" s="185" t="s">
        <v>4852</v>
      </c>
      <c r="L1468" s="62">
        <v>110003</v>
      </c>
      <c r="M1468" s="62" t="s">
        <v>3289</v>
      </c>
      <c r="O1468" s="62" t="s">
        <v>4824</v>
      </c>
      <c r="U1468" s="62">
        <v>6</v>
      </c>
      <c r="V1468" s="62">
        <v>0</v>
      </c>
      <c r="Y1468" s="62" t="b">
        <v>0</v>
      </c>
      <c r="Z1468" s="62" t="s">
        <v>4853</v>
      </c>
      <c r="AA1468" s="62" t="b">
        <v>0</v>
      </c>
      <c r="AD1468" s="62">
        <v>14.8396043777466</v>
      </c>
      <c r="AE1468" s="62">
        <f t="shared" si="114"/>
        <v>15.8396043777466</v>
      </c>
      <c r="AF1468" s="62" t="s">
        <v>4854</v>
      </c>
      <c r="AH1468" s="189">
        <v>0.1</v>
      </c>
      <c r="AI1468" s="189">
        <v>2</v>
      </c>
      <c r="AL1468" s="62">
        <v>35</v>
      </c>
      <c r="BF1468" s="62">
        <v>0</v>
      </c>
      <c r="BI1468" s="62">
        <v>1</v>
      </c>
    </row>
    <row r="1469" spans="1:61" s="62" customFormat="1" ht="14.5">
      <c r="A1469" s="62">
        <v>21100002</v>
      </c>
      <c r="C1469" s="62">
        <v>9</v>
      </c>
      <c r="F1469" s="181" t="s">
        <v>4811</v>
      </c>
      <c r="G1469" s="106" t="s">
        <v>4812</v>
      </c>
      <c r="H1469" s="62" t="str">
        <f>VLOOKUP(F1469,'#对话模型配置'!A:O,14,FALSE)</f>
        <v>icon_hero</v>
      </c>
      <c r="I1469" s="62" t="s">
        <v>4813</v>
      </c>
      <c r="J1469" s="184" t="s">
        <v>4855</v>
      </c>
      <c r="K1469" s="185" t="s">
        <v>4856</v>
      </c>
      <c r="L1469" s="62">
        <v>110009</v>
      </c>
      <c r="M1469" s="62" t="s">
        <v>4840</v>
      </c>
      <c r="O1469" s="62" t="s">
        <v>4818</v>
      </c>
      <c r="U1469" s="62">
        <v>6</v>
      </c>
      <c r="V1469" s="62">
        <v>0</v>
      </c>
      <c r="Y1469" s="62" t="b">
        <v>0</v>
      </c>
      <c r="Z1469" s="62" t="s">
        <v>4857</v>
      </c>
      <c r="AA1469" s="62" t="b">
        <v>0</v>
      </c>
      <c r="AD1469" s="62">
        <v>1.0392919778823899</v>
      </c>
      <c r="AE1469" s="62">
        <f t="shared" si="114"/>
        <v>2.0392919778823897</v>
      </c>
      <c r="AF1469" s="62" t="s">
        <v>4858</v>
      </c>
      <c r="AH1469" s="189">
        <v>0.1</v>
      </c>
      <c r="AI1469" s="189">
        <v>2</v>
      </c>
      <c r="AL1469" s="62">
        <v>35</v>
      </c>
      <c r="BF1469" s="62">
        <v>0</v>
      </c>
      <c r="BI1469" s="62">
        <v>1</v>
      </c>
    </row>
    <row r="1470" spans="1:61" s="62" customFormat="1" ht="14.5">
      <c r="A1470" s="62">
        <v>21100002</v>
      </c>
      <c r="C1470" s="62">
        <v>10</v>
      </c>
      <c r="F1470" s="181" t="s">
        <v>4329</v>
      </c>
      <c r="G1470" s="106" t="s">
        <v>4147</v>
      </c>
      <c r="H1470" s="62" t="str">
        <f>VLOOKUP(F1470,'#对话模型配置'!A:O,14,FALSE)</f>
        <v>icon_hero</v>
      </c>
      <c r="I1470" s="62" t="s">
        <v>4734</v>
      </c>
      <c r="J1470" s="184" t="s">
        <v>4859</v>
      </c>
      <c r="K1470" s="185" t="s">
        <v>4860</v>
      </c>
      <c r="L1470" s="62">
        <v>110003</v>
      </c>
      <c r="M1470" s="62" t="s">
        <v>4840</v>
      </c>
      <c r="O1470" s="62" t="s">
        <v>4824</v>
      </c>
      <c r="U1470" s="62">
        <v>6</v>
      </c>
      <c r="V1470" s="62">
        <v>0</v>
      </c>
      <c r="Y1470" s="62" t="b">
        <v>0</v>
      </c>
      <c r="Z1470" s="62" t="s">
        <v>4861</v>
      </c>
      <c r="AA1470" s="62" t="b">
        <v>0</v>
      </c>
      <c r="AD1470" s="62">
        <v>2.7871880531311</v>
      </c>
      <c r="AE1470" s="62">
        <f t="shared" si="114"/>
        <v>3.7871880531311</v>
      </c>
      <c r="AF1470" s="62" t="s">
        <v>4862</v>
      </c>
      <c r="AH1470" s="189">
        <v>0.1</v>
      </c>
      <c r="AI1470" s="189">
        <v>2</v>
      </c>
      <c r="AL1470" s="62">
        <v>35</v>
      </c>
      <c r="BF1470" s="62">
        <v>0</v>
      </c>
      <c r="BI1470" s="62">
        <v>1</v>
      </c>
    </row>
    <row r="1471" spans="1:61" s="62" customFormat="1" ht="26">
      <c r="A1471" s="62">
        <v>21100002</v>
      </c>
      <c r="C1471" s="62">
        <v>11</v>
      </c>
      <c r="F1471" s="181" t="s">
        <v>4811</v>
      </c>
      <c r="G1471" s="106" t="s">
        <v>4812</v>
      </c>
      <c r="H1471" s="62" t="str">
        <f>VLOOKUP(F1471,'#对话模型配置'!A:O,14,FALSE)</f>
        <v>icon_hero</v>
      </c>
      <c r="I1471" s="62" t="s">
        <v>4813</v>
      </c>
      <c r="J1471" s="184" t="s">
        <v>4863</v>
      </c>
      <c r="K1471" s="185" t="s">
        <v>4864</v>
      </c>
      <c r="L1471" s="62">
        <v>110009</v>
      </c>
      <c r="M1471" s="62" t="s">
        <v>3450</v>
      </c>
      <c r="O1471" s="62" t="s">
        <v>4818</v>
      </c>
      <c r="R1471" s="62" t="s">
        <v>4865</v>
      </c>
      <c r="U1471" s="62">
        <v>6</v>
      </c>
      <c r="V1471" s="62">
        <v>0</v>
      </c>
      <c r="Y1471" s="62" t="b">
        <v>0</v>
      </c>
      <c r="Z1471" s="62" t="s">
        <v>4866</v>
      </c>
      <c r="AA1471" s="62" t="b">
        <v>0</v>
      </c>
      <c r="AD1471" s="62">
        <v>11.671916961669901</v>
      </c>
      <c r="AE1471" s="62">
        <f t="shared" si="114"/>
        <v>12.671916961669901</v>
      </c>
      <c r="AF1471" s="62" t="s">
        <v>4867</v>
      </c>
      <c r="AH1471" s="189">
        <v>0.1</v>
      </c>
      <c r="AI1471" s="189">
        <v>2</v>
      </c>
      <c r="AL1471" s="62">
        <v>35</v>
      </c>
      <c r="BF1471" s="62">
        <v>0</v>
      </c>
      <c r="BI1471" s="62">
        <v>1</v>
      </c>
    </row>
    <row r="1472" spans="1:61" s="62" customFormat="1" ht="14.5">
      <c r="A1472" s="62">
        <v>21100002</v>
      </c>
      <c r="C1472" s="62">
        <v>12</v>
      </c>
      <c r="F1472" s="181" t="s">
        <v>4811</v>
      </c>
      <c r="G1472" s="106" t="s">
        <v>4812</v>
      </c>
      <c r="H1472" s="62" t="str">
        <f>VLOOKUP(F1472,'#对话模型配置'!A:O,14,FALSE)</f>
        <v>icon_hero</v>
      </c>
      <c r="I1472" s="62" t="s">
        <v>4813</v>
      </c>
      <c r="J1472" s="184" t="s">
        <v>4868</v>
      </c>
      <c r="K1472" s="185" t="s">
        <v>4869</v>
      </c>
      <c r="L1472" s="62">
        <v>110009</v>
      </c>
      <c r="M1472" s="62" t="s">
        <v>4816</v>
      </c>
      <c r="O1472" s="62" t="s">
        <v>4870</v>
      </c>
      <c r="P1472" s="62" t="s">
        <v>4871</v>
      </c>
      <c r="Q1472" s="62">
        <v>4</v>
      </c>
      <c r="U1472" s="62">
        <v>6</v>
      </c>
      <c r="V1472" s="62">
        <v>0</v>
      </c>
      <c r="Y1472" s="62" t="b">
        <v>0</v>
      </c>
      <c r="Z1472" s="62" t="s">
        <v>4872</v>
      </c>
      <c r="AA1472" s="62" t="b">
        <v>0</v>
      </c>
      <c r="AD1472" s="62">
        <v>6.0401668548584002</v>
      </c>
      <c r="AE1472" s="62">
        <f t="shared" si="114"/>
        <v>7.0401668548584002</v>
      </c>
      <c r="AF1472" s="62" t="s">
        <v>4873</v>
      </c>
      <c r="AH1472" s="189">
        <v>0.1</v>
      </c>
      <c r="AI1472" s="189">
        <v>2</v>
      </c>
      <c r="AL1472" s="62">
        <v>35</v>
      </c>
      <c r="BF1472" s="62">
        <v>0</v>
      </c>
      <c r="BI1472" s="62">
        <v>1</v>
      </c>
    </row>
    <row r="1473" spans="1:61" s="62" customFormat="1" ht="14.5">
      <c r="A1473" s="62">
        <v>21100002</v>
      </c>
      <c r="C1473" s="62">
        <v>13</v>
      </c>
      <c r="F1473" s="181" t="s">
        <v>4722</v>
      </c>
      <c r="G1473" s="106" t="s">
        <v>2330</v>
      </c>
      <c r="H1473" s="62" t="str">
        <f>VLOOKUP(F1473,'#对话模型配置'!A:O,14,FALSE)</f>
        <v>icon_hero</v>
      </c>
      <c r="I1473" s="62" t="s">
        <v>4723</v>
      </c>
      <c r="J1473" s="184" t="s">
        <v>4874</v>
      </c>
      <c r="K1473" s="185" t="s">
        <v>4875</v>
      </c>
      <c r="L1473" s="62">
        <v>110008</v>
      </c>
      <c r="M1473" s="62" t="s">
        <v>3289</v>
      </c>
      <c r="O1473" s="62" t="s">
        <v>4876</v>
      </c>
      <c r="P1473" s="62" t="s">
        <v>4877</v>
      </c>
      <c r="Q1473" s="62">
        <v>0.5</v>
      </c>
      <c r="R1473" s="62" t="s">
        <v>4878</v>
      </c>
      <c r="U1473" s="62">
        <v>6</v>
      </c>
      <c r="V1473" s="62">
        <v>0</v>
      </c>
      <c r="Y1473" s="62" t="b">
        <v>0</v>
      </c>
      <c r="Z1473" s="62" t="s">
        <v>4879</v>
      </c>
      <c r="AA1473" s="62" t="b">
        <v>0</v>
      </c>
      <c r="AD1473" s="62">
        <v>6.2018752098083496</v>
      </c>
      <c r="AE1473" s="62">
        <f t="shared" si="114"/>
        <v>7.2018752098083496</v>
      </c>
      <c r="AF1473" s="62" t="s">
        <v>4880</v>
      </c>
      <c r="AH1473" s="189">
        <v>0.1</v>
      </c>
      <c r="AI1473" s="189">
        <v>2</v>
      </c>
      <c r="AL1473" s="62">
        <v>35</v>
      </c>
      <c r="BF1473" s="62">
        <v>0</v>
      </c>
      <c r="BI1473" s="62">
        <v>1</v>
      </c>
    </row>
    <row r="1474" spans="1:61" s="62" customFormat="1" ht="26">
      <c r="A1474" s="62">
        <v>21100002</v>
      </c>
      <c r="C1474" s="62">
        <v>14</v>
      </c>
      <c r="F1474" s="181" t="s">
        <v>4329</v>
      </c>
      <c r="G1474" s="106" t="s">
        <v>4147</v>
      </c>
      <c r="H1474" s="62" t="str">
        <f>VLOOKUP(F1474,'#对话模型配置'!A:O,14,FALSE)</f>
        <v>icon_hero</v>
      </c>
      <c r="I1474" s="62" t="s">
        <v>4734</v>
      </c>
      <c r="J1474" s="184" t="s">
        <v>4881</v>
      </c>
      <c r="K1474" s="185" t="s">
        <v>4882</v>
      </c>
      <c r="L1474" s="62">
        <v>110003</v>
      </c>
      <c r="M1474" s="62" t="s">
        <v>3285</v>
      </c>
      <c r="O1474" s="62" t="s">
        <v>4824</v>
      </c>
      <c r="U1474" s="62">
        <v>6</v>
      </c>
      <c r="V1474" s="62">
        <v>0</v>
      </c>
      <c r="Y1474" s="62" t="b">
        <v>0</v>
      </c>
      <c r="Z1474" s="62" t="s">
        <v>4883</v>
      </c>
      <c r="AA1474" s="62" t="b">
        <v>0</v>
      </c>
      <c r="AD1474" s="62">
        <v>13.66233253479</v>
      </c>
      <c r="AE1474" s="62">
        <f t="shared" si="114"/>
        <v>14.66233253479</v>
      </c>
      <c r="AF1474" s="62" t="s">
        <v>4884</v>
      </c>
      <c r="AH1474" s="189">
        <v>0.1</v>
      </c>
      <c r="AI1474" s="189">
        <v>2</v>
      </c>
      <c r="AL1474" s="62">
        <v>35</v>
      </c>
      <c r="BF1474" s="62">
        <v>0</v>
      </c>
      <c r="BI1474" s="62">
        <v>1</v>
      </c>
    </row>
    <row r="1475" spans="1:61" s="62" customFormat="1" ht="14.5">
      <c r="A1475" s="62">
        <v>21100002</v>
      </c>
      <c r="C1475" s="62">
        <v>15</v>
      </c>
      <c r="F1475" s="181" t="s">
        <v>4722</v>
      </c>
      <c r="G1475" s="106" t="s">
        <v>2330</v>
      </c>
      <c r="H1475" s="62" t="str">
        <f>VLOOKUP(F1475,'#对话模型配置'!A:O,14,FALSE)</f>
        <v>icon_hero</v>
      </c>
      <c r="I1475" s="62" t="s">
        <v>4723</v>
      </c>
      <c r="J1475" s="184" t="s">
        <v>4885</v>
      </c>
      <c r="K1475" s="185" t="s">
        <v>4886</v>
      </c>
      <c r="L1475" s="62">
        <v>110008</v>
      </c>
      <c r="M1475" s="62" t="s">
        <v>4840</v>
      </c>
      <c r="O1475" s="62" t="s">
        <v>4877</v>
      </c>
      <c r="U1475" s="62">
        <v>6</v>
      </c>
      <c r="V1475" s="62">
        <v>0</v>
      </c>
      <c r="Y1475" s="62" t="b">
        <v>0</v>
      </c>
      <c r="Z1475" s="62" t="s">
        <v>4887</v>
      </c>
      <c r="AA1475" s="62" t="b">
        <v>0</v>
      </c>
      <c r="AD1475" s="62">
        <v>8.7513961791992205</v>
      </c>
      <c r="AE1475" s="62">
        <f t="shared" si="114"/>
        <v>9.7513961791992205</v>
      </c>
      <c r="AF1475" s="62" t="s">
        <v>4888</v>
      </c>
      <c r="AH1475" s="189">
        <v>0.1</v>
      </c>
      <c r="AI1475" s="189">
        <v>2</v>
      </c>
      <c r="AL1475" s="62">
        <v>35</v>
      </c>
      <c r="BF1475" s="62">
        <v>0</v>
      </c>
      <c r="BI1475" s="62">
        <v>1</v>
      </c>
    </row>
    <row r="1476" spans="1:61" s="62" customFormat="1" ht="39">
      <c r="A1476" s="62">
        <v>21100002</v>
      </c>
      <c r="C1476" s="62">
        <v>16</v>
      </c>
      <c r="F1476" s="181" t="s">
        <v>4329</v>
      </c>
      <c r="G1476" s="106" t="s">
        <v>4147</v>
      </c>
      <c r="H1476" s="62" t="str">
        <f>VLOOKUP(F1476,'#对话模型配置'!A:O,14,FALSE)</f>
        <v>icon_hero</v>
      </c>
      <c r="I1476" s="62" t="s">
        <v>4734</v>
      </c>
      <c r="J1476" s="184" t="s">
        <v>4889</v>
      </c>
      <c r="K1476" s="185" t="s">
        <v>4890</v>
      </c>
      <c r="L1476" s="62">
        <v>110003</v>
      </c>
      <c r="M1476" s="62" t="s">
        <v>3289</v>
      </c>
      <c r="O1476" s="62" t="s">
        <v>4824</v>
      </c>
      <c r="U1476" s="62">
        <v>6</v>
      </c>
      <c r="V1476" s="62">
        <v>0</v>
      </c>
      <c r="Y1476" s="62" t="b">
        <v>0</v>
      </c>
      <c r="Z1476" s="62" t="s">
        <v>4891</v>
      </c>
      <c r="AA1476" s="62" t="b">
        <v>0</v>
      </c>
      <c r="AD1476" s="62">
        <v>12.72350025177</v>
      </c>
      <c r="AE1476" s="62">
        <f t="shared" si="114"/>
        <v>13.72350025177</v>
      </c>
      <c r="AF1476" s="62" t="s">
        <v>4892</v>
      </c>
      <c r="AH1476" s="189">
        <v>0.1</v>
      </c>
      <c r="AI1476" s="189">
        <v>2</v>
      </c>
      <c r="AL1476" s="62">
        <v>35</v>
      </c>
      <c r="BF1476" s="62">
        <v>0</v>
      </c>
      <c r="BI1476" s="62">
        <v>1</v>
      </c>
    </row>
    <row r="1477" spans="1:61" s="76" customFormat="1" ht="26">
      <c r="A1477" s="76">
        <v>21100003</v>
      </c>
      <c r="C1477" s="76">
        <v>1</v>
      </c>
      <c r="F1477" s="179" t="s">
        <v>4722</v>
      </c>
      <c r="G1477" s="180" t="s">
        <v>2330</v>
      </c>
      <c r="H1477" s="76" t="str">
        <f>VLOOKUP(F1477,'#对话模型配置'!A:O,14,FALSE)</f>
        <v>icon_hero</v>
      </c>
      <c r="I1477" s="76" t="s">
        <v>4723</v>
      </c>
      <c r="J1477" s="182" t="s">
        <v>4893</v>
      </c>
      <c r="K1477" s="183" t="s">
        <v>4894</v>
      </c>
      <c r="L1477" s="76">
        <v>110008</v>
      </c>
      <c r="M1477" s="76" t="s">
        <v>3289</v>
      </c>
      <c r="O1477" s="76" t="s">
        <v>4895</v>
      </c>
      <c r="P1477" s="76" t="s">
        <v>4896</v>
      </c>
      <c r="Q1477" s="76">
        <v>0.5</v>
      </c>
      <c r="R1477" s="76" t="s">
        <v>4897</v>
      </c>
      <c r="U1477" s="76">
        <v>6</v>
      </c>
      <c r="V1477" s="76">
        <v>0</v>
      </c>
      <c r="Y1477" s="76" t="b">
        <v>0</v>
      </c>
      <c r="Z1477" s="76" t="s">
        <v>4898</v>
      </c>
      <c r="AA1477" s="76" t="b">
        <v>0</v>
      </c>
      <c r="AD1477" s="76">
        <v>9.2962083816528303</v>
      </c>
      <c r="AE1477" s="76">
        <f t="shared" si="114"/>
        <v>10.29620838165283</v>
      </c>
      <c r="AF1477" s="76" t="s">
        <v>4899</v>
      </c>
      <c r="AH1477" s="188">
        <v>0.1</v>
      </c>
      <c r="AI1477" s="188">
        <v>2</v>
      </c>
      <c r="AL1477" s="76">
        <v>35</v>
      </c>
      <c r="BF1477" s="76">
        <v>0</v>
      </c>
      <c r="BI1477" s="76">
        <v>1</v>
      </c>
    </row>
    <row r="1478" spans="1:61" s="76" customFormat="1" ht="14.5">
      <c r="A1478" s="76">
        <v>21100003</v>
      </c>
      <c r="C1478" s="76">
        <v>2</v>
      </c>
      <c r="F1478" s="179" t="s">
        <v>4722</v>
      </c>
      <c r="G1478" s="180" t="s">
        <v>2330</v>
      </c>
      <c r="H1478" s="76" t="str">
        <f>VLOOKUP(F1478,'#对话模型配置'!A:O,14,FALSE)</f>
        <v>icon_hero</v>
      </c>
      <c r="I1478" s="76" t="s">
        <v>4723</v>
      </c>
      <c r="J1478" s="182" t="s">
        <v>4900</v>
      </c>
      <c r="K1478" s="183" t="s">
        <v>4901</v>
      </c>
      <c r="L1478" s="76">
        <v>110008</v>
      </c>
      <c r="M1478" s="76" t="s">
        <v>4840</v>
      </c>
      <c r="O1478" s="76" t="s">
        <v>4896</v>
      </c>
      <c r="U1478" s="76">
        <v>6</v>
      </c>
      <c r="V1478" s="76">
        <v>0</v>
      </c>
      <c r="Y1478" s="76" t="b">
        <v>0</v>
      </c>
      <c r="Z1478" s="76" t="s">
        <v>4902</v>
      </c>
      <c r="AA1478" s="76" t="b">
        <v>0</v>
      </c>
      <c r="AD1478" s="76">
        <v>9.4707288742065394</v>
      </c>
      <c r="AE1478" s="76">
        <f t="shared" si="114"/>
        <v>10.470728874206539</v>
      </c>
      <c r="AF1478" s="76" t="s">
        <v>4903</v>
      </c>
      <c r="AH1478" s="188">
        <v>0.1</v>
      </c>
      <c r="AI1478" s="188">
        <v>2</v>
      </c>
      <c r="AL1478" s="76">
        <v>35</v>
      </c>
      <c r="BF1478" s="76">
        <v>0</v>
      </c>
      <c r="BI1478" s="76">
        <v>1</v>
      </c>
    </row>
    <row r="1479" spans="1:61" s="76" customFormat="1" ht="26">
      <c r="A1479" s="76">
        <v>21100003</v>
      </c>
      <c r="C1479" s="76">
        <v>3</v>
      </c>
      <c r="F1479" s="179" t="s">
        <v>4329</v>
      </c>
      <c r="G1479" s="180" t="s">
        <v>4147</v>
      </c>
      <c r="H1479" s="76" t="str">
        <f>VLOOKUP(F1479,'#对话模型配置'!A:O,14,FALSE)</f>
        <v>icon_hero</v>
      </c>
      <c r="I1479" s="76" t="s">
        <v>4734</v>
      </c>
      <c r="J1479" s="182" t="s">
        <v>4904</v>
      </c>
      <c r="K1479" s="183" t="s">
        <v>4905</v>
      </c>
      <c r="L1479" s="76">
        <v>110003</v>
      </c>
      <c r="M1479" s="76" t="s">
        <v>3289</v>
      </c>
      <c r="O1479" s="76" t="s">
        <v>4906</v>
      </c>
      <c r="U1479" s="76">
        <v>6</v>
      </c>
      <c r="V1479" s="76">
        <v>0</v>
      </c>
      <c r="Y1479" s="76" t="b">
        <v>0</v>
      </c>
      <c r="Z1479" s="76" t="s">
        <v>4907</v>
      </c>
      <c r="AA1479" s="76" t="b">
        <v>0</v>
      </c>
      <c r="AD1479" s="76">
        <v>7.4784369468689</v>
      </c>
      <c r="AE1479" s="76">
        <f t="shared" si="114"/>
        <v>8.4784369468689</v>
      </c>
      <c r="AF1479" s="76" t="s">
        <v>4908</v>
      </c>
      <c r="AH1479" s="188">
        <v>0.1</v>
      </c>
      <c r="AI1479" s="188">
        <v>2</v>
      </c>
      <c r="AL1479" s="76">
        <v>35</v>
      </c>
      <c r="BF1479" s="76">
        <v>0</v>
      </c>
      <c r="BI1479" s="76">
        <v>1</v>
      </c>
    </row>
    <row r="1480" spans="1:61" s="76" customFormat="1" ht="14.5">
      <c r="A1480" s="76">
        <v>21100003</v>
      </c>
      <c r="C1480" s="76">
        <v>4</v>
      </c>
      <c r="F1480" s="179" t="s">
        <v>4722</v>
      </c>
      <c r="G1480" s="180" t="s">
        <v>2330</v>
      </c>
      <c r="H1480" s="76" t="str">
        <f>VLOOKUP(F1480,'#对话模型配置'!A:O,14,FALSE)</f>
        <v>icon_hero</v>
      </c>
      <c r="I1480" s="76" t="s">
        <v>4723</v>
      </c>
      <c r="J1480" s="182" t="s">
        <v>4909</v>
      </c>
      <c r="K1480" s="183" t="s">
        <v>4910</v>
      </c>
      <c r="L1480" s="76">
        <v>110008</v>
      </c>
      <c r="M1480" s="76" t="s">
        <v>4840</v>
      </c>
      <c r="O1480" s="76" t="s">
        <v>4896</v>
      </c>
      <c r="U1480" s="76">
        <v>6</v>
      </c>
      <c r="V1480" s="76">
        <v>0</v>
      </c>
      <c r="Y1480" s="76" t="b">
        <v>0</v>
      </c>
      <c r="Z1480" s="76" t="s">
        <v>4911</v>
      </c>
      <c r="AA1480" s="76" t="b">
        <v>0</v>
      </c>
      <c r="AD1480" s="76">
        <v>6.8122920989990199</v>
      </c>
      <c r="AE1480" s="76">
        <f t="shared" si="114"/>
        <v>7.8122920989990199</v>
      </c>
      <c r="AF1480" s="76" t="s">
        <v>4912</v>
      </c>
      <c r="AH1480" s="188">
        <v>0.1</v>
      </c>
      <c r="AI1480" s="188">
        <v>2</v>
      </c>
      <c r="AL1480" s="76">
        <v>35</v>
      </c>
      <c r="BF1480" s="76">
        <v>0</v>
      </c>
      <c r="BI1480" s="76">
        <v>1</v>
      </c>
    </row>
    <row r="1481" spans="1:61" s="76" customFormat="1" ht="26">
      <c r="A1481" s="76">
        <v>21100003</v>
      </c>
      <c r="C1481" s="76">
        <v>5</v>
      </c>
      <c r="F1481" s="179" t="s">
        <v>4722</v>
      </c>
      <c r="G1481" s="180" t="s">
        <v>2330</v>
      </c>
      <c r="H1481" s="76" t="str">
        <f>VLOOKUP(F1481,'#对话模型配置'!A:O,14,FALSE)</f>
        <v>icon_hero</v>
      </c>
      <c r="I1481" s="76" t="s">
        <v>4723</v>
      </c>
      <c r="J1481" s="182" t="s">
        <v>4913</v>
      </c>
      <c r="K1481" s="183" t="s">
        <v>4914</v>
      </c>
      <c r="L1481" s="76">
        <v>110008</v>
      </c>
      <c r="M1481" s="76" t="s">
        <v>3314</v>
      </c>
      <c r="O1481" s="76" t="s">
        <v>4896</v>
      </c>
      <c r="U1481" s="76">
        <v>6</v>
      </c>
      <c r="V1481" s="76">
        <v>0</v>
      </c>
      <c r="Y1481" s="76" t="b">
        <v>0</v>
      </c>
      <c r="Z1481" s="76" t="s">
        <v>4915</v>
      </c>
      <c r="AA1481" s="76" t="b">
        <v>0</v>
      </c>
      <c r="AD1481" s="76">
        <v>10.4642496109009</v>
      </c>
      <c r="AE1481" s="76">
        <f t="shared" si="114"/>
        <v>11.4642496109009</v>
      </c>
      <c r="AF1481" s="76" t="s">
        <v>4916</v>
      </c>
      <c r="AH1481" s="188">
        <v>0.1</v>
      </c>
      <c r="AI1481" s="188">
        <v>2</v>
      </c>
      <c r="AL1481" s="76">
        <v>35</v>
      </c>
      <c r="BF1481" s="76">
        <v>0</v>
      </c>
      <c r="BI1481" s="76">
        <v>1</v>
      </c>
    </row>
    <row r="1482" spans="1:61" s="76" customFormat="1" ht="14.5">
      <c r="A1482" s="76">
        <v>21100003</v>
      </c>
      <c r="C1482" s="76">
        <v>6</v>
      </c>
      <c r="F1482" s="179" t="s">
        <v>4329</v>
      </c>
      <c r="G1482" s="180" t="s">
        <v>4147</v>
      </c>
      <c r="H1482" s="76" t="str">
        <f>VLOOKUP(F1482,'#对话模型配置'!A:O,14,FALSE)</f>
        <v>icon_hero</v>
      </c>
      <c r="I1482" s="76" t="s">
        <v>4734</v>
      </c>
      <c r="J1482" s="182" t="s">
        <v>4917</v>
      </c>
      <c r="K1482" s="183" t="s">
        <v>4918</v>
      </c>
      <c r="L1482" s="76">
        <v>110003</v>
      </c>
      <c r="M1482" s="76" t="s">
        <v>3285</v>
      </c>
      <c r="O1482" s="76" t="s">
        <v>4906</v>
      </c>
      <c r="U1482" s="76">
        <v>6</v>
      </c>
      <c r="V1482" s="76">
        <v>0</v>
      </c>
      <c r="Y1482" s="76" t="b">
        <v>0</v>
      </c>
      <c r="Z1482" s="76" t="s">
        <v>4919</v>
      </c>
      <c r="AA1482" s="76" t="b">
        <v>0</v>
      </c>
      <c r="AD1482" s="76">
        <v>3.68879199028015</v>
      </c>
      <c r="AE1482" s="76">
        <f t="shared" si="114"/>
        <v>4.6887919902801496</v>
      </c>
      <c r="AF1482" s="76" t="s">
        <v>4920</v>
      </c>
      <c r="AH1482" s="188">
        <v>0.1</v>
      </c>
      <c r="AI1482" s="188">
        <v>2</v>
      </c>
      <c r="AL1482" s="76">
        <v>35</v>
      </c>
      <c r="BF1482" s="76">
        <v>0</v>
      </c>
      <c r="BI1482" s="76">
        <v>1</v>
      </c>
    </row>
    <row r="1483" spans="1:61" s="76" customFormat="1" ht="14.5">
      <c r="A1483" s="76">
        <v>21100003</v>
      </c>
      <c r="C1483" s="76">
        <v>7</v>
      </c>
      <c r="F1483" s="179" t="s">
        <v>4722</v>
      </c>
      <c r="G1483" s="180" t="s">
        <v>2330</v>
      </c>
      <c r="H1483" s="76" t="str">
        <f>VLOOKUP(F1483,'#对话模型配置'!A:O,14,FALSE)</f>
        <v>icon_hero</v>
      </c>
      <c r="I1483" s="76" t="s">
        <v>4723</v>
      </c>
      <c r="J1483" s="182" t="s">
        <v>4921</v>
      </c>
      <c r="K1483" s="183" t="s">
        <v>4922</v>
      </c>
      <c r="L1483" s="76">
        <v>110008</v>
      </c>
      <c r="M1483" s="76" t="s">
        <v>4840</v>
      </c>
      <c r="O1483" s="76" t="s">
        <v>4896</v>
      </c>
      <c r="U1483" s="76">
        <v>6</v>
      </c>
      <c r="V1483" s="76">
        <v>0</v>
      </c>
      <c r="Y1483" s="76" t="b">
        <v>0</v>
      </c>
      <c r="Z1483" s="76" t="s">
        <v>4923</v>
      </c>
      <c r="AA1483" s="76" t="b">
        <v>0</v>
      </c>
      <c r="AD1483" s="76">
        <v>8.5345211029052699</v>
      </c>
      <c r="AE1483" s="76">
        <f t="shared" si="114"/>
        <v>9.5345211029052699</v>
      </c>
      <c r="AF1483" s="76" t="s">
        <v>4924</v>
      </c>
      <c r="AH1483" s="188">
        <v>0.1</v>
      </c>
      <c r="AI1483" s="188">
        <v>2</v>
      </c>
      <c r="AL1483" s="76">
        <v>35</v>
      </c>
      <c r="BF1483" s="76">
        <v>0</v>
      </c>
      <c r="BI1483" s="76">
        <v>1</v>
      </c>
    </row>
    <row r="1484" spans="1:61" s="62" customFormat="1" ht="26">
      <c r="A1484" s="62">
        <v>21200003</v>
      </c>
      <c r="C1484" s="62">
        <v>1</v>
      </c>
      <c r="F1484" s="181" t="s">
        <v>4811</v>
      </c>
      <c r="G1484" s="106" t="s">
        <v>4812</v>
      </c>
      <c r="H1484" s="62" t="str">
        <f>VLOOKUP(F1484,'#对话模型配置'!A:O,14,FALSE)</f>
        <v>icon_hero</v>
      </c>
      <c r="I1484" s="62" t="s">
        <v>4813</v>
      </c>
      <c r="J1484" s="184" t="s">
        <v>4925</v>
      </c>
      <c r="K1484" s="185" t="s">
        <v>4926</v>
      </c>
      <c r="L1484" s="62">
        <v>110009</v>
      </c>
      <c r="M1484" s="62" t="s">
        <v>3453</v>
      </c>
      <c r="O1484" s="62" t="s">
        <v>4927</v>
      </c>
      <c r="R1484" s="62" t="s">
        <v>4928</v>
      </c>
      <c r="S1484" s="62" t="s">
        <v>4929</v>
      </c>
      <c r="U1484" s="62">
        <v>6</v>
      </c>
      <c r="V1484" s="62">
        <v>0</v>
      </c>
      <c r="Y1484" s="62" t="b">
        <v>0</v>
      </c>
      <c r="Z1484" s="62" t="s">
        <v>4930</v>
      </c>
      <c r="AA1484" s="62" t="b">
        <v>0</v>
      </c>
      <c r="AD1484" s="62">
        <v>15.6746664047241</v>
      </c>
      <c r="AE1484" s="62">
        <f t="shared" si="114"/>
        <v>16.6746664047241</v>
      </c>
      <c r="AF1484" s="62" t="s">
        <v>4931</v>
      </c>
      <c r="AH1484" s="189">
        <v>0.1</v>
      </c>
      <c r="AI1484" s="189">
        <v>2</v>
      </c>
      <c r="AL1484" s="62">
        <v>35</v>
      </c>
      <c r="BF1484" s="62">
        <v>0</v>
      </c>
      <c r="BI1484" s="62">
        <v>1</v>
      </c>
    </row>
    <row r="1485" spans="1:61" s="62" customFormat="1" ht="14.5">
      <c r="A1485" s="62">
        <v>21200003</v>
      </c>
      <c r="C1485" s="62">
        <v>2</v>
      </c>
      <c r="F1485" s="181" t="s">
        <v>4329</v>
      </c>
      <c r="G1485" s="106" t="s">
        <v>4147</v>
      </c>
      <c r="H1485" s="62" t="str">
        <f>VLOOKUP(F1485,'#对话模型配置'!A:O,14,FALSE)</f>
        <v>icon_hero</v>
      </c>
      <c r="I1485" s="62" t="s">
        <v>4734</v>
      </c>
      <c r="J1485" s="184" t="s">
        <v>4932</v>
      </c>
      <c r="K1485" s="185" t="s">
        <v>4933</v>
      </c>
      <c r="L1485" s="62">
        <v>110003</v>
      </c>
      <c r="M1485" s="62" t="s">
        <v>3289</v>
      </c>
      <c r="O1485" s="62" t="s">
        <v>4906</v>
      </c>
      <c r="R1485" s="62" t="s">
        <v>4928</v>
      </c>
      <c r="U1485" s="62">
        <v>6</v>
      </c>
      <c r="V1485" s="62">
        <v>0</v>
      </c>
      <c r="Y1485" s="62" t="b">
        <v>0</v>
      </c>
      <c r="Z1485" s="62" t="s">
        <v>4934</v>
      </c>
      <c r="AA1485" s="62" t="b">
        <v>0</v>
      </c>
      <c r="AD1485" s="62">
        <v>1.98464596271515</v>
      </c>
      <c r="AE1485" s="62">
        <f t="shared" si="114"/>
        <v>2.9846459627151498</v>
      </c>
      <c r="AF1485" s="62" t="s">
        <v>4935</v>
      </c>
      <c r="AH1485" s="189">
        <v>0.1</v>
      </c>
      <c r="AI1485" s="189">
        <v>2</v>
      </c>
      <c r="AL1485" s="62">
        <v>35</v>
      </c>
      <c r="BF1485" s="62">
        <v>0</v>
      </c>
      <c r="BI1485" s="62">
        <v>1</v>
      </c>
    </row>
    <row r="1486" spans="1:61" s="62" customFormat="1" ht="26">
      <c r="A1486" s="62">
        <v>21200003</v>
      </c>
      <c r="C1486" s="62">
        <v>3</v>
      </c>
      <c r="F1486" s="181" t="s">
        <v>4811</v>
      </c>
      <c r="G1486" s="106" t="s">
        <v>4812</v>
      </c>
      <c r="H1486" s="62" t="str">
        <f>VLOOKUP(F1486,'#对话模型配置'!A:O,14,FALSE)</f>
        <v>icon_hero</v>
      </c>
      <c r="I1486" s="62" t="s">
        <v>4813</v>
      </c>
      <c r="J1486" s="184" t="s">
        <v>4936</v>
      </c>
      <c r="K1486" s="185" t="s">
        <v>4937</v>
      </c>
      <c r="L1486" s="62">
        <v>110009</v>
      </c>
      <c r="M1486" s="62" t="s">
        <v>4831</v>
      </c>
      <c r="O1486" s="62" t="s">
        <v>4927</v>
      </c>
      <c r="U1486" s="62">
        <v>6</v>
      </c>
      <c r="V1486" s="62">
        <v>0</v>
      </c>
      <c r="Y1486" s="62" t="b">
        <v>0</v>
      </c>
      <c r="Z1486" s="62" t="s">
        <v>4938</v>
      </c>
      <c r="AA1486" s="62" t="b">
        <v>0</v>
      </c>
      <c r="AD1486" s="62">
        <v>13.124875068664601</v>
      </c>
      <c r="AE1486" s="62">
        <f t="shared" si="114"/>
        <v>14.124875068664601</v>
      </c>
      <c r="AF1486" s="62" t="s">
        <v>4939</v>
      </c>
      <c r="AH1486" s="189">
        <v>0.1</v>
      </c>
      <c r="AI1486" s="189">
        <v>2</v>
      </c>
      <c r="AL1486" s="62">
        <v>35</v>
      </c>
      <c r="BF1486" s="62">
        <v>0</v>
      </c>
      <c r="BI1486" s="62">
        <v>1</v>
      </c>
    </row>
    <row r="1487" spans="1:61" s="62" customFormat="1" ht="26">
      <c r="A1487" s="62">
        <v>21200003</v>
      </c>
      <c r="C1487" s="62">
        <v>4</v>
      </c>
      <c r="F1487" s="181" t="s">
        <v>4329</v>
      </c>
      <c r="G1487" s="106" t="s">
        <v>4147</v>
      </c>
      <c r="H1487" s="62" t="str">
        <f>VLOOKUP(F1487,'#对话模型配置'!A:O,14,FALSE)</f>
        <v>icon_hero</v>
      </c>
      <c r="I1487" s="62" t="s">
        <v>4734</v>
      </c>
      <c r="J1487" s="184" t="s">
        <v>4940</v>
      </c>
      <c r="K1487" s="185" t="s">
        <v>4941</v>
      </c>
      <c r="L1487" s="62">
        <v>110003</v>
      </c>
      <c r="M1487" s="62" t="s">
        <v>3289</v>
      </c>
      <c r="O1487" s="62" t="s">
        <v>4906</v>
      </c>
      <c r="U1487" s="62">
        <v>6</v>
      </c>
      <c r="V1487" s="62">
        <v>0</v>
      </c>
      <c r="Y1487" s="62" t="b">
        <v>0</v>
      </c>
      <c r="Z1487" s="62" t="s">
        <v>4942</v>
      </c>
      <c r="AA1487" s="62" t="b">
        <v>0</v>
      </c>
      <c r="AD1487" s="62">
        <v>9.2386665344238299</v>
      </c>
      <c r="AE1487" s="62">
        <f t="shared" si="114"/>
        <v>10.23866653442383</v>
      </c>
      <c r="AF1487" s="62" t="s">
        <v>4943</v>
      </c>
      <c r="AH1487" s="189">
        <v>0.1</v>
      </c>
      <c r="AI1487" s="189">
        <v>2</v>
      </c>
      <c r="AL1487" s="62">
        <v>35</v>
      </c>
      <c r="BF1487" s="62">
        <v>0</v>
      </c>
      <c r="BI1487" s="62">
        <v>1</v>
      </c>
    </row>
    <row r="1488" spans="1:61" s="62" customFormat="1" ht="26">
      <c r="A1488" s="62">
        <v>21200003</v>
      </c>
      <c r="C1488" s="62">
        <v>5</v>
      </c>
      <c r="F1488" s="181" t="s">
        <v>4811</v>
      </c>
      <c r="G1488" s="106" t="s">
        <v>4812</v>
      </c>
      <c r="H1488" s="62" t="str">
        <f>VLOOKUP(F1488,'#对话模型配置'!A:O,14,FALSE)</f>
        <v>icon_hero</v>
      </c>
      <c r="I1488" s="62" t="s">
        <v>4813</v>
      </c>
      <c r="J1488" s="184" t="s">
        <v>4944</v>
      </c>
      <c r="K1488" s="185" t="s">
        <v>4945</v>
      </c>
      <c r="L1488" s="62">
        <v>110009</v>
      </c>
      <c r="M1488" s="62" t="s">
        <v>3450</v>
      </c>
      <c r="O1488" s="62" t="s">
        <v>4927</v>
      </c>
      <c r="U1488" s="62">
        <v>6</v>
      </c>
      <c r="V1488" s="62">
        <v>0</v>
      </c>
      <c r="Y1488" s="62" t="b">
        <v>0</v>
      </c>
      <c r="Z1488" s="62" t="s">
        <v>4946</v>
      </c>
      <c r="AA1488" s="62" t="b">
        <v>0</v>
      </c>
      <c r="AD1488" s="62">
        <v>11.168292045593301</v>
      </c>
      <c r="AE1488" s="62">
        <f t="shared" si="114"/>
        <v>12.168292045593301</v>
      </c>
      <c r="AF1488" s="62" t="s">
        <v>4947</v>
      </c>
      <c r="AH1488" s="189">
        <v>0.1</v>
      </c>
      <c r="AI1488" s="189">
        <v>2</v>
      </c>
      <c r="AL1488" s="62">
        <v>35</v>
      </c>
      <c r="BF1488" s="62">
        <v>0</v>
      </c>
      <c r="BI1488" s="62">
        <v>1</v>
      </c>
    </row>
    <row r="1489" spans="1:61" s="62" customFormat="1" ht="14.5">
      <c r="A1489" s="62">
        <v>21200003</v>
      </c>
      <c r="C1489" s="62">
        <v>6</v>
      </c>
      <c r="F1489" s="181" t="s">
        <v>4329</v>
      </c>
      <c r="G1489" s="106" t="s">
        <v>4147</v>
      </c>
      <c r="H1489" s="62" t="str">
        <f>VLOOKUP(F1489,'#对话模型配置'!A:O,14,FALSE)</f>
        <v>icon_hero</v>
      </c>
      <c r="I1489" s="62" t="s">
        <v>4734</v>
      </c>
      <c r="J1489" s="184" t="s">
        <v>4948</v>
      </c>
      <c r="K1489" s="185" t="s">
        <v>4949</v>
      </c>
      <c r="L1489" s="62">
        <v>110003</v>
      </c>
      <c r="M1489" s="62" t="s">
        <v>3314</v>
      </c>
      <c r="O1489" s="62" t="s">
        <v>4906</v>
      </c>
      <c r="U1489" s="62">
        <v>6</v>
      </c>
      <c r="V1489" s="62">
        <v>0</v>
      </c>
      <c r="Y1489" s="62" t="b">
        <v>0</v>
      </c>
      <c r="Z1489" s="62" t="s">
        <v>4950</v>
      </c>
      <c r="AA1489" s="62" t="b">
        <v>0</v>
      </c>
      <c r="AD1489" s="62">
        <v>1.6796460151672401</v>
      </c>
      <c r="AE1489" s="62">
        <f t="shared" si="114"/>
        <v>2.6796460151672399</v>
      </c>
      <c r="AF1489" s="62" t="s">
        <v>4951</v>
      </c>
      <c r="AH1489" s="189">
        <v>0.1</v>
      </c>
      <c r="AI1489" s="189">
        <v>2</v>
      </c>
      <c r="AL1489" s="62">
        <v>35</v>
      </c>
      <c r="BF1489" s="62">
        <v>0</v>
      </c>
      <c r="BI1489" s="62">
        <v>1</v>
      </c>
    </row>
    <row r="1490" spans="1:61" s="62" customFormat="1" ht="14.5">
      <c r="A1490" s="62">
        <v>21200003</v>
      </c>
      <c r="C1490" s="62">
        <v>7</v>
      </c>
      <c r="F1490" s="181" t="s">
        <v>4811</v>
      </c>
      <c r="G1490" s="106" t="s">
        <v>4812</v>
      </c>
      <c r="H1490" s="62" t="str">
        <f>VLOOKUP(F1490,'#对话模型配置'!A:O,14,FALSE)</f>
        <v>icon_hero</v>
      </c>
      <c r="I1490" s="62" t="s">
        <v>4813</v>
      </c>
      <c r="J1490" s="184" t="s">
        <v>4952</v>
      </c>
      <c r="K1490" s="185" t="s">
        <v>4953</v>
      </c>
      <c r="L1490" s="62">
        <v>110009</v>
      </c>
      <c r="M1490" s="62" t="s">
        <v>4831</v>
      </c>
      <c r="O1490" s="62" t="s">
        <v>4927</v>
      </c>
      <c r="U1490" s="62">
        <v>6</v>
      </c>
      <c r="V1490" s="62">
        <v>0</v>
      </c>
      <c r="Y1490" s="62" t="b">
        <v>0</v>
      </c>
      <c r="Z1490" s="62" t="s">
        <v>4954</v>
      </c>
      <c r="AA1490" s="62" t="b">
        <v>0</v>
      </c>
      <c r="AD1490" s="62">
        <v>5.0151247978210396</v>
      </c>
      <c r="AE1490" s="62">
        <f t="shared" si="114"/>
        <v>6.0151247978210396</v>
      </c>
      <c r="AF1490" s="62" t="s">
        <v>4955</v>
      </c>
      <c r="AH1490" s="189">
        <v>0.1</v>
      </c>
      <c r="AI1490" s="189">
        <v>2</v>
      </c>
      <c r="AL1490" s="62">
        <v>35</v>
      </c>
      <c r="BF1490" s="62">
        <v>0</v>
      </c>
      <c r="BI1490" s="62">
        <v>1</v>
      </c>
    </row>
    <row r="1491" spans="1:61" s="76" customFormat="1" ht="26">
      <c r="A1491" s="76">
        <v>21100004</v>
      </c>
      <c r="C1491" s="76">
        <v>1</v>
      </c>
      <c r="F1491" s="179" t="s">
        <v>4722</v>
      </c>
      <c r="G1491" s="180" t="s">
        <v>2330</v>
      </c>
      <c r="H1491" s="76" t="str">
        <f>VLOOKUP(F1491,'#对话模型配置'!A:O,14,FALSE)</f>
        <v>icon_hero</v>
      </c>
      <c r="I1491" s="76" t="s">
        <v>4723</v>
      </c>
      <c r="J1491" s="182" t="s">
        <v>4956</v>
      </c>
      <c r="K1491" s="183" t="s">
        <v>4957</v>
      </c>
      <c r="L1491" s="76">
        <v>110008</v>
      </c>
      <c r="M1491" s="76" t="s">
        <v>3289</v>
      </c>
      <c r="O1491" s="132" t="s">
        <v>4877</v>
      </c>
      <c r="R1491" s="132" t="s">
        <v>4958</v>
      </c>
      <c r="U1491" s="76">
        <v>6</v>
      </c>
      <c r="V1491" s="76">
        <v>0</v>
      </c>
      <c r="Y1491" s="76" t="b">
        <v>0</v>
      </c>
      <c r="Z1491" s="76" t="s">
        <v>4959</v>
      </c>
      <c r="AA1491" s="76" t="b">
        <v>0</v>
      </c>
      <c r="AD1491" s="76">
        <v>9.8784999847412092</v>
      </c>
      <c r="AE1491" s="76">
        <f t="shared" si="114"/>
        <v>10.878499984741209</v>
      </c>
      <c r="AF1491" s="76" t="s">
        <v>4960</v>
      </c>
      <c r="AH1491" s="188">
        <v>0.1</v>
      </c>
      <c r="AI1491" s="188">
        <v>2</v>
      </c>
      <c r="AL1491" s="76">
        <v>35</v>
      </c>
      <c r="BF1491" s="76">
        <v>0</v>
      </c>
      <c r="BI1491" s="76">
        <v>1</v>
      </c>
    </row>
    <row r="1492" spans="1:61" s="76" customFormat="1" ht="26">
      <c r="A1492" s="76">
        <v>21100004</v>
      </c>
      <c r="C1492" s="76">
        <v>2</v>
      </c>
      <c r="F1492" s="179" t="s">
        <v>4329</v>
      </c>
      <c r="G1492" s="180" t="s">
        <v>4147</v>
      </c>
      <c r="H1492" s="76" t="str">
        <f>VLOOKUP(F1492,'#对话模型配置'!A:O,14,FALSE)</f>
        <v>icon_hero</v>
      </c>
      <c r="I1492" s="76" t="s">
        <v>4734</v>
      </c>
      <c r="J1492" s="182" t="s">
        <v>4961</v>
      </c>
      <c r="K1492" s="183" t="s">
        <v>4962</v>
      </c>
      <c r="L1492" s="76">
        <v>110003</v>
      </c>
      <c r="M1492" s="76" t="s">
        <v>3285</v>
      </c>
      <c r="O1492" s="132" t="s">
        <v>4824</v>
      </c>
      <c r="U1492" s="76">
        <v>6</v>
      </c>
      <c r="V1492" s="76">
        <v>0</v>
      </c>
      <c r="Y1492" s="76" t="b">
        <v>0</v>
      </c>
      <c r="Z1492" s="76" t="s">
        <v>4963</v>
      </c>
      <c r="AA1492" s="76" t="b">
        <v>0</v>
      </c>
      <c r="AD1492" s="76">
        <v>8.7325830459594709</v>
      </c>
      <c r="AE1492" s="76">
        <f t="shared" si="114"/>
        <v>9.7325830459594709</v>
      </c>
      <c r="AF1492" s="76" t="s">
        <v>4964</v>
      </c>
      <c r="AH1492" s="188">
        <v>0.1</v>
      </c>
      <c r="AI1492" s="188">
        <v>2</v>
      </c>
      <c r="AL1492" s="76">
        <v>35</v>
      </c>
      <c r="BF1492" s="76">
        <v>0</v>
      </c>
      <c r="BI1492" s="76">
        <v>1</v>
      </c>
    </row>
    <row r="1493" spans="1:61" s="76" customFormat="1" ht="26">
      <c r="A1493" s="76">
        <v>21100004</v>
      </c>
      <c r="C1493" s="76">
        <v>3</v>
      </c>
      <c r="F1493" s="179" t="s">
        <v>4722</v>
      </c>
      <c r="G1493" s="180" t="s">
        <v>2330</v>
      </c>
      <c r="H1493" s="76" t="str">
        <f>VLOOKUP(F1493,'#对话模型配置'!A:O,14,FALSE)</f>
        <v>icon_hero</v>
      </c>
      <c r="I1493" s="76" t="s">
        <v>4723</v>
      </c>
      <c r="J1493" s="182" t="s">
        <v>4965</v>
      </c>
      <c r="K1493" s="183" t="s">
        <v>4966</v>
      </c>
      <c r="L1493" s="76">
        <v>110008</v>
      </c>
      <c r="M1493" s="76" t="s">
        <v>3289</v>
      </c>
      <c r="O1493" s="132" t="s">
        <v>4877</v>
      </c>
      <c r="U1493" s="76">
        <v>6</v>
      </c>
      <c r="V1493" s="76">
        <v>0</v>
      </c>
      <c r="Y1493" s="76" t="b">
        <v>0</v>
      </c>
      <c r="Z1493" s="76" t="s">
        <v>4967</v>
      </c>
      <c r="AA1493" s="76" t="b">
        <v>0</v>
      </c>
      <c r="AD1493" s="76">
        <v>13.9565210342407</v>
      </c>
      <c r="AE1493" s="76">
        <f t="shared" si="114"/>
        <v>14.9565210342407</v>
      </c>
      <c r="AF1493" s="76" t="s">
        <v>4968</v>
      </c>
      <c r="AH1493" s="188">
        <v>0.1</v>
      </c>
      <c r="AI1493" s="188">
        <v>2</v>
      </c>
      <c r="AL1493" s="76">
        <v>35</v>
      </c>
      <c r="BF1493" s="76">
        <v>0</v>
      </c>
      <c r="BI1493" s="76">
        <v>1</v>
      </c>
    </row>
    <row r="1494" spans="1:61" s="76" customFormat="1" ht="14.5">
      <c r="A1494" s="76">
        <v>21100004</v>
      </c>
      <c r="C1494" s="76">
        <v>4</v>
      </c>
      <c r="F1494" s="179" t="s">
        <v>4329</v>
      </c>
      <c r="G1494" s="180" t="s">
        <v>4147</v>
      </c>
      <c r="H1494" s="76" t="str">
        <f>VLOOKUP(F1494,'#对话模型配置'!A:O,14,FALSE)</f>
        <v>icon_hero</v>
      </c>
      <c r="I1494" s="76" t="s">
        <v>4734</v>
      </c>
      <c r="J1494" s="182" t="s">
        <v>4969</v>
      </c>
      <c r="K1494" s="183" t="s">
        <v>4970</v>
      </c>
      <c r="L1494" s="76">
        <v>110003</v>
      </c>
      <c r="M1494" s="76" t="s">
        <v>3285</v>
      </c>
      <c r="O1494" s="132" t="s">
        <v>4824</v>
      </c>
      <c r="U1494" s="76">
        <v>6</v>
      </c>
      <c r="V1494" s="76">
        <v>0</v>
      </c>
      <c r="Y1494" s="76" t="b">
        <v>0</v>
      </c>
      <c r="Z1494" s="76" t="s">
        <v>4971</v>
      </c>
      <c r="AA1494" s="76" t="b">
        <v>0</v>
      </c>
      <c r="AD1494" s="76">
        <v>3.1524789333343501</v>
      </c>
      <c r="AE1494" s="76">
        <f t="shared" si="114"/>
        <v>4.1524789333343506</v>
      </c>
      <c r="AF1494" s="76" t="s">
        <v>4972</v>
      </c>
      <c r="AH1494" s="188">
        <v>0.1</v>
      </c>
      <c r="AI1494" s="188">
        <v>2</v>
      </c>
      <c r="AL1494" s="76">
        <v>35</v>
      </c>
      <c r="BF1494" s="76">
        <v>0</v>
      </c>
      <c r="BI1494" s="76">
        <v>1</v>
      </c>
    </row>
    <row r="1495" spans="1:61" s="76" customFormat="1" ht="26">
      <c r="A1495" s="76">
        <v>21100004</v>
      </c>
      <c r="C1495" s="76">
        <v>5</v>
      </c>
      <c r="F1495" s="179" t="s">
        <v>4722</v>
      </c>
      <c r="G1495" s="180" t="s">
        <v>2330</v>
      </c>
      <c r="H1495" s="76" t="str">
        <f>VLOOKUP(F1495,'#对话模型配置'!A:O,14,FALSE)</f>
        <v>icon_hero</v>
      </c>
      <c r="I1495" s="76" t="s">
        <v>4723</v>
      </c>
      <c r="J1495" s="182" t="s">
        <v>4973</v>
      </c>
      <c r="K1495" s="183" t="s">
        <v>4974</v>
      </c>
      <c r="L1495" s="76">
        <v>110008</v>
      </c>
      <c r="M1495" s="76" t="s">
        <v>4840</v>
      </c>
      <c r="O1495" s="132" t="s">
        <v>4877</v>
      </c>
      <c r="U1495" s="76">
        <v>6</v>
      </c>
      <c r="V1495" s="76">
        <v>0</v>
      </c>
      <c r="Y1495" s="76" t="b">
        <v>0</v>
      </c>
      <c r="Z1495" s="76" t="s">
        <v>4975</v>
      </c>
      <c r="AA1495" s="76" t="b">
        <v>0</v>
      </c>
      <c r="AD1495" s="76">
        <v>11.1714162826538</v>
      </c>
      <c r="AE1495" s="76">
        <f t="shared" si="114"/>
        <v>12.1714162826538</v>
      </c>
      <c r="AF1495" s="76" t="s">
        <v>4976</v>
      </c>
      <c r="AH1495" s="188">
        <v>0.1</v>
      </c>
      <c r="AI1495" s="188">
        <v>2</v>
      </c>
      <c r="AL1495" s="76">
        <v>35</v>
      </c>
      <c r="BF1495" s="76">
        <v>0</v>
      </c>
      <c r="BI1495" s="76">
        <v>1</v>
      </c>
    </row>
    <row r="1496" spans="1:61" s="76" customFormat="1" ht="26">
      <c r="A1496" s="76">
        <v>21100004</v>
      </c>
      <c r="C1496" s="76">
        <v>6</v>
      </c>
      <c r="F1496" s="179" t="s">
        <v>4329</v>
      </c>
      <c r="G1496" s="180" t="s">
        <v>4147</v>
      </c>
      <c r="H1496" s="76" t="str">
        <f>VLOOKUP(F1496,'#对话模型配置'!A:O,14,FALSE)</f>
        <v>icon_hero</v>
      </c>
      <c r="I1496" s="76" t="s">
        <v>4734</v>
      </c>
      <c r="J1496" s="182" t="s">
        <v>4977</v>
      </c>
      <c r="K1496" s="183" t="s">
        <v>4978</v>
      </c>
      <c r="L1496" s="76">
        <v>110003</v>
      </c>
      <c r="M1496" s="76" t="s">
        <v>4840</v>
      </c>
      <c r="O1496" s="132" t="s">
        <v>4824</v>
      </c>
      <c r="U1496" s="76">
        <v>6</v>
      </c>
      <c r="V1496" s="76">
        <v>0</v>
      </c>
      <c r="Y1496" s="76" t="b">
        <v>0</v>
      </c>
      <c r="Z1496" s="76" t="s">
        <v>4979</v>
      </c>
      <c r="AA1496" s="76" t="b">
        <v>0</v>
      </c>
      <c r="AD1496" s="76">
        <v>11.1923122406006</v>
      </c>
      <c r="AE1496" s="76">
        <f t="shared" si="114"/>
        <v>12.1923122406006</v>
      </c>
      <c r="AF1496" s="76" t="s">
        <v>4980</v>
      </c>
      <c r="AH1496" s="188">
        <v>0.1</v>
      </c>
      <c r="AI1496" s="188">
        <v>2</v>
      </c>
      <c r="AL1496" s="76">
        <v>35</v>
      </c>
      <c r="BF1496" s="76">
        <v>0</v>
      </c>
      <c r="BI1496" s="76">
        <v>1</v>
      </c>
    </row>
    <row r="1497" spans="1:61" s="68" customFormat="1" ht="14.5">
      <c r="A1497" s="68">
        <v>21100005</v>
      </c>
      <c r="C1497" s="68">
        <v>1</v>
      </c>
      <c r="F1497" s="193" t="s">
        <v>3855</v>
      </c>
      <c r="G1497" s="194" t="s">
        <v>3856</v>
      </c>
      <c r="H1497" s="68" t="str">
        <f>VLOOKUP(F1497,'#对话模型配置'!A:O,14,FALSE)</f>
        <v>icon_hero</v>
      </c>
      <c r="I1497" s="68" t="s">
        <v>4741</v>
      </c>
      <c r="J1497" s="195" t="s">
        <v>4981</v>
      </c>
      <c r="K1497" s="196" t="s">
        <v>4982</v>
      </c>
      <c r="U1497" s="68">
        <v>6</v>
      </c>
      <c r="V1497" s="68">
        <v>0</v>
      </c>
      <c r="Y1497" s="68" t="b">
        <v>0</v>
      </c>
      <c r="Z1497" s="68" t="s">
        <v>4983</v>
      </c>
      <c r="AA1497" s="68" t="b">
        <v>0</v>
      </c>
      <c r="AD1497" s="68">
        <v>8.3722705841064506</v>
      </c>
      <c r="AE1497" s="68">
        <v>8.3722705841064506</v>
      </c>
      <c r="AF1497" s="68" t="s">
        <v>4322</v>
      </c>
      <c r="AH1497" s="198">
        <v>99</v>
      </c>
      <c r="AI1497" s="198">
        <v>2</v>
      </c>
      <c r="AL1497" s="68">
        <v>35</v>
      </c>
      <c r="BF1497" s="68">
        <v>1</v>
      </c>
      <c r="BI1497" s="68">
        <v>1</v>
      </c>
    </row>
    <row r="1498" spans="1:61" s="68" customFormat="1" ht="14.5">
      <c r="A1498" s="68">
        <v>21100005</v>
      </c>
      <c r="C1498" s="68">
        <v>2</v>
      </c>
      <c r="F1498" s="193" t="s">
        <v>4329</v>
      </c>
      <c r="G1498" s="194" t="s">
        <v>4147</v>
      </c>
      <c r="H1498" s="68" t="str">
        <f>VLOOKUP(F1498,'#对话模型配置'!A:O,14,FALSE)</f>
        <v>icon_hero</v>
      </c>
      <c r="I1498" s="68" t="s">
        <v>4734</v>
      </c>
      <c r="J1498" s="195" t="s">
        <v>4984</v>
      </c>
      <c r="K1498" s="196" t="s">
        <v>4985</v>
      </c>
      <c r="U1498" s="68">
        <v>6</v>
      </c>
      <c r="V1498" s="68">
        <v>0</v>
      </c>
      <c r="Y1498" s="68" t="b">
        <v>0</v>
      </c>
      <c r="Z1498" s="68" t="s">
        <v>4986</v>
      </c>
      <c r="AA1498" s="68" t="b">
        <v>0</v>
      </c>
      <c r="AD1498" s="68">
        <v>1.0853749513626101</v>
      </c>
      <c r="AE1498" s="68">
        <v>1.0853749513626101</v>
      </c>
      <c r="AF1498" s="68" t="s">
        <v>4510</v>
      </c>
      <c r="AH1498" s="198">
        <v>99</v>
      </c>
      <c r="AI1498" s="198">
        <v>2</v>
      </c>
      <c r="AL1498" s="68">
        <v>35</v>
      </c>
      <c r="BF1498" s="68">
        <v>0</v>
      </c>
      <c r="BI1498" s="68">
        <v>1</v>
      </c>
    </row>
    <row r="1499" spans="1:61" s="68" customFormat="1" ht="14.5">
      <c r="A1499" s="68">
        <v>21100005</v>
      </c>
      <c r="C1499" s="68">
        <v>3</v>
      </c>
      <c r="F1499" s="193" t="s">
        <v>3855</v>
      </c>
      <c r="G1499" s="194" t="s">
        <v>3856</v>
      </c>
      <c r="H1499" s="68" t="str">
        <f>VLOOKUP(F1499,'#对话模型配置'!A:O,14,FALSE)</f>
        <v>icon_hero</v>
      </c>
      <c r="I1499" s="68" t="s">
        <v>4741</v>
      </c>
      <c r="J1499" s="195" t="s">
        <v>4987</v>
      </c>
      <c r="K1499" s="196" t="s">
        <v>4988</v>
      </c>
      <c r="U1499" s="68">
        <v>6</v>
      </c>
      <c r="V1499" s="68">
        <v>0</v>
      </c>
      <c r="Y1499" s="68" t="b">
        <v>0</v>
      </c>
      <c r="Z1499" s="68" t="s">
        <v>4989</v>
      </c>
      <c r="AA1499" s="68" t="b">
        <v>0</v>
      </c>
      <c r="AD1499" s="68">
        <v>6.6118130683898899</v>
      </c>
      <c r="AE1499" s="68">
        <v>6.6118130683898899</v>
      </c>
      <c r="AF1499" s="68" t="s">
        <v>4322</v>
      </c>
      <c r="AH1499" s="198">
        <v>99</v>
      </c>
      <c r="AI1499" s="198">
        <v>2</v>
      </c>
      <c r="AL1499" s="68">
        <v>35</v>
      </c>
      <c r="BF1499" s="68">
        <v>1</v>
      </c>
      <c r="BI1499" s="68">
        <v>1</v>
      </c>
    </row>
    <row r="1500" spans="1:61" s="68" customFormat="1" ht="14.5">
      <c r="A1500" s="68">
        <v>21100005</v>
      </c>
      <c r="C1500" s="68">
        <v>4</v>
      </c>
      <c r="F1500" s="193" t="s">
        <v>3855</v>
      </c>
      <c r="G1500" s="194" t="s">
        <v>3856</v>
      </c>
      <c r="H1500" s="68" t="str">
        <f>VLOOKUP(F1500,'#对话模型配置'!A:O,14,FALSE)</f>
        <v>icon_hero</v>
      </c>
      <c r="I1500" s="68" t="s">
        <v>4741</v>
      </c>
      <c r="J1500" s="195" t="s">
        <v>4990</v>
      </c>
      <c r="K1500" s="196" t="s">
        <v>4991</v>
      </c>
      <c r="U1500" s="68">
        <v>6</v>
      </c>
      <c r="V1500" s="68">
        <v>0</v>
      </c>
      <c r="Y1500" s="68" t="b">
        <v>0</v>
      </c>
      <c r="Z1500" s="68" t="s">
        <v>4992</v>
      </c>
      <c r="AA1500" s="68" t="b">
        <v>0</v>
      </c>
      <c r="AD1500" s="68">
        <v>5.7513132095336896</v>
      </c>
      <c r="AE1500" s="68">
        <v>5.7513132095336896</v>
      </c>
      <c r="AF1500" s="68" t="s">
        <v>4322</v>
      </c>
      <c r="AH1500" s="198">
        <v>99</v>
      </c>
      <c r="AI1500" s="198">
        <v>2</v>
      </c>
      <c r="AL1500" s="68">
        <v>35</v>
      </c>
      <c r="BF1500" s="68">
        <v>1</v>
      </c>
      <c r="BI1500" s="68">
        <v>1</v>
      </c>
    </row>
    <row r="1501" spans="1:61" s="68" customFormat="1" ht="14.5">
      <c r="A1501" s="68">
        <v>21100006</v>
      </c>
      <c r="C1501" s="68">
        <v>1</v>
      </c>
      <c r="F1501" s="193" t="s">
        <v>4722</v>
      </c>
      <c r="G1501" s="194" t="s">
        <v>2330</v>
      </c>
      <c r="H1501" s="68" t="str">
        <f>VLOOKUP(F1501,'#对话模型配置'!A:O,14,FALSE)</f>
        <v>icon_hero</v>
      </c>
      <c r="I1501" s="68" t="s">
        <v>4723</v>
      </c>
      <c r="J1501" s="195" t="s">
        <v>4993</v>
      </c>
      <c r="K1501" s="196" t="s">
        <v>4994</v>
      </c>
      <c r="U1501" s="68">
        <v>6</v>
      </c>
      <c r="V1501" s="68">
        <v>0</v>
      </c>
      <c r="Y1501" s="68" t="b">
        <v>0</v>
      </c>
      <c r="Z1501" s="68" t="s">
        <v>4995</v>
      </c>
      <c r="AA1501" s="68" t="b">
        <v>0</v>
      </c>
      <c r="AD1501" s="68">
        <v>3.1086668968200701</v>
      </c>
      <c r="AE1501" s="68">
        <v>3.1086668968200701</v>
      </c>
      <c r="AF1501" s="68" t="s">
        <v>4322</v>
      </c>
      <c r="AH1501" s="198">
        <v>99</v>
      </c>
      <c r="AI1501" s="198">
        <v>2</v>
      </c>
      <c r="AL1501" s="68">
        <v>35</v>
      </c>
      <c r="BF1501" s="68">
        <v>0</v>
      </c>
      <c r="BI1501" s="68">
        <v>1</v>
      </c>
    </row>
    <row r="1502" spans="1:61" s="68" customFormat="1" ht="14.5">
      <c r="A1502" s="68">
        <v>21100006</v>
      </c>
      <c r="C1502" s="68">
        <v>2</v>
      </c>
      <c r="F1502" s="193" t="s">
        <v>4329</v>
      </c>
      <c r="G1502" s="194" t="s">
        <v>4147</v>
      </c>
      <c r="H1502" s="68" t="str">
        <f>VLOOKUP(F1502,'#对话模型配置'!A:O,14,FALSE)</f>
        <v>icon_hero</v>
      </c>
      <c r="I1502" s="68" t="s">
        <v>4734</v>
      </c>
      <c r="J1502" s="195" t="s">
        <v>4996</v>
      </c>
      <c r="K1502" s="196" t="s">
        <v>4997</v>
      </c>
      <c r="U1502" s="68">
        <v>6</v>
      </c>
      <c r="V1502" s="68">
        <v>0</v>
      </c>
      <c r="Y1502" s="68" t="b">
        <v>0</v>
      </c>
      <c r="Z1502" s="68" t="s">
        <v>4998</v>
      </c>
      <c r="AA1502" s="68" t="b">
        <v>0</v>
      </c>
      <c r="AD1502" s="68">
        <v>5.4732499122619602</v>
      </c>
      <c r="AE1502" s="68">
        <v>5.4732499122619602</v>
      </c>
      <c r="AF1502" s="68" t="s">
        <v>4322</v>
      </c>
      <c r="AH1502" s="198">
        <v>99</v>
      </c>
      <c r="AI1502" s="198">
        <v>2</v>
      </c>
      <c r="AL1502" s="68">
        <v>35</v>
      </c>
      <c r="BF1502" s="68">
        <v>0</v>
      </c>
      <c r="BI1502" s="68">
        <v>1</v>
      </c>
    </row>
    <row r="1503" spans="1:61" s="68" customFormat="1" ht="14.5">
      <c r="A1503" s="68">
        <v>21100006</v>
      </c>
      <c r="C1503" s="68">
        <v>3</v>
      </c>
      <c r="F1503" s="193" t="s">
        <v>4722</v>
      </c>
      <c r="G1503" s="194" t="s">
        <v>2330</v>
      </c>
      <c r="H1503" s="68" t="str">
        <f>VLOOKUP(F1503,'#对话模型配置'!A:O,14,FALSE)</f>
        <v>icon_hero</v>
      </c>
      <c r="I1503" s="68" t="s">
        <v>4723</v>
      </c>
      <c r="J1503" s="195" t="s">
        <v>4999</v>
      </c>
      <c r="K1503" s="196" t="s">
        <v>5000</v>
      </c>
      <c r="U1503" s="68">
        <v>6</v>
      </c>
      <c r="V1503" s="68">
        <v>0</v>
      </c>
      <c r="Y1503" s="68" t="b">
        <v>0</v>
      </c>
      <c r="Z1503" s="68" t="s">
        <v>5001</v>
      </c>
      <c r="AA1503" s="68" t="b">
        <v>0</v>
      </c>
      <c r="AD1503" s="68">
        <v>4.4298748970031703</v>
      </c>
      <c r="AE1503" s="68">
        <v>4.4298748970031703</v>
      </c>
      <c r="AF1503" s="68" t="s">
        <v>4322</v>
      </c>
      <c r="AH1503" s="198">
        <v>99</v>
      </c>
      <c r="AI1503" s="198">
        <v>2</v>
      </c>
      <c r="AL1503" s="68">
        <v>35</v>
      </c>
      <c r="BF1503" s="68">
        <v>0</v>
      </c>
      <c r="BI1503" s="68">
        <v>1</v>
      </c>
    </row>
    <row r="1504" spans="1:61" s="68" customFormat="1" ht="14.5">
      <c r="A1504" s="68">
        <v>21100006</v>
      </c>
      <c r="C1504" s="68">
        <v>4</v>
      </c>
      <c r="F1504" s="193" t="s">
        <v>4722</v>
      </c>
      <c r="G1504" s="194" t="s">
        <v>2330</v>
      </c>
      <c r="H1504" s="68" t="str">
        <f>VLOOKUP(F1504,'#对话模型配置'!A:O,14,FALSE)</f>
        <v>icon_hero</v>
      </c>
      <c r="I1504" s="68" t="s">
        <v>4723</v>
      </c>
      <c r="J1504" s="195" t="s">
        <v>5002</v>
      </c>
      <c r="K1504" s="196" t="s">
        <v>5003</v>
      </c>
      <c r="U1504" s="68">
        <v>6</v>
      </c>
      <c r="V1504" s="68">
        <v>0</v>
      </c>
      <c r="Y1504" s="68" t="b">
        <v>0</v>
      </c>
      <c r="Z1504" s="68" t="s">
        <v>5004</v>
      </c>
      <c r="AA1504" s="68" t="b">
        <v>0</v>
      </c>
      <c r="AD1504" s="68">
        <v>7.2453961372375497</v>
      </c>
      <c r="AE1504" s="68">
        <v>7.2453961372375497</v>
      </c>
      <c r="AF1504" s="68" t="s">
        <v>4322</v>
      </c>
      <c r="AH1504" s="198">
        <v>99</v>
      </c>
      <c r="AI1504" s="198">
        <v>2</v>
      </c>
      <c r="AL1504" s="68">
        <v>35</v>
      </c>
      <c r="BF1504" s="68">
        <v>0</v>
      </c>
      <c r="BI1504" s="68">
        <v>1</v>
      </c>
    </row>
    <row r="1505" spans="1:61" s="68" customFormat="1" ht="14.5">
      <c r="A1505" s="68">
        <v>21100006</v>
      </c>
      <c r="C1505" s="68">
        <v>5</v>
      </c>
      <c r="F1505" s="193" t="s">
        <v>4329</v>
      </c>
      <c r="G1505" s="194" t="s">
        <v>4147</v>
      </c>
      <c r="H1505" s="68" t="str">
        <f>VLOOKUP(F1505,'#对话模型配置'!A:O,14,FALSE)</f>
        <v>icon_hero</v>
      </c>
      <c r="I1505" s="68" t="s">
        <v>4734</v>
      </c>
      <c r="J1505" s="195" t="s">
        <v>5005</v>
      </c>
      <c r="K1505" s="196" t="s">
        <v>5006</v>
      </c>
      <c r="U1505" s="68">
        <v>6</v>
      </c>
      <c r="V1505" s="68">
        <v>0</v>
      </c>
      <c r="Y1505" s="68" t="b">
        <v>0</v>
      </c>
      <c r="Z1505" s="68" t="s">
        <v>5007</v>
      </c>
      <c r="AA1505" s="68" t="b">
        <v>0</v>
      </c>
      <c r="AD1505" s="68">
        <v>4</v>
      </c>
      <c r="AE1505" s="68">
        <v>4</v>
      </c>
      <c r="AH1505" s="198">
        <v>99</v>
      </c>
      <c r="AI1505" s="198">
        <v>2</v>
      </c>
      <c r="AL1505" s="68">
        <v>35</v>
      </c>
      <c r="BF1505" s="68">
        <v>0</v>
      </c>
      <c r="BI1505" s="68">
        <v>1</v>
      </c>
    </row>
    <row r="1506" spans="1:61" s="68" customFormat="1" ht="14.5">
      <c r="A1506" s="68">
        <v>21100006</v>
      </c>
      <c r="C1506" s="68">
        <v>6</v>
      </c>
      <c r="F1506" s="193" t="s">
        <v>3855</v>
      </c>
      <c r="G1506" s="194" t="s">
        <v>3856</v>
      </c>
      <c r="H1506" s="68" t="str">
        <f>VLOOKUP(F1506,'#对话模型配置'!A:O,14,FALSE)</f>
        <v>icon_hero</v>
      </c>
      <c r="I1506" s="68" t="s">
        <v>4741</v>
      </c>
      <c r="J1506" s="195" t="s">
        <v>5008</v>
      </c>
      <c r="K1506" s="196" t="s">
        <v>5009</v>
      </c>
      <c r="U1506" s="68">
        <v>6</v>
      </c>
      <c r="V1506" s="68">
        <v>0</v>
      </c>
      <c r="Y1506" s="68" t="b">
        <v>0</v>
      </c>
      <c r="Z1506" s="68" t="s">
        <v>5010</v>
      </c>
      <c r="AA1506" s="68" t="b">
        <v>0</v>
      </c>
      <c r="AD1506" s="68">
        <v>8.2938127517700195</v>
      </c>
      <c r="AE1506" s="68">
        <v>8.2938127517700195</v>
      </c>
      <c r="AF1506" s="68" t="s">
        <v>4510</v>
      </c>
      <c r="AH1506" s="198">
        <v>99</v>
      </c>
      <c r="AI1506" s="198">
        <v>2</v>
      </c>
      <c r="AL1506" s="68">
        <v>35</v>
      </c>
      <c r="BF1506" s="68">
        <v>1</v>
      </c>
      <c r="BI1506" s="68">
        <v>1</v>
      </c>
    </row>
    <row r="1507" spans="1:61" s="68" customFormat="1" ht="14.5">
      <c r="A1507" s="68">
        <v>21100006</v>
      </c>
      <c r="C1507" s="68">
        <v>7</v>
      </c>
      <c r="F1507" s="193" t="s">
        <v>4329</v>
      </c>
      <c r="G1507" s="194" t="s">
        <v>4147</v>
      </c>
      <c r="H1507" s="68" t="str">
        <f>VLOOKUP(F1507,'#对话模型配置'!A:O,14,FALSE)</f>
        <v>icon_hero</v>
      </c>
      <c r="I1507" s="68" t="s">
        <v>4734</v>
      </c>
      <c r="J1507" s="195" t="s">
        <v>5011</v>
      </c>
      <c r="K1507" s="196" t="s">
        <v>5012</v>
      </c>
      <c r="U1507" s="68">
        <v>6</v>
      </c>
      <c r="V1507" s="68">
        <v>0</v>
      </c>
      <c r="Y1507" s="68" t="b">
        <v>0</v>
      </c>
      <c r="Z1507" s="68" t="s">
        <v>5013</v>
      </c>
      <c r="AA1507" s="68" t="b">
        <v>0</v>
      </c>
      <c r="AD1507" s="68">
        <v>1.3193540573120099</v>
      </c>
      <c r="AE1507" s="68">
        <v>1.3193540573120099</v>
      </c>
      <c r="AF1507" s="68" t="s">
        <v>4322</v>
      </c>
      <c r="AH1507" s="198">
        <v>99</v>
      </c>
      <c r="AI1507" s="198">
        <v>2</v>
      </c>
      <c r="AL1507" s="68">
        <v>35</v>
      </c>
      <c r="BF1507" s="68">
        <v>0</v>
      </c>
      <c r="BI1507" s="68">
        <v>1</v>
      </c>
    </row>
    <row r="1508" spans="1:61" s="68" customFormat="1" ht="14.5">
      <c r="A1508" s="68">
        <v>21100006</v>
      </c>
      <c r="C1508" s="68">
        <v>8</v>
      </c>
      <c r="F1508" s="193" t="s">
        <v>4722</v>
      </c>
      <c r="G1508" s="194" t="s">
        <v>2330</v>
      </c>
      <c r="H1508" s="68" t="str">
        <f>VLOOKUP(F1508,'#对话模型配置'!A:O,14,FALSE)</f>
        <v>icon_hero</v>
      </c>
      <c r="I1508" s="68" t="s">
        <v>4723</v>
      </c>
      <c r="J1508" s="195" t="s">
        <v>5014</v>
      </c>
      <c r="K1508" s="196" t="s">
        <v>5015</v>
      </c>
      <c r="U1508" s="68">
        <v>6</v>
      </c>
      <c r="V1508" s="68">
        <v>0</v>
      </c>
      <c r="Y1508" s="68" t="b">
        <v>0</v>
      </c>
      <c r="Z1508" s="68" t="s">
        <v>5016</v>
      </c>
      <c r="AA1508" s="68" t="b">
        <v>0</v>
      </c>
      <c r="AD1508" s="68">
        <v>4.8884792327880904</v>
      </c>
      <c r="AE1508" s="68">
        <v>4.8884792327880904</v>
      </c>
      <c r="AF1508" s="68" t="s">
        <v>4322</v>
      </c>
      <c r="AH1508" s="198">
        <v>99</v>
      </c>
      <c r="AI1508" s="198">
        <v>2</v>
      </c>
      <c r="AL1508" s="68">
        <v>35</v>
      </c>
      <c r="BF1508" s="68">
        <v>0</v>
      </c>
      <c r="BI1508" s="68">
        <v>1</v>
      </c>
    </row>
    <row r="1509" spans="1:61" s="68" customFormat="1" ht="14.5">
      <c r="A1509" s="68">
        <v>21100007</v>
      </c>
      <c r="C1509" s="68">
        <v>1</v>
      </c>
      <c r="F1509" s="193" t="s">
        <v>2793</v>
      </c>
      <c r="G1509" s="194" t="s">
        <v>3301</v>
      </c>
      <c r="H1509" s="68" t="s">
        <v>5017</v>
      </c>
      <c r="I1509" s="68" t="s">
        <v>5018</v>
      </c>
      <c r="J1509" s="195" t="s">
        <v>5019</v>
      </c>
      <c r="K1509" s="196" t="s">
        <v>5020</v>
      </c>
      <c r="U1509" s="68">
        <v>6</v>
      </c>
      <c r="V1509" s="68">
        <v>0</v>
      </c>
      <c r="Y1509" s="68" t="b">
        <v>0</v>
      </c>
      <c r="Z1509" s="68" t="s">
        <v>5021</v>
      </c>
      <c r="AA1509" s="68" t="b">
        <v>0</v>
      </c>
      <c r="AD1509" s="68">
        <v>4.8320422172546396</v>
      </c>
      <c r="AE1509" s="68">
        <v>4.8320422172546396</v>
      </c>
      <c r="AF1509" s="68" t="s">
        <v>5022</v>
      </c>
      <c r="AH1509" s="198">
        <v>99</v>
      </c>
      <c r="AI1509" s="198">
        <v>2</v>
      </c>
      <c r="AL1509" s="68">
        <v>35</v>
      </c>
      <c r="BF1509" s="68">
        <v>0</v>
      </c>
      <c r="BI1509" s="68">
        <v>1</v>
      </c>
    </row>
    <row r="1510" spans="1:61" s="68" customFormat="1" ht="14.5">
      <c r="A1510" s="68">
        <v>21100007</v>
      </c>
      <c r="C1510" s="68">
        <v>2</v>
      </c>
      <c r="F1510" s="193" t="s">
        <v>2793</v>
      </c>
      <c r="G1510" s="194" t="s">
        <v>3301</v>
      </c>
      <c r="H1510" s="68" t="s">
        <v>5017</v>
      </c>
      <c r="I1510" s="68" t="s">
        <v>5018</v>
      </c>
      <c r="J1510" s="195" t="s">
        <v>5023</v>
      </c>
      <c r="K1510" s="196" t="s">
        <v>5024</v>
      </c>
      <c r="U1510" s="68">
        <v>6</v>
      </c>
      <c r="V1510" s="68">
        <v>0</v>
      </c>
      <c r="Y1510" s="68" t="b">
        <v>0</v>
      </c>
      <c r="Z1510" s="68" t="s">
        <v>5025</v>
      </c>
      <c r="AA1510" s="68" t="b">
        <v>0</v>
      </c>
      <c r="AD1510" s="68">
        <v>4.2505631446838397</v>
      </c>
      <c r="AE1510" s="68">
        <v>4.2505631446838397</v>
      </c>
      <c r="AF1510" s="68" t="s">
        <v>5026</v>
      </c>
      <c r="AH1510" s="198">
        <v>99</v>
      </c>
      <c r="AI1510" s="198">
        <v>2</v>
      </c>
      <c r="AL1510" s="68">
        <v>35</v>
      </c>
      <c r="BF1510" s="68">
        <v>0</v>
      </c>
      <c r="BI1510" s="68">
        <v>1</v>
      </c>
    </row>
    <row r="1511" spans="1:61" s="68" customFormat="1" ht="14.5">
      <c r="A1511" s="68">
        <v>21200007</v>
      </c>
      <c r="C1511" s="68">
        <v>1</v>
      </c>
      <c r="F1511" s="193" t="s">
        <v>3855</v>
      </c>
      <c r="G1511" s="194" t="s">
        <v>3856</v>
      </c>
      <c r="H1511" s="68" t="str">
        <f>VLOOKUP(F1511,'#对话模型配置'!A:O,14,FALSE)</f>
        <v>icon_hero</v>
      </c>
      <c r="I1511" s="68" t="s">
        <v>4741</v>
      </c>
      <c r="J1511" s="195" t="s">
        <v>5027</v>
      </c>
      <c r="K1511" s="196" t="s">
        <v>5028</v>
      </c>
      <c r="U1511" s="68">
        <v>6</v>
      </c>
      <c r="V1511" s="68">
        <v>0</v>
      </c>
      <c r="Y1511" s="68" t="b">
        <v>0</v>
      </c>
      <c r="Z1511" s="68" t="s">
        <v>5029</v>
      </c>
      <c r="AA1511" s="68" t="b">
        <v>0</v>
      </c>
      <c r="AD1511" s="68">
        <v>4.67441701889038</v>
      </c>
      <c r="AE1511" s="68">
        <v>4.67441701889038</v>
      </c>
      <c r="AF1511" s="68" t="s">
        <v>5030</v>
      </c>
      <c r="AH1511" s="198">
        <v>99</v>
      </c>
      <c r="AI1511" s="198">
        <v>2</v>
      </c>
      <c r="AL1511" s="68">
        <v>35</v>
      </c>
      <c r="BF1511" s="68">
        <v>1</v>
      </c>
      <c r="BI1511" s="68">
        <v>1</v>
      </c>
    </row>
    <row r="1512" spans="1:61" s="68" customFormat="1" ht="14.5">
      <c r="A1512" s="68">
        <v>21200007</v>
      </c>
      <c r="C1512" s="68">
        <v>2</v>
      </c>
      <c r="F1512" s="193" t="s">
        <v>3855</v>
      </c>
      <c r="G1512" s="194" t="s">
        <v>3856</v>
      </c>
      <c r="H1512" s="68" t="str">
        <f>VLOOKUP(F1512,'#对话模型配置'!A:O,14,FALSE)</f>
        <v>icon_hero</v>
      </c>
      <c r="I1512" s="68" t="s">
        <v>4741</v>
      </c>
      <c r="J1512" s="195" t="s">
        <v>5031</v>
      </c>
      <c r="K1512" s="196" t="s">
        <v>5032</v>
      </c>
      <c r="U1512" s="68">
        <v>6</v>
      </c>
      <c r="V1512" s="68">
        <v>0</v>
      </c>
      <c r="Y1512" s="68" t="b">
        <v>0</v>
      </c>
      <c r="Z1512" s="68" t="s">
        <v>5033</v>
      </c>
      <c r="AA1512" s="68" t="b">
        <v>0</v>
      </c>
      <c r="AD1512" s="68">
        <v>4.0319790840148899</v>
      </c>
      <c r="AE1512" s="68">
        <v>4.0319790840148899</v>
      </c>
      <c r="AF1512" s="68" t="s">
        <v>5034</v>
      </c>
      <c r="AH1512" s="198">
        <v>99</v>
      </c>
      <c r="AI1512" s="198">
        <v>2</v>
      </c>
      <c r="AL1512" s="68">
        <v>35</v>
      </c>
      <c r="BF1512" s="68">
        <v>1</v>
      </c>
      <c r="BI1512" s="68">
        <v>1</v>
      </c>
    </row>
    <row r="1513" spans="1:61" s="62" customFormat="1" ht="14.5">
      <c r="A1513" s="62">
        <v>21100008</v>
      </c>
      <c r="C1513" s="62">
        <v>1</v>
      </c>
      <c r="F1513" s="181" t="s">
        <v>4329</v>
      </c>
      <c r="G1513" s="106" t="s">
        <v>4147</v>
      </c>
      <c r="H1513" s="62" t="str">
        <f>VLOOKUP(F1513,'#对话模型配置'!A:O,14,FALSE)</f>
        <v>icon_hero</v>
      </c>
      <c r="I1513" s="62" t="s">
        <v>4734</v>
      </c>
      <c r="J1513" s="184" t="s">
        <v>5035</v>
      </c>
      <c r="K1513" s="185" t="s">
        <v>5036</v>
      </c>
      <c r="L1513" s="62">
        <v>110003</v>
      </c>
      <c r="M1513" s="186" t="s">
        <v>3843</v>
      </c>
      <c r="N1513" s="186"/>
      <c r="O1513" s="186" t="s">
        <v>5037</v>
      </c>
      <c r="R1513" s="186" t="s">
        <v>5038</v>
      </c>
      <c r="U1513" s="62">
        <v>6</v>
      </c>
      <c r="V1513" s="62">
        <v>0</v>
      </c>
      <c r="Y1513" s="62" t="b">
        <v>0</v>
      </c>
      <c r="Z1513" s="62" t="s">
        <v>5039</v>
      </c>
      <c r="AA1513" s="62" t="b">
        <v>0</v>
      </c>
      <c r="AD1513" s="62">
        <v>4.4512710571289098</v>
      </c>
      <c r="AE1513" s="62">
        <f t="shared" ref="AE1513:AE1572" si="115">AD1513+1</f>
        <v>5.4512710571289098</v>
      </c>
      <c r="AF1513" s="62" t="s">
        <v>5040</v>
      </c>
      <c r="AH1513" s="189">
        <v>0.1</v>
      </c>
      <c r="AI1513" s="189">
        <v>2</v>
      </c>
      <c r="AL1513" s="62">
        <v>35</v>
      </c>
      <c r="BF1513" s="62">
        <v>0</v>
      </c>
      <c r="BI1513" s="62">
        <v>1</v>
      </c>
    </row>
    <row r="1514" spans="1:61" s="62" customFormat="1" ht="14.5">
      <c r="A1514" s="62">
        <v>21100008</v>
      </c>
      <c r="C1514" s="62">
        <v>2</v>
      </c>
      <c r="F1514" s="181" t="s">
        <v>4722</v>
      </c>
      <c r="G1514" s="106" t="s">
        <v>2330</v>
      </c>
      <c r="H1514" s="62" t="str">
        <f>VLOOKUP(F1514,'#对话模型配置'!A:O,14,FALSE)</f>
        <v>icon_hero</v>
      </c>
      <c r="I1514" s="62" t="s">
        <v>4723</v>
      </c>
      <c r="J1514" s="184" t="s">
        <v>5041</v>
      </c>
      <c r="K1514" s="185" t="s">
        <v>5042</v>
      </c>
      <c r="L1514" s="62">
        <v>110008</v>
      </c>
      <c r="M1514" s="186" t="s">
        <v>3279</v>
      </c>
      <c r="N1514" s="186" t="s">
        <v>5043</v>
      </c>
      <c r="O1514" s="186" t="s">
        <v>5044</v>
      </c>
      <c r="R1514" s="186"/>
      <c r="U1514" s="62">
        <v>6</v>
      </c>
      <c r="V1514" s="62">
        <v>0</v>
      </c>
      <c r="Y1514" s="62" t="b">
        <v>0</v>
      </c>
      <c r="Z1514" s="62" t="s">
        <v>5045</v>
      </c>
      <c r="AA1514" s="62" t="b">
        <v>0</v>
      </c>
      <c r="AD1514" s="62">
        <v>1.8566039800643901</v>
      </c>
      <c r="AE1514" s="62">
        <f t="shared" si="115"/>
        <v>2.8566039800643903</v>
      </c>
      <c r="AF1514" s="62" t="s">
        <v>5046</v>
      </c>
      <c r="AH1514" s="189">
        <v>0.1</v>
      </c>
      <c r="AI1514" s="189">
        <v>2</v>
      </c>
      <c r="AL1514" s="62">
        <v>35</v>
      </c>
      <c r="BF1514" s="62">
        <v>0</v>
      </c>
      <c r="BI1514" s="62">
        <v>1</v>
      </c>
    </row>
    <row r="1515" spans="1:61" s="62" customFormat="1" ht="26">
      <c r="A1515" s="62">
        <v>21100008</v>
      </c>
      <c r="C1515" s="62">
        <v>3</v>
      </c>
      <c r="F1515" s="181" t="s">
        <v>4329</v>
      </c>
      <c r="G1515" s="106" t="s">
        <v>4147</v>
      </c>
      <c r="H1515" s="62" t="str">
        <f>VLOOKUP(F1515,'#对话模型配置'!A:O,14,FALSE)</f>
        <v>icon_hero</v>
      </c>
      <c r="I1515" s="62" t="s">
        <v>4734</v>
      </c>
      <c r="J1515" s="184" t="s">
        <v>5047</v>
      </c>
      <c r="K1515" s="185" t="s">
        <v>5048</v>
      </c>
      <c r="L1515" s="62">
        <v>110003</v>
      </c>
      <c r="M1515" s="186" t="s">
        <v>3289</v>
      </c>
      <c r="N1515" s="186"/>
      <c r="O1515" s="186" t="s">
        <v>5037</v>
      </c>
      <c r="R1515" s="186"/>
      <c r="U1515" s="62">
        <v>6</v>
      </c>
      <c r="V1515" s="62">
        <v>0</v>
      </c>
      <c r="Y1515" s="62" t="b">
        <v>0</v>
      </c>
      <c r="Z1515" s="62" t="s">
        <v>5049</v>
      </c>
      <c r="AA1515" s="62" t="b">
        <v>0</v>
      </c>
      <c r="AD1515" s="62">
        <v>15.9527912139893</v>
      </c>
      <c r="AE1515" s="62">
        <f t="shared" si="115"/>
        <v>16.9527912139893</v>
      </c>
      <c r="AF1515" s="62" t="s">
        <v>5050</v>
      </c>
      <c r="AH1515" s="189">
        <v>0.1</v>
      </c>
      <c r="AI1515" s="189">
        <v>2</v>
      </c>
      <c r="AL1515" s="62">
        <v>35</v>
      </c>
      <c r="BF1515" s="62">
        <v>0</v>
      </c>
      <c r="BI1515" s="62">
        <v>1</v>
      </c>
    </row>
    <row r="1516" spans="1:61" s="62" customFormat="1" ht="14.5">
      <c r="A1516" s="62">
        <v>21100008</v>
      </c>
      <c r="C1516" s="62">
        <v>4</v>
      </c>
      <c r="F1516" s="181" t="s">
        <v>4722</v>
      </c>
      <c r="G1516" s="106" t="s">
        <v>2330</v>
      </c>
      <c r="H1516" s="62" t="str">
        <f>VLOOKUP(F1516,'#对话模型配置'!A:O,14,FALSE)</f>
        <v>icon_hero</v>
      </c>
      <c r="I1516" s="62" t="s">
        <v>4723</v>
      </c>
      <c r="J1516" s="184" t="s">
        <v>5051</v>
      </c>
      <c r="K1516" s="185" t="s">
        <v>5052</v>
      </c>
      <c r="L1516" s="62">
        <v>110008</v>
      </c>
      <c r="M1516" s="186" t="s">
        <v>5053</v>
      </c>
      <c r="N1516" s="186"/>
      <c r="O1516" s="186" t="s">
        <v>5044</v>
      </c>
      <c r="R1516" s="186"/>
      <c r="U1516" s="62">
        <v>6</v>
      </c>
      <c r="V1516" s="62">
        <v>0</v>
      </c>
      <c r="Y1516" s="62" t="b">
        <v>0</v>
      </c>
      <c r="Z1516" s="62" t="s">
        <v>5054</v>
      </c>
      <c r="AA1516" s="62" t="b">
        <v>0</v>
      </c>
      <c r="AD1516" s="62">
        <v>4.1998119354248002</v>
      </c>
      <c r="AE1516" s="62">
        <f t="shared" si="115"/>
        <v>5.1998119354248002</v>
      </c>
      <c r="AF1516" s="62" t="s">
        <v>5055</v>
      </c>
      <c r="AH1516" s="189">
        <v>0.1</v>
      </c>
      <c r="AI1516" s="189">
        <v>2</v>
      </c>
      <c r="AL1516" s="62">
        <v>35</v>
      </c>
      <c r="BF1516" s="62">
        <v>0</v>
      </c>
      <c r="BI1516" s="62">
        <v>1</v>
      </c>
    </row>
    <row r="1517" spans="1:61" s="62" customFormat="1" ht="26">
      <c r="A1517" s="62">
        <v>21100008</v>
      </c>
      <c r="C1517" s="62">
        <v>5</v>
      </c>
      <c r="F1517" s="181" t="s">
        <v>4329</v>
      </c>
      <c r="G1517" s="106" t="s">
        <v>4147</v>
      </c>
      <c r="H1517" s="62" t="str">
        <f>VLOOKUP(F1517,'#对话模型配置'!A:O,14,FALSE)</f>
        <v>icon_hero</v>
      </c>
      <c r="I1517" s="62" t="s">
        <v>4734</v>
      </c>
      <c r="J1517" s="184" t="s">
        <v>5056</v>
      </c>
      <c r="K1517" s="187" t="s">
        <v>5057</v>
      </c>
      <c r="L1517" s="62">
        <v>110003</v>
      </c>
      <c r="M1517" s="186" t="s">
        <v>3289</v>
      </c>
      <c r="N1517" s="186"/>
      <c r="O1517" s="186" t="s">
        <v>5037</v>
      </c>
      <c r="R1517" s="186"/>
      <c r="U1517" s="62">
        <v>6</v>
      </c>
      <c r="V1517" s="62">
        <v>0</v>
      </c>
      <c r="Y1517" s="62" t="b">
        <v>0</v>
      </c>
      <c r="Z1517" s="62" t="s">
        <v>5058</v>
      </c>
      <c r="AA1517" s="62" t="b">
        <v>0</v>
      </c>
      <c r="AD1517" s="62">
        <v>11.916125297546399</v>
      </c>
      <c r="AE1517" s="62">
        <f t="shared" si="115"/>
        <v>12.916125297546399</v>
      </c>
      <c r="AF1517" s="62" t="s">
        <v>5059</v>
      </c>
      <c r="AH1517" s="189">
        <v>0.1</v>
      </c>
      <c r="AI1517" s="189">
        <v>2</v>
      </c>
      <c r="AL1517" s="62">
        <v>35</v>
      </c>
      <c r="BF1517" s="62">
        <v>0</v>
      </c>
      <c r="BI1517" s="62">
        <v>1</v>
      </c>
    </row>
    <row r="1518" spans="1:61" s="76" customFormat="1" ht="39">
      <c r="A1518" s="76">
        <v>21200008</v>
      </c>
      <c r="C1518" s="76">
        <v>1</v>
      </c>
      <c r="F1518" s="179" t="s">
        <v>5060</v>
      </c>
      <c r="G1518" s="180" t="s">
        <v>5061</v>
      </c>
      <c r="H1518" s="76" t="str">
        <f>VLOOKUP(F1518,'#对话模型配置'!A:O,14,FALSE)</f>
        <v>icon_hero</v>
      </c>
      <c r="I1518" s="76" t="s">
        <v>5062</v>
      </c>
      <c r="J1518" s="182" t="s">
        <v>5063</v>
      </c>
      <c r="K1518" s="183" t="s">
        <v>5064</v>
      </c>
      <c r="L1518" s="76">
        <v>110011</v>
      </c>
      <c r="M1518" s="76" t="s">
        <v>4831</v>
      </c>
      <c r="O1518" s="76" t="s">
        <v>5065</v>
      </c>
      <c r="R1518" s="197" t="s">
        <v>5066</v>
      </c>
      <c r="U1518" s="76">
        <v>6</v>
      </c>
      <c r="V1518" s="76">
        <v>0</v>
      </c>
      <c r="Y1518" s="76" t="b">
        <v>0</v>
      </c>
      <c r="Z1518" s="76" t="s">
        <v>5067</v>
      </c>
      <c r="AA1518" s="76" t="b">
        <v>0</v>
      </c>
      <c r="AD1518" s="76">
        <v>14.324354171752899</v>
      </c>
      <c r="AE1518" s="76">
        <f t="shared" si="115"/>
        <v>15.324354171752899</v>
      </c>
      <c r="AF1518" s="76" t="s">
        <v>5068</v>
      </c>
      <c r="AH1518" s="188">
        <v>0.1</v>
      </c>
      <c r="AI1518" s="188">
        <v>2</v>
      </c>
      <c r="AL1518" s="76">
        <v>35</v>
      </c>
      <c r="BF1518" s="76">
        <v>0</v>
      </c>
      <c r="BI1518" s="76">
        <v>1</v>
      </c>
    </row>
    <row r="1519" spans="1:61" s="76" customFormat="1" ht="14.5">
      <c r="A1519" s="76">
        <v>21200008</v>
      </c>
      <c r="C1519" s="76">
        <v>2</v>
      </c>
      <c r="F1519" s="179" t="s">
        <v>4722</v>
      </c>
      <c r="G1519" s="180" t="s">
        <v>2330</v>
      </c>
      <c r="H1519" s="76" t="str">
        <f>VLOOKUP(F1519,'#对话模型配置'!A:O,14,FALSE)</f>
        <v>icon_hero</v>
      </c>
      <c r="I1519" s="76" t="s">
        <v>4723</v>
      </c>
      <c r="J1519" s="182" t="s">
        <v>5069</v>
      </c>
      <c r="K1519" s="183" t="s">
        <v>5070</v>
      </c>
      <c r="L1519" s="76">
        <v>110008</v>
      </c>
      <c r="M1519" s="76" t="s">
        <v>3289</v>
      </c>
      <c r="O1519" s="76" t="s">
        <v>5071</v>
      </c>
      <c r="U1519" s="76">
        <v>6</v>
      </c>
      <c r="V1519" s="76">
        <v>0</v>
      </c>
      <c r="Y1519" s="76" t="b">
        <v>0</v>
      </c>
      <c r="Z1519" s="76" t="s">
        <v>5072</v>
      </c>
      <c r="AA1519" s="76" t="b">
        <v>0</v>
      </c>
      <c r="AD1519" s="76">
        <v>5.8730211257934597</v>
      </c>
      <c r="AE1519" s="76">
        <f t="shared" si="115"/>
        <v>6.8730211257934597</v>
      </c>
      <c r="AF1519" s="76" t="s">
        <v>5073</v>
      </c>
      <c r="AH1519" s="188">
        <v>0.1</v>
      </c>
      <c r="AI1519" s="188">
        <v>2</v>
      </c>
      <c r="AL1519" s="76">
        <v>35</v>
      </c>
      <c r="BF1519" s="76">
        <v>0</v>
      </c>
      <c r="BI1519" s="76">
        <v>1</v>
      </c>
    </row>
    <row r="1520" spans="1:61" s="76" customFormat="1" ht="14.5">
      <c r="A1520" s="76">
        <v>21200008</v>
      </c>
      <c r="C1520" s="76">
        <v>3</v>
      </c>
      <c r="F1520" s="179" t="s">
        <v>4329</v>
      </c>
      <c r="G1520" s="180" t="s">
        <v>4147</v>
      </c>
      <c r="H1520" s="76" t="str">
        <f>VLOOKUP(F1520,'#对话模型配置'!A:O,14,FALSE)</f>
        <v>icon_hero</v>
      </c>
      <c r="I1520" s="76" t="s">
        <v>4734</v>
      </c>
      <c r="J1520" s="182" t="s">
        <v>5074</v>
      </c>
      <c r="K1520" s="183" t="s">
        <v>5075</v>
      </c>
      <c r="L1520" s="76">
        <v>110003</v>
      </c>
      <c r="M1520" s="76" t="s">
        <v>5076</v>
      </c>
      <c r="O1520" s="76" t="s">
        <v>5077</v>
      </c>
      <c r="U1520" s="76">
        <v>6</v>
      </c>
      <c r="V1520" s="76">
        <v>0</v>
      </c>
      <c r="Y1520" s="76" t="b">
        <v>0</v>
      </c>
      <c r="Z1520" s="76" t="s">
        <v>5078</v>
      </c>
      <c r="AA1520" s="76" t="b">
        <v>0</v>
      </c>
      <c r="AD1520" s="76">
        <v>2.54824995994568</v>
      </c>
      <c r="AE1520" s="76">
        <f t="shared" si="115"/>
        <v>3.54824995994568</v>
      </c>
      <c r="AF1520" s="76" t="s">
        <v>5079</v>
      </c>
      <c r="AH1520" s="188">
        <v>0.1</v>
      </c>
      <c r="AI1520" s="188">
        <v>2</v>
      </c>
      <c r="AL1520" s="76">
        <v>35</v>
      </c>
      <c r="BF1520" s="76">
        <v>0</v>
      </c>
      <c r="BI1520" s="76">
        <v>1</v>
      </c>
    </row>
    <row r="1521" spans="1:61" s="76" customFormat="1" ht="26">
      <c r="A1521" s="76">
        <v>21200008</v>
      </c>
      <c r="C1521" s="76">
        <v>4</v>
      </c>
      <c r="F1521" s="179" t="s">
        <v>5060</v>
      </c>
      <c r="G1521" s="180" t="s">
        <v>5061</v>
      </c>
      <c r="H1521" s="76" t="str">
        <f>VLOOKUP(F1521,'#对话模型配置'!A:O,14,FALSE)</f>
        <v>icon_hero</v>
      </c>
      <c r="I1521" s="76" t="s">
        <v>5062</v>
      </c>
      <c r="J1521" s="182" t="s">
        <v>5080</v>
      </c>
      <c r="K1521" s="183" t="s">
        <v>5081</v>
      </c>
      <c r="L1521" s="76">
        <v>110011</v>
      </c>
      <c r="M1521" s="76" t="s">
        <v>3289</v>
      </c>
      <c r="O1521" s="76" t="s">
        <v>5065</v>
      </c>
      <c r="U1521" s="76">
        <v>6</v>
      </c>
      <c r="V1521" s="76">
        <v>0</v>
      </c>
      <c r="Y1521" s="76" t="b">
        <v>0</v>
      </c>
      <c r="Z1521" s="76" t="s">
        <v>5082</v>
      </c>
      <c r="AA1521" s="76" t="b">
        <v>0</v>
      </c>
      <c r="AD1521" s="76">
        <v>12.634666442871101</v>
      </c>
      <c r="AE1521" s="76">
        <f t="shared" si="115"/>
        <v>13.634666442871101</v>
      </c>
      <c r="AF1521" s="76" t="s">
        <v>5083</v>
      </c>
      <c r="AH1521" s="188">
        <v>0.1</v>
      </c>
      <c r="AI1521" s="188">
        <v>2</v>
      </c>
      <c r="AL1521" s="76">
        <v>35</v>
      </c>
      <c r="BF1521" s="76">
        <v>0</v>
      </c>
      <c r="BI1521" s="76">
        <v>1</v>
      </c>
    </row>
    <row r="1522" spans="1:61" s="76" customFormat="1" ht="14.5">
      <c r="A1522" s="76">
        <v>21200008</v>
      </c>
      <c r="C1522" s="76">
        <v>5</v>
      </c>
      <c r="F1522" s="179" t="s">
        <v>4329</v>
      </c>
      <c r="G1522" s="180" t="s">
        <v>4147</v>
      </c>
      <c r="H1522" s="76" t="str">
        <f>VLOOKUP(F1522,'#对话模型配置'!A:O,14,FALSE)</f>
        <v>icon_hero</v>
      </c>
      <c r="I1522" s="76" t="s">
        <v>4734</v>
      </c>
      <c r="J1522" s="182" t="s">
        <v>5084</v>
      </c>
      <c r="K1522" s="183" t="s">
        <v>5085</v>
      </c>
      <c r="L1522" s="76">
        <v>110003</v>
      </c>
      <c r="M1522" s="76" t="s">
        <v>3289</v>
      </c>
      <c r="O1522" s="76" t="s">
        <v>5077</v>
      </c>
      <c r="U1522" s="76">
        <v>6</v>
      </c>
      <c r="V1522" s="76">
        <v>0</v>
      </c>
      <c r="Y1522" s="76" t="b">
        <v>0</v>
      </c>
      <c r="Z1522" s="76" t="s">
        <v>5086</v>
      </c>
      <c r="AA1522" s="76" t="b">
        <v>0</v>
      </c>
      <c r="AD1522" s="76">
        <v>6.5316038131713903</v>
      </c>
      <c r="AE1522" s="76">
        <f t="shared" si="115"/>
        <v>7.5316038131713903</v>
      </c>
      <c r="AF1522" s="76" t="s">
        <v>5087</v>
      </c>
      <c r="AH1522" s="188">
        <v>0.1</v>
      </c>
      <c r="AI1522" s="188">
        <v>2</v>
      </c>
      <c r="AL1522" s="76">
        <v>35</v>
      </c>
      <c r="BF1522" s="76">
        <v>0</v>
      </c>
      <c r="BI1522" s="76">
        <v>1</v>
      </c>
    </row>
    <row r="1523" spans="1:61" s="76" customFormat="1" ht="26">
      <c r="A1523" s="76">
        <v>21200008</v>
      </c>
      <c r="C1523" s="76">
        <v>6</v>
      </c>
      <c r="F1523" s="179" t="s">
        <v>5060</v>
      </c>
      <c r="G1523" s="180" t="s">
        <v>5061</v>
      </c>
      <c r="H1523" s="76" t="str">
        <f>VLOOKUP(F1523,'#对话模型配置'!A:O,14,FALSE)</f>
        <v>icon_hero</v>
      </c>
      <c r="I1523" s="76" t="s">
        <v>5062</v>
      </c>
      <c r="J1523" s="182" t="s">
        <v>5088</v>
      </c>
      <c r="K1523" s="183" t="s">
        <v>5089</v>
      </c>
      <c r="L1523" s="76">
        <v>110011</v>
      </c>
      <c r="M1523" s="76" t="s">
        <v>4840</v>
      </c>
      <c r="O1523" s="76" t="s">
        <v>5065</v>
      </c>
      <c r="U1523" s="76">
        <v>6</v>
      </c>
      <c r="V1523" s="76">
        <v>0</v>
      </c>
      <c r="Y1523" s="76" t="b">
        <v>0</v>
      </c>
      <c r="Z1523" s="76" t="s">
        <v>5090</v>
      </c>
      <c r="AA1523" s="76" t="b">
        <v>0</v>
      </c>
      <c r="AD1523" s="76">
        <v>9.3384370803833008</v>
      </c>
      <c r="AE1523" s="76">
        <f t="shared" si="115"/>
        <v>10.338437080383301</v>
      </c>
      <c r="AF1523" s="76" t="s">
        <v>5091</v>
      </c>
      <c r="AH1523" s="188">
        <v>0.1</v>
      </c>
      <c r="AI1523" s="188">
        <v>2</v>
      </c>
      <c r="AL1523" s="76">
        <v>35</v>
      </c>
      <c r="BF1523" s="76">
        <v>0</v>
      </c>
      <c r="BI1523" s="76">
        <v>1</v>
      </c>
    </row>
    <row r="1524" spans="1:61" s="76" customFormat="1" ht="14.5">
      <c r="A1524" s="76">
        <v>21200008</v>
      </c>
      <c r="C1524" s="76">
        <v>7</v>
      </c>
      <c r="F1524" s="179" t="s">
        <v>4329</v>
      </c>
      <c r="G1524" s="180" t="s">
        <v>4147</v>
      </c>
      <c r="H1524" s="76" t="str">
        <f>VLOOKUP(F1524,'#对话模型配置'!A:O,14,FALSE)</f>
        <v>icon_hero</v>
      </c>
      <c r="I1524" s="76" t="s">
        <v>4734</v>
      </c>
      <c r="J1524" s="182" t="s">
        <v>5092</v>
      </c>
      <c r="K1524" s="183" t="s">
        <v>5093</v>
      </c>
      <c r="L1524" s="76">
        <v>110003</v>
      </c>
      <c r="M1524" s="76" t="s">
        <v>5076</v>
      </c>
      <c r="O1524" s="76" t="s">
        <v>5077</v>
      </c>
      <c r="U1524" s="76">
        <v>6</v>
      </c>
      <c r="V1524" s="76">
        <v>0</v>
      </c>
      <c r="Y1524" s="76" t="b">
        <v>0</v>
      </c>
      <c r="Z1524" s="76" t="s">
        <v>5094</v>
      </c>
      <c r="AA1524" s="76" t="b">
        <v>0</v>
      </c>
      <c r="AD1524" s="76">
        <v>1.75731301307678</v>
      </c>
      <c r="AE1524" s="76">
        <f t="shared" si="115"/>
        <v>2.75731301307678</v>
      </c>
      <c r="AF1524" s="76" t="s">
        <v>5095</v>
      </c>
      <c r="AH1524" s="188">
        <v>0.1</v>
      </c>
      <c r="AI1524" s="188">
        <v>2</v>
      </c>
      <c r="AL1524" s="76">
        <v>35</v>
      </c>
      <c r="BF1524" s="76">
        <v>0</v>
      </c>
      <c r="BI1524" s="76">
        <v>1</v>
      </c>
    </row>
    <row r="1525" spans="1:61" s="76" customFormat="1" ht="26">
      <c r="A1525" s="76">
        <v>21200008</v>
      </c>
      <c r="C1525" s="76">
        <v>8</v>
      </c>
      <c r="F1525" s="179" t="s">
        <v>5060</v>
      </c>
      <c r="G1525" s="180" t="s">
        <v>5061</v>
      </c>
      <c r="H1525" s="76" t="str">
        <f>VLOOKUP(F1525,'#对话模型配置'!A:O,14,FALSE)</f>
        <v>icon_hero</v>
      </c>
      <c r="I1525" s="76" t="s">
        <v>5062</v>
      </c>
      <c r="J1525" s="182" t="s">
        <v>5096</v>
      </c>
      <c r="K1525" s="183" t="s">
        <v>5097</v>
      </c>
      <c r="L1525" s="76">
        <v>110011</v>
      </c>
      <c r="M1525" s="76" t="s">
        <v>3314</v>
      </c>
      <c r="O1525" s="76" t="s">
        <v>5065</v>
      </c>
      <c r="U1525" s="76">
        <v>6</v>
      </c>
      <c r="V1525" s="76">
        <v>0</v>
      </c>
      <c r="Y1525" s="76" t="b">
        <v>0</v>
      </c>
      <c r="Z1525" s="76" t="s">
        <v>5098</v>
      </c>
      <c r="AA1525" s="76" t="b">
        <v>0</v>
      </c>
      <c r="AD1525" s="76">
        <v>12.7291879653931</v>
      </c>
      <c r="AE1525" s="76">
        <f t="shared" si="115"/>
        <v>13.7291879653931</v>
      </c>
      <c r="AF1525" s="76" t="s">
        <v>5099</v>
      </c>
      <c r="AH1525" s="188">
        <v>0.1</v>
      </c>
      <c r="AI1525" s="188">
        <v>2</v>
      </c>
      <c r="AL1525" s="76">
        <v>35</v>
      </c>
      <c r="BF1525" s="76">
        <v>0</v>
      </c>
      <c r="BI1525" s="76">
        <v>1</v>
      </c>
    </row>
    <row r="1526" spans="1:61" s="76" customFormat="1" ht="14.5">
      <c r="A1526" s="76">
        <v>21200008</v>
      </c>
      <c r="C1526" s="76">
        <v>9</v>
      </c>
      <c r="F1526" s="179" t="s">
        <v>4329</v>
      </c>
      <c r="G1526" s="180" t="s">
        <v>4147</v>
      </c>
      <c r="H1526" s="76" t="str">
        <f>VLOOKUP(F1526,'#对话模型配置'!A:O,14,FALSE)</f>
        <v>icon_hero</v>
      </c>
      <c r="I1526" s="76" t="s">
        <v>4734</v>
      </c>
      <c r="J1526" s="182" t="s">
        <v>5100</v>
      </c>
      <c r="K1526" s="183" t="s">
        <v>5101</v>
      </c>
      <c r="L1526" s="76">
        <v>110003</v>
      </c>
      <c r="M1526" s="76" t="s">
        <v>3289</v>
      </c>
      <c r="O1526" s="76" t="s">
        <v>5077</v>
      </c>
      <c r="U1526" s="76">
        <v>6</v>
      </c>
      <c r="V1526" s="76">
        <v>0</v>
      </c>
      <c r="Y1526" s="76" t="b">
        <v>0</v>
      </c>
      <c r="Z1526" s="76" t="s">
        <v>5102</v>
      </c>
      <c r="AA1526" s="76" t="b">
        <v>0</v>
      </c>
      <c r="AD1526" s="76">
        <v>3.2659380435943599</v>
      </c>
      <c r="AE1526" s="76">
        <f t="shared" si="115"/>
        <v>4.2659380435943604</v>
      </c>
      <c r="AF1526" s="76" t="s">
        <v>5103</v>
      </c>
      <c r="AH1526" s="188">
        <v>0.1</v>
      </c>
      <c r="AI1526" s="188">
        <v>2</v>
      </c>
      <c r="AL1526" s="76">
        <v>35</v>
      </c>
      <c r="BF1526" s="76">
        <v>0</v>
      </c>
      <c r="BI1526" s="76">
        <v>1</v>
      </c>
    </row>
    <row r="1527" spans="1:61" s="76" customFormat="1" ht="39">
      <c r="A1527" s="76">
        <v>21200008</v>
      </c>
      <c r="C1527" s="76">
        <v>10</v>
      </c>
      <c r="F1527" s="179" t="s">
        <v>5060</v>
      </c>
      <c r="G1527" s="180" t="s">
        <v>5061</v>
      </c>
      <c r="H1527" s="76" t="str">
        <f>VLOOKUP(F1527,'#对话模型配置'!A:O,14,FALSE)</f>
        <v>icon_hero</v>
      </c>
      <c r="I1527" s="76" t="s">
        <v>5062</v>
      </c>
      <c r="J1527" s="182" t="s">
        <v>5104</v>
      </c>
      <c r="K1527" s="183" t="s">
        <v>5105</v>
      </c>
      <c r="L1527" s="76">
        <v>110011</v>
      </c>
      <c r="M1527" s="76" t="s">
        <v>3314</v>
      </c>
      <c r="O1527" s="76" t="s">
        <v>5065</v>
      </c>
      <c r="U1527" s="76">
        <v>6</v>
      </c>
      <c r="V1527" s="76">
        <v>0</v>
      </c>
      <c r="Y1527" s="76" t="b">
        <v>0</v>
      </c>
      <c r="Z1527" s="76" t="s">
        <v>5106</v>
      </c>
      <c r="AA1527" s="76" t="b">
        <v>0</v>
      </c>
      <c r="AD1527" s="76">
        <v>13.2562913894653</v>
      </c>
      <c r="AE1527" s="76">
        <f t="shared" si="115"/>
        <v>14.2562913894653</v>
      </c>
      <c r="AF1527" s="76" t="s">
        <v>5107</v>
      </c>
      <c r="AH1527" s="188">
        <v>0.1</v>
      </c>
      <c r="AI1527" s="188">
        <v>2</v>
      </c>
      <c r="AL1527" s="76">
        <v>35</v>
      </c>
      <c r="BF1527" s="76">
        <v>0</v>
      </c>
      <c r="BI1527" s="76">
        <v>1</v>
      </c>
    </row>
    <row r="1528" spans="1:61" s="62" customFormat="1" ht="26">
      <c r="A1528" s="62">
        <v>21100009</v>
      </c>
      <c r="C1528" s="62">
        <v>1</v>
      </c>
      <c r="F1528" s="181" t="s">
        <v>4722</v>
      </c>
      <c r="G1528" s="106" t="s">
        <v>2330</v>
      </c>
      <c r="H1528" s="62" t="str">
        <f>VLOOKUP(F1528,'#对话模型配置'!A:O,14,FALSE)</f>
        <v>icon_hero</v>
      </c>
      <c r="I1528" s="62" t="s">
        <v>4723</v>
      </c>
      <c r="J1528" s="184" t="s">
        <v>5108</v>
      </c>
      <c r="K1528" s="185" t="s">
        <v>5109</v>
      </c>
      <c r="L1528" s="62">
        <v>110008</v>
      </c>
      <c r="M1528" s="62" t="s">
        <v>3289</v>
      </c>
      <c r="O1528" s="62" t="s">
        <v>5110</v>
      </c>
      <c r="R1528" s="62" t="s">
        <v>4819</v>
      </c>
      <c r="U1528" s="62">
        <v>6</v>
      </c>
      <c r="V1528" s="62">
        <v>0</v>
      </c>
      <c r="Y1528" s="62" t="b">
        <v>0</v>
      </c>
      <c r="Z1528" s="62" t="s">
        <v>5111</v>
      </c>
      <c r="AA1528" s="62" t="b">
        <v>0</v>
      </c>
      <c r="AD1528" s="62">
        <v>11.492500305175801</v>
      </c>
      <c r="AE1528" s="62">
        <f t="shared" si="115"/>
        <v>12.492500305175801</v>
      </c>
      <c r="AF1528" s="62" t="s">
        <v>5112</v>
      </c>
      <c r="AH1528" s="189">
        <v>0.1</v>
      </c>
      <c r="AI1528" s="189">
        <v>2</v>
      </c>
      <c r="AL1528" s="62">
        <v>35</v>
      </c>
      <c r="BF1528" s="62">
        <v>0</v>
      </c>
      <c r="BI1528" s="62">
        <v>1</v>
      </c>
    </row>
    <row r="1529" spans="1:61" s="62" customFormat="1" ht="26">
      <c r="A1529" s="62">
        <v>21100009</v>
      </c>
      <c r="C1529" s="62">
        <v>2</v>
      </c>
      <c r="F1529" s="181" t="s">
        <v>4722</v>
      </c>
      <c r="G1529" s="106" t="s">
        <v>2330</v>
      </c>
      <c r="H1529" s="62" t="str">
        <f>VLOOKUP(F1529,'#对话模型配置'!A:O,14,FALSE)</f>
        <v>icon_hero</v>
      </c>
      <c r="I1529" s="62" t="s">
        <v>4723</v>
      </c>
      <c r="J1529" s="184" t="s">
        <v>5113</v>
      </c>
      <c r="K1529" s="185" t="s">
        <v>5114</v>
      </c>
      <c r="L1529" s="62">
        <v>110008</v>
      </c>
      <c r="M1529" s="62" t="s">
        <v>4840</v>
      </c>
      <c r="O1529" s="62" t="s">
        <v>5110</v>
      </c>
      <c r="U1529" s="62">
        <v>6</v>
      </c>
      <c r="V1529" s="62">
        <v>0</v>
      </c>
      <c r="Y1529" s="62" t="b">
        <v>0</v>
      </c>
      <c r="Z1529" s="62" t="s">
        <v>5115</v>
      </c>
      <c r="AA1529" s="62" t="b">
        <v>0</v>
      </c>
      <c r="AD1529" s="62">
        <v>7.98616600036621</v>
      </c>
      <c r="AE1529" s="62">
        <f t="shared" si="115"/>
        <v>8.9861660003662109</v>
      </c>
      <c r="AF1529" s="62" t="s">
        <v>5116</v>
      </c>
      <c r="AH1529" s="189">
        <v>0.1</v>
      </c>
      <c r="AI1529" s="189">
        <v>2</v>
      </c>
      <c r="AL1529" s="62">
        <v>35</v>
      </c>
      <c r="BF1529" s="62">
        <v>0</v>
      </c>
      <c r="BI1529" s="62">
        <v>1</v>
      </c>
    </row>
    <row r="1530" spans="1:61" s="62" customFormat="1" ht="26">
      <c r="A1530" s="62">
        <v>21100009</v>
      </c>
      <c r="C1530" s="62">
        <v>3</v>
      </c>
      <c r="F1530" s="181" t="s">
        <v>4329</v>
      </c>
      <c r="G1530" s="106" t="s">
        <v>4147</v>
      </c>
      <c r="H1530" s="62" t="str">
        <f>VLOOKUP(F1530,'#对话模型配置'!A:O,14,FALSE)</f>
        <v>icon_hero</v>
      </c>
      <c r="I1530" s="62" t="s">
        <v>4734</v>
      </c>
      <c r="J1530" s="184" t="s">
        <v>5117</v>
      </c>
      <c r="K1530" s="185" t="s">
        <v>5118</v>
      </c>
      <c r="L1530" s="62">
        <v>110003</v>
      </c>
      <c r="M1530" s="62" t="s">
        <v>3285</v>
      </c>
      <c r="O1530" s="62" t="s">
        <v>4824</v>
      </c>
      <c r="U1530" s="62">
        <v>6</v>
      </c>
      <c r="V1530" s="62">
        <v>0</v>
      </c>
      <c r="Y1530" s="62" t="b">
        <v>0</v>
      </c>
      <c r="Z1530" s="62" t="s">
        <v>5119</v>
      </c>
      <c r="AA1530" s="62" t="b">
        <v>0</v>
      </c>
      <c r="AD1530" s="62">
        <v>11.745124816894499</v>
      </c>
      <c r="AE1530" s="62">
        <f t="shared" si="115"/>
        <v>12.745124816894499</v>
      </c>
      <c r="AF1530" s="62" t="s">
        <v>5120</v>
      </c>
      <c r="AH1530" s="189">
        <v>0.1</v>
      </c>
      <c r="AI1530" s="189">
        <v>2</v>
      </c>
      <c r="AL1530" s="62">
        <v>35</v>
      </c>
      <c r="BF1530" s="62">
        <v>0</v>
      </c>
      <c r="BI1530" s="62">
        <v>1</v>
      </c>
    </row>
    <row r="1531" spans="1:61" s="62" customFormat="1" ht="26">
      <c r="A1531" s="62">
        <v>21100009</v>
      </c>
      <c r="C1531" s="62">
        <v>4</v>
      </c>
      <c r="F1531" s="181" t="s">
        <v>4329</v>
      </c>
      <c r="G1531" s="106" t="s">
        <v>4147</v>
      </c>
      <c r="H1531" s="62" t="str">
        <f>VLOOKUP(F1531,'#对话模型配置'!A:O,14,FALSE)</f>
        <v>icon_hero</v>
      </c>
      <c r="I1531" s="62" t="s">
        <v>4734</v>
      </c>
      <c r="J1531" s="184" t="s">
        <v>5121</v>
      </c>
      <c r="K1531" s="185" t="s">
        <v>5122</v>
      </c>
      <c r="L1531" s="62">
        <v>110003</v>
      </c>
      <c r="M1531" s="62" t="s">
        <v>3289</v>
      </c>
      <c r="O1531" s="62" t="s">
        <v>4824</v>
      </c>
      <c r="U1531" s="62">
        <v>6</v>
      </c>
      <c r="V1531" s="62">
        <v>0</v>
      </c>
      <c r="Y1531" s="62" t="b">
        <v>0</v>
      </c>
      <c r="Z1531" s="62" t="s">
        <v>5123</v>
      </c>
      <c r="AA1531" s="62" t="b">
        <v>0</v>
      </c>
      <c r="AD1531" s="62">
        <v>8.0945844650268608</v>
      </c>
      <c r="AE1531" s="62">
        <f t="shared" si="115"/>
        <v>9.0945844650268608</v>
      </c>
      <c r="AF1531" s="62" t="s">
        <v>5124</v>
      </c>
      <c r="AH1531" s="189">
        <v>0.1</v>
      </c>
      <c r="AI1531" s="189">
        <v>2</v>
      </c>
      <c r="AL1531" s="62">
        <v>35</v>
      </c>
      <c r="BF1531" s="62">
        <v>0</v>
      </c>
      <c r="BI1531" s="62">
        <v>1</v>
      </c>
    </row>
    <row r="1532" spans="1:61" s="62" customFormat="1" ht="14.5">
      <c r="A1532" s="62">
        <v>21100009</v>
      </c>
      <c r="C1532" s="62">
        <v>5</v>
      </c>
      <c r="F1532" s="181" t="s">
        <v>4722</v>
      </c>
      <c r="G1532" s="106" t="s">
        <v>2330</v>
      </c>
      <c r="H1532" s="62" t="str">
        <f>VLOOKUP(F1532,'#对话模型配置'!A:O,14,FALSE)</f>
        <v>icon_hero</v>
      </c>
      <c r="I1532" s="62" t="s">
        <v>4723</v>
      </c>
      <c r="J1532" s="184" t="s">
        <v>5125</v>
      </c>
      <c r="K1532" s="185" t="s">
        <v>5126</v>
      </c>
      <c r="L1532" s="62">
        <v>110008</v>
      </c>
      <c r="M1532" s="62" t="s">
        <v>3314</v>
      </c>
      <c r="O1532" s="62" t="s">
        <v>5110</v>
      </c>
      <c r="U1532" s="62">
        <v>6</v>
      </c>
      <c r="V1532" s="62">
        <v>0</v>
      </c>
      <c r="Y1532" s="62" t="b">
        <v>0</v>
      </c>
      <c r="Z1532" s="62" t="s">
        <v>5127</v>
      </c>
      <c r="AA1532" s="62" t="b">
        <v>0</v>
      </c>
      <c r="AD1532" s="62">
        <v>8.7957296371459996</v>
      </c>
      <c r="AE1532" s="62">
        <f t="shared" si="115"/>
        <v>9.7957296371459996</v>
      </c>
      <c r="AF1532" s="62" t="s">
        <v>5128</v>
      </c>
      <c r="AH1532" s="189">
        <v>0.1</v>
      </c>
      <c r="AI1532" s="189">
        <v>2</v>
      </c>
      <c r="AL1532" s="62">
        <v>35</v>
      </c>
      <c r="BF1532" s="62">
        <v>0</v>
      </c>
      <c r="BI1532" s="62">
        <v>1</v>
      </c>
    </row>
    <row r="1533" spans="1:61" s="62" customFormat="1" ht="14.5">
      <c r="A1533" s="62">
        <v>21100009</v>
      </c>
      <c r="C1533" s="62">
        <v>6</v>
      </c>
      <c r="F1533" s="181" t="s">
        <v>4329</v>
      </c>
      <c r="G1533" s="106" t="s">
        <v>4147</v>
      </c>
      <c r="H1533" s="62" t="str">
        <f>VLOOKUP(F1533,'#对话模型配置'!A:O,14,FALSE)</f>
        <v>icon_hero</v>
      </c>
      <c r="I1533" s="62" t="s">
        <v>4734</v>
      </c>
      <c r="J1533" s="184" t="s">
        <v>5129</v>
      </c>
      <c r="K1533" s="185" t="s">
        <v>5130</v>
      </c>
      <c r="L1533" s="62">
        <v>110003</v>
      </c>
      <c r="M1533" s="62" t="s">
        <v>3453</v>
      </c>
      <c r="O1533" s="62" t="s">
        <v>4824</v>
      </c>
      <c r="U1533" s="62">
        <v>6</v>
      </c>
      <c r="V1533" s="62">
        <v>0</v>
      </c>
      <c r="Y1533" s="62" t="b">
        <v>0</v>
      </c>
      <c r="Z1533" s="62" t="s">
        <v>5131</v>
      </c>
      <c r="AA1533" s="62" t="b">
        <v>0</v>
      </c>
      <c r="AD1533" s="62">
        <v>3.7871038913726802</v>
      </c>
      <c r="AE1533" s="62">
        <f t="shared" si="115"/>
        <v>4.7871038913726807</v>
      </c>
      <c r="AF1533" s="62" t="s">
        <v>5132</v>
      </c>
      <c r="AH1533" s="189">
        <v>0.1</v>
      </c>
      <c r="AI1533" s="189">
        <v>2</v>
      </c>
      <c r="AL1533" s="62">
        <v>35</v>
      </c>
      <c r="BF1533" s="62">
        <v>0</v>
      </c>
      <c r="BI1533" s="62">
        <v>1</v>
      </c>
    </row>
    <row r="1534" spans="1:61" s="62" customFormat="1" ht="26">
      <c r="A1534" s="62">
        <v>21100009</v>
      </c>
      <c r="C1534" s="62">
        <v>7</v>
      </c>
      <c r="F1534" s="181" t="s">
        <v>4722</v>
      </c>
      <c r="G1534" s="106" t="s">
        <v>2330</v>
      </c>
      <c r="H1534" s="62" t="str">
        <f>VLOOKUP(F1534,'#对话模型配置'!A:O,14,FALSE)</f>
        <v>icon_hero</v>
      </c>
      <c r="I1534" s="62" t="s">
        <v>4723</v>
      </c>
      <c r="J1534" s="184" t="s">
        <v>5133</v>
      </c>
      <c r="K1534" s="185" t="s">
        <v>5134</v>
      </c>
      <c r="L1534" s="62">
        <v>110008</v>
      </c>
      <c r="M1534" s="62" t="s">
        <v>3289</v>
      </c>
      <c r="O1534" s="62" t="s">
        <v>5110</v>
      </c>
      <c r="U1534" s="62">
        <v>6</v>
      </c>
      <c r="V1534" s="62">
        <v>0</v>
      </c>
      <c r="Y1534" s="62" t="b">
        <v>0</v>
      </c>
      <c r="Z1534" s="62" t="s">
        <v>5135</v>
      </c>
      <c r="AA1534" s="62" t="b">
        <v>0</v>
      </c>
      <c r="AD1534" s="62">
        <v>10.108187675476101</v>
      </c>
      <c r="AE1534" s="62">
        <f t="shared" si="115"/>
        <v>11.108187675476101</v>
      </c>
      <c r="AF1534" s="62" t="s">
        <v>5136</v>
      </c>
      <c r="AH1534" s="189">
        <v>0.1</v>
      </c>
      <c r="AI1534" s="189">
        <v>2</v>
      </c>
      <c r="AL1534" s="62">
        <v>35</v>
      </c>
      <c r="BF1534" s="62">
        <v>0</v>
      </c>
      <c r="BI1534" s="62">
        <v>1</v>
      </c>
    </row>
    <row r="1535" spans="1:61" s="62" customFormat="1" ht="14.5">
      <c r="A1535" s="62">
        <v>21100009</v>
      </c>
      <c r="C1535" s="62">
        <v>8</v>
      </c>
      <c r="F1535" s="181" t="s">
        <v>4329</v>
      </c>
      <c r="G1535" s="106" t="s">
        <v>4147</v>
      </c>
      <c r="H1535" s="62" t="str">
        <f>VLOOKUP(F1535,'#对话模型配置'!A:O,14,FALSE)</f>
        <v>icon_hero</v>
      </c>
      <c r="I1535" s="62" t="s">
        <v>4734</v>
      </c>
      <c r="J1535" s="184" t="s">
        <v>5137</v>
      </c>
      <c r="K1535" s="185" t="s">
        <v>5138</v>
      </c>
      <c r="L1535" s="62">
        <v>110003</v>
      </c>
      <c r="M1535" s="62" t="s">
        <v>3289</v>
      </c>
      <c r="O1535" s="62" t="s">
        <v>4824</v>
      </c>
      <c r="U1535" s="62">
        <v>6</v>
      </c>
      <c r="V1535" s="62">
        <v>0</v>
      </c>
      <c r="Y1535" s="62" t="b">
        <v>0</v>
      </c>
      <c r="Z1535" s="62" t="s">
        <v>5139</v>
      </c>
      <c r="AA1535" s="62" t="b">
        <v>0</v>
      </c>
      <c r="AD1535" s="62">
        <v>6.5719590187072798</v>
      </c>
      <c r="AE1535" s="62">
        <f t="shared" si="115"/>
        <v>7.5719590187072798</v>
      </c>
      <c r="AF1535" s="62" t="s">
        <v>5140</v>
      </c>
      <c r="AH1535" s="189">
        <v>0.1</v>
      </c>
      <c r="AI1535" s="189">
        <v>2</v>
      </c>
      <c r="AL1535" s="62">
        <v>35</v>
      </c>
      <c r="BF1535" s="62">
        <v>0</v>
      </c>
      <c r="BI1535" s="62">
        <v>1</v>
      </c>
    </row>
    <row r="1536" spans="1:61" s="62" customFormat="1" ht="26">
      <c r="A1536" s="62">
        <v>21100009</v>
      </c>
      <c r="C1536" s="62">
        <v>9</v>
      </c>
      <c r="F1536" s="181" t="s">
        <v>4722</v>
      </c>
      <c r="G1536" s="106" t="s">
        <v>2330</v>
      </c>
      <c r="H1536" s="62" t="str">
        <f>VLOOKUP(F1536,'#对话模型配置'!A:O,14,FALSE)</f>
        <v>icon_hero</v>
      </c>
      <c r="I1536" s="62" t="s">
        <v>4723</v>
      </c>
      <c r="J1536" s="184" t="s">
        <v>5141</v>
      </c>
      <c r="K1536" s="185" t="s">
        <v>5142</v>
      </c>
      <c r="L1536" s="62">
        <v>110008</v>
      </c>
      <c r="M1536" s="62" t="s">
        <v>3289</v>
      </c>
      <c r="O1536" s="62" t="s">
        <v>5110</v>
      </c>
      <c r="U1536" s="62">
        <v>6</v>
      </c>
      <c r="V1536" s="62">
        <v>0</v>
      </c>
      <c r="Y1536" s="62" t="b">
        <v>0</v>
      </c>
      <c r="Z1536" s="62" t="s">
        <v>5143</v>
      </c>
      <c r="AA1536" s="62" t="b">
        <v>0</v>
      </c>
      <c r="AD1536" s="62">
        <v>7.1538958549499503</v>
      </c>
      <c r="AE1536" s="62">
        <f t="shared" si="115"/>
        <v>8.1538958549499512</v>
      </c>
      <c r="AF1536" s="62" t="s">
        <v>5144</v>
      </c>
      <c r="AH1536" s="189">
        <v>0.1</v>
      </c>
      <c r="AI1536" s="189">
        <v>2</v>
      </c>
      <c r="AL1536" s="62">
        <v>35</v>
      </c>
      <c r="BF1536" s="62">
        <v>0</v>
      </c>
      <c r="BI1536" s="62">
        <v>1</v>
      </c>
    </row>
    <row r="1537" spans="1:61" s="62" customFormat="1" ht="26">
      <c r="A1537" s="62">
        <v>21100009</v>
      </c>
      <c r="C1537" s="62">
        <v>10</v>
      </c>
      <c r="F1537" s="181" t="s">
        <v>4722</v>
      </c>
      <c r="G1537" s="106" t="s">
        <v>2330</v>
      </c>
      <c r="H1537" s="62" t="str">
        <f>VLOOKUP(F1537,'#对话模型配置'!A:O,14,FALSE)</f>
        <v>icon_hero</v>
      </c>
      <c r="I1537" s="62" t="s">
        <v>4723</v>
      </c>
      <c r="J1537" s="184" t="s">
        <v>5145</v>
      </c>
      <c r="K1537" s="185" t="s">
        <v>5146</v>
      </c>
      <c r="L1537" s="62">
        <v>110008</v>
      </c>
      <c r="M1537" s="62" t="s">
        <v>3289</v>
      </c>
      <c r="O1537" s="62" t="s">
        <v>5110</v>
      </c>
      <c r="U1537" s="62">
        <v>6</v>
      </c>
      <c r="V1537" s="62">
        <v>0</v>
      </c>
      <c r="Y1537" s="62" t="b">
        <v>0</v>
      </c>
      <c r="Z1537" s="62" t="s">
        <v>5147</v>
      </c>
      <c r="AA1537" s="62" t="b">
        <v>0</v>
      </c>
      <c r="AD1537" s="62">
        <v>13.710729598999</v>
      </c>
      <c r="AE1537" s="62">
        <f t="shared" si="115"/>
        <v>14.710729598999</v>
      </c>
      <c r="AF1537" s="62" t="s">
        <v>5148</v>
      </c>
      <c r="AH1537" s="189">
        <v>0.1</v>
      </c>
      <c r="AI1537" s="189">
        <v>2</v>
      </c>
      <c r="AL1537" s="62">
        <v>35</v>
      </c>
      <c r="BF1537" s="62">
        <v>0</v>
      </c>
      <c r="BI1537" s="62">
        <v>1</v>
      </c>
    </row>
    <row r="1538" spans="1:61" s="62" customFormat="1" ht="14.5">
      <c r="A1538" s="62">
        <v>21100009</v>
      </c>
      <c r="C1538" s="62">
        <v>11</v>
      </c>
      <c r="F1538" s="181" t="s">
        <v>4329</v>
      </c>
      <c r="G1538" s="106" t="s">
        <v>4147</v>
      </c>
      <c r="H1538" s="62" t="str">
        <f>VLOOKUP(F1538,'#对话模型配置'!A:O,14,FALSE)</f>
        <v>icon_hero</v>
      </c>
      <c r="I1538" s="62" t="s">
        <v>4734</v>
      </c>
      <c r="J1538" s="184" t="s">
        <v>5149</v>
      </c>
      <c r="K1538" s="185" t="s">
        <v>5150</v>
      </c>
      <c r="L1538" s="62">
        <v>110003</v>
      </c>
      <c r="M1538" s="62" t="s">
        <v>5076</v>
      </c>
      <c r="O1538" s="62" t="s">
        <v>4824</v>
      </c>
      <c r="U1538" s="62">
        <v>6</v>
      </c>
      <c r="V1538" s="62">
        <v>0</v>
      </c>
      <c r="Y1538" s="62" t="b">
        <v>0</v>
      </c>
      <c r="Z1538" s="62" t="s">
        <v>5151</v>
      </c>
      <c r="AA1538" s="62" t="b">
        <v>0</v>
      </c>
      <c r="AD1538" s="62">
        <v>2.07072901725769</v>
      </c>
      <c r="AE1538" s="62">
        <f t="shared" si="115"/>
        <v>3.07072901725769</v>
      </c>
      <c r="AF1538" s="62" t="s">
        <v>5152</v>
      </c>
      <c r="AH1538" s="189">
        <v>0.1</v>
      </c>
      <c r="AI1538" s="189">
        <v>2</v>
      </c>
      <c r="AL1538" s="62">
        <v>35</v>
      </c>
      <c r="BF1538" s="62">
        <v>0</v>
      </c>
      <c r="BI1538" s="62">
        <v>1</v>
      </c>
    </row>
    <row r="1539" spans="1:61" s="62" customFormat="1" ht="14.5">
      <c r="A1539" s="62">
        <v>21100009</v>
      </c>
      <c r="C1539" s="62">
        <v>12</v>
      </c>
      <c r="F1539" s="181" t="s">
        <v>4722</v>
      </c>
      <c r="G1539" s="106" t="s">
        <v>2330</v>
      </c>
      <c r="H1539" s="62" t="str">
        <f>VLOOKUP(F1539,'#对话模型配置'!A:O,14,FALSE)</f>
        <v>icon_hero</v>
      </c>
      <c r="I1539" s="62" t="s">
        <v>4723</v>
      </c>
      <c r="J1539" s="184" t="s">
        <v>5153</v>
      </c>
      <c r="K1539" s="185" t="s">
        <v>5154</v>
      </c>
      <c r="L1539" s="62">
        <v>110008</v>
      </c>
      <c r="M1539" s="62" t="s">
        <v>3289</v>
      </c>
      <c r="O1539" s="62" t="s">
        <v>5110</v>
      </c>
      <c r="U1539" s="62">
        <v>6</v>
      </c>
      <c r="V1539" s="62">
        <v>0</v>
      </c>
      <c r="Y1539" s="62" t="b">
        <v>0</v>
      </c>
      <c r="Z1539" s="62" t="s">
        <v>5155</v>
      </c>
      <c r="AA1539" s="62" t="b">
        <v>0</v>
      </c>
      <c r="AD1539" s="62">
        <v>6.62593698501587</v>
      </c>
      <c r="AE1539" s="62">
        <f t="shared" si="115"/>
        <v>7.62593698501587</v>
      </c>
      <c r="AF1539" s="62" t="s">
        <v>5156</v>
      </c>
      <c r="AH1539" s="189">
        <v>0.1</v>
      </c>
      <c r="AI1539" s="189">
        <v>2</v>
      </c>
      <c r="AL1539" s="62">
        <v>35</v>
      </c>
      <c r="BF1539" s="62">
        <v>0</v>
      </c>
      <c r="BI1539" s="62">
        <v>1</v>
      </c>
    </row>
    <row r="1540" spans="1:61" s="62" customFormat="1" ht="26">
      <c r="A1540" s="62">
        <v>21100009</v>
      </c>
      <c r="C1540" s="62">
        <v>13</v>
      </c>
      <c r="F1540" s="181" t="s">
        <v>4329</v>
      </c>
      <c r="G1540" s="106" t="s">
        <v>4147</v>
      </c>
      <c r="H1540" s="62" t="str">
        <f>VLOOKUP(F1540,'#对话模型配置'!A:O,14,FALSE)</f>
        <v>icon_hero</v>
      </c>
      <c r="I1540" s="62" t="s">
        <v>4734</v>
      </c>
      <c r="J1540" s="184" t="s">
        <v>5157</v>
      </c>
      <c r="K1540" s="185" t="s">
        <v>5158</v>
      </c>
      <c r="L1540" s="62">
        <v>110003</v>
      </c>
      <c r="M1540" s="62" t="s">
        <v>3314</v>
      </c>
      <c r="O1540" s="62" t="s">
        <v>4824</v>
      </c>
      <c r="U1540" s="62">
        <v>6</v>
      </c>
      <c r="V1540" s="62">
        <v>0</v>
      </c>
      <c r="Y1540" s="62" t="b">
        <v>0</v>
      </c>
      <c r="Z1540" s="62" t="s">
        <v>5159</v>
      </c>
      <c r="AA1540" s="62" t="b">
        <v>0</v>
      </c>
      <c r="AD1540" s="62">
        <v>7.6993131637573198</v>
      </c>
      <c r="AE1540" s="62">
        <f t="shared" si="115"/>
        <v>8.6993131637573207</v>
      </c>
      <c r="AF1540" s="62" t="s">
        <v>5160</v>
      </c>
      <c r="AH1540" s="189">
        <v>0.1</v>
      </c>
      <c r="AI1540" s="189">
        <v>2</v>
      </c>
      <c r="AL1540" s="62">
        <v>35</v>
      </c>
      <c r="BF1540" s="62">
        <v>0</v>
      </c>
      <c r="BI1540" s="62">
        <v>1</v>
      </c>
    </row>
    <row r="1541" spans="1:61" s="76" customFormat="1" ht="26">
      <c r="A1541" s="76">
        <v>21100010</v>
      </c>
      <c r="C1541" s="76">
        <v>1</v>
      </c>
      <c r="F1541" s="179" t="s">
        <v>4811</v>
      </c>
      <c r="G1541" s="180" t="s">
        <v>4812</v>
      </c>
      <c r="H1541" s="76" t="str">
        <f>VLOOKUP(F1541,'#对话模型配置'!A:O,14,FALSE)</f>
        <v>icon_hero</v>
      </c>
      <c r="I1541" s="76" t="s">
        <v>4813</v>
      </c>
      <c r="J1541" s="182" t="s">
        <v>5161</v>
      </c>
      <c r="K1541" s="183" t="s">
        <v>5162</v>
      </c>
      <c r="L1541" s="76">
        <v>110009</v>
      </c>
      <c r="M1541" s="76" t="s">
        <v>3843</v>
      </c>
      <c r="O1541" s="76" t="s">
        <v>5110</v>
      </c>
      <c r="R1541" s="76" t="s">
        <v>4819</v>
      </c>
      <c r="U1541" s="76">
        <v>6</v>
      </c>
      <c r="V1541" s="76">
        <v>0</v>
      </c>
      <c r="Y1541" s="76" t="b">
        <v>0</v>
      </c>
      <c r="Z1541" s="76" t="s">
        <v>5163</v>
      </c>
      <c r="AA1541" s="76" t="b">
        <v>0</v>
      </c>
      <c r="AD1541" s="76">
        <v>10.3927707672119</v>
      </c>
      <c r="AE1541" s="76">
        <f t="shared" si="115"/>
        <v>11.3927707672119</v>
      </c>
      <c r="AF1541" s="76" t="s">
        <v>5164</v>
      </c>
      <c r="AH1541" s="188">
        <v>0.1</v>
      </c>
      <c r="AI1541" s="188">
        <v>0.5</v>
      </c>
      <c r="AL1541" s="76">
        <v>35</v>
      </c>
      <c r="BF1541" s="76">
        <v>0</v>
      </c>
      <c r="BI1541" s="76">
        <v>1</v>
      </c>
    </row>
    <row r="1542" spans="1:61" s="76" customFormat="1" ht="26">
      <c r="A1542" s="76">
        <v>21100010</v>
      </c>
      <c r="C1542" s="76">
        <v>2</v>
      </c>
      <c r="F1542" s="179" t="s">
        <v>4329</v>
      </c>
      <c r="G1542" s="180" t="s">
        <v>4147</v>
      </c>
      <c r="H1542" s="76" t="str">
        <f>VLOOKUP(F1542,'#对话模型配置'!A:O,14,FALSE)</f>
        <v>icon_hero</v>
      </c>
      <c r="I1542" s="76" t="s">
        <v>4734</v>
      </c>
      <c r="J1542" s="182" t="s">
        <v>5165</v>
      </c>
      <c r="K1542" s="183" t="s">
        <v>5166</v>
      </c>
      <c r="L1542" s="76">
        <v>110003</v>
      </c>
      <c r="M1542" s="76" t="s">
        <v>3285</v>
      </c>
      <c r="O1542" s="76" t="s">
        <v>4824</v>
      </c>
      <c r="U1542" s="76">
        <v>6</v>
      </c>
      <c r="V1542" s="76">
        <v>0</v>
      </c>
      <c r="Y1542" s="76" t="b">
        <v>0</v>
      </c>
      <c r="Z1542" s="76" t="s">
        <v>5167</v>
      </c>
      <c r="AA1542" s="76" t="b">
        <v>0</v>
      </c>
      <c r="AD1542" s="76">
        <v>8.7640628814697301</v>
      </c>
      <c r="AE1542" s="76">
        <f t="shared" si="115"/>
        <v>9.7640628814697301</v>
      </c>
      <c r="AF1542" s="76" t="s">
        <v>5168</v>
      </c>
      <c r="AH1542" s="188">
        <v>0.1</v>
      </c>
      <c r="AI1542" s="188">
        <v>0.5</v>
      </c>
      <c r="AL1542" s="76">
        <v>35</v>
      </c>
      <c r="BF1542" s="76">
        <v>0</v>
      </c>
      <c r="BI1542" s="76">
        <v>1</v>
      </c>
    </row>
    <row r="1543" spans="1:61" s="76" customFormat="1" ht="26">
      <c r="A1543" s="76">
        <v>21100010</v>
      </c>
      <c r="C1543" s="76">
        <v>3</v>
      </c>
      <c r="F1543" s="179" t="s">
        <v>4811</v>
      </c>
      <c r="G1543" s="180" t="s">
        <v>4812</v>
      </c>
      <c r="H1543" s="76" t="str">
        <f>VLOOKUP(F1543,'#对话模型配置'!A:O,14,FALSE)</f>
        <v>icon_hero</v>
      </c>
      <c r="I1543" s="76" t="s">
        <v>4813</v>
      </c>
      <c r="J1543" s="182" t="s">
        <v>5169</v>
      </c>
      <c r="K1543" s="183" t="s">
        <v>5170</v>
      </c>
      <c r="L1543" s="76">
        <v>110009</v>
      </c>
      <c r="M1543" s="76" t="s">
        <v>4831</v>
      </c>
      <c r="O1543" s="76" t="s">
        <v>5110</v>
      </c>
      <c r="U1543" s="76">
        <v>6</v>
      </c>
      <c r="V1543" s="76">
        <v>0</v>
      </c>
      <c r="Y1543" s="76" t="b">
        <v>0</v>
      </c>
      <c r="Z1543" s="76" t="s">
        <v>5171</v>
      </c>
      <c r="AA1543" s="76" t="b">
        <v>0</v>
      </c>
      <c r="AD1543" s="76">
        <v>7.8957710266113299</v>
      </c>
      <c r="AE1543" s="76">
        <f t="shared" si="115"/>
        <v>8.8957710266113299</v>
      </c>
      <c r="AF1543" s="76" t="s">
        <v>5172</v>
      </c>
      <c r="AH1543" s="188">
        <v>0.1</v>
      </c>
      <c r="AI1543" s="188">
        <v>0.5</v>
      </c>
      <c r="AL1543" s="76">
        <v>35</v>
      </c>
      <c r="BF1543" s="76">
        <v>0</v>
      </c>
      <c r="BI1543" s="76">
        <v>1</v>
      </c>
    </row>
    <row r="1544" spans="1:61" s="62" customFormat="1" ht="14.5">
      <c r="A1544" s="62">
        <v>21200010</v>
      </c>
      <c r="C1544" s="62">
        <v>1</v>
      </c>
      <c r="F1544" s="181" t="s">
        <v>4722</v>
      </c>
      <c r="G1544" s="106" t="s">
        <v>2330</v>
      </c>
      <c r="H1544" s="62" t="str">
        <f>VLOOKUP(F1544,'#对话模型配置'!A:O,14,FALSE)</f>
        <v>icon_hero</v>
      </c>
      <c r="I1544" s="62" t="s">
        <v>4723</v>
      </c>
      <c r="J1544" s="184" t="s">
        <v>5173</v>
      </c>
      <c r="K1544" s="185" t="s">
        <v>5174</v>
      </c>
      <c r="L1544" s="62">
        <v>110008</v>
      </c>
      <c r="M1544" s="62" t="s">
        <v>5175</v>
      </c>
      <c r="N1544" s="62" t="s">
        <v>4727</v>
      </c>
      <c r="O1544" s="62" t="s">
        <v>5176</v>
      </c>
      <c r="R1544" s="62" t="s">
        <v>4819</v>
      </c>
      <c r="U1544" s="62">
        <v>6</v>
      </c>
      <c r="V1544" s="62">
        <v>0</v>
      </c>
      <c r="Y1544" s="62" t="b">
        <v>0</v>
      </c>
      <c r="Z1544" s="62" t="s">
        <v>5177</v>
      </c>
      <c r="AA1544" s="62" t="b">
        <v>0</v>
      </c>
      <c r="AD1544" s="62">
        <v>1.8934789896011399</v>
      </c>
      <c r="AE1544" s="62">
        <f t="shared" si="115"/>
        <v>2.8934789896011397</v>
      </c>
      <c r="AF1544" s="62" t="s">
        <v>5178</v>
      </c>
      <c r="AH1544" s="189">
        <v>0.1</v>
      </c>
      <c r="AI1544" s="189">
        <v>0.5</v>
      </c>
      <c r="AL1544" s="62">
        <v>35</v>
      </c>
      <c r="BF1544" s="62">
        <v>0</v>
      </c>
      <c r="BI1544" s="62">
        <v>1</v>
      </c>
    </row>
    <row r="1545" spans="1:61" s="62" customFormat="1" ht="14.5">
      <c r="A1545" s="62">
        <v>21200010</v>
      </c>
      <c r="C1545" s="62">
        <v>2</v>
      </c>
      <c r="F1545" s="181" t="s">
        <v>4329</v>
      </c>
      <c r="G1545" s="106" t="s">
        <v>4147</v>
      </c>
      <c r="H1545" s="62" t="str">
        <f>VLOOKUP(F1545,'#对话模型配置'!A:O,14,FALSE)</f>
        <v>icon_hero</v>
      </c>
      <c r="I1545" s="62" t="s">
        <v>4734</v>
      </c>
      <c r="J1545" s="184" t="s">
        <v>5179</v>
      </c>
      <c r="K1545" s="185" t="s">
        <v>5180</v>
      </c>
      <c r="L1545" s="62">
        <v>110003</v>
      </c>
      <c r="M1545" s="62" t="s">
        <v>3285</v>
      </c>
      <c r="O1545" s="62" t="s">
        <v>4824</v>
      </c>
      <c r="U1545" s="62">
        <v>6</v>
      </c>
      <c r="V1545" s="62">
        <v>0</v>
      </c>
      <c r="Y1545" s="62" t="b">
        <v>0</v>
      </c>
      <c r="Z1545" s="62" t="s">
        <v>5181</v>
      </c>
      <c r="AA1545" s="62" t="b">
        <v>0</v>
      </c>
      <c r="AD1545" s="62">
        <v>3.12493801116943</v>
      </c>
      <c r="AE1545" s="62">
        <f t="shared" si="115"/>
        <v>4.12493801116943</v>
      </c>
      <c r="AF1545" s="62" t="s">
        <v>5182</v>
      </c>
      <c r="AH1545" s="189">
        <v>0.1</v>
      </c>
      <c r="AI1545" s="189">
        <v>0.5</v>
      </c>
      <c r="AL1545" s="62">
        <v>35</v>
      </c>
      <c r="BF1545" s="62">
        <v>0</v>
      </c>
      <c r="BI1545" s="62">
        <v>1</v>
      </c>
    </row>
    <row r="1546" spans="1:61" s="62" customFormat="1" ht="14.5">
      <c r="A1546" s="62">
        <v>21200010</v>
      </c>
      <c r="C1546" s="62">
        <v>3</v>
      </c>
      <c r="F1546" s="181" t="s">
        <v>4722</v>
      </c>
      <c r="G1546" s="106" t="s">
        <v>2330</v>
      </c>
      <c r="H1546" s="62" t="str">
        <f>VLOOKUP(F1546,'#对话模型配置'!A:O,14,FALSE)</f>
        <v>icon_hero</v>
      </c>
      <c r="I1546" s="62" t="s">
        <v>4723</v>
      </c>
      <c r="J1546" s="184" t="s">
        <v>5183</v>
      </c>
      <c r="K1546" s="185" t="s">
        <v>5184</v>
      </c>
      <c r="L1546" s="62">
        <v>110008</v>
      </c>
      <c r="M1546" s="62" t="s">
        <v>3279</v>
      </c>
      <c r="O1546" s="62" t="s">
        <v>5176</v>
      </c>
      <c r="U1546" s="62">
        <v>6</v>
      </c>
      <c r="V1546" s="62">
        <v>0</v>
      </c>
      <c r="Y1546" s="62" t="b">
        <v>0</v>
      </c>
      <c r="Z1546" s="62" t="s">
        <v>5185</v>
      </c>
      <c r="AA1546" s="62" t="b">
        <v>0</v>
      </c>
      <c r="AD1546" s="62">
        <v>6.9352707862854004</v>
      </c>
      <c r="AE1546" s="62">
        <f t="shared" si="115"/>
        <v>7.9352707862854004</v>
      </c>
      <c r="AF1546" s="62" t="s">
        <v>5186</v>
      </c>
      <c r="AH1546" s="189">
        <v>0.1</v>
      </c>
      <c r="AI1546" s="189">
        <v>0.5</v>
      </c>
      <c r="AL1546" s="62">
        <v>35</v>
      </c>
      <c r="BF1546" s="62">
        <v>0</v>
      </c>
      <c r="BI1546" s="62">
        <v>1</v>
      </c>
    </row>
    <row r="1547" spans="1:61" s="62" customFormat="1" ht="14.5">
      <c r="A1547" s="62">
        <v>21200010</v>
      </c>
      <c r="C1547" s="62">
        <v>4</v>
      </c>
      <c r="F1547" s="181" t="s">
        <v>4329</v>
      </c>
      <c r="G1547" s="106" t="s">
        <v>4147</v>
      </c>
      <c r="H1547" s="62" t="str">
        <f>VLOOKUP(F1547,'#对话模型配置'!A:O,14,FALSE)</f>
        <v>icon_hero</v>
      </c>
      <c r="I1547" s="62" t="s">
        <v>4734</v>
      </c>
      <c r="J1547" s="184" t="s">
        <v>5187</v>
      </c>
      <c r="K1547" s="185" t="s">
        <v>5188</v>
      </c>
      <c r="L1547" s="62">
        <v>110003</v>
      </c>
      <c r="M1547" s="62" t="s">
        <v>3453</v>
      </c>
      <c r="O1547" s="62" t="s">
        <v>4824</v>
      </c>
      <c r="U1547" s="62">
        <v>6</v>
      </c>
      <c r="V1547" s="62">
        <v>0</v>
      </c>
      <c r="Y1547" s="62" t="b">
        <v>0</v>
      </c>
      <c r="Z1547" s="62" t="s">
        <v>5189</v>
      </c>
      <c r="AA1547" s="62" t="b">
        <v>0</v>
      </c>
      <c r="AD1547" s="62">
        <v>0.84177100658416704</v>
      </c>
      <c r="AE1547" s="62">
        <f t="shared" si="115"/>
        <v>1.841771006584167</v>
      </c>
      <c r="AF1547" s="62" t="s">
        <v>5190</v>
      </c>
      <c r="AH1547" s="189">
        <v>0.1</v>
      </c>
      <c r="AI1547" s="189">
        <v>0.5</v>
      </c>
      <c r="AL1547" s="62">
        <v>35</v>
      </c>
      <c r="BF1547" s="62">
        <v>0</v>
      </c>
      <c r="BI1547" s="62">
        <v>1</v>
      </c>
    </row>
    <row r="1548" spans="1:61" s="62" customFormat="1" ht="26">
      <c r="A1548" s="62">
        <v>21200010</v>
      </c>
      <c r="C1548" s="62">
        <v>5</v>
      </c>
      <c r="F1548" s="181" t="s">
        <v>4811</v>
      </c>
      <c r="G1548" s="106" t="s">
        <v>4812</v>
      </c>
      <c r="H1548" s="62" t="str">
        <f>VLOOKUP(F1548,'#对话模型配置'!A:O,14,FALSE)</f>
        <v>icon_hero</v>
      </c>
      <c r="I1548" s="62" t="s">
        <v>4813</v>
      </c>
      <c r="J1548" s="184" t="s">
        <v>5191</v>
      </c>
      <c r="K1548" s="185" t="s">
        <v>5192</v>
      </c>
      <c r="L1548" s="62">
        <v>110009</v>
      </c>
      <c r="M1548" s="62" t="s">
        <v>4831</v>
      </c>
      <c r="O1548" s="62" t="s">
        <v>5110</v>
      </c>
      <c r="U1548" s="62">
        <v>6</v>
      </c>
      <c r="V1548" s="62">
        <v>0</v>
      </c>
      <c r="Y1548" s="62" t="b">
        <v>0</v>
      </c>
      <c r="Z1548" s="62" t="s">
        <v>5193</v>
      </c>
      <c r="AA1548" s="62" t="b">
        <v>0</v>
      </c>
      <c r="AD1548" s="62">
        <v>9.6774787902831996</v>
      </c>
      <c r="AE1548" s="62">
        <f t="shared" si="115"/>
        <v>10.6774787902832</v>
      </c>
      <c r="AF1548" s="62" t="s">
        <v>5194</v>
      </c>
      <c r="AH1548" s="189">
        <v>0.1</v>
      </c>
      <c r="AI1548" s="189">
        <v>0.5</v>
      </c>
      <c r="AL1548" s="62">
        <v>35</v>
      </c>
      <c r="BF1548" s="62">
        <v>0</v>
      </c>
      <c r="BI1548" s="62">
        <v>1</v>
      </c>
    </row>
    <row r="1549" spans="1:61" s="62" customFormat="1" ht="26">
      <c r="A1549" s="62">
        <v>21200010</v>
      </c>
      <c r="C1549" s="62">
        <v>6</v>
      </c>
      <c r="F1549" s="181" t="s">
        <v>4811</v>
      </c>
      <c r="G1549" s="106" t="s">
        <v>4812</v>
      </c>
      <c r="H1549" s="62" t="str">
        <f>VLOOKUP(F1549,'#对话模型配置'!A:O,14,FALSE)</f>
        <v>icon_hero</v>
      </c>
      <c r="I1549" s="62" t="s">
        <v>4813</v>
      </c>
      <c r="J1549" s="184" t="s">
        <v>5195</v>
      </c>
      <c r="K1549" s="185" t="s">
        <v>5196</v>
      </c>
      <c r="L1549" s="62">
        <v>110009</v>
      </c>
      <c r="M1549" s="62" t="s">
        <v>4840</v>
      </c>
      <c r="O1549" s="62" t="s">
        <v>5110</v>
      </c>
      <c r="U1549" s="62">
        <v>6</v>
      </c>
      <c r="V1549" s="62">
        <v>0</v>
      </c>
      <c r="Y1549" s="62" t="b">
        <v>0</v>
      </c>
      <c r="Z1549" s="62" t="s">
        <v>5197</v>
      </c>
      <c r="AA1549" s="62" t="b">
        <v>0</v>
      </c>
      <c r="AD1549" s="62">
        <v>9.0324792861938494</v>
      </c>
      <c r="AE1549" s="62">
        <f t="shared" si="115"/>
        <v>10.032479286193849</v>
      </c>
      <c r="AF1549" s="62" t="s">
        <v>5198</v>
      </c>
      <c r="AH1549" s="189">
        <v>0.1</v>
      </c>
      <c r="AI1549" s="189">
        <v>0.5</v>
      </c>
      <c r="AL1549" s="62">
        <v>35</v>
      </c>
      <c r="BF1549" s="62">
        <v>0</v>
      </c>
      <c r="BI1549" s="62">
        <v>1</v>
      </c>
    </row>
    <row r="1550" spans="1:61" s="62" customFormat="1" ht="14.5">
      <c r="A1550" s="62">
        <v>21200010</v>
      </c>
      <c r="C1550" s="62">
        <v>7</v>
      </c>
      <c r="F1550" s="181" t="s">
        <v>4811</v>
      </c>
      <c r="G1550" s="106" t="s">
        <v>4812</v>
      </c>
      <c r="H1550" s="62" t="str">
        <f>VLOOKUP(F1550,'#对话模型配置'!A:O,14,FALSE)</f>
        <v>icon_hero</v>
      </c>
      <c r="I1550" s="62" t="s">
        <v>4813</v>
      </c>
      <c r="J1550" s="184" t="s">
        <v>5199</v>
      </c>
      <c r="K1550" s="185" t="s">
        <v>5200</v>
      </c>
      <c r="L1550" s="62">
        <v>110009</v>
      </c>
      <c r="M1550" s="62" t="s">
        <v>4831</v>
      </c>
      <c r="O1550" s="62" t="s">
        <v>5110</v>
      </c>
      <c r="U1550" s="62">
        <v>6</v>
      </c>
      <c r="V1550" s="62">
        <v>0</v>
      </c>
      <c r="Y1550" s="62" t="b">
        <v>0</v>
      </c>
      <c r="Z1550" s="62" t="s">
        <v>5201</v>
      </c>
      <c r="AA1550" s="62" t="b">
        <v>0</v>
      </c>
      <c r="AD1550" s="62">
        <v>4.2908749580383301</v>
      </c>
      <c r="AE1550" s="62">
        <f t="shared" si="115"/>
        <v>5.2908749580383301</v>
      </c>
      <c r="AF1550" s="62" t="s">
        <v>5202</v>
      </c>
      <c r="AH1550" s="189">
        <v>0.1</v>
      </c>
      <c r="AI1550" s="189">
        <v>0.5</v>
      </c>
      <c r="AL1550" s="62">
        <v>35</v>
      </c>
      <c r="BF1550" s="62">
        <v>0</v>
      </c>
      <c r="BI1550" s="62">
        <v>1</v>
      </c>
    </row>
    <row r="1551" spans="1:61" s="62" customFormat="1" ht="26">
      <c r="A1551" s="62">
        <v>21200010</v>
      </c>
      <c r="C1551" s="62">
        <v>8</v>
      </c>
      <c r="F1551" s="181" t="s">
        <v>4329</v>
      </c>
      <c r="G1551" s="106" t="s">
        <v>4147</v>
      </c>
      <c r="H1551" s="62" t="str">
        <f>VLOOKUP(F1551,'#对话模型配置'!A:O,14,FALSE)</f>
        <v>icon_hero</v>
      </c>
      <c r="I1551" s="62" t="s">
        <v>4734</v>
      </c>
      <c r="J1551" s="184" t="s">
        <v>5203</v>
      </c>
      <c r="K1551" s="185" t="s">
        <v>5204</v>
      </c>
      <c r="L1551" s="62">
        <v>110003</v>
      </c>
      <c r="M1551" s="62" t="s">
        <v>3453</v>
      </c>
      <c r="O1551" s="62" t="s">
        <v>4824</v>
      </c>
      <c r="U1551" s="62">
        <v>6</v>
      </c>
      <c r="V1551" s="62">
        <v>0</v>
      </c>
      <c r="Y1551" s="62" t="b">
        <v>0</v>
      </c>
      <c r="Z1551" s="62" t="s">
        <v>5205</v>
      </c>
      <c r="AA1551" s="62" t="b">
        <v>0</v>
      </c>
      <c r="AD1551" s="62">
        <v>12.7322912216187</v>
      </c>
      <c r="AE1551" s="62">
        <f t="shared" si="115"/>
        <v>13.7322912216187</v>
      </c>
      <c r="AF1551" s="62" t="s">
        <v>5206</v>
      </c>
      <c r="AH1551" s="189">
        <v>0.1</v>
      </c>
      <c r="AI1551" s="189">
        <v>0.5</v>
      </c>
      <c r="AL1551" s="62">
        <v>35</v>
      </c>
      <c r="BF1551" s="62">
        <v>0</v>
      </c>
      <c r="BI1551" s="62">
        <v>1</v>
      </c>
    </row>
    <row r="1552" spans="1:61" s="62" customFormat="1" ht="26">
      <c r="A1552" s="62">
        <v>21200010</v>
      </c>
      <c r="C1552" s="62">
        <v>9</v>
      </c>
      <c r="F1552" s="181" t="s">
        <v>4811</v>
      </c>
      <c r="G1552" s="106" t="s">
        <v>4812</v>
      </c>
      <c r="H1552" s="62" t="str">
        <f>VLOOKUP(F1552,'#对话模型配置'!A:O,14,FALSE)</f>
        <v>icon_hero</v>
      </c>
      <c r="I1552" s="62" t="s">
        <v>4813</v>
      </c>
      <c r="J1552" s="184" t="s">
        <v>5207</v>
      </c>
      <c r="K1552" s="185" t="s">
        <v>5208</v>
      </c>
      <c r="L1552" s="62">
        <v>110009</v>
      </c>
      <c r="M1552" s="62" t="s">
        <v>4840</v>
      </c>
      <c r="O1552" s="62" t="s">
        <v>5110</v>
      </c>
      <c r="U1552" s="62">
        <v>6</v>
      </c>
      <c r="V1552" s="62">
        <v>0</v>
      </c>
      <c r="Y1552" s="62" t="b">
        <v>0</v>
      </c>
      <c r="Z1552" s="62" t="s">
        <v>5209</v>
      </c>
      <c r="AA1552" s="62" t="b">
        <v>0</v>
      </c>
      <c r="AD1552" s="62">
        <v>9.0232706069946307</v>
      </c>
      <c r="AE1552" s="62">
        <f t="shared" si="115"/>
        <v>10.023270606994631</v>
      </c>
      <c r="AF1552" s="62" t="s">
        <v>5210</v>
      </c>
      <c r="AH1552" s="189">
        <v>0.1</v>
      </c>
      <c r="AI1552" s="189">
        <v>0.5</v>
      </c>
      <c r="AL1552" s="62">
        <v>35</v>
      </c>
      <c r="BF1552" s="62">
        <v>0</v>
      </c>
      <c r="BI1552" s="62">
        <v>1</v>
      </c>
    </row>
    <row r="1553" spans="1:61" s="62" customFormat="1" ht="14.5">
      <c r="A1553" s="62">
        <v>21200010</v>
      </c>
      <c r="C1553" s="62">
        <v>10</v>
      </c>
      <c r="F1553" s="181" t="s">
        <v>4329</v>
      </c>
      <c r="G1553" s="106" t="s">
        <v>4147</v>
      </c>
      <c r="H1553" s="62" t="str">
        <f>VLOOKUP(F1553,'#对话模型配置'!A:O,14,FALSE)</f>
        <v>icon_hero</v>
      </c>
      <c r="I1553" s="62" t="s">
        <v>4734</v>
      </c>
      <c r="J1553" s="184" t="s">
        <v>5211</v>
      </c>
      <c r="K1553" s="185" t="s">
        <v>5212</v>
      </c>
      <c r="L1553" s="62">
        <v>110003</v>
      </c>
      <c r="M1553" s="62" t="s">
        <v>3289</v>
      </c>
      <c r="O1553" s="62" t="s">
        <v>4824</v>
      </c>
      <c r="U1553" s="62">
        <v>6</v>
      </c>
      <c r="V1553" s="62">
        <v>0</v>
      </c>
      <c r="Y1553" s="62" t="b">
        <v>0</v>
      </c>
      <c r="Z1553" s="62" t="s">
        <v>5213</v>
      </c>
      <c r="AA1553" s="62" t="b">
        <v>0</v>
      </c>
      <c r="AD1553" s="62">
        <v>2.5055630207061799</v>
      </c>
      <c r="AE1553" s="62">
        <f t="shared" si="115"/>
        <v>3.5055630207061799</v>
      </c>
      <c r="AF1553" s="62" t="s">
        <v>5214</v>
      </c>
      <c r="AH1553" s="189">
        <v>0.1</v>
      </c>
      <c r="AI1553" s="189">
        <v>0.5</v>
      </c>
      <c r="AL1553" s="62">
        <v>35</v>
      </c>
      <c r="BF1553" s="62">
        <v>0</v>
      </c>
      <c r="BI1553" s="62">
        <v>1</v>
      </c>
    </row>
    <row r="1554" spans="1:61" s="62" customFormat="1" ht="14.5">
      <c r="A1554" s="62">
        <v>21200010</v>
      </c>
      <c r="C1554" s="62">
        <v>11</v>
      </c>
      <c r="F1554" s="181" t="s">
        <v>4811</v>
      </c>
      <c r="G1554" s="106" t="s">
        <v>4812</v>
      </c>
      <c r="H1554" s="62" t="str">
        <f>VLOOKUP(F1554,'#对话模型配置'!A:O,14,FALSE)</f>
        <v>icon_hero</v>
      </c>
      <c r="I1554" s="62" t="s">
        <v>4813</v>
      </c>
      <c r="J1554" s="184" t="s">
        <v>5215</v>
      </c>
      <c r="K1554" s="185" t="s">
        <v>5216</v>
      </c>
      <c r="L1554" s="62">
        <v>110009</v>
      </c>
      <c r="M1554" s="62" t="s">
        <v>4831</v>
      </c>
      <c r="O1554" s="62" t="s">
        <v>5110</v>
      </c>
      <c r="U1554" s="62">
        <v>6</v>
      </c>
      <c r="V1554" s="62">
        <v>0</v>
      </c>
      <c r="Y1554" s="62" t="b">
        <v>0</v>
      </c>
      <c r="Z1554" s="62" t="s">
        <v>5217</v>
      </c>
      <c r="AA1554" s="62" t="b">
        <v>0</v>
      </c>
      <c r="AD1554" s="62">
        <v>2.2709789276122998</v>
      </c>
      <c r="AE1554" s="62">
        <f t="shared" si="115"/>
        <v>3.2709789276122998</v>
      </c>
      <c r="AF1554" s="62" t="s">
        <v>5218</v>
      </c>
      <c r="AH1554" s="189">
        <v>0.1</v>
      </c>
      <c r="AI1554" s="189">
        <v>0.5</v>
      </c>
      <c r="AL1554" s="62">
        <v>35</v>
      </c>
      <c r="BF1554" s="62">
        <v>0</v>
      </c>
      <c r="BI1554" s="62">
        <v>1</v>
      </c>
    </row>
    <row r="1555" spans="1:61" s="76" customFormat="1" ht="14.5">
      <c r="A1555" s="76">
        <v>21100011</v>
      </c>
      <c r="C1555" s="76">
        <v>1</v>
      </c>
      <c r="F1555" s="179" t="s">
        <v>4329</v>
      </c>
      <c r="G1555" s="180" t="s">
        <v>4147</v>
      </c>
      <c r="H1555" s="76" t="str">
        <f>VLOOKUP(F1555,'#对话模型配置'!A:O,14,FALSE)</f>
        <v>icon_hero</v>
      </c>
      <c r="I1555" s="76" t="s">
        <v>4734</v>
      </c>
      <c r="J1555" s="182" t="s">
        <v>5219</v>
      </c>
      <c r="K1555" s="183" t="s">
        <v>5220</v>
      </c>
      <c r="L1555" s="76">
        <v>110003</v>
      </c>
      <c r="M1555" s="76" t="s">
        <v>3289</v>
      </c>
      <c r="O1555" s="205" t="s">
        <v>5221</v>
      </c>
      <c r="R1555" s="76" t="s">
        <v>5222</v>
      </c>
      <c r="S1555" s="76" t="s">
        <v>5223</v>
      </c>
      <c r="U1555" s="76">
        <v>6</v>
      </c>
      <c r="V1555" s="76">
        <v>0</v>
      </c>
      <c r="Y1555" s="76" t="b">
        <v>0</v>
      </c>
      <c r="Z1555" s="76" t="s">
        <v>5224</v>
      </c>
      <c r="AA1555" s="76" t="b">
        <v>0</v>
      </c>
      <c r="AD1555" s="76">
        <v>2.04814600944519</v>
      </c>
      <c r="AE1555" s="76">
        <f t="shared" si="115"/>
        <v>3.04814600944519</v>
      </c>
      <c r="AF1555" s="76" t="s">
        <v>5225</v>
      </c>
      <c r="AH1555" s="188">
        <v>0.1</v>
      </c>
      <c r="AI1555" s="188">
        <v>0.5</v>
      </c>
      <c r="AL1555" s="76">
        <v>35</v>
      </c>
      <c r="BF1555" s="76">
        <v>0</v>
      </c>
      <c r="BI1555" s="76">
        <v>1</v>
      </c>
    </row>
    <row r="1556" spans="1:61" s="76" customFormat="1" ht="26">
      <c r="A1556" s="76">
        <v>21100011</v>
      </c>
      <c r="C1556" s="76">
        <v>2</v>
      </c>
      <c r="F1556" s="179" t="s">
        <v>4811</v>
      </c>
      <c r="G1556" s="180" t="s">
        <v>4812</v>
      </c>
      <c r="H1556" s="76" t="str">
        <f>VLOOKUP(F1556,'#对话模型配置'!A:O,14,FALSE)</f>
        <v>icon_hero</v>
      </c>
      <c r="I1556" s="76" t="s">
        <v>4813</v>
      </c>
      <c r="J1556" s="182" t="s">
        <v>5226</v>
      </c>
      <c r="K1556" s="183" t="s">
        <v>5227</v>
      </c>
      <c r="L1556" s="76">
        <v>110009</v>
      </c>
      <c r="M1556" s="76" t="s">
        <v>4831</v>
      </c>
      <c r="O1556" s="205" t="s">
        <v>5228</v>
      </c>
      <c r="P1556" s="76" t="s">
        <v>5229</v>
      </c>
      <c r="Q1556" s="76">
        <v>1</v>
      </c>
      <c r="U1556" s="76">
        <v>6</v>
      </c>
      <c r="V1556" s="76">
        <v>0</v>
      </c>
      <c r="Y1556" s="76" t="b">
        <v>0</v>
      </c>
      <c r="Z1556" s="76" t="s">
        <v>5230</v>
      </c>
      <c r="AA1556" s="76" t="b">
        <v>0</v>
      </c>
      <c r="AD1556" s="76">
        <v>6.6553540229797399</v>
      </c>
      <c r="AE1556" s="76">
        <f t="shared" si="115"/>
        <v>7.6553540229797399</v>
      </c>
      <c r="AF1556" s="76" t="s">
        <v>5231</v>
      </c>
      <c r="AH1556" s="188">
        <v>0.1</v>
      </c>
      <c r="AI1556" s="188">
        <v>0.5</v>
      </c>
      <c r="AL1556" s="76">
        <v>35</v>
      </c>
      <c r="BF1556" s="76">
        <v>0</v>
      </c>
      <c r="BI1556" s="76">
        <v>1</v>
      </c>
    </row>
    <row r="1557" spans="1:61" s="76" customFormat="1" ht="14.5">
      <c r="A1557" s="76">
        <v>21100011</v>
      </c>
      <c r="C1557" s="76">
        <v>3</v>
      </c>
      <c r="F1557" s="179" t="s">
        <v>4329</v>
      </c>
      <c r="G1557" s="180" t="s">
        <v>4147</v>
      </c>
      <c r="H1557" s="76" t="str">
        <f>VLOOKUP(F1557,'#对话模型配置'!A:O,14,FALSE)</f>
        <v>icon_hero</v>
      </c>
      <c r="I1557" s="76" t="s">
        <v>4734</v>
      </c>
      <c r="J1557" s="182" t="s">
        <v>5232</v>
      </c>
      <c r="K1557" s="183" t="s">
        <v>5233</v>
      </c>
      <c r="L1557" s="76">
        <v>110003</v>
      </c>
      <c r="M1557" s="76" t="s">
        <v>3285</v>
      </c>
      <c r="O1557" s="76" t="s">
        <v>5234</v>
      </c>
      <c r="U1557" s="76">
        <v>6</v>
      </c>
      <c r="V1557" s="76">
        <v>0</v>
      </c>
      <c r="Y1557" s="76" t="b">
        <v>0</v>
      </c>
      <c r="Z1557" s="76" t="s">
        <v>5235</v>
      </c>
      <c r="AA1557" s="76" t="b">
        <v>0</v>
      </c>
      <c r="AD1557" s="76">
        <v>4.5811672210693404</v>
      </c>
      <c r="AE1557" s="76">
        <f t="shared" si="115"/>
        <v>5.5811672210693404</v>
      </c>
      <c r="AF1557" s="76" t="s">
        <v>5236</v>
      </c>
      <c r="AH1557" s="188">
        <v>0.1</v>
      </c>
      <c r="AI1557" s="188">
        <v>0.5</v>
      </c>
      <c r="AL1557" s="76">
        <v>35</v>
      </c>
      <c r="BF1557" s="76">
        <v>0</v>
      </c>
      <c r="BI1557" s="76">
        <v>1</v>
      </c>
    </row>
    <row r="1558" spans="1:61" s="76" customFormat="1" ht="39">
      <c r="A1558" s="76">
        <v>21100011</v>
      </c>
      <c r="C1558" s="76">
        <v>4</v>
      </c>
      <c r="F1558" s="179" t="s">
        <v>4811</v>
      </c>
      <c r="G1558" s="180" t="s">
        <v>4812</v>
      </c>
      <c r="H1558" s="76" t="str">
        <f>VLOOKUP(F1558,'#对话模型配置'!A:O,14,FALSE)</f>
        <v>icon_hero</v>
      </c>
      <c r="I1558" s="76" t="s">
        <v>4813</v>
      </c>
      <c r="J1558" s="182" t="s">
        <v>5237</v>
      </c>
      <c r="K1558" s="183" t="s">
        <v>5238</v>
      </c>
      <c r="L1558" s="76">
        <v>110009</v>
      </c>
      <c r="M1558" s="76" t="s">
        <v>3289</v>
      </c>
      <c r="O1558" s="76" t="s">
        <v>5229</v>
      </c>
      <c r="U1558" s="76">
        <v>6</v>
      </c>
      <c r="V1558" s="76">
        <v>0</v>
      </c>
      <c r="Y1558" s="76" t="b">
        <v>0</v>
      </c>
      <c r="Z1558" s="76" t="s">
        <v>5239</v>
      </c>
      <c r="AA1558" s="76" t="b">
        <v>0</v>
      </c>
      <c r="AD1558" s="76">
        <v>14.784375190734901</v>
      </c>
      <c r="AE1558" s="76">
        <f t="shared" si="115"/>
        <v>15.784375190734901</v>
      </c>
      <c r="AF1558" s="76" t="s">
        <v>5240</v>
      </c>
      <c r="AH1558" s="188">
        <v>0.1</v>
      </c>
      <c r="AI1558" s="188">
        <v>0.5</v>
      </c>
      <c r="AL1558" s="76">
        <v>35</v>
      </c>
      <c r="BF1558" s="76">
        <v>0</v>
      </c>
      <c r="BI1558" s="76">
        <v>1</v>
      </c>
    </row>
    <row r="1559" spans="1:61" s="76" customFormat="1" ht="39">
      <c r="A1559" s="76">
        <v>21100011</v>
      </c>
      <c r="C1559" s="76">
        <v>5</v>
      </c>
      <c r="F1559" s="179" t="s">
        <v>4329</v>
      </c>
      <c r="G1559" s="180" t="s">
        <v>4147</v>
      </c>
      <c r="H1559" s="76" t="str">
        <f>VLOOKUP(F1559,'#对话模型配置'!A:O,14,FALSE)</f>
        <v>icon_hero</v>
      </c>
      <c r="I1559" s="76" t="s">
        <v>4734</v>
      </c>
      <c r="J1559" s="182" t="s">
        <v>5241</v>
      </c>
      <c r="K1559" s="183" t="s">
        <v>5242</v>
      </c>
      <c r="L1559" s="76">
        <v>110003</v>
      </c>
      <c r="M1559" s="76" t="s">
        <v>4840</v>
      </c>
      <c r="O1559" s="76" t="s">
        <v>5234</v>
      </c>
      <c r="U1559" s="76">
        <v>6</v>
      </c>
      <c r="V1559" s="76">
        <v>0</v>
      </c>
      <c r="Y1559" s="76" t="b">
        <v>0</v>
      </c>
      <c r="Z1559" s="76" t="s">
        <v>5243</v>
      </c>
      <c r="AA1559" s="76" t="b">
        <v>0</v>
      </c>
      <c r="AD1559" s="76">
        <v>12.994646072387701</v>
      </c>
      <c r="AE1559" s="76">
        <f t="shared" si="115"/>
        <v>13.994646072387701</v>
      </c>
      <c r="AF1559" s="76" t="s">
        <v>5244</v>
      </c>
      <c r="AH1559" s="188">
        <v>0.1</v>
      </c>
      <c r="AI1559" s="188">
        <v>0.5</v>
      </c>
      <c r="AL1559" s="76">
        <v>35</v>
      </c>
      <c r="BF1559" s="76">
        <v>0</v>
      </c>
      <c r="BI1559" s="76">
        <v>1</v>
      </c>
    </row>
    <row r="1560" spans="1:61" s="76" customFormat="1" ht="26">
      <c r="A1560" s="76">
        <v>21100011</v>
      </c>
      <c r="C1560" s="76">
        <v>6</v>
      </c>
      <c r="F1560" s="179" t="s">
        <v>4811</v>
      </c>
      <c r="G1560" s="180" t="s">
        <v>4812</v>
      </c>
      <c r="H1560" s="76" t="str">
        <f>VLOOKUP(F1560,'#对话模型配置'!A:O,14,FALSE)</f>
        <v>icon_hero</v>
      </c>
      <c r="I1560" s="76" t="s">
        <v>4813</v>
      </c>
      <c r="J1560" s="182" t="s">
        <v>5245</v>
      </c>
      <c r="K1560" s="183" t="s">
        <v>5246</v>
      </c>
      <c r="L1560" s="76">
        <v>110009</v>
      </c>
      <c r="M1560" s="76" t="s">
        <v>4840</v>
      </c>
      <c r="O1560" s="76" t="s">
        <v>5229</v>
      </c>
      <c r="U1560" s="76">
        <v>6</v>
      </c>
      <c r="V1560" s="76">
        <v>0</v>
      </c>
      <c r="Y1560" s="76" t="b">
        <v>0</v>
      </c>
      <c r="Z1560" s="76" t="s">
        <v>5247</v>
      </c>
      <c r="AA1560" s="76" t="b">
        <v>0</v>
      </c>
      <c r="AD1560" s="76">
        <v>9.9498329162597692</v>
      </c>
      <c r="AE1560" s="76">
        <f t="shared" si="115"/>
        <v>10.949832916259769</v>
      </c>
      <c r="AF1560" s="76" t="s">
        <v>5248</v>
      </c>
      <c r="AH1560" s="188">
        <v>0.1</v>
      </c>
      <c r="AI1560" s="188">
        <v>0.5</v>
      </c>
      <c r="AL1560" s="76">
        <v>35</v>
      </c>
      <c r="BF1560" s="76">
        <v>0</v>
      </c>
      <c r="BI1560" s="76">
        <v>1</v>
      </c>
    </row>
    <row r="1561" spans="1:61" s="76" customFormat="1" ht="14.5">
      <c r="A1561" s="76">
        <v>21100011</v>
      </c>
      <c r="C1561" s="76">
        <v>7</v>
      </c>
      <c r="F1561" s="179" t="s">
        <v>4329</v>
      </c>
      <c r="G1561" s="180" t="s">
        <v>4147</v>
      </c>
      <c r="H1561" s="76" t="str">
        <f>VLOOKUP(F1561,'#对话模型配置'!A:O,14,FALSE)</f>
        <v>icon_hero</v>
      </c>
      <c r="I1561" s="76" t="s">
        <v>4734</v>
      </c>
      <c r="J1561" s="182" t="s">
        <v>5249</v>
      </c>
      <c r="K1561" s="183" t="s">
        <v>5250</v>
      </c>
      <c r="L1561" s="76">
        <v>110003</v>
      </c>
      <c r="M1561" s="76" t="s">
        <v>3289</v>
      </c>
      <c r="O1561" s="76" t="s">
        <v>5234</v>
      </c>
      <c r="U1561" s="76">
        <v>6</v>
      </c>
      <c r="V1561" s="76">
        <v>0</v>
      </c>
      <c r="Y1561" s="76" t="b">
        <v>0</v>
      </c>
      <c r="Z1561" s="76" t="s">
        <v>5251</v>
      </c>
      <c r="AA1561" s="76" t="b">
        <v>0</v>
      </c>
      <c r="AD1561" s="76">
        <v>2.2109169960021999</v>
      </c>
      <c r="AE1561" s="76">
        <f t="shared" si="115"/>
        <v>3.2109169960021999</v>
      </c>
      <c r="AF1561" s="76" t="s">
        <v>5252</v>
      </c>
      <c r="AH1561" s="188">
        <v>0.1</v>
      </c>
      <c r="AI1561" s="188">
        <v>0.5</v>
      </c>
      <c r="AL1561" s="76">
        <v>35</v>
      </c>
      <c r="BF1561" s="76">
        <v>0</v>
      </c>
      <c r="BI1561" s="76">
        <v>1</v>
      </c>
    </row>
    <row r="1562" spans="1:61" s="76" customFormat="1" ht="14.5">
      <c r="A1562" s="76">
        <v>21100011</v>
      </c>
      <c r="C1562" s="76">
        <v>8</v>
      </c>
      <c r="F1562" s="179" t="s">
        <v>4811</v>
      </c>
      <c r="G1562" s="180" t="s">
        <v>4812</v>
      </c>
      <c r="H1562" s="76" t="str">
        <f>VLOOKUP(F1562,'#对话模型配置'!A:O,14,FALSE)</f>
        <v>icon_hero</v>
      </c>
      <c r="I1562" s="76" t="s">
        <v>4813</v>
      </c>
      <c r="J1562" s="182" t="s">
        <v>5253</v>
      </c>
      <c r="K1562" s="183" t="s">
        <v>5254</v>
      </c>
      <c r="L1562" s="76">
        <v>110009</v>
      </c>
      <c r="M1562" s="76" t="s">
        <v>4831</v>
      </c>
      <c r="O1562" s="76" t="s">
        <v>5229</v>
      </c>
      <c r="U1562" s="76">
        <v>6</v>
      </c>
      <c r="V1562" s="76">
        <v>0</v>
      </c>
      <c r="Y1562" s="76" t="b">
        <v>0</v>
      </c>
      <c r="Z1562" s="76" t="s">
        <v>5255</v>
      </c>
      <c r="AA1562" s="76" t="b">
        <v>0</v>
      </c>
      <c r="AD1562" s="76">
        <v>1.2728749513626101</v>
      </c>
      <c r="AE1562" s="76">
        <f t="shared" si="115"/>
        <v>2.2728749513626099</v>
      </c>
      <c r="AF1562" s="76" t="s">
        <v>5256</v>
      </c>
      <c r="AH1562" s="188">
        <v>0.1</v>
      </c>
      <c r="AI1562" s="188">
        <v>0.5</v>
      </c>
      <c r="AL1562" s="76">
        <v>35</v>
      </c>
      <c r="BF1562" s="76">
        <v>0</v>
      </c>
      <c r="BI1562" s="76">
        <v>1</v>
      </c>
    </row>
    <row r="1563" spans="1:61" s="76" customFormat="1" ht="14.5">
      <c r="A1563" s="76">
        <v>21100011</v>
      </c>
      <c r="C1563" s="76">
        <v>9</v>
      </c>
      <c r="F1563" s="179" t="s">
        <v>4329</v>
      </c>
      <c r="G1563" s="180" t="s">
        <v>4147</v>
      </c>
      <c r="H1563" s="76" t="str">
        <f>VLOOKUP(F1563,'#对话模型配置'!A:O,14,FALSE)</f>
        <v>icon_hero</v>
      </c>
      <c r="I1563" s="76" t="s">
        <v>4734</v>
      </c>
      <c r="J1563" s="182" t="s">
        <v>5257</v>
      </c>
      <c r="K1563" s="183" t="s">
        <v>5258</v>
      </c>
      <c r="L1563" s="76">
        <v>110003</v>
      </c>
      <c r="M1563" s="76" t="s">
        <v>3289</v>
      </c>
      <c r="O1563" s="76" t="s">
        <v>5234</v>
      </c>
      <c r="U1563" s="76">
        <v>6</v>
      </c>
      <c r="V1563" s="76">
        <v>0</v>
      </c>
      <c r="Y1563" s="76" t="b">
        <v>0</v>
      </c>
      <c r="Z1563" s="76" t="s">
        <v>5259</v>
      </c>
      <c r="AA1563" s="76" t="b">
        <v>0</v>
      </c>
      <c r="AD1563" s="76">
        <v>3.2393960952758798</v>
      </c>
      <c r="AE1563" s="76">
        <f t="shared" si="115"/>
        <v>4.2393960952758798</v>
      </c>
      <c r="AF1563" s="76" t="s">
        <v>5260</v>
      </c>
      <c r="AH1563" s="188">
        <v>0.1</v>
      </c>
      <c r="AI1563" s="188">
        <v>0.5</v>
      </c>
      <c r="AL1563" s="76">
        <v>35</v>
      </c>
      <c r="BF1563" s="76">
        <v>0</v>
      </c>
      <c r="BI1563" s="76">
        <v>1</v>
      </c>
    </row>
    <row r="1564" spans="1:61" s="76" customFormat="1" ht="14.5">
      <c r="A1564" s="76">
        <v>21100011</v>
      </c>
      <c r="C1564" s="76">
        <v>10</v>
      </c>
      <c r="F1564" s="179" t="s">
        <v>4811</v>
      </c>
      <c r="G1564" s="180" t="s">
        <v>4812</v>
      </c>
      <c r="H1564" s="76" t="str">
        <f>VLOOKUP(F1564,'#对话模型配置'!A:O,14,FALSE)</f>
        <v>icon_hero</v>
      </c>
      <c r="I1564" s="76" t="s">
        <v>4813</v>
      </c>
      <c r="J1564" s="182" t="s">
        <v>5261</v>
      </c>
      <c r="K1564" s="183" t="s">
        <v>5262</v>
      </c>
      <c r="L1564" s="76">
        <v>110009</v>
      </c>
      <c r="M1564" s="76" t="s">
        <v>4840</v>
      </c>
      <c r="O1564" s="76" t="s">
        <v>5229</v>
      </c>
      <c r="U1564" s="76">
        <v>6</v>
      </c>
      <c r="V1564" s="76">
        <v>0</v>
      </c>
      <c r="Y1564" s="76" t="b">
        <v>0</v>
      </c>
      <c r="Z1564" s="76" t="s">
        <v>5263</v>
      </c>
      <c r="AA1564" s="76" t="b">
        <v>0</v>
      </c>
      <c r="AD1564" s="76">
        <v>4.5146670341491699</v>
      </c>
      <c r="AE1564" s="76">
        <f t="shared" si="115"/>
        <v>5.5146670341491699</v>
      </c>
      <c r="AF1564" s="76" t="s">
        <v>5264</v>
      </c>
      <c r="AH1564" s="188">
        <v>0.1</v>
      </c>
      <c r="AI1564" s="188">
        <v>0.5</v>
      </c>
      <c r="AL1564" s="76">
        <v>35</v>
      </c>
      <c r="BF1564" s="76">
        <v>0</v>
      </c>
      <c r="BI1564" s="76">
        <v>1</v>
      </c>
    </row>
    <row r="1565" spans="1:61" s="76" customFormat="1" ht="14.5">
      <c r="A1565" s="76">
        <v>21100011</v>
      </c>
      <c r="C1565" s="76">
        <v>11</v>
      </c>
      <c r="F1565" s="179" t="s">
        <v>4329</v>
      </c>
      <c r="G1565" s="180" t="s">
        <v>4147</v>
      </c>
      <c r="H1565" s="76" t="str">
        <f>VLOOKUP(F1565,'#对话模型配置'!A:O,14,FALSE)</f>
        <v>icon_hero</v>
      </c>
      <c r="I1565" s="76" t="s">
        <v>4734</v>
      </c>
      <c r="J1565" s="182" t="s">
        <v>5265</v>
      </c>
      <c r="K1565" s="183" t="s">
        <v>5266</v>
      </c>
      <c r="L1565" s="76">
        <v>110003</v>
      </c>
      <c r="M1565" s="76" t="s">
        <v>4840</v>
      </c>
      <c r="O1565" s="76" t="s">
        <v>5234</v>
      </c>
      <c r="R1565" s="76" t="s">
        <v>5222</v>
      </c>
      <c r="S1565" s="76" t="s">
        <v>5223</v>
      </c>
      <c r="U1565" s="76">
        <v>6</v>
      </c>
      <c r="V1565" s="76">
        <v>0</v>
      </c>
      <c r="Y1565" s="76" t="b">
        <v>0</v>
      </c>
      <c r="Z1565" s="76" t="s">
        <v>5267</v>
      </c>
      <c r="AA1565" s="76" t="b">
        <v>0</v>
      </c>
      <c r="AD1565" s="76">
        <v>2.7786669731140101</v>
      </c>
      <c r="AE1565" s="76">
        <f t="shared" si="115"/>
        <v>3.7786669731140101</v>
      </c>
      <c r="AF1565" s="76" t="s">
        <v>5268</v>
      </c>
      <c r="AH1565" s="188">
        <v>0.1</v>
      </c>
      <c r="AI1565" s="188">
        <v>0.5</v>
      </c>
      <c r="AL1565" s="76">
        <v>35</v>
      </c>
      <c r="BF1565" s="76">
        <v>0</v>
      </c>
      <c r="BI1565" s="76">
        <v>1</v>
      </c>
    </row>
    <row r="1566" spans="1:61" s="76" customFormat="1" ht="52">
      <c r="A1566" s="76">
        <v>21100011</v>
      </c>
      <c r="C1566" s="76">
        <v>12</v>
      </c>
      <c r="F1566" s="179" t="s">
        <v>4811</v>
      </c>
      <c r="G1566" s="180" t="s">
        <v>4812</v>
      </c>
      <c r="H1566" s="76" t="str">
        <f>VLOOKUP(F1566,'#对话模型配置'!A:O,14,FALSE)</f>
        <v>icon_hero</v>
      </c>
      <c r="I1566" s="76" t="s">
        <v>4813</v>
      </c>
      <c r="J1566" s="182" t="s">
        <v>5269</v>
      </c>
      <c r="K1566" s="183" t="s">
        <v>5270</v>
      </c>
      <c r="L1566" s="76">
        <v>110009</v>
      </c>
      <c r="M1566" s="76" t="s">
        <v>4831</v>
      </c>
      <c r="O1566" s="76" t="s">
        <v>5229</v>
      </c>
      <c r="U1566" s="76">
        <v>6</v>
      </c>
      <c r="V1566" s="76">
        <v>0</v>
      </c>
      <c r="Y1566" s="76" t="b">
        <v>0</v>
      </c>
      <c r="Z1566" s="76" t="s">
        <v>5271</v>
      </c>
      <c r="AA1566" s="76" t="b">
        <v>0</v>
      </c>
      <c r="AD1566" s="76">
        <v>16.055000305175799</v>
      </c>
      <c r="AE1566" s="76">
        <f t="shared" si="115"/>
        <v>17.055000305175799</v>
      </c>
      <c r="AF1566" s="76" t="s">
        <v>5272</v>
      </c>
      <c r="AH1566" s="188">
        <v>0.1</v>
      </c>
      <c r="AI1566" s="188">
        <v>0.5</v>
      </c>
      <c r="AL1566" s="76">
        <v>35</v>
      </c>
      <c r="BF1566" s="76">
        <v>0</v>
      </c>
      <c r="BI1566" s="76">
        <v>1</v>
      </c>
    </row>
    <row r="1567" spans="1:61" s="76" customFormat="1" ht="14.5">
      <c r="A1567" s="76">
        <v>21100011</v>
      </c>
      <c r="C1567" s="76">
        <v>13</v>
      </c>
      <c r="F1567" s="179" t="s">
        <v>4329</v>
      </c>
      <c r="G1567" s="180" t="s">
        <v>4147</v>
      </c>
      <c r="H1567" s="76" t="str">
        <f>VLOOKUP(F1567,'#对话模型配置'!A:O,14,FALSE)</f>
        <v>icon_hero</v>
      </c>
      <c r="I1567" s="76" t="s">
        <v>4734</v>
      </c>
      <c r="J1567" s="182" t="s">
        <v>5273</v>
      </c>
      <c r="K1567" s="183" t="s">
        <v>5274</v>
      </c>
      <c r="L1567" s="76">
        <v>110003</v>
      </c>
      <c r="M1567" s="76" t="s">
        <v>3285</v>
      </c>
      <c r="O1567" s="76" t="s">
        <v>5234</v>
      </c>
      <c r="U1567" s="76">
        <v>6</v>
      </c>
      <c r="V1567" s="76">
        <v>0</v>
      </c>
      <c r="Y1567" s="76" t="b">
        <v>0</v>
      </c>
      <c r="Z1567" s="76" t="s">
        <v>5275</v>
      </c>
      <c r="AA1567" s="76" t="b">
        <v>0</v>
      </c>
      <c r="AD1567" s="76">
        <v>1.8536670207977299</v>
      </c>
      <c r="AE1567" s="76">
        <f t="shared" si="115"/>
        <v>2.8536670207977299</v>
      </c>
      <c r="AF1567" s="76" t="s">
        <v>5276</v>
      </c>
      <c r="AH1567" s="188">
        <v>0.1</v>
      </c>
      <c r="AI1567" s="188">
        <v>0.5</v>
      </c>
      <c r="AL1567" s="76">
        <v>35</v>
      </c>
      <c r="BF1567" s="76">
        <v>0</v>
      </c>
      <c r="BI1567" s="76">
        <v>1</v>
      </c>
    </row>
    <row r="1568" spans="1:61" s="76" customFormat="1" ht="39">
      <c r="A1568" s="76">
        <v>21100011</v>
      </c>
      <c r="C1568" s="76">
        <v>14</v>
      </c>
      <c r="F1568" s="179" t="s">
        <v>4811</v>
      </c>
      <c r="G1568" s="180" t="s">
        <v>4812</v>
      </c>
      <c r="H1568" s="76" t="str">
        <f>VLOOKUP(F1568,'#对话模型配置'!A:O,14,FALSE)</f>
        <v>icon_hero</v>
      </c>
      <c r="I1568" s="76" t="s">
        <v>4813</v>
      </c>
      <c r="J1568" s="182" t="s">
        <v>5277</v>
      </c>
      <c r="K1568" s="183" t="s">
        <v>5278</v>
      </c>
      <c r="L1568" s="76">
        <v>110009</v>
      </c>
      <c r="M1568" s="76" t="s">
        <v>4840</v>
      </c>
      <c r="O1568" s="76" t="s">
        <v>5229</v>
      </c>
      <c r="U1568" s="76">
        <v>6</v>
      </c>
      <c r="V1568" s="76">
        <v>0</v>
      </c>
      <c r="Y1568" s="76" t="b">
        <v>0</v>
      </c>
      <c r="Z1568" s="76" t="s">
        <v>5279</v>
      </c>
      <c r="AA1568" s="76" t="b">
        <v>0</v>
      </c>
      <c r="AD1568" s="76">
        <v>12.475104331970201</v>
      </c>
      <c r="AE1568" s="76">
        <f t="shared" si="115"/>
        <v>13.475104331970201</v>
      </c>
      <c r="AF1568" s="76" t="s">
        <v>5280</v>
      </c>
      <c r="AH1568" s="188">
        <v>0.1</v>
      </c>
      <c r="AI1568" s="188">
        <v>0.5</v>
      </c>
      <c r="AL1568" s="76">
        <v>35</v>
      </c>
      <c r="BF1568" s="76">
        <v>0</v>
      </c>
      <c r="BI1568" s="76">
        <v>1</v>
      </c>
    </row>
    <row r="1569" spans="1:61" s="76" customFormat="1" ht="26">
      <c r="A1569" s="76">
        <v>21100011</v>
      </c>
      <c r="C1569" s="76">
        <v>15</v>
      </c>
      <c r="F1569" s="179" t="s">
        <v>4329</v>
      </c>
      <c r="G1569" s="180" t="s">
        <v>4147</v>
      </c>
      <c r="H1569" s="76" t="str">
        <f>VLOOKUP(F1569,'#对话模型配置'!A:O,14,FALSE)</f>
        <v>icon_hero</v>
      </c>
      <c r="I1569" s="76" t="s">
        <v>4734</v>
      </c>
      <c r="J1569" s="182" t="s">
        <v>5281</v>
      </c>
      <c r="K1569" s="183" t="s">
        <v>5282</v>
      </c>
      <c r="L1569" s="76">
        <v>110003</v>
      </c>
      <c r="M1569" s="76" t="s">
        <v>4840</v>
      </c>
      <c r="O1569" s="76" t="s">
        <v>5234</v>
      </c>
      <c r="U1569" s="76">
        <v>6</v>
      </c>
      <c r="V1569" s="76">
        <v>0</v>
      </c>
      <c r="Y1569" s="76" t="b">
        <v>0</v>
      </c>
      <c r="Z1569" s="76" t="s">
        <v>5283</v>
      </c>
      <c r="AA1569" s="76" t="b">
        <v>0</v>
      </c>
      <c r="AD1569" s="76">
        <v>7.3291869163513201</v>
      </c>
      <c r="AE1569" s="76">
        <f t="shared" si="115"/>
        <v>8.3291869163513201</v>
      </c>
      <c r="AF1569" s="76" t="s">
        <v>5284</v>
      </c>
      <c r="AH1569" s="188">
        <v>0.1</v>
      </c>
      <c r="AI1569" s="188">
        <v>0.5</v>
      </c>
      <c r="AL1569" s="76">
        <v>35</v>
      </c>
      <c r="BF1569" s="76">
        <v>0</v>
      </c>
      <c r="BI1569" s="76">
        <v>1</v>
      </c>
    </row>
    <row r="1570" spans="1:61" s="62" customFormat="1" ht="26">
      <c r="A1570" s="62">
        <v>21100012</v>
      </c>
      <c r="C1570" s="62">
        <v>1</v>
      </c>
      <c r="F1570" s="181" t="s">
        <v>4722</v>
      </c>
      <c r="G1570" s="106" t="s">
        <v>2330</v>
      </c>
      <c r="H1570" s="62" t="str">
        <f>VLOOKUP(F1570,'#对话模型配置'!A:O,14,FALSE)</f>
        <v>icon_hero</v>
      </c>
      <c r="I1570" s="62" t="s">
        <v>4723</v>
      </c>
      <c r="J1570" s="184" t="s">
        <v>5285</v>
      </c>
      <c r="K1570" s="185" t="s">
        <v>5286</v>
      </c>
      <c r="L1570" s="62">
        <v>110008</v>
      </c>
      <c r="M1570" s="186" t="s">
        <v>3279</v>
      </c>
      <c r="N1570" s="186" t="s">
        <v>5043</v>
      </c>
      <c r="O1570" s="186" t="s">
        <v>5287</v>
      </c>
      <c r="R1570" s="62" t="s">
        <v>5288</v>
      </c>
      <c r="S1570" s="62" t="s">
        <v>5289</v>
      </c>
      <c r="U1570" s="62">
        <v>6</v>
      </c>
      <c r="V1570" s="62">
        <v>0</v>
      </c>
      <c r="Y1570" s="62" t="b">
        <v>0</v>
      </c>
      <c r="Z1570" s="62" t="s">
        <v>5290</v>
      </c>
      <c r="AA1570" s="62" t="b">
        <v>0</v>
      </c>
      <c r="AD1570" s="62">
        <v>10.8363752365112</v>
      </c>
      <c r="AE1570" s="62">
        <f t="shared" si="115"/>
        <v>11.8363752365112</v>
      </c>
      <c r="AF1570" s="62" t="s">
        <v>5291</v>
      </c>
      <c r="AH1570" s="189">
        <v>0.1</v>
      </c>
      <c r="AI1570" s="189">
        <v>0.5</v>
      </c>
      <c r="AL1570" s="62">
        <v>35</v>
      </c>
      <c r="BF1570" s="62">
        <v>0</v>
      </c>
      <c r="BI1570" s="62">
        <v>1</v>
      </c>
    </row>
    <row r="1571" spans="1:61" s="62" customFormat="1" ht="26">
      <c r="A1571" s="62">
        <v>21100012</v>
      </c>
      <c r="C1571" s="62">
        <v>2</v>
      </c>
      <c r="F1571" s="181" t="s">
        <v>4329</v>
      </c>
      <c r="G1571" s="106" t="s">
        <v>4147</v>
      </c>
      <c r="H1571" s="62" t="str">
        <f>VLOOKUP(F1571,'#对话模型配置'!A:O,14,FALSE)</f>
        <v>icon_hero</v>
      </c>
      <c r="I1571" s="62" t="s">
        <v>4734</v>
      </c>
      <c r="J1571" s="184" t="s">
        <v>5292</v>
      </c>
      <c r="K1571" s="185" t="s">
        <v>5293</v>
      </c>
      <c r="L1571" s="62">
        <v>110003</v>
      </c>
      <c r="M1571" s="186" t="s">
        <v>4840</v>
      </c>
      <c r="N1571" s="186"/>
      <c r="O1571" s="186" t="s">
        <v>5294</v>
      </c>
      <c r="U1571" s="62">
        <v>6</v>
      </c>
      <c r="V1571" s="62">
        <v>0</v>
      </c>
      <c r="Y1571" s="62" t="b">
        <v>0</v>
      </c>
      <c r="Z1571" s="62" t="s">
        <v>5295</v>
      </c>
      <c r="AA1571" s="62" t="b">
        <v>0</v>
      </c>
      <c r="AD1571" s="62">
        <v>8.7962503433227504</v>
      </c>
      <c r="AE1571" s="62">
        <f t="shared" si="115"/>
        <v>9.7962503433227504</v>
      </c>
      <c r="AF1571" s="62" t="s">
        <v>5296</v>
      </c>
      <c r="AH1571" s="189">
        <v>0.1</v>
      </c>
      <c r="AI1571" s="189">
        <v>0.5</v>
      </c>
      <c r="AL1571" s="62">
        <v>35</v>
      </c>
      <c r="BF1571" s="62">
        <v>0</v>
      </c>
      <c r="BI1571" s="62">
        <v>1</v>
      </c>
    </row>
    <row r="1572" spans="1:61" s="62" customFormat="1" ht="14.5">
      <c r="A1572" s="62">
        <v>21100012</v>
      </c>
      <c r="C1572" s="62">
        <v>3</v>
      </c>
      <c r="F1572" s="181" t="s">
        <v>4722</v>
      </c>
      <c r="G1572" s="106" t="s">
        <v>2330</v>
      </c>
      <c r="H1572" s="62" t="str">
        <f>VLOOKUP(F1572,'#对话模型配置'!A:O,14,FALSE)</f>
        <v>icon_hero</v>
      </c>
      <c r="I1572" s="62" t="s">
        <v>4723</v>
      </c>
      <c r="J1572" s="184" t="s">
        <v>5297</v>
      </c>
      <c r="K1572" s="185" t="s">
        <v>5298</v>
      </c>
      <c r="L1572" s="62">
        <v>110008</v>
      </c>
      <c r="M1572" s="186" t="s">
        <v>5053</v>
      </c>
      <c r="N1572" s="186" t="s">
        <v>5043</v>
      </c>
      <c r="O1572" s="186" t="s">
        <v>5287</v>
      </c>
      <c r="U1572" s="62">
        <v>6</v>
      </c>
      <c r="V1572" s="62">
        <v>0</v>
      </c>
      <c r="Y1572" s="62" t="b">
        <v>0</v>
      </c>
      <c r="Z1572" s="62" t="s">
        <v>5299</v>
      </c>
      <c r="AA1572" s="62" t="b">
        <v>0</v>
      </c>
      <c r="AD1572" s="62">
        <v>7.08847904205322</v>
      </c>
      <c r="AE1572" s="62">
        <f t="shared" si="115"/>
        <v>8.0884790420532191</v>
      </c>
      <c r="AF1572" s="62" t="s">
        <v>5300</v>
      </c>
      <c r="AH1572" s="189">
        <v>0.1</v>
      </c>
      <c r="AI1572" s="189">
        <v>0.5</v>
      </c>
      <c r="AL1572" s="62">
        <v>35</v>
      </c>
      <c r="BF1572" s="62">
        <v>0</v>
      </c>
      <c r="BI1572" s="62">
        <v>1</v>
      </c>
    </row>
    <row r="1573" spans="1:61" s="62" customFormat="1" ht="14.5">
      <c r="A1573" s="62">
        <v>21100012</v>
      </c>
      <c r="C1573" s="62">
        <v>4</v>
      </c>
      <c r="F1573" s="181" t="s">
        <v>4329</v>
      </c>
      <c r="G1573" s="106" t="s">
        <v>4147</v>
      </c>
      <c r="H1573" s="62" t="str">
        <f>VLOOKUP(F1573,'#对话模型配置'!A:O,14,FALSE)</f>
        <v>icon_hero</v>
      </c>
      <c r="I1573" s="62" t="s">
        <v>4734</v>
      </c>
      <c r="J1573" s="184" t="s">
        <v>5301</v>
      </c>
      <c r="K1573" s="185" t="s">
        <v>5302</v>
      </c>
      <c r="L1573" s="62">
        <v>110003</v>
      </c>
      <c r="M1573" s="186" t="s">
        <v>3314</v>
      </c>
      <c r="N1573" s="186"/>
      <c r="O1573" s="186" t="s">
        <v>5294</v>
      </c>
      <c r="U1573" s="62">
        <v>6</v>
      </c>
      <c r="V1573" s="62">
        <v>0</v>
      </c>
      <c r="Y1573" s="62" t="b">
        <v>0</v>
      </c>
      <c r="Z1573" s="62" t="s">
        <v>5303</v>
      </c>
      <c r="AA1573" s="62" t="b">
        <v>0</v>
      </c>
      <c r="AD1573" s="62">
        <v>3.7528750896453902</v>
      </c>
      <c r="AE1573" s="62">
        <f t="shared" ref="AE1573:AE1636" si="116">AD1573+1</f>
        <v>4.7528750896453902</v>
      </c>
      <c r="AF1573" s="62" t="s">
        <v>5304</v>
      </c>
      <c r="AH1573" s="189">
        <v>0.1</v>
      </c>
      <c r="AI1573" s="189">
        <v>0.5</v>
      </c>
      <c r="AL1573" s="62">
        <v>35</v>
      </c>
      <c r="BF1573" s="62">
        <v>0</v>
      </c>
      <c r="BI1573" s="62">
        <v>1</v>
      </c>
    </row>
    <row r="1574" spans="1:61" s="62" customFormat="1" ht="14.5">
      <c r="A1574" s="62">
        <v>21100012</v>
      </c>
      <c r="C1574" s="62">
        <v>5</v>
      </c>
      <c r="F1574" s="181" t="s">
        <v>4722</v>
      </c>
      <c r="G1574" s="106" t="s">
        <v>2330</v>
      </c>
      <c r="H1574" s="62" t="str">
        <f>VLOOKUP(F1574,'#对话模型配置'!A:O,14,FALSE)</f>
        <v>icon_hero</v>
      </c>
      <c r="I1574" s="62" t="s">
        <v>4723</v>
      </c>
      <c r="J1574" s="184" t="s">
        <v>5305</v>
      </c>
      <c r="K1574" s="185" t="s">
        <v>5306</v>
      </c>
      <c r="L1574" s="62">
        <v>110008</v>
      </c>
      <c r="M1574" s="186" t="s">
        <v>5053</v>
      </c>
      <c r="N1574" s="186" t="s">
        <v>5043</v>
      </c>
      <c r="O1574" s="186" t="s">
        <v>5287</v>
      </c>
      <c r="U1574" s="62">
        <v>6</v>
      </c>
      <c r="V1574" s="62">
        <v>0</v>
      </c>
      <c r="Y1574" s="62" t="b">
        <v>0</v>
      </c>
      <c r="Z1574" s="62" t="s">
        <v>5307</v>
      </c>
      <c r="AA1574" s="62" t="b">
        <v>0</v>
      </c>
      <c r="AD1574" s="62">
        <v>8.4457292556762695</v>
      </c>
      <c r="AE1574" s="62">
        <f t="shared" si="116"/>
        <v>9.4457292556762695</v>
      </c>
      <c r="AF1574" s="62" t="s">
        <v>5308</v>
      </c>
      <c r="AH1574" s="189">
        <v>0.1</v>
      </c>
      <c r="AI1574" s="189">
        <v>0.5</v>
      </c>
      <c r="AL1574" s="62">
        <v>35</v>
      </c>
      <c r="BF1574" s="62">
        <v>0</v>
      </c>
      <c r="BI1574" s="62">
        <v>1</v>
      </c>
    </row>
    <row r="1575" spans="1:61" s="62" customFormat="1" ht="39">
      <c r="A1575" s="62">
        <v>21100012</v>
      </c>
      <c r="C1575" s="62">
        <v>6</v>
      </c>
      <c r="F1575" s="181" t="s">
        <v>4722</v>
      </c>
      <c r="G1575" s="106" t="s">
        <v>2330</v>
      </c>
      <c r="H1575" s="62" t="str">
        <f>VLOOKUP(F1575,'#对话模型配置'!A:O,14,FALSE)</f>
        <v>icon_hero</v>
      </c>
      <c r="I1575" s="62" t="s">
        <v>4723</v>
      </c>
      <c r="J1575" s="184" t="s">
        <v>5309</v>
      </c>
      <c r="K1575" s="185" t="s">
        <v>5310</v>
      </c>
      <c r="L1575" s="62">
        <v>110008</v>
      </c>
      <c r="M1575" s="186" t="s">
        <v>5053</v>
      </c>
      <c r="N1575" s="186" t="s">
        <v>5043</v>
      </c>
      <c r="O1575" s="186" t="s">
        <v>5287</v>
      </c>
      <c r="U1575" s="62">
        <v>6</v>
      </c>
      <c r="V1575" s="62">
        <v>0</v>
      </c>
      <c r="Y1575" s="62" t="b">
        <v>0</v>
      </c>
      <c r="Z1575" s="62" t="s">
        <v>5311</v>
      </c>
      <c r="AA1575" s="62" t="b">
        <v>0</v>
      </c>
      <c r="AD1575" s="62">
        <v>20.614770889282202</v>
      </c>
      <c r="AE1575" s="62">
        <f t="shared" si="116"/>
        <v>21.614770889282202</v>
      </c>
      <c r="AF1575" s="62" t="s">
        <v>5312</v>
      </c>
      <c r="AH1575" s="189">
        <v>0.1</v>
      </c>
      <c r="AI1575" s="189">
        <v>0.5</v>
      </c>
      <c r="AL1575" s="62">
        <v>35</v>
      </c>
      <c r="BF1575" s="62">
        <v>0</v>
      </c>
      <c r="BI1575" s="62">
        <v>1</v>
      </c>
    </row>
    <row r="1576" spans="1:61" s="62" customFormat="1" ht="14.5">
      <c r="A1576" s="62">
        <v>21100012</v>
      </c>
      <c r="C1576" s="62">
        <v>7</v>
      </c>
      <c r="F1576" s="181" t="s">
        <v>4329</v>
      </c>
      <c r="G1576" s="106" t="s">
        <v>4147</v>
      </c>
      <c r="H1576" s="62" t="str">
        <f>VLOOKUP(F1576,'#对话模型配置'!A:O,14,FALSE)</f>
        <v>icon_hero</v>
      </c>
      <c r="I1576" s="62" t="s">
        <v>4734</v>
      </c>
      <c r="J1576" s="184" t="s">
        <v>5313</v>
      </c>
      <c r="K1576" s="185" t="s">
        <v>5314</v>
      </c>
      <c r="L1576" s="62">
        <v>110003</v>
      </c>
      <c r="M1576" s="186" t="s">
        <v>3285</v>
      </c>
      <c r="N1576" s="186"/>
      <c r="O1576" s="186" t="s">
        <v>5294</v>
      </c>
      <c r="U1576" s="62">
        <v>6</v>
      </c>
      <c r="V1576" s="62">
        <v>0</v>
      </c>
      <c r="Y1576" s="62" t="b">
        <v>0</v>
      </c>
      <c r="Z1576" s="62" t="s">
        <v>5315</v>
      </c>
      <c r="AA1576" s="62" t="b">
        <v>0</v>
      </c>
      <c r="AD1576" s="62">
        <v>6.2937288284301802</v>
      </c>
      <c r="AE1576" s="62">
        <f t="shared" si="116"/>
        <v>7.2937288284301802</v>
      </c>
      <c r="AF1576" s="62" t="s">
        <v>5316</v>
      </c>
      <c r="AH1576" s="189">
        <v>0.1</v>
      </c>
      <c r="AI1576" s="189">
        <v>0.5</v>
      </c>
      <c r="AL1576" s="62">
        <v>35</v>
      </c>
      <c r="BF1576" s="62">
        <v>0</v>
      </c>
      <c r="BI1576" s="62">
        <v>1</v>
      </c>
    </row>
    <row r="1577" spans="1:61" s="62" customFormat="1" ht="26">
      <c r="A1577" s="62">
        <v>21100012</v>
      </c>
      <c r="C1577" s="62">
        <v>8</v>
      </c>
      <c r="F1577" s="181" t="s">
        <v>4722</v>
      </c>
      <c r="G1577" s="106" t="s">
        <v>2330</v>
      </c>
      <c r="H1577" s="62" t="str">
        <f>VLOOKUP(F1577,'#对话模型配置'!A:O,14,FALSE)</f>
        <v>icon_hero</v>
      </c>
      <c r="I1577" s="62" t="s">
        <v>4723</v>
      </c>
      <c r="J1577" s="184" t="s">
        <v>5317</v>
      </c>
      <c r="K1577" s="185" t="s">
        <v>5318</v>
      </c>
      <c r="L1577" s="62">
        <v>110008</v>
      </c>
      <c r="M1577" s="186" t="s">
        <v>4840</v>
      </c>
      <c r="N1577" s="186"/>
      <c r="O1577" s="186" t="s">
        <v>5287</v>
      </c>
      <c r="U1577" s="62">
        <v>6</v>
      </c>
      <c r="V1577" s="62">
        <v>0</v>
      </c>
      <c r="Y1577" s="62" t="b">
        <v>0</v>
      </c>
      <c r="Z1577" s="62" t="s">
        <v>5319</v>
      </c>
      <c r="AA1577" s="62" t="b">
        <v>0</v>
      </c>
      <c r="AD1577" s="62">
        <v>13.131833076477101</v>
      </c>
      <c r="AE1577" s="62">
        <f t="shared" si="116"/>
        <v>14.131833076477101</v>
      </c>
      <c r="AF1577" s="62" t="s">
        <v>5320</v>
      </c>
      <c r="AH1577" s="189">
        <v>0.1</v>
      </c>
      <c r="AI1577" s="189">
        <v>0.5</v>
      </c>
      <c r="AL1577" s="62">
        <v>35</v>
      </c>
      <c r="BF1577" s="62">
        <v>0</v>
      </c>
      <c r="BI1577" s="62">
        <v>1</v>
      </c>
    </row>
    <row r="1578" spans="1:61" s="62" customFormat="1" ht="14.5">
      <c r="A1578" s="62">
        <v>21100012</v>
      </c>
      <c r="C1578" s="62">
        <v>9</v>
      </c>
      <c r="F1578" s="181" t="s">
        <v>4329</v>
      </c>
      <c r="G1578" s="106" t="s">
        <v>4147</v>
      </c>
      <c r="H1578" s="62" t="str">
        <f>VLOOKUP(F1578,'#对话模型配置'!A:O,14,FALSE)</f>
        <v>icon_hero</v>
      </c>
      <c r="I1578" s="62" t="s">
        <v>4734</v>
      </c>
      <c r="J1578" s="184" t="s">
        <v>5321</v>
      </c>
      <c r="K1578" s="185" t="s">
        <v>5322</v>
      </c>
      <c r="L1578" s="62">
        <v>110003</v>
      </c>
      <c r="M1578" s="186" t="s">
        <v>3289</v>
      </c>
      <c r="N1578" s="186"/>
      <c r="O1578" s="186" t="s">
        <v>5294</v>
      </c>
      <c r="U1578" s="62">
        <v>6</v>
      </c>
      <c r="V1578" s="62">
        <v>0</v>
      </c>
      <c r="Y1578" s="62" t="b">
        <v>0</v>
      </c>
      <c r="Z1578" s="62" t="s">
        <v>5323</v>
      </c>
      <c r="AA1578" s="62" t="b">
        <v>0</v>
      </c>
      <c r="AD1578" s="62">
        <v>1.7612290382385301</v>
      </c>
      <c r="AE1578" s="62">
        <f t="shared" si="116"/>
        <v>2.7612290382385298</v>
      </c>
      <c r="AF1578" s="62" t="s">
        <v>5324</v>
      </c>
      <c r="AH1578" s="189">
        <v>0.1</v>
      </c>
      <c r="AI1578" s="189">
        <v>0.5</v>
      </c>
      <c r="AL1578" s="62">
        <v>35</v>
      </c>
      <c r="BF1578" s="62">
        <v>0</v>
      </c>
      <c r="BI1578" s="62">
        <v>1</v>
      </c>
    </row>
    <row r="1579" spans="1:61" s="62" customFormat="1" ht="26">
      <c r="A1579" s="62">
        <v>21100012</v>
      </c>
      <c r="C1579" s="62">
        <v>10</v>
      </c>
      <c r="F1579" s="181" t="s">
        <v>4722</v>
      </c>
      <c r="G1579" s="106" t="s">
        <v>2330</v>
      </c>
      <c r="H1579" s="62" t="str">
        <f>VLOOKUP(F1579,'#对话模型配置'!A:O,14,FALSE)</f>
        <v>icon_hero</v>
      </c>
      <c r="I1579" s="62" t="s">
        <v>4723</v>
      </c>
      <c r="J1579" s="184" t="s">
        <v>5325</v>
      </c>
      <c r="K1579" s="185" t="s">
        <v>5326</v>
      </c>
      <c r="L1579" s="62">
        <v>110008</v>
      </c>
      <c r="M1579" s="186" t="s">
        <v>3289</v>
      </c>
      <c r="N1579" s="186"/>
      <c r="O1579" s="186" t="s">
        <v>5287</v>
      </c>
      <c r="U1579" s="62">
        <v>6</v>
      </c>
      <c r="V1579" s="62">
        <v>0</v>
      </c>
      <c r="Y1579" s="62" t="b">
        <v>0</v>
      </c>
      <c r="Z1579" s="62" t="s">
        <v>5327</v>
      </c>
      <c r="AA1579" s="62" t="b">
        <v>0</v>
      </c>
      <c r="AD1579" s="62">
        <v>8.3863954544067401</v>
      </c>
      <c r="AE1579" s="62">
        <f t="shared" si="116"/>
        <v>9.3863954544067401</v>
      </c>
      <c r="AF1579" s="62" t="s">
        <v>5328</v>
      </c>
      <c r="AH1579" s="189">
        <v>0.1</v>
      </c>
      <c r="AI1579" s="189">
        <v>0.5</v>
      </c>
      <c r="AL1579" s="62">
        <v>35</v>
      </c>
      <c r="BF1579" s="62">
        <v>0</v>
      </c>
      <c r="BI1579" s="62">
        <v>1</v>
      </c>
    </row>
    <row r="1580" spans="1:61" s="62" customFormat="1" ht="14.5">
      <c r="A1580" s="62">
        <v>21100012</v>
      </c>
      <c r="C1580" s="62">
        <v>11</v>
      </c>
      <c r="F1580" s="181" t="s">
        <v>4329</v>
      </c>
      <c r="G1580" s="106" t="s">
        <v>4147</v>
      </c>
      <c r="H1580" s="62" t="str">
        <f>VLOOKUP(F1580,'#对话模型配置'!A:O,14,FALSE)</f>
        <v>icon_hero</v>
      </c>
      <c r="I1580" s="62" t="s">
        <v>4734</v>
      </c>
      <c r="J1580" s="184" t="s">
        <v>5329</v>
      </c>
      <c r="K1580" s="185" t="s">
        <v>5330</v>
      </c>
      <c r="L1580" s="62">
        <v>110003</v>
      </c>
      <c r="M1580" s="186" t="s">
        <v>3289</v>
      </c>
      <c r="N1580" s="186"/>
      <c r="O1580" s="186" t="s">
        <v>5294</v>
      </c>
      <c r="U1580" s="62">
        <v>6</v>
      </c>
      <c r="V1580" s="62">
        <v>0</v>
      </c>
      <c r="Y1580" s="62" t="b">
        <v>0</v>
      </c>
      <c r="Z1580" s="62" t="s">
        <v>5331</v>
      </c>
      <c r="AA1580" s="62" t="b">
        <v>0</v>
      </c>
      <c r="AD1580" s="62">
        <v>1.5889790058136</v>
      </c>
      <c r="AE1580" s="62">
        <f t="shared" si="116"/>
        <v>2.5889790058136</v>
      </c>
      <c r="AF1580" s="62" t="s">
        <v>5332</v>
      </c>
      <c r="AH1580" s="189">
        <v>0.1</v>
      </c>
      <c r="AI1580" s="189">
        <v>0.5</v>
      </c>
      <c r="AL1580" s="62">
        <v>35</v>
      </c>
      <c r="BF1580" s="62">
        <v>0</v>
      </c>
      <c r="BI1580" s="62">
        <v>1</v>
      </c>
    </row>
    <row r="1581" spans="1:61" s="62" customFormat="1" ht="14.5">
      <c r="A1581" s="62">
        <v>21100012</v>
      </c>
      <c r="C1581" s="62">
        <v>12</v>
      </c>
      <c r="F1581" s="181" t="s">
        <v>4722</v>
      </c>
      <c r="G1581" s="106" t="s">
        <v>2330</v>
      </c>
      <c r="H1581" s="62" t="str">
        <f>VLOOKUP(F1581,'#对话模型配置'!A:O,14,FALSE)</f>
        <v>icon_hero</v>
      </c>
      <c r="I1581" s="62" t="s">
        <v>4723</v>
      </c>
      <c r="J1581" s="184" t="s">
        <v>5333</v>
      </c>
      <c r="K1581" s="185" t="s">
        <v>5334</v>
      </c>
      <c r="L1581" s="62">
        <v>110008</v>
      </c>
      <c r="M1581" s="186" t="s">
        <v>4840</v>
      </c>
      <c r="N1581" s="186"/>
      <c r="O1581" s="186" t="s">
        <v>5287</v>
      </c>
      <c r="U1581" s="62">
        <v>6</v>
      </c>
      <c r="V1581" s="62">
        <v>0</v>
      </c>
      <c r="Y1581" s="62" t="b">
        <v>0</v>
      </c>
      <c r="Z1581" s="62" t="s">
        <v>5335</v>
      </c>
      <c r="AA1581" s="62" t="b">
        <v>0</v>
      </c>
      <c r="AD1581" s="62">
        <v>8.9342288970947301</v>
      </c>
      <c r="AE1581" s="62">
        <f t="shared" si="116"/>
        <v>9.9342288970947301</v>
      </c>
      <c r="AF1581" s="62" t="s">
        <v>5336</v>
      </c>
      <c r="AH1581" s="189">
        <v>0.1</v>
      </c>
      <c r="AI1581" s="189">
        <v>0.5</v>
      </c>
      <c r="AL1581" s="62">
        <v>35</v>
      </c>
      <c r="BF1581" s="62">
        <v>0</v>
      </c>
      <c r="BI1581" s="62">
        <v>1</v>
      </c>
    </row>
    <row r="1582" spans="1:61" s="62" customFormat="1" ht="26">
      <c r="A1582" s="62">
        <v>21100012</v>
      </c>
      <c r="C1582" s="62">
        <v>13</v>
      </c>
      <c r="F1582" s="181" t="s">
        <v>4329</v>
      </c>
      <c r="G1582" s="106" t="s">
        <v>4147</v>
      </c>
      <c r="H1582" s="62" t="str">
        <f>VLOOKUP(F1582,'#对话模型配置'!A:O,14,FALSE)</f>
        <v>icon_hero</v>
      </c>
      <c r="I1582" s="62" t="s">
        <v>4734</v>
      </c>
      <c r="J1582" s="184" t="s">
        <v>5337</v>
      </c>
      <c r="K1582" s="185" t="s">
        <v>5338</v>
      </c>
      <c r="L1582" s="62">
        <v>110003</v>
      </c>
      <c r="M1582" s="186" t="s">
        <v>3314</v>
      </c>
      <c r="N1582" s="186"/>
      <c r="O1582" s="186" t="s">
        <v>5294</v>
      </c>
      <c r="U1582" s="62">
        <v>6</v>
      </c>
      <c r="V1582" s="62">
        <v>0</v>
      </c>
      <c r="Y1582" s="62" t="b">
        <v>0</v>
      </c>
      <c r="Z1582" s="62" t="s">
        <v>5339</v>
      </c>
      <c r="AA1582" s="62" t="b">
        <v>0</v>
      </c>
      <c r="AD1582" s="62">
        <v>11.527312278747599</v>
      </c>
      <c r="AE1582" s="62">
        <f t="shared" si="116"/>
        <v>12.527312278747599</v>
      </c>
      <c r="AF1582" s="62" t="s">
        <v>5340</v>
      </c>
      <c r="AH1582" s="189">
        <v>0.1</v>
      </c>
      <c r="AI1582" s="189">
        <v>0.5</v>
      </c>
      <c r="AL1582" s="62">
        <v>35</v>
      </c>
      <c r="BF1582" s="62">
        <v>0</v>
      </c>
      <c r="BI1582" s="62">
        <v>1</v>
      </c>
    </row>
    <row r="1583" spans="1:61" s="76" customFormat="1" ht="39">
      <c r="A1583" s="76">
        <v>21100013</v>
      </c>
      <c r="C1583" s="76">
        <v>1</v>
      </c>
      <c r="F1583" s="179" t="s">
        <v>4722</v>
      </c>
      <c r="G1583" s="180" t="s">
        <v>2330</v>
      </c>
      <c r="H1583" s="76" t="str">
        <f>VLOOKUP(F1583,'#对话模型配置'!A:O,14,FALSE)</f>
        <v>icon_hero</v>
      </c>
      <c r="I1583" s="76" t="s">
        <v>4723</v>
      </c>
      <c r="J1583" s="182" t="s">
        <v>5341</v>
      </c>
      <c r="K1583" s="183" t="s">
        <v>5342</v>
      </c>
      <c r="L1583" s="76">
        <v>110008</v>
      </c>
      <c r="M1583" s="197" t="s">
        <v>4840</v>
      </c>
      <c r="N1583" s="197"/>
      <c r="O1583" s="197" t="s">
        <v>5343</v>
      </c>
      <c r="P1583" s="197"/>
      <c r="Q1583" s="197"/>
      <c r="R1583" s="197" t="s">
        <v>5344</v>
      </c>
      <c r="U1583" s="76">
        <v>6</v>
      </c>
      <c r="V1583" s="76">
        <v>0</v>
      </c>
      <c r="Y1583" s="76" t="b">
        <v>0</v>
      </c>
      <c r="Z1583" s="76" t="s">
        <v>5345</v>
      </c>
      <c r="AA1583" s="76" t="b">
        <v>0</v>
      </c>
      <c r="AD1583" s="76">
        <v>14.678083419799799</v>
      </c>
      <c r="AE1583" s="76">
        <f t="shared" si="116"/>
        <v>15.678083419799799</v>
      </c>
      <c r="AF1583" s="76" t="s">
        <v>5346</v>
      </c>
      <c r="AH1583" s="188">
        <v>0.1</v>
      </c>
      <c r="AI1583" s="188">
        <v>0.5</v>
      </c>
      <c r="AL1583" s="76">
        <v>35</v>
      </c>
      <c r="BF1583" s="76">
        <v>0</v>
      </c>
      <c r="BI1583" s="76">
        <v>1</v>
      </c>
    </row>
    <row r="1584" spans="1:61" s="76" customFormat="1" ht="26">
      <c r="A1584" s="76">
        <v>21100013</v>
      </c>
      <c r="C1584" s="76">
        <v>2</v>
      </c>
      <c r="F1584" s="179" t="s">
        <v>4722</v>
      </c>
      <c r="G1584" s="180" t="s">
        <v>2330</v>
      </c>
      <c r="H1584" s="76" t="str">
        <f>VLOOKUP(F1584,'#对话模型配置'!A:O,14,FALSE)</f>
        <v>icon_hero</v>
      </c>
      <c r="I1584" s="76" t="s">
        <v>4723</v>
      </c>
      <c r="J1584" s="182" t="s">
        <v>5347</v>
      </c>
      <c r="K1584" s="183" t="s">
        <v>5348</v>
      </c>
      <c r="L1584" s="76">
        <v>110008</v>
      </c>
      <c r="M1584" s="197" t="s">
        <v>4840</v>
      </c>
      <c r="N1584" s="197"/>
      <c r="O1584" s="197" t="s">
        <v>5343</v>
      </c>
      <c r="P1584" s="197"/>
      <c r="Q1584" s="197"/>
      <c r="R1584" s="197"/>
      <c r="U1584" s="76">
        <v>6</v>
      </c>
      <c r="V1584" s="76">
        <v>0</v>
      </c>
      <c r="Y1584" s="76" t="b">
        <v>0</v>
      </c>
      <c r="Z1584" s="76" t="s">
        <v>5349</v>
      </c>
      <c r="AA1584" s="76" t="b">
        <v>0</v>
      </c>
      <c r="AD1584" s="76">
        <v>6.3973751068115199</v>
      </c>
      <c r="AE1584" s="76">
        <f t="shared" si="116"/>
        <v>7.3973751068115199</v>
      </c>
      <c r="AF1584" s="76" t="s">
        <v>5350</v>
      </c>
      <c r="AH1584" s="188">
        <v>0.1</v>
      </c>
      <c r="AI1584" s="188">
        <v>0.5</v>
      </c>
      <c r="AL1584" s="76">
        <v>35</v>
      </c>
      <c r="BF1584" s="76">
        <v>0</v>
      </c>
      <c r="BI1584" s="76">
        <v>1</v>
      </c>
    </row>
    <row r="1585" spans="1:61" s="76" customFormat="1" ht="26">
      <c r="A1585" s="76">
        <v>21100013</v>
      </c>
      <c r="C1585" s="76">
        <v>3</v>
      </c>
      <c r="F1585" s="179" t="s">
        <v>4329</v>
      </c>
      <c r="G1585" s="180" t="s">
        <v>4147</v>
      </c>
      <c r="H1585" s="76" t="str">
        <f>VLOOKUP(F1585,'#对话模型配置'!A:O,14,FALSE)</f>
        <v>icon_hero</v>
      </c>
      <c r="I1585" s="76" t="s">
        <v>4734</v>
      </c>
      <c r="J1585" s="182" t="s">
        <v>5351</v>
      </c>
      <c r="K1585" s="183" t="s">
        <v>5352</v>
      </c>
      <c r="L1585" s="76">
        <v>110003</v>
      </c>
      <c r="M1585" s="197" t="s">
        <v>4840</v>
      </c>
      <c r="N1585" s="197"/>
      <c r="O1585" s="197" t="s">
        <v>5353</v>
      </c>
      <c r="P1585" s="197"/>
      <c r="Q1585" s="197"/>
      <c r="R1585" s="197"/>
      <c r="U1585" s="76">
        <v>6</v>
      </c>
      <c r="V1585" s="76">
        <v>0</v>
      </c>
      <c r="Y1585" s="76" t="b">
        <v>0</v>
      </c>
      <c r="Z1585" s="76" t="s">
        <v>5354</v>
      </c>
      <c r="AA1585" s="76" t="b">
        <v>0</v>
      </c>
      <c r="AD1585" s="76">
        <v>10.264666557311999</v>
      </c>
      <c r="AE1585" s="76">
        <f t="shared" si="116"/>
        <v>11.264666557311999</v>
      </c>
      <c r="AF1585" s="76" t="s">
        <v>5355</v>
      </c>
      <c r="AH1585" s="188">
        <v>0.1</v>
      </c>
      <c r="AI1585" s="188">
        <v>0.5</v>
      </c>
      <c r="AL1585" s="76">
        <v>35</v>
      </c>
      <c r="BF1585" s="76">
        <v>0</v>
      </c>
      <c r="BI1585" s="76">
        <v>1</v>
      </c>
    </row>
    <row r="1586" spans="1:61" s="76" customFormat="1" ht="14.5">
      <c r="A1586" s="76">
        <v>21100013</v>
      </c>
      <c r="C1586" s="76">
        <v>4</v>
      </c>
      <c r="F1586" s="179" t="s">
        <v>4722</v>
      </c>
      <c r="G1586" s="180" t="s">
        <v>2330</v>
      </c>
      <c r="H1586" s="76" t="str">
        <f>VLOOKUP(F1586,'#对话模型配置'!A:O,14,FALSE)</f>
        <v>icon_hero</v>
      </c>
      <c r="I1586" s="76" t="s">
        <v>4723</v>
      </c>
      <c r="J1586" s="182" t="s">
        <v>5356</v>
      </c>
      <c r="K1586" s="183" t="s">
        <v>5357</v>
      </c>
      <c r="L1586" s="76">
        <v>110008</v>
      </c>
      <c r="M1586" s="197" t="s">
        <v>4840</v>
      </c>
      <c r="N1586" s="197"/>
      <c r="O1586" s="197" t="s">
        <v>5343</v>
      </c>
      <c r="P1586" s="197"/>
      <c r="Q1586" s="197"/>
      <c r="R1586" s="197"/>
      <c r="U1586" s="76">
        <v>6</v>
      </c>
      <c r="V1586" s="76">
        <v>0</v>
      </c>
      <c r="Y1586" s="76" t="b">
        <v>0</v>
      </c>
      <c r="Z1586" s="76" t="s">
        <v>5358</v>
      </c>
      <c r="AA1586" s="76" t="b">
        <v>0</v>
      </c>
      <c r="AD1586" s="76">
        <v>9.1323747634887695</v>
      </c>
      <c r="AE1586" s="76">
        <f t="shared" si="116"/>
        <v>10.13237476348877</v>
      </c>
      <c r="AF1586" s="76" t="s">
        <v>5359</v>
      </c>
      <c r="AH1586" s="188">
        <v>0.1</v>
      </c>
      <c r="AI1586" s="188">
        <v>0.5</v>
      </c>
      <c r="AL1586" s="76">
        <v>35</v>
      </c>
      <c r="BF1586" s="76">
        <v>0</v>
      </c>
      <c r="BI1586" s="76">
        <v>1</v>
      </c>
    </row>
    <row r="1587" spans="1:61" s="76" customFormat="1" ht="26">
      <c r="A1587" s="76">
        <v>21200013</v>
      </c>
      <c r="C1587" s="76">
        <v>1</v>
      </c>
      <c r="F1587" s="179" t="s">
        <v>4811</v>
      </c>
      <c r="G1587" s="180" t="s">
        <v>4812</v>
      </c>
      <c r="H1587" s="76" t="str">
        <f>VLOOKUP(F1587,'#对话模型配置'!A:O,14,FALSE)</f>
        <v>icon_hero</v>
      </c>
      <c r="I1587" s="76" t="s">
        <v>4813</v>
      </c>
      <c r="J1587" s="182" t="s">
        <v>5360</v>
      </c>
      <c r="K1587" s="183" t="s">
        <v>5361</v>
      </c>
      <c r="L1587" s="76">
        <v>110009</v>
      </c>
      <c r="M1587" s="197" t="s">
        <v>4840</v>
      </c>
      <c r="N1587" s="197"/>
      <c r="O1587" s="197" t="s">
        <v>5362</v>
      </c>
      <c r="P1587" s="197"/>
      <c r="Q1587" s="197"/>
      <c r="R1587" s="197" t="s">
        <v>5363</v>
      </c>
      <c r="U1587" s="76">
        <v>6</v>
      </c>
      <c r="V1587" s="76">
        <v>0</v>
      </c>
      <c r="Y1587" s="76" t="b">
        <v>0</v>
      </c>
      <c r="Z1587" s="76" t="s">
        <v>5364</v>
      </c>
      <c r="AA1587" s="76" t="b">
        <v>0</v>
      </c>
      <c r="AD1587" s="76">
        <v>9.8222703933715803</v>
      </c>
      <c r="AE1587" s="76">
        <f t="shared" si="116"/>
        <v>10.82227039337158</v>
      </c>
      <c r="AF1587" s="76" t="s">
        <v>5365</v>
      </c>
      <c r="AH1587" s="188">
        <v>0.1</v>
      </c>
      <c r="AI1587" s="188">
        <v>0.5</v>
      </c>
      <c r="AL1587" s="76">
        <v>35</v>
      </c>
      <c r="BF1587" s="76">
        <v>0</v>
      </c>
      <c r="BI1587" s="76">
        <v>1</v>
      </c>
    </row>
    <row r="1588" spans="1:61" s="76" customFormat="1" ht="14.5">
      <c r="A1588" s="76">
        <v>21200013</v>
      </c>
      <c r="C1588" s="76">
        <v>2</v>
      </c>
      <c r="F1588" s="179" t="s">
        <v>4329</v>
      </c>
      <c r="G1588" s="180" t="s">
        <v>4147</v>
      </c>
      <c r="H1588" s="76" t="str">
        <f>VLOOKUP(F1588,'#对话模型配置'!A:O,14,FALSE)</f>
        <v>icon_hero</v>
      </c>
      <c r="I1588" s="76" t="s">
        <v>4734</v>
      </c>
      <c r="J1588" s="182" t="s">
        <v>5366</v>
      </c>
      <c r="K1588" s="183" t="s">
        <v>5367</v>
      </c>
      <c r="L1588" s="76">
        <v>110003</v>
      </c>
      <c r="M1588" s="197" t="s">
        <v>4840</v>
      </c>
      <c r="N1588" s="197"/>
      <c r="O1588" s="197" t="s">
        <v>5353</v>
      </c>
      <c r="P1588" s="197" t="s">
        <v>5368</v>
      </c>
      <c r="Q1588" s="197">
        <v>1</v>
      </c>
      <c r="R1588" s="197"/>
      <c r="U1588" s="76">
        <v>6</v>
      </c>
      <c r="V1588" s="76">
        <v>0</v>
      </c>
      <c r="Y1588" s="76" t="b">
        <v>0</v>
      </c>
      <c r="Z1588" s="76" t="s">
        <v>5369</v>
      </c>
      <c r="AA1588" s="76" t="b">
        <v>0</v>
      </c>
      <c r="AD1588" s="76">
        <v>5.2019581794738796</v>
      </c>
      <c r="AE1588" s="76">
        <f t="shared" si="116"/>
        <v>6.2019581794738796</v>
      </c>
      <c r="AF1588" s="76" t="s">
        <v>5370</v>
      </c>
      <c r="AH1588" s="188">
        <v>0.1</v>
      </c>
      <c r="AI1588" s="188">
        <v>0.5</v>
      </c>
      <c r="AL1588" s="76">
        <v>35</v>
      </c>
      <c r="BF1588" s="76">
        <v>0</v>
      </c>
      <c r="BI1588" s="76">
        <v>1</v>
      </c>
    </row>
    <row r="1589" spans="1:61" s="76" customFormat="1" ht="26">
      <c r="A1589" s="76">
        <v>21200013</v>
      </c>
      <c r="C1589" s="76">
        <v>3</v>
      </c>
      <c r="F1589" s="179" t="s">
        <v>4811</v>
      </c>
      <c r="G1589" s="180" t="s">
        <v>4812</v>
      </c>
      <c r="H1589" s="76" t="str">
        <f>VLOOKUP(F1589,'#对话模型配置'!A:O,14,FALSE)</f>
        <v>icon_hero</v>
      </c>
      <c r="I1589" s="76" t="s">
        <v>4813</v>
      </c>
      <c r="J1589" s="182" t="s">
        <v>5371</v>
      </c>
      <c r="K1589" s="183" t="s">
        <v>5372</v>
      </c>
      <c r="L1589" s="76">
        <v>110009</v>
      </c>
      <c r="M1589" s="197" t="s">
        <v>4831</v>
      </c>
      <c r="N1589" s="197"/>
      <c r="O1589" s="197" t="s">
        <v>5362</v>
      </c>
      <c r="P1589" s="197"/>
      <c r="Q1589" s="197"/>
      <c r="R1589" s="197"/>
      <c r="U1589" s="76">
        <v>6</v>
      </c>
      <c r="V1589" s="76">
        <v>0</v>
      </c>
      <c r="Y1589" s="76" t="b">
        <v>0</v>
      </c>
      <c r="Z1589" s="76" t="s">
        <v>5373</v>
      </c>
      <c r="AA1589" s="76" t="b">
        <v>0</v>
      </c>
      <c r="AD1589" s="76">
        <v>7.6772499084472701</v>
      </c>
      <c r="AE1589" s="76">
        <f t="shared" si="116"/>
        <v>8.6772499084472692</v>
      </c>
      <c r="AF1589" s="76" t="s">
        <v>5374</v>
      </c>
      <c r="AH1589" s="188">
        <v>0.1</v>
      </c>
      <c r="AI1589" s="188">
        <v>0.5</v>
      </c>
      <c r="AL1589" s="76">
        <v>35</v>
      </c>
      <c r="BF1589" s="76">
        <v>0</v>
      </c>
      <c r="BI1589" s="76">
        <v>1</v>
      </c>
    </row>
    <row r="1590" spans="1:61" s="76" customFormat="1" ht="39">
      <c r="A1590" s="76">
        <v>21200013</v>
      </c>
      <c r="C1590" s="76">
        <v>4</v>
      </c>
      <c r="F1590" s="179" t="s">
        <v>4722</v>
      </c>
      <c r="G1590" s="180" t="s">
        <v>2330</v>
      </c>
      <c r="H1590" s="76" t="str">
        <f>VLOOKUP(F1590,'#对话模型配置'!A:O,14,FALSE)</f>
        <v>icon_hero</v>
      </c>
      <c r="I1590" s="76" t="s">
        <v>4723</v>
      </c>
      <c r="J1590" s="182" t="s">
        <v>5375</v>
      </c>
      <c r="K1590" s="183" t="s">
        <v>5376</v>
      </c>
      <c r="L1590" s="76">
        <v>110008</v>
      </c>
      <c r="M1590" s="197" t="s">
        <v>4840</v>
      </c>
      <c r="N1590" s="197"/>
      <c r="O1590" s="197" t="s">
        <v>5343</v>
      </c>
      <c r="P1590" s="197"/>
      <c r="Q1590" s="197"/>
      <c r="R1590" s="197" t="s">
        <v>5377</v>
      </c>
      <c r="U1590" s="76">
        <v>6</v>
      </c>
      <c r="V1590" s="76">
        <v>0</v>
      </c>
      <c r="Y1590" s="76" t="b">
        <v>0</v>
      </c>
      <c r="Z1590" s="76" t="s">
        <v>5378</v>
      </c>
      <c r="AA1590" s="76" t="b">
        <v>0</v>
      </c>
      <c r="AD1590" s="76">
        <v>13.121895790100099</v>
      </c>
      <c r="AE1590" s="76">
        <f t="shared" si="116"/>
        <v>14.121895790100099</v>
      </c>
      <c r="AF1590" s="76" t="s">
        <v>5379</v>
      </c>
      <c r="AH1590" s="188">
        <v>0.1</v>
      </c>
      <c r="AI1590" s="188">
        <v>0.5</v>
      </c>
      <c r="AL1590" s="76">
        <v>35</v>
      </c>
      <c r="BF1590" s="76">
        <v>0</v>
      </c>
      <c r="BI1590" s="76">
        <v>1</v>
      </c>
    </row>
    <row r="1591" spans="1:61" s="76" customFormat="1" ht="26">
      <c r="A1591" s="76">
        <v>21200013</v>
      </c>
      <c r="C1591" s="76">
        <v>5</v>
      </c>
      <c r="F1591" s="179" t="s">
        <v>4329</v>
      </c>
      <c r="G1591" s="180" t="s">
        <v>4147</v>
      </c>
      <c r="H1591" s="76" t="str">
        <f>VLOOKUP(F1591,'#对话模型配置'!A:O,14,FALSE)</f>
        <v>icon_hero</v>
      </c>
      <c r="I1591" s="76" t="s">
        <v>4734</v>
      </c>
      <c r="J1591" s="182" t="s">
        <v>5380</v>
      </c>
      <c r="K1591" s="183" t="s">
        <v>5381</v>
      </c>
      <c r="L1591" s="76">
        <v>110003</v>
      </c>
      <c r="M1591" s="197" t="s">
        <v>4840</v>
      </c>
      <c r="N1591" s="197"/>
      <c r="O1591" s="197" t="s">
        <v>5368</v>
      </c>
      <c r="P1591" s="197" t="s">
        <v>5353</v>
      </c>
      <c r="Q1591" s="197">
        <v>1</v>
      </c>
      <c r="R1591" s="197"/>
      <c r="U1591" s="76">
        <v>6</v>
      </c>
      <c r="V1591" s="76">
        <v>0</v>
      </c>
      <c r="Y1591" s="76" t="b">
        <v>0</v>
      </c>
      <c r="Z1591" s="76" t="s">
        <v>5382</v>
      </c>
      <c r="AA1591" s="76" t="b">
        <v>0</v>
      </c>
      <c r="AD1591" s="76">
        <v>11.979937553405801</v>
      </c>
      <c r="AE1591" s="76">
        <f t="shared" si="116"/>
        <v>12.979937553405801</v>
      </c>
      <c r="AF1591" s="76" t="s">
        <v>5383</v>
      </c>
      <c r="AH1591" s="188">
        <v>0.1</v>
      </c>
      <c r="AI1591" s="188">
        <v>0.5</v>
      </c>
      <c r="AL1591" s="76">
        <v>35</v>
      </c>
      <c r="BF1591" s="76">
        <v>0</v>
      </c>
      <c r="BI1591" s="76">
        <v>1</v>
      </c>
    </row>
    <row r="1592" spans="1:61" s="76" customFormat="1" ht="14.5">
      <c r="A1592" s="76">
        <v>21200013</v>
      </c>
      <c r="C1592" s="76">
        <v>6</v>
      </c>
      <c r="F1592" s="179" t="s">
        <v>5384</v>
      </c>
      <c r="G1592" s="180" t="s">
        <v>5385</v>
      </c>
      <c r="H1592" s="76" t="str">
        <f>VLOOKUP(F1592,'#对话模型配置'!A:O,14,FALSE)</f>
        <v>icon_hero</v>
      </c>
      <c r="I1592" s="76" t="s">
        <v>5386</v>
      </c>
      <c r="J1592" s="182" t="s">
        <v>5387</v>
      </c>
      <c r="K1592" s="199" t="s">
        <v>5388</v>
      </c>
      <c r="L1592" s="76">
        <v>110012</v>
      </c>
      <c r="M1592" s="197" t="s">
        <v>4726</v>
      </c>
      <c r="N1592" s="197" t="s">
        <v>5389</v>
      </c>
      <c r="O1592" s="197" t="s">
        <v>5390</v>
      </c>
      <c r="P1592" s="197" t="s">
        <v>5391</v>
      </c>
      <c r="Q1592" s="197">
        <v>3</v>
      </c>
      <c r="R1592" s="197"/>
      <c r="U1592" s="76">
        <v>6</v>
      </c>
      <c r="V1592" s="76">
        <v>0</v>
      </c>
      <c r="Y1592" s="76" t="b">
        <v>0</v>
      </c>
      <c r="Z1592" s="76" t="s">
        <v>5392</v>
      </c>
      <c r="AA1592" s="76" t="b">
        <v>0</v>
      </c>
      <c r="AD1592" s="76">
        <v>8</v>
      </c>
      <c r="AE1592" s="76">
        <f t="shared" si="116"/>
        <v>9</v>
      </c>
      <c r="AH1592" s="188">
        <v>0.1</v>
      </c>
      <c r="AI1592" s="188">
        <v>0.5</v>
      </c>
      <c r="AL1592" s="76">
        <v>35</v>
      </c>
      <c r="BF1592" s="76">
        <v>0</v>
      </c>
      <c r="BI1592" s="76">
        <v>1</v>
      </c>
    </row>
    <row r="1593" spans="1:61" s="76" customFormat="1" ht="14.5">
      <c r="A1593" s="76">
        <v>21200013</v>
      </c>
      <c r="C1593" s="76">
        <v>7</v>
      </c>
      <c r="F1593" s="179" t="s">
        <v>4722</v>
      </c>
      <c r="G1593" s="180" t="s">
        <v>2330</v>
      </c>
      <c r="H1593" s="76" t="str">
        <f>VLOOKUP(F1593,'#对话模型配置'!A:O,14,FALSE)</f>
        <v>icon_hero</v>
      </c>
      <c r="I1593" s="76" t="s">
        <v>4723</v>
      </c>
      <c r="J1593" s="182" t="s">
        <v>5393</v>
      </c>
      <c r="K1593" s="183" t="s">
        <v>5394</v>
      </c>
      <c r="L1593" s="76">
        <v>110008</v>
      </c>
      <c r="M1593" s="197" t="s">
        <v>4840</v>
      </c>
      <c r="N1593" s="197"/>
      <c r="O1593" s="197" t="s">
        <v>5343</v>
      </c>
      <c r="P1593" s="197"/>
      <c r="Q1593" s="197"/>
      <c r="R1593" s="197"/>
      <c r="U1593" s="76">
        <v>6</v>
      </c>
      <c r="V1593" s="76">
        <v>0</v>
      </c>
      <c r="Y1593" s="76" t="b">
        <v>0</v>
      </c>
      <c r="Z1593" s="76" t="s">
        <v>5395</v>
      </c>
      <c r="AA1593" s="76" t="b">
        <v>0</v>
      </c>
      <c r="AD1593" s="76">
        <v>5.8743748664856001</v>
      </c>
      <c r="AE1593" s="76">
        <f t="shared" si="116"/>
        <v>6.8743748664856001</v>
      </c>
      <c r="AF1593" s="76" t="s">
        <v>5396</v>
      </c>
      <c r="AH1593" s="188">
        <v>0.1</v>
      </c>
      <c r="AI1593" s="188">
        <v>0.5</v>
      </c>
      <c r="AL1593" s="76">
        <v>35</v>
      </c>
      <c r="BF1593" s="76">
        <v>0</v>
      </c>
      <c r="BI1593" s="76">
        <v>1</v>
      </c>
    </row>
    <row r="1594" spans="1:61" s="76" customFormat="1" ht="14.5">
      <c r="A1594" s="76">
        <v>21200013</v>
      </c>
      <c r="C1594" s="76">
        <v>8</v>
      </c>
      <c r="F1594" s="179" t="s">
        <v>4329</v>
      </c>
      <c r="G1594" s="180" t="s">
        <v>4147</v>
      </c>
      <c r="H1594" s="76" t="str">
        <f>VLOOKUP(F1594,'#对话模型配置'!A:O,14,FALSE)</f>
        <v>icon_hero</v>
      </c>
      <c r="I1594" s="76" t="s">
        <v>4734</v>
      </c>
      <c r="J1594" s="182" t="s">
        <v>5397</v>
      </c>
      <c r="K1594" s="183" t="s">
        <v>5398</v>
      </c>
      <c r="L1594" s="76">
        <v>110003</v>
      </c>
      <c r="M1594" s="197" t="s">
        <v>4840</v>
      </c>
      <c r="N1594" s="197"/>
      <c r="O1594" s="197" t="s">
        <v>5353</v>
      </c>
      <c r="P1594" s="197"/>
      <c r="Q1594" s="197"/>
      <c r="R1594" s="197"/>
      <c r="U1594" s="76">
        <v>6</v>
      </c>
      <c r="V1594" s="76">
        <v>0</v>
      </c>
      <c r="Y1594" s="76" t="b">
        <v>0</v>
      </c>
      <c r="Z1594" s="76" t="s">
        <v>5399</v>
      </c>
      <c r="AA1594" s="76" t="b">
        <v>0</v>
      </c>
      <c r="AD1594" s="76">
        <v>9.4252290725708008</v>
      </c>
      <c r="AE1594" s="76">
        <f t="shared" si="116"/>
        <v>10.425229072570801</v>
      </c>
      <c r="AF1594" s="76" t="s">
        <v>5400</v>
      </c>
      <c r="AH1594" s="188">
        <v>0.1</v>
      </c>
      <c r="AI1594" s="188">
        <v>0.5</v>
      </c>
      <c r="AL1594" s="76">
        <v>35</v>
      </c>
      <c r="BF1594" s="76">
        <v>0</v>
      </c>
      <c r="BI1594" s="76">
        <v>1</v>
      </c>
    </row>
    <row r="1595" spans="1:61" s="76" customFormat="1" ht="26">
      <c r="A1595" s="76">
        <v>21200013</v>
      </c>
      <c r="C1595" s="76">
        <v>9</v>
      </c>
      <c r="F1595" s="179" t="s">
        <v>5401</v>
      </c>
      <c r="G1595" s="180" t="s">
        <v>5402</v>
      </c>
      <c r="H1595" s="76" t="str">
        <f>VLOOKUP(F1595,'#对话模型配置'!A:O,14,FALSE)</f>
        <v>icon_hero</v>
      </c>
      <c r="I1595" s="76" t="s">
        <v>5386</v>
      </c>
      <c r="J1595" s="182" t="s">
        <v>5403</v>
      </c>
      <c r="K1595" s="183" t="s">
        <v>5404</v>
      </c>
      <c r="L1595" s="76">
        <v>110012</v>
      </c>
      <c r="M1595" s="197" t="s">
        <v>3289</v>
      </c>
      <c r="N1595" s="197"/>
      <c r="O1595" s="197" t="s">
        <v>5391</v>
      </c>
      <c r="P1595" s="197"/>
      <c r="Q1595" s="197"/>
      <c r="R1595" s="197"/>
      <c r="U1595" s="76">
        <v>6</v>
      </c>
      <c r="V1595" s="76">
        <v>0</v>
      </c>
      <c r="Y1595" s="76" t="b">
        <v>0</v>
      </c>
      <c r="Z1595" s="76" t="s">
        <v>5405</v>
      </c>
      <c r="AA1595" s="76" t="b">
        <v>0</v>
      </c>
      <c r="AD1595" s="76">
        <v>8</v>
      </c>
      <c r="AE1595" s="76">
        <f t="shared" si="116"/>
        <v>9</v>
      </c>
      <c r="AH1595" s="188">
        <v>0.1</v>
      </c>
      <c r="AI1595" s="188">
        <v>0.5</v>
      </c>
      <c r="AL1595" s="76">
        <v>35</v>
      </c>
      <c r="BF1595" s="76">
        <v>0</v>
      </c>
      <c r="BI1595" s="76">
        <v>1</v>
      </c>
    </row>
    <row r="1596" spans="1:61" s="62" customFormat="1" ht="14.5">
      <c r="A1596" s="62">
        <v>21100014</v>
      </c>
      <c r="C1596" s="62">
        <v>1</v>
      </c>
      <c r="F1596" s="181" t="s">
        <v>4329</v>
      </c>
      <c r="G1596" s="106" t="s">
        <v>4147</v>
      </c>
      <c r="H1596" s="62" t="str">
        <f>VLOOKUP(F1596,'#对话模型配置'!A:O,14,FALSE)</f>
        <v>icon_hero</v>
      </c>
      <c r="I1596" s="62" t="s">
        <v>4734</v>
      </c>
      <c r="J1596" s="184" t="s">
        <v>5406</v>
      </c>
      <c r="K1596" s="185" t="s">
        <v>5407</v>
      </c>
      <c r="L1596" s="62">
        <v>110003</v>
      </c>
      <c r="M1596" s="62" t="s">
        <v>3289</v>
      </c>
      <c r="O1596" s="62" t="s">
        <v>5408</v>
      </c>
      <c r="R1596" s="62" t="s">
        <v>5409</v>
      </c>
      <c r="U1596" s="62">
        <v>6</v>
      </c>
      <c r="V1596" s="62">
        <v>0</v>
      </c>
      <c r="Y1596" s="62" t="b">
        <v>0</v>
      </c>
      <c r="Z1596" s="62" t="s">
        <v>5410</v>
      </c>
      <c r="AA1596" s="62" t="b">
        <v>0</v>
      </c>
      <c r="AD1596" s="62">
        <v>8.1097288131713903</v>
      </c>
      <c r="AE1596" s="62">
        <f t="shared" si="116"/>
        <v>9.1097288131713903</v>
      </c>
      <c r="AF1596" s="62" t="s">
        <v>5411</v>
      </c>
      <c r="AH1596" s="189">
        <v>0.1</v>
      </c>
      <c r="AI1596" s="189">
        <v>0.5</v>
      </c>
      <c r="AL1596" s="62">
        <v>35</v>
      </c>
      <c r="BF1596" s="62">
        <v>0</v>
      </c>
      <c r="BI1596" s="62">
        <v>1</v>
      </c>
    </row>
    <row r="1597" spans="1:61" s="62" customFormat="1" ht="26">
      <c r="A1597" s="62">
        <v>21100014</v>
      </c>
      <c r="C1597" s="62">
        <v>2</v>
      </c>
      <c r="F1597" s="181" t="s">
        <v>5401</v>
      </c>
      <c r="G1597" s="106" t="s">
        <v>5402</v>
      </c>
      <c r="H1597" s="62" t="str">
        <f>VLOOKUP(F1597,'#对话模型配置'!A:O,14,FALSE)</f>
        <v>icon_hero</v>
      </c>
      <c r="I1597" s="62" t="s">
        <v>5386</v>
      </c>
      <c r="J1597" s="184" t="s">
        <v>5412</v>
      </c>
      <c r="K1597" s="185" t="s">
        <v>5413</v>
      </c>
      <c r="L1597" s="62">
        <v>110012</v>
      </c>
      <c r="M1597" s="62" t="s">
        <v>3289</v>
      </c>
      <c r="O1597" s="62" t="s">
        <v>5414</v>
      </c>
      <c r="P1597" s="62" t="s">
        <v>5415</v>
      </c>
      <c r="Q1597" s="62">
        <v>1</v>
      </c>
      <c r="U1597" s="62">
        <v>6</v>
      </c>
      <c r="V1597" s="62">
        <v>0</v>
      </c>
      <c r="Y1597" s="62" t="b">
        <v>0</v>
      </c>
      <c r="Z1597" s="62" t="s">
        <v>5416</v>
      </c>
      <c r="AA1597" s="62" t="b">
        <v>0</v>
      </c>
      <c r="AD1597" s="62">
        <v>8</v>
      </c>
      <c r="AE1597" s="62">
        <f t="shared" si="116"/>
        <v>9</v>
      </c>
      <c r="AH1597" s="189">
        <v>0.1</v>
      </c>
      <c r="AI1597" s="189">
        <v>0.5</v>
      </c>
      <c r="AL1597" s="62">
        <v>35</v>
      </c>
      <c r="BF1597" s="62">
        <v>0</v>
      </c>
      <c r="BI1597" s="62">
        <v>1</v>
      </c>
    </row>
    <row r="1598" spans="1:61" s="62" customFormat="1" ht="26">
      <c r="A1598" s="62">
        <v>21100014</v>
      </c>
      <c r="C1598" s="62">
        <v>3</v>
      </c>
      <c r="F1598" s="181" t="s">
        <v>5401</v>
      </c>
      <c r="G1598" s="106" t="s">
        <v>5402</v>
      </c>
      <c r="H1598" s="62" t="str">
        <f>VLOOKUP(F1598,'#对话模型配置'!A:O,14,FALSE)</f>
        <v>icon_hero</v>
      </c>
      <c r="I1598" s="62" t="s">
        <v>5386</v>
      </c>
      <c r="J1598" s="184" t="s">
        <v>5417</v>
      </c>
      <c r="K1598" s="185" t="s">
        <v>5418</v>
      </c>
      <c r="L1598" s="62">
        <v>110012</v>
      </c>
      <c r="M1598" s="62" t="s">
        <v>3314</v>
      </c>
      <c r="O1598" s="62" t="s">
        <v>5415</v>
      </c>
      <c r="U1598" s="62">
        <v>6</v>
      </c>
      <c r="V1598" s="62">
        <v>0</v>
      </c>
      <c r="Y1598" s="62" t="b">
        <v>0</v>
      </c>
      <c r="Z1598" s="62" t="s">
        <v>5419</v>
      </c>
      <c r="AA1598" s="62" t="b">
        <v>0</v>
      </c>
      <c r="AD1598" s="62">
        <v>8</v>
      </c>
      <c r="AE1598" s="62">
        <f t="shared" si="116"/>
        <v>9</v>
      </c>
      <c r="AH1598" s="189">
        <v>0.1</v>
      </c>
      <c r="AI1598" s="189">
        <v>0.5</v>
      </c>
      <c r="AL1598" s="62">
        <v>35</v>
      </c>
      <c r="BF1598" s="62">
        <v>0</v>
      </c>
      <c r="BI1598" s="62">
        <v>1</v>
      </c>
    </row>
    <row r="1599" spans="1:61" s="62" customFormat="1" ht="26">
      <c r="A1599" s="62">
        <v>21100014</v>
      </c>
      <c r="C1599" s="62">
        <v>4</v>
      </c>
      <c r="F1599" s="181" t="s">
        <v>5401</v>
      </c>
      <c r="G1599" s="106" t="s">
        <v>5402</v>
      </c>
      <c r="H1599" s="62" t="str">
        <f>VLOOKUP(F1599,'#对话模型配置'!A:O,14,FALSE)</f>
        <v>icon_hero</v>
      </c>
      <c r="I1599" s="62" t="s">
        <v>5386</v>
      </c>
      <c r="J1599" s="184" t="s">
        <v>5420</v>
      </c>
      <c r="K1599" s="185" t="s">
        <v>5421</v>
      </c>
      <c r="L1599" s="62">
        <v>110012</v>
      </c>
      <c r="M1599" s="62" t="s">
        <v>3450</v>
      </c>
      <c r="O1599" s="62" t="s">
        <v>5415</v>
      </c>
      <c r="U1599" s="62">
        <v>6</v>
      </c>
      <c r="V1599" s="62">
        <v>0</v>
      </c>
      <c r="Y1599" s="62" t="b">
        <v>0</v>
      </c>
      <c r="Z1599" s="62" t="s">
        <v>5422</v>
      </c>
      <c r="AA1599" s="62" t="b">
        <v>0</v>
      </c>
      <c r="AD1599" s="62">
        <v>8</v>
      </c>
      <c r="AE1599" s="62">
        <f t="shared" si="116"/>
        <v>9</v>
      </c>
      <c r="AH1599" s="189">
        <v>0.1</v>
      </c>
      <c r="AI1599" s="189">
        <v>0.5</v>
      </c>
      <c r="AL1599" s="62">
        <v>35</v>
      </c>
      <c r="BF1599" s="62">
        <v>0</v>
      </c>
      <c r="BI1599" s="62">
        <v>1</v>
      </c>
    </row>
    <row r="1600" spans="1:61" s="62" customFormat="1" ht="14.5">
      <c r="A1600" s="62">
        <v>21100014</v>
      </c>
      <c r="C1600" s="62">
        <v>5</v>
      </c>
      <c r="F1600" s="181" t="s">
        <v>4329</v>
      </c>
      <c r="G1600" s="106" t="s">
        <v>4147</v>
      </c>
      <c r="H1600" s="62" t="str">
        <f>VLOOKUP(F1600,'#对话模型配置'!A:O,14,FALSE)</f>
        <v>icon_hero</v>
      </c>
      <c r="I1600" s="62" t="s">
        <v>4734</v>
      </c>
      <c r="J1600" s="184" t="s">
        <v>5423</v>
      </c>
      <c r="K1600" s="185" t="s">
        <v>5424</v>
      </c>
      <c r="L1600" s="62">
        <v>110003</v>
      </c>
      <c r="M1600" s="62" t="s">
        <v>3289</v>
      </c>
      <c r="O1600" s="62" t="s">
        <v>5408</v>
      </c>
      <c r="U1600" s="62">
        <v>6</v>
      </c>
      <c r="V1600" s="62">
        <v>0</v>
      </c>
      <c r="Y1600" s="62" t="b">
        <v>0</v>
      </c>
      <c r="Z1600" s="62" t="s">
        <v>5425</v>
      </c>
      <c r="AA1600" s="62" t="b">
        <v>0</v>
      </c>
      <c r="AD1600" s="62">
        <v>4.4293131828308097</v>
      </c>
      <c r="AE1600" s="62">
        <f t="shared" si="116"/>
        <v>5.4293131828308097</v>
      </c>
      <c r="AF1600" s="62" t="s">
        <v>5426</v>
      </c>
      <c r="AH1600" s="189">
        <v>0.1</v>
      </c>
      <c r="AI1600" s="189">
        <v>0.5</v>
      </c>
      <c r="AL1600" s="62">
        <v>35</v>
      </c>
      <c r="BF1600" s="62">
        <v>0</v>
      </c>
      <c r="BI1600" s="62">
        <v>1</v>
      </c>
    </row>
    <row r="1601" spans="1:61" s="62" customFormat="1" ht="26">
      <c r="A1601" s="62">
        <v>21100014</v>
      </c>
      <c r="C1601" s="62">
        <v>6</v>
      </c>
      <c r="F1601" s="181" t="s">
        <v>5401</v>
      </c>
      <c r="G1601" s="106" t="s">
        <v>5402</v>
      </c>
      <c r="H1601" s="62" t="str">
        <f>VLOOKUP(F1601,'#对话模型配置'!A:O,14,FALSE)</f>
        <v>icon_hero</v>
      </c>
      <c r="I1601" s="62" t="s">
        <v>5386</v>
      </c>
      <c r="J1601" s="184" t="s">
        <v>5427</v>
      </c>
      <c r="K1601" s="185" t="s">
        <v>5428</v>
      </c>
      <c r="L1601" s="62">
        <v>110012</v>
      </c>
      <c r="M1601" s="62" t="s">
        <v>3289</v>
      </c>
      <c r="O1601" s="62" t="s">
        <v>5415</v>
      </c>
      <c r="U1601" s="62">
        <v>6</v>
      </c>
      <c r="V1601" s="62">
        <v>0</v>
      </c>
      <c r="Y1601" s="62" t="b">
        <v>0</v>
      </c>
      <c r="Z1601" s="62" t="s">
        <v>5429</v>
      </c>
      <c r="AA1601" s="62" t="b">
        <v>0</v>
      </c>
      <c r="AD1601" s="62">
        <v>8</v>
      </c>
      <c r="AE1601" s="62">
        <f t="shared" si="116"/>
        <v>9</v>
      </c>
      <c r="AH1601" s="189">
        <v>0.1</v>
      </c>
      <c r="AI1601" s="189">
        <v>0.5</v>
      </c>
      <c r="AL1601" s="62">
        <v>35</v>
      </c>
      <c r="BF1601" s="62">
        <v>0</v>
      </c>
      <c r="BI1601" s="62">
        <v>1</v>
      </c>
    </row>
    <row r="1602" spans="1:61" s="62" customFormat="1" ht="26">
      <c r="A1602" s="62">
        <v>21100014</v>
      </c>
      <c r="C1602" s="62">
        <v>7</v>
      </c>
      <c r="F1602" s="181" t="s">
        <v>5401</v>
      </c>
      <c r="G1602" s="106" t="s">
        <v>5402</v>
      </c>
      <c r="H1602" s="62" t="str">
        <f>VLOOKUP(F1602,'#对话模型配置'!A:O,14,FALSE)</f>
        <v>icon_hero</v>
      </c>
      <c r="I1602" s="62" t="s">
        <v>5386</v>
      </c>
      <c r="J1602" s="184" t="s">
        <v>5430</v>
      </c>
      <c r="K1602" s="185" t="s">
        <v>5431</v>
      </c>
      <c r="L1602" s="62">
        <v>110012</v>
      </c>
      <c r="M1602" s="62" t="s">
        <v>3314</v>
      </c>
      <c r="O1602" s="62" t="s">
        <v>5415</v>
      </c>
      <c r="U1602" s="62">
        <v>6</v>
      </c>
      <c r="V1602" s="62">
        <v>0</v>
      </c>
      <c r="Y1602" s="62" t="b">
        <v>0</v>
      </c>
      <c r="Z1602" s="62" t="s">
        <v>5432</v>
      </c>
      <c r="AA1602" s="62" t="b">
        <v>0</v>
      </c>
      <c r="AD1602" s="62">
        <v>8</v>
      </c>
      <c r="AE1602" s="62">
        <f t="shared" si="116"/>
        <v>9</v>
      </c>
      <c r="AH1602" s="189">
        <v>0.1</v>
      </c>
      <c r="AI1602" s="189">
        <v>0.5</v>
      </c>
      <c r="AL1602" s="62">
        <v>35</v>
      </c>
      <c r="BF1602" s="62">
        <v>0</v>
      </c>
      <c r="BI1602" s="62">
        <v>1</v>
      </c>
    </row>
    <row r="1603" spans="1:61" s="62" customFormat="1" ht="52">
      <c r="A1603" s="62">
        <v>21100014</v>
      </c>
      <c r="C1603" s="62">
        <v>8</v>
      </c>
      <c r="F1603" s="181" t="s">
        <v>5401</v>
      </c>
      <c r="G1603" s="106" t="s">
        <v>5402</v>
      </c>
      <c r="H1603" s="62" t="str">
        <f>VLOOKUP(F1603,'#对话模型配置'!A:O,14,FALSE)</f>
        <v>icon_hero</v>
      </c>
      <c r="I1603" s="62" t="s">
        <v>5386</v>
      </c>
      <c r="J1603" s="184" t="s">
        <v>5433</v>
      </c>
      <c r="K1603" s="185" t="s">
        <v>5434</v>
      </c>
      <c r="L1603" s="62">
        <v>110012</v>
      </c>
      <c r="M1603" s="62" t="s">
        <v>3314</v>
      </c>
      <c r="O1603" s="62" t="s">
        <v>5415</v>
      </c>
      <c r="U1603" s="62">
        <v>6</v>
      </c>
      <c r="V1603" s="62">
        <v>0</v>
      </c>
      <c r="Y1603" s="62" t="b">
        <v>0</v>
      </c>
      <c r="Z1603" s="62" t="s">
        <v>5435</v>
      </c>
      <c r="AA1603" s="62" t="b">
        <v>0</v>
      </c>
      <c r="AD1603" s="62">
        <v>8</v>
      </c>
      <c r="AE1603" s="62">
        <f t="shared" si="116"/>
        <v>9</v>
      </c>
      <c r="AH1603" s="189">
        <v>0.1</v>
      </c>
      <c r="AI1603" s="189">
        <v>0.5</v>
      </c>
      <c r="AL1603" s="62">
        <v>35</v>
      </c>
      <c r="BF1603" s="62">
        <v>0</v>
      </c>
      <c r="BI1603" s="62">
        <v>1</v>
      </c>
    </row>
    <row r="1604" spans="1:61" s="62" customFormat="1" ht="26">
      <c r="A1604" s="62">
        <v>21100014</v>
      </c>
      <c r="C1604" s="62">
        <v>9</v>
      </c>
      <c r="F1604" s="181" t="s">
        <v>5401</v>
      </c>
      <c r="G1604" s="106" t="s">
        <v>5402</v>
      </c>
      <c r="H1604" s="62" t="str">
        <f>VLOOKUP(F1604,'#对话模型配置'!A:O,14,FALSE)</f>
        <v>icon_hero</v>
      </c>
      <c r="I1604" s="62" t="s">
        <v>5386</v>
      </c>
      <c r="J1604" s="184" t="s">
        <v>5436</v>
      </c>
      <c r="K1604" s="185" t="s">
        <v>5437</v>
      </c>
      <c r="L1604" s="62">
        <v>110012</v>
      </c>
      <c r="M1604" s="62" t="s">
        <v>3289</v>
      </c>
      <c r="O1604" s="62" t="s">
        <v>5415</v>
      </c>
      <c r="U1604" s="62">
        <v>6</v>
      </c>
      <c r="V1604" s="62">
        <v>0</v>
      </c>
      <c r="Y1604" s="62" t="b">
        <v>0</v>
      </c>
      <c r="Z1604" s="62" t="s">
        <v>5438</v>
      </c>
      <c r="AA1604" s="62" t="b">
        <v>0</v>
      </c>
      <c r="AD1604" s="62">
        <v>8</v>
      </c>
      <c r="AE1604" s="62">
        <f t="shared" si="116"/>
        <v>9</v>
      </c>
      <c r="AH1604" s="189">
        <v>0.1</v>
      </c>
      <c r="AI1604" s="189">
        <v>0.5</v>
      </c>
      <c r="AL1604" s="62">
        <v>35</v>
      </c>
      <c r="BF1604" s="62">
        <v>0</v>
      </c>
      <c r="BI1604" s="62">
        <v>1</v>
      </c>
    </row>
    <row r="1605" spans="1:61" s="62" customFormat="1" ht="14.5">
      <c r="A1605" s="62">
        <v>21100014</v>
      </c>
      <c r="C1605" s="62">
        <v>10</v>
      </c>
      <c r="F1605" s="181" t="s">
        <v>4329</v>
      </c>
      <c r="G1605" s="106" t="s">
        <v>4147</v>
      </c>
      <c r="H1605" s="62" t="str">
        <f>VLOOKUP(F1605,'#对话模型配置'!A:O,14,FALSE)</f>
        <v>icon_hero</v>
      </c>
      <c r="I1605" s="62" t="s">
        <v>4734</v>
      </c>
      <c r="J1605" s="184" t="s">
        <v>5439</v>
      </c>
      <c r="K1605" s="185" t="s">
        <v>5440</v>
      </c>
      <c r="L1605" s="62">
        <v>110003</v>
      </c>
      <c r="M1605" s="62" t="s">
        <v>3314</v>
      </c>
      <c r="O1605" s="62" t="s">
        <v>5408</v>
      </c>
      <c r="U1605" s="62">
        <v>6</v>
      </c>
      <c r="V1605" s="62">
        <v>0</v>
      </c>
      <c r="Y1605" s="62" t="b">
        <v>0</v>
      </c>
      <c r="Z1605" s="62" t="s">
        <v>5441</v>
      </c>
      <c r="AA1605" s="62" t="b">
        <v>0</v>
      </c>
      <c r="AD1605" s="62">
        <v>1.0710419416427599</v>
      </c>
      <c r="AE1605" s="62">
        <f t="shared" si="116"/>
        <v>2.0710419416427599</v>
      </c>
      <c r="AF1605" s="62" t="s">
        <v>5442</v>
      </c>
      <c r="AH1605" s="189">
        <v>0.1</v>
      </c>
      <c r="AI1605" s="189">
        <v>0.5</v>
      </c>
      <c r="AL1605" s="62">
        <v>35</v>
      </c>
      <c r="BF1605" s="62">
        <v>0</v>
      </c>
      <c r="BI1605" s="62">
        <v>1</v>
      </c>
    </row>
    <row r="1606" spans="1:61" s="62" customFormat="1" ht="26">
      <c r="A1606" s="62">
        <v>21100014</v>
      </c>
      <c r="C1606" s="62">
        <v>11</v>
      </c>
      <c r="F1606" s="181" t="s">
        <v>5401</v>
      </c>
      <c r="G1606" s="106" t="s">
        <v>5402</v>
      </c>
      <c r="H1606" s="62" t="str">
        <f>VLOOKUP(F1606,'#对话模型配置'!A:O,14,FALSE)</f>
        <v>icon_hero</v>
      </c>
      <c r="I1606" s="62" t="s">
        <v>5386</v>
      </c>
      <c r="J1606" s="184" t="s">
        <v>5443</v>
      </c>
      <c r="K1606" s="185" t="s">
        <v>5444</v>
      </c>
      <c r="L1606" s="62">
        <v>110012</v>
      </c>
      <c r="M1606" s="62" t="s">
        <v>3289</v>
      </c>
      <c r="O1606" s="62" t="s">
        <v>5415</v>
      </c>
      <c r="U1606" s="62">
        <v>6</v>
      </c>
      <c r="V1606" s="62">
        <v>0</v>
      </c>
      <c r="Y1606" s="62" t="b">
        <v>0</v>
      </c>
      <c r="Z1606" s="62" t="s">
        <v>5445</v>
      </c>
      <c r="AA1606" s="62" t="b">
        <v>0</v>
      </c>
      <c r="AD1606" s="62">
        <v>8</v>
      </c>
      <c r="AE1606" s="62">
        <f t="shared" si="116"/>
        <v>9</v>
      </c>
      <c r="AH1606" s="189">
        <v>0.1</v>
      </c>
      <c r="AI1606" s="189">
        <v>0.5</v>
      </c>
      <c r="AL1606" s="62">
        <v>35</v>
      </c>
      <c r="BF1606" s="62">
        <v>0</v>
      </c>
      <c r="BI1606" s="62">
        <v>1</v>
      </c>
    </row>
    <row r="1607" spans="1:61" s="62" customFormat="1" ht="39">
      <c r="A1607" s="62">
        <v>21100014</v>
      </c>
      <c r="C1607" s="62">
        <v>12</v>
      </c>
      <c r="F1607" s="181" t="s">
        <v>5401</v>
      </c>
      <c r="G1607" s="106" t="s">
        <v>5402</v>
      </c>
      <c r="H1607" s="62" t="str">
        <f>VLOOKUP(F1607,'#对话模型配置'!A:O,14,FALSE)</f>
        <v>icon_hero</v>
      </c>
      <c r="I1607" s="62" t="s">
        <v>5386</v>
      </c>
      <c r="J1607" s="184" t="s">
        <v>5446</v>
      </c>
      <c r="K1607" s="185" t="s">
        <v>5447</v>
      </c>
      <c r="L1607" s="62">
        <v>110012</v>
      </c>
      <c r="M1607" s="62" t="s">
        <v>3453</v>
      </c>
      <c r="O1607" s="62" t="s">
        <v>5415</v>
      </c>
      <c r="U1607" s="62">
        <v>6</v>
      </c>
      <c r="V1607" s="62">
        <v>0</v>
      </c>
      <c r="Y1607" s="62" t="b">
        <v>0</v>
      </c>
      <c r="Z1607" s="62" t="s">
        <v>5448</v>
      </c>
      <c r="AA1607" s="62" t="b">
        <v>0</v>
      </c>
      <c r="AD1607" s="62">
        <v>8</v>
      </c>
      <c r="AE1607" s="62">
        <f t="shared" si="116"/>
        <v>9</v>
      </c>
      <c r="AH1607" s="189">
        <v>0.1</v>
      </c>
      <c r="AI1607" s="189">
        <v>0.5</v>
      </c>
      <c r="AL1607" s="62">
        <v>35</v>
      </c>
      <c r="BF1607" s="62">
        <v>0</v>
      </c>
      <c r="BI1607" s="62">
        <v>1</v>
      </c>
    </row>
    <row r="1608" spans="1:61" s="76" customFormat="1" ht="25">
      <c r="A1608" s="76">
        <v>21100015</v>
      </c>
      <c r="C1608" s="76">
        <v>1</v>
      </c>
      <c r="F1608" s="179" t="s">
        <v>4722</v>
      </c>
      <c r="G1608" s="180" t="str">
        <f>VLOOKUP(F1608,'#对话模型配置'!A:O,12,FALSE)</f>
        <v>TID_DialogueConf_1060001_name_CN_Main</v>
      </c>
      <c r="H1608" s="76" t="str">
        <f>VLOOKUP(F1608,'#对话模型配置'!A:O,14,FALSE)</f>
        <v>icon_hero</v>
      </c>
      <c r="I1608" s="76" t="str">
        <f>VLOOKUP(F1608,'#对话模型配置'!A:O,15,FALSE)</f>
        <v>icon_hero_206_big</v>
      </c>
      <c r="J1608" s="182" t="s">
        <v>5449</v>
      </c>
      <c r="K1608" s="200" t="s">
        <v>5450</v>
      </c>
      <c r="L1608" s="76">
        <v>110008</v>
      </c>
      <c r="M1608" s="76" t="s">
        <v>3289</v>
      </c>
      <c r="O1608" s="76" t="s">
        <v>5451</v>
      </c>
      <c r="R1608" s="76" t="s">
        <v>5452</v>
      </c>
      <c r="U1608" s="76">
        <v>6</v>
      </c>
      <c r="V1608" s="76">
        <v>0</v>
      </c>
      <c r="Y1608" s="76" t="b">
        <v>0</v>
      </c>
      <c r="Z1608" s="76" t="s">
        <v>5453</v>
      </c>
      <c r="AA1608" s="76" t="b">
        <v>0</v>
      </c>
      <c r="AD1608" s="76">
        <v>9.3666038513183594</v>
      </c>
      <c r="AE1608" s="76">
        <f t="shared" si="116"/>
        <v>10.366603851318359</v>
      </c>
      <c r="AF1608" s="76" t="s">
        <v>5454</v>
      </c>
      <c r="AH1608" s="188">
        <v>0.1</v>
      </c>
      <c r="AI1608" s="188">
        <v>0.5</v>
      </c>
      <c r="AL1608" s="76">
        <v>35</v>
      </c>
      <c r="BF1608" s="76">
        <v>0</v>
      </c>
      <c r="BI1608" s="76">
        <v>1</v>
      </c>
    </row>
    <row r="1609" spans="1:61" s="76" customFormat="1" ht="14.5">
      <c r="A1609" s="76">
        <v>21100015</v>
      </c>
      <c r="C1609" s="76">
        <v>2</v>
      </c>
      <c r="F1609" s="179" t="s">
        <v>4329</v>
      </c>
      <c r="G1609" s="180" t="str">
        <f>VLOOKUP(F1609,'#对话模型配置'!A:O,12,FALSE)</f>
        <v>TID_Dialogue_Character_11</v>
      </c>
      <c r="H1609" s="76" t="str">
        <f>VLOOKUP(F1609,'#对话模型配置'!A:O,14,FALSE)</f>
        <v>icon_hero</v>
      </c>
      <c r="I1609" s="76" t="str">
        <f>VLOOKUP(F1609,'#对话模型配置'!A:O,15,FALSE)</f>
        <v>icon_hero_036_big</v>
      </c>
      <c r="J1609" s="182" t="s">
        <v>5455</v>
      </c>
      <c r="K1609" s="183" t="s">
        <v>5456</v>
      </c>
      <c r="L1609" s="76">
        <v>110003</v>
      </c>
      <c r="M1609" s="76" t="s">
        <v>4737</v>
      </c>
      <c r="N1609" s="76" t="s">
        <v>5457</v>
      </c>
      <c r="O1609" s="76" t="s">
        <v>5408</v>
      </c>
      <c r="P1609" s="76" t="s">
        <v>5458</v>
      </c>
      <c r="Q1609" s="76">
        <v>2</v>
      </c>
      <c r="U1609" s="76">
        <v>6</v>
      </c>
      <c r="V1609" s="76">
        <v>0</v>
      </c>
      <c r="Y1609" s="76" t="b">
        <v>0</v>
      </c>
      <c r="Z1609" s="76" t="s">
        <v>5459</v>
      </c>
      <c r="AA1609" s="76" t="b">
        <v>0</v>
      </c>
      <c r="AD1609" s="76">
        <v>1.5960830450057999</v>
      </c>
      <c r="AE1609" s="76">
        <f t="shared" si="116"/>
        <v>2.5960830450058001</v>
      </c>
      <c r="AF1609" s="76" t="s">
        <v>5460</v>
      </c>
      <c r="AH1609" s="188">
        <v>0.1</v>
      </c>
      <c r="AI1609" s="188">
        <v>0.5</v>
      </c>
      <c r="AL1609" s="76">
        <v>35</v>
      </c>
      <c r="BF1609" s="76">
        <v>0</v>
      </c>
      <c r="BI1609" s="76">
        <v>1</v>
      </c>
    </row>
    <row r="1610" spans="1:61" s="76" customFormat="1" ht="26">
      <c r="A1610" s="76">
        <v>21100015</v>
      </c>
      <c r="C1610" s="76">
        <v>3</v>
      </c>
      <c r="F1610" s="179" t="s">
        <v>4722</v>
      </c>
      <c r="G1610" s="180" t="str">
        <f>VLOOKUP(F1610,'#对话模型配置'!A:O,12,FALSE)</f>
        <v>TID_DialogueConf_1060001_name_CN_Main</v>
      </c>
      <c r="H1610" s="76" t="str">
        <f>VLOOKUP(F1610,'#对话模型配置'!A:O,14,FALSE)</f>
        <v>icon_hero</v>
      </c>
      <c r="I1610" s="76" t="str">
        <f>VLOOKUP(F1610,'#对话模型配置'!A:O,15,FALSE)</f>
        <v>icon_hero_206_big</v>
      </c>
      <c r="J1610" s="182" t="s">
        <v>5461</v>
      </c>
      <c r="K1610" s="183" t="s">
        <v>5462</v>
      </c>
      <c r="L1610" s="76">
        <v>110008</v>
      </c>
      <c r="M1610" s="76" t="s">
        <v>3453</v>
      </c>
      <c r="O1610" s="76" t="s">
        <v>5451</v>
      </c>
      <c r="U1610" s="76">
        <v>6</v>
      </c>
      <c r="V1610" s="76">
        <v>0</v>
      </c>
      <c r="Y1610" s="76" t="b">
        <v>0</v>
      </c>
      <c r="Z1610" s="76" t="s">
        <v>5463</v>
      </c>
      <c r="AA1610" s="76" t="b">
        <v>0</v>
      </c>
      <c r="AD1610" s="76">
        <v>10.577979087829601</v>
      </c>
      <c r="AE1610" s="76">
        <f t="shared" si="116"/>
        <v>11.577979087829601</v>
      </c>
      <c r="AF1610" s="76" t="s">
        <v>5464</v>
      </c>
      <c r="AH1610" s="188">
        <v>0.1</v>
      </c>
      <c r="AI1610" s="188">
        <v>0.5</v>
      </c>
      <c r="AL1610" s="76">
        <v>35</v>
      </c>
      <c r="BF1610" s="76">
        <v>0</v>
      </c>
      <c r="BI1610" s="76">
        <v>1</v>
      </c>
    </row>
    <row r="1611" spans="1:61" s="76" customFormat="1" ht="14.5">
      <c r="A1611" s="76">
        <v>21100015</v>
      </c>
      <c r="C1611" s="76">
        <v>4</v>
      </c>
      <c r="F1611" s="179" t="s">
        <v>4329</v>
      </c>
      <c r="G1611" s="180" t="str">
        <f>VLOOKUP(F1611,'#对话模型配置'!A:O,12,FALSE)</f>
        <v>TID_Dialogue_Character_11</v>
      </c>
      <c r="H1611" s="76" t="str">
        <f>VLOOKUP(F1611,'#对话模型配置'!A:O,14,FALSE)</f>
        <v>icon_hero</v>
      </c>
      <c r="I1611" s="76" t="str">
        <f>VLOOKUP(F1611,'#对话模型配置'!A:O,15,FALSE)</f>
        <v>icon_hero_036_big</v>
      </c>
      <c r="J1611" s="182" t="s">
        <v>5465</v>
      </c>
      <c r="K1611" s="183" t="s">
        <v>5466</v>
      </c>
      <c r="L1611" s="76">
        <v>110003</v>
      </c>
      <c r="M1611" s="76" t="s">
        <v>3289</v>
      </c>
      <c r="O1611" s="76" t="s">
        <v>5458</v>
      </c>
      <c r="U1611" s="76">
        <v>6</v>
      </c>
      <c r="V1611" s="76">
        <v>0</v>
      </c>
      <c r="Y1611" s="76" t="b">
        <v>0</v>
      </c>
      <c r="Z1611" s="76" t="s">
        <v>5467</v>
      </c>
      <c r="AA1611" s="76" t="b">
        <v>0</v>
      </c>
      <c r="AD1611" s="76">
        <v>4.5274581909179696</v>
      </c>
      <c r="AE1611" s="76">
        <f t="shared" si="116"/>
        <v>5.5274581909179696</v>
      </c>
      <c r="AF1611" s="76" t="s">
        <v>5468</v>
      </c>
      <c r="AH1611" s="188">
        <v>0.1</v>
      </c>
      <c r="AI1611" s="188">
        <v>0.5</v>
      </c>
      <c r="AL1611" s="76">
        <v>35</v>
      </c>
      <c r="BF1611" s="76">
        <v>0</v>
      </c>
      <c r="BI1611" s="76">
        <v>1</v>
      </c>
    </row>
    <row r="1612" spans="1:61" s="76" customFormat="1" ht="26">
      <c r="A1612" s="76">
        <v>21100015</v>
      </c>
      <c r="C1612" s="76">
        <v>5</v>
      </c>
      <c r="F1612" s="179" t="s">
        <v>4329</v>
      </c>
      <c r="G1612" s="180" t="str">
        <f>VLOOKUP(F1612,'#对话模型配置'!A:O,12,FALSE)</f>
        <v>TID_Dialogue_Character_11</v>
      </c>
      <c r="H1612" s="76" t="str">
        <f>VLOOKUP(F1612,'#对话模型配置'!A:O,14,FALSE)</f>
        <v>icon_hero</v>
      </c>
      <c r="I1612" s="76" t="str">
        <f>VLOOKUP(F1612,'#对话模型配置'!A:O,15,FALSE)</f>
        <v>icon_hero_036_big</v>
      </c>
      <c r="J1612" s="182" t="s">
        <v>5469</v>
      </c>
      <c r="K1612" s="183" t="s">
        <v>5470</v>
      </c>
      <c r="L1612" s="76">
        <v>110003</v>
      </c>
      <c r="M1612" s="76" t="s">
        <v>3285</v>
      </c>
      <c r="O1612" s="76" t="s">
        <v>5458</v>
      </c>
      <c r="U1612" s="76">
        <v>6</v>
      </c>
      <c r="V1612" s="76">
        <v>0</v>
      </c>
      <c r="Y1612" s="76" t="b">
        <v>0</v>
      </c>
      <c r="Z1612" s="76" t="s">
        <v>5471</v>
      </c>
      <c r="AA1612" s="76" t="b">
        <v>0</v>
      </c>
      <c r="AD1612" s="76">
        <v>6.6824159622192401</v>
      </c>
      <c r="AE1612" s="76">
        <f t="shared" si="116"/>
        <v>7.6824159622192401</v>
      </c>
      <c r="AF1612" s="76" t="s">
        <v>5472</v>
      </c>
      <c r="AH1612" s="188">
        <v>0.1</v>
      </c>
      <c r="AI1612" s="188">
        <v>0.5</v>
      </c>
      <c r="AL1612" s="76">
        <v>35</v>
      </c>
      <c r="BF1612" s="76">
        <v>0</v>
      </c>
      <c r="BI1612" s="76">
        <v>1</v>
      </c>
    </row>
    <row r="1613" spans="1:61" s="76" customFormat="1" ht="26">
      <c r="A1613" s="76">
        <v>21100015</v>
      </c>
      <c r="C1613" s="76">
        <v>6</v>
      </c>
      <c r="F1613" s="179" t="s">
        <v>4329</v>
      </c>
      <c r="G1613" s="180" t="str">
        <f>VLOOKUP(F1613,'#对话模型配置'!A:O,12,FALSE)</f>
        <v>TID_Dialogue_Character_11</v>
      </c>
      <c r="H1613" s="76" t="str">
        <f>VLOOKUP(F1613,'#对话模型配置'!A:O,14,FALSE)</f>
        <v>icon_hero</v>
      </c>
      <c r="I1613" s="76" t="str">
        <f>VLOOKUP(F1613,'#对话模型配置'!A:O,15,FALSE)</f>
        <v>icon_hero_036_big</v>
      </c>
      <c r="J1613" s="182" t="s">
        <v>5473</v>
      </c>
      <c r="K1613" s="183" t="s">
        <v>5474</v>
      </c>
      <c r="L1613" s="76">
        <v>110003</v>
      </c>
      <c r="M1613" s="76" t="s">
        <v>4840</v>
      </c>
      <c r="O1613" s="76" t="s">
        <v>5458</v>
      </c>
      <c r="U1613" s="76">
        <v>6</v>
      </c>
      <c r="V1613" s="76">
        <v>0</v>
      </c>
      <c r="Y1613" s="76" t="b">
        <v>0</v>
      </c>
      <c r="Z1613" s="76" t="s">
        <v>5475</v>
      </c>
      <c r="AA1613" s="76" t="b">
        <v>0</v>
      </c>
      <c r="AD1613" s="76">
        <v>7.7897500991821298</v>
      </c>
      <c r="AE1613" s="76">
        <f t="shared" si="116"/>
        <v>8.7897500991821289</v>
      </c>
      <c r="AF1613" s="76" t="s">
        <v>5476</v>
      </c>
      <c r="AH1613" s="188">
        <v>0.1</v>
      </c>
      <c r="AI1613" s="188">
        <v>0.5</v>
      </c>
      <c r="AL1613" s="76">
        <v>35</v>
      </c>
      <c r="BF1613" s="76">
        <v>0</v>
      </c>
      <c r="BI1613" s="76">
        <v>1</v>
      </c>
    </row>
    <row r="1614" spans="1:61" s="76" customFormat="1" ht="14.5">
      <c r="A1614" s="76">
        <v>21100015</v>
      </c>
      <c r="C1614" s="76">
        <v>7</v>
      </c>
      <c r="F1614" s="179" t="s">
        <v>4722</v>
      </c>
      <c r="G1614" s="180" t="str">
        <f>VLOOKUP(F1614,'#对话模型配置'!A:O,12,FALSE)</f>
        <v>TID_DialogueConf_1060001_name_CN_Main</v>
      </c>
      <c r="H1614" s="76" t="str">
        <f>VLOOKUP(F1614,'#对话模型配置'!A:O,14,FALSE)</f>
        <v>icon_hero</v>
      </c>
      <c r="I1614" s="76" t="str">
        <f>VLOOKUP(F1614,'#对话模型配置'!A:O,15,FALSE)</f>
        <v>icon_hero_206_big</v>
      </c>
      <c r="J1614" s="182" t="s">
        <v>5477</v>
      </c>
      <c r="K1614" s="183" t="s">
        <v>5478</v>
      </c>
      <c r="L1614" s="76">
        <v>110008</v>
      </c>
      <c r="M1614" s="76" t="s">
        <v>5175</v>
      </c>
      <c r="N1614" s="76" t="s">
        <v>4799</v>
      </c>
      <c r="O1614" s="76" t="s">
        <v>5479</v>
      </c>
      <c r="P1614" s="76" t="s">
        <v>5480</v>
      </c>
      <c r="Q1614" s="76">
        <v>2</v>
      </c>
      <c r="U1614" s="76">
        <v>6</v>
      </c>
      <c r="V1614" s="76">
        <v>0</v>
      </c>
      <c r="Y1614" s="76" t="b">
        <v>0</v>
      </c>
      <c r="Z1614" s="76" t="s">
        <v>5481</v>
      </c>
      <c r="AA1614" s="76" t="b">
        <v>0</v>
      </c>
      <c r="AD1614" s="76">
        <v>6.6490831375122097</v>
      </c>
      <c r="AE1614" s="76">
        <f t="shared" si="116"/>
        <v>7.6490831375122097</v>
      </c>
      <c r="AF1614" s="76" t="s">
        <v>5482</v>
      </c>
      <c r="AH1614" s="188">
        <v>0.1</v>
      </c>
      <c r="AI1614" s="188">
        <v>0.5</v>
      </c>
      <c r="AL1614" s="76">
        <v>35</v>
      </c>
      <c r="BF1614" s="76">
        <v>0</v>
      </c>
      <c r="BI1614" s="76">
        <v>1</v>
      </c>
    </row>
    <row r="1615" spans="1:61" s="76" customFormat="1" ht="39">
      <c r="A1615" s="76">
        <v>21100015</v>
      </c>
      <c r="C1615" s="76">
        <v>8</v>
      </c>
      <c r="F1615" s="179" t="s">
        <v>5401</v>
      </c>
      <c r="G1615" s="180" t="str">
        <f>VLOOKUP(F1615,'#对话模型配置'!A:O,12,FALSE)</f>
        <v>TID_Dialogue_story_gl_charaname_03</v>
      </c>
      <c r="H1615" s="76" t="str">
        <f>VLOOKUP(F1615,'#对话模型配置'!A:O,14,FALSE)</f>
        <v>icon_hero</v>
      </c>
      <c r="I1615" s="76" t="str">
        <f>VLOOKUP(F1615,'#对话模型配置'!A:O,15,FALSE)</f>
        <v>story_linda_big</v>
      </c>
      <c r="J1615" s="182" t="s">
        <v>5483</v>
      </c>
      <c r="K1615" s="183" t="s">
        <v>5484</v>
      </c>
      <c r="L1615" s="76">
        <v>110012</v>
      </c>
      <c r="M1615" s="76" t="s">
        <v>3453</v>
      </c>
      <c r="O1615" s="76" t="s">
        <v>5415</v>
      </c>
      <c r="R1615" s="76" t="s">
        <v>5485</v>
      </c>
      <c r="U1615" s="76">
        <v>6</v>
      </c>
      <c r="V1615" s="76">
        <v>0</v>
      </c>
      <c r="Y1615" s="76" t="b">
        <v>0</v>
      </c>
      <c r="Z1615" s="76" t="s">
        <v>5486</v>
      </c>
      <c r="AA1615" s="76" t="b">
        <v>0</v>
      </c>
      <c r="AD1615" s="76">
        <v>8</v>
      </c>
      <c r="AE1615" s="76">
        <f t="shared" si="116"/>
        <v>9</v>
      </c>
      <c r="AH1615" s="188">
        <v>0.1</v>
      </c>
      <c r="AI1615" s="188">
        <v>0.5</v>
      </c>
      <c r="AL1615" s="76">
        <v>35</v>
      </c>
      <c r="BF1615" s="76">
        <v>0</v>
      </c>
      <c r="BI1615" s="76">
        <v>1</v>
      </c>
    </row>
    <row r="1616" spans="1:61" s="76" customFormat="1" ht="52">
      <c r="A1616" s="76">
        <v>21100015</v>
      </c>
      <c r="C1616" s="76">
        <v>9</v>
      </c>
      <c r="F1616" s="179" t="s">
        <v>5401</v>
      </c>
      <c r="G1616" s="180" t="str">
        <f>VLOOKUP(F1616,'#对话模型配置'!A:O,12,FALSE)</f>
        <v>TID_Dialogue_story_gl_charaname_03</v>
      </c>
      <c r="H1616" s="76" t="str">
        <f>VLOOKUP(F1616,'#对话模型配置'!A:O,14,FALSE)</f>
        <v>icon_hero</v>
      </c>
      <c r="I1616" s="76" t="str">
        <f>VLOOKUP(F1616,'#对话模型配置'!A:O,15,FALSE)</f>
        <v>story_linda_big</v>
      </c>
      <c r="J1616" s="182" t="s">
        <v>5487</v>
      </c>
      <c r="K1616" s="183" t="s">
        <v>5488</v>
      </c>
      <c r="L1616" s="76">
        <v>110012</v>
      </c>
      <c r="M1616" s="76" t="s">
        <v>3453</v>
      </c>
      <c r="O1616" s="76" t="s">
        <v>5415</v>
      </c>
      <c r="U1616" s="76">
        <v>6</v>
      </c>
      <c r="V1616" s="76">
        <v>0</v>
      </c>
      <c r="Y1616" s="76" t="b">
        <v>0</v>
      </c>
      <c r="Z1616" s="76" t="s">
        <v>5489</v>
      </c>
      <c r="AA1616" s="76" t="b">
        <v>0</v>
      </c>
      <c r="AD1616" s="76">
        <v>8</v>
      </c>
      <c r="AE1616" s="76">
        <f t="shared" si="116"/>
        <v>9</v>
      </c>
      <c r="AH1616" s="188">
        <v>0.1</v>
      </c>
      <c r="AI1616" s="188">
        <v>0.5</v>
      </c>
      <c r="AL1616" s="76">
        <v>35</v>
      </c>
      <c r="BF1616" s="76">
        <v>0</v>
      </c>
      <c r="BI1616" s="76">
        <v>1</v>
      </c>
    </row>
    <row r="1617" spans="1:61" s="76" customFormat="1" ht="26">
      <c r="A1617" s="76">
        <v>21100015</v>
      </c>
      <c r="C1617" s="76">
        <v>10</v>
      </c>
      <c r="F1617" s="179" t="s">
        <v>4329</v>
      </c>
      <c r="G1617" s="180" t="str">
        <f>VLOOKUP(F1617,'#对话模型配置'!A:O,12,FALSE)</f>
        <v>TID_Dialogue_Character_11</v>
      </c>
      <c r="H1617" s="76" t="str">
        <f>VLOOKUP(F1617,'#对话模型配置'!A:O,14,FALSE)</f>
        <v>icon_hero</v>
      </c>
      <c r="I1617" s="76" t="str">
        <f>VLOOKUP(F1617,'#对话模型配置'!A:O,15,FALSE)</f>
        <v>icon_hero_036_big</v>
      </c>
      <c r="J1617" s="182" t="s">
        <v>5490</v>
      </c>
      <c r="K1617" s="183" t="s">
        <v>5491</v>
      </c>
      <c r="L1617" s="76">
        <v>110003</v>
      </c>
      <c r="M1617" s="76" t="s">
        <v>3843</v>
      </c>
      <c r="N1617" s="76" t="s">
        <v>5457</v>
      </c>
      <c r="O1617" s="76" t="s">
        <v>5458</v>
      </c>
      <c r="P1617" s="76" t="s">
        <v>5492</v>
      </c>
      <c r="U1617" s="76">
        <v>6</v>
      </c>
      <c r="V1617" s="76">
        <v>0</v>
      </c>
      <c r="Y1617" s="76" t="b">
        <v>0</v>
      </c>
      <c r="Z1617" s="76" t="s">
        <v>5493</v>
      </c>
      <c r="AA1617" s="76" t="b">
        <v>0</v>
      </c>
      <c r="AD1617" s="76">
        <v>10.559645652771</v>
      </c>
      <c r="AE1617" s="76">
        <f t="shared" si="116"/>
        <v>11.559645652771</v>
      </c>
      <c r="AF1617" s="76" t="s">
        <v>5494</v>
      </c>
      <c r="AH1617" s="188">
        <v>0.1</v>
      </c>
      <c r="AI1617" s="188">
        <v>0.5</v>
      </c>
      <c r="AL1617" s="76">
        <v>35</v>
      </c>
      <c r="BF1617" s="76">
        <v>0</v>
      </c>
      <c r="BI1617" s="76">
        <v>1</v>
      </c>
    </row>
    <row r="1618" spans="1:61" s="76" customFormat="1" ht="14.5">
      <c r="A1618" s="76">
        <v>21100015</v>
      </c>
      <c r="C1618" s="76">
        <v>11</v>
      </c>
      <c r="F1618" s="179" t="s">
        <v>5401</v>
      </c>
      <c r="G1618" s="180" t="str">
        <f>VLOOKUP(F1618,'#对话模型配置'!A:O,12,FALSE)</f>
        <v>TID_Dialogue_story_gl_charaname_03</v>
      </c>
      <c r="H1618" s="76" t="str">
        <f>VLOOKUP(F1618,'#对话模型配置'!A:O,14,FALSE)</f>
        <v>icon_hero</v>
      </c>
      <c r="I1618" s="76" t="str">
        <f>VLOOKUP(F1618,'#对话模型配置'!A:O,15,FALSE)</f>
        <v>story_linda_big</v>
      </c>
      <c r="J1618" s="182" t="s">
        <v>5495</v>
      </c>
      <c r="K1618" s="183" t="s">
        <v>5496</v>
      </c>
      <c r="L1618" s="76">
        <v>110012</v>
      </c>
      <c r="M1618" s="76" t="s">
        <v>3289</v>
      </c>
      <c r="O1618" s="76" t="s">
        <v>5415</v>
      </c>
      <c r="U1618" s="76">
        <v>6</v>
      </c>
      <c r="V1618" s="76">
        <v>0</v>
      </c>
      <c r="Y1618" s="76" t="b">
        <v>0</v>
      </c>
      <c r="Z1618" s="76" t="s">
        <v>5497</v>
      </c>
      <c r="AA1618" s="76" t="b">
        <v>0</v>
      </c>
      <c r="AD1618" s="76">
        <v>8</v>
      </c>
      <c r="AE1618" s="76">
        <f t="shared" si="116"/>
        <v>9</v>
      </c>
      <c r="AH1618" s="188">
        <v>0.1</v>
      </c>
      <c r="AI1618" s="188">
        <v>0.5</v>
      </c>
      <c r="AL1618" s="76">
        <v>35</v>
      </c>
      <c r="BF1618" s="76">
        <v>0</v>
      </c>
      <c r="BI1618" s="76">
        <v>1</v>
      </c>
    </row>
    <row r="1619" spans="1:61" s="76" customFormat="1" ht="14.5">
      <c r="A1619" s="76">
        <v>21100015</v>
      </c>
      <c r="C1619" s="76">
        <v>12</v>
      </c>
      <c r="F1619" s="179" t="s">
        <v>4329</v>
      </c>
      <c r="G1619" s="180" t="str">
        <f>VLOOKUP(F1619,'#对话模型配置'!A:O,12,FALSE)</f>
        <v>TID_Dialogue_Character_11</v>
      </c>
      <c r="H1619" s="76" t="str">
        <f>VLOOKUP(F1619,'#对话模型配置'!A:O,14,FALSE)</f>
        <v>icon_hero</v>
      </c>
      <c r="I1619" s="76" t="str">
        <f>VLOOKUP(F1619,'#对话模型配置'!A:O,15,FALSE)</f>
        <v>icon_hero_036_big</v>
      </c>
      <c r="J1619" s="182" t="s">
        <v>5498</v>
      </c>
      <c r="K1619" s="183" t="s">
        <v>5499</v>
      </c>
      <c r="L1619" s="76">
        <v>110003</v>
      </c>
      <c r="M1619" s="76" t="s">
        <v>4840</v>
      </c>
      <c r="O1619" s="76" t="s">
        <v>5492</v>
      </c>
      <c r="U1619" s="76">
        <v>6</v>
      </c>
      <c r="V1619" s="76">
        <v>0</v>
      </c>
      <c r="Y1619" s="76" t="b">
        <v>0</v>
      </c>
      <c r="Z1619" s="76" t="s">
        <v>5500</v>
      </c>
      <c r="AA1619" s="76" t="b">
        <v>0</v>
      </c>
      <c r="AD1619" s="76">
        <v>8.1242084503173793</v>
      </c>
      <c r="AE1619" s="76">
        <f t="shared" si="116"/>
        <v>9.1242084503173793</v>
      </c>
      <c r="AF1619" s="76" t="s">
        <v>5501</v>
      </c>
      <c r="AH1619" s="188">
        <v>0.1</v>
      </c>
      <c r="AI1619" s="188">
        <v>0.5</v>
      </c>
      <c r="AL1619" s="76">
        <v>35</v>
      </c>
      <c r="BF1619" s="76">
        <v>0</v>
      </c>
      <c r="BI1619" s="76">
        <v>1</v>
      </c>
    </row>
    <row r="1620" spans="1:61" s="62" customFormat="1" ht="26">
      <c r="A1620" s="62">
        <v>21100016</v>
      </c>
      <c r="C1620" s="62">
        <v>1</v>
      </c>
      <c r="F1620" s="181" t="s">
        <v>4722</v>
      </c>
      <c r="G1620" s="106" t="str">
        <f>VLOOKUP(F1620,'#对话模型配置'!A:O,12,FALSE)</f>
        <v>TID_DialogueConf_1060001_name_CN_Main</v>
      </c>
      <c r="H1620" s="62" t="str">
        <f>VLOOKUP(F1620,'#对话模型配置'!A:O,14,FALSE)</f>
        <v>icon_hero</v>
      </c>
      <c r="I1620" s="62" t="str">
        <f>VLOOKUP(F1620,'#对话模型配置'!A:O,15,FALSE)</f>
        <v>icon_hero_206_big</v>
      </c>
      <c r="J1620" s="184" t="s">
        <v>5502</v>
      </c>
      <c r="K1620" s="185" t="s">
        <v>5503</v>
      </c>
      <c r="L1620" s="62">
        <v>110008</v>
      </c>
      <c r="U1620" s="62">
        <v>6</v>
      </c>
      <c r="V1620" s="62">
        <v>0</v>
      </c>
      <c r="Y1620" s="62" t="b">
        <v>0</v>
      </c>
      <c r="Z1620" s="62" t="s">
        <v>5504</v>
      </c>
      <c r="AA1620" s="62" t="b">
        <v>0</v>
      </c>
      <c r="AD1620" s="62">
        <v>10.7714796066284</v>
      </c>
      <c r="AE1620" s="62">
        <f t="shared" si="116"/>
        <v>11.7714796066284</v>
      </c>
      <c r="AF1620" s="62" t="s">
        <v>5505</v>
      </c>
      <c r="AH1620" s="189">
        <v>0.1</v>
      </c>
      <c r="AI1620" s="189">
        <v>0.5</v>
      </c>
      <c r="AL1620" s="62">
        <v>35</v>
      </c>
      <c r="BF1620" s="62">
        <v>0</v>
      </c>
      <c r="BI1620" s="62">
        <v>1</v>
      </c>
    </row>
    <row r="1621" spans="1:61" s="62" customFormat="1" ht="14.5">
      <c r="A1621" s="62">
        <v>21100016</v>
      </c>
      <c r="C1621" s="62">
        <v>2</v>
      </c>
      <c r="F1621" s="181" t="s">
        <v>4329</v>
      </c>
      <c r="G1621" s="106" t="str">
        <f>VLOOKUP(F1621,'#对话模型配置'!A:O,12,FALSE)</f>
        <v>TID_Dialogue_Character_11</v>
      </c>
      <c r="H1621" s="62" t="str">
        <f>VLOOKUP(F1621,'#对话模型配置'!A:O,14,FALSE)</f>
        <v>icon_hero</v>
      </c>
      <c r="I1621" s="62" t="str">
        <f>VLOOKUP(F1621,'#对话模型配置'!A:O,15,FALSE)</f>
        <v>icon_hero_036_big</v>
      </c>
      <c r="J1621" s="184" t="s">
        <v>5506</v>
      </c>
      <c r="K1621" s="185" t="s">
        <v>5507</v>
      </c>
      <c r="L1621" s="62">
        <v>110003</v>
      </c>
      <c r="U1621" s="62">
        <v>6</v>
      </c>
      <c r="V1621" s="62">
        <v>0</v>
      </c>
      <c r="Y1621" s="62" t="b">
        <v>0</v>
      </c>
      <c r="Z1621" s="62" t="s">
        <v>5508</v>
      </c>
      <c r="AA1621" s="62" t="b">
        <v>0</v>
      </c>
      <c r="AD1621" s="62">
        <v>1.4159380197525</v>
      </c>
      <c r="AE1621" s="62">
        <f t="shared" si="116"/>
        <v>2.4159380197524998</v>
      </c>
      <c r="AF1621" s="62" t="s">
        <v>5509</v>
      </c>
      <c r="AH1621" s="189">
        <v>0.1</v>
      </c>
      <c r="AI1621" s="189">
        <v>0.5</v>
      </c>
      <c r="AL1621" s="62">
        <v>35</v>
      </c>
      <c r="BF1621" s="62">
        <v>0</v>
      </c>
      <c r="BI1621" s="62">
        <v>1</v>
      </c>
    </row>
    <row r="1622" spans="1:61" s="62" customFormat="1" ht="39">
      <c r="A1622" s="62">
        <v>21100016</v>
      </c>
      <c r="C1622" s="62">
        <v>3</v>
      </c>
      <c r="F1622" s="181" t="s">
        <v>4722</v>
      </c>
      <c r="G1622" s="106" t="str">
        <f>VLOOKUP(F1622,'#对话模型配置'!A:O,12,FALSE)</f>
        <v>TID_DialogueConf_1060001_name_CN_Main</v>
      </c>
      <c r="H1622" s="62" t="str">
        <f>VLOOKUP(F1622,'#对话模型配置'!A:O,14,FALSE)</f>
        <v>icon_hero</v>
      </c>
      <c r="I1622" s="62" t="str">
        <f>VLOOKUP(F1622,'#对话模型配置'!A:O,15,FALSE)</f>
        <v>icon_hero_206_big</v>
      </c>
      <c r="J1622" s="184" t="s">
        <v>5510</v>
      </c>
      <c r="K1622" s="185" t="s">
        <v>5511</v>
      </c>
      <c r="L1622" s="62">
        <v>110008</v>
      </c>
      <c r="U1622" s="62">
        <v>6</v>
      </c>
      <c r="V1622" s="62">
        <v>0</v>
      </c>
      <c r="Y1622" s="62" t="b">
        <v>0</v>
      </c>
      <c r="Z1622" s="62" t="s">
        <v>5512</v>
      </c>
      <c r="AA1622" s="62" t="b">
        <v>0</v>
      </c>
      <c r="AD1622" s="62">
        <v>12.4857292175293</v>
      </c>
      <c r="AE1622" s="62">
        <f t="shared" si="116"/>
        <v>13.4857292175293</v>
      </c>
      <c r="AF1622" s="62" t="s">
        <v>5513</v>
      </c>
      <c r="AH1622" s="189">
        <v>0.1</v>
      </c>
      <c r="AI1622" s="189">
        <v>0.5</v>
      </c>
      <c r="AL1622" s="62">
        <v>35</v>
      </c>
      <c r="BF1622" s="62">
        <v>0</v>
      </c>
      <c r="BI1622" s="62">
        <v>1</v>
      </c>
    </row>
    <row r="1623" spans="1:61" s="62" customFormat="1" ht="26">
      <c r="A1623" s="62">
        <v>21100016</v>
      </c>
      <c r="C1623" s="62">
        <v>4</v>
      </c>
      <c r="F1623" s="181" t="s">
        <v>5060</v>
      </c>
      <c r="G1623" s="106" t="str">
        <f>VLOOKUP(F1623,'#对话模型配置'!A:O,12,FALSE)</f>
        <v>TID_Dialogue_story_gl_charaname_02</v>
      </c>
      <c r="H1623" s="62" t="str">
        <f>VLOOKUP(F1623,'#对话模型配置'!A:O,14,FALSE)</f>
        <v>icon_hero</v>
      </c>
      <c r="I1623" s="62" t="str">
        <f>VLOOKUP(F1623,'#对话模型配置'!A:O,15,FALSE)</f>
        <v>story_will_big</v>
      </c>
      <c r="J1623" s="184" t="s">
        <v>5514</v>
      </c>
      <c r="K1623" s="185" t="s">
        <v>5515</v>
      </c>
      <c r="L1623" s="62">
        <v>110011</v>
      </c>
      <c r="U1623" s="62">
        <v>6</v>
      </c>
      <c r="V1623" s="62">
        <v>0</v>
      </c>
      <c r="Y1623" s="62" t="b">
        <v>0</v>
      </c>
      <c r="Z1623" s="62" t="s">
        <v>5516</v>
      </c>
      <c r="AA1623" s="62" t="b">
        <v>0</v>
      </c>
      <c r="AD1623" s="62">
        <v>10.399457931518601</v>
      </c>
      <c r="AE1623" s="62">
        <f t="shared" si="116"/>
        <v>11.399457931518601</v>
      </c>
      <c r="AF1623" s="62" t="s">
        <v>5517</v>
      </c>
      <c r="AH1623" s="189">
        <v>0.1</v>
      </c>
      <c r="AI1623" s="189">
        <v>0.5</v>
      </c>
      <c r="AL1623" s="62">
        <v>35</v>
      </c>
      <c r="BF1623" s="62">
        <v>0</v>
      </c>
      <c r="BI1623" s="62">
        <v>1</v>
      </c>
    </row>
    <row r="1624" spans="1:61" s="62" customFormat="1" ht="14.5">
      <c r="A1624" s="62">
        <v>21100016</v>
      </c>
      <c r="C1624" s="62">
        <v>5</v>
      </c>
      <c r="F1624" s="181" t="s">
        <v>4329</v>
      </c>
      <c r="G1624" s="106" t="str">
        <f>VLOOKUP(F1624,'#对话模型配置'!A:O,12,FALSE)</f>
        <v>TID_Dialogue_Character_11</v>
      </c>
      <c r="H1624" s="62" t="str">
        <f>VLOOKUP(F1624,'#对话模型配置'!A:O,14,FALSE)</f>
        <v>icon_hero</v>
      </c>
      <c r="I1624" s="62" t="str">
        <f>VLOOKUP(F1624,'#对话模型配置'!A:O,15,FALSE)</f>
        <v>icon_hero_036_big</v>
      </c>
      <c r="J1624" s="184" t="s">
        <v>5518</v>
      </c>
      <c r="K1624" s="185" t="s">
        <v>5519</v>
      </c>
      <c r="L1624" s="62">
        <v>110003</v>
      </c>
      <c r="U1624" s="62">
        <v>6</v>
      </c>
      <c r="V1624" s="62">
        <v>0</v>
      </c>
      <c r="Y1624" s="62" t="b">
        <v>0</v>
      </c>
      <c r="Z1624" s="62" t="s">
        <v>5520</v>
      </c>
      <c r="AA1624" s="62" t="b">
        <v>0</v>
      </c>
      <c r="AD1624" s="62">
        <v>3.4059169292449898</v>
      </c>
      <c r="AE1624" s="62">
        <f t="shared" si="116"/>
        <v>4.4059169292449898</v>
      </c>
      <c r="AF1624" s="62" t="s">
        <v>5521</v>
      </c>
      <c r="AH1624" s="189">
        <v>0.1</v>
      </c>
      <c r="AI1624" s="189">
        <v>0.5</v>
      </c>
      <c r="AL1624" s="62">
        <v>35</v>
      </c>
      <c r="BF1624" s="62">
        <v>0</v>
      </c>
      <c r="BI1624" s="62">
        <v>1</v>
      </c>
    </row>
    <row r="1625" spans="1:61" s="62" customFormat="1" ht="39">
      <c r="A1625" s="62">
        <v>21100016</v>
      </c>
      <c r="C1625" s="62">
        <v>6</v>
      </c>
      <c r="F1625" s="181" t="s">
        <v>5060</v>
      </c>
      <c r="G1625" s="106" t="str">
        <f>VLOOKUP(F1625,'#对话模型配置'!A:O,12,FALSE)</f>
        <v>TID_Dialogue_story_gl_charaname_02</v>
      </c>
      <c r="H1625" s="62" t="str">
        <f>VLOOKUP(F1625,'#对话模型配置'!A:O,14,FALSE)</f>
        <v>icon_hero</v>
      </c>
      <c r="I1625" s="62" t="str">
        <f>VLOOKUP(F1625,'#对话模型配置'!A:O,15,FALSE)</f>
        <v>story_will_big</v>
      </c>
      <c r="J1625" s="184" t="s">
        <v>5522</v>
      </c>
      <c r="K1625" s="185" t="s">
        <v>5523</v>
      </c>
      <c r="L1625" s="62">
        <v>110011</v>
      </c>
      <c r="U1625" s="62">
        <v>6</v>
      </c>
      <c r="V1625" s="62">
        <v>0</v>
      </c>
      <c r="Y1625" s="62" t="b">
        <v>0</v>
      </c>
      <c r="Z1625" s="62" t="s">
        <v>5524</v>
      </c>
      <c r="AA1625" s="62" t="b">
        <v>0</v>
      </c>
      <c r="AD1625" s="62">
        <v>12.972583770751999</v>
      </c>
      <c r="AE1625" s="62">
        <f t="shared" si="116"/>
        <v>13.972583770751999</v>
      </c>
      <c r="AF1625" s="62" t="s">
        <v>5525</v>
      </c>
      <c r="AH1625" s="189">
        <v>0.1</v>
      </c>
      <c r="AI1625" s="189">
        <v>0.5</v>
      </c>
      <c r="AL1625" s="62">
        <v>35</v>
      </c>
      <c r="BF1625" s="62">
        <v>0</v>
      </c>
      <c r="BI1625" s="62">
        <v>1</v>
      </c>
    </row>
    <row r="1626" spans="1:61" s="62" customFormat="1" ht="14.5">
      <c r="A1626" s="62">
        <v>21100016</v>
      </c>
      <c r="C1626" s="62">
        <v>7</v>
      </c>
      <c r="F1626" s="181" t="s">
        <v>4329</v>
      </c>
      <c r="G1626" s="106" t="str">
        <f>VLOOKUP(F1626,'#对话模型配置'!A:O,12,FALSE)</f>
        <v>TID_Dialogue_Character_11</v>
      </c>
      <c r="H1626" s="62" t="str">
        <f>VLOOKUP(F1626,'#对话模型配置'!A:O,14,FALSE)</f>
        <v>icon_hero</v>
      </c>
      <c r="I1626" s="62" t="str">
        <f>VLOOKUP(F1626,'#对话模型配置'!A:O,15,FALSE)</f>
        <v>icon_hero_036_big</v>
      </c>
      <c r="J1626" s="184" t="s">
        <v>5526</v>
      </c>
      <c r="K1626" s="185" t="s">
        <v>5527</v>
      </c>
      <c r="L1626" s="62">
        <v>110003</v>
      </c>
      <c r="U1626" s="62">
        <v>6</v>
      </c>
      <c r="V1626" s="62">
        <v>0</v>
      </c>
      <c r="Y1626" s="62" t="b">
        <v>0</v>
      </c>
      <c r="Z1626" s="62" t="s">
        <v>5528</v>
      </c>
      <c r="AA1626" s="62" t="b">
        <v>0</v>
      </c>
      <c r="AD1626" s="62">
        <v>2.3643119335174601</v>
      </c>
      <c r="AE1626" s="62">
        <f t="shared" si="116"/>
        <v>3.3643119335174601</v>
      </c>
      <c r="AF1626" s="62" t="s">
        <v>5529</v>
      </c>
      <c r="AH1626" s="189">
        <v>0.1</v>
      </c>
      <c r="AI1626" s="189">
        <v>0.5</v>
      </c>
      <c r="AL1626" s="62">
        <v>35</v>
      </c>
      <c r="BF1626" s="62">
        <v>0</v>
      </c>
      <c r="BI1626" s="62">
        <v>1</v>
      </c>
    </row>
    <row r="1627" spans="1:61" s="62" customFormat="1" ht="26">
      <c r="A1627" s="62">
        <v>21100016</v>
      </c>
      <c r="C1627" s="62">
        <v>8</v>
      </c>
      <c r="F1627" s="181" t="s">
        <v>5060</v>
      </c>
      <c r="G1627" s="106" t="str">
        <f>VLOOKUP(F1627,'#对话模型配置'!A:O,12,FALSE)</f>
        <v>TID_Dialogue_story_gl_charaname_02</v>
      </c>
      <c r="H1627" s="62" t="str">
        <f>VLOOKUP(F1627,'#对话模型配置'!A:O,14,FALSE)</f>
        <v>icon_hero</v>
      </c>
      <c r="I1627" s="62" t="str">
        <f>VLOOKUP(F1627,'#对话模型配置'!A:O,15,FALSE)</f>
        <v>story_will_big</v>
      </c>
      <c r="J1627" s="184" t="s">
        <v>5530</v>
      </c>
      <c r="K1627" s="185" t="s">
        <v>5531</v>
      </c>
      <c r="L1627" s="62">
        <v>110011</v>
      </c>
      <c r="U1627" s="62">
        <v>6</v>
      </c>
      <c r="V1627" s="62">
        <v>0</v>
      </c>
      <c r="Y1627" s="62" t="b">
        <v>0</v>
      </c>
      <c r="Z1627" s="62" t="s">
        <v>5532</v>
      </c>
      <c r="AA1627" s="62" t="b">
        <v>0</v>
      </c>
      <c r="AD1627" s="62">
        <v>9.6537914276122994</v>
      </c>
      <c r="AE1627" s="62">
        <f t="shared" si="116"/>
        <v>10.653791427612299</v>
      </c>
      <c r="AF1627" s="62" t="s">
        <v>5533</v>
      </c>
      <c r="AH1627" s="189">
        <v>0.1</v>
      </c>
      <c r="AI1627" s="189">
        <v>0.5</v>
      </c>
      <c r="AL1627" s="62">
        <v>35</v>
      </c>
      <c r="BF1627" s="62">
        <v>0</v>
      </c>
      <c r="BI1627" s="62">
        <v>1</v>
      </c>
    </row>
    <row r="1628" spans="1:61" s="62" customFormat="1" ht="14.5">
      <c r="A1628" s="62">
        <v>21100016</v>
      </c>
      <c r="C1628" s="62">
        <v>9</v>
      </c>
      <c r="F1628" s="181" t="s">
        <v>4329</v>
      </c>
      <c r="G1628" s="106" t="str">
        <f>VLOOKUP(F1628,'#对话模型配置'!A:O,12,FALSE)</f>
        <v>TID_Dialogue_Character_11</v>
      </c>
      <c r="H1628" s="62" t="str">
        <f>VLOOKUP(F1628,'#对话模型配置'!A:O,14,FALSE)</f>
        <v>icon_hero</v>
      </c>
      <c r="I1628" s="62" t="str">
        <f>VLOOKUP(F1628,'#对话模型配置'!A:O,15,FALSE)</f>
        <v>icon_hero_036_big</v>
      </c>
      <c r="J1628" s="184" t="s">
        <v>5534</v>
      </c>
      <c r="K1628" s="185" t="s">
        <v>5535</v>
      </c>
      <c r="L1628" s="62">
        <v>110003</v>
      </c>
      <c r="U1628" s="62">
        <v>6</v>
      </c>
      <c r="V1628" s="62">
        <v>0</v>
      </c>
      <c r="Y1628" s="62" t="b">
        <v>0</v>
      </c>
      <c r="Z1628" s="62" t="s">
        <v>5536</v>
      </c>
      <c r="AA1628" s="62" t="b">
        <v>0</v>
      </c>
      <c r="AD1628" s="62">
        <v>2.0840420722961399</v>
      </c>
      <c r="AE1628" s="62">
        <f t="shared" si="116"/>
        <v>3.0840420722961399</v>
      </c>
      <c r="AF1628" s="62" t="s">
        <v>5537</v>
      </c>
      <c r="AH1628" s="189">
        <v>0.1</v>
      </c>
      <c r="AI1628" s="189">
        <v>0.5</v>
      </c>
      <c r="AL1628" s="62">
        <v>35</v>
      </c>
      <c r="BF1628" s="62">
        <v>0</v>
      </c>
      <c r="BI1628" s="62">
        <v>1</v>
      </c>
    </row>
    <row r="1629" spans="1:61" s="62" customFormat="1" ht="26">
      <c r="A1629" s="62">
        <v>21100016</v>
      </c>
      <c r="C1629" s="62">
        <v>10</v>
      </c>
      <c r="F1629" s="181" t="s">
        <v>5060</v>
      </c>
      <c r="G1629" s="106" t="str">
        <f>VLOOKUP(F1629,'#对话模型配置'!A:O,12,FALSE)</f>
        <v>TID_Dialogue_story_gl_charaname_02</v>
      </c>
      <c r="H1629" s="62" t="str">
        <f>VLOOKUP(F1629,'#对话模型配置'!A:O,14,FALSE)</f>
        <v>icon_hero</v>
      </c>
      <c r="I1629" s="62" t="str">
        <f>VLOOKUP(F1629,'#对话模型配置'!A:O,15,FALSE)</f>
        <v>story_will_big</v>
      </c>
      <c r="J1629" s="184" t="s">
        <v>5538</v>
      </c>
      <c r="K1629" s="185" t="s">
        <v>5539</v>
      </c>
      <c r="L1629" s="62">
        <v>110011</v>
      </c>
      <c r="U1629" s="62">
        <v>6</v>
      </c>
      <c r="V1629" s="62">
        <v>0</v>
      </c>
      <c r="Y1629" s="62" t="b">
        <v>0</v>
      </c>
      <c r="Z1629" s="62" t="s">
        <v>5540</v>
      </c>
      <c r="AA1629" s="62" t="b">
        <v>0</v>
      </c>
      <c r="AD1629" s="62">
        <v>11.9338331222534</v>
      </c>
      <c r="AE1629" s="62">
        <f t="shared" si="116"/>
        <v>12.9338331222534</v>
      </c>
      <c r="AF1629" s="62" t="s">
        <v>5541</v>
      </c>
      <c r="AH1629" s="189">
        <v>0.1</v>
      </c>
      <c r="AI1629" s="189">
        <v>0.5</v>
      </c>
      <c r="AL1629" s="62">
        <v>35</v>
      </c>
      <c r="BF1629" s="62">
        <v>0</v>
      </c>
      <c r="BI1629" s="62">
        <v>1</v>
      </c>
    </row>
    <row r="1630" spans="1:61" s="62" customFormat="1" ht="14.5">
      <c r="A1630" s="62">
        <v>21100016</v>
      </c>
      <c r="C1630" s="62">
        <v>11</v>
      </c>
      <c r="F1630" s="181" t="s">
        <v>5060</v>
      </c>
      <c r="G1630" s="106" t="str">
        <f>VLOOKUP(F1630,'#对话模型配置'!A:O,12,FALSE)</f>
        <v>TID_Dialogue_story_gl_charaname_02</v>
      </c>
      <c r="H1630" s="62" t="str">
        <f>VLOOKUP(F1630,'#对话模型配置'!A:O,14,FALSE)</f>
        <v>icon_hero</v>
      </c>
      <c r="I1630" s="62" t="str">
        <f>VLOOKUP(F1630,'#对话模型配置'!A:O,15,FALSE)</f>
        <v>story_will_big</v>
      </c>
      <c r="J1630" s="184" t="s">
        <v>5542</v>
      </c>
      <c r="K1630" s="185" t="s">
        <v>5543</v>
      </c>
      <c r="L1630" s="62">
        <v>110011</v>
      </c>
      <c r="U1630" s="62">
        <v>6</v>
      </c>
      <c r="V1630" s="62">
        <v>0</v>
      </c>
      <c r="Y1630" s="62" t="b">
        <v>0</v>
      </c>
      <c r="Z1630" s="62" t="s">
        <v>5544</v>
      </c>
      <c r="AA1630" s="62" t="b">
        <v>0</v>
      </c>
      <c r="AD1630" s="62">
        <v>7.7017288208007804</v>
      </c>
      <c r="AE1630" s="62">
        <f t="shared" si="116"/>
        <v>8.7017288208007813</v>
      </c>
      <c r="AF1630" s="62" t="s">
        <v>5545</v>
      </c>
      <c r="AH1630" s="189">
        <v>0.1</v>
      </c>
      <c r="AI1630" s="189">
        <v>0.5</v>
      </c>
      <c r="AL1630" s="62">
        <v>35</v>
      </c>
      <c r="BF1630" s="62">
        <v>0</v>
      </c>
      <c r="BI1630" s="62">
        <v>1</v>
      </c>
    </row>
    <row r="1631" spans="1:61" s="62" customFormat="1" ht="26">
      <c r="A1631" s="62">
        <v>21100016</v>
      </c>
      <c r="C1631" s="62">
        <v>12</v>
      </c>
      <c r="F1631" s="181" t="s">
        <v>5060</v>
      </c>
      <c r="G1631" s="106" t="str">
        <f>VLOOKUP(F1631,'#对话模型配置'!A:O,12,FALSE)</f>
        <v>TID_Dialogue_story_gl_charaname_02</v>
      </c>
      <c r="H1631" s="62" t="str">
        <f>VLOOKUP(F1631,'#对话模型配置'!A:O,14,FALSE)</f>
        <v>icon_hero</v>
      </c>
      <c r="I1631" s="62" t="str">
        <f>VLOOKUP(F1631,'#对话模型配置'!A:O,15,FALSE)</f>
        <v>story_will_big</v>
      </c>
      <c r="J1631" s="184" t="s">
        <v>5546</v>
      </c>
      <c r="K1631" s="185" t="s">
        <v>5547</v>
      </c>
      <c r="L1631" s="62">
        <v>110011</v>
      </c>
      <c r="U1631" s="62">
        <v>6</v>
      </c>
      <c r="V1631" s="62">
        <v>0</v>
      </c>
      <c r="Y1631" s="62" t="b">
        <v>0</v>
      </c>
      <c r="Z1631" s="62" t="s">
        <v>5548</v>
      </c>
      <c r="AA1631" s="62" t="b">
        <v>0</v>
      </c>
      <c r="AD1631" s="62">
        <v>7.5968961715698198</v>
      </c>
      <c r="AE1631" s="62">
        <f t="shared" si="116"/>
        <v>8.5968961715698207</v>
      </c>
      <c r="AF1631" s="62" t="s">
        <v>5549</v>
      </c>
      <c r="AH1631" s="189">
        <v>0.1</v>
      </c>
      <c r="AI1631" s="189">
        <v>0.5</v>
      </c>
      <c r="AL1631" s="62">
        <v>35</v>
      </c>
      <c r="BF1631" s="62">
        <v>0</v>
      </c>
      <c r="BI1631" s="62">
        <v>1</v>
      </c>
    </row>
    <row r="1632" spans="1:61" s="76" customFormat="1" ht="26">
      <c r="A1632" s="76">
        <v>21100017</v>
      </c>
      <c r="C1632" s="76">
        <v>1</v>
      </c>
      <c r="F1632" s="179" t="s">
        <v>4811</v>
      </c>
      <c r="G1632" s="180" t="str">
        <f>VLOOKUP(F1632,'#对话模型配置'!A:O,12,FALSE)</f>
        <v>TID_Dialogue_story_gl_charaname_01</v>
      </c>
      <c r="H1632" s="76" t="str">
        <f>VLOOKUP(F1632,'#对话模型配置'!A:O,14,FALSE)</f>
        <v>icon_hero</v>
      </c>
      <c r="I1632" s="76" t="str">
        <f>VLOOKUP(F1632,'#对话模型配置'!A:O,15,FALSE)</f>
        <v>story_austin_big</v>
      </c>
      <c r="J1632" s="182" t="s">
        <v>5550</v>
      </c>
      <c r="K1632" s="183" t="s">
        <v>5551</v>
      </c>
      <c r="L1632" s="76">
        <v>110009</v>
      </c>
      <c r="M1632" s="76" t="s">
        <v>4831</v>
      </c>
      <c r="O1632" s="76" t="s">
        <v>5552</v>
      </c>
      <c r="R1632" s="76" t="s">
        <v>5553</v>
      </c>
      <c r="S1632" s="76" t="s">
        <v>5554</v>
      </c>
      <c r="U1632" s="76">
        <v>6</v>
      </c>
      <c r="V1632" s="76">
        <v>0</v>
      </c>
      <c r="Y1632" s="76" t="b">
        <v>0</v>
      </c>
      <c r="Z1632" s="76" t="s">
        <v>5555</v>
      </c>
      <c r="AA1632" s="76" t="b">
        <v>0</v>
      </c>
      <c r="AD1632" s="76">
        <v>13.1228122711182</v>
      </c>
      <c r="AE1632" s="76">
        <f t="shared" si="116"/>
        <v>14.1228122711182</v>
      </c>
      <c r="AF1632" s="76" t="s">
        <v>5556</v>
      </c>
      <c r="AH1632" s="188">
        <v>0.1</v>
      </c>
      <c r="AI1632" s="188">
        <v>0.5</v>
      </c>
      <c r="AL1632" s="76">
        <v>35</v>
      </c>
      <c r="BF1632" s="76">
        <v>0</v>
      </c>
      <c r="BI1632" s="76">
        <v>1</v>
      </c>
    </row>
    <row r="1633" spans="1:61" s="76" customFormat="1" ht="14.5">
      <c r="A1633" s="76">
        <v>21100017</v>
      </c>
      <c r="C1633" s="76">
        <v>2</v>
      </c>
      <c r="F1633" s="179" t="s">
        <v>4329</v>
      </c>
      <c r="G1633" s="180" t="str">
        <f>VLOOKUP(F1633,'#对话模型配置'!A:O,12,FALSE)</f>
        <v>TID_Dialogue_Character_11</v>
      </c>
      <c r="H1633" s="76" t="str">
        <f>VLOOKUP(F1633,'#对话模型配置'!A:O,14,FALSE)</f>
        <v>icon_hero</v>
      </c>
      <c r="I1633" s="76" t="str">
        <f>VLOOKUP(F1633,'#对话模型配置'!A:O,15,FALSE)</f>
        <v>icon_hero_036_big</v>
      </c>
      <c r="J1633" s="182" t="s">
        <v>5557</v>
      </c>
      <c r="K1633" s="183" t="s">
        <v>5558</v>
      </c>
      <c r="L1633" s="76">
        <v>110003</v>
      </c>
      <c r="M1633" s="76" t="s">
        <v>3289</v>
      </c>
      <c r="O1633" s="76" t="s">
        <v>5559</v>
      </c>
      <c r="R1633" s="76" t="s">
        <v>5560</v>
      </c>
      <c r="U1633" s="76">
        <v>6</v>
      </c>
      <c r="V1633" s="76">
        <v>0</v>
      </c>
      <c r="Y1633" s="76" t="b">
        <v>0</v>
      </c>
      <c r="Z1633" s="76" t="s">
        <v>5561</v>
      </c>
      <c r="AA1633" s="76" t="b">
        <v>0</v>
      </c>
      <c r="AD1633" s="76">
        <v>2.4915421009063698</v>
      </c>
      <c r="AE1633" s="76">
        <f t="shared" si="116"/>
        <v>3.4915421009063698</v>
      </c>
      <c r="AF1633" s="76" t="s">
        <v>5562</v>
      </c>
      <c r="AH1633" s="188">
        <v>0.1</v>
      </c>
      <c r="AI1633" s="188">
        <v>0.5</v>
      </c>
      <c r="AL1633" s="76">
        <v>35</v>
      </c>
      <c r="BF1633" s="76">
        <v>0</v>
      </c>
      <c r="BI1633" s="76">
        <v>1</v>
      </c>
    </row>
    <row r="1634" spans="1:61" s="76" customFormat="1" ht="14.5">
      <c r="A1634" s="76">
        <v>21100017</v>
      </c>
      <c r="C1634" s="76">
        <v>3</v>
      </c>
      <c r="F1634" s="179" t="s">
        <v>4811</v>
      </c>
      <c r="G1634" s="180" t="str">
        <f>VLOOKUP(F1634,'#对话模型配置'!A:O,12,FALSE)</f>
        <v>TID_Dialogue_story_gl_charaname_01</v>
      </c>
      <c r="H1634" s="76" t="str">
        <f>VLOOKUP(F1634,'#对话模型配置'!A:O,14,FALSE)</f>
        <v>icon_hero</v>
      </c>
      <c r="I1634" s="76" t="str">
        <f>VLOOKUP(F1634,'#对话模型配置'!A:O,15,FALSE)</f>
        <v>story_austin_big</v>
      </c>
      <c r="J1634" s="182" t="s">
        <v>5563</v>
      </c>
      <c r="K1634" s="183" t="s">
        <v>5564</v>
      </c>
      <c r="L1634" s="76">
        <v>110009</v>
      </c>
      <c r="M1634" s="76" t="s">
        <v>3289</v>
      </c>
      <c r="O1634" s="76" t="s">
        <v>5552</v>
      </c>
      <c r="U1634" s="76">
        <v>6</v>
      </c>
      <c r="V1634" s="76">
        <v>0</v>
      </c>
      <c r="Y1634" s="76" t="b">
        <v>0</v>
      </c>
      <c r="Z1634" s="76" t="s">
        <v>5565</v>
      </c>
      <c r="AA1634" s="76" t="b">
        <v>0</v>
      </c>
      <c r="AD1634" s="76">
        <v>2.2145209312439</v>
      </c>
      <c r="AE1634" s="76">
        <f t="shared" si="116"/>
        <v>3.2145209312439</v>
      </c>
      <c r="AF1634" s="76" t="s">
        <v>5566</v>
      </c>
      <c r="AH1634" s="188">
        <v>0.1</v>
      </c>
      <c r="AI1634" s="188">
        <v>0.5</v>
      </c>
      <c r="AL1634" s="76">
        <v>35</v>
      </c>
      <c r="BF1634" s="76">
        <v>0</v>
      </c>
      <c r="BI1634" s="76">
        <v>1</v>
      </c>
    </row>
    <row r="1635" spans="1:61" s="76" customFormat="1" ht="14.5">
      <c r="A1635" s="76">
        <v>21100017</v>
      </c>
      <c r="C1635" s="76">
        <v>4</v>
      </c>
      <c r="F1635" s="179" t="s">
        <v>4329</v>
      </c>
      <c r="G1635" s="180" t="str">
        <f>VLOOKUP(F1635,'#对话模型配置'!A:O,12,FALSE)</f>
        <v>TID_Dialogue_Character_11</v>
      </c>
      <c r="H1635" s="76" t="str">
        <f>VLOOKUP(F1635,'#对话模型配置'!A:O,14,FALSE)</f>
        <v>icon_hero</v>
      </c>
      <c r="I1635" s="76" t="str">
        <f>VLOOKUP(F1635,'#对话模型配置'!A:O,15,FALSE)</f>
        <v>icon_hero_036_big</v>
      </c>
      <c r="J1635" s="182" t="s">
        <v>5567</v>
      </c>
      <c r="K1635" s="183" t="s">
        <v>5568</v>
      </c>
      <c r="L1635" s="76">
        <v>110003</v>
      </c>
      <c r="M1635" s="76" t="s">
        <v>3453</v>
      </c>
      <c r="O1635" s="76" t="s">
        <v>5559</v>
      </c>
      <c r="U1635" s="76">
        <v>6</v>
      </c>
      <c r="V1635" s="76">
        <v>0</v>
      </c>
      <c r="Y1635" s="76" t="b">
        <v>0</v>
      </c>
      <c r="Z1635" s="76" t="s">
        <v>5569</v>
      </c>
      <c r="AA1635" s="76" t="b">
        <v>0</v>
      </c>
      <c r="AD1635" s="76">
        <v>0.850166976451874</v>
      </c>
      <c r="AE1635" s="76">
        <f t="shared" si="116"/>
        <v>1.850166976451874</v>
      </c>
      <c r="AF1635" s="76" t="s">
        <v>5570</v>
      </c>
      <c r="AH1635" s="188">
        <v>0.1</v>
      </c>
      <c r="AI1635" s="188">
        <v>0.5</v>
      </c>
      <c r="AL1635" s="76">
        <v>35</v>
      </c>
      <c r="BF1635" s="76">
        <v>0</v>
      </c>
      <c r="BI1635" s="76">
        <v>1</v>
      </c>
    </row>
    <row r="1636" spans="1:61" s="76" customFormat="1" ht="26">
      <c r="A1636" s="76">
        <v>21100017</v>
      </c>
      <c r="C1636" s="76">
        <v>5</v>
      </c>
      <c r="F1636" s="179" t="s">
        <v>4811</v>
      </c>
      <c r="G1636" s="180" t="str">
        <f>VLOOKUP(F1636,'#对话模型配置'!A:O,12,FALSE)</f>
        <v>TID_Dialogue_story_gl_charaname_01</v>
      </c>
      <c r="H1636" s="76" t="str">
        <f>VLOOKUP(F1636,'#对话模型配置'!A:O,14,FALSE)</f>
        <v>icon_hero</v>
      </c>
      <c r="I1636" s="76" t="str">
        <f>VLOOKUP(F1636,'#对话模型配置'!A:O,15,FALSE)</f>
        <v>story_austin_big</v>
      </c>
      <c r="J1636" s="182" t="s">
        <v>5571</v>
      </c>
      <c r="K1636" s="183" t="s">
        <v>5572</v>
      </c>
      <c r="L1636" s="76">
        <v>110009</v>
      </c>
      <c r="M1636" s="76" t="s">
        <v>4840</v>
      </c>
      <c r="O1636" s="76" t="s">
        <v>5552</v>
      </c>
      <c r="U1636" s="76">
        <v>6</v>
      </c>
      <c r="V1636" s="76">
        <v>0</v>
      </c>
      <c r="Y1636" s="76" t="b">
        <v>0</v>
      </c>
      <c r="Z1636" s="76" t="s">
        <v>5573</v>
      </c>
      <c r="AA1636" s="76" t="b">
        <v>0</v>
      </c>
      <c r="AD1636" s="76">
        <v>7.3159379959106401</v>
      </c>
      <c r="AE1636" s="76">
        <f t="shared" si="116"/>
        <v>8.315937995910641</v>
      </c>
      <c r="AF1636" s="76" t="s">
        <v>5574</v>
      </c>
      <c r="AH1636" s="188">
        <v>0.1</v>
      </c>
      <c r="AI1636" s="188">
        <v>0.5</v>
      </c>
      <c r="AL1636" s="76">
        <v>35</v>
      </c>
      <c r="BF1636" s="76">
        <v>0</v>
      </c>
      <c r="BI1636" s="76">
        <v>1</v>
      </c>
    </row>
    <row r="1637" spans="1:61" s="76" customFormat="1" ht="14.5">
      <c r="A1637" s="76">
        <v>21100017</v>
      </c>
      <c r="C1637" s="76">
        <v>6</v>
      </c>
      <c r="F1637" s="179" t="s">
        <v>4329</v>
      </c>
      <c r="G1637" s="180" t="str">
        <f>VLOOKUP(F1637,'#对话模型配置'!A:O,12,FALSE)</f>
        <v>TID_Dialogue_Character_11</v>
      </c>
      <c r="H1637" s="76" t="str">
        <f>VLOOKUP(F1637,'#对话模型配置'!A:O,14,FALSE)</f>
        <v>icon_hero</v>
      </c>
      <c r="I1637" s="76" t="str">
        <f>VLOOKUP(F1637,'#对话模型配置'!A:O,15,FALSE)</f>
        <v>icon_hero_036_big</v>
      </c>
      <c r="J1637" s="182" t="s">
        <v>5575</v>
      </c>
      <c r="K1637" s="183" t="s">
        <v>5576</v>
      </c>
      <c r="L1637" s="76">
        <v>110003</v>
      </c>
      <c r="M1637" s="76" t="s">
        <v>3453</v>
      </c>
      <c r="O1637" s="76" t="s">
        <v>5559</v>
      </c>
      <c r="U1637" s="76">
        <v>6</v>
      </c>
      <c r="V1637" s="76">
        <v>0</v>
      </c>
      <c r="Y1637" s="76" t="b">
        <v>0</v>
      </c>
      <c r="Z1637" s="76" t="s">
        <v>5577</v>
      </c>
      <c r="AA1637" s="76" t="b">
        <v>0</v>
      </c>
      <c r="AD1637" s="76">
        <v>6.2224788665771502</v>
      </c>
      <c r="AE1637" s="76">
        <f t="shared" ref="AE1637:AE1700" si="117">AD1637+1</f>
        <v>7.2224788665771502</v>
      </c>
      <c r="AF1637" s="76" t="s">
        <v>5578</v>
      </c>
      <c r="AH1637" s="188">
        <v>0.1</v>
      </c>
      <c r="AI1637" s="188">
        <v>0.5</v>
      </c>
      <c r="AL1637" s="76">
        <v>35</v>
      </c>
      <c r="BF1637" s="76">
        <v>0</v>
      </c>
      <c r="BI1637" s="76">
        <v>1</v>
      </c>
    </row>
    <row r="1638" spans="1:61" s="76" customFormat="1" ht="26">
      <c r="A1638" s="76">
        <v>21100017</v>
      </c>
      <c r="C1638" s="76">
        <v>7</v>
      </c>
      <c r="F1638" s="179" t="s">
        <v>4811</v>
      </c>
      <c r="G1638" s="180" t="str">
        <f>VLOOKUP(F1638,'#对话模型配置'!A:O,12,FALSE)</f>
        <v>TID_Dialogue_story_gl_charaname_01</v>
      </c>
      <c r="H1638" s="76" t="str">
        <f>VLOOKUP(F1638,'#对话模型配置'!A:O,14,FALSE)</f>
        <v>icon_hero</v>
      </c>
      <c r="I1638" s="76" t="str">
        <f>VLOOKUP(F1638,'#对话模型配置'!A:O,15,FALSE)</f>
        <v>story_austin_big</v>
      </c>
      <c r="J1638" s="182" t="s">
        <v>5579</v>
      </c>
      <c r="K1638" s="183" t="s">
        <v>5580</v>
      </c>
      <c r="L1638" s="76">
        <v>110009</v>
      </c>
      <c r="M1638" s="76" t="s">
        <v>4840</v>
      </c>
      <c r="O1638" s="76" t="s">
        <v>5552</v>
      </c>
      <c r="U1638" s="76">
        <v>6</v>
      </c>
      <c r="V1638" s="76">
        <v>0</v>
      </c>
      <c r="Y1638" s="76" t="b">
        <v>0</v>
      </c>
      <c r="Z1638" s="76" t="s">
        <v>5581</v>
      </c>
      <c r="AA1638" s="76" t="b">
        <v>0</v>
      </c>
      <c r="AD1638" s="76">
        <v>12.466687202453601</v>
      </c>
      <c r="AE1638" s="76">
        <f t="shared" si="117"/>
        <v>13.466687202453601</v>
      </c>
      <c r="AF1638" s="76" t="s">
        <v>5582</v>
      </c>
      <c r="AH1638" s="188">
        <v>0.1</v>
      </c>
      <c r="AI1638" s="188">
        <v>0.5</v>
      </c>
      <c r="AL1638" s="76">
        <v>35</v>
      </c>
      <c r="BF1638" s="76">
        <v>0</v>
      </c>
      <c r="BI1638" s="76">
        <v>1</v>
      </c>
    </row>
    <row r="1639" spans="1:61" s="76" customFormat="1" ht="26">
      <c r="A1639" s="76">
        <v>21100017</v>
      </c>
      <c r="C1639" s="76">
        <v>8</v>
      </c>
      <c r="F1639" s="179" t="s">
        <v>4811</v>
      </c>
      <c r="G1639" s="180" t="str">
        <f>VLOOKUP(F1639,'#对话模型配置'!A:O,12,FALSE)</f>
        <v>TID_Dialogue_story_gl_charaname_01</v>
      </c>
      <c r="H1639" s="76" t="str">
        <f>VLOOKUP(F1639,'#对话模型配置'!A:O,14,FALSE)</f>
        <v>icon_hero</v>
      </c>
      <c r="I1639" s="76" t="str">
        <f>VLOOKUP(F1639,'#对话模型配置'!A:O,15,FALSE)</f>
        <v>story_austin_big</v>
      </c>
      <c r="J1639" s="182" t="s">
        <v>5583</v>
      </c>
      <c r="K1639" s="183" t="s">
        <v>5584</v>
      </c>
      <c r="L1639" s="76">
        <v>110009</v>
      </c>
      <c r="M1639" s="76" t="s">
        <v>3415</v>
      </c>
      <c r="O1639" s="76" t="s">
        <v>5552</v>
      </c>
      <c r="U1639" s="76">
        <v>6</v>
      </c>
      <c r="V1639" s="76">
        <v>0</v>
      </c>
      <c r="Y1639" s="76" t="b">
        <v>0</v>
      </c>
      <c r="Z1639" s="76" t="s">
        <v>5585</v>
      </c>
      <c r="AA1639" s="76" t="b">
        <v>0</v>
      </c>
      <c r="AD1639" s="76">
        <v>5.6791868209838903</v>
      </c>
      <c r="AE1639" s="76">
        <f t="shared" si="117"/>
        <v>6.6791868209838903</v>
      </c>
      <c r="AF1639" s="76" t="s">
        <v>5586</v>
      </c>
      <c r="AH1639" s="188">
        <v>0.1</v>
      </c>
      <c r="AI1639" s="188">
        <v>0.5</v>
      </c>
      <c r="AL1639" s="76">
        <v>35</v>
      </c>
      <c r="BF1639" s="76">
        <v>0</v>
      </c>
      <c r="BI1639" s="76">
        <v>1</v>
      </c>
    </row>
    <row r="1640" spans="1:61" s="76" customFormat="1" ht="26">
      <c r="A1640" s="76">
        <v>21100017</v>
      </c>
      <c r="C1640" s="76">
        <v>9</v>
      </c>
      <c r="F1640" s="179" t="s">
        <v>4329</v>
      </c>
      <c r="G1640" s="180" t="str">
        <f>VLOOKUP(F1640,'#对话模型配置'!A:O,12,FALSE)</f>
        <v>TID_Dialogue_Character_11</v>
      </c>
      <c r="H1640" s="76" t="str">
        <f>VLOOKUP(F1640,'#对话模型配置'!A:O,14,FALSE)</f>
        <v>icon_hero</v>
      </c>
      <c r="I1640" s="76" t="str">
        <f>VLOOKUP(F1640,'#对话模型配置'!A:O,15,FALSE)</f>
        <v>icon_hero_036_big</v>
      </c>
      <c r="J1640" s="182" t="s">
        <v>5587</v>
      </c>
      <c r="K1640" s="183" t="s">
        <v>5588</v>
      </c>
      <c r="L1640" s="76">
        <v>110003</v>
      </c>
      <c r="M1640" s="76" t="s">
        <v>3453</v>
      </c>
      <c r="O1640" s="76" t="s">
        <v>5559</v>
      </c>
      <c r="U1640" s="76">
        <v>6</v>
      </c>
      <c r="V1640" s="76">
        <v>0</v>
      </c>
      <c r="Y1640" s="76" t="b">
        <v>0</v>
      </c>
      <c r="Z1640" s="76" t="s">
        <v>5589</v>
      </c>
      <c r="AA1640" s="76" t="b">
        <v>0</v>
      </c>
      <c r="AD1640" s="76">
        <v>10.3204793930054</v>
      </c>
      <c r="AE1640" s="76">
        <f t="shared" si="117"/>
        <v>11.3204793930054</v>
      </c>
      <c r="AF1640" s="76" t="s">
        <v>5590</v>
      </c>
      <c r="AH1640" s="188">
        <v>0.1</v>
      </c>
      <c r="AI1640" s="188">
        <v>0.5</v>
      </c>
      <c r="AL1640" s="76">
        <v>35</v>
      </c>
      <c r="BF1640" s="76">
        <v>0</v>
      </c>
      <c r="BI1640" s="76">
        <v>1</v>
      </c>
    </row>
    <row r="1641" spans="1:61" s="76" customFormat="1" ht="26">
      <c r="A1641" s="76">
        <v>21100017</v>
      </c>
      <c r="C1641" s="76">
        <v>10</v>
      </c>
      <c r="F1641" s="179" t="s">
        <v>4811</v>
      </c>
      <c r="G1641" s="180" t="str">
        <f>VLOOKUP(F1641,'#对话模型配置'!A:O,12,FALSE)</f>
        <v>TID_Dialogue_story_gl_charaname_01</v>
      </c>
      <c r="H1641" s="76" t="str">
        <f>VLOOKUP(F1641,'#对话模型配置'!A:O,14,FALSE)</f>
        <v>icon_hero</v>
      </c>
      <c r="I1641" s="76" t="str">
        <f>VLOOKUP(F1641,'#对话模型配置'!A:O,15,FALSE)</f>
        <v>story_austin_big</v>
      </c>
      <c r="J1641" s="182" t="s">
        <v>5591</v>
      </c>
      <c r="K1641" s="183" t="s">
        <v>5592</v>
      </c>
      <c r="L1641" s="76">
        <v>110009</v>
      </c>
      <c r="M1641" s="76" t="s">
        <v>4840</v>
      </c>
      <c r="O1641" s="76" t="s">
        <v>5552</v>
      </c>
      <c r="U1641" s="76">
        <v>6</v>
      </c>
      <c r="V1641" s="76">
        <v>0</v>
      </c>
      <c r="Y1641" s="76" t="b">
        <v>0</v>
      </c>
      <c r="Z1641" s="76" t="s">
        <v>5593</v>
      </c>
      <c r="AA1641" s="76" t="b">
        <v>0</v>
      </c>
      <c r="AD1641" s="76">
        <v>6.1386671066284197</v>
      </c>
      <c r="AE1641" s="76">
        <f t="shared" si="117"/>
        <v>7.1386671066284197</v>
      </c>
      <c r="AF1641" s="76" t="s">
        <v>5594</v>
      </c>
      <c r="AH1641" s="188">
        <v>0.1</v>
      </c>
      <c r="AI1641" s="188">
        <v>0.5</v>
      </c>
      <c r="AL1641" s="76">
        <v>35</v>
      </c>
      <c r="BF1641" s="76">
        <v>0</v>
      </c>
      <c r="BI1641" s="76">
        <v>1</v>
      </c>
    </row>
    <row r="1642" spans="1:61" s="76" customFormat="1" ht="26">
      <c r="A1642" s="76">
        <v>21100017</v>
      </c>
      <c r="C1642" s="76">
        <v>11</v>
      </c>
      <c r="F1642" s="179" t="s">
        <v>4811</v>
      </c>
      <c r="G1642" s="180" t="str">
        <f>VLOOKUP(F1642,'#对话模型配置'!A:O,12,FALSE)</f>
        <v>TID_Dialogue_story_gl_charaname_01</v>
      </c>
      <c r="H1642" s="76" t="str">
        <f>VLOOKUP(F1642,'#对话模型配置'!A:O,14,FALSE)</f>
        <v>icon_hero</v>
      </c>
      <c r="I1642" s="76" t="str">
        <f>VLOOKUP(F1642,'#对话模型配置'!A:O,15,FALSE)</f>
        <v>story_austin_big</v>
      </c>
      <c r="J1642" s="182" t="s">
        <v>5595</v>
      </c>
      <c r="K1642" s="183" t="s">
        <v>5596</v>
      </c>
      <c r="L1642" s="76">
        <v>110009</v>
      </c>
      <c r="M1642" s="76" t="s">
        <v>3314</v>
      </c>
      <c r="O1642" s="76" t="s">
        <v>5552</v>
      </c>
      <c r="U1642" s="76">
        <v>6</v>
      </c>
      <c r="V1642" s="76">
        <v>0</v>
      </c>
      <c r="Y1642" s="76" t="b">
        <v>0</v>
      </c>
      <c r="Z1642" s="76" t="s">
        <v>5597</v>
      </c>
      <c r="AA1642" s="76" t="b">
        <v>0</v>
      </c>
      <c r="AD1642" s="76">
        <v>8.5338945388793892</v>
      </c>
      <c r="AE1642" s="76">
        <f t="shared" si="117"/>
        <v>9.5338945388793892</v>
      </c>
      <c r="AF1642" s="76" t="s">
        <v>5598</v>
      </c>
      <c r="AH1642" s="188">
        <v>0.1</v>
      </c>
      <c r="AI1642" s="188">
        <v>0.5</v>
      </c>
      <c r="AL1642" s="76">
        <v>35</v>
      </c>
      <c r="BF1642" s="76">
        <v>0</v>
      </c>
      <c r="BI1642" s="76">
        <v>1</v>
      </c>
    </row>
    <row r="1643" spans="1:61" s="76" customFormat="1" ht="26">
      <c r="A1643" s="76">
        <v>21100017</v>
      </c>
      <c r="C1643" s="76">
        <v>12</v>
      </c>
      <c r="F1643" s="179" t="s">
        <v>4811</v>
      </c>
      <c r="G1643" s="180" t="str">
        <f>VLOOKUP(F1643,'#对话模型配置'!A:O,12,FALSE)</f>
        <v>TID_Dialogue_story_gl_charaname_01</v>
      </c>
      <c r="H1643" s="76" t="str">
        <f>VLOOKUP(F1643,'#对话模型配置'!A:O,14,FALSE)</f>
        <v>icon_hero</v>
      </c>
      <c r="I1643" s="76" t="str">
        <f>VLOOKUP(F1643,'#对话模型配置'!A:O,15,FALSE)</f>
        <v>story_austin_big</v>
      </c>
      <c r="J1643" s="182" t="s">
        <v>5599</v>
      </c>
      <c r="K1643" s="183" t="s">
        <v>5600</v>
      </c>
      <c r="L1643" s="76">
        <v>110009</v>
      </c>
      <c r="M1643" s="76" t="s">
        <v>3450</v>
      </c>
      <c r="O1643" s="76" t="s">
        <v>5552</v>
      </c>
      <c r="U1643" s="76">
        <v>6</v>
      </c>
      <c r="V1643" s="76">
        <v>0</v>
      </c>
      <c r="Y1643" s="76" t="b">
        <v>0</v>
      </c>
      <c r="Z1643" s="76" t="s">
        <v>5601</v>
      </c>
      <c r="AA1643" s="76" t="b">
        <v>0</v>
      </c>
      <c r="AD1643" s="76">
        <v>11.157146453857401</v>
      </c>
      <c r="AE1643" s="76">
        <f t="shared" si="117"/>
        <v>12.157146453857401</v>
      </c>
      <c r="AF1643" s="76" t="s">
        <v>5602</v>
      </c>
      <c r="AH1643" s="188">
        <v>0.1</v>
      </c>
      <c r="AI1643" s="188">
        <v>0.5</v>
      </c>
      <c r="AL1643" s="76">
        <v>35</v>
      </c>
      <c r="BF1643" s="76">
        <v>0</v>
      </c>
      <c r="BI1643" s="76">
        <v>1</v>
      </c>
    </row>
    <row r="1644" spans="1:61" s="76" customFormat="1" ht="14.5">
      <c r="A1644" s="76">
        <v>21100017</v>
      </c>
      <c r="C1644" s="76">
        <v>13</v>
      </c>
      <c r="F1644" s="179" t="s">
        <v>4329</v>
      </c>
      <c r="G1644" s="180" t="str">
        <f>VLOOKUP(F1644,'#对话模型配置'!A:O,12,FALSE)</f>
        <v>TID_Dialogue_Character_11</v>
      </c>
      <c r="H1644" s="76" t="str">
        <f>VLOOKUP(F1644,'#对话模型配置'!A:O,14,FALSE)</f>
        <v>icon_hero</v>
      </c>
      <c r="I1644" s="76" t="str">
        <f>VLOOKUP(F1644,'#对话模型配置'!A:O,15,FALSE)</f>
        <v>icon_hero_036_big</v>
      </c>
      <c r="J1644" s="182" t="s">
        <v>5603</v>
      </c>
      <c r="K1644" s="183" t="s">
        <v>5604</v>
      </c>
      <c r="L1644" s="76">
        <v>110003</v>
      </c>
      <c r="M1644" s="76" t="s">
        <v>3453</v>
      </c>
      <c r="O1644" s="76" t="s">
        <v>5559</v>
      </c>
      <c r="U1644" s="76">
        <v>6</v>
      </c>
      <c r="V1644" s="76">
        <v>0</v>
      </c>
      <c r="Y1644" s="76" t="b">
        <v>0</v>
      </c>
      <c r="Z1644" s="76" t="s">
        <v>5605</v>
      </c>
      <c r="AA1644" s="76" t="b">
        <v>0</v>
      </c>
      <c r="AD1644" s="76">
        <v>6.4363961219787598</v>
      </c>
      <c r="AE1644" s="76">
        <f t="shared" si="117"/>
        <v>7.4363961219787598</v>
      </c>
      <c r="AF1644" s="76" t="s">
        <v>5606</v>
      </c>
      <c r="AH1644" s="188">
        <v>0.1</v>
      </c>
      <c r="AI1644" s="188">
        <v>0.5</v>
      </c>
      <c r="AL1644" s="76">
        <v>35</v>
      </c>
      <c r="BF1644" s="76">
        <v>0</v>
      </c>
      <c r="BI1644" s="76">
        <v>1</v>
      </c>
    </row>
    <row r="1645" spans="1:61" s="76" customFormat="1" ht="14.5">
      <c r="A1645" s="76">
        <v>21100017</v>
      </c>
      <c r="C1645" s="76">
        <v>14</v>
      </c>
      <c r="F1645" s="179" t="s">
        <v>4811</v>
      </c>
      <c r="G1645" s="180" t="str">
        <f>VLOOKUP(F1645,'#对话模型配置'!A:O,12,FALSE)</f>
        <v>TID_Dialogue_story_gl_charaname_01</v>
      </c>
      <c r="H1645" s="76" t="str">
        <f>VLOOKUP(F1645,'#对话模型配置'!A:O,14,FALSE)</f>
        <v>icon_hero</v>
      </c>
      <c r="I1645" s="76" t="str">
        <f>VLOOKUP(F1645,'#对话模型配置'!A:O,15,FALSE)</f>
        <v>story_austin_big</v>
      </c>
      <c r="J1645" s="182" t="s">
        <v>5607</v>
      </c>
      <c r="K1645" s="183" t="s">
        <v>5608</v>
      </c>
      <c r="L1645" s="76">
        <v>110009</v>
      </c>
      <c r="M1645" s="76" t="s">
        <v>4831</v>
      </c>
      <c r="O1645" s="76" t="s">
        <v>5552</v>
      </c>
      <c r="U1645" s="76">
        <v>6</v>
      </c>
      <c r="V1645" s="76">
        <v>0</v>
      </c>
      <c r="Y1645" s="76" t="b">
        <v>0</v>
      </c>
      <c r="Z1645" s="76" t="s">
        <v>5609</v>
      </c>
      <c r="AA1645" s="76" t="b">
        <v>0</v>
      </c>
      <c r="AD1645" s="76">
        <v>6.9103331565856898</v>
      </c>
      <c r="AE1645" s="76">
        <f t="shared" si="117"/>
        <v>7.9103331565856898</v>
      </c>
      <c r="AF1645" s="76" t="s">
        <v>5610</v>
      </c>
      <c r="AH1645" s="188">
        <v>0.1</v>
      </c>
      <c r="AI1645" s="188">
        <v>0.5</v>
      </c>
      <c r="AL1645" s="76">
        <v>35</v>
      </c>
      <c r="BF1645" s="76">
        <v>1</v>
      </c>
      <c r="BI1645" s="76">
        <v>1</v>
      </c>
    </row>
    <row r="1646" spans="1:61" s="76" customFormat="1" ht="14.5">
      <c r="A1646" s="76">
        <v>21100017</v>
      </c>
      <c r="C1646" s="76">
        <v>15</v>
      </c>
      <c r="F1646" s="179" t="s">
        <v>4811</v>
      </c>
      <c r="G1646" s="180" t="str">
        <f>VLOOKUP(F1646,'#对话模型配置'!A:O,12,FALSE)</f>
        <v>TID_Dialogue_story_gl_charaname_01</v>
      </c>
      <c r="H1646" s="76" t="str">
        <f>VLOOKUP(F1646,'#对话模型配置'!A:O,14,FALSE)</f>
        <v>icon_hero</v>
      </c>
      <c r="I1646" s="76" t="str">
        <f>VLOOKUP(F1646,'#对话模型配置'!A:O,15,FALSE)</f>
        <v>story_austin_big</v>
      </c>
      <c r="J1646" s="182" t="s">
        <v>5611</v>
      </c>
      <c r="K1646" s="183" t="s">
        <v>5612</v>
      </c>
      <c r="L1646" s="76">
        <v>110009</v>
      </c>
      <c r="M1646" s="76" t="s">
        <v>3289</v>
      </c>
      <c r="O1646" s="76" t="s">
        <v>5552</v>
      </c>
      <c r="U1646" s="76">
        <v>6</v>
      </c>
      <c r="V1646" s="76">
        <v>0</v>
      </c>
      <c r="Y1646" s="76" t="b">
        <v>0</v>
      </c>
      <c r="Z1646" s="76" t="s">
        <v>5613</v>
      </c>
      <c r="AA1646" s="76" t="b">
        <v>0</v>
      </c>
      <c r="AD1646" s="76">
        <v>5.9015421867370597</v>
      </c>
      <c r="AE1646" s="76">
        <f t="shared" si="117"/>
        <v>6.9015421867370597</v>
      </c>
      <c r="AF1646" s="76" t="s">
        <v>5614</v>
      </c>
      <c r="AH1646" s="188">
        <v>0.1</v>
      </c>
      <c r="AI1646" s="188">
        <v>0.5</v>
      </c>
      <c r="AL1646" s="76">
        <v>35</v>
      </c>
      <c r="BF1646" s="76">
        <v>1</v>
      </c>
      <c r="BI1646" s="76">
        <v>1</v>
      </c>
    </row>
    <row r="1647" spans="1:61" s="62" customFormat="1" ht="39">
      <c r="A1647" s="62">
        <v>21100018</v>
      </c>
      <c r="C1647" s="62">
        <v>1</v>
      </c>
      <c r="F1647" s="181" t="s">
        <v>5401</v>
      </c>
      <c r="G1647" s="106" t="str">
        <f>VLOOKUP(F1647,'#对话模型配置'!A:O,12,FALSE)</f>
        <v>TID_Dialogue_story_gl_charaname_03</v>
      </c>
      <c r="H1647" s="62" t="str">
        <f>VLOOKUP(F1647,'#对话模型配置'!A:O,14,FALSE)</f>
        <v>icon_hero</v>
      </c>
      <c r="I1647" s="62" t="str">
        <f>VLOOKUP(F1647,'#对话模型配置'!A:O,15,FALSE)</f>
        <v>story_linda_big</v>
      </c>
      <c r="J1647" s="184" t="s">
        <v>5615</v>
      </c>
      <c r="K1647" s="185" t="s">
        <v>5616</v>
      </c>
      <c r="L1647" s="62">
        <v>110012</v>
      </c>
      <c r="U1647" s="62">
        <v>6</v>
      </c>
      <c r="V1647" s="62">
        <v>0</v>
      </c>
      <c r="Y1647" s="62" t="b">
        <v>0</v>
      </c>
      <c r="Z1647" s="62" t="s">
        <v>5617</v>
      </c>
      <c r="AA1647" s="62" t="b">
        <v>0</v>
      </c>
      <c r="AD1647" s="62">
        <v>8</v>
      </c>
      <c r="AE1647" s="62">
        <f t="shared" si="117"/>
        <v>9</v>
      </c>
      <c r="AH1647" s="189">
        <v>0.1</v>
      </c>
      <c r="AI1647" s="189">
        <v>0.5</v>
      </c>
      <c r="AL1647" s="62">
        <v>35</v>
      </c>
      <c r="BF1647" s="62">
        <v>0</v>
      </c>
      <c r="BI1647" s="62">
        <v>1</v>
      </c>
    </row>
    <row r="1648" spans="1:61" s="62" customFormat="1" ht="14.5">
      <c r="A1648" s="62">
        <v>21100018</v>
      </c>
      <c r="C1648" s="62">
        <v>2</v>
      </c>
      <c r="F1648" s="181" t="s">
        <v>5401</v>
      </c>
      <c r="G1648" s="106" t="str">
        <f>VLOOKUP(F1648,'#对话模型配置'!A:O,12,FALSE)</f>
        <v>TID_Dialogue_story_gl_charaname_03</v>
      </c>
      <c r="H1648" s="62" t="str">
        <f>VLOOKUP(F1648,'#对话模型配置'!A:O,14,FALSE)</f>
        <v>icon_hero</v>
      </c>
      <c r="I1648" s="62" t="str">
        <f>VLOOKUP(F1648,'#对话模型配置'!A:O,15,FALSE)</f>
        <v>story_linda_big</v>
      </c>
      <c r="J1648" s="184" t="s">
        <v>5618</v>
      </c>
      <c r="K1648" s="185" t="s">
        <v>5619</v>
      </c>
      <c r="L1648" s="62">
        <v>110012</v>
      </c>
      <c r="U1648" s="62">
        <v>6</v>
      </c>
      <c r="V1648" s="62">
        <v>0</v>
      </c>
      <c r="Y1648" s="62" t="b">
        <v>0</v>
      </c>
      <c r="Z1648" s="62" t="s">
        <v>5620</v>
      </c>
      <c r="AA1648" s="62" t="b">
        <v>0</v>
      </c>
      <c r="AD1648" s="62">
        <v>8</v>
      </c>
      <c r="AE1648" s="62">
        <f t="shared" si="117"/>
        <v>9</v>
      </c>
      <c r="AH1648" s="189">
        <v>0.1</v>
      </c>
      <c r="AI1648" s="189">
        <v>0.5</v>
      </c>
      <c r="AL1648" s="62">
        <v>35</v>
      </c>
      <c r="BF1648" s="62">
        <v>0</v>
      </c>
      <c r="BI1648" s="62">
        <v>1</v>
      </c>
    </row>
    <row r="1649" spans="1:61" s="62" customFormat="1" ht="39">
      <c r="A1649" s="62">
        <v>21100018</v>
      </c>
      <c r="C1649" s="62">
        <v>3</v>
      </c>
      <c r="F1649" s="181" t="s">
        <v>4329</v>
      </c>
      <c r="G1649" s="106" t="str">
        <f>VLOOKUP(F1649,'#对话模型配置'!A:O,12,FALSE)</f>
        <v>TID_Dialogue_Character_11</v>
      </c>
      <c r="H1649" s="62" t="str">
        <f>VLOOKUP(F1649,'#对话模型配置'!A:O,14,FALSE)</f>
        <v>icon_hero</v>
      </c>
      <c r="I1649" s="62" t="str">
        <f>VLOOKUP(F1649,'#对话模型配置'!A:O,15,FALSE)</f>
        <v>icon_hero_036_big</v>
      </c>
      <c r="J1649" s="184" t="s">
        <v>5621</v>
      </c>
      <c r="K1649" s="185" t="s">
        <v>5622</v>
      </c>
      <c r="L1649" s="62">
        <v>110003</v>
      </c>
      <c r="U1649" s="62">
        <v>6</v>
      </c>
      <c r="V1649" s="62">
        <v>0</v>
      </c>
      <c r="Y1649" s="62" t="b">
        <v>0</v>
      </c>
      <c r="Z1649" s="62" t="s">
        <v>5623</v>
      </c>
      <c r="AA1649" s="62" t="b">
        <v>0</v>
      </c>
      <c r="AD1649" s="62">
        <v>10.3335828781128</v>
      </c>
      <c r="AE1649" s="62">
        <f t="shared" si="117"/>
        <v>11.3335828781128</v>
      </c>
      <c r="AF1649" s="62" t="s">
        <v>5624</v>
      </c>
      <c r="AH1649" s="189">
        <v>0.1</v>
      </c>
      <c r="AI1649" s="189">
        <v>0.5</v>
      </c>
      <c r="AL1649" s="62">
        <v>35</v>
      </c>
      <c r="BF1649" s="62">
        <v>0</v>
      </c>
      <c r="BI1649" s="62">
        <v>1</v>
      </c>
    </row>
    <row r="1650" spans="1:61" s="62" customFormat="1" ht="26">
      <c r="A1650" s="62">
        <v>21100018</v>
      </c>
      <c r="C1650" s="62">
        <v>4</v>
      </c>
      <c r="F1650" s="181" t="s">
        <v>5401</v>
      </c>
      <c r="G1650" s="106" t="str">
        <f>VLOOKUP(F1650,'#对话模型配置'!A:O,12,FALSE)</f>
        <v>TID_Dialogue_story_gl_charaname_03</v>
      </c>
      <c r="H1650" s="62" t="str">
        <f>VLOOKUP(F1650,'#对话模型配置'!A:O,14,FALSE)</f>
        <v>icon_hero</v>
      </c>
      <c r="I1650" s="62" t="str">
        <f>VLOOKUP(F1650,'#对话模型配置'!A:O,15,FALSE)</f>
        <v>story_linda_big</v>
      </c>
      <c r="J1650" s="184" t="s">
        <v>5625</v>
      </c>
      <c r="K1650" s="185" t="s">
        <v>5626</v>
      </c>
      <c r="L1650" s="62">
        <v>110012</v>
      </c>
      <c r="U1650" s="62">
        <v>6</v>
      </c>
      <c r="V1650" s="62">
        <v>0</v>
      </c>
      <c r="Y1650" s="62" t="b">
        <v>0</v>
      </c>
      <c r="Z1650" s="62" t="s">
        <v>5627</v>
      </c>
      <c r="AA1650" s="62" t="b">
        <v>0</v>
      </c>
      <c r="AD1650" s="62">
        <v>8</v>
      </c>
      <c r="AE1650" s="62">
        <f t="shared" si="117"/>
        <v>9</v>
      </c>
      <c r="AH1650" s="189">
        <v>0.1</v>
      </c>
      <c r="AI1650" s="189">
        <v>0.5</v>
      </c>
      <c r="AL1650" s="62">
        <v>35</v>
      </c>
      <c r="BF1650" s="62">
        <v>0</v>
      </c>
      <c r="BI1650" s="62">
        <v>1</v>
      </c>
    </row>
    <row r="1651" spans="1:61" s="62" customFormat="1" ht="26">
      <c r="A1651" s="62">
        <v>21100018</v>
      </c>
      <c r="C1651" s="62">
        <v>5</v>
      </c>
      <c r="F1651" s="181" t="s">
        <v>4329</v>
      </c>
      <c r="G1651" s="106" t="str">
        <f>VLOOKUP(F1651,'#对话模型配置'!A:O,12,FALSE)</f>
        <v>TID_Dialogue_Character_11</v>
      </c>
      <c r="H1651" s="62" t="str">
        <f>VLOOKUP(F1651,'#对话模型配置'!A:O,14,FALSE)</f>
        <v>icon_hero</v>
      </c>
      <c r="I1651" s="62" t="str">
        <f>VLOOKUP(F1651,'#对话模型配置'!A:O,15,FALSE)</f>
        <v>icon_hero_036_big</v>
      </c>
      <c r="J1651" s="184" t="s">
        <v>5628</v>
      </c>
      <c r="K1651" s="185" t="s">
        <v>5629</v>
      </c>
      <c r="L1651" s="62">
        <v>110003</v>
      </c>
      <c r="U1651" s="62">
        <v>6</v>
      </c>
      <c r="V1651" s="62">
        <v>0</v>
      </c>
      <c r="Y1651" s="62" t="b">
        <v>0</v>
      </c>
      <c r="Z1651" s="62" t="s">
        <v>5630</v>
      </c>
      <c r="AA1651" s="62" t="b">
        <v>0</v>
      </c>
      <c r="AD1651" s="62">
        <v>10.4856462478638</v>
      </c>
      <c r="AE1651" s="62">
        <f t="shared" si="117"/>
        <v>11.4856462478638</v>
      </c>
      <c r="AF1651" s="62" t="s">
        <v>5631</v>
      </c>
      <c r="AH1651" s="189">
        <v>0.1</v>
      </c>
      <c r="AI1651" s="189">
        <v>0.5</v>
      </c>
      <c r="AL1651" s="62">
        <v>35</v>
      </c>
      <c r="BF1651" s="62">
        <v>0</v>
      </c>
      <c r="BI1651" s="62">
        <v>1</v>
      </c>
    </row>
    <row r="1652" spans="1:61" s="62" customFormat="1" ht="26">
      <c r="A1652" s="62">
        <v>21100018</v>
      </c>
      <c r="C1652" s="62">
        <v>6</v>
      </c>
      <c r="F1652" s="181" t="s">
        <v>4329</v>
      </c>
      <c r="G1652" s="106" t="str">
        <f>VLOOKUP(F1652,'#对话模型配置'!A:O,12,FALSE)</f>
        <v>TID_Dialogue_Character_11</v>
      </c>
      <c r="H1652" s="62" t="str">
        <f>VLOOKUP(F1652,'#对话模型配置'!A:O,14,FALSE)</f>
        <v>icon_hero</v>
      </c>
      <c r="I1652" s="62" t="str">
        <f>VLOOKUP(F1652,'#对话模型配置'!A:O,15,FALSE)</f>
        <v>icon_hero_036_big</v>
      </c>
      <c r="J1652" s="184" t="s">
        <v>5632</v>
      </c>
      <c r="K1652" s="185" t="s">
        <v>5633</v>
      </c>
      <c r="L1652" s="62">
        <v>110003</v>
      </c>
      <c r="U1652" s="62">
        <v>6</v>
      </c>
      <c r="V1652" s="62">
        <v>0</v>
      </c>
      <c r="Y1652" s="62" t="b">
        <v>0</v>
      </c>
      <c r="Z1652" s="62" t="s">
        <v>5634</v>
      </c>
      <c r="AA1652" s="62" t="b">
        <v>0</v>
      </c>
      <c r="AD1652" s="62">
        <v>7.6972708702087402</v>
      </c>
      <c r="AE1652" s="62">
        <f t="shared" si="117"/>
        <v>8.6972708702087402</v>
      </c>
      <c r="AF1652" s="62" t="s">
        <v>5635</v>
      </c>
      <c r="AH1652" s="189">
        <v>0.1</v>
      </c>
      <c r="AI1652" s="189">
        <v>0.5</v>
      </c>
      <c r="AL1652" s="62">
        <v>35</v>
      </c>
      <c r="BF1652" s="62">
        <v>0</v>
      </c>
      <c r="BI1652" s="62">
        <v>1</v>
      </c>
    </row>
    <row r="1653" spans="1:61" s="62" customFormat="1" ht="26">
      <c r="A1653" s="62">
        <v>21100018</v>
      </c>
      <c r="C1653" s="62">
        <v>7</v>
      </c>
      <c r="F1653" s="181" t="s">
        <v>5401</v>
      </c>
      <c r="G1653" s="106" t="str">
        <f>VLOOKUP(F1653,'#对话模型配置'!A:O,12,FALSE)</f>
        <v>TID_Dialogue_story_gl_charaname_03</v>
      </c>
      <c r="H1653" s="62" t="str">
        <f>VLOOKUP(F1653,'#对话模型配置'!A:O,14,FALSE)</f>
        <v>icon_hero</v>
      </c>
      <c r="I1653" s="62" t="str">
        <f>VLOOKUP(F1653,'#对话模型配置'!A:O,15,FALSE)</f>
        <v>story_linda_big</v>
      </c>
      <c r="J1653" s="184" t="s">
        <v>5636</v>
      </c>
      <c r="K1653" s="185" t="s">
        <v>5637</v>
      </c>
      <c r="L1653" s="62">
        <v>110012</v>
      </c>
      <c r="U1653" s="62">
        <v>6</v>
      </c>
      <c r="V1653" s="62">
        <v>0</v>
      </c>
      <c r="Y1653" s="62" t="b">
        <v>0</v>
      </c>
      <c r="Z1653" s="62" t="s">
        <v>5638</v>
      </c>
      <c r="AA1653" s="62" t="b">
        <v>0</v>
      </c>
      <c r="AD1653" s="62">
        <v>8</v>
      </c>
      <c r="AE1653" s="62">
        <f t="shared" si="117"/>
        <v>9</v>
      </c>
      <c r="AH1653" s="189">
        <v>0.1</v>
      </c>
      <c r="AI1653" s="189">
        <v>0.5</v>
      </c>
      <c r="AL1653" s="62">
        <v>35</v>
      </c>
      <c r="BF1653" s="62">
        <v>0</v>
      </c>
      <c r="BI1653" s="62">
        <v>1</v>
      </c>
    </row>
    <row r="1654" spans="1:61" s="62" customFormat="1" ht="14.5">
      <c r="A1654" s="62">
        <v>21100018</v>
      </c>
      <c r="C1654" s="62">
        <v>8</v>
      </c>
      <c r="F1654" s="181" t="s">
        <v>4329</v>
      </c>
      <c r="G1654" s="106" t="str">
        <f>VLOOKUP(F1654,'#对话模型配置'!A:O,12,FALSE)</f>
        <v>TID_Dialogue_Character_11</v>
      </c>
      <c r="H1654" s="62" t="str">
        <f>VLOOKUP(F1654,'#对话模型配置'!A:O,14,FALSE)</f>
        <v>icon_hero</v>
      </c>
      <c r="I1654" s="62" t="str">
        <f>VLOOKUP(F1654,'#对话模型配置'!A:O,15,FALSE)</f>
        <v>icon_hero_036_big</v>
      </c>
      <c r="J1654" s="184" t="s">
        <v>5639</v>
      </c>
      <c r="K1654" s="185" t="s">
        <v>5640</v>
      </c>
      <c r="L1654" s="62">
        <v>110003</v>
      </c>
      <c r="U1654" s="62">
        <v>6</v>
      </c>
      <c r="V1654" s="62">
        <v>0</v>
      </c>
      <c r="Y1654" s="62" t="b">
        <v>0</v>
      </c>
      <c r="Z1654" s="62" t="s">
        <v>5641</v>
      </c>
      <c r="AA1654" s="62" t="b">
        <v>0</v>
      </c>
      <c r="AD1654" s="62">
        <v>2.1988539695739702</v>
      </c>
      <c r="AE1654" s="62">
        <f t="shared" si="117"/>
        <v>3.1988539695739702</v>
      </c>
      <c r="AF1654" s="62" t="s">
        <v>5642</v>
      </c>
      <c r="AH1654" s="189">
        <v>0.1</v>
      </c>
      <c r="AI1654" s="189">
        <v>0.5</v>
      </c>
      <c r="AL1654" s="62">
        <v>35</v>
      </c>
      <c r="BF1654" s="62">
        <v>0</v>
      </c>
      <c r="BI1654" s="62">
        <v>1</v>
      </c>
    </row>
    <row r="1655" spans="1:61" s="62" customFormat="1" ht="14.5">
      <c r="A1655" s="62">
        <v>21100018</v>
      </c>
      <c r="C1655" s="62">
        <v>9</v>
      </c>
      <c r="F1655" s="181" t="s">
        <v>5401</v>
      </c>
      <c r="G1655" s="106" t="str">
        <f>VLOOKUP(F1655,'#对话模型配置'!A:O,12,FALSE)</f>
        <v>TID_Dialogue_story_gl_charaname_03</v>
      </c>
      <c r="H1655" s="62" t="str">
        <f>VLOOKUP(F1655,'#对话模型配置'!A:O,14,FALSE)</f>
        <v>icon_hero</v>
      </c>
      <c r="I1655" s="62" t="str">
        <f>VLOOKUP(F1655,'#对话模型配置'!A:O,15,FALSE)</f>
        <v>story_linda_big</v>
      </c>
      <c r="J1655" s="184" t="s">
        <v>5643</v>
      </c>
      <c r="K1655" s="185" t="s">
        <v>5644</v>
      </c>
      <c r="L1655" s="62">
        <v>110012</v>
      </c>
      <c r="U1655" s="62">
        <v>6</v>
      </c>
      <c r="V1655" s="62">
        <v>0</v>
      </c>
      <c r="Y1655" s="62" t="b">
        <v>0</v>
      </c>
      <c r="Z1655" s="62" t="s">
        <v>5645</v>
      </c>
      <c r="AA1655" s="62" t="b">
        <v>0</v>
      </c>
      <c r="AD1655" s="62">
        <v>8</v>
      </c>
      <c r="AE1655" s="62">
        <f t="shared" si="117"/>
        <v>9</v>
      </c>
      <c r="AH1655" s="189">
        <v>0.1</v>
      </c>
      <c r="AI1655" s="189">
        <v>0.5</v>
      </c>
      <c r="AL1655" s="62">
        <v>35</v>
      </c>
      <c r="BF1655" s="62">
        <v>0</v>
      </c>
      <c r="BI1655" s="62">
        <v>1</v>
      </c>
    </row>
    <row r="1656" spans="1:61" s="62" customFormat="1" ht="39">
      <c r="A1656" s="62">
        <v>21100018</v>
      </c>
      <c r="C1656" s="62">
        <v>10</v>
      </c>
      <c r="F1656" s="181" t="s">
        <v>5401</v>
      </c>
      <c r="G1656" s="106" t="str">
        <f>VLOOKUP(F1656,'#对话模型配置'!A:O,12,FALSE)</f>
        <v>TID_Dialogue_story_gl_charaname_03</v>
      </c>
      <c r="H1656" s="62" t="str">
        <f>VLOOKUP(F1656,'#对话模型配置'!A:O,14,FALSE)</f>
        <v>icon_hero</v>
      </c>
      <c r="I1656" s="62" t="str">
        <f>VLOOKUP(F1656,'#对话模型配置'!A:O,15,FALSE)</f>
        <v>story_linda_big</v>
      </c>
      <c r="J1656" s="184" t="s">
        <v>5646</v>
      </c>
      <c r="K1656" s="185" t="s">
        <v>5647</v>
      </c>
      <c r="L1656" s="62">
        <v>110012</v>
      </c>
      <c r="U1656" s="62">
        <v>6</v>
      </c>
      <c r="V1656" s="62">
        <v>0</v>
      </c>
      <c r="Y1656" s="62" t="b">
        <v>0</v>
      </c>
      <c r="Z1656" s="62" t="s">
        <v>5648</v>
      </c>
      <c r="AA1656" s="62" t="b">
        <v>0</v>
      </c>
      <c r="AD1656" s="62">
        <v>8</v>
      </c>
      <c r="AE1656" s="62">
        <f t="shared" si="117"/>
        <v>9</v>
      </c>
      <c r="AH1656" s="189">
        <v>0.1</v>
      </c>
      <c r="AI1656" s="189">
        <v>0.5</v>
      </c>
      <c r="AL1656" s="62">
        <v>35</v>
      </c>
      <c r="BF1656" s="62">
        <v>0</v>
      </c>
      <c r="BI1656" s="62">
        <v>1</v>
      </c>
    </row>
    <row r="1657" spans="1:61" s="62" customFormat="1" ht="14.5">
      <c r="A1657" s="62">
        <v>21100018</v>
      </c>
      <c r="C1657" s="62">
        <v>11</v>
      </c>
      <c r="F1657" s="181" t="s">
        <v>4329</v>
      </c>
      <c r="G1657" s="106" t="str">
        <f>VLOOKUP(F1657,'#对话模型配置'!A:O,12,FALSE)</f>
        <v>TID_Dialogue_Character_11</v>
      </c>
      <c r="H1657" s="62" t="str">
        <f>VLOOKUP(F1657,'#对话模型配置'!A:O,14,FALSE)</f>
        <v>icon_hero</v>
      </c>
      <c r="I1657" s="62" t="str">
        <f>VLOOKUP(F1657,'#对话模型配置'!A:O,15,FALSE)</f>
        <v>icon_hero_036_big</v>
      </c>
      <c r="J1657" s="184" t="s">
        <v>5649</v>
      </c>
      <c r="K1657" s="185" t="s">
        <v>5650</v>
      </c>
      <c r="L1657" s="62">
        <v>110003</v>
      </c>
      <c r="U1657" s="62">
        <v>6</v>
      </c>
      <c r="V1657" s="62">
        <v>0</v>
      </c>
      <c r="Y1657" s="62" t="b">
        <v>0</v>
      </c>
      <c r="Z1657" s="62" t="s">
        <v>5651</v>
      </c>
      <c r="AA1657" s="62" t="b">
        <v>0</v>
      </c>
      <c r="AD1657" s="62">
        <v>6.0551671981811497</v>
      </c>
      <c r="AE1657" s="62">
        <f t="shared" si="117"/>
        <v>7.0551671981811497</v>
      </c>
      <c r="AF1657" s="62" t="s">
        <v>5652</v>
      </c>
      <c r="AH1657" s="189">
        <v>0.1</v>
      </c>
      <c r="AI1657" s="189">
        <v>0.5</v>
      </c>
      <c r="AL1657" s="62">
        <v>35</v>
      </c>
      <c r="BF1657" s="62">
        <v>0</v>
      </c>
      <c r="BI1657" s="62">
        <v>1</v>
      </c>
    </row>
    <row r="1658" spans="1:61" s="62" customFormat="1" ht="39">
      <c r="A1658" s="62">
        <v>21100018</v>
      </c>
      <c r="C1658" s="62">
        <v>12</v>
      </c>
      <c r="F1658" s="181" t="s">
        <v>5401</v>
      </c>
      <c r="G1658" s="106" t="str">
        <f>VLOOKUP(F1658,'#对话模型配置'!A:O,12,FALSE)</f>
        <v>TID_Dialogue_story_gl_charaname_03</v>
      </c>
      <c r="H1658" s="62" t="str">
        <f>VLOOKUP(F1658,'#对话模型配置'!A:O,14,FALSE)</f>
        <v>icon_hero</v>
      </c>
      <c r="I1658" s="62" t="str">
        <f>VLOOKUP(F1658,'#对话模型配置'!A:O,15,FALSE)</f>
        <v>story_linda_big</v>
      </c>
      <c r="J1658" s="184" t="s">
        <v>5653</v>
      </c>
      <c r="K1658" s="185" t="s">
        <v>5654</v>
      </c>
      <c r="L1658" s="62">
        <v>110012</v>
      </c>
      <c r="U1658" s="62">
        <v>6</v>
      </c>
      <c r="V1658" s="62">
        <v>0</v>
      </c>
      <c r="Y1658" s="62" t="b">
        <v>0</v>
      </c>
      <c r="Z1658" s="62" t="s">
        <v>5655</v>
      </c>
      <c r="AA1658" s="62" t="b">
        <v>0</v>
      </c>
      <c r="AD1658" s="62">
        <v>8</v>
      </c>
      <c r="AE1658" s="62">
        <f t="shared" si="117"/>
        <v>9</v>
      </c>
      <c r="AH1658" s="189">
        <v>0.1</v>
      </c>
      <c r="AI1658" s="189">
        <v>0.5</v>
      </c>
      <c r="AL1658" s="62">
        <v>35</v>
      </c>
      <c r="BF1658" s="62">
        <v>0</v>
      </c>
      <c r="BI1658" s="62">
        <v>1</v>
      </c>
    </row>
    <row r="1659" spans="1:61" s="62" customFormat="1" ht="14.5">
      <c r="A1659" s="62">
        <v>21100018</v>
      </c>
      <c r="C1659" s="62">
        <v>13</v>
      </c>
      <c r="F1659" s="181" t="s">
        <v>4329</v>
      </c>
      <c r="G1659" s="106" t="str">
        <f>VLOOKUP(F1659,'#对话模型配置'!A:O,12,FALSE)</f>
        <v>TID_Dialogue_Character_11</v>
      </c>
      <c r="H1659" s="62" t="str">
        <f>VLOOKUP(F1659,'#对话模型配置'!A:O,14,FALSE)</f>
        <v>icon_hero</v>
      </c>
      <c r="I1659" s="62" t="str">
        <f>VLOOKUP(F1659,'#对话模型配置'!A:O,15,FALSE)</f>
        <v>icon_hero_036_big</v>
      </c>
      <c r="J1659" s="184" t="s">
        <v>5656</v>
      </c>
      <c r="K1659" s="185" t="s">
        <v>5657</v>
      </c>
      <c r="L1659" s="62">
        <v>110003</v>
      </c>
      <c r="U1659" s="62">
        <v>6</v>
      </c>
      <c r="V1659" s="62">
        <v>0</v>
      </c>
      <c r="Y1659" s="62" t="b">
        <v>0</v>
      </c>
      <c r="Z1659" s="62" t="s">
        <v>5658</v>
      </c>
      <c r="AA1659" s="62" t="b">
        <v>0</v>
      </c>
      <c r="AD1659" s="62">
        <v>3.5382919311523402</v>
      </c>
      <c r="AE1659" s="62">
        <f t="shared" si="117"/>
        <v>4.5382919311523402</v>
      </c>
      <c r="AF1659" s="62" t="s">
        <v>5659</v>
      </c>
      <c r="AH1659" s="189">
        <v>0.1</v>
      </c>
      <c r="AI1659" s="189">
        <v>0.5</v>
      </c>
      <c r="AL1659" s="62">
        <v>35</v>
      </c>
      <c r="BF1659" s="62">
        <v>0</v>
      </c>
      <c r="BI1659" s="62">
        <v>1</v>
      </c>
    </row>
    <row r="1660" spans="1:61" s="62" customFormat="1" ht="14.5">
      <c r="A1660" s="62">
        <v>21100018</v>
      </c>
      <c r="C1660" s="62">
        <v>14</v>
      </c>
      <c r="F1660" s="181" t="s">
        <v>5401</v>
      </c>
      <c r="G1660" s="106" t="str">
        <f>VLOOKUP(F1660,'#对话模型配置'!A:O,12,FALSE)</f>
        <v>TID_Dialogue_story_gl_charaname_03</v>
      </c>
      <c r="H1660" s="62" t="str">
        <f>VLOOKUP(F1660,'#对话模型配置'!A:O,14,FALSE)</f>
        <v>icon_hero</v>
      </c>
      <c r="I1660" s="62" t="str">
        <f>VLOOKUP(F1660,'#对话模型配置'!A:O,15,FALSE)</f>
        <v>story_linda_big</v>
      </c>
      <c r="J1660" s="184" t="s">
        <v>5660</v>
      </c>
      <c r="K1660" s="185" t="s">
        <v>5661</v>
      </c>
      <c r="L1660" s="62">
        <v>110012</v>
      </c>
      <c r="U1660" s="62">
        <v>6</v>
      </c>
      <c r="V1660" s="62">
        <v>0</v>
      </c>
      <c r="Y1660" s="62" t="b">
        <v>0</v>
      </c>
      <c r="Z1660" s="62" t="s">
        <v>5662</v>
      </c>
      <c r="AA1660" s="62" t="b">
        <v>0</v>
      </c>
      <c r="AD1660" s="62">
        <v>8</v>
      </c>
      <c r="AE1660" s="62">
        <f t="shared" si="117"/>
        <v>9</v>
      </c>
      <c r="AH1660" s="189">
        <v>0.1</v>
      </c>
      <c r="AI1660" s="189">
        <v>0.5</v>
      </c>
      <c r="AL1660" s="62">
        <v>35</v>
      </c>
      <c r="BF1660" s="62">
        <v>0</v>
      </c>
      <c r="BI1660" s="62">
        <v>1</v>
      </c>
    </row>
    <row r="1661" spans="1:61" s="76" customFormat="1" ht="26">
      <c r="A1661" s="76">
        <v>21100019</v>
      </c>
      <c r="C1661" s="76">
        <v>1</v>
      </c>
      <c r="F1661" s="179" t="s">
        <v>4722</v>
      </c>
      <c r="G1661" s="180" t="str">
        <f>VLOOKUP(F1661,'#对话模型配置'!A:O,12,FALSE)</f>
        <v>TID_DialogueConf_1060001_name_CN_Main</v>
      </c>
      <c r="H1661" s="76" t="str">
        <f>VLOOKUP(F1661,'#对话模型配置'!A:O,14,FALSE)</f>
        <v>icon_hero</v>
      </c>
      <c r="I1661" s="76" t="str">
        <f>VLOOKUP(F1661,'#对话模型配置'!A:O,15,FALSE)</f>
        <v>icon_hero_206_big</v>
      </c>
      <c r="J1661" s="182" t="s">
        <v>5663</v>
      </c>
      <c r="K1661" s="183" t="s">
        <v>5664</v>
      </c>
      <c r="L1661" s="76">
        <v>110008</v>
      </c>
      <c r="U1661" s="76">
        <v>6</v>
      </c>
      <c r="V1661" s="76">
        <v>0</v>
      </c>
      <c r="Y1661" s="76" t="b">
        <v>0</v>
      </c>
      <c r="Z1661" s="76" t="s">
        <v>5665</v>
      </c>
      <c r="AA1661" s="76" t="b">
        <v>0</v>
      </c>
      <c r="AD1661" s="76">
        <v>8.8280420303344709</v>
      </c>
      <c r="AE1661" s="76">
        <f t="shared" si="117"/>
        <v>9.8280420303344709</v>
      </c>
      <c r="AF1661" s="76" t="s">
        <v>5666</v>
      </c>
      <c r="AH1661" s="188">
        <v>0.1</v>
      </c>
      <c r="AI1661" s="188">
        <v>0.5</v>
      </c>
      <c r="AL1661" s="76">
        <v>35</v>
      </c>
      <c r="BF1661" s="76">
        <v>0</v>
      </c>
      <c r="BI1661" s="76">
        <v>1</v>
      </c>
    </row>
    <row r="1662" spans="1:61" s="76" customFormat="1" ht="26">
      <c r="A1662" s="76">
        <v>21100019</v>
      </c>
      <c r="C1662" s="76">
        <v>2</v>
      </c>
      <c r="F1662" s="179" t="s">
        <v>4722</v>
      </c>
      <c r="G1662" s="180" t="str">
        <f>VLOOKUP(F1662,'#对话模型配置'!A:O,12,FALSE)</f>
        <v>TID_DialogueConf_1060001_name_CN_Main</v>
      </c>
      <c r="H1662" s="76" t="str">
        <f>VLOOKUP(F1662,'#对话模型配置'!A:O,14,FALSE)</f>
        <v>icon_hero</v>
      </c>
      <c r="I1662" s="76" t="str">
        <f>VLOOKUP(F1662,'#对话模型配置'!A:O,15,FALSE)</f>
        <v>icon_hero_206_big</v>
      </c>
      <c r="J1662" s="182" t="s">
        <v>5667</v>
      </c>
      <c r="K1662" s="183" t="s">
        <v>5668</v>
      </c>
      <c r="L1662" s="76">
        <v>110008</v>
      </c>
      <c r="U1662" s="76">
        <v>6</v>
      </c>
      <c r="V1662" s="76">
        <v>0</v>
      </c>
      <c r="Y1662" s="76" t="b">
        <v>0</v>
      </c>
      <c r="Z1662" s="76" t="s">
        <v>5669</v>
      </c>
      <c r="AA1662" s="76" t="b">
        <v>0</v>
      </c>
      <c r="AD1662" s="76">
        <v>8.9880828857421893</v>
      </c>
      <c r="AE1662" s="76">
        <f t="shared" si="117"/>
        <v>9.9880828857421893</v>
      </c>
      <c r="AF1662" s="76" t="s">
        <v>5670</v>
      </c>
      <c r="AH1662" s="188">
        <v>0.1</v>
      </c>
      <c r="AI1662" s="188">
        <v>0.5</v>
      </c>
      <c r="AL1662" s="76">
        <v>35</v>
      </c>
      <c r="BF1662" s="76">
        <v>0</v>
      </c>
      <c r="BI1662" s="76">
        <v>1</v>
      </c>
    </row>
    <row r="1663" spans="1:61" s="76" customFormat="1" ht="14.5">
      <c r="A1663" s="76">
        <v>21100019</v>
      </c>
      <c r="C1663" s="76">
        <v>3</v>
      </c>
      <c r="F1663" s="179" t="s">
        <v>4329</v>
      </c>
      <c r="G1663" s="180" t="str">
        <f>VLOOKUP(F1663,'#对话模型配置'!A:O,12,FALSE)</f>
        <v>TID_Dialogue_Character_11</v>
      </c>
      <c r="H1663" s="76" t="str">
        <f>VLOOKUP(F1663,'#对话模型配置'!A:O,14,FALSE)</f>
        <v>icon_hero</v>
      </c>
      <c r="I1663" s="76" t="str">
        <f>VLOOKUP(F1663,'#对话模型配置'!A:O,15,FALSE)</f>
        <v>icon_hero_036_big</v>
      </c>
      <c r="J1663" s="182" t="s">
        <v>5671</v>
      </c>
      <c r="K1663" s="183" t="s">
        <v>5672</v>
      </c>
      <c r="L1663" s="76">
        <v>110003</v>
      </c>
      <c r="U1663" s="76">
        <v>6</v>
      </c>
      <c r="V1663" s="76">
        <v>0</v>
      </c>
      <c r="Y1663" s="76" t="b">
        <v>0</v>
      </c>
      <c r="Z1663" s="76" t="s">
        <v>5673</v>
      </c>
      <c r="AA1663" s="76" t="b">
        <v>0</v>
      </c>
      <c r="AD1663" s="76">
        <v>3.1098120212554901</v>
      </c>
      <c r="AE1663" s="76">
        <f t="shared" si="117"/>
        <v>4.1098120212554896</v>
      </c>
      <c r="AF1663" s="76" t="s">
        <v>5674</v>
      </c>
      <c r="AH1663" s="188">
        <v>0.1</v>
      </c>
      <c r="AI1663" s="188">
        <v>0.5</v>
      </c>
      <c r="AL1663" s="76">
        <v>35</v>
      </c>
      <c r="BF1663" s="76">
        <v>0</v>
      </c>
      <c r="BI1663" s="76">
        <v>1</v>
      </c>
    </row>
    <row r="1664" spans="1:61" s="76" customFormat="1" ht="39">
      <c r="A1664" s="76">
        <v>21100019</v>
      </c>
      <c r="C1664" s="76">
        <v>4</v>
      </c>
      <c r="F1664" s="179" t="s">
        <v>4722</v>
      </c>
      <c r="G1664" s="180" t="str">
        <f>VLOOKUP(F1664,'#对话模型配置'!A:O,12,FALSE)</f>
        <v>TID_DialogueConf_1060001_name_CN_Main</v>
      </c>
      <c r="H1664" s="76" t="str">
        <f>VLOOKUP(F1664,'#对话模型配置'!A:O,14,FALSE)</f>
        <v>icon_hero</v>
      </c>
      <c r="I1664" s="76" t="str">
        <f>VLOOKUP(F1664,'#对话模型配置'!A:O,15,FALSE)</f>
        <v>icon_hero_206_big</v>
      </c>
      <c r="J1664" s="182" t="s">
        <v>5675</v>
      </c>
      <c r="K1664" s="183" t="s">
        <v>5676</v>
      </c>
      <c r="L1664" s="76">
        <v>110008</v>
      </c>
      <c r="U1664" s="76">
        <v>6</v>
      </c>
      <c r="V1664" s="76">
        <v>0</v>
      </c>
      <c r="Y1664" s="76" t="b">
        <v>0</v>
      </c>
      <c r="Z1664" s="76" t="s">
        <v>5677</v>
      </c>
      <c r="AA1664" s="76" t="b">
        <v>0</v>
      </c>
      <c r="AD1664" s="76">
        <v>13.981604576110801</v>
      </c>
      <c r="AE1664" s="76">
        <f t="shared" si="117"/>
        <v>14.981604576110801</v>
      </c>
      <c r="AF1664" s="76" t="s">
        <v>5678</v>
      </c>
      <c r="AH1664" s="188">
        <v>0.1</v>
      </c>
      <c r="AI1664" s="188">
        <v>0.5</v>
      </c>
      <c r="AL1664" s="76">
        <v>35</v>
      </c>
      <c r="BF1664" s="76">
        <v>0</v>
      </c>
      <c r="BI1664" s="76">
        <v>1</v>
      </c>
    </row>
    <row r="1665" spans="1:61" s="62" customFormat="1" ht="14.5">
      <c r="A1665" s="62">
        <v>21200019</v>
      </c>
      <c r="C1665" s="62">
        <v>1</v>
      </c>
      <c r="F1665" s="181" t="s">
        <v>5679</v>
      </c>
      <c r="G1665" s="106" t="str">
        <f>VLOOKUP(F1665,'#对话模型配置'!A:O,12,FALSE)</f>
        <v>TID_Dialogue_story_gl_charaname_04</v>
      </c>
      <c r="H1665" s="62" t="str">
        <f>VLOOKUP(F1665,'#对话模型配置'!A:O,14,FALSE)</f>
        <v>icon_hero</v>
      </c>
      <c r="I1665" s="62" t="str">
        <f>VLOOKUP(F1665,'#对话模型配置'!A:O,15,FALSE)</f>
        <v>story_peasant_big</v>
      </c>
      <c r="J1665" s="184" t="s">
        <v>5680</v>
      </c>
      <c r="K1665" s="185" t="s">
        <v>5681</v>
      </c>
      <c r="L1665" s="62">
        <v>110010</v>
      </c>
      <c r="U1665" s="62">
        <v>6</v>
      </c>
      <c r="V1665" s="62">
        <v>0</v>
      </c>
      <c r="Y1665" s="62" t="b">
        <v>0</v>
      </c>
      <c r="Z1665" s="62" t="s">
        <v>5682</v>
      </c>
      <c r="AA1665" s="62" t="b">
        <v>0</v>
      </c>
      <c r="AD1665" s="62">
        <v>4.05985403060913</v>
      </c>
      <c r="AE1665" s="62">
        <f t="shared" si="117"/>
        <v>5.05985403060913</v>
      </c>
      <c r="AF1665" s="62" t="s">
        <v>5683</v>
      </c>
      <c r="AH1665" s="189">
        <v>0.1</v>
      </c>
      <c r="AI1665" s="189">
        <v>0.5</v>
      </c>
      <c r="AL1665" s="62">
        <v>35</v>
      </c>
      <c r="BF1665" s="62">
        <v>0</v>
      </c>
      <c r="BI1665" s="62">
        <v>1</v>
      </c>
    </row>
    <row r="1666" spans="1:61" s="62" customFormat="1" ht="14.5">
      <c r="A1666" s="62">
        <v>21200019</v>
      </c>
      <c r="C1666" s="62">
        <v>2</v>
      </c>
      <c r="F1666" s="181" t="s">
        <v>4722</v>
      </c>
      <c r="G1666" s="106" t="str">
        <f>VLOOKUP(F1666,'#对话模型配置'!A:O,12,FALSE)</f>
        <v>TID_DialogueConf_1060001_name_CN_Main</v>
      </c>
      <c r="H1666" s="62" t="str">
        <f>VLOOKUP(F1666,'#对话模型配置'!A:O,14,FALSE)</f>
        <v>icon_hero</v>
      </c>
      <c r="I1666" s="62" t="str">
        <f>VLOOKUP(F1666,'#对话模型配置'!A:O,15,FALSE)</f>
        <v>icon_hero_206_big</v>
      </c>
      <c r="J1666" s="184" t="s">
        <v>5684</v>
      </c>
      <c r="K1666" s="185" t="s">
        <v>5685</v>
      </c>
      <c r="L1666" s="62">
        <v>110008</v>
      </c>
      <c r="U1666" s="62">
        <v>6</v>
      </c>
      <c r="V1666" s="62">
        <v>0</v>
      </c>
      <c r="Y1666" s="62" t="b">
        <v>0</v>
      </c>
      <c r="Z1666" s="62" t="s">
        <v>5686</v>
      </c>
      <c r="AA1666" s="62" t="b">
        <v>0</v>
      </c>
      <c r="AD1666" s="62">
        <v>1.62047898769379</v>
      </c>
      <c r="AE1666" s="62">
        <f t="shared" si="117"/>
        <v>2.6204789876937902</v>
      </c>
      <c r="AF1666" s="62" t="s">
        <v>5687</v>
      </c>
      <c r="AH1666" s="189">
        <v>0.1</v>
      </c>
      <c r="AI1666" s="189">
        <v>0.5</v>
      </c>
      <c r="AL1666" s="62">
        <v>35</v>
      </c>
      <c r="BF1666" s="62">
        <v>0</v>
      </c>
      <c r="BI1666" s="62">
        <v>1</v>
      </c>
    </row>
    <row r="1667" spans="1:61" s="62" customFormat="1" ht="14.5">
      <c r="A1667" s="62">
        <v>21200019</v>
      </c>
      <c r="C1667" s="62">
        <v>3</v>
      </c>
      <c r="F1667" s="181" t="s">
        <v>5679</v>
      </c>
      <c r="G1667" s="106" t="str">
        <f>VLOOKUP(F1667,'#对话模型配置'!A:O,12,FALSE)</f>
        <v>TID_Dialogue_story_gl_charaname_04</v>
      </c>
      <c r="H1667" s="62" t="str">
        <f>VLOOKUP(F1667,'#对话模型配置'!A:O,14,FALSE)</f>
        <v>icon_hero</v>
      </c>
      <c r="I1667" s="62" t="str">
        <f>VLOOKUP(F1667,'#对话模型配置'!A:O,15,FALSE)</f>
        <v>story_peasant_big</v>
      </c>
      <c r="J1667" s="184" t="s">
        <v>5688</v>
      </c>
      <c r="K1667" s="185" t="s">
        <v>5689</v>
      </c>
      <c r="L1667" s="62">
        <v>110010</v>
      </c>
      <c r="U1667" s="62">
        <v>6</v>
      </c>
      <c r="V1667" s="62">
        <v>0</v>
      </c>
      <c r="Y1667" s="62" t="b">
        <v>0</v>
      </c>
      <c r="Z1667" s="62" t="s">
        <v>5690</v>
      </c>
      <c r="AA1667" s="62" t="b">
        <v>0</v>
      </c>
      <c r="AD1667" s="62">
        <v>3.0328960418701199</v>
      </c>
      <c r="AE1667" s="62">
        <f t="shared" si="117"/>
        <v>4.0328960418701199</v>
      </c>
      <c r="AF1667" s="62" t="s">
        <v>5691</v>
      </c>
      <c r="AH1667" s="189">
        <v>0.1</v>
      </c>
      <c r="AI1667" s="189">
        <v>0.5</v>
      </c>
      <c r="AL1667" s="62">
        <v>35</v>
      </c>
      <c r="BF1667" s="62">
        <v>0</v>
      </c>
      <c r="BI1667" s="62">
        <v>1</v>
      </c>
    </row>
    <row r="1668" spans="1:61" s="62" customFormat="1" ht="14.5">
      <c r="A1668" s="62">
        <v>21200019</v>
      </c>
      <c r="C1668" s="62">
        <v>4</v>
      </c>
      <c r="F1668" s="181" t="s">
        <v>4722</v>
      </c>
      <c r="G1668" s="106" t="str">
        <f>VLOOKUP(F1668,'#对话模型配置'!A:O,12,FALSE)</f>
        <v>TID_DialogueConf_1060001_name_CN_Main</v>
      </c>
      <c r="H1668" s="62" t="str">
        <f>VLOOKUP(F1668,'#对话模型配置'!A:O,14,FALSE)</f>
        <v>icon_hero</v>
      </c>
      <c r="I1668" s="62" t="str">
        <f>VLOOKUP(F1668,'#对话模型配置'!A:O,15,FALSE)</f>
        <v>icon_hero_206_big</v>
      </c>
      <c r="J1668" s="184" t="s">
        <v>5692</v>
      </c>
      <c r="K1668" s="185" t="s">
        <v>5693</v>
      </c>
      <c r="L1668" s="62">
        <v>110008</v>
      </c>
      <c r="U1668" s="62">
        <v>6</v>
      </c>
      <c r="V1668" s="62">
        <v>0</v>
      </c>
      <c r="Y1668" s="62" t="b">
        <v>0</v>
      </c>
      <c r="Z1668" s="62" t="s">
        <v>5694</v>
      </c>
      <c r="AA1668" s="62" t="b">
        <v>0</v>
      </c>
      <c r="AD1668" s="62">
        <v>5.8647918701171902</v>
      </c>
      <c r="AE1668" s="62">
        <f t="shared" si="117"/>
        <v>6.8647918701171902</v>
      </c>
      <c r="AF1668" s="62" t="s">
        <v>5695</v>
      </c>
      <c r="AH1668" s="189">
        <v>0.1</v>
      </c>
      <c r="AI1668" s="189">
        <v>0.5</v>
      </c>
      <c r="AL1668" s="62">
        <v>35</v>
      </c>
      <c r="BF1668" s="62">
        <v>0</v>
      </c>
      <c r="BI1668" s="62">
        <v>1</v>
      </c>
    </row>
    <row r="1669" spans="1:61" s="62" customFormat="1" ht="26">
      <c r="A1669" s="62">
        <v>21200019</v>
      </c>
      <c r="C1669" s="62">
        <v>5</v>
      </c>
      <c r="F1669" s="181" t="s">
        <v>5679</v>
      </c>
      <c r="G1669" s="106" t="str">
        <f>VLOOKUP(F1669,'#对话模型配置'!A:O,12,FALSE)</f>
        <v>TID_Dialogue_story_gl_charaname_04</v>
      </c>
      <c r="H1669" s="62" t="str">
        <f>VLOOKUP(F1669,'#对话模型配置'!A:O,14,FALSE)</f>
        <v>icon_hero</v>
      </c>
      <c r="I1669" s="62" t="str">
        <f>VLOOKUP(F1669,'#对话模型配置'!A:O,15,FALSE)</f>
        <v>story_peasant_big</v>
      </c>
      <c r="J1669" s="184" t="s">
        <v>5696</v>
      </c>
      <c r="K1669" s="185" t="s">
        <v>5697</v>
      </c>
      <c r="L1669" s="62">
        <v>110010</v>
      </c>
      <c r="U1669" s="62">
        <v>6</v>
      </c>
      <c r="V1669" s="62">
        <v>0</v>
      </c>
      <c r="Y1669" s="62" t="b">
        <v>0</v>
      </c>
      <c r="Z1669" s="62" t="s">
        <v>5698</v>
      </c>
      <c r="AA1669" s="62" t="b">
        <v>0</v>
      </c>
      <c r="AD1669" s="62">
        <v>7.2268328666687003</v>
      </c>
      <c r="AE1669" s="62">
        <f t="shared" si="117"/>
        <v>8.2268328666687012</v>
      </c>
      <c r="AF1669" s="62" t="s">
        <v>5699</v>
      </c>
      <c r="AH1669" s="189">
        <v>0.1</v>
      </c>
      <c r="AI1669" s="189">
        <v>0.5</v>
      </c>
      <c r="AL1669" s="62">
        <v>35</v>
      </c>
      <c r="BF1669" s="62">
        <v>0</v>
      </c>
      <c r="BI1669" s="62">
        <v>1</v>
      </c>
    </row>
    <row r="1670" spans="1:61" s="62" customFormat="1" ht="14.5">
      <c r="A1670" s="62">
        <v>21200019</v>
      </c>
      <c r="C1670" s="62">
        <v>6</v>
      </c>
      <c r="F1670" s="181" t="s">
        <v>5679</v>
      </c>
      <c r="G1670" s="106" t="str">
        <f>VLOOKUP(F1670,'#对话模型配置'!A:O,12,FALSE)</f>
        <v>TID_Dialogue_story_gl_charaname_04</v>
      </c>
      <c r="H1670" s="62" t="str">
        <f>VLOOKUP(F1670,'#对话模型配置'!A:O,14,FALSE)</f>
        <v>icon_hero</v>
      </c>
      <c r="I1670" s="62" t="str">
        <f>VLOOKUP(F1670,'#对话模型配置'!A:O,15,FALSE)</f>
        <v>story_peasant_big</v>
      </c>
      <c r="J1670" s="184" t="s">
        <v>5700</v>
      </c>
      <c r="K1670" s="185" t="s">
        <v>5701</v>
      </c>
      <c r="L1670" s="62">
        <v>110010</v>
      </c>
      <c r="U1670" s="62">
        <v>6</v>
      </c>
      <c r="V1670" s="62">
        <v>0</v>
      </c>
      <c r="Y1670" s="62" t="b">
        <v>0</v>
      </c>
      <c r="Z1670" s="62" t="s">
        <v>5702</v>
      </c>
      <c r="AA1670" s="62" t="b">
        <v>0</v>
      </c>
      <c r="AD1670" s="62">
        <v>6.2547922134399396</v>
      </c>
      <c r="AE1670" s="62">
        <f t="shared" si="117"/>
        <v>7.2547922134399396</v>
      </c>
      <c r="AF1670" s="62" t="s">
        <v>5703</v>
      </c>
      <c r="AH1670" s="189">
        <v>0.1</v>
      </c>
      <c r="AI1670" s="189">
        <v>0.5</v>
      </c>
      <c r="AL1670" s="62">
        <v>35</v>
      </c>
      <c r="BF1670" s="62">
        <v>0</v>
      </c>
      <c r="BI1670" s="62">
        <v>1</v>
      </c>
    </row>
    <row r="1671" spans="1:61" s="62" customFormat="1" ht="14.5">
      <c r="A1671" s="62">
        <v>21200019</v>
      </c>
      <c r="C1671" s="62">
        <v>7</v>
      </c>
      <c r="F1671" s="181" t="s">
        <v>5679</v>
      </c>
      <c r="G1671" s="106" t="str">
        <f>VLOOKUP(F1671,'#对话模型配置'!A:O,12,FALSE)</f>
        <v>TID_Dialogue_story_gl_charaname_04</v>
      </c>
      <c r="H1671" s="62" t="str">
        <f>VLOOKUP(F1671,'#对话模型配置'!A:O,14,FALSE)</f>
        <v>icon_hero</v>
      </c>
      <c r="I1671" s="62" t="str">
        <f>VLOOKUP(F1671,'#对话模型配置'!A:O,15,FALSE)</f>
        <v>story_peasant_big</v>
      </c>
      <c r="J1671" s="184" t="s">
        <v>5704</v>
      </c>
      <c r="K1671" s="185" t="s">
        <v>5705</v>
      </c>
      <c r="L1671" s="62">
        <v>110010</v>
      </c>
      <c r="U1671" s="62">
        <v>6</v>
      </c>
      <c r="V1671" s="62">
        <v>0</v>
      </c>
      <c r="Y1671" s="62" t="b">
        <v>0</v>
      </c>
      <c r="Z1671" s="62" t="s">
        <v>5706</v>
      </c>
      <c r="AA1671" s="62" t="b">
        <v>0</v>
      </c>
      <c r="AD1671" s="62">
        <v>5.2122921943664604</v>
      </c>
      <c r="AE1671" s="62">
        <f t="shared" si="117"/>
        <v>6.2122921943664604</v>
      </c>
      <c r="AF1671" s="62" t="s">
        <v>5707</v>
      </c>
      <c r="AH1671" s="189">
        <v>0.1</v>
      </c>
      <c r="AI1671" s="189">
        <v>0.5</v>
      </c>
      <c r="AL1671" s="62">
        <v>35</v>
      </c>
      <c r="BF1671" s="62">
        <v>0</v>
      </c>
      <c r="BI1671" s="62">
        <v>1</v>
      </c>
    </row>
    <row r="1672" spans="1:61" s="62" customFormat="1" ht="14.5">
      <c r="A1672" s="62">
        <v>21200019</v>
      </c>
      <c r="C1672" s="62">
        <v>8</v>
      </c>
      <c r="F1672" s="181" t="s">
        <v>4722</v>
      </c>
      <c r="G1672" s="106" t="str">
        <f>VLOOKUP(F1672,'#对话模型配置'!A:O,12,FALSE)</f>
        <v>TID_DialogueConf_1060001_name_CN_Main</v>
      </c>
      <c r="H1672" s="62" t="str">
        <f>VLOOKUP(F1672,'#对话模型配置'!A:O,14,FALSE)</f>
        <v>icon_hero</v>
      </c>
      <c r="I1672" s="62" t="str">
        <f>VLOOKUP(F1672,'#对话模型配置'!A:O,15,FALSE)</f>
        <v>icon_hero_206_big</v>
      </c>
      <c r="J1672" s="184" t="s">
        <v>5708</v>
      </c>
      <c r="K1672" s="185" t="s">
        <v>5709</v>
      </c>
      <c r="L1672" s="62">
        <v>110008</v>
      </c>
      <c r="U1672" s="62">
        <v>6</v>
      </c>
      <c r="V1672" s="62">
        <v>0</v>
      </c>
      <c r="Y1672" s="62" t="b">
        <v>0</v>
      </c>
      <c r="Z1672" s="62" t="s">
        <v>5710</v>
      </c>
      <c r="AA1672" s="62" t="b">
        <v>0</v>
      </c>
      <c r="AD1672" s="62">
        <v>5.1851038932800302</v>
      </c>
      <c r="AE1672" s="62">
        <f t="shared" si="117"/>
        <v>6.1851038932800302</v>
      </c>
      <c r="AF1672" s="62" t="s">
        <v>5711</v>
      </c>
      <c r="AH1672" s="189">
        <v>0.1</v>
      </c>
      <c r="AI1672" s="189">
        <v>0.5</v>
      </c>
      <c r="AL1672" s="62">
        <v>35</v>
      </c>
      <c r="BF1672" s="62">
        <v>0</v>
      </c>
      <c r="BI1672" s="62">
        <v>1</v>
      </c>
    </row>
    <row r="1673" spans="1:61" s="62" customFormat="1" ht="26">
      <c r="A1673" s="62">
        <v>21200019</v>
      </c>
      <c r="C1673" s="62">
        <v>9</v>
      </c>
      <c r="F1673" s="181" t="s">
        <v>4329</v>
      </c>
      <c r="G1673" s="106" t="str">
        <f>VLOOKUP(F1673,'#对话模型配置'!A:O,12,FALSE)</f>
        <v>TID_Dialogue_Character_11</v>
      </c>
      <c r="H1673" s="62" t="str">
        <f>VLOOKUP(F1673,'#对话模型配置'!A:O,14,FALSE)</f>
        <v>icon_hero</v>
      </c>
      <c r="I1673" s="62" t="str">
        <f>VLOOKUP(F1673,'#对话模型配置'!A:O,15,FALSE)</f>
        <v>icon_hero_036_big</v>
      </c>
      <c r="J1673" s="184" t="s">
        <v>5712</v>
      </c>
      <c r="K1673" s="185" t="s">
        <v>5713</v>
      </c>
      <c r="L1673" s="62">
        <v>110003</v>
      </c>
      <c r="U1673" s="62">
        <v>6</v>
      </c>
      <c r="V1673" s="62">
        <v>0</v>
      </c>
      <c r="Y1673" s="62" t="b">
        <v>0</v>
      </c>
      <c r="Z1673" s="62" t="s">
        <v>5714</v>
      </c>
      <c r="AA1673" s="62" t="b">
        <v>0</v>
      </c>
      <c r="AD1673" s="62">
        <v>5.5543131828308097</v>
      </c>
      <c r="AE1673" s="62">
        <f t="shared" si="117"/>
        <v>6.5543131828308097</v>
      </c>
      <c r="AF1673" s="62" t="s">
        <v>5715</v>
      </c>
      <c r="AH1673" s="189">
        <v>0.1</v>
      </c>
      <c r="AI1673" s="189">
        <v>0.5</v>
      </c>
      <c r="AL1673" s="62">
        <v>35</v>
      </c>
      <c r="BF1673" s="62">
        <v>0</v>
      </c>
      <c r="BI1673" s="62">
        <v>1</v>
      </c>
    </row>
    <row r="1674" spans="1:61" s="62" customFormat="1" ht="26">
      <c r="A1674" s="62">
        <v>21200019</v>
      </c>
      <c r="C1674" s="62">
        <v>10</v>
      </c>
      <c r="F1674" s="181" t="s">
        <v>4329</v>
      </c>
      <c r="G1674" s="106" t="str">
        <f>VLOOKUP(F1674,'#对话模型配置'!A:O,12,FALSE)</f>
        <v>TID_Dialogue_Character_11</v>
      </c>
      <c r="H1674" s="62" t="str">
        <f>VLOOKUP(F1674,'#对话模型配置'!A:O,14,FALSE)</f>
        <v>icon_hero</v>
      </c>
      <c r="I1674" s="62" t="str">
        <f>VLOOKUP(F1674,'#对话模型配置'!A:O,15,FALSE)</f>
        <v>icon_hero_036_big</v>
      </c>
      <c r="J1674" s="184" t="s">
        <v>5716</v>
      </c>
      <c r="K1674" s="185" t="s">
        <v>5717</v>
      </c>
      <c r="L1674" s="62">
        <v>110003</v>
      </c>
      <c r="U1674" s="62">
        <v>6</v>
      </c>
      <c r="V1674" s="62">
        <v>0</v>
      </c>
      <c r="Y1674" s="62" t="b">
        <v>0</v>
      </c>
      <c r="Z1674" s="62" t="s">
        <v>5718</v>
      </c>
      <c r="AA1674" s="62" t="b">
        <v>0</v>
      </c>
      <c r="AD1674" s="62">
        <v>12.0815830230713</v>
      </c>
      <c r="AE1674" s="62">
        <f t="shared" si="117"/>
        <v>13.0815830230713</v>
      </c>
      <c r="AF1674" s="62" t="s">
        <v>5719</v>
      </c>
      <c r="AH1674" s="189">
        <v>0.1</v>
      </c>
      <c r="AI1674" s="189">
        <v>0.5</v>
      </c>
      <c r="AL1674" s="62">
        <v>35</v>
      </c>
      <c r="BF1674" s="62">
        <v>0</v>
      </c>
      <c r="BI1674" s="62">
        <v>1</v>
      </c>
    </row>
    <row r="1675" spans="1:61" s="76" customFormat="1" ht="39">
      <c r="A1675" s="76">
        <v>21100020</v>
      </c>
      <c r="C1675" s="76">
        <v>1</v>
      </c>
      <c r="F1675" s="179" t="s">
        <v>4722</v>
      </c>
      <c r="G1675" s="180" t="str">
        <f>VLOOKUP(F1675,'#对话模型配置'!A:O,12,FALSE)</f>
        <v>TID_DialogueConf_1060001_name_CN_Main</v>
      </c>
      <c r="H1675" s="76" t="str">
        <f>VLOOKUP(F1675,'#对话模型配置'!A:O,14,FALSE)</f>
        <v>icon_hero</v>
      </c>
      <c r="I1675" s="76" t="str">
        <f>VLOOKUP(F1675,'#对话模型配置'!A:O,15,FALSE)</f>
        <v>icon_hero_206_big</v>
      </c>
      <c r="J1675" s="182" t="s">
        <v>5720</v>
      </c>
      <c r="K1675" s="183" t="s">
        <v>5721</v>
      </c>
      <c r="L1675" s="76">
        <v>110008</v>
      </c>
      <c r="U1675" s="76">
        <v>6</v>
      </c>
      <c r="V1675" s="76">
        <v>0</v>
      </c>
      <c r="Y1675" s="76" t="b">
        <v>0</v>
      </c>
      <c r="Z1675" s="76" t="s">
        <v>5722</v>
      </c>
      <c r="AA1675" s="76" t="b">
        <v>0</v>
      </c>
      <c r="AD1675" s="76">
        <v>16.1572074890137</v>
      </c>
      <c r="AE1675" s="76">
        <f t="shared" si="117"/>
        <v>17.1572074890137</v>
      </c>
      <c r="AF1675" s="76" t="s">
        <v>5723</v>
      </c>
      <c r="AH1675" s="188">
        <v>0.1</v>
      </c>
      <c r="AI1675" s="188">
        <v>0.5</v>
      </c>
      <c r="AL1675" s="76">
        <v>35</v>
      </c>
      <c r="BF1675" s="76">
        <v>0</v>
      </c>
      <c r="BI1675" s="76">
        <v>1</v>
      </c>
    </row>
    <row r="1676" spans="1:61" s="62" customFormat="1" ht="26">
      <c r="A1676" s="62">
        <v>21200020</v>
      </c>
      <c r="C1676" s="62">
        <v>1</v>
      </c>
      <c r="F1676" s="181" t="s">
        <v>5401</v>
      </c>
      <c r="G1676" s="106" t="str">
        <f>VLOOKUP(F1676,'#对话模型配置'!A:O,12,FALSE)</f>
        <v>TID_Dialogue_story_gl_charaname_03</v>
      </c>
      <c r="H1676" s="62" t="str">
        <f>VLOOKUP(F1676,'#对话模型配置'!A:O,14,FALSE)</f>
        <v>icon_hero</v>
      </c>
      <c r="I1676" s="62" t="str">
        <f>VLOOKUP(F1676,'#对话模型配置'!A:O,15,FALSE)</f>
        <v>story_linda_big</v>
      </c>
      <c r="J1676" s="184" t="s">
        <v>5724</v>
      </c>
      <c r="K1676" s="185" t="s">
        <v>5725</v>
      </c>
      <c r="L1676" s="62">
        <v>110012</v>
      </c>
      <c r="U1676" s="62">
        <v>6</v>
      </c>
      <c r="V1676" s="62">
        <v>0</v>
      </c>
      <c r="Y1676" s="62" t="b">
        <v>0</v>
      </c>
      <c r="Z1676" s="62" t="s">
        <v>5726</v>
      </c>
      <c r="AA1676" s="62" t="b">
        <v>0</v>
      </c>
      <c r="AD1676" s="62">
        <v>9.5627288818359393</v>
      </c>
      <c r="AE1676" s="62">
        <f t="shared" si="117"/>
        <v>10.562728881835939</v>
      </c>
      <c r="AF1676" s="62" t="s">
        <v>5727</v>
      </c>
      <c r="AH1676" s="189">
        <v>0.1</v>
      </c>
      <c r="AI1676" s="189">
        <v>0.5</v>
      </c>
      <c r="AL1676" s="62">
        <v>35</v>
      </c>
      <c r="BF1676" s="62">
        <v>0</v>
      </c>
      <c r="BI1676" s="62">
        <v>1</v>
      </c>
    </row>
    <row r="1677" spans="1:61" s="62" customFormat="1" ht="26">
      <c r="A1677" s="62">
        <v>21200020</v>
      </c>
      <c r="C1677" s="62">
        <v>2</v>
      </c>
      <c r="F1677" s="181" t="s">
        <v>4329</v>
      </c>
      <c r="G1677" s="106" t="str">
        <f>VLOOKUP(F1677,'#对话模型配置'!A:O,12,FALSE)</f>
        <v>TID_Dialogue_Character_11</v>
      </c>
      <c r="H1677" s="62" t="str">
        <f>VLOOKUP(F1677,'#对话模型配置'!A:O,14,FALSE)</f>
        <v>icon_hero</v>
      </c>
      <c r="I1677" s="62" t="str">
        <f>VLOOKUP(F1677,'#对话模型配置'!A:O,15,FALSE)</f>
        <v>icon_hero_036_big</v>
      </c>
      <c r="J1677" s="184" t="s">
        <v>5728</v>
      </c>
      <c r="K1677" s="185" t="s">
        <v>5729</v>
      </c>
      <c r="L1677" s="62">
        <v>110003</v>
      </c>
      <c r="U1677" s="62">
        <v>6</v>
      </c>
      <c r="V1677" s="62">
        <v>0</v>
      </c>
      <c r="Y1677" s="62" t="b">
        <v>0</v>
      </c>
      <c r="Z1677" s="62" t="s">
        <v>5730</v>
      </c>
      <c r="AA1677" s="62" t="b">
        <v>0</v>
      </c>
      <c r="AD1677" s="62">
        <v>8.5387706756591797</v>
      </c>
      <c r="AE1677" s="62">
        <f t="shared" si="117"/>
        <v>9.5387706756591797</v>
      </c>
      <c r="AF1677" s="62" t="s">
        <v>5731</v>
      </c>
      <c r="AH1677" s="189">
        <v>0.1</v>
      </c>
      <c r="AI1677" s="189">
        <v>0.5</v>
      </c>
      <c r="AL1677" s="62">
        <v>35</v>
      </c>
      <c r="BF1677" s="62">
        <v>0</v>
      </c>
      <c r="BI1677" s="62">
        <v>1</v>
      </c>
    </row>
    <row r="1678" spans="1:61" s="62" customFormat="1" ht="39">
      <c r="A1678" s="62">
        <v>21200020</v>
      </c>
      <c r="C1678" s="62">
        <v>3</v>
      </c>
      <c r="F1678" s="181" t="s">
        <v>5401</v>
      </c>
      <c r="G1678" s="106" t="str">
        <f>VLOOKUP(F1678,'#对话模型配置'!A:O,12,FALSE)</f>
        <v>TID_Dialogue_story_gl_charaname_03</v>
      </c>
      <c r="H1678" s="62" t="str">
        <f>VLOOKUP(F1678,'#对话模型配置'!A:O,14,FALSE)</f>
        <v>icon_hero</v>
      </c>
      <c r="I1678" s="62" t="str">
        <f>VLOOKUP(F1678,'#对话模型配置'!A:O,15,FALSE)</f>
        <v>story_linda_big</v>
      </c>
      <c r="J1678" s="184" t="s">
        <v>5732</v>
      </c>
      <c r="K1678" s="185" t="s">
        <v>5733</v>
      </c>
      <c r="L1678" s="62">
        <v>110012</v>
      </c>
      <c r="U1678" s="62">
        <v>6</v>
      </c>
      <c r="V1678" s="62">
        <v>0</v>
      </c>
      <c r="Y1678" s="62" t="b">
        <v>0</v>
      </c>
      <c r="Z1678" s="62" t="s">
        <v>5734</v>
      </c>
      <c r="AA1678" s="62" t="b">
        <v>0</v>
      </c>
      <c r="AD1678" s="62">
        <v>10.880979537963899</v>
      </c>
      <c r="AE1678" s="62">
        <f t="shared" si="117"/>
        <v>11.880979537963899</v>
      </c>
      <c r="AF1678" s="62" t="s">
        <v>5735</v>
      </c>
      <c r="AH1678" s="189">
        <v>0.1</v>
      </c>
      <c r="AI1678" s="189">
        <v>0.5</v>
      </c>
      <c r="AL1678" s="62">
        <v>35</v>
      </c>
      <c r="BF1678" s="62">
        <v>0</v>
      </c>
      <c r="BI1678" s="62">
        <v>1</v>
      </c>
    </row>
    <row r="1679" spans="1:61" s="62" customFormat="1" ht="26">
      <c r="A1679" s="62">
        <v>21200020</v>
      </c>
      <c r="C1679" s="62">
        <v>4</v>
      </c>
      <c r="F1679" s="181" t="s">
        <v>4329</v>
      </c>
      <c r="G1679" s="106" t="str">
        <f>VLOOKUP(F1679,'#对话模型配置'!A:O,12,FALSE)</f>
        <v>TID_Dialogue_Character_11</v>
      </c>
      <c r="H1679" s="62" t="str">
        <f>VLOOKUP(F1679,'#对话模型配置'!A:O,14,FALSE)</f>
        <v>icon_hero</v>
      </c>
      <c r="I1679" s="62" t="str">
        <f>VLOOKUP(F1679,'#对话模型配置'!A:O,15,FALSE)</f>
        <v>icon_hero_036_big</v>
      </c>
      <c r="J1679" s="184" t="s">
        <v>5736</v>
      </c>
      <c r="K1679" s="185" t="s">
        <v>5737</v>
      </c>
      <c r="L1679" s="62">
        <v>110003</v>
      </c>
      <c r="U1679" s="62">
        <v>6</v>
      </c>
      <c r="V1679" s="62">
        <v>0</v>
      </c>
      <c r="Y1679" s="62" t="b">
        <v>0</v>
      </c>
      <c r="Z1679" s="62" t="s">
        <v>5738</v>
      </c>
      <c r="AA1679" s="62" t="b">
        <v>0</v>
      </c>
      <c r="AD1679" s="62">
        <v>6.3464999198913601</v>
      </c>
      <c r="AE1679" s="62">
        <f t="shared" si="117"/>
        <v>7.3464999198913601</v>
      </c>
      <c r="AF1679" s="62" t="s">
        <v>5739</v>
      </c>
      <c r="AH1679" s="189">
        <v>0.1</v>
      </c>
      <c r="AI1679" s="189">
        <v>0.5</v>
      </c>
      <c r="AL1679" s="62">
        <v>35</v>
      </c>
      <c r="BF1679" s="62">
        <v>0</v>
      </c>
      <c r="BI1679" s="62">
        <v>1</v>
      </c>
    </row>
    <row r="1680" spans="1:61" s="62" customFormat="1" ht="26">
      <c r="A1680" s="62">
        <v>21200020</v>
      </c>
      <c r="C1680" s="62">
        <v>5</v>
      </c>
      <c r="F1680" s="181" t="s">
        <v>5401</v>
      </c>
      <c r="G1680" s="106" t="str">
        <f>VLOOKUP(F1680,'#对话模型配置'!A:O,12,FALSE)</f>
        <v>TID_Dialogue_story_gl_charaname_03</v>
      </c>
      <c r="H1680" s="62" t="str">
        <f>VLOOKUP(F1680,'#对话模型配置'!A:O,14,FALSE)</f>
        <v>icon_hero</v>
      </c>
      <c r="I1680" s="62" t="str">
        <f>VLOOKUP(F1680,'#对话模型配置'!A:O,15,FALSE)</f>
        <v>story_linda_big</v>
      </c>
      <c r="J1680" s="184" t="s">
        <v>5740</v>
      </c>
      <c r="K1680" s="187" t="s">
        <v>5741</v>
      </c>
      <c r="L1680" s="62">
        <v>110012</v>
      </c>
      <c r="U1680" s="62">
        <v>6</v>
      </c>
      <c r="V1680" s="62">
        <v>0</v>
      </c>
      <c r="Y1680" s="62" t="b">
        <v>0</v>
      </c>
      <c r="Z1680" s="62" t="s">
        <v>5742</v>
      </c>
      <c r="AA1680" s="62" t="b">
        <v>0</v>
      </c>
      <c r="AD1680" s="62">
        <v>7.1966881752014196</v>
      </c>
      <c r="AE1680" s="62">
        <f t="shared" si="117"/>
        <v>8.1966881752014196</v>
      </c>
      <c r="AF1680" s="62" t="s">
        <v>5743</v>
      </c>
      <c r="AH1680" s="189">
        <v>0.1</v>
      </c>
      <c r="AI1680" s="189">
        <v>0.5</v>
      </c>
      <c r="AL1680" s="62">
        <v>35</v>
      </c>
      <c r="BF1680" s="62">
        <v>0</v>
      </c>
      <c r="BI1680" s="62">
        <v>1</v>
      </c>
    </row>
    <row r="1681" spans="1:61" s="62" customFormat="1" ht="26">
      <c r="A1681" s="62">
        <v>21200020</v>
      </c>
      <c r="C1681" s="62">
        <v>6</v>
      </c>
      <c r="F1681" s="181" t="s">
        <v>5401</v>
      </c>
      <c r="G1681" s="106" t="str">
        <f>VLOOKUP(F1681,'#对话模型配置'!A:O,12,FALSE)</f>
        <v>TID_Dialogue_story_gl_charaname_03</v>
      </c>
      <c r="H1681" s="62" t="str">
        <f>VLOOKUP(F1681,'#对话模型配置'!A:O,14,FALSE)</f>
        <v>icon_hero</v>
      </c>
      <c r="I1681" s="62" t="str">
        <f>VLOOKUP(F1681,'#对话模型配置'!A:O,15,FALSE)</f>
        <v>story_linda_big</v>
      </c>
      <c r="J1681" s="184" t="s">
        <v>5744</v>
      </c>
      <c r="K1681" s="185" t="s">
        <v>5745</v>
      </c>
      <c r="L1681" s="62">
        <v>110012</v>
      </c>
      <c r="U1681" s="62">
        <v>6</v>
      </c>
      <c r="V1681" s="62">
        <v>0</v>
      </c>
      <c r="Y1681" s="62" t="b">
        <v>0</v>
      </c>
      <c r="Z1681" s="62" t="s">
        <v>5746</v>
      </c>
      <c r="AA1681" s="62" t="b">
        <v>0</v>
      </c>
      <c r="AD1681" s="62">
        <v>19.751916885376001</v>
      </c>
      <c r="AE1681" s="62">
        <f t="shared" si="117"/>
        <v>20.751916885376001</v>
      </c>
      <c r="AF1681" s="62" t="s">
        <v>5747</v>
      </c>
      <c r="AH1681" s="189">
        <v>0.1</v>
      </c>
      <c r="AI1681" s="189">
        <v>0.5</v>
      </c>
      <c r="AL1681" s="62">
        <v>35</v>
      </c>
      <c r="BF1681" s="62">
        <v>0</v>
      </c>
      <c r="BI1681" s="62">
        <v>1</v>
      </c>
    </row>
    <row r="1682" spans="1:61" s="62" customFormat="1" ht="26">
      <c r="A1682" s="62">
        <v>21200020</v>
      </c>
      <c r="C1682" s="62">
        <v>7</v>
      </c>
      <c r="F1682" s="181" t="s">
        <v>5401</v>
      </c>
      <c r="G1682" s="106" t="str">
        <f>VLOOKUP(F1682,'#对话模型配置'!A:O,12,FALSE)</f>
        <v>TID_Dialogue_story_gl_charaname_03</v>
      </c>
      <c r="H1682" s="62" t="str">
        <f>VLOOKUP(F1682,'#对话模型配置'!A:O,14,FALSE)</f>
        <v>icon_hero</v>
      </c>
      <c r="I1682" s="62" t="str">
        <f>VLOOKUP(F1682,'#对话模型配置'!A:O,15,FALSE)</f>
        <v>story_linda_big</v>
      </c>
      <c r="J1682" s="184" t="s">
        <v>5748</v>
      </c>
      <c r="K1682" s="185" t="s">
        <v>5749</v>
      </c>
      <c r="L1682" s="62">
        <v>110012</v>
      </c>
      <c r="U1682" s="62">
        <v>6</v>
      </c>
      <c r="V1682" s="62">
        <v>0</v>
      </c>
      <c r="Y1682" s="62" t="b">
        <v>0</v>
      </c>
      <c r="Z1682" s="62" t="s">
        <v>5750</v>
      </c>
      <c r="AA1682" s="62" t="b">
        <v>0</v>
      </c>
      <c r="AD1682" s="62">
        <v>12.8268337249756</v>
      </c>
      <c r="AE1682" s="62">
        <f t="shared" si="117"/>
        <v>13.8268337249756</v>
      </c>
      <c r="AF1682" s="62" t="s">
        <v>5751</v>
      </c>
      <c r="AH1682" s="189">
        <v>0.1</v>
      </c>
      <c r="AI1682" s="189">
        <v>0.5</v>
      </c>
      <c r="AL1682" s="62">
        <v>35</v>
      </c>
      <c r="BF1682" s="62">
        <v>0</v>
      </c>
      <c r="BI1682" s="62">
        <v>1</v>
      </c>
    </row>
    <row r="1683" spans="1:61" s="62" customFormat="1" ht="39">
      <c r="A1683" s="62">
        <v>21200020</v>
      </c>
      <c r="C1683" s="62">
        <v>8</v>
      </c>
      <c r="F1683" s="181" t="s">
        <v>5401</v>
      </c>
      <c r="G1683" s="106" t="str">
        <f>VLOOKUP(F1683,'#对话模型配置'!A:O,12,FALSE)</f>
        <v>TID_Dialogue_story_gl_charaname_03</v>
      </c>
      <c r="H1683" s="62" t="str">
        <f>VLOOKUP(F1683,'#对话模型配置'!A:O,14,FALSE)</f>
        <v>icon_hero</v>
      </c>
      <c r="I1683" s="62" t="str">
        <f>VLOOKUP(F1683,'#对话模型配置'!A:O,15,FALSE)</f>
        <v>story_linda_big</v>
      </c>
      <c r="J1683" s="184" t="s">
        <v>5752</v>
      </c>
      <c r="K1683" s="185" t="s">
        <v>5753</v>
      </c>
      <c r="L1683" s="62">
        <v>110012</v>
      </c>
      <c r="U1683" s="62">
        <v>6</v>
      </c>
      <c r="V1683" s="62">
        <v>0</v>
      </c>
      <c r="Y1683" s="62" t="b">
        <v>0</v>
      </c>
      <c r="Z1683" s="62" t="s">
        <v>5754</v>
      </c>
      <c r="AA1683" s="62" t="b">
        <v>0</v>
      </c>
      <c r="AD1683" s="62">
        <v>19.5894584655762</v>
      </c>
      <c r="AE1683" s="62">
        <f t="shared" si="117"/>
        <v>20.5894584655762</v>
      </c>
      <c r="AF1683" s="62" t="s">
        <v>5755</v>
      </c>
      <c r="AH1683" s="189">
        <v>0.1</v>
      </c>
      <c r="AI1683" s="189">
        <v>0.5</v>
      </c>
      <c r="AL1683" s="62">
        <v>35</v>
      </c>
      <c r="BF1683" s="62">
        <v>0</v>
      </c>
      <c r="BI1683" s="62">
        <v>1</v>
      </c>
    </row>
    <row r="1684" spans="1:61" s="62" customFormat="1" ht="26">
      <c r="A1684" s="62">
        <v>21200020</v>
      </c>
      <c r="C1684" s="62">
        <v>9</v>
      </c>
      <c r="F1684" s="181" t="s">
        <v>4329</v>
      </c>
      <c r="G1684" s="106" t="str">
        <f>VLOOKUP(F1684,'#对话模型配置'!A:O,12,FALSE)</f>
        <v>TID_Dialogue_Character_11</v>
      </c>
      <c r="H1684" s="62" t="str">
        <f>VLOOKUP(F1684,'#对话模型配置'!A:O,14,FALSE)</f>
        <v>icon_hero</v>
      </c>
      <c r="I1684" s="62" t="str">
        <f>VLOOKUP(F1684,'#对话模型配置'!A:O,15,FALSE)</f>
        <v>icon_hero_036_big</v>
      </c>
      <c r="J1684" s="184" t="s">
        <v>5756</v>
      </c>
      <c r="K1684" s="185" t="s">
        <v>5757</v>
      </c>
      <c r="L1684" s="62">
        <v>110003</v>
      </c>
      <c r="U1684" s="62">
        <v>6</v>
      </c>
      <c r="V1684" s="62">
        <v>0</v>
      </c>
      <c r="Y1684" s="62" t="b">
        <v>0</v>
      </c>
      <c r="Z1684" s="62" t="s">
        <v>5758</v>
      </c>
      <c r="AA1684" s="62" t="b">
        <v>0</v>
      </c>
      <c r="AD1684" s="62">
        <v>11.5627498626709</v>
      </c>
      <c r="AE1684" s="62">
        <f t="shared" si="117"/>
        <v>12.5627498626709</v>
      </c>
      <c r="AF1684" s="62" t="s">
        <v>5759</v>
      </c>
      <c r="AH1684" s="189">
        <v>0.1</v>
      </c>
      <c r="AI1684" s="189">
        <v>0.5</v>
      </c>
      <c r="AL1684" s="62">
        <v>35</v>
      </c>
      <c r="BF1684" s="62">
        <v>0</v>
      </c>
      <c r="BI1684" s="62">
        <v>1</v>
      </c>
    </row>
    <row r="1685" spans="1:61" s="62" customFormat="1" ht="26">
      <c r="A1685" s="62">
        <v>21200020</v>
      </c>
      <c r="C1685" s="62">
        <v>10</v>
      </c>
      <c r="F1685" s="181" t="s">
        <v>4329</v>
      </c>
      <c r="G1685" s="106" t="str">
        <f>VLOOKUP(F1685,'#对话模型配置'!A:O,12,FALSE)</f>
        <v>TID_Dialogue_Character_11</v>
      </c>
      <c r="H1685" s="62" t="str">
        <f>VLOOKUP(F1685,'#对话模型配置'!A:O,14,FALSE)</f>
        <v>icon_hero</v>
      </c>
      <c r="I1685" s="62" t="str">
        <f>VLOOKUP(F1685,'#对话模型配置'!A:O,15,FALSE)</f>
        <v>icon_hero_036_big</v>
      </c>
      <c r="J1685" s="184" t="s">
        <v>5760</v>
      </c>
      <c r="K1685" s="185" t="s">
        <v>5761</v>
      </c>
      <c r="L1685" s="62">
        <v>110003</v>
      </c>
      <c r="U1685" s="62">
        <v>6</v>
      </c>
      <c r="V1685" s="62">
        <v>0</v>
      </c>
      <c r="Y1685" s="62" t="b">
        <v>0</v>
      </c>
      <c r="Z1685" s="62" t="s">
        <v>5762</v>
      </c>
      <c r="AA1685" s="62" t="b">
        <v>0</v>
      </c>
      <c r="AD1685" s="62">
        <v>9.1210002899169904</v>
      </c>
      <c r="AE1685" s="62">
        <f t="shared" si="117"/>
        <v>10.12100028991699</v>
      </c>
      <c r="AF1685" s="62" t="s">
        <v>5763</v>
      </c>
      <c r="AH1685" s="189">
        <v>0.1</v>
      </c>
      <c r="AI1685" s="189">
        <v>0.5</v>
      </c>
      <c r="AL1685" s="62">
        <v>35</v>
      </c>
      <c r="BF1685" s="62">
        <v>0</v>
      </c>
      <c r="BI1685" s="62">
        <v>1</v>
      </c>
    </row>
    <row r="1686" spans="1:61" s="76" customFormat="1" ht="26">
      <c r="A1686" s="76">
        <v>21100021</v>
      </c>
      <c r="C1686" s="76">
        <v>1</v>
      </c>
      <c r="F1686" s="179" t="s">
        <v>5401</v>
      </c>
      <c r="G1686" s="180" t="str">
        <f>VLOOKUP(F1686,'#对话模型配置'!A:O,12,FALSE)</f>
        <v>TID_Dialogue_story_gl_charaname_03</v>
      </c>
      <c r="H1686" s="76" t="str">
        <f>VLOOKUP(F1686,'#对话模型配置'!A:O,14,FALSE)</f>
        <v>icon_hero</v>
      </c>
      <c r="I1686" s="76" t="str">
        <f>VLOOKUP(F1686,'#对话模型配置'!A:O,15,FALSE)</f>
        <v>story_linda_big</v>
      </c>
      <c r="J1686" s="182" t="s">
        <v>5764</v>
      </c>
      <c r="K1686" s="183" t="s">
        <v>5765</v>
      </c>
      <c r="L1686" s="76">
        <v>110012</v>
      </c>
      <c r="U1686" s="76">
        <v>6</v>
      </c>
      <c r="V1686" s="76">
        <v>0</v>
      </c>
      <c r="Y1686" s="76" t="b">
        <v>0</v>
      </c>
      <c r="Z1686" s="76" t="s">
        <v>5766</v>
      </c>
      <c r="AA1686" s="76" t="b">
        <v>0</v>
      </c>
      <c r="AD1686" s="76">
        <v>11.6058959960937</v>
      </c>
      <c r="AE1686" s="76">
        <f t="shared" si="117"/>
        <v>12.6058959960937</v>
      </c>
      <c r="AF1686" s="76" t="s">
        <v>5767</v>
      </c>
      <c r="AH1686" s="188">
        <v>0.1</v>
      </c>
      <c r="AI1686" s="188">
        <v>0.5</v>
      </c>
      <c r="AL1686" s="76">
        <v>35</v>
      </c>
      <c r="BF1686" s="76">
        <v>0</v>
      </c>
      <c r="BI1686" s="76">
        <v>1</v>
      </c>
    </row>
    <row r="1687" spans="1:61" s="76" customFormat="1" ht="14.5">
      <c r="A1687" s="76">
        <v>21100021</v>
      </c>
      <c r="C1687" s="76">
        <v>2</v>
      </c>
      <c r="F1687" s="179" t="s">
        <v>5401</v>
      </c>
      <c r="G1687" s="180" t="str">
        <f>VLOOKUP(F1687,'#对话模型配置'!A:O,12,FALSE)</f>
        <v>TID_Dialogue_story_gl_charaname_03</v>
      </c>
      <c r="H1687" s="76" t="str">
        <f>VLOOKUP(F1687,'#对话模型配置'!A:O,14,FALSE)</f>
        <v>icon_hero</v>
      </c>
      <c r="I1687" s="76" t="str">
        <f>VLOOKUP(F1687,'#对话模型配置'!A:O,15,FALSE)</f>
        <v>story_linda_big</v>
      </c>
      <c r="J1687" s="182" t="s">
        <v>5768</v>
      </c>
      <c r="K1687" s="183" t="s">
        <v>5769</v>
      </c>
      <c r="L1687" s="76">
        <v>110012</v>
      </c>
      <c r="U1687" s="76">
        <v>6</v>
      </c>
      <c r="V1687" s="76">
        <v>0</v>
      </c>
      <c r="Y1687" s="76" t="b">
        <v>0</v>
      </c>
      <c r="Z1687" s="76" t="s">
        <v>5770</v>
      </c>
      <c r="AA1687" s="76" t="b">
        <v>0</v>
      </c>
      <c r="AD1687" s="76">
        <v>6.1967082023620597</v>
      </c>
      <c r="AE1687" s="76">
        <f t="shared" si="117"/>
        <v>7.1967082023620597</v>
      </c>
      <c r="AF1687" s="76" t="s">
        <v>5771</v>
      </c>
      <c r="AH1687" s="188">
        <v>0.1</v>
      </c>
      <c r="AI1687" s="188">
        <v>0.5</v>
      </c>
      <c r="AL1687" s="76">
        <v>35</v>
      </c>
      <c r="BF1687" s="76">
        <v>0</v>
      </c>
      <c r="BI1687" s="76">
        <v>1</v>
      </c>
    </row>
    <row r="1688" spans="1:61" s="76" customFormat="1" ht="14.5">
      <c r="A1688" s="76">
        <v>21100021</v>
      </c>
      <c r="C1688" s="76">
        <v>3</v>
      </c>
      <c r="F1688" s="179" t="s">
        <v>4329</v>
      </c>
      <c r="G1688" s="180" t="str">
        <f>VLOOKUP(F1688,'#对话模型配置'!A:O,12,FALSE)</f>
        <v>TID_Dialogue_Character_11</v>
      </c>
      <c r="H1688" s="76" t="str">
        <f>VLOOKUP(F1688,'#对话模型配置'!A:O,14,FALSE)</f>
        <v>icon_hero</v>
      </c>
      <c r="I1688" s="76" t="str">
        <f>VLOOKUP(F1688,'#对话模型配置'!A:O,15,FALSE)</f>
        <v>icon_hero_036_big</v>
      </c>
      <c r="J1688" s="182" t="s">
        <v>5772</v>
      </c>
      <c r="K1688" s="183" t="s">
        <v>5773</v>
      </c>
      <c r="L1688" s="76">
        <v>110003</v>
      </c>
      <c r="U1688" s="76">
        <v>6</v>
      </c>
      <c r="V1688" s="76">
        <v>0</v>
      </c>
      <c r="Y1688" s="76" t="b">
        <v>0</v>
      </c>
      <c r="Z1688" s="76" t="s">
        <v>5774</v>
      </c>
      <c r="AA1688" s="76" t="b">
        <v>0</v>
      </c>
      <c r="AD1688" s="76">
        <v>2.6628539562225302</v>
      </c>
      <c r="AE1688" s="76">
        <f t="shared" si="117"/>
        <v>3.6628539562225302</v>
      </c>
      <c r="AF1688" s="76" t="s">
        <v>5775</v>
      </c>
      <c r="AH1688" s="188">
        <v>0.1</v>
      </c>
      <c r="AI1688" s="188">
        <v>0.5</v>
      </c>
      <c r="AL1688" s="76">
        <v>35</v>
      </c>
      <c r="BF1688" s="76">
        <v>0</v>
      </c>
      <c r="BI1688" s="76">
        <v>1</v>
      </c>
    </row>
    <row r="1689" spans="1:61" s="76" customFormat="1" ht="39">
      <c r="A1689" s="76">
        <v>21100021</v>
      </c>
      <c r="C1689" s="76">
        <v>4</v>
      </c>
      <c r="F1689" s="179" t="s">
        <v>5401</v>
      </c>
      <c r="G1689" s="180" t="str">
        <f>VLOOKUP(F1689,'#对话模型配置'!A:O,12,FALSE)</f>
        <v>TID_Dialogue_story_gl_charaname_03</v>
      </c>
      <c r="H1689" s="76" t="str">
        <f>VLOOKUP(F1689,'#对话模型配置'!A:O,14,FALSE)</f>
        <v>icon_hero</v>
      </c>
      <c r="I1689" s="76" t="str">
        <f>VLOOKUP(F1689,'#对话模型配置'!A:O,15,FALSE)</f>
        <v>story_linda_big</v>
      </c>
      <c r="J1689" s="182" t="s">
        <v>5776</v>
      </c>
      <c r="K1689" s="183" t="s">
        <v>5777</v>
      </c>
      <c r="L1689" s="76">
        <v>110012</v>
      </c>
      <c r="U1689" s="76">
        <v>6</v>
      </c>
      <c r="V1689" s="76">
        <v>0</v>
      </c>
      <c r="Y1689" s="76" t="b">
        <v>0</v>
      </c>
      <c r="Z1689" s="76" t="s">
        <v>5778</v>
      </c>
      <c r="AA1689" s="76" t="b">
        <v>0</v>
      </c>
      <c r="AD1689" s="76">
        <v>10.9331245422363</v>
      </c>
      <c r="AE1689" s="76">
        <f t="shared" si="117"/>
        <v>11.9331245422363</v>
      </c>
      <c r="AF1689" s="76" t="s">
        <v>5779</v>
      </c>
      <c r="AH1689" s="188">
        <v>0.1</v>
      </c>
      <c r="AI1689" s="188">
        <v>0.5</v>
      </c>
      <c r="AL1689" s="76">
        <v>35</v>
      </c>
      <c r="BF1689" s="76">
        <v>0</v>
      </c>
      <c r="BI1689" s="76">
        <v>1</v>
      </c>
    </row>
    <row r="1690" spans="1:61" s="76" customFormat="1" ht="39">
      <c r="A1690" s="76">
        <v>21100021</v>
      </c>
      <c r="C1690" s="76">
        <v>5</v>
      </c>
      <c r="F1690" s="179" t="s">
        <v>5401</v>
      </c>
      <c r="G1690" s="180" t="str">
        <f>VLOOKUP(F1690,'#对话模型配置'!A:O,12,FALSE)</f>
        <v>TID_Dialogue_story_gl_charaname_03</v>
      </c>
      <c r="H1690" s="76" t="str">
        <f>VLOOKUP(F1690,'#对话模型配置'!A:O,14,FALSE)</f>
        <v>icon_hero</v>
      </c>
      <c r="I1690" s="76" t="str">
        <f>VLOOKUP(F1690,'#对话模型配置'!A:O,15,FALSE)</f>
        <v>story_linda_big</v>
      </c>
      <c r="J1690" s="182" t="s">
        <v>5780</v>
      </c>
      <c r="K1690" s="183" t="s">
        <v>5781</v>
      </c>
      <c r="L1690" s="76">
        <v>110012</v>
      </c>
      <c r="U1690" s="76">
        <v>6</v>
      </c>
      <c r="V1690" s="76">
        <v>0</v>
      </c>
      <c r="Y1690" s="76" t="b">
        <v>0</v>
      </c>
      <c r="Z1690" s="76" t="s">
        <v>5782</v>
      </c>
      <c r="AA1690" s="76" t="b">
        <v>0</v>
      </c>
      <c r="AD1690" s="76">
        <v>17.799291610717798</v>
      </c>
      <c r="AE1690" s="76">
        <f t="shared" si="117"/>
        <v>18.799291610717798</v>
      </c>
      <c r="AF1690" s="76" t="s">
        <v>5783</v>
      </c>
      <c r="AH1690" s="188">
        <v>0.1</v>
      </c>
      <c r="AI1690" s="188">
        <v>0.5</v>
      </c>
      <c r="AL1690" s="76">
        <v>35</v>
      </c>
      <c r="BF1690" s="76">
        <v>0</v>
      </c>
      <c r="BI1690" s="76">
        <v>1</v>
      </c>
    </row>
    <row r="1691" spans="1:61" s="76" customFormat="1" ht="26">
      <c r="A1691" s="76">
        <v>21100021</v>
      </c>
      <c r="C1691" s="76">
        <v>6</v>
      </c>
      <c r="F1691" s="179" t="s">
        <v>4329</v>
      </c>
      <c r="G1691" s="180" t="str">
        <f>VLOOKUP(F1691,'#对话模型配置'!A:O,12,FALSE)</f>
        <v>TID_Dialogue_Character_11</v>
      </c>
      <c r="H1691" s="76" t="str">
        <f>VLOOKUP(F1691,'#对话模型配置'!A:O,14,FALSE)</f>
        <v>icon_hero</v>
      </c>
      <c r="I1691" s="76" t="str">
        <f>VLOOKUP(F1691,'#对话模型配置'!A:O,15,FALSE)</f>
        <v>icon_hero_036_big</v>
      </c>
      <c r="J1691" s="182" t="s">
        <v>5784</v>
      </c>
      <c r="K1691" s="183" t="s">
        <v>5785</v>
      </c>
      <c r="L1691" s="76">
        <v>110003</v>
      </c>
      <c r="U1691" s="76">
        <v>6</v>
      </c>
      <c r="V1691" s="76">
        <v>0</v>
      </c>
      <c r="Y1691" s="76" t="b">
        <v>0</v>
      </c>
      <c r="Z1691" s="76" t="s">
        <v>5786</v>
      </c>
      <c r="AA1691" s="76" t="b">
        <v>0</v>
      </c>
      <c r="AD1691" s="76">
        <v>7.7307710647582999</v>
      </c>
      <c r="AE1691" s="76">
        <f t="shared" si="117"/>
        <v>8.7307710647583008</v>
      </c>
      <c r="AF1691" s="76" t="s">
        <v>5787</v>
      </c>
      <c r="AH1691" s="188">
        <v>0.1</v>
      </c>
      <c r="AI1691" s="188">
        <v>0.5</v>
      </c>
      <c r="AL1691" s="76">
        <v>35</v>
      </c>
      <c r="BF1691" s="76">
        <v>0</v>
      </c>
      <c r="BI1691" s="76">
        <v>1</v>
      </c>
    </row>
    <row r="1692" spans="1:61" s="76" customFormat="1" ht="39">
      <c r="A1692" s="76">
        <v>21100021</v>
      </c>
      <c r="C1692" s="76">
        <v>7</v>
      </c>
      <c r="F1692" s="179" t="s">
        <v>5401</v>
      </c>
      <c r="G1692" s="180" t="str">
        <f>VLOOKUP(F1692,'#对话模型配置'!A:O,12,FALSE)</f>
        <v>TID_Dialogue_story_gl_charaname_03</v>
      </c>
      <c r="H1692" s="76" t="str">
        <f>VLOOKUP(F1692,'#对话模型配置'!A:O,14,FALSE)</f>
        <v>icon_hero</v>
      </c>
      <c r="I1692" s="76" t="str">
        <f>VLOOKUP(F1692,'#对话模型配置'!A:O,15,FALSE)</f>
        <v>story_linda_big</v>
      </c>
      <c r="J1692" s="182" t="s">
        <v>5788</v>
      </c>
      <c r="K1692" s="183" t="s">
        <v>5789</v>
      </c>
      <c r="L1692" s="76">
        <v>110012</v>
      </c>
      <c r="U1692" s="76">
        <v>6</v>
      </c>
      <c r="V1692" s="76">
        <v>0</v>
      </c>
      <c r="Y1692" s="76" t="b">
        <v>0</v>
      </c>
      <c r="Z1692" s="76" t="s">
        <v>5790</v>
      </c>
      <c r="AA1692" s="76" t="b">
        <v>0</v>
      </c>
      <c r="AD1692" s="76">
        <v>15.535708427429199</v>
      </c>
      <c r="AE1692" s="76">
        <f t="shared" si="117"/>
        <v>16.535708427429199</v>
      </c>
      <c r="AF1692" s="76" t="s">
        <v>5791</v>
      </c>
      <c r="AH1692" s="188">
        <v>0.1</v>
      </c>
      <c r="AI1692" s="188">
        <v>0.5</v>
      </c>
      <c r="AL1692" s="76">
        <v>35</v>
      </c>
      <c r="BF1692" s="76">
        <v>0</v>
      </c>
      <c r="BI1692" s="76">
        <v>1</v>
      </c>
    </row>
    <row r="1693" spans="1:61" s="76" customFormat="1" ht="14.5">
      <c r="A1693" s="76">
        <v>21100021</v>
      </c>
      <c r="C1693" s="76">
        <v>8</v>
      </c>
      <c r="F1693" s="179" t="s">
        <v>4329</v>
      </c>
      <c r="G1693" s="180" t="str">
        <f>VLOOKUP(F1693,'#对话模型配置'!A:O,12,FALSE)</f>
        <v>TID_Dialogue_Character_11</v>
      </c>
      <c r="H1693" s="76" t="str">
        <f>VLOOKUP(F1693,'#对话模型配置'!A:O,14,FALSE)</f>
        <v>icon_hero</v>
      </c>
      <c r="I1693" s="76" t="str">
        <f>VLOOKUP(F1693,'#对话模型配置'!A:O,15,FALSE)</f>
        <v>icon_hero_036_big</v>
      </c>
      <c r="J1693" s="182" t="s">
        <v>5792</v>
      </c>
      <c r="K1693" s="183" t="s">
        <v>5793</v>
      </c>
      <c r="L1693" s="76">
        <v>110003</v>
      </c>
      <c r="U1693" s="76">
        <v>6</v>
      </c>
      <c r="V1693" s="76">
        <v>0</v>
      </c>
      <c r="Y1693" s="76" t="b">
        <v>0</v>
      </c>
      <c r="Z1693" s="76" t="s">
        <v>5794</v>
      </c>
      <c r="AA1693" s="76" t="b">
        <v>0</v>
      </c>
      <c r="AD1693" s="76">
        <v>2.88331198692322</v>
      </c>
      <c r="AE1693" s="76">
        <f t="shared" si="117"/>
        <v>3.88331198692322</v>
      </c>
      <c r="AF1693" s="76" t="s">
        <v>5795</v>
      </c>
      <c r="AH1693" s="188">
        <v>0.1</v>
      </c>
      <c r="AI1693" s="188">
        <v>0.5</v>
      </c>
      <c r="AL1693" s="76">
        <v>35</v>
      </c>
      <c r="BF1693" s="76">
        <v>0</v>
      </c>
      <c r="BI1693" s="76">
        <v>1</v>
      </c>
    </row>
    <row r="1694" spans="1:61" s="76" customFormat="1" ht="26">
      <c r="A1694" s="76">
        <v>21100021</v>
      </c>
      <c r="C1694" s="76">
        <v>9</v>
      </c>
      <c r="F1694" s="179" t="s">
        <v>5401</v>
      </c>
      <c r="G1694" s="180" t="str">
        <f>VLOOKUP(F1694,'#对话模型配置'!A:O,12,FALSE)</f>
        <v>TID_Dialogue_story_gl_charaname_03</v>
      </c>
      <c r="H1694" s="76" t="str">
        <f>VLOOKUP(F1694,'#对话模型配置'!A:O,14,FALSE)</f>
        <v>icon_hero</v>
      </c>
      <c r="I1694" s="76" t="str">
        <f>VLOOKUP(F1694,'#对话模型配置'!A:O,15,FALSE)</f>
        <v>story_linda_big</v>
      </c>
      <c r="J1694" s="182" t="s">
        <v>5796</v>
      </c>
      <c r="K1694" s="183" t="s">
        <v>5797</v>
      </c>
      <c r="L1694" s="76">
        <v>110012</v>
      </c>
      <c r="U1694" s="76">
        <v>6</v>
      </c>
      <c r="V1694" s="76">
        <v>0</v>
      </c>
      <c r="Y1694" s="76" t="b">
        <v>0</v>
      </c>
      <c r="Z1694" s="76" t="s">
        <v>5798</v>
      </c>
      <c r="AA1694" s="76" t="b">
        <v>0</v>
      </c>
      <c r="AD1694" s="76">
        <v>16.0963325500488</v>
      </c>
      <c r="AE1694" s="76">
        <f t="shared" si="117"/>
        <v>17.0963325500488</v>
      </c>
      <c r="AF1694" s="76" t="s">
        <v>5799</v>
      </c>
      <c r="AH1694" s="188">
        <v>0.1</v>
      </c>
      <c r="AI1694" s="188">
        <v>0.5</v>
      </c>
      <c r="AL1694" s="76">
        <v>35</v>
      </c>
      <c r="BF1694" s="76">
        <v>0</v>
      </c>
      <c r="BI1694" s="76">
        <v>1</v>
      </c>
    </row>
    <row r="1695" spans="1:61" s="76" customFormat="1" ht="26">
      <c r="A1695" s="76">
        <v>21100021</v>
      </c>
      <c r="C1695" s="76">
        <v>10</v>
      </c>
      <c r="F1695" s="179" t="s">
        <v>5401</v>
      </c>
      <c r="G1695" s="180" t="str">
        <f>VLOOKUP(F1695,'#对话模型配置'!A:O,12,FALSE)</f>
        <v>TID_Dialogue_story_gl_charaname_03</v>
      </c>
      <c r="H1695" s="76" t="str">
        <f>VLOOKUP(F1695,'#对话模型配置'!A:O,14,FALSE)</f>
        <v>icon_hero</v>
      </c>
      <c r="I1695" s="76" t="str">
        <f>VLOOKUP(F1695,'#对话模型配置'!A:O,15,FALSE)</f>
        <v>story_linda_big</v>
      </c>
      <c r="J1695" s="182" t="s">
        <v>5800</v>
      </c>
      <c r="K1695" s="183" t="s">
        <v>5801</v>
      </c>
      <c r="L1695" s="76">
        <v>110012</v>
      </c>
      <c r="U1695" s="76">
        <v>6</v>
      </c>
      <c r="V1695" s="76">
        <v>0</v>
      </c>
      <c r="Y1695" s="76" t="b">
        <v>0</v>
      </c>
      <c r="Z1695" s="76" t="s">
        <v>5802</v>
      </c>
      <c r="AA1695" s="76" t="b">
        <v>0</v>
      </c>
      <c r="AD1695" s="76">
        <v>12.390333175659199</v>
      </c>
      <c r="AE1695" s="76">
        <f t="shared" si="117"/>
        <v>13.390333175659199</v>
      </c>
      <c r="AF1695" s="76" t="s">
        <v>5803</v>
      </c>
      <c r="AH1695" s="188">
        <v>0.1</v>
      </c>
      <c r="AI1695" s="188">
        <v>0.5</v>
      </c>
      <c r="AL1695" s="76">
        <v>35</v>
      </c>
      <c r="BF1695" s="76">
        <v>0</v>
      </c>
      <c r="BI1695" s="76">
        <v>1</v>
      </c>
    </row>
    <row r="1696" spans="1:61" s="76" customFormat="1" ht="14.5">
      <c r="A1696" s="76">
        <v>21100021</v>
      </c>
      <c r="C1696" s="76">
        <v>11</v>
      </c>
      <c r="F1696" s="179" t="s">
        <v>4329</v>
      </c>
      <c r="G1696" s="180" t="str">
        <f>VLOOKUP(F1696,'#对话模型配置'!A:O,12,FALSE)</f>
        <v>TID_Dialogue_Character_11</v>
      </c>
      <c r="H1696" s="76" t="str">
        <f>VLOOKUP(F1696,'#对话模型配置'!A:O,14,FALSE)</f>
        <v>icon_hero</v>
      </c>
      <c r="I1696" s="76" t="str">
        <f>VLOOKUP(F1696,'#对话模型配置'!A:O,15,FALSE)</f>
        <v>icon_hero_036_big</v>
      </c>
      <c r="J1696" s="182" t="s">
        <v>5804</v>
      </c>
      <c r="K1696" s="183" t="s">
        <v>5805</v>
      </c>
      <c r="L1696" s="76">
        <v>110003</v>
      </c>
      <c r="U1696" s="76">
        <v>6</v>
      </c>
      <c r="V1696" s="76">
        <v>0</v>
      </c>
      <c r="Y1696" s="76" t="b">
        <v>0</v>
      </c>
      <c r="Z1696" s="76" t="s">
        <v>5806</v>
      </c>
      <c r="AA1696" s="76" t="b">
        <v>0</v>
      </c>
      <c r="AD1696" s="76">
        <v>1.98666703701019</v>
      </c>
      <c r="AE1696" s="76">
        <f t="shared" si="117"/>
        <v>2.9866670370101902</v>
      </c>
      <c r="AF1696" s="76" t="s">
        <v>5807</v>
      </c>
      <c r="AH1696" s="188">
        <v>0.1</v>
      </c>
      <c r="AI1696" s="188">
        <v>0.5</v>
      </c>
      <c r="AL1696" s="76">
        <v>35</v>
      </c>
      <c r="BF1696" s="76">
        <v>0</v>
      </c>
      <c r="BI1696" s="76">
        <v>1</v>
      </c>
    </row>
    <row r="1697" spans="1:61" s="76" customFormat="1" ht="26">
      <c r="A1697" s="76">
        <v>21100021</v>
      </c>
      <c r="C1697" s="76">
        <v>12</v>
      </c>
      <c r="F1697" s="179" t="s">
        <v>5401</v>
      </c>
      <c r="G1697" s="180" t="str">
        <f>VLOOKUP(F1697,'#对话模型配置'!A:O,12,FALSE)</f>
        <v>TID_Dialogue_story_gl_charaname_03</v>
      </c>
      <c r="H1697" s="76" t="str">
        <f>VLOOKUP(F1697,'#对话模型配置'!A:O,14,FALSE)</f>
        <v>icon_hero</v>
      </c>
      <c r="I1697" s="76" t="str">
        <f>VLOOKUP(F1697,'#对话模型配置'!A:O,15,FALSE)</f>
        <v>story_linda_big</v>
      </c>
      <c r="J1697" s="182" t="s">
        <v>5808</v>
      </c>
      <c r="K1697" s="183" t="s">
        <v>5809</v>
      </c>
      <c r="L1697" s="76">
        <v>110012</v>
      </c>
      <c r="U1697" s="76">
        <v>6</v>
      </c>
      <c r="V1697" s="76">
        <v>0</v>
      </c>
      <c r="Y1697" s="76" t="b">
        <v>0</v>
      </c>
      <c r="Z1697" s="76" t="s">
        <v>5810</v>
      </c>
      <c r="AA1697" s="76" t="b">
        <v>0</v>
      </c>
      <c r="AD1697" s="76">
        <v>8.3311462402343697</v>
      </c>
      <c r="AE1697" s="76">
        <f t="shared" si="117"/>
        <v>9.3311462402343697</v>
      </c>
      <c r="AF1697" s="76" t="s">
        <v>5811</v>
      </c>
      <c r="AH1697" s="188">
        <v>0.1</v>
      </c>
      <c r="AI1697" s="188">
        <v>0.5</v>
      </c>
      <c r="AL1697" s="76">
        <v>35</v>
      </c>
      <c r="BF1697" s="76">
        <v>0</v>
      </c>
      <c r="BI1697" s="76">
        <v>1</v>
      </c>
    </row>
    <row r="1698" spans="1:61" s="62" customFormat="1" ht="14.5">
      <c r="A1698" s="62">
        <v>21100022</v>
      </c>
      <c r="C1698" s="62">
        <v>1</v>
      </c>
      <c r="F1698" s="181" t="s">
        <v>3855</v>
      </c>
      <c r="G1698" s="106" t="str">
        <f>VLOOKUP(F1698,'#对话模型配置'!A:O,12,FALSE)</f>
        <v>TID_Dialogue_Character_10</v>
      </c>
      <c r="H1698" s="62" t="str">
        <f>VLOOKUP(F1698,'#对话模型配置'!A:O,14,FALSE)</f>
        <v>icon_hero</v>
      </c>
      <c r="I1698" s="62" t="str">
        <f>VLOOKUP(F1698,'#对话模型配置'!A:O,15,FALSE)</f>
        <v>story_kruvis_big</v>
      </c>
      <c r="J1698" s="184" t="s">
        <v>5812</v>
      </c>
      <c r="K1698" s="185" t="s">
        <v>5813</v>
      </c>
      <c r="L1698" s="62">
        <v>110007</v>
      </c>
      <c r="U1698" s="62">
        <v>6</v>
      </c>
      <c r="V1698" s="62">
        <v>0</v>
      </c>
      <c r="Y1698" s="62" t="b">
        <v>0</v>
      </c>
      <c r="Z1698" s="62" t="s">
        <v>5814</v>
      </c>
      <c r="AA1698" s="62" t="b">
        <v>0</v>
      </c>
      <c r="AD1698" s="62">
        <v>4.2025418281555202</v>
      </c>
      <c r="AE1698" s="62">
        <f t="shared" si="117"/>
        <v>5.2025418281555202</v>
      </c>
      <c r="AF1698" s="62" t="s">
        <v>5815</v>
      </c>
      <c r="AH1698" s="189">
        <v>0.1</v>
      </c>
      <c r="AI1698" s="189">
        <v>0.5</v>
      </c>
      <c r="AL1698" s="62">
        <v>35</v>
      </c>
      <c r="BF1698" s="62">
        <v>1</v>
      </c>
      <c r="BI1698" s="62">
        <v>1</v>
      </c>
    </row>
    <row r="1699" spans="1:61" s="62" customFormat="1" ht="26">
      <c r="A1699" s="62">
        <v>21100022</v>
      </c>
      <c r="C1699" s="62">
        <v>2</v>
      </c>
      <c r="F1699" s="181" t="s">
        <v>5816</v>
      </c>
      <c r="G1699" s="106" t="str">
        <f>VLOOKUP(F1699,'#对话模型配置'!A:O,12,FALSE)</f>
        <v>TID_BaseHeroRecruitPool_10_ItemNameText_CN_Main</v>
      </c>
      <c r="H1699" s="62" t="str">
        <f>VLOOKUP(F1699,'#对话模型配置'!A:O,14,FALSE)</f>
        <v>icon_hero</v>
      </c>
      <c r="I1699" s="62" t="str">
        <f>VLOOKUP(F1699,'#对话模型配置'!A:O,15,FALSE)</f>
        <v>story_nino_big</v>
      </c>
      <c r="J1699" s="184" t="s">
        <v>5817</v>
      </c>
      <c r="K1699" s="185" t="s">
        <v>5818</v>
      </c>
      <c r="L1699" s="62">
        <v>110006</v>
      </c>
      <c r="U1699" s="62">
        <v>6</v>
      </c>
      <c r="V1699" s="62">
        <v>0</v>
      </c>
      <c r="Y1699" s="62" t="b">
        <v>0</v>
      </c>
      <c r="Z1699" s="62" t="s">
        <v>5819</v>
      </c>
      <c r="AA1699" s="62" t="b">
        <v>0</v>
      </c>
      <c r="AD1699" s="62">
        <v>14.1966876983643</v>
      </c>
      <c r="AE1699" s="62">
        <f t="shared" si="117"/>
        <v>15.1966876983643</v>
      </c>
      <c r="AF1699" s="62" t="s">
        <v>5820</v>
      </c>
      <c r="AH1699" s="189">
        <v>0.1</v>
      </c>
      <c r="AI1699" s="189">
        <v>0.5</v>
      </c>
      <c r="AL1699" s="62">
        <v>35</v>
      </c>
      <c r="BF1699" s="62">
        <v>1</v>
      </c>
      <c r="BI1699" s="62">
        <v>1</v>
      </c>
    </row>
    <row r="1700" spans="1:61" s="62" customFormat="1" ht="26">
      <c r="A1700" s="62">
        <v>21100022</v>
      </c>
      <c r="C1700" s="62">
        <v>3</v>
      </c>
      <c r="F1700" s="181" t="s">
        <v>3855</v>
      </c>
      <c r="G1700" s="106" t="str">
        <f>VLOOKUP(F1700,'#对话模型配置'!A:O,12,FALSE)</f>
        <v>TID_Dialogue_Character_10</v>
      </c>
      <c r="H1700" s="62" t="str">
        <f>VLOOKUP(F1700,'#对话模型配置'!A:O,14,FALSE)</f>
        <v>icon_hero</v>
      </c>
      <c r="I1700" s="62" t="str">
        <f>VLOOKUP(F1700,'#对话模型配置'!A:O,15,FALSE)</f>
        <v>story_kruvis_big</v>
      </c>
      <c r="J1700" s="184" t="s">
        <v>5821</v>
      </c>
      <c r="K1700" s="185" t="s">
        <v>5822</v>
      </c>
      <c r="L1700" s="62">
        <v>110007</v>
      </c>
      <c r="U1700" s="62">
        <v>6</v>
      </c>
      <c r="V1700" s="62">
        <v>0</v>
      </c>
      <c r="Y1700" s="62" t="b">
        <v>0</v>
      </c>
      <c r="Z1700" s="62" t="s">
        <v>5823</v>
      </c>
      <c r="AA1700" s="62" t="b">
        <v>0</v>
      </c>
      <c r="AD1700" s="62">
        <v>8.7996664047241193</v>
      </c>
      <c r="AE1700" s="62">
        <f t="shared" si="117"/>
        <v>9.7996664047241193</v>
      </c>
      <c r="AF1700" s="62" t="s">
        <v>5824</v>
      </c>
      <c r="AH1700" s="189">
        <v>0.1</v>
      </c>
      <c r="AI1700" s="189">
        <v>0.5</v>
      </c>
      <c r="AL1700" s="62">
        <v>35</v>
      </c>
      <c r="BF1700" s="62">
        <v>1</v>
      </c>
      <c r="BI1700" s="62">
        <v>1</v>
      </c>
    </row>
    <row r="1701" spans="1:61" s="62" customFormat="1" ht="26">
      <c r="A1701" s="62">
        <v>21100022</v>
      </c>
      <c r="C1701" s="62">
        <v>4</v>
      </c>
      <c r="F1701" s="181" t="s">
        <v>5816</v>
      </c>
      <c r="G1701" s="106" t="str">
        <f>VLOOKUP(F1701,'#对话模型配置'!A:O,12,FALSE)</f>
        <v>TID_BaseHeroRecruitPool_10_ItemNameText_CN_Main</v>
      </c>
      <c r="H1701" s="62" t="str">
        <f>VLOOKUP(F1701,'#对话模型配置'!A:O,14,FALSE)</f>
        <v>icon_hero</v>
      </c>
      <c r="I1701" s="62" t="str">
        <f>VLOOKUP(F1701,'#对话模型配置'!A:O,15,FALSE)</f>
        <v>story_nino_big</v>
      </c>
      <c r="J1701" s="184" t="s">
        <v>5825</v>
      </c>
      <c r="K1701" s="185" t="s">
        <v>5826</v>
      </c>
      <c r="L1701" s="62">
        <v>110006</v>
      </c>
      <c r="U1701" s="62">
        <v>6</v>
      </c>
      <c r="V1701" s="62">
        <v>0</v>
      </c>
      <c r="Y1701" s="62" t="b">
        <v>0</v>
      </c>
      <c r="Z1701" s="62" t="s">
        <v>5827</v>
      </c>
      <c r="AA1701" s="62" t="b">
        <v>0</v>
      </c>
      <c r="AD1701" s="62">
        <v>7.9501461982727104</v>
      </c>
      <c r="AE1701" s="62">
        <f t="shared" ref="AE1701:AE1741" si="118">AD1701+1</f>
        <v>8.9501461982727104</v>
      </c>
      <c r="AF1701" s="62" t="s">
        <v>5828</v>
      </c>
      <c r="AH1701" s="189">
        <v>0.1</v>
      </c>
      <c r="AI1701" s="189">
        <v>0.5</v>
      </c>
      <c r="AL1701" s="62">
        <v>35</v>
      </c>
      <c r="BF1701" s="62">
        <v>1</v>
      </c>
      <c r="BI1701" s="62">
        <v>1</v>
      </c>
    </row>
    <row r="1702" spans="1:61" s="62" customFormat="1" ht="14.5">
      <c r="A1702" s="62">
        <v>21100022</v>
      </c>
      <c r="C1702" s="62">
        <v>5</v>
      </c>
      <c r="F1702" s="181" t="s">
        <v>3855</v>
      </c>
      <c r="G1702" s="106" t="str">
        <f>VLOOKUP(F1702,'#对话模型配置'!A:O,12,FALSE)</f>
        <v>TID_Dialogue_Character_10</v>
      </c>
      <c r="H1702" s="62" t="str">
        <f>VLOOKUP(F1702,'#对话模型配置'!A:O,14,FALSE)</f>
        <v>icon_hero</v>
      </c>
      <c r="I1702" s="62" t="str">
        <f>VLOOKUP(F1702,'#对话模型配置'!A:O,15,FALSE)</f>
        <v>story_kruvis_big</v>
      </c>
      <c r="J1702" s="184" t="s">
        <v>5829</v>
      </c>
      <c r="K1702" s="185" t="s">
        <v>5830</v>
      </c>
      <c r="L1702" s="62">
        <v>110007</v>
      </c>
      <c r="U1702" s="62">
        <v>6</v>
      </c>
      <c r="V1702" s="62">
        <v>0</v>
      </c>
      <c r="Y1702" s="62" t="b">
        <v>0</v>
      </c>
      <c r="Z1702" s="62" t="s">
        <v>5831</v>
      </c>
      <c r="AA1702" s="62" t="b">
        <v>0</v>
      </c>
      <c r="AD1702" s="62">
        <v>3.9677710533142099</v>
      </c>
      <c r="AE1702" s="62">
        <f t="shared" si="118"/>
        <v>4.9677710533142099</v>
      </c>
      <c r="AF1702" s="62" t="s">
        <v>5832</v>
      </c>
      <c r="AH1702" s="189">
        <v>0.1</v>
      </c>
      <c r="AI1702" s="189">
        <v>0.5</v>
      </c>
      <c r="AL1702" s="62">
        <v>35</v>
      </c>
      <c r="BF1702" s="62">
        <v>1</v>
      </c>
      <c r="BI1702" s="62">
        <v>1</v>
      </c>
    </row>
    <row r="1703" spans="1:61" s="62" customFormat="1" ht="26">
      <c r="A1703" s="62">
        <v>21100022</v>
      </c>
      <c r="C1703" s="62">
        <v>6</v>
      </c>
      <c r="F1703" s="181" t="s">
        <v>5816</v>
      </c>
      <c r="G1703" s="106" t="str">
        <f>VLOOKUP(F1703,'#对话模型配置'!A:O,12,FALSE)</f>
        <v>TID_BaseHeroRecruitPool_10_ItemNameText_CN_Main</v>
      </c>
      <c r="H1703" s="62" t="str">
        <f>VLOOKUP(F1703,'#对话模型配置'!A:O,14,FALSE)</f>
        <v>icon_hero</v>
      </c>
      <c r="I1703" s="62" t="str">
        <f>VLOOKUP(F1703,'#对话模型配置'!A:O,15,FALSE)</f>
        <v>story_nino_big</v>
      </c>
      <c r="J1703" s="184" t="s">
        <v>5833</v>
      </c>
      <c r="K1703" s="185" t="s">
        <v>5834</v>
      </c>
      <c r="L1703" s="62">
        <v>110006</v>
      </c>
      <c r="U1703" s="62">
        <v>6</v>
      </c>
      <c r="V1703" s="62">
        <v>0</v>
      </c>
      <c r="Y1703" s="62" t="b">
        <v>0</v>
      </c>
      <c r="Z1703" s="62" t="s">
        <v>5835</v>
      </c>
      <c r="AA1703" s="62" t="b">
        <v>0</v>
      </c>
      <c r="AD1703" s="62">
        <v>7.2078537940979004</v>
      </c>
      <c r="AE1703" s="62">
        <f t="shared" si="118"/>
        <v>8.2078537940979004</v>
      </c>
      <c r="AF1703" s="62" t="s">
        <v>5836</v>
      </c>
      <c r="AH1703" s="189">
        <v>0.1</v>
      </c>
      <c r="AI1703" s="189">
        <v>0.5</v>
      </c>
      <c r="AL1703" s="62">
        <v>35</v>
      </c>
      <c r="BF1703" s="62">
        <v>1</v>
      </c>
      <c r="BI1703" s="62">
        <v>1</v>
      </c>
    </row>
    <row r="1704" spans="1:61" s="62" customFormat="1" ht="14.5">
      <c r="A1704" s="62">
        <v>21100022</v>
      </c>
      <c r="C1704" s="62">
        <v>7</v>
      </c>
      <c r="F1704" s="181" t="s">
        <v>3855</v>
      </c>
      <c r="G1704" s="106" t="str">
        <f>VLOOKUP(F1704,'#对话模型配置'!A:O,12,FALSE)</f>
        <v>TID_Dialogue_Character_10</v>
      </c>
      <c r="H1704" s="62" t="str">
        <f>VLOOKUP(F1704,'#对话模型配置'!A:O,14,FALSE)</f>
        <v>icon_hero</v>
      </c>
      <c r="I1704" s="62" t="str">
        <f>VLOOKUP(F1704,'#对话模型配置'!A:O,15,FALSE)</f>
        <v>story_kruvis_big</v>
      </c>
      <c r="J1704" s="184" t="s">
        <v>5837</v>
      </c>
      <c r="K1704" s="185" t="s">
        <v>5838</v>
      </c>
      <c r="L1704" s="62">
        <v>110007</v>
      </c>
      <c r="U1704" s="62">
        <v>6</v>
      </c>
      <c r="V1704" s="62">
        <v>0</v>
      </c>
      <c r="Y1704" s="62" t="b">
        <v>0</v>
      </c>
      <c r="Z1704" s="62" t="s">
        <v>5839</v>
      </c>
      <c r="AA1704" s="62" t="b">
        <v>0</v>
      </c>
      <c r="AD1704" s="62">
        <v>9.7030830383300799</v>
      </c>
      <c r="AE1704" s="62">
        <f t="shared" si="118"/>
        <v>10.70308303833008</v>
      </c>
      <c r="AF1704" s="62" t="s">
        <v>5840</v>
      </c>
      <c r="AH1704" s="189">
        <v>0.1</v>
      </c>
      <c r="AI1704" s="189">
        <v>0.5</v>
      </c>
      <c r="AL1704" s="62">
        <v>35</v>
      </c>
      <c r="BF1704" s="62">
        <v>1</v>
      </c>
      <c r="BI1704" s="62">
        <v>1</v>
      </c>
    </row>
    <row r="1705" spans="1:61" s="62" customFormat="1" ht="26">
      <c r="A1705" s="62">
        <v>21100022</v>
      </c>
      <c r="C1705" s="62">
        <v>8</v>
      </c>
      <c r="F1705" s="181" t="s">
        <v>5816</v>
      </c>
      <c r="G1705" s="106" t="str">
        <f>VLOOKUP(F1705,'#对话模型配置'!A:O,12,FALSE)</f>
        <v>TID_BaseHeroRecruitPool_10_ItemNameText_CN_Main</v>
      </c>
      <c r="H1705" s="62" t="str">
        <f>VLOOKUP(F1705,'#对话模型配置'!A:O,14,FALSE)</f>
        <v>icon_hero</v>
      </c>
      <c r="I1705" s="62" t="str">
        <f>VLOOKUP(F1705,'#对话模型配置'!A:O,15,FALSE)</f>
        <v>story_nino_big</v>
      </c>
      <c r="J1705" s="184" t="s">
        <v>5841</v>
      </c>
      <c r="K1705" s="185" t="s">
        <v>5842</v>
      </c>
      <c r="L1705" s="62">
        <v>110006</v>
      </c>
      <c r="U1705" s="62">
        <v>6</v>
      </c>
      <c r="V1705" s="62">
        <v>0</v>
      </c>
      <c r="Y1705" s="62" t="b">
        <v>0</v>
      </c>
      <c r="Z1705" s="62" t="s">
        <v>5843</v>
      </c>
      <c r="AA1705" s="62" t="b">
        <v>0</v>
      </c>
      <c r="AD1705" s="62">
        <v>9.2246665954589808</v>
      </c>
      <c r="AE1705" s="62">
        <f t="shared" si="118"/>
        <v>10.224666595458981</v>
      </c>
      <c r="AF1705" s="62" t="s">
        <v>5844</v>
      </c>
      <c r="AH1705" s="189">
        <v>0.1</v>
      </c>
      <c r="AI1705" s="189">
        <v>0.5</v>
      </c>
      <c r="AL1705" s="62">
        <v>35</v>
      </c>
      <c r="BF1705" s="62">
        <v>1</v>
      </c>
      <c r="BI1705" s="62">
        <v>1</v>
      </c>
    </row>
    <row r="1706" spans="1:61" s="62" customFormat="1" ht="39">
      <c r="A1706" s="62">
        <v>21100022</v>
      </c>
      <c r="C1706" s="62">
        <v>9</v>
      </c>
      <c r="F1706" s="181" t="s">
        <v>3855</v>
      </c>
      <c r="G1706" s="106" t="str">
        <f>VLOOKUP(F1706,'#对话模型配置'!A:O,12,FALSE)</f>
        <v>TID_Dialogue_Character_10</v>
      </c>
      <c r="H1706" s="62" t="str">
        <f>VLOOKUP(F1706,'#对话模型配置'!A:O,14,FALSE)</f>
        <v>icon_hero</v>
      </c>
      <c r="I1706" s="62" t="str">
        <f>VLOOKUP(F1706,'#对话模型配置'!A:O,15,FALSE)</f>
        <v>story_kruvis_big</v>
      </c>
      <c r="J1706" s="184" t="s">
        <v>5845</v>
      </c>
      <c r="K1706" s="185" t="s">
        <v>5846</v>
      </c>
      <c r="L1706" s="62">
        <v>110007</v>
      </c>
      <c r="U1706" s="62">
        <v>6</v>
      </c>
      <c r="V1706" s="62">
        <v>0</v>
      </c>
      <c r="Y1706" s="62" t="b">
        <v>0</v>
      </c>
      <c r="Z1706" s="62" t="s">
        <v>5847</v>
      </c>
      <c r="AA1706" s="62" t="b">
        <v>0</v>
      </c>
      <c r="AD1706" s="62">
        <v>9.8460626602172905</v>
      </c>
      <c r="AE1706" s="62">
        <f t="shared" si="118"/>
        <v>10.84606266021729</v>
      </c>
      <c r="AF1706" s="62" t="s">
        <v>5848</v>
      </c>
      <c r="AH1706" s="189">
        <v>0.1</v>
      </c>
      <c r="AI1706" s="189">
        <v>0.5</v>
      </c>
      <c r="AL1706" s="62">
        <v>35</v>
      </c>
      <c r="BF1706" s="62">
        <v>1</v>
      </c>
      <c r="BI1706" s="62">
        <v>1</v>
      </c>
    </row>
    <row r="1707" spans="1:61" s="62" customFormat="1" ht="39">
      <c r="A1707" s="62">
        <v>21100022</v>
      </c>
      <c r="C1707" s="62">
        <v>10</v>
      </c>
      <c r="F1707" s="181" t="s">
        <v>5816</v>
      </c>
      <c r="G1707" s="106" t="str">
        <f>VLOOKUP(F1707,'#对话模型配置'!A:O,12,FALSE)</f>
        <v>TID_BaseHeroRecruitPool_10_ItemNameText_CN_Main</v>
      </c>
      <c r="H1707" s="62" t="str">
        <f>VLOOKUP(F1707,'#对话模型配置'!A:O,14,FALSE)</f>
        <v>icon_hero</v>
      </c>
      <c r="I1707" s="62" t="str">
        <f>VLOOKUP(F1707,'#对话模型配置'!A:O,15,FALSE)</f>
        <v>story_nino_big</v>
      </c>
      <c r="J1707" s="184" t="s">
        <v>5849</v>
      </c>
      <c r="K1707" s="185" t="s">
        <v>5850</v>
      </c>
      <c r="L1707" s="62">
        <v>110006</v>
      </c>
      <c r="U1707" s="62">
        <v>6</v>
      </c>
      <c r="V1707" s="62">
        <v>0</v>
      </c>
      <c r="Y1707" s="62" t="b">
        <v>0</v>
      </c>
      <c r="Z1707" s="62" t="s">
        <v>5851</v>
      </c>
      <c r="AA1707" s="62" t="b">
        <v>0</v>
      </c>
      <c r="AD1707" s="62">
        <v>14.948937416076699</v>
      </c>
      <c r="AE1707" s="62">
        <f t="shared" si="118"/>
        <v>15.948937416076699</v>
      </c>
      <c r="AF1707" s="62" t="s">
        <v>5852</v>
      </c>
      <c r="AH1707" s="189">
        <v>0.1</v>
      </c>
      <c r="AI1707" s="189">
        <v>0.5</v>
      </c>
      <c r="AL1707" s="62">
        <v>35</v>
      </c>
      <c r="BF1707" s="62">
        <v>1</v>
      </c>
      <c r="BI1707" s="62">
        <v>1</v>
      </c>
    </row>
    <row r="1708" spans="1:61" s="62" customFormat="1" ht="26">
      <c r="A1708" s="62">
        <v>21100022</v>
      </c>
      <c r="C1708" s="62">
        <v>11</v>
      </c>
      <c r="F1708" s="181" t="s">
        <v>3855</v>
      </c>
      <c r="G1708" s="106" t="str">
        <f>VLOOKUP(F1708,'#对话模型配置'!A:O,12,FALSE)</f>
        <v>TID_Dialogue_Character_10</v>
      </c>
      <c r="H1708" s="62" t="str">
        <f>VLOOKUP(F1708,'#对话模型配置'!A:O,14,FALSE)</f>
        <v>icon_hero</v>
      </c>
      <c r="I1708" s="62" t="str">
        <f>VLOOKUP(F1708,'#对话模型配置'!A:O,15,FALSE)</f>
        <v>story_kruvis_big</v>
      </c>
      <c r="J1708" s="184" t="s">
        <v>5853</v>
      </c>
      <c r="K1708" s="185" t="s">
        <v>5854</v>
      </c>
      <c r="L1708" s="62">
        <v>110007</v>
      </c>
      <c r="U1708" s="62">
        <v>6</v>
      </c>
      <c r="V1708" s="62">
        <v>0</v>
      </c>
      <c r="Y1708" s="62" t="b">
        <v>0</v>
      </c>
      <c r="Z1708" s="62" t="s">
        <v>5855</v>
      </c>
      <c r="AA1708" s="62" t="b">
        <v>0</v>
      </c>
      <c r="AD1708" s="62">
        <v>11.963707923889199</v>
      </c>
      <c r="AE1708" s="62">
        <f t="shared" si="118"/>
        <v>12.963707923889199</v>
      </c>
      <c r="AF1708" s="62" t="s">
        <v>5856</v>
      </c>
      <c r="AH1708" s="189">
        <v>0.1</v>
      </c>
      <c r="AI1708" s="189">
        <v>0.5</v>
      </c>
      <c r="AL1708" s="62">
        <v>35</v>
      </c>
      <c r="BF1708" s="62">
        <v>1</v>
      </c>
      <c r="BI1708" s="62">
        <v>1</v>
      </c>
    </row>
    <row r="1709" spans="1:61" s="62" customFormat="1" ht="39">
      <c r="A1709" s="62">
        <v>21100022</v>
      </c>
      <c r="C1709" s="62">
        <v>12</v>
      </c>
      <c r="F1709" s="181" t="s">
        <v>5816</v>
      </c>
      <c r="G1709" s="106" t="str">
        <f>VLOOKUP(F1709,'#对话模型配置'!A:O,12,FALSE)</f>
        <v>TID_BaseHeroRecruitPool_10_ItemNameText_CN_Main</v>
      </c>
      <c r="H1709" s="62" t="str">
        <f>VLOOKUP(F1709,'#对话模型配置'!A:O,14,FALSE)</f>
        <v>icon_hero</v>
      </c>
      <c r="I1709" s="62" t="str">
        <f>VLOOKUP(F1709,'#对话模型配置'!A:O,15,FALSE)</f>
        <v>story_nino_big</v>
      </c>
      <c r="J1709" s="184" t="s">
        <v>5857</v>
      </c>
      <c r="K1709" s="185" t="s">
        <v>5858</v>
      </c>
      <c r="L1709" s="62">
        <v>110006</v>
      </c>
      <c r="U1709" s="62">
        <v>6</v>
      </c>
      <c r="V1709" s="62">
        <v>0</v>
      </c>
      <c r="Y1709" s="62" t="b">
        <v>0</v>
      </c>
      <c r="Z1709" s="62" t="s">
        <v>5859</v>
      </c>
      <c r="AA1709" s="62" t="b">
        <v>0</v>
      </c>
      <c r="AD1709" s="62">
        <v>13.0217294692993</v>
      </c>
      <c r="AE1709" s="62">
        <f t="shared" si="118"/>
        <v>14.0217294692993</v>
      </c>
      <c r="AF1709" s="62" t="s">
        <v>5860</v>
      </c>
      <c r="AH1709" s="189">
        <v>0.1</v>
      </c>
      <c r="AI1709" s="189">
        <v>0.5</v>
      </c>
      <c r="AL1709" s="62">
        <v>35</v>
      </c>
      <c r="BF1709" s="62">
        <v>1</v>
      </c>
      <c r="BI1709" s="62">
        <v>1</v>
      </c>
    </row>
    <row r="1710" spans="1:61" s="76" customFormat="1" ht="26">
      <c r="A1710" s="76">
        <v>21100023</v>
      </c>
      <c r="C1710" s="76">
        <v>1</v>
      </c>
      <c r="F1710" s="179" t="s">
        <v>4722</v>
      </c>
      <c r="G1710" s="180" t="str">
        <f>VLOOKUP(F1710,'#对话模型配置'!A:O,12,FALSE)</f>
        <v>TID_DialogueConf_1060001_name_CN_Main</v>
      </c>
      <c r="H1710" s="76" t="str">
        <f>VLOOKUP(F1710,'#对话模型配置'!A:O,14,FALSE)</f>
        <v>icon_hero</v>
      </c>
      <c r="I1710" s="76" t="str">
        <f>VLOOKUP(F1710,'#对话模型配置'!A:O,15,FALSE)</f>
        <v>icon_hero_206_big</v>
      </c>
      <c r="J1710" s="182" t="s">
        <v>5861</v>
      </c>
      <c r="K1710" s="183" t="s">
        <v>5862</v>
      </c>
      <c r="L1710" s="76">
        <v>110008</v>
      </c>
      <c r="U1710" s="76">
        <v>6</v>
      </c>
      <c r="V1710" s="76">
        <v>0</v>
      </c>
      <c r="Y1710" s="76" t="b">
        <v>0</v>
      </c>
      <c r="Z1710" s="76" t="s">
        <v>5863</v>
      </c>
      <c r="AA1710" s="76" t="b">
        <v>0</v>
      </c>
      <c r="AD1710" s="76">
        <v>12.306729316711399</v>
      </c>
      <c r="AE1710" s="76">
        <f t="shared" si="118"/>
        <v>13.306729316711399</v>
      </c>
      <c r="AF1710" s="76" t="s">
        <v>5864</v>
      </c>
      <c r="AH1710" s="188">
        <v>0.1</v>
      </c>
      <c r="AI1710" s="188">
        <v>0.5</v>
      </c>
      <c r="AL1710" s="76">
        <v>35</v>
      </c>
      <c r="BF1710" s="76">
        <v>0</v>
      </c>
      <c r="BI1710" s="76">
        <v>1</v>
      </c>
    </row>
    <row r="1711" spans="1:61" s="76" customFormat="1" ht="39">
      <c r="A1711" s="76">
        <v>21100023</v>
      </c>
      <c r="C1711" s="76">
        <v>2</v>
      </c>
      <c r="F1711" s="179" t="s">
        <v>4329</v>
      </c>
      <c r="G1711" s="180" t="str">
        <f>VLOOKUP(F1711,'#对话模型配置'!A:O,12,FALSE)</f>
        <v>TID_Dialogue_Character_11</v>
      </c>
      <c r="H1711" s="76" t="str">
        <f>VLOOKUP(F1711,'#对话模型配置'!A:O,14,FALSE)</f>
        <v>icon_hero</v>
      </c>
      <c r="I1711" s="76" t="str">
        <f>VLOOKUP(F1711,'#对话模型配置'!A:O,15,FALSE)</f>
        <v>icon_hero_036_big</v>
      </c>
      <c r="J1711" s="182" t="s">
        <v>5865</v>
      </c>
      <c r="K1711" s="183" t="s">
        <v>5866</v>
      </c>
      <c r="L1711" s="76">
        <v>110003</v>
      </c>
      <c r="U1711" s="76">
        <v>6</v>
      </c>
      <c r="V1711" s="76">
        <v>0</v>
      </c>
      <c r="Y1711" s="76" t="b">
        <v>0</v>
      </c>
      <c r="Z1711" s="76" t="s">
        <v>5867</v>
      </c>
      <c r="AA1711" s="76" t="b">
        <v>0</v>
      </c>
      <c r="AD1711" s="76">
        <v>15.661749839782701</v>
      </c>
      <c r="AE1711" s="76">
        <f t="shared" si="118"/>
        <v>16.661749839782701</v>
      </c>
      <c r="AF1711" s="76" t="s">
        <v>5868</v>
      </c>
      <c r="AH1711" s="188">
        <v>0.1</v>
      </c>
      <c r="AI1711" s="188">
        <v>0.5</v>
      </c>
      <c r="AL1711" s="76">
        <v>35</v>
      </c>
      <c r="BF1711" s="76">
        <v>0</v>
      </c>
      <c r="BI1711" s="76">
        <v>1</v>
      </c>
    </row>
    <row r="1712" spans="1:61" s="76" customFormat="1" ht="26">
      <c r="A1712" s="76">
        <v>21100023</v>
      </c>
      <c r="C1712" s="76">
        <v>3</v>
      </c>
      <c r="F1712" s="179" t="s">
        <v>5401</v>
      </c>
      <c r="G1712" s="180" t="str">
        <f>VLOOKUP(F1712,'#对话模型配置'!A:O,12,FALSE)</f>
        <v>TID_Dialogue_story_gl_charaname_03</v>
      </c>
      <c r="H1712" s="76" t="str">
        <f>VLOOKUP(F1712,'#对话模型配置'!A:O,14,FALSE)</f>
        <v>icon_hero</v>
      </c>
      <c r="I1712" s="76" t="str">
        <f>VLOOKUP(F1712,'#对话模型配置'!A:O,15,FALSE)</f>
        <v>story_linda_big</v>
      </c>
      <c r="J1712" s="182" t="s">
        <v>5869</v>
      </c>
      <c r="K1712" s="183" t="s">
        <v>5870</v>
      </c>
      <c r="L1712" s="76">
        <v>110012</v>
      </c>
      <c r="U1712" s="76">
        <v>6</v>
      </c>
      <c r="V1712" s="76">
        <v>0</v>
      </c>
      <c r="Y1712" s="76" t="b">
        <v>0</v>
      </c>
      <c r="Z1712" s="76" t="s">
        <v>5871</v>
      </c>
      <c r="AA1712" s="76" t="b">
        <v>0</v>
      </c>
      <c r="AD1712" s="76">
        <v>16.3715629577637</v>
      </c>
      <c r="AE1712" s="76">
        <f t="shared" si="118"/>
        <v>17.3715629577637</v>
      </c>
      <c r="AF1712" s="76" t="s">
        <v>5872</v>
      </c>
      <c r="AH1712" s="188">
        <v>0.1</v>
      </c>
      <c r="AI1712" s="188">
        <v>0.5</v>
      </c>
      <c r="AL1712" s="76">
        <v>35</v>
      </c>
      <c r="BF1712" s="76">
        <v>0</v>
      </c>
      <c r="BI1712" s="76">
        <v>1</v>
      </c>
    </row>
    <row r="1713" spans="1:61" s="76" customFormat="1" ht="26">
      <c r="A1713" s="76">
        <v>21100023</v>
      </c>
      <c r="C1713" s="76">
        <v>4</v>
      </c>
      <c r="F1713" s="179" t="s">
        <v>4329</v>
      </c>
      <c r="G1713" s="180" t="str">
        <f>VLOOKUP(F1713,'#对话模型配置'!A:O,12,FALSE)</f>
        <v>TID_Dialogue_Character_11</v>
      </c>
      <c r="H1713" s="76" t="str">
        <f>VLOOKUP(F1713,'#对话模型配置'!A:O,14,FALSE)</f>
        <v>icon_hero</v>
      </c>
      <c r="I1713" s="76" t="str">
        <f>VLOOKUP(F1713,'#对话模型配置'!A:O,15,FALSE)</f>
        <v>icon_hero_036_big</v>
      </c>
      <c r="J1713" s="182" t="s">
        <v>5873</v>
      </c>
      <c r="K1713" s="183" t="s">
        <v>5874</v>
      </c>
      <c r="L1713" s="76">
        <v>110003</v>
      </c>
      <c r="U1713" s="76">
        <v>6</v>
      </c>
      <c r="V1713" s="76">
        <v>0</v>
      </c>
      <c r="Y1713" s="76" t="b">
        <v>0</v>
      </c>
      <c r="Z1713" s="76" t="s">
        <v>5875</v>
      </c>
      <c r="AA1713" s="76" t="b">
        <v>0</v>
      </c>
      <c r="AD1713" s="76">
        <v>9.4538335800170898</v>
      </c>
      <c r="AE1713" s="76">
        <f t="shared" si="118"/>
        <v>10.45383358001709</v>
      </c>
      <c r="AF1713" s="76" t="s">
        <v>5876</v>
      </c>
      <c r="AH1713" s="188">
        <v>0.1</v>
      </c>
      <c r="AI1713" s="188">
        <v>0.5</v>
      </c>
      <c r="AL1713" s="76">
        <v>35</v>
      </c>
      <c r="BF1713" s="76">
        <v>0</v>
      </c>
      <c r="BI1713" s="76">
        <v>1</v>
      </c>
    </row>
    <row r="1714" spans="1:61" s="76" customFormat="1" ht="14.5">
      <c r="A1714" s="76">
        <v>21100023</v>
      </c>
      <c r="C1714" s="76">
        <v>5</v>
      </c>
      <c r="F1714" s="179" t="s">
        <v>4722</v>
      </c>
      <c r="G1714" s="180" t="str">
        <f>VLOOKUP(F1714,'#对话模型配置'!A:O,12,FALSE)</f>
        <v>TID_DialogueConf_1060001_name_CN_Main</v>
      </c>
      <c r="H1714" s="76" t="str">
        <f>VLOOKUP(F1714,'#对话模型配置'!A:O,14,FALSE)</f>
        <v>icon_hero</v>
      </c>
      <c r="I1714" s="76" t="str">
        <f>VLOOKUP(F1714,'#对话模型配置'!A:O,15,FALSE)</f>
        <v>icon_hero_206_big</v>
      </c>
      <c r="J1714" s="182" t="s">
        <v>5877</v>
      </c>
      <c r="K1714" s="183" t="s">
        <v>5878</v>
      </c>
      <c r="L1714" s="76">
        <v>110008</v>
      </c>
      <c r="U1714" s="76">
        <v>6</v>
      </c>
      <c r="V1714" s="76">
        <v>0</v>
      </c>
      <c r="Y1714" s="76" t="b">
        <v>0</v>
      </c>
      <c r="Z1714" s="76" t="s">
        <v>5879</v>
      </c>
      <c r="AA1714" s="76" t="b">
        <v>0</v>
      </c>
      <c r="AD1714" s="76">
        <v>7.40889596939087</v>
      </c>
      <c r="AE1714" s="76">
        <f t="shared" si="118"/>
        <v>8.4088959693908691</v>
      </c>
      <c r="AF1714" s="76" t="s">
        <v>5880</v>
      </c>
      <c r="AH1714" s="188">
        <v>0.1</v>
      </c>
      <c r="AI1714" s="188">
        <v>0.5</v>
      </c>
      <c r="AL1714" s="76">
        <v>35</v>
      </c>
      <c r="BF1714" s="76">
        <v>0</v>
      </c>
      <c r="BI1714" s="76">
        <v>1</v>
      </c>
    </row>
    <row r="1715" spans="1:61" s="76" customFormat="1" ht="26">
      <c r="A1715" s="76">
        <v>21100023</v>
      </c>
      <c r="C1715" s="76">
        <v>6</v>
      </c>
      <c r="F1715" s="179" t="s">
        <v>4329</v>
      </c>
      <c r="G1715" s="180" t="str">
        <f>VLOOKUP(F1715,'#对话模型配置'!A:O,12,FALSE)</f>
        <v>TID_Dialogue_Character_11</v>
      </c>
      <c r="H1715" s="76" t="str">
        <f>VLOOKUP(F1715,'#对话模型配置'!A:O,14,FALSE)</f>
        <v>icon_hero</v>
      </c>
      <c r="I1715" s="76" t="str">
        <f>VLOOKUP(F1715,'#对话模型配置'!A:O,15,FALSE)</f>
        <v>icon_hero_036_big</v>
      </c>
      <c r="J1715" s="182" t="s">
        <v>5881</v>
      </c>
      <c r="K1715" s="183" t="s">
        <v>5882</v>
      </c>
      <c r="L1715" s="76">
        <v>110003</v>
      </c>
      <c r="U1715" s="76">
        <v>6</v>
      </c>
      <c r="V1715" s="76">
        <v>0</v>
      </c>
      <c r="Y1715" s="76" t="b">
        <v>0</v>
      </c>
      <c r="Z1715" s="76" t="s">
        <v>5883</v>
      </c>
      <c r="AA1715" s="76" t="b">
        <v>0</v>
      </c>
      <c r="AD1715" s="76">
        <v>13.537646293640099</v>
      </c>
      <c r="AE1715" s="76">
        <f t="shared" si="118"/>
        <v>14.537646293640099</v>
      </c>
      <c r="AF1715" s="76" t="s">
        <v>5884</v>
      </c>
      <c r="AH1715" s="188">
        <v>0.1</v>
      </c>
      <c r="AI1715" s="188">
        <v>0.5</v>
      </c>
      <c r="AL1715" s="76">
        <v>35</v>
      </c>
      <c r="BF1715" s="76">
        <v>0</v>
      </c>
      <c r="BI1715" s="76">
        <v>1</v>
      </c>
    </row>
    <row r="1716" spans="1:61" s="76" customFormat="1" ht="14.5">
      <c r="A1716" s="76">
        <v>21100023</v>
      </c>
      <c r="C1716" s="76">
        <v>7</v>
      </c>
      <c r="F1716" s="179" t="s">
        <v>5401</v>
      </c>
      <c r="G1716" s="180" t="str">
        <f>VLOOKUP(F1716,'#对话模型配置'!A:O,12,FALSE)</f>
        <v>TID_Dialogue_story_gl_charaname_03</v>
      </c>
      <c r="H1716" s="76" t="str">
        <f>VLOOKUP(F1716,'#对话模型配置'!A:O,14,FALSE)</f>
        <v>icon_hero</v>
      </c>
      <c r="I1716" s="76" t="str">
        <f>VLOOKUP(F1716,'#对话模型配置'!A:O,15,FALSE)</f>
        <v>story_linda_big</v>
      </c>
      <c r="J1716" s="182" t="s">
        <v>5885</v>
      </c>
      <c r="K1716" s="183" t="s">
        <v>5886</v>
      </c>
      <c r="L1716" s="76">
        <v>110012</v>
      </c>
      <c r="U1716" s="76">
        <v>6</v>
      </c>
      <c r="V1716" s="76">
        <v>0</v>
      </c>
      <c r="Y1716" s="76" t="b">
        <v>0</v>
      </c>
      <c r="Z1716" s="76" t="s">
        <v>5887</v>
      </c>
      <c r="AA1716" s="76" t="b">
        <v>0</v>
      </c>
      <c r="AD1716" s="76">
        <v>5.2237081527709996</v>
      </c>
      <c r="AE1716" s="76">
        <f t="shared" si="118"/>
        <v>6.2237081527709996</v>
      </c>
      <c r="AF1716" s="76" t="s">
        <v>5888</v>
      </c>
      <c r="AH1716" s="188">
        <v>0.1</v>
      </c>
      <c r="AI1716" s="188">
        <v>0.5</v>
      </c>
      <c r="AL1716" s="76">
        <v>35</v>
      </c>
      <c r="BF1716" s="76">
        <v>0</v>
      </c>
      <c r="BI1716" s="76">
        <v>1</v>
      </c>
    </row>
    <row r="1717" spans="1:61" s="76" customFormat="1" ht="14.5">
      <c r="A1717" s="76">
        <v>21100023</v>
      </c>
      <c r="C1717" s="76">
        <v>8</v>
      </c>
      <c r="F1717" s="179" t="s">
        <v>4329</v>
      </c>
      <c r="G1717" s="180" t="str">
        <f>VLOOKUP(F1717,'#对话模型配置'!A:O,12,FALSE)</f>
        <v>TID_Dialogue_Character_11</v>
      </c>
      <c r="H1717" s="76" t="str">
        <f>VLOOKUP(F1717,'#对话模型配置'!A:O,14,FALSE)</f>
        <v>icon_hero</v>
      </c>
      <c r="I1717" s="76" t="str">
        <f>VLOOKUP(F1717,'#对话模型配置'!A:O,15,FALSE)</f>
        <v>icon_hero_036_big</v>
      </c>
      <c r="J1717" s="182" t="s">
        <v>5889</v>
      </c>
      <c r="K1717" s="183" t="s">
        <v>5890</v>
      </c>
      <c r="L1717" s="76">
        <v>110003</v>
      </c>
      <c r="U1717" s="76">
        <v>6</v>
      </c>
      <c r="V1717" s="76">
        <v>0</v>
      </c>
      <c r="Y1717" s="76" t="b">
        <v>0</v>
      </c>
      <c r="Z1717" s="76" t="s">
        <v>5891</v>
      </c>
      <c r="AA1717" s="76" t="b">
        <v>0</v>
      </c>
      <c r="AD1717" s="76">
        <v>4.8349590301513699</v>
      </c>
      <c r="AE1717" s="76">
        <f t="shared" si="118"/>
        <v>5.8349590301513699</v>
      </c>
      <c r="AF1717" s="76" t="s">
        <v>5892</v>
      </c>
      <c r="AH1717" s="188">
        <v>0.1</v>
      </c>
      <c r="AI1717" s="188">
        <v>0.5</v>
      </c>
      <c r="AL1717" s="76">
        <v>35</v>
      </c>
      <c r="BF1717" s="76">
        <v>0</v>
      </c>
      <c r="BI1717" s="76">
        <v>1</v>
      </c>
    </row>
    <row r="1718" spans="1:61" s="76" customFormat="1" ht="39">
      <c r="A1718" s="76">
        <v>21100023</v>
      </c>
      <c r="C1718" s="76">
        <v>9</v>
      </c>
      <c r="F1718" s="179" t="s">
        <v>5401</v>
      </c>
      <c r="G1718" s="180" t="str">
        <f>VLOOKUP(F1718,'#对话模型配置'!A:O,12,FALSE)</f>
        <v>TID_Dialogue_story_gl_charaname_03</v>
      </c>
      <c r="H1718" s="76" t="str">
        <f>VLOOKUP(F1718,'#对话模型配置'!A:O,14,FALSE)</f>
        <v>icon_hero</v>
      </c>
      <c r="I1718" s="76" t="str">
        <f>VLOOKUP(F1718,'#对话模型配置'!A:O,15,FALSE)</f>
        <v>story_linda_big</v>
      </c>
      <c r="J1718" s="182" t="s">
        <v>5893</v>
      </c>
      <c r="K1718" s="183" t="s">
        <v>5894</v>
      </c>
      <c r="L1718" s="76">
        <v>110012</v>
      </c>
      <c r="U1718" s="76">
        <v>6</v>
      </c>
      <c r="V1718" s="76">
        <v>0</v>
      </c>
      <c r="Y1718" s="76" t="b">
        <v>0</v>
      </c>
      <c r="Z1718" s="76" t="s">
        <v>5895</v>
      </c>
      <c r="AA1718" s="76" t="b">
        <v>0</v>
      </c>
      <c r="AD1718" s="76">
        <v>13.9127292633057</v>
      </c>
      <c r="AE1718" s="76">
        <f t="shared" si="118"/>
        <v>14.9127292633057</v>
      </c>
      <c r="AF1718" s="76" t="s">
        <v>5896</v>
      </c>
      <c r="AH1718" s="188">
        <v>0.1</v>
      </c>
      <c r="AI1718" s="188">
        <v>0.5</v>
      </c>
      <c r="AL1718" s="76">
        <v>35</v>
      </c>
      <c r="BF1718" s="76">
        <v>0</v>
      </c>
      <c r="BI1718" s="76">
        <v>1</v>
      </c>
    </row>
    <row r="1719" spans="1:61" s="76" customFormat="1" ht="39">
      <c r="A1719" s="76">
        <v>21100023</v>
      </c>
      <c r="C1719" s="76">
        <v>10</v>
      </c>
      <c r="F1719" s="179" t="s">
        <v>5401</v>
      </c>
      <c r="G1719" s="180" t="str">
        <f>VLOOKUP(F1719,'#对话模型配置'!A:O,12,FALSE)</f>
        <v>TID_Dialogue_story_gl_charaname_03</v>
      </c>
      <c r="H1719" s="76" t="str">
        <f>VLOOKUP(F1719,'#对话模型配置'!A:O,14,FALSE)</f>
        <v>icon_hero</v>
      </c>
      <c r="I1719" s="76" t="str">
        <f>VLOOKUP(F1719,'#对话模型配置'!A:O,15,FALSE)</f>
        <v>story_linda_big</v>
      </c>
      <c r="J1719" s="182" t="s">
        <v>5897</v>
      </c>
      <c r="K1719" s="183" t="s">
        <v>5898</v>
      </c>
      <c r="L1719" s="76">
        <v>110012</v>
      </c>
      <c r="U1719" s="76">
        <v>6</v>
      </c>
      <c r="V1719" s="76">
        <v>0</v>
      </c>
      <c r="Y1719" s="76" t="b">
        <v>0</v>
      </c>
      <c r="Z1719" s="76" t="s">
        <v>5899</v>
      </c>
      <c r="AA1719" s="76" t="b">
        <v>0</v>
      </c>
      <c r="AD1719" s="76">
        <v>18.381708145141602</v>
      </c>
      <c r="AE1719" s="76">
        <f t="shared" si="118"/>
        <v>19.381708145141602</v>
      </c>
      <c r="AF1719" s="76" t="s">
        <v>5900</v>
      </c>
      <c r="AH1719" s="188">
        <v>0.1</v>
      </c>
      <c r="AI1719" s="188">
        <v>0.5</v>
      </c>
      <c r="AL1719" s="76">
        <v>35</v>
      </c>
      <c r="BF1719" s="76">
        <v>0</v>
      </c>
      <c r="BI1719" s="76">
        <v>1</v>
      </c>
    </row>
    <row r="1720" spans="1:61" s="76" customFormat="1" ht="39">
      <c r="A1720" s="76">
        <v>21100023</v>
      </c>
      <c r="C1720" s="76">
        <v>11</v>
      </c>
      <c r="F1720" s="179" t="s">
        <v>5401</v>
      </c>
      <c r="G1720" s="180" t="str">
        <f>VLOOKUP(F1720,'#对话模型配置'!A:O,12,FALSE)</f>
        <v>TID_Dialogue_story_gl_charaname_03</v>
      </c>
      <c r="H1720" s="76" t="str">
        <f>VLOOKUP(F1720,'#对话模型配置'!A:O,14,FALSE)</f>
        <v>icon_hero</v>
      </c>
      <c r="I1720" s="76" t="str">
        <f>VLOOKUP(F1720,'#对话模型配置'!A:O,15,FALSE)</f>
        <v>story_linda_big</v>
      </c>
      <c r="J1720" s="182" t="s">
        <v>5901</v>
      </c>
      <c r="K1720" s="183" t="s">
        <v>5902</v>
      </c>
      <c r="L1720" s="76">
        <v>110012</v>
      </c>
      <c r="U1720" s="76">
        <v>6</v>
      </c>
      <c r="V1720" s="76">
        <v>0</v>
      </c>
      <c r="Y1720" s="76" t="b">
        <v>0</v>
      </c>
      <c r="Z1720" s="76" t="s">
        <v>5903</v>
      </c>
      <c r="AA1720" s="76" t="b">
        <v>0</v>
      </c>
      <c r="AD1720" s="76">
        <v>10.471437454223601</v>
      </c>
      <c r="AE1720" s="76">
        <f t="shared" si="118"/>
        <v>11.471437454223601</v>
      </c>
      <c r="AF1720" s="76" t="s">
        <v>5904</v>
      </c>
      <c r="AH1720" s="188">
        <v>0.1</v>
      </c>
      <c r="AI1720" s="188">
        <v>0.5</v>
      </c>
      <c r="AL1720" s="76">
        <v>35</v>
      </c>
      <c r="BF1720" s="76">
        <v>0</v>
      </c>
      <c r="BI1720" s="76">
        <v>1</v>
      </c>
    </row>
    <row r="1721" spans="1:61" s="76" customFormat="1" ht="14.5">
      <c r="A1721" s="76">
        <v>21100023</v>
      </c>
      <c r="C1721" s="76">
        <v>12</v>
      </c>
      <c r="F1721" s="179" t="s">
        <v>4722</v>
      </c>
      <c r="G1721" s="180" t="str">
        <f>VLOOKUP(F1721,'#对话模型配置'!A:O,12,FALSE)</f>
        <v>TID_DialogueConf_1060001_name_CN_Main</v>
      </c>
      <c r="H1721" s="76" t="str">
        <f>VLOOKUP(F1721,'#对话模型配置'!A:O,14,FALSE)</f>
        <v>icon_hero</v>
      </c>
      <c r="I1721" s="76" t="str">
        <f>VLOOKUP(F1721,'#对话模型配置'!A:O,15,FALSE)</f>
        <v>icon_hero_206_big</v>
      </c>
      <c r="J1721" s="182" t="s">
        <v>5905</v>
      </c>
      <c r="K1721" s="183" t="s">
        <v>5906</v>
      </c>
      <c r="L1721" s="76">
        <v>110008</v>
      </c>
      <c r="U1721" s="76">
        <v>6</v>
      </c>
      <c r="V1721" s="76">
        <v>0</v>
      </c>
      <c r="Y1721" s="76" t="b">
        <v>0</v>
      </c>
      <c r="Z1721" s="76" t="s">
        <v>5907</v>
      </c>
      <c r="AA1721" s="76" t="b">
        <v>0</v>
      </c>
      <c r="AD1721" s="76">
        <v>5.5649580955505398</v>
      </c>
      <c r="AE1721" s="76">
        <f t="shared" si="118"/>
        <v>6.5649580955505398</v>
      </c>
      <c r="AF1721" s="76" t="s">
        <v>5908</v>
      </c>
      <c r="AH1721" s="188">
        <v>0.1</v>
      </c>
      <c r="AI1721" s="188">
        <v>0.5</v>
      </c>
      <c r="AL1721" s="76">
        <v>35</v>
      </c>
      <c r="BF1721" s="76">
        <v>0</v>
      </c>
      <c r="BI1721" s="76">
        <v>1</v>
      </c>
    </row>
    <row r="1722" spans="1:61" s="76" customFormat="1" ht="26">
      <c r="A1722" s="76">
        <v>21100023</v>
      </c>
      <c r="C1722" s="76">
        <v>13</v>
      </c>
      <c r="F1722" s="179" t="s">
        <v>5401</v>
      </c>
      <c r="G1722" s="180" t="str">
        <f>VLOOKUP(F1722,'#对话模型配置'!A:O,12,FALSE)</f>
        <v>TID_Dialogue_story_gl_charaname_03</v>
      </c>
      <c r="H1722" s="76" t="str">
        <f>VLOOKUP(F1722,'#对话模型配置'!A:O,14,FALSE)</f>
        <v>icon_hero</v>
      </c>
      <c r="I1722" s="76" t="str">
        <f>VLOOKUP(F1722,'#对话模型配置'!A:O,15,FALSE)</f>
        <v>story_linda_big</v>
      </c>
      <c r="J1722" s="182" t="s">
        <v>5909</v>
      </c>
      <c r="K1722" s="183" t="s">
        <v>5910</v>
      </c>
      <c r="L1722" s="76">
        <v>110012</v>
      </c>
      <c r="U1722" s="76">
        <v>6</v>
      </c>
      <c r="V1722" s="76">
        <v>0</v>
      </c>
      <c r="Y1722" s="76" t="b">
        <v>0</v>
      </c>
      <c r="Z1722" s="76" t="s">
        <v>5911</v>
      </c>
      <c r="AA1722" s="76" t="b">
        <v>0</v>
      </c>
      <c r="AD1722" s="76">
        <v>12.445437431335399</v>
      </c>
      <c r="AE1722" s="76">
        <f t="shared" si="118"/>
        <v>13.445437431335399</v>
      </c>
      <c r="AF1722" s="76" t="s">
        <v>5912</v>
      </c>
      <c r="AH1722" s="188">
        <v>0.1</v>
      </c>
      <c r="AI1722" s="188">
        <v>0.5</v>
      </c>
      <c r="AL1722" s="76">
        <v>35</v>
      </c>
      <c r="BF1722" s="76">
        <v>0</v>
      </c>
      <c r="BI1722" s="76">
        <v>1</v>
      </c>
    </row>
    <row r="1723" spans="1:61" s="62" customFormat="1" ht="14.5">
      <c r="A1723" s="62">
        <v>21100024</v>
      </c>
      <c r="C1723" s="62">
        <v>1</v>
      </c>
      <c r="F1723" s="181" t="s">
        <v>4329</v>
      </c>
      <c r="G1723" s="106" t="str">
        <f>VLOOKUP(F1723,'#对话模型配置'!A:O,12,FALSE)</f>
        <v>TID_Dialogue_Character_11</v>
      </c>
      <c r="H1723" s="62" t="str">
        <f>VLOOKUP(F1723,'#对话模型配置'!A:O,14,FALSE)</f>
        <v>icon_hero</v>
      </c>
      <c r="I1723" s="62" t="str">
        <f>VLOOKUP(F1723,'#对话模型配置'!A:O,15,FALSE)</f>
        <v>icon_hero_036_big</v>
      </c>
      <c r="J1723" s="184" t="s">
        <v>5913</v>
      </c>
      <c r="K1723" s="185" t="s">
        <v>5914</v>
      </c>
      <c r="L1723" s="62">
        <v>110003</v>
      </c>
      <c r="U1723" s="62">
        <v>6</v>
      </c>
      <c r="V1723" s="62">
        <v>0</v>
      </c>
      <c r="Y1723" s="62" t="b">
        <v>0</v>
      </c>
      <c r="Z1723" s="62" t="s">
        <v>5915</v>
      </c>
      <c r="AA1723" s="62" t="b">
        <v>0</v>
      </c>
      <c r="AD1723" s="62">
        <v>3.2555630207061799</v>
      </c>
      <c r="AE1723" s="62">
        <f t="shared" si="118"/>
        <v>4.2555630207061803</v>
      </c>
      <c r="AF1723" s="62" t="s">
        <v>5916</v>
      </c>
      <c r="AH1723" s="189">
        <v>0.1</v>
      </c>
      <c r="AI1723" s="189">
        <v>0.5</v>
      </c>
      <c r="AL1723" s="62">
        <v>35</v>
      </c>
      <c r="BF1723" s="62">
        <v>0</v>
      </c>
      <c r="BI1723" s="62">
        <v>1</v>
      </c>
    </row>
    <row r="1724" spans="1:61" s="62" customFormat="1" ht="26">
      <c r="A1724" s="62">
        <v>21100024</v>
      </c>
      <c r="C1724" s="62">
        <v>2</v>
      </c>
      <c r="F1724" s="181" t="s">
        <v>5401</v>
      </c>
      <c r="G1724" s="106" t="str">
        <f>VLOOKUP(F1724,'#对话模型配置'!A:O,12,FALSE)</f>
        <v>TID_Dialogue_story_gl_charaname_03</v>
      </c>
      <c r="H1724" s="62" t="str">
        <f>VLOOKUP(F1724,'#对话模型配置'!A:O,14,FALSE)</f>
        <v>icon_hero</v>
      </c>
      <c r="I1724" s="62" t="str">
        <f>VLOOKUP(F1724,'#对话模型配置'!A:O,15,FALSE)</f>
        <v>story_linda_big</v>
      </c>
      <c r="J1724" s="184" t="s">
        <v>5917</v>
      </c>
      <c r="K1724" s="185" t="s">
        <v>5918</v>
      </c>
      <c r="L1724" s="62">
        <v>110012</v>
      </c>
      <c r="U1724" s="62">
        <v>6</v>
      </c>
      <c r="V1724" s="62">
        <v>0</v>
      </c>
      <c r="Y1724" s="62" t="b">
        <v>0</v>
      </c>
      <c r="Z1724" s="62" t="s">
        <v>5919</v>
      </c>
      <c r="AA1724" s="62" t="b">
        <v>0</v>
      </c>
      <c r="AD1724" s="62">
        <v>15.5044164657593</v>
      </c>
      <c r="AE1724" s="62">
        <f t="shared" si="118"/>
        <v>16.504416465759299</v>
      </c>
      <c r="AF1724" s="62" t="s">
        <v>5920</v>
      </c>
      <c r="AH1724" s="189">
        <v>0.1</v>
      </c>
      <c r="AI1724" s="189">
        <v>0.5</v>
      </c>
      <c r="AL1724" s="62">
        <v>35</v>
      </c>
      <c r="BF1724" s="62">
        <v>0</v>
      </c>
      <c r="BI1724" s="62">
        <v>1</v>
      </c>
    </row>
    <row r="1725" spans="1:61" s="62" customFormat="1" ht="14.5">
      <c r="A1725" s="62">
        <v>21100024</v>
      </c>
      <c r="C1725" s="62">
        <v>3</v>
      </c>
      <c r="F1725" s="181" t="s">
        <v>4329</v>
      </c>
      <c r="G1725" s="106" t="str">
        <f>VLOOKUP(F1725,'#对话模型配置'!A:O,12,FALSE)</f>
        <v>TID_Dialogue_Character_11</v>
      </c>
      <c r="H1725" s="62" t="str">
        <f>VLOOKUP(F1725,'#对话模型配置'!A:O,14,FALSE)</f>
        <v>icon_hero</v>
      </c>
      <c r="I1725" s="62" t="str">
        <f>VLOOKUP(F1725,'#对话模型配置'!A:O,15,FALSE)</f>
        <v>icon_hero_036_big</v>
      </c>
      <c r="J1725" s="184" t="s">
        <v>5921</v>
      </c>
      <c r="K1725" s="185" t="s">
        <v>5922</v>
      </c>
      <c r="L1725" s="62">
        <v>110003</v>
      </c>
      <c r="U1725" s="62">
        <v>6</v>
      </c>
      <c r="V1725" s="62">
        <v>0</v>
      </c>
      <c r="Y1725" s="62" t="b">
        <v>0</v>
      </c>
      <c r="Z1725" s="62" t="s">
        <v>5923</v>
      </c>
      <c r="AA1725" s="62" t="b">
        <v>0</v>
      </c>
      <c r="AD1725" s="62">
        <v>4.4089159965515101</v>
      </c>
      <c r="AE1725" s="62">
        <f t="shared" si="118"/>
        <v>5.4089159965515101</v>
      </c>
      <c r="AF1725" s="62" t="s">
        <v>5924</v>
      </c>
      <c r="AH1725" s="189">
        <v>0.1</v>
      </c>
      <c r="AI1725" s="189">
        <v>0.5</v>
      </c>
      <c r="AL1725" s="62">
        <v>35</v>
      </c>
      <c r="BF1725" s="62">
        <v>0</v>
      </c>
      <c r="BI1725" s="62">
        <v>1</v>
      </c>
    </row>
    <row r="1726" spans="1:61" s="62" customFormat="1" ht="26">
      <c r="A1726" s="62">
        <v>21100024</v>
      </c>
      <c r="C1726" s="62">
        <v>4</v>
      </c>
      <c r="F1726" s="181" t="s">
        <v>5401</v>
      </c>
      <c r="G1726" s="106" t="str">
        <f>VLOOKUP(F1726,'#对话模型配置'!A:O,12,FALSE)</f>
        <v>TID_Dialogue_story_gl_charaname_03</v>
      </c>
      <c r="H1726" s="62" t="str">
        <f>VLOOKUP(F1726,'#对话模型配置'!A:O,14,FALSE)</f>
        <v>icon_hero</v>
      </c>
      <c r="I1726" s="62" t="str">
        <f>VLOOKUP(F1726,'#对话模型配置'!A:O,15,FALSE)</f>
        <v>story_linda_big</v>
      </c>
      <c r="J1726" s="184" t="s">
        <v>5925</v>
      </c>
      <c r="K1726" s="185" t="s">
        <v>5926</v>
      </c>
      <c r="L1726" s="62">
        <v>110012</v>
      </c>
      <c r="U1726" s="62">
        <v>6</v>
      </c>
      <c r="V1726" s="62">
        <v>0</v>
      </c>
      <c r="Y1726" s="62" t="b">
        <v>0</v>
      </c>
      <c r="Z1726" s="62" t="s">
        <v>5927</v>
      </c>
      <c r="AA1726" s="62" t="b">
        <v>0</v>
      </c>
      <c r="AD1726" s="62">
        <v>10.1037292480469</v>
      </c>
      <c r="AE1726" s="62">
        <f t="shared" si="118"/>
        <v>11.1037292480469</v>
      </c>
      <c r="AF1726" s="62" t="s">
        <v>5928</v>
      </c>
      <c r="AH1726" s="189">
        <v>0.1</v>
      </c>
      <c r="AI1726" s="189">
        <v>0.5</v>
      </c>
      <c r="AL1726" s="62">
        <v>35</v>
      </c>
      <c r="BF1726" s="62">
        <v>0</v>
      </c>
      <c r="BI1726" s="62">
        <v>1</v>
      </c>
    </row>
    <row r="1727" spans="1:61" s="62" customFormat="1" ht="26">
      <c r="A1727" s="62">
        <v>21100024</v>
      </c>
      <c r="C1727" s="62">
        <v>5</v>
      </c>
      <c r="F1727" s="181" t="s">
        <v>4329</v>
      </c>
      <c r="G1727" s="106" t="str">
        <f>VLOOKUP(F1727,'#对话模型配置'!A:O,12,FALSE)</f>
        <v>TID_Dialogue_Character_11</v>
      </c>
      <c r="H1727" s="62" t="str">
        <f>VLOOKUP(F1727,'#对话模型配置'!A:O,14,FALSE)</f>
        <v>icon_hero</v>
      </c>
      <c r="I1727" s="62" t="str">
        <f>VLOOKUP(F1727,'#对话模型配置'!A:O,15,FALSE)</f>
        <v>icon_hero_036_big</v>
      </c>
      <c r="J1727" s="184" t="s">
        <v>5929</v>
      </c>
      <c r="K1727" s="185" t="s">
        <v>5930</v>
      </c>
      <c r="L1727" s="62">
        <v>110003</v>
      </c>
      <c r="U1727" s="62">
        <v>6</v>
      </c>
      <c r="V1727" s="62">
        <v>0</v>
      </c>
      <c r="Y1727" s="62" t="b">
        <v>0</v>
      </c>
      <c r="Z1727" s="62" t="s">
        <v>5931</v>
      </c>
      <c r="AA1727" s="62" t="b">
        <v>0</v>
      </c>
      <c r="AD1727" s="62">
        <v>7.7360000610351598</v>
      </c>
      <c r="AE1727" s="62">
        <f t="shared" si="118"/>
        <v>8.7360000610351598</v>
      </c>
      <c r="AF1727" s="62" t="s">
        <v>5932</v>
      </c>
      <c r="AH1727" s="189">
        <v>0.1</v>
      </c>
      <c r="AI1727" s="189">
        <v>0.5</v>
      </c>
      <c r="AL1727" s="62">
        <v>35</v>
      </c>
      <c r="BF1727" s="62">
        <v>0</v>
      </c>
      <c r="BI1727" s="62">
        <v>1</v>
      </c>
    </row>
    <row r="1728" spans="1:61" s="76" customFormat="1" ht="26">
      <c r="A1728" s="76">
        <v>21200024</v>
      </c>
      <c r="C1728" s="76">
        <v>1</v>
      </c>
      <c r="F1728" s="179" t="s">
        <v>3855</v>
      </c>
      <c r="G1728" s="180" t="str">
        <f>VLOOKUP(F1728,'#对话模型配置'!A:O,12,FALSE)</f>
        <v>TID_Dialogue_Character_10</v>
      </c>
      <c r="H1728" s="76" t="str">
        <f>VLOOKUP(F1728,'#对话模型配置'!A:O,14,FALSE)</f>
        <v>icon_hero</v>
      </c>
      <c r="I1728" s="76" t="str">
        <f>VLOOKUP(F1728,'#对话模型配置'!A:O,15,FALSE)</f>
        <v>story_kruvis_big</v>
      </c>
      <c r="J1728" s="182" t="s">
        <v>5933</v>
      </c>
      <c r="K1728" s="183" t="s">
        <v>5934</v>
      </c>
      <c r="L1728" s="76">
        <v>110007</v>
      </c>
      <c r="U1728" s="76">
        <v>6</v>
      </c>
      <c r="V1728" s="76">
        <v>0</v>
      </c>
      <c r="Y1728" s="76" t="b">
        <v>0</v>
      </c>
      <c r="Z1728" s="76" t="s">
        <v>5935</v>
      </c>
      <c r="AA1728" s="76" t="b">
        <v>0</v>
      </c>
      <c r="AD1728" s="76">
        <v>12.192416191101101</v>
      </c>
      <c r="AE1728" s="76">
        <f t="shared" si="118"/>
        <v>13.192416191101101</v>
      </c>
      <c r="AF1728" s="76" t="s">
        <v>5936</v>
      </c>
      <c r="AH1728" s="188">
        <v>0.1</v>
      </c>
      <c r="AI1728" s="188">
        <v>0.5</v>
      </c>
      <c r="AL1728" s="76">
        <v>35</v>
      </c>
      <c r="BF1728" s="76">
        <v>1</v>
      </c>
      <c r="BI1728" s="76">
        <v>1</v>
      </c>
    </row>
    <row r="1729" spans="1:61" s="76" customFormat="1" ht="14.5">
      <c r="A1729" s="76">
        <v>21100024</v>
      </c>
      <c r="C1729" s="76">
        <v>2</v>
      </c>
      <c r="F1729" s="179" t="s">
        <v>5816</v>
      </c>
      <c r="G1729" s="180" t="str">
        <f>VLOOKUP(F1729,'#对话模型配置'!A:O,12,FALSE)</f>
        <v>TID_BaseHeroRecruitPool_10_ItemNameText_CN_Main</v>
      </c>
      <c r="H1729" s="76" t="str">
        <f>VLOOKUP(F1729,'#对话模型配置'!A:O,14,FALSE)</f>
        <v>icon_hero</v>
      </c>
      <c r="I1729" s="76" t="str">
        <f>VLOOKUP(F1729,'#对话模型配置'!A:O,15,FALSE)</f>
        <v>story_nino_big</v>
      </c>
      <c r="J1729" s="182" t="s">
        <v>5937</v>
      </c>
      <c r="K1729" s="183" t="s">
        <v>5938</v>
      </c>
      <c r="L1729" s="76">
        <v>110006</v>
      </c>
      <c r="U1729" s="76">
        <v>6</v>
      </c>
      <c r="V1729" s="76">
        <v>0</v>
      </c>
      <c r="Y1729" s="76" t="b">
        <v>0</v>
      </c>
      <c r="Z1729" s="76" t="s">
        <v>5939</v>
      </c>
      <c r="AA1729" s="76" t="b">
        <v>0</v>
      </c>
      <c r="AD1729" s="76">
        <v>7.2960000038146999</v>
      </c>
      <c r="AE1729" s="76">
        <f t="shared" si="118"/>
        <v>8.2960000038147008</v>
      </c>
      <c r="AF1729" s="76" t="s">
        <v>5940</v>
      </c>
      <c r="AH1729" s="188">
        <v>0.1</v>
      </c>
      <c r="AI1729" s="188">
        <v>0.5</v>
      </c>
      <c r="AL1729" s="76">
        <v>35</v>
      </c>
      <c r="BF1729" s="76">
        <v>1</v>
      </c>
      <c r="BI1729" s="76">
        <v>1</v>
      </c>
    </row>
    <row r="1730" spans="1:61" s="76" customFormat="1" ht="14.5">
      <c r="A1730" s="76">
        <v>21100024</v>
      </c>
      <c r="C1730" s="76">
        <v>3</v>
      </c>
      <c r="F1730" s="179" t="s">
        <v>4329</v>
      </c>
      <c r="G1730" s="180" t="str">
        <f>VLOOKUP(F1730,'#对话模型配置'!A:O,12,FALSE)</f>
        <v>TID_Dialogue_Character_11</v>
      </c>
      <c r="H1730" s="76" t="str">
        <f>VLOOKUP(F1730,'#对话模型配置'!A:O,14,FALSE)</f>
        <v>icon_hero</v>
      </c>
      <c r="I1730" s="76" t="str">
        <f>VLOOKUP(F1730,'#对话模型配置'!A:O,15,FALSE)</f>
        <v>icon_hero_036_big</v>
      </c>
      <c r="J1730" s="182" t="s">
        <v>5941</v>
      </c>
      <c r="K1730" s="183" t="s">
        <v>5942</v>
      </c>
      <c r="L1730" s="76">
        <v>110003</v>
      </c>
      <c r="U1730" s="76">
        <v>6</v>
      </c>
      <c r="V1730" s="76">
        <v>0</v>
      </c>
      <c r="Y1730" s="76" t="b">
        <v>0</v>
      </c>
      <c r="Z1730" s="76" t="s">
        <v>5943</v>
      </c>
      <c r="AA1730" s="76" t="b">
        <v>0</v>
      </c>
      <c r="AD1730" s="76">
        <v>5.4182291030883798</v>
      </c>
      <c r="AE1730" s="76">
        <f t="shared" si="118"/>
        <v>6.4182291030883798</v>
      </c>
      <c r="AF1730" s="76" t="s">
        <v>5944</v>
      </c>
      <c r="AH1730" s="188">
        <v>0.1</v>
      </c>
      <c r="AI1730" s="188">
        <v>0.5</v>
      </c>
      <c r="AL1730" s="76">
        <v>35</v>
      </c>
      <c r="BF1730" s="76">
        <v>0</v>
      </c>
      <c r="BI1730" s="76">
        <v>1</v>
      </c>
    </row>
    <row r="1731" spans="1:61" s="76" customFormat="1" ht="14.5">
      <c r="A1731" s="76">
        <v>21100024</v>
      </c>
      <c r="C1731" s="76">
        <v>4</v>
      </c>
      <c r="F1731" s="179" t="s">
        <v>5401</v>
      </c>
      <c r="G1731" s="180" t="str">
        <f>VLOOKUP(F1731,'#对话模型配置'!A:O,12,FALSE)</f>
        <v>TID_Dialogue_story_gl_charaname_03</v>
      </c>
      <c r="H1731" s="76" t="str">
        <f>VLOOKUP(F1731,'#对话模型配置'!A:O,14,FALSE)</f>
        <v>icon_hero</v>
      </c>
      <c r="I1731" s="76" t="str">
        <f>VLOOKUP(F1731,'#对话模型配置'!A:O,15,FALSE)</f>
        <v>story_linda_big</v>
      </c>
      <c r="J1731" s="182" t="s">
        <v>5945</v>
      </c>
      <c r="K1731" s="183" t="s">
        <v>5946</v>
      </c>
      <c r="L1731" s="76">
        <v>110012</v>
      </c>
      <c r="U1731" s="76">
        <v>6</v>
      </c>
      <c r="V1731" s="76">
        <v>0</v>
      </c>
      <c r="Y1731" s="76" t="b">
        <v>0</v>
      </c>
      <c r="Z1731" s="76" t="s">
        <v>5947</v>
      </c>
      <c r="AA1731" s="76" t="b">
        <v>0</v>
      </c>
      <c r="AD1731" s="76">
        <v>8</v>
      </c>
      <c r="AE1731" s="76">
        <f t="shared" si="118"/>
        <v>9</v>
      </c>
      <c r="AH1731" s="188">
        <v>0.1</v>
      </c>
      <c r="AI1731" s="188">
        <v>0.5</v>
      </c>
      <c r="AL1731" s="76">
        <v>35</v>
      </c>
      <c r="BF1731" s="76">
        <v>0</v>
      </c>
      <c r="BI1731" s="76">
        <v>1</v>
      </c>
    </row>
    <row r="1732" spans="1:61" s="76" customFormat="1" ht="39">
      <c r="A1732" s="76">
        <v>21100024</v>
      </c>
      <c r="C1732" s="76">
        <v>5</v>
      </c>
      <c r="F1732" s="179" t="s">
        <v>4329</v>
      </c>
      <c r="G1732" s="180" t="str">
        <f>VLOOKUP(F1732,'#对话模型配置'!A:O,12,FALSE)</f>
        <v>TID_Dialogue_Character_11</v>
      </c>
      <c r="H1732" s="76" t="str">
        <f>VLOOKUP(F1732,'#对话模型配置'!A:O,14,FALSE)</f>
        <v>icon_hero</v>
      </c>
      <c r="I1732" s="76" t="str">
        <f>VLOOKUP(F1732,'#对话模型配置'!A:O,15,FALSE)</f>
        <v>icon_hero_036_big</v>
      </c>
      <c r="J1732" s="182" t="s">
        <v>5948</v>
      </c>
      <c r="K1732" s="183" t="s">
        <v>5949</v>
      </c>
      <c r="L1732" s="76">
        <v>110003</v>
      </c>
      <c r="U1732" s="76">
        <v>6</v>
      </c>
      <c r="V1732" s="76">
        <v>0</v>
      </c>
      <c r="Y1732" s="76" t="b">
        <v>0</v>
      </c>
      <c r="Z1732" s="76" t="s">
        <v>5950</v>
      </c>
      <c r="AA1732" s="76" t="b">
        <v>0</v>
      </c>
      <c r="AD1732" s="76">
        <v>9.9626674652099592</v>
      </c>
      <c r="AE1732" s="76">
        <f t="shared" si="118"/>
        <v>10.962667465209959</v>
      </c>
      <c r="AF1732" s="76" t="s">
        <v>5951</v>
      </c>
      <c r="AH1732" s="188">
        <v>0.1</v>
      </c>
      <c r="AI1732" s="188">
        <v>0.5</v>
      </c>
      <c r="AL1732" s="76">
        <v>35</v>
      </c>
      <c r="BF1732" s="76">
        <v>0</v>
      </c>
      <c r="BI1732" s="76">
        <v>1</v>
      </c>
    </row>
    <row r="1733" spans="1:61" s="76" customFormat="1" ht="26">
      <c r="A1733" s="76">
        <v>21100024</v>
      </c>
      <c r="C1733" s="76">
        <v>6</v>
      </c>
      <c r="F1733" s="179" t="s">
        <v>5401</v>
      </c>
      <c r="G1733" s="180" t="str">
        <f>VLOOKUP(F1733,'#对话模型配置'!A:O,12,FALSE)</f>
        <v>TID_Dialogue_story_gl_charaname_03</v>
      </c>
      <c r="H1733" s="76" t="str">
        <f>VLOOKUP(F1733,'#对话模型配置'!A:O,14,FALSE)</f>
        <v>icon_hero</v>
      </c>
      <c r="I1733" s="76" t="str">
        <f>VLOOKUP(F1733,'#对话模型配置'!A:O,15,FALSE)</f>
        <v>story_linda_big</v>
      </c>
      <c r="J1733" s="182" t="s">
        <v>5952</v>
      </c>
      <c r="K1733" s="183" t="s">
        <v>5953</v>
      </c>
      <c r="L1733" s="76">
        <v>110012</v>
      </c>
      <c r="U1733" s="76">
        <v>6</v>
      </c>
      <c r="V1733" s="76">
        <v>0</v>
      </c>
      <c r="Y1733" s="76" t="b">
        <v>0</v>
      </c>
      <c r="Z1733" s="76" t="s">
        <v>5954</v>
      </c>
      <c r="AA1733" s="76" t="b">
        <v>0</v>
      </c>
      <c r="AD1733" s="76">
        <v>11.601916313171399</v>
      </c>
      <c r="AE1733" s="76">
        <f t="shared" si="118"/>
        <v>12.601916313171399</v>
      </c>
      <c r="AF1733" s="76" t="s">
        <v>5955</v>
      </c>
      <c r="AH1733" s="188">
        <v>0.1</v>
      </c>
      <c r="AI1733" s="188">
        <v>0.5</v>
      </c>
      <c r="AL1733" s="76">
        <v>35</v>
      </c>
      <c r="BF1733" s="76">
        <v>0</v>
      </c>
      <c r="BI1733" s="76">
        <v>1</v>
      </c>
    </row>
    <row r="1734" spans="1:61" s="76" customFormat="1" ht="14.5">
      <c r="A1734" s="76">
        <v>21100024</v>
      </c>
      <c r="C1734" s="76">
        <v>7</v>
      </c>
      <c r="F1734" s="179" t="s">
        <v>4329</v>
      </c>
      <c r="G1734" s="180" t="str">
        <f>VLOOKUP(F1734,'#对话模型配置'!A:O,12,FALSE)</f>
        <v>TID_Dialogue_Character_11</v>
      </c>
      <c r="H1734" s="76" t="str">
        <f>VLOOKUP(F1734,'#对话模型配置'!A:O,14,FALSE)</f>
        <v>icon_hero</v>
      </c>
      <c r="I1734" s="76" t="str">
        <f>VLOOKUP(F1734,'#对话模型配置'!A:O,15,FALSE)</f>
        <v>icon_hero_036_big</v>
      </c>
      <c r="J1734" s="182" t="s">
        <v>5956</v>
      </c>
      <c r="K1734" s="183" t="s">
        <v>5957</v>
      </c>
      <c r="L1734" s="76">
        <v>110003</v>
      </c>
      <c r="U1734" s="76">
        <v>6</v>
      </c>
      <c r="V1734" s="76">
        <v>0</v>
      </c>
      <c r="Y1734" s="76" t="b">
        <v>0</v>
      </c>
      <c r="Z1734" s="76" t="s">
        <v>5958</v>
      </c>
      <c r="AA1734" s="76" t="b">
        <v>0</v>
      </c>
      <c r="AD1734" s="76">
        <v>6.24737501144409</v>
      </c>
      <c r="AE1734" s="76">
        <f t="shared" si="118"/>
        <v>7.24737501144409</v>
      </c>
      <c r="AF1734" s="76" t="s">
        <v>5959</v>
      </c>
      <c r="AH1734" s="188">
        <v>0.1</v>
      </c>
      <c r="AI1734" s="188">
        <v>0.5</v>
      </c>
      <c r="AL1734" s="76">
        <v>35</v>
      </c>
      <c r="BF1734" s="76">
        <v>0</v>
      </c>
      <c r="BI1734" s="76">
        <v>1</v>
      </c>
    </row>
    <row r="1735" spans="1:61" s="76" customFormat="1" ht="25">
      <c r="A1735" s="76">
        <v>21100024</v>
      </c>
      <c r="C1735" s="76">
        <v>8</v>
      </c>
      <c r="F1735" s="179" t="s">
        <v>4329</v>
      </c>
      <c r="G1735" s="180" t="str">
        <f>VLOOKUP(F1735,'#对话模型配置'!A:O,12,FALSE)</f>
        <v>TID_Dialogue_Character_11</v>
      </c>
      <c r="H1735" s="76" t="str">
        <f>VLOOKUP(F1735,'#对话模型配置'!A:O,14,FALSE)</f>
        <v>icon_hero</v>
      </c>
      <c r="I1735" s="76" t="str">
        <f>VLOOKUP(F1735,'#对话模型配置'!A:O,15,FALSE)</f>
        <v>icon_hero_036_big</v>
      </c>
      <c r="J1735" s="182" t="s">
        <v>5960</v>
      </c>
      <c r="K1735" s="201" t="s">
        <v>5961</v>
      </c>
      <c r="L1735" s="76">
        <v>110003</v>
      </c>
      <c r="U1735" s="76">
        <v>6</v>
      </c>
      <c r="V1735" s="76">
        <v>0</v>
      </c>
      <c r="Y1735" s="76" t="b">
        <v>0</v>
      </c>
      <c r="Z1735" s="76" t="s">
        <v>5962</v>
      </c>
      <c r="AA1735" s="76" t="b">
        <v>0</v>
      </c>
      <c r="AD1735" s="76">
        <v>13.872166633606</v>
      </c>
      <c r="AE1735" s="76">
        <f t="shared" si="118"/>
        <v>14.872166633606</v>
      </c>
      <c r="AF1735" s="76" t="s">
        <v>5963</v>
      </c>
      <c r="AH1735" s="188">
        <v>0.1</v>
      </c>
      <c r="AI1735" s="188">
        <v>0.5</v>
      </c>
      <c r="AL1735" s="76">
        <v>35</v>
      </c>
      <c r="BF1735" s="76">
        <v>0</v>
      </c>
      <c r="BI1735" s="76">
        <v>1</v>
      </c>
    </row>
    <row r="1736" spans="1:61" s="76" customFormat="1" ht="26">
      <c r="A1736" s="76">
        <v>21100024</v>
      </c>
      <c r="C1736" s="76">
        <v>9</v>
      </c>
      <c r="F1736" s="179" t="s">
        <v>5401</v>
      </c>
      <c r="G1736" s="180" t="str">
        <f>VLOOKUP(F1736,'#对话模型配置'!A:O,12,FALSE)</f>
        <v>TID_Dialogue_story_gl_charaname_03</v>
      </c>
      <c r="H1736" s="76" t="str">
        <f>VLOOKUP(F1736,'#对话模型配置'!A:O,14,FALSE)</f>
        <v>icon_hero</v>
      </c>
      <c r="I1736" s="76" t="str">
        <f>VLOOKUP(F1736,'#对话模型配置'!A:O,15,FALSE)</f>
        <v>story_linda_big</v>
      </c>
      <c r="J1736" s="182" t="s">
        <v>5964</v>
      </c>
      <c r="K1736" s="183" t="s">
        <v>5965</v>
      </c>
      <c r="L1736" s="76">
        <v>110012</v>
      </c>
      <c r="U1736" s="76">
        <v>6</v>
      </c>
      <c r="V1736" s="76">
        <v>0</v>
      </c>
      <c r="Y1736" s="76" t="b">
        <v>0</v>
      </c>
      <c r="Z1736" s="76" t="s">
        <v>5966</v>
      </c>
      <c r="AA1736" s="76" t="b">
        <v>0</v>
      </c>
      <c r="AD1736" s="76">
        <v>10.6419162750244</v>
      </c>
      <c r="AE1736" s="76">
        <f t="shared" si="118"/>
        <v>11.6419162750244</v>
      </c>
      <c r="AF1736" s="76" t="s">
        <v>5967</v>
      </c>
      <c r="AH1736" s="188">
        <v>0.1</v>
      </c>
      <c r="AI1736" s="188">
        <v>0.5</v>
      </c>
      <c r="AL1736" s="76">
        <v>35</v>
      </c>
      <c r="BF1736" s="76">
        <v>0</v>
      </c>
      <c r="BI1736" s="76">
        <v>1</v>
      </c>
    </row>
    <row r="1737" spans="1:61" s="76" customFormat="1" ht="14.5">
      <c r="A1737" s="76">
        <v>21100024</v>
      </c>
      <c r="C1737" s="76">
        <v>10</v>
      </c>
      <c r="F1737" s="179" t="s">
        <v>5401</v>
      </c>
      <c r="G1737" s="180" t="str">
        <f>VLOOKUP(F1737,'#对话模型配置'!A:O,12,FALSE)</f>
        <v>TID_Dialogue_story_gl_charaname_03</v>
      </c>
      <c r="H1737" s="76" t="str">
        <f>VLOOKUP(F1737,'#对话模型配置'!A:O,14,FALSE)</f>
        <v>icon_hero</v>
      </c>
      <c r="I1737" s="76" t="str">
        <f>VLOOKUP(F1737,'#对话模型配置'!A:O,15,FALSE)</f>
        <v>story_linda_big</v>
      </c>
      <c r="J1737" s="182" t="s">
        <v>5968</v>
      </c>
      <c r="K1737" s="183" t="s">
        <v>5969</v>
      </c>
      <c r="L1737" s="76">
        <v>110012</v>
      </c>
      <c r="U1737" s="76">
        <v>6</v>
      </c>
      <c r="V1737" s="76">
        <v>0</v>
      </c>
      <c r="Y1737" s="76" t="b">
        <v>0</v>
      </c>
      <c r="Z1737" s="76" t="s">
        <v>5970</v>
      </c>
      <c r="AA1737" s="76" t="b">
        <v>0</v>
      </c>
      <c r="AD1737" s="76">
        <v>2.7727289199829102</v>
      </c>
      <c r="AE1737" s="76">
        <f t="shared" si="118"/>
        <v>3.7727289199829102</v>
      </c>
      <c r="AF1737" s="76" t="s">
        <v>5971</v>
      </c>
      <c r="AH1737" s="188">
        <v>0.1</v>
      </c>
      <c r="AI1737" s="188">
        <v>0.5</v>
      </c>
      <c r="AL1737" s="76">
        <v>35</v>
      </c>
      <c r="BF1737" s="76">
        <v>0</v>
      </c>
      <c r="BI1737" s="76">
        <v>1</v>
      </c>
    </row>
    <row r="1738" spans="1:61" s="62" customFormat="1" ht="26">
      <c r="A1738" s="62">
        <v>21100025</v>
      </c>
      <c r="C1738" s="62">
        <v>1</v>
      </c>
      <c r="F1738" s="181" t="s">
        <v>5401</v>
      </c>
      <c r="G1738" s="106" t="str">
        <f>VLOOKUP(F1738,'#对话模型配置'!A:O,12,FALSE)</f>
        <v>TID_Dialogue_story_gl_charaname_03</v>
      </c>
      <c r="H1738" s="62" t="str">
        <f>VLOOKUP(F1738,'#对话模型配置'!A:O,14,FALSE)</f>
        <v>icon_hero</v>
      </c>
      <c r="I1738" s="62" t="str">
        <f>VLOOKUP(F1738,'#对话模型配置'!A:O,15,FALSE)</f>
        <v>story_linda_big</v>
      </c>
      <c r="J1738" s="184" t="s">
        <v>5972</v>
      </c>
      <c r="K1738" s="185" t="s">
        <v>5973</v>
      </c>
      <c r="U1738" s="62">
        <v>6</v>
      </c>
      <c r="V1738" s="62">
        <v>0</v>
      </c>
      <c r="Y1738" s="62" t="b">
        <v>0</v>
      </c>
      <c r="Z1738" s="62" t="s">
        <v>5974</v>
      </c>
      <c r="AA1738" s="62" t="b">
        <v>0</v>
      </c>
      <c r="AD1738" s="62">
        <v>11.9201669692993</v>
      </c>
      <c r="AE1738" s="62">
        <f t="shared" si="118"/>
        <v>12.9201669692993</v>
      </c>
      <c r="AF1738" s="62" t="s">
        <v>4322</v>
      </c>
      <c r="AH1738" s="189">
        <v>0.1</v>
      </c>
      <c r="AI1738" s="189">
        <v>0.5</v>
      </c>
      <c r="AL1738" s="62">
        <v>35</v>
      </c>
      <c r="BF1738" s="62">
        <v>0</v>
      </c>
      <c r="BI1738" s="62">
        <v>1</v>
      </c>
    </row>
    <row r="1739" spans="1:61" s="62" customFormat="1" ht="14.5">
      <c r="A1739" s="62">
        <v>21100025</v>
      </c>
      <c r="C1739" s="62">
        <v>2</v>
      </c>
      <c r="F1739" s="181" t="s">
        <v>4329</v>
      </c>
      <c r="G1739" s="106" t="str">
        <f>VLOOKUP(F1739,'#对话模型配置'!A:O,12,FALSE)</f>
        <v>TID_Dialogue_Character_11</v>
      </c>
      <c r="H1739" s="62" t="str">
        <f>VLOOKUP(F1739,'#对话模型配置'!A:O,14,FALSE)</f>
        <v>icon_hero</v>
      </c>
      <c r="I1739" s="62" t="str">
        <f>VLOOKUP(F1739,'#对话模型配置'!A:O,15,FALSE)</f>
        <v>icon_hero_036_big</v>
      </c>
      <c r="J1739" s="184" t="s">
        <v>5975</v>
      </c>
      <c r="K1739" s="185" t="s">
        <v>5976</v>
      </c>
      <c r="U1739" s="62">
        <v>6</v>
      </c>
      <c r="V1739" s="62">
        <v>0</v>
      </c>
      <c r="Y1739" s="62" t="b">
        <v>0</v>
      </c>
      <c r="Z1739" s="62" t="s">
        <v>5977</v>
      </c>
      <c r="AA1739" s="62" t="b">
        <v>0</v>
      </c>
      <c r="AD1739" s="62">
        <v>1.52656197547913</v>
      </c>
      <c r="AE1739" s="62">
        <f t="shared" si="118"/>
        <v>2.52656197547913</v>
      </c>
      <c r="AF1739" s="62" t="s">
        <v>4322</v>
      </c>
      <c r="AH1739" s="189">
        <v>0.1</v>
      </c>
      <c r="AI1739" s="189">
        <v>0.5</v>
      </c>
      <c r="AL1739" s="62">
        <v>35</v>
      </c>
      <c r="BF1739" s="62">
        <v>0</v>
      </c>
      <c r="BI1739" s="62">
        <v>1</v>
      </c>
    </row>
    <row r="1740" spans="1:61" s="62" customFormat="1" ht="14.5">
      <c r="A1740" s="62">
        <v>21100025</v>
      </c>
      <c r="C1740" s="62">
        <v>3</v>
      </c>
      <c r="F1740" s="181" t="s">
        <v>4811</v>
      </c>
      <c r="G1740" s="106" t="str">
        <f>VLOOKUP(F1740,'#对话模型配置'!A:O,12,FALSE)</f>
        <v>TID_Dialogue_story_gl_charaname_01</v>
      </c>
      <c r="H1740" s="62" t="str">
        <f>VLOOKUP(F1740,'#对话模型配置'!A:O,14,FALSE)</f>
        <v>icon_hero</v>
      </c>
      <c r="I1740" s="62" t="str">
        <f>VLOOKUP(F1740,'#对话模型配置'!A:O,15,FALSE)</f>
        <v>story_austin_big</v>
      </c>
      <c r="J1740" s="184" t="s">
        <v>5978</v>
      </c>
      <c r="K1740" s="185" t="s">
        <v>5979</v>
      </c>
      <c r="U1740" s="62">
        <v>6</v>
      </c>
      <c r="V1740" s="62">
        <v>0</v>
      </c>
      <c r="Y1740" s="62" t="b">
        <v>0</v>
      </c>
      <c r="Z1740" s="62" t="s">
        <v>5980</v>
      </c>
      <c r="AA1740" s="62" t="b">
        <v>0</v>
      </c>
      <c r="AD1740" s="62">
        <v>4.4451670646667498</v>
      </c>
      <c r="AE1740" s="62">
        <f t="shared" si="118"/>
        <v>5.4451670646667498</v>
      </c>
      <c r="AF1740" s="62" t="s">
        <v>4510</v>
      </c>
      <c r="AH1740" s="189">
        <v>0.1</v>
      </c>
      <c r="AI1740" s="189">
        <v>0.5</v>
      </c>
      <c r="AL1740" s="62">
        <v>35</v>
      </c>
      <c r="BF1740" s="62">
        <v>1</v>
      </c>
      <c r="BI1740" s="62">
        <v>1</v>
      </c>
    </row>
    <row r="1741" spans="1:61" s="62" customFormat="1" ht="26">
      <c r="A1741" s="62">
        <v>21100025</v>
      </c>
      <c r="C1741" s="62">
        <v>4</v>
      </c>
      <c r="F1741" s="181" t="s">
        <v>5401</v>
      </c>
      <c r="G1741" s="106" t="str">
        <f>VLOOKUP(F1741,'#对话模型配置'!A:O,12,FALSE)</f>
        <v>TID_Dialogue_story_gl_charaname_03</v>
      </c>
      <c r="H1741" s="62" t="str">
        <f>VLOOKUP(F1741,'#对话模型配置'!A:O,14,FALSE)</f>
        <v>icon_hero</v>
      </c>
      <c r="I1741" s="62" t="str">
        <f>VLOOKUP(F1741,'#对话模型配置'!A:O,15,FALSE)</f>
        <v>story_linda_big</v>
      </c>
      <c r="J1741" s="184" t="s">
        <v>5981</v>
      </c>
      <c r="K1741" s="185" t="s">
        <v>5982</v>
      </c>
      <c r="U1741" s="62">
        <v>6</v>
      </c>
      <c r="V1741" s="62">
        <v>0</v>
      </c>
      <c r="Y1741" s="62" t="b">
        <v>0</v>
      </c>
      <c r="Z1741" s="62" t="s">
        <v>5983</v>
      </c>
      <c r="AA1741" s="62" t="b">
        <v>0</v>
      </c>
      <c r="AD1741" s="62">
        <v>10.6849155426025</v>
      </c>
      <c r="AE1741" s="62">
        <f t="shared" si="118"/>
        <v>11.6849155426025</v>
      </c>
      <c r="AF1741" s="62" t="s">
        <v>4322</v>
      </c>
      <c r="AH1741" s="189">
        <v>0.1</v>
      </c>
      <c r="AI1741" s="189">
        <v>0.5</v>
      </c>
      <c r="AL1741" s="62">
        <v>35</v>
      </c>
      <c r="BF1741" s="62">
        <v>0</v>
      </c>
      <c r="BI1741" s="62">
        <v>1</v>
      </c>
    </row>
    <row r="1742" spans="1:61" s="76" customFormat="1" ht="14.5">
      <c r="A1742" s="76">
        <v>21100026</v>
      </c>
      <c r="C1742" s="76">
        <v>1</v>
      </c>
      <c r="F1742" s="179" t="s">
        <v>3855</v>
      </c>
      <c r="G1742" s="180" t="str">
        <f>VLOOKUP(F1742,'#对话模型配置'!A:O,12,FALSE)</f>
        <v>TID_Dialogue_Character_10</v>
      </c>
      <c r="H1742" s="76" t="str">
        <f>VLOOKUP(F1742,'#对话模型配置'!A:O,14,FALSE)</f>
        <v>icon_hero</v>
      </c>
      <c r="I1742" s="76" t="str">
        <f>VLOOKUP(F1742,'#对话模型配置'!A:O,15,FALSE)</f>
        <v>story_kruvis_big</v>
      </c>
      <c r="J1742" s="182" t="s">
        <v>5984</v>
      </c>
      <c r="K1742" s="183" t="s">
        <v>5985</v>
      </c>
      <c r="U1742" s="76">
        <v>6</v>
      </c>
      <c r="V1742" s="76">
        <v>0</v>
      </c>
      <c r="Y1742" s="76" t="b">
        <v>0</v>
      </c>
      <c r="Z1742" s="76" t="s">
        <v>5986</v>
      </c>
      <c r="AA1742" s="76" t="b">
        <v>0</v>
      </c>
      <c r="AD1742" s="76">
        <v>1.06581199169159</v>
      </c>
      <c r="AE1742" s="76">
        <f t="shared" ref="AE1742:AE1743" si="119">AD1742+1</f>
        <v>2.0658119916915902</v>
      </c>
      <c r="AF1742" s="76" t="s">
        <v>5987</v>
      </c>
      <c r="AH1742" s="188">
        <v>0.1</v>
      </c>
      <c r="AI1742" s="188">
        <v>0.5</v>
      </c>
      <c r="AL1742" s="76">
        <v>35</v>
      </c>
      <c r="BF1742" s="76">
        <v>1</v>
      </c>
      <c r="BI1742" s="76">
        <v>1</v>
      </c>
    </row>
    <row r="1743" spans="1:61" s="76" customFormat="1" ht="14.5">
      <c r="A1743" s="76">
        <v>21100027</v>
      </c>
      <c r="C1743" s="76">
        <v>1</v>
      </c>
      <c r="F1743" s="179" t="s">
        <v>5816</v>
      </c>
      <c r="G1743" s="180" t="str">
        <f>VLOOKUP(F1743,'#对话模型配置'!A:O,12,FALSE)</f>
        <v>TID_BaseHeroRecruitPool_10_ItemNameText_CN_Main</v>
      </c>
      <c r="H1743" s="76" t="str">
        <f>VLOOKUP(F1743,'#对话模型配置'!A:O,14,FALSE)</f>
        <v>icon_hero</v>
      </c>
      <c r="I1743" s="76" t="str">
        <f>VLOOKUP(F1743,'#对话模型配置'!A:O,15,FALSE)</f>
        <v>story_nino_big</v>
      </c>
      <c r="J1743" s="182" t="s">
        <v>5988</v>
      </c>
      <c r="K1743" s="183" t="s">
        <v>5989</v>
      </c>
      <c r="U1743" s="76">
        <v>6</v>
      </c>
      <c r="V1743" s="76">
        <v>0</v>
      </c>
      <c r="Y1743" s="76" t="b">
        <v>0</v>
      </c>
      <c r="Z1743" s="76" t="s">
        <v>5990</v>
      </c>
      <c r="AA1743" s="76" t="b">
        <v>0</v>
      </c>
      <c r="AD1743" s="76">
        <v>4.8597707748413104</v>
      </c>
      <c r="AE1743" s="76">
        <f t="shared" si="119"/>
        <v>5.8597707748413104</v>
      </c>
      <c r="AF1743" s="76" t="s">
        <v>5991</v>
      </c>
      <c r="AH1743" s="188">
        <v>0.1</v>
      </c>
      <c r="AI1743" s="188">
        <v>0.5</v>
      </c>
      <c r="AL1743" s="76">
        <v>35</v>
      </c>
      <c r="BF1743" s="76">
        <v>1</v>
      </c>
      <c r="BI1743" s="76">
        <v>1</v>
      </c>
    </row>
    <row r="1744" spans="1:61" s="62" customFormat="1" ht="14.5">
      <c r="A1744" s="62">
        <v>21100028</v>
      </c>
      <c r="C1744" s="62">
        <v>1</v>
      </c>
      <c r="F1744" s="181" t="s">
        <v>5816</v>
      </c>
      <c r="G1744" s="106" t="str">
        <f>VLOOKUP(F1744,'#对话模型配置'!A:O,12,FALSE)</f>
        <v>TID_BaseHeroRecruitPool_10_ItemNameText_CN_Main</v>
      </c>
      <c r="H1744" s="62" t="str">
        <f>VLOOKUP(F1744,'#对话模型配置'!A:O,14,FALSE)</f>
        <v>icon_hero</v>
      </c>
      <c r="I1744" s="62" t="str">
        <f>VLOOKUP(F1744,'#对话模型配置'!A:O,15,FALSE)</f>
        <v>story_nino_big</v>
      </c>
      <c r="J1744" s="184" t="s">
        <v>5992</v>
      </c>
      <c r="K1744" s="185" t="s">
        <v>5993</v>
      </c>
      <c r="U1744" s="62">
        <v>6</v>
      </c>
      <c r="V1744" s="62">
        <v>0</v>
      </c>
      <c r="Y1744" s="62" t="b">
        <v>0</v>
      </c>
      <c r="Z1744" s="62" t="s">
        <v>5994</v>
      </c>
      <c r="AA1744" s="62" t="b">
        <v>0</v>
      </c>
      <c r="AD1744" s="62">
        <v>9.7030830383300799</v>
      </c>
      <c r="AE1744" s="62">
        <f t="shared" ref="AE1744:AE1752" si="120">AD1744+1</f>
        <v>10.70308303833008</v>
      </c>
      <c r="AF1744" s="62" t="s">
        <v>5840</v>
      </c>
      <c r="AH1744" s="189">
        <v>0.1</v>
      </c>
      <c r="AI1744" s="189">
        <v>0.5</v>
      </c>
      <c r="AL1744" s="62">
        <v>35</v>
      </c>
      <c r="BF1744" s="62">
        <v>1</v>
      </c>
      <c r="BI1744" s="62">
        <v>1</v>
      </c>
    </row>
    <row r="1745" spans="1:61" s="62" customFormat="1" ht="14.5">
      <c r="A1745" s="62">
        <v>21100029</v>
      </c>
      <c r="C1745" s="62">
        <v>1</v>
      </c>
      <c r="F1745" s="181" t="s">
        <v>5816</v>
      </c>
      <c r="G1745" s="106" t="str">
        <f>VLOOKUP(F1745,'#对话模型配置'!A:O,12,FALSE)</f>
        <v>TID_BaseHeroRecruitPool_10_ItemNameText_CN_Main</v>
      </c>
      <c r="H1745" s="62" t="str">
        <f>VLOOKUP(F1745,'#对话模型配置'!A:O,14,FALSE)</f>
        <v>icon_hero</v>
      </c>
      <c r="I1745" s="62" t="str">
        <f>VLOOKUP(F1745,'#对话模型配置'!A:O,15,FALSE)</f>
        <v>story_nino_big</v>
      </c>
      <c r="J1745" s="184" t="s">
        <v>5995</v>
      </c>
      <c r="K1745" s="185" t="s">
        <v>5996</v>
      </c>
      <c r="U1745" s="62">
        <v>6</v>
      </c>
      <c r="V1745" s="62">
        <v>0</v>
      </c>
      <c r="Y1745" s="62" t="b">
        <v>0</v>
      </c>
      <c r="Z1745" s="62" t="s">
        <v>5997</v>
      </c>
      <c r="AA1745" s="62" t="b">
        <v>0</v>
      </c>
      <c r="AD1745" s="62">
        <v>9.7030830383300799</v>
      </c>
      <c r="AE1745" s="62">
        <f t="shared" si="120"/>
        <v>10.70308303833008</v>
      </c>
      <c r="AF1745" s="62" t="s">
        <v>5840</v>
      </c>
      <c r="AH1745" s="189">
        <v>0.1</v>
      </c>
      <c r="AI1745" s="189">
        <v>0.5</v>
      </c>
      <c r="AL1745" s="62">
        <v>35</v>
      </c>
      <c r="BF1745" s="62">
        <v>1</v>
      </c>
      <c r="BI1745" s="62">
        <v>1</v>
      </c>
    </row>
    <row r="1746" spans="1:61" s="62" customFormat="1" ht="39">
      <c r="A1746" s="62">
        <v>21100029</v>
      </c>
      <c r="C1746" s="62">
        <v>2</v>
      </c>
      <c r="F1746" s="181" t="s">
        <v>5816</v>
      </c>
      <c r="G1746" s="106" t="str">
        <f>VLOOKUP(F1746,'#对话模型配置'!A:O,12,FALSE)</f>
        <v>TID_BaseHeroRecruitPool_10_ItemNameText_CN_Main</v>
      </c>
      <c r="H1746" s="62" t="str">
        <f>VLOOKUP(F1746,'#对话模型配置'!A:O,14,FALSE)</f>
        <v>icon_hero</v>
      </c>
      <c r="I1746" s="62" t="str">
        <f>VLOOKUP(F1746,'#对话模型配置'!A:O,15,FALSE)</f>
        <v>story_nino_big</v>
      </c>
      <c r="J1746" s="184" t="s">
        <v>5998</v>
      </c>
      <c r="K1746" s="185" t="s">
        <v>5999</v>
      </c>
      <c r="U1746" s="62">
        <v>6</v>
      </c>
      <c r="V1746" s="62">
        <v>0</v>
      </c>
      <c r="Y1746" s="62" t="b">
        <v>0</v>
      </c>
      <c r="Z1746" s="62" t="s">
        <v>6000</v>
      </c>
      <c r="AA1746" s="62" t="b">
        <v>0</v>
      </c>
      <c r="AD1746" s="62">
        <v>9.7030830383300799</v>
      </c>
      <c r="AE1746" s="62">
        <f t="shared" si="120"/>
        <v>10.70308303833008</v>
      </c>
      <c r="AF1746" s="62" t="s">
        <v>5840</v>
      </c>
      <c r="AH1746" s="189">
        <v>0.1</v>
      </c>
      <c r="AI1746" s="189">
        <v>0.5</v>
      </c>
      <c r="AL1746" s="62">
        <v>35</v>
      </c>
      <c r="BF1746" s="62">
        <v>1</v>
      </c>
      <c r="BI1746" s="62">
        <v>1</v>
      </c>
    </row>
    <row r="1747" spans="1:61" s="62" customFormat="1" ht="14.5">
      <c r="A1747" s="62">
        <v>21100029</v>
      </c>
      <c r="C1747" s="62">
        <v>3</v>
      </c>
      <c r="F1747" s="181" t="s">
        <v>5816</v>
      </c>
      <c r="G1747" s="106" t="str">
        <f>VLOOKUP(F1747,'#对话模型配置'!A:O,12,FALSE)</f>
        <v>TID_BaseHeroRecruitPool_10_ItemNameText_CN_Main</v>
      </c>
      <c r="H1747" s="62" t="str">
        <f>VLOOKUP(F1747,'#对话模型配置'!A:O,14,FALSE)</f>
        <v>icon_hero</v>
      </c>
      <c r="I1747" s="62" t="str">
        <f>VLOOKUP(F1747,'#对话模型配置'!A:O,15,FALSE)</f>
        <v>story_nino_big</v>
      </c>
      <c r="J1747" s="184" t="s">
        <v>6001</v>
      </c>
      <c r="K1747" s="185" t="s">
        <v>6002</v>
      </c>
      <c r="U1747" s="62">
        <v>6</v>
      </c>
      <c r="V1747" s="62">
        <v>0</v>
      </c>
      <c r="Y1747" s="62" t="b">
        <v>0</v>
      </c>
      <c r="Z1747" s="62" t="s">
        <v>6003</v>
      </c>
      <c r="AA1747" s="62" t="b">
        <v>0</v>
      </c>
      <c r="AD1747" s="62">
        <v>9.7030830383300799</v>
      </c>
      <c r="AE1747" s="62">
        <f t="shared" si="120"/>
        <v>10.70308303833008</v>
      </c>
      <c r="AF1747" s="62" t="s">
        <v>5840</v>
      </c>
      <c r="AH1747" s="189">
        <v>0.1</v>
      </c>
      <c r="AI1747" s="189">
        <v>0.5</v>
      </c>
      <c r="AL1747" s="62">
        <v>35</v>
      </c>
      <c r="BF1747" s="62">
        <v>1</v>
      </c>
      <c r="BI1747" s="62">
        <v>1</v>
      </c>
    </row>
    <row r="1748" spans="1:61" s="62" customFormat="1" ht="14.5">
      <c r="A1748" s="62">
        <v>21100029</v>
      </c>
      <c r="C1748" s="62">
        <v>4</v>
      </c>
      <c r="F1748" s="181" t="s">
        <v>4329</v>
      </c>
      <c r="G1748" s="106" t="str">
        <f>VLOOKUP(F1748,'#对话模型配置'!A:O,12,FALSE)</f>
        <v>TID_Dialogue_Character_11</v>
      </c>
      <c r="H1748" s="62" t="str">
        <f>VLOOKUP(F1748,'#对话模型配置'!A:O,14,FALSE)</f>
        <v>icon_hero</v>
      </c>
      <c r="I1748" s="62" t="str">
        <f>VLOOKUP(F1748,'#对话模型配置'!A:O,15,FALSE)</f>
        <v>icon_hero_036_big</v>
      </c>
      <c r="J1748" s="184" t="s">
        <v>6004</v>
      </c>
      <c r="K1748" s="185" t="s">
        <v>6005</v>
      </c>
      <c r="U1748" s="62">
        <v>6</v>
      </c>
      <c r="V1748" s="62">
        <v>0</v>
      </c>
      <c r="Y1748" s="62" t="b">
        <v>0</v>
      </c>
      <c r="Z1748" s="62" t="s">
        <v>6006</v>
      </c>
      <c r="AA1748" s="62" t="b">
        <v>0</v>
      </c>
      <c r="AD1748" s="62">
        <v>9.7030830383300799</v>
      </c>
      <c r="AE1748" s="62">
        <f t="shared" si="120"/>
        <v>10.70308303833008</v>
      </c>
      <c r="AF1748" s="62" t="s">
        <v>5840</v>
      </c>
      <c r="AH1748" s="189">
        <v>0.1</v>
      </c>
      <c r="AI1748" s="189">
        <v>0.5</v>
      </c>
      <c r="AL1748" s="62">
        <v>35</v>
      </c>
      <c r="BF1748" s="62">
        <v>0</v>
      </c>
      <c r="BI1748" s="62">
        <v>1</v>
      </c>
    </row>
    <row r="1749" spans="1:61" s="76" customFormat="1" ht="14.5">
      <c r="A1749" s="76">
        <v>21100030</v>
      </c>
      <c r="C1749" s="76">
        <v>1</v>
      </c>
      <c r="F1749" s="179" t="s">
        <v>5816</v>
      </c>
      <c r="G1749" s="180" t="str">
        <f>VLOOKUP(F1749,'#对话模型配置'!A:O,12,FALSE)</f>
        <v>TID_BaseHeroRecruitPool_10_ItemNameText_CN_Main</v>
      </c>
      <c r="H1749" s="76" t="str">
        <f>VLOOKUP(F1749,'#对话模型配置'!A:O,14,FALSE)</f>
        <v>icon_hero</v>
      </c>
      <c r="I1749" s="76" t="str">
        <f>VLOOKUP(F1749,'#对话模型配置'!A:O,15,FALSE)</f>
        <v>story_nino_big</v>
      </c>
      <c r="J1749" s="182" t="s">
        <v>6007</v>
      </c>
      <c r="K1749" s="183" t="s">
        <v>6008</v>
      </c>
      <c r="U1749" s="76">
        <v>6</v>
      </c>
      <c r="V1749" s="76">
        <v>0</v>
      </c>
      <c r="Y1749" s="76" t="b">
        <v>0</v>
      </c>
      <c r="Z1749" s="76" t="s">
        <v>6009</v>
      </c>
      <c r="AA1749" s="76" t="b">
        <v>0</v>
      </c>
      <c r="AD1749" s="76">
        <v>9.7030830383300799</v>
      </c>
      <c r="AE1749" s="76">
        <f t="shared" si="120"/>
        <v>10.70308303833008</v>
      </c>
      <c r="AF1749" s="76" t="s">
        <v>5840</v>
      </c>
      <c r="AH1749" s="188">
        <v>0.1</v>
      </c>
      <c r="AI1749" s="188">
        <v>0.5</v>
      </c>
      <c r="AL1749" s="76">
        <v>35</v>
      </c>
      <c r="BF1749" s="76">
        <v>1</v>
      </c>
      <c r="BI1749" s="76">
        <v>1</v>
      </c>
    </row>
    <row r="1750" spans="1:61" s="76" customFormat="1" ht="14.5">
      <c r="A1750" s="76">
        <v>21100030</v>
      </c>
      <c r="C1750" s="76">
        <v>2</v>
      </c>
      <c r="F1750" s="179" t="s">
        <v>5816</v>
      </c>
      <c r="G1750" s="180" t="str">
        <f>VLOOKUP(F1750,'#对话模型配置'!A:O,12,FALSE)</f>
        <v>TID_BaseHeroRecruitPool_10_ItemNameText_CN_Main</v>
      </c>
      <c r="H1750" s="76" t="str">
        <f>VLOOKUP(F1750,'#对话模型配置'!A:O,14,FALSE)</f>
        <v>icon_hero</v>
      </c>
      <c r="I1750" s="76" t="str">
        <f>VLOOKUP(F1750,'#对话模型配置'!A:O,15,FALSE)</f>
        <v>story_nino_big</v>
      </c>
      <c r="J1750" s="182" t="s">
        <v>6010</v>
      </c>
      <c r="K1750" s="183" t="s">
        <v>6011</v>
      </c>
      <c r="U1750" s="76">
        <v>6</v>
      </c>
      <c r="V1750" s="76">
        <v>0</v>
      </c>
      <c r="Y1750" s="76" t="b">
        <v>0</v>
      </c>
      <c r="Z1750" s="76" t="s">
        <v>6012</v>
      </c>
      <c r="AA1750" s="76" t="b">
        <v>0</v>
      </c>
      <c r="AD1750" s="76">
        <v>9.7030830383300799</v>
      </c>
      <c r="AE1750" s="76">
        <f t="shared" si="120"/>
        <v>10.70308303833008</v>
      </c>
      <c r="AF1750" s="76" t="s">
        <v>5840</v>
      </c>
      <c r="AH1750" s="188">
        <v>0.1</v>
      </c>
      <c r="AI1750" s="188">
        <v>0.5</v>
      </c>
      <c r="AL1750" s="76">
        <v>35</v>
      </c>
      <c r="BF1750" s="76">
        <v>1</v>
      </c>
      <c r="BI1750" s="76">
        <v>1</v>
      </c>
    </row>
    <row r="1751" spans="1:61" s="76" customFormat="1" ht="14.5">
      <c r="A1751" s="76">
        <v>21100030</v>
      </c>
      <c r="C1751" s="76">
        <v>3</v>
      </c>
      <c r="F1751" s="179" t="s">
        <v>5816</v>
      </c>
      <c r="G1751" s="180" t="str">
        <f>VLOOKUP(F1751,'#对话模型配置'!A:O,12,FALSE)</f>
        <v>TID_BaseHeroRecruitPool_10_ItemNameText_CN_Main</v>
      </c>
      <c r="H1751" s="76" t="str">
        <f>VLOOKUP(F1751,'#对话模型配置'!A:O,14,FALSE)</f>
        <v>icon_hero</v>
      </c>
      <c r="I1751" s="76" t="str">
        <f>VLOOKUP(F1751,'#对话模型配置'!A:O,15,FALSE)</f>
        <v>story_nino_big</v>
      </c>
      <c r="J1751" s="182" t="s">
        <v>6013</v>
      </c>
      <c r="K1751" s="183" t="s">
        <v>6014</v>
      </c>
      <c r="U1751" s="76">
        <v>6</v>
      </c>
      <c r="V1751" s="76">
        <v>0</v>
      </c>
      <c r="Y1751" s="76" t="b">
        <v>0</v>
      </c>
      <c r="Z1751" s="76" t="s">
        <v>6015</v>
      </c>
      <c r="AA1751" s="76" t="b">
        <v>0</v>
      </c>
      <c r="AD1751" s="76">
        <v>9.7030830383300799</v>
      </c>
      <c r="AE1751" s="76">
        <f t="shared" si="120"/>
        <v>10.70308303833008</v>
      </c>
      <c r="AF1751" s="76" t="s">
        <v>5840</v>
      </c>
      <c r="AH1751" s="188">
        <v>0.1</v>
      </c>
      <c r="AI1751" s="188">
        <v>0.5</v>
      </c>
      <c r="AL1751" s="76">
        <v>35</v>
      </c>
      <c r="BF1751" s="76">
        <v>1</v>
      </c>
      <c r="BI1751" s="76">
        <v>1</v>
      </c>
    </row>
    <row r="1752" spans="1:61" s="76" customFormat="1" ht="14.5">
      <c r="A1752" s="76">
        <v>21100030</v>
      </c>
      <c r="C1752" s="76">
        <v>4</v>
      </c>
      <c r="F1752" s="179" t="s">
        <v>5816</v>
      </c>
      <c r="G1752" s="180" t="str">
        <f>VLOOKUP(F1752,'#对话模型配置'!A:O,12,FALSE)</f>
        <v>TID_BaseHeroRecruitPool_10_ItemNameText_CN_Main</v>
      </c>
      <c r="H1752" s="76" t="str">
        <f>VLOOKUP(F1752,'#对话模型配置'!A:O,14,FALSE)</f>
        <v>icon_hero</v>
      </c>
      <c r="I1752" s="76" t="str">
        <f>VLOOKUP(F1752,'#对话模型配置'!A:O,15,FALSE)</f>
        <v>story_nino_big</v>
      </c>
      <c r="J1752" s="182" t="s">
        <v>6016</v>
      </c>
      <c r="K1752" s="183" t="s">
        <v>6017</v>
      </c>
      <c r="U1752" s="76">
        <v>6</v>
      </c>
      <c r="V1752" s="76">
        <v>0</v>
      </c>
      <c r="Y1752" s="76" t="b">
        <v>0</v>
      </c>
      <c r="Z1752" s="76" t="s">
        <v>6018</v>
      </c>
      <c r="AA1752" s="76" t="b">
        <v>0</v>
      </c>
      <c r="AD1752" s="76">
        <v>9.7030830383300799</v>
      </c>
      <c r="AE1752" s="76">
        <f t="shared" si="120"/>
        <v>10.70308303833008</v>
      </c>
      <c r="AF1752" s="76" t="s">
        <v>5840</v>
      </c>
      <c r="AH1752" s="188">
        <v>0.1</v>
      </c>
      <c r="AI1752" s="188">
        <v>0.5</v>
      </c>
      <c r="AL1752" s="76">
        <v>35</v>
      </c>
      <c r="BF1752" s="76">
        <v>1</v>
      </c>
      <c r="BI1752" s="76">
        <v>1</v>
      </c>
    </row>
    <row r="1753" spans="1:61" ht="14.5">
      <c r="A1753" s="20">
        <v>30000001</v>
      </c>
      <c r="C1753" s="20">
        <v>1</v>
      </c>
      <c r="F1753" s="146" t="s">
        <v>4811</v>
      </c>
      <c r="G1753" s="81" t="str">
        <f>VLOOKUP(F1753,'#对话模型配置'!A:O,12,FALSE)</f>
        <v>TID_Dialogue_story_gl_charaname_01</v>
      </c>
      <c r="H1753" s="20" t="str">
        <f>VLOOKUP(F1753,'#对话模型配置'!A:O,14,FALSE)</f>
        <v>icon_hero</v>
      </c>
      <c r="I1753" s="20" t="str">
        <f>VLOOKUP(F1753,'#对话模型配置'!A:O,15,FALSE)</f>
        <v>story_austin_big</v>
      </c>
      <c r="J1753" s="145" t="s">
        <v>6019</v>
      </c>
      <c r="K1753" s="203" t="s">
        <v>6020</v>
      </c>
      <c r="L1753" s="76"/>
      <c r="U1753" s="71">
        <v>3</v>
      </c>
      <c r="V1753" s="71">
        <v>0</v>
      </c>
      <c r="Y1753" s="71" t="b">
        <v>0</v>
      </c>
      <c r="AA1753" s="71" t="b">
        <v>0</v>
      </c>
      <c r="AD1753" s="20">
        <v>99</v>
      </c>
      <c r="AE1753" s="20">
        <v>99</v>
      </c>
      <c r="AH1753" s="75">
        <v>0.1</v>
      </c>
      <c r="AI1753" s="75">
        <v>0.5</v>
      </c>
      <c r="AL1753" s="20">
        <v>35</v>
      </c>
      <c r="BF1753" s="20">
        <v>1</v>
      </c>
      <c r="BI1753" s="20">
        <v>1</v>
      </c>
    </row>
    <row r="1754" spans="1:61" ht="14.5">
      <c r="A1754" s="20">
        <v>30000002</v>
      </c>
      <c r="C1754" s="20">
        <v>1</v>
      </c>
      <c r="F1754" s="146" t="s">
        <v>4008</v>
      </c>
      <c r="G1754" s="81" t="str">
        <f>VLOOKUP(F1754,'#对话模型配置'!A:O,12,FALSE)</f>
        <v>TID_Dialogue_Character_11</v>
      </c>
      <c r="H1754" s="20" t="str">
        <f>VLOOKUP(F1754,'#对话模型配置'!A:O,14,FALSE)</f>
        <v>icon_newbie</v>
      </c>
      <c r="I1754" s="20" t="str">
        <f>VLOOKUP(F1754,'#对话模型配置'!A:O,15,FALSE)</f>
        <v>newbie_oversea_andrea</v>
      </c>
      <c r="J1754" s="145" t="s">
        <v>6021</v>
      </c>
      <c r="K1754" s="203" t="s">
        <v>6022</v>
      </c>
      <c r="L1754" s="76"/>
      <c r="U1754" s="71">
        <v>3</v>
      </c>
      <c r="V1754" s="71">
        <v>0</v>
      </c>
      <c r="Y1754" s="71" t="b">
        <v>0</v>
      </c>
      <c r="AA1754" s="71" t="b">
        <v>0</v>
      </c>
      <c r="AD1754" s="20">
        <v>99</v>
      </c>
      <c r="AE1754" s="20">
        <v>99</v>
      </c>
      <c r="AH1754" s="75">
        <v>0.1</v>
      </c>
      <c r="AI1754" s="75">
        <v>0.5</v>
      </c>
      <c r="AL1754" s="20">
        <v>35</v>
      </c>
      <c r="BF1754" s="20">
        <v>1</v>
      </c>
      <c r="BI1754" s="20">
        <v>1</v>
      </c>
    </row>
    <row r="1755" spans="1:61" ht="14.5">
      <c r="A1755" s="20">
        <v>30000003</v>
      </c>
      <c r="C1755" s="20">
        <v>1</v>
      </c>
      <c r="F1755" s="146" t="s">
        <v>2633</v>
      </c>
      <c r="G1755" s="81" t="str">
        <f>VLOOKUP(F1755,'#对话模型配置'!A:O,12,FALSE)</f>
        <v>TID_DialogueConf_1060001_name_CN_Main</v>
      </c>
      <c r="H1755" s="20" t="str">
        <f>VLOOKUP(F1755,'#对话模型配置'!A:O,14,FALSE)</f>
        <v>icon_newbie</v>
      </c>
      <c r="I1755" s="20" t="str">
        <f>VLOOKUP(F1755,'#对话模型配置'!A:O,15,FALSE)</f>
        <v>newbie_oversea_axe</v>
      </c>
      <c r="J1755" s="145" t="s">
        <v>6023</v>
      </c>
      <c r="K1755" s="203" t="s">
        <v>6024</v>
      </c>
      <c r="L1755" s="76"/>
      <c r="U1755" s="71">
        <v>3</v>
      </c>
      <c r="V1755" s="71">
        <v>0</v>
      </c>
      <c r="Y1755" s="71" t="b">
        <v>0</v>
      </c>
      <c r="AA1755" s="71" t="b">
        <v>0</v>
      </c>
      <c r="AD1755" s="20">
        <v>99</v>
      </c>
      <c r="AE1755" s="20">
        <v>99</v>
      </c>
      <c r="AH1755" s="75">
        <v>0.1</v>
      </c>
      <c r="AI1755" s="75">
        <v>0.5</v>
      </c>
      <c r="AL1755" s="20">
        <v>35</v>
      </c>
      <c r="BF1755" s="20">
        <v>1</v>
      </c>
      <c r="BI1755" s="20">
        <v>1</v>
      </c>
    </row>
    <row r="1756" spans="1:61" ht="14.5">
      <c r="A1756" s="20">
        <v>30000004</v>
      </c>
      <c r="C1756" s="20">
        <v>1</v>
      </c>
      <c r="F1756" s="146" t="s">
        <v>4811</v>
      </c>
      <c r="G1756" s="81" t="str">
        <f>VLOOKUP(F1756,'#对话模型配置'!A:O,12,FALSE)</f>
        <v>TID_Dialogue_story_gl_charaname_01</v>
      </c>
      <c r="H1756" s="20" t="str">
        <f>VLOOKUP(F1756,'#对话模型配置'!A:O,14,FALSE)</f>
        <v>icon_hero</v>
      </c>
      <c r="I1756" s="20" t="str">
        <f>VLOOKUP(F1756,'#对话模型配置'!A:O,15,FALSE)</f>
        <v>story_austin_big</v>
      </c>
      <c r="J1756" s="145" t="s">
        <v>6025</v>
      </c>
      <c r="K1756" s="203" t="s">
        <v>6026</v>
      </c>
      <c r="L1756" s="76"/>
      <c r="U1756" s="71">
        <v>3</v>
      </c>
      <c r="V1756" s="71">
        <v>0</v>
      </c>
      <c r="Y1756" s="71" t="b">
        <v>0</v>
      </c>
      <c r="AA1756" s="71" t="b">
        <v>0</v>
      </c>
      <c r="AD1756" s="20">
        <v>99</v>
      </c>
      <c r="AE1756" s="20">
        <v>99</v>
      </c>
      <c r="AH1756" s="75">
        <v>0.1</v>
      </c>
      <c r="AI1756" s="75">
        <v>0.5</v>
      </c>
      <c r="AL1756" s="20">
        <v>35</v>
      </c>
      <c r="BF1756" s="20">
        <v>1</v>
      </c>
      <c r="BI1756" s="20">
        <v>1</v>
      </c>
    </row>
    <row r="1757" spans="1:61" ht="14.5">
      <c r="A1757" s="20">
        <v>30000005</v>
      </c>
      <c r="C1757" s="20">
        <v>1</v>
      </c>
      <c r="F1757" s="146" t="s">
        <v>4008</v>
      </c>
      <c r="G1757" s="81" t="str">
        <f>VLOOKUP(F1757,'#对话模型配置'!A:O,12,FALSE)</f>
        <v>TID_Dialogue_Character_11</v>
      </c>
      <c r="H1757" s="20" t="str">
        <f>VLOOKUP(F1757,'#对话模型配置'!A:O,14,FALSE)</f>
        <v>icon_newbie</v>
      </c>
      <c r="I1757" s="20" t="str">
        <f>VLOOKUP(F1757,'#对话模型配置'!A:O,15,FALSE)</f>
        <v>newbie_oversea_andrea</v>
      </c>
      <c r="J1757" s="145" t="s">
        <v>6027</v>
      </c>
      <c r="K1757" s="203" t="s">
        <v>6028</v>
      </c>
      <c r="L1757" s="76"/>
      <c r="U1757" s="71">
        <v>2</v>
      </c>
      <c r="V1757" s="71">
        <v>0</v>
      </c>
      <c r="Y1757" s="71" t="b">
        <v>0</v>
      </c>
      <c r="AA1757" s="71" t="b">
        <v>0</v>
      </c>
      <c r="AD1757" s="20">
        <v>2</v>
      </c>
      <c r="AE1757" s="20">
        <v>2</v>
      </c>
      <c r="AH1757" s="75">
        <v>0.1</v>
      </c>
      <c r="AI1757" s="75">
        <v>0.5</v>
      </c>
      <c r="AL1757" s="20">
        <v>35</v>
      </c>
      <c r="BF1757" s="20">
        <v>1</v>
      </c>
      <c r="BI1757" s="20">
        <v>1</v>
      </c>
    </row>
    <row r="1758" spans="1:61" ht="14.5">
      <c r="A1758" s="20">
        <v>30000005</v>
      </c>
      <c r="C1758" s="20">
        <v>2</v>
      </c>
      <c r="F1758" s="146" t="s">
        <v>4156</v>
      </c>
      <c r="G1758" s="81" t="str">
        <f>VLOOKUP(F1758,'#对话模型配置'!A:O,12,FALSE)</f>
        <v>xinshou_story_charname01</v>
      </c>
      <c r="H1758" s="20" t="str">
        <f>VLOOKUP(F1758,'#对话模型配置'!A:O,14,FALSE)</f>
        <v>icon_newbie</v>
      </c>
      <c r="I1758" s="20" t="str">
        <f>VLOOKUP(F1758,'#对话模型配置'!A:O,15,FALSE)</f>
        <v>newbie_oversea_leo</v>
      </c>
      <c r="J1758" s="145" t="s">
        <v>6029</v>
      </c>
      <c r="K1758" s="203" t="s">
        <v>6030</v>
      </c>
      <c r="L1758" s="76"/>
      <c r="U1758" s="71">
        <v>2</v>
      </c>
      <c r="V1758" s="71">
        <v>0</v>
      </c>
      <c r="Y1758" s="71" t="b">
        <v>0</v>
      </c>
      <c r="AA1758" s="71" t="b">
        <v>0</v>
      </c>
      <c r="AD1758" s="20">
        <v>2</v>
      </c>
      <c r="AE1758" s="20">
        <v>2</v>
      </c>
      <c r="AH1758" s="75">
        <v>0.1</v>
      </c>
      <c r="AI1758" s="75">
        <v>0.5</v>
      </c>
      <c r="AL1758" s="20">
        <v>35</v>
      </c>
      <c r="BF1758" s="20">
        <v>1</v>
      </c>
      <c r="BI1758" s="20">
        <v>1</v>
      </c>
    </row>
    <row r="1759" spans="1:61" ht="14.5">
      <c r="A1759" s="20">
        <v>30000005</v>
      </c>
      <c r="C1759" s="20">
        <v>3</v>
      </c>
      <c r="F1759" s="146" t="s">
        <v>4156</v>
      </c>
      <c r="G1759" s="81" t="str">
        <f>VLOOKUP(F1759,'#对话模型配置'!A:O,12,FALSE)</f>
        <v>xinshou_story_charname01</v>
      </c>
      <c r="H1759" s="20" t="str">
        <f>VLOOKUP(F1759,'#对话模型配置'!A:O,14,FALSE)</f>
        <v>icon_newbie</v>
      </c>
      <c r="I1759" s="20" t="str">
        <f>VLOOKUP(F1759,'#对话模型配置'!A:O,15,FALSE)</f>
        <v>newbie_oversea_leo</v>
      </c>
      <c r="J1759" s="145" t="s">
        <v>6031</v>
      </c>
      <c r="K1759" s="203" t="s">
        <v>6032</v>
      </c>
      <c r="L1759" s="76"/>
      <c r="U1759" s="71">
        <v>2</v>
      </c>
      <c r="V1759" s="71">
        <v>0</v>
      </c>
      <c r="Y1759" s="71" t="b">
        <v>0</v>
      </c>
      <c r="AA1759" s="71" t="b">
        <v>0</v>
      </c>
      <c r="AD1759" s="20">
        <v>4</v>
      </c>
      <c r="AE1759" s="20">
        <v>4</v>
      </c>
      <c r="AH1759" s="75">
        <v>0.1</v>
      </c>
      <c r="AI1759" s="75">
        <v>0.5</v>
      </c>
      <c r="AL1759" s="20">
        <v>35</v>
      </c>
      <c r="BF1759" s="20">
        <v>1</v>
      </c>
      <c r="BI1759" s="20">
        <v>1</v>
      </c>
    </row>
    <row r="1760" spans="1:61" ht="14.5">
      <c r="A1760" s="20">
        <v>30000008</v>
      </c>
      <c r="C1760" s="20">
        <v>1</v>
      </c>
      <c r="F1760" s="146" t="s">
        <v>6033</v>
      </c>
      <c r="G1760" s="81" t="str">
        <f>VLOOKUP(F1760,'#对话模型配置'!A:O,12,FALSE)</f>
        <v>TID_Dialogue_Character_6</v>
      </c>
      <c r="H1760" s="20" t="str">
        <f>VLOOKUP(F1760,'#对话模型配置'!A:O,14,FALSE)</f>
        <v>icon_newbie</v>
      </c>
      <c r="I1760" s="20" t="str">
        <f>VLOOKUP(F1760,'#对话模型配置'!A:O,15,FALSE)</f>
        <v>newbie_oversea_enemy</v>
      </c>
      <c r="J1760" s="145" t="s">
        <v>6034</v>
      </c>
      <c r="K1760" s="203" t="s">
        <v>6035</v>
      </c>
      <c r="L1760" s="76"/>
      <c r="U1760" s="71">
        <v>3</v>
      </c>
      <c r="V1760" s="71">
        <v>0</v>
      </c>
      <c r="Y1760" s="71" t="b">
        <v>0</v>
      </c>
      <c r="AA1760" s="71" t="b">
        <v>0</v>
      </c>
      <c r="AD1760" s="20">
        <v>99</v>
      </c>
      <c r="AE1760" s="20">
        <v>99</v>
      </c>
      <c r="AH1760" s="75">
        <v>0.1</v>
      </c>
      <c r="AI1760" s="75">
        <v>0.5</v>
      </c>
      <c r="AL1760" s="20">
        <v>40</v>
      </c>
      <c r="BF1760" s="20">
        <v>1</v>
      </c>
      <c r="BI1760" s="20">
        <v>1</v>
      </c>
    </row>
    <row r="1761" spans="1:61" ht="14.5">
      <c r="A1761" s="20">
        <v>30000009</v>
      </c>
      <c r="C1761" s="20">
        <v>1</v>
      </c>
      <c r="F1761" s="146" t="s">
        <v>6033</v>
      </c>
      <c r="G1761" s="81" t="str">
        <f>VLOOKUP(F1761,'#对话模型配置'!A:O,12,FALSE)</f>
        <v>TID_Dialogue_Character_6</v>
      </c>
      <c r="H1761" s="20" t="str">
        <f>VLOOKUP(F1761,'#对话模型配置'!A:O,14,FALSE)</f>
        <v>icon_newbie</v>
      </c>
      <c r="I1761" s="20" t="str">
        <f>VLOOKUP(F1761,'#对话模型配置'!A:O,15,FALSE)</f>
        <v>newbie_oversea_enemy</v>
      </c>
      <c r="J1761" s="145" t="s">
        <v>6036</v>
      </c>
      <c r="K1761" s="203" t="s">
        <v>6037</v>
      </c>
      <c r="L1761" s="76"/>
      <c r="U1761" s="71">
        <v>3</v>
      </c>
      <c r="V1761" s="71">
        <v>0</v>
      </c>
      <c r="Y1761" s="71" t="b">
        <v>0</v>
      </c>
      <c r="AA1761" s="71" t="b">
        <v>0</v>
      </c>
      <c r="AD1761" s="20">
        <v>99</v>
      </c>
      <c r="AE1761" s="20">
        <v>99</v>
      </c>
      <c r="AH1761" s="75">
        <v>0.1</v>
      </c>
      <c r="AI1761" s="75">
        <v>0.5</v>
      </c>
      <c r="AL1761" s="20">
        <v>35</v>
      </c>
      <c r="BF1761" s="20">
        <v>1</v>
      </c>
      <c r="BI1761" s="20">
        <v>1</v>
      </c>
    </row>
    <row r="1762" spans="1:61" ht="14.5">
      <c r="A1762" s="20">
        <v>30000010</v>
      </c>
      <c r="C1762" s="20">
        <v>1</v>
      </c>
      <c r="F1762" s="146" t="s">
        <v>2793</v>
      </c>
      <c r="G1762" s="81" t="str">
        <f>VLOOKUP(F1762,'#对话模型配置'!A:O,12,FALSE)</f>
        <v>TID_DialogueConf_1060715_name_CN_Main</v>
      </c>
      <c r="H1762" s="20" t="str">
        <f>VLOOKUP(F1762,'#对话模型配置'!A:O,14,FALSE)</f>
        <v>icon_newbie</v>
      </c>
      <c r="I1762" s="20" t="str">
        <f>VLOOKUP(F1762,'#对话模型配置'!A:O,15,FALSE)</f>
        <v>newbie_oversea_joa</v>
      </c>
      <c r="J1762" s="145" t="s">
        <v>6038</v>
      </c>
      <c r="K1762" s="203" t="s">
        <v>6039</v>
      </c>
      <c r="L1762" s="76"/>
      <c r="U1762" s="71">
        <v>3</v>
      </c>
      <c r="V1762" s="71">
        <v>0</v>
      </c>
      <c r="Y1762" s="71" t="b">
        <v>0</v>
      </c>
      <c r="AA1762" s="71" t="b">
        <v>0</v>
      </c>
      <c r="AD1762" s="20">
        <v>99</v>
      </c>
      <c r="AE1762" s="20">
        <v>99</v>
      </c>
      <c r="AH1762" s="75">
        <v>0.1</v>
      </c>
      <c r="AI1762" s="75">
        <v>0.5</v>
      </c>
      <c r="AL1762" s="20">
        <v>35</v>
      </c>
      <c r="BF1762" s="20">
        <v>1</v>
      </c>
      <c r="BI1762" s="20">
        <v>1</v>
      </c>
    </row>
    <row r="1763" spans="1:61" ht="14.5">
      <c r="A1763" s="20">
        <v>30000011</v>
      </c>
      <c r="C1763" s="20">
        <v>1</v>
      </c>
      <c r="F1763" s="146" t="s">
        <v>4008</v>
      </c>
      <c r="G1763" s="81" t="str">
        <f>VLOOKUP(F1763,'#对话模型配置'!A:O,12,FALSE)</f>
        <v>TID_Dialogue_Character_11</v>
      </c>
      <c r="H1763" s="20" t="str">
        <f>VLOOKUP(F1763,'#对话模型配置'!A:O,14,FALSE)</f>
        <v>icon_newbie</v>
      </c>
      <c r="I1763" s="20" t="str">
        <f>VLOOKUP(F1763,'#对话模型配置'!A:O,15,FALSE)</f>
        <v>newbie_oversea_andrea</v>
      </c>
      <c r="J1763" s="145" t="s">
        <v>6040</v>
      </c>
      <c r="K1763" s="203" t="s">
        <v>6041</v>
      </c>
      <c r="L1763" s="76"/>
      <c r="U1763" s="71">
        <v>3</v>
      </c>
      <c r="V1763" s="71">
        <v>0</v>
      </c>
      <c r="Y1763" s="71" t="b">
        <v>0</v>
      </c>
      <c r="AA1763" s="71" t="b">
        <v>0</v>
      </c>
      <c r="AD1763" s="20">
        <v>99</v>
      </c>
      <c r="AE1763" s="20">
        <v>99</v>
      </c>
      <c r="AH1763" s="75">
        <v>0.1</v>
      </c>
      <c r="AI1763" s="75">
        <v>0.5</v>
      </c>
      <c r="AL1763" s="20">
        <v>35</v>
      </c>
      <c r="BF1763" s="20">
        <v>1</v>
      </c>
      <c r="BI1763" s="20">
        <v>1</v>
      </c>
    </row>
    <row r="1764" spans="1:61" ht="14.5">
      <c r="A1764" s="20">
        <v>30000012</v>
      </c>
      <c r="C1764" s="20">
        <v>1</v>
      </c>
      <c r="F1764" s="19" t="s">
        <v>5060</v>
      </c>
      <c r="G1764" s="81" t="str">
        <f>VLOOKUP(F1764,'#对话模型配置'!A:O,12,FALSE)</f>
        <v>TID_Dialogue_story_gl_charaname_02</v>
      </c>
      <c r="H1764" s="20" t="str">
        <f>VLOOKUP(F1764,'#对话模型配置'!A:O,14,FALSE)</f>
        <v>icon_hero</v>
      </c>
      <c r="I1764" s="20" t="str">
        <f>VLOOKUP(F1764,'#对话模型配置'!A:O,15,FALSE)</f>
        <v>story_will_big</v>
      </c>
      <c r="J1764" s="145" t="s">
        <v>6042</v>
      </c>
      <c r="K1764" s="203" t="s">
        <v>6043</v>
      </c>
      <c r="L1764" s="76"/>
      <c r="U1764" s="71">
        <v>3</v>
      </c>
      <c r="V1764" s="71">
        <v>0</v>
      </c>
      <c r="Y1764" s="71" t="b">
        <v>0</v>
      </c>
      <c r="AA1764" s="71" t="b">
        <v>0</v>
      </c>
      <c r="AD1764" s="20">
        <v>99</v>
      </c>
      <c r="AE1764" s="20">
        <v>99</v>
      </c>
      <c r="AH1764" s="75">
        <v>0.1</v>
      </c>
      <c r="AI1764" s="75">
        <v>0.5</v>
      </c>
      <c r="AL1764" s="20">
        <v>35</v>
      </c>
      <c r="BF1764" s="20">
        <v>1</v>
      </c>
      <c r="BI1764" s="20">
        <v>1</v>
      </c>
    </row>
    <row r="1765" spans="1:61" ht="14.5">
      <c r="A1765" s="20">
        <v>30000013</v>
      </c>
      <c r="C1765" s="20">
        <v>1</v>
      </c>
      <c r="F1765" s="146" t="s">
        <v>4811</v>
      </c>
      <c r="G1765" s="81" t="str">
        <f>VLOOKUP(F1765,'#对话模型配置'!A:O,12,FALSE)</f>
        <v>TID_Dialogue_story_gl_charaname_01</v>
      </c>
      <c r="H1765" s="20" t="str">
        <f>VLOOKUP(F1765,'#对话模型配置'!A:O,14,FALSE)</f>
        <v>icon_hero</v>
      </c>
      <c r="I1765" s="20" t="str">
        <f>VLOOKUP(F1765,'#对话模型配置'!A:O,15,FALSE)</f>
        <v>story_austin_big</v>
      </c>
      <c r="J1765" s="145" t="s">
        <v>6044</v>
      </c>
      <c r="K1765" s="203" t="s">
        <v>6045</v>
      </c>
      <c r="L1765" s="76"/>
      <c r="U1765" s="71">
        <v>3</v>
      </c>
      <c r="V1765" s="71">
        <v>0</v>
      </c>
      <c r="Y1765" s="71" t="b">
        <v>0</v>
      </c>
      <c r="AA1765" s="71" t="b">
        <v>0</v>
      </c>
      <c r="AD1765" s="20">
        <v>99</v>
      </c>
      <c r="AE1765" s="20">
        <v>99</v>
      </c>
      <c r="AH1765" s="75">
        <v>0.1</v>
      </c>
      <c r="AI1765" s="75">
        <v>0.5</v>
      </c>
      <c r="AL1765" s="20">
        <v>35</v>
      </c>
      <c r="BF1765" s="20">
        <v>1</v>
      </c>
      <c r="BI1765" s="20">
        <v>1</v>
      </c>
    </row>
    <row r="1766" spans="1:61" ht="14.5">
      <c r="A1766" s="20">
        <v>30000014</v>
      </c>
      <c r="C1766" s="20">
        <v>1</v>
      </c>
      <c r="F1766" s="146" t="s">
        <v>4722</v>
      </c>
      <c r="G1766" s="81" t="str">
        <f>VLOOKUP(F1766,'#对话模型配置'!A:O,12,FALSE)</f>
        <v>TID_DialogueConf_1060001_name_CN_Main</v>
      </c>
      <c r="H1766" s="20" t="str">
        <f>VLOOKUP(F1766,'#对话模型配置'!A:O,14,FALSE)</f>
        <v>icon_hero</v>
      </c>
      <c r="I1766" s="20" t="str">
        <f>VLOOKUP(F1766,'#对话模型配置'!A:O,15,FALSE)</f>
        <v>icon_hero_206_big</v>
      </c>
      <c r="J1766" s="145" t="s">
        <v>6046</v>
      </c>
      <c r="K1766" s="203" t="s">
        <v>6047</v>
      </c>
      <c r="L1766" s="76"/>
      <c r="U1766" s="71">
        <v>3</v>
      </c>
      <c r="V1766" s="71">
        <v>0</v>
      </c>
      <c r="Y1766" s="71" t="b">
        <v>0</v>
      </c>
      <c r="AA1766" s="71" t="b">
        <v>0</v>
      </c>
      <c r="AD1766" s="20">
        <v>99</v>
      </c>
      <c r="AE1766" s="20">
        <v>99</v>
      </c>
      <c r="AH1766" s="75">
        <v>0.1</v>
      </c>
      <c r="AI1766" s="75">
        <v>0.5</v>
      </c>
      <c r="AL1766" s="20">
        <v>35</v>
      </c>
      <c r="BF1766" s="20">
        <v>1</v>
      </c>
      <c r="BI1766" s="20">
        <v>1</v>
      </c>
    </row>
    <row r="1767" spans="1:61" ht="14.5">
      <c r="A1767" s="20">
        <v>30000015</v>
      </c>
      <c r="C1767" s="20">
        <v>1</v>
      </c>
      <c r="F1767" s="146" t="s">
        <v>4811</v>
      </c>
      <c r="G1767" s="81" t="str">
        <f>VLOOKUP(F1767,'#对话模型配置'!A:O,12,FALSE)</f>
        <v>TID_Dialogue_story_gl_charaname_01</v>
      </c>
      <c r="H1767" s="20" t="str">
        <f>VLOOKUP(F1767,'#对话模型配置'!A:O,14,FALSE)</f>
        <v>icon_hero</v>
      </c>
      <c r="I1767" s="20" t="str">
        <f>VLOOKUP(F1767,'#对话模型配置'!A:O,15,FALSE)</f>
        <v>story_austin_big</v>
      </c>
      <c r="J1767" s="145" t="s">
        <v>6048</v>
      </c>
      <c r="K1767" s="203" t="s">
        <v>6049</v>
      </c>
      <c r="L1767" s="76"/>
      <c r="U1767" s="71">
        <v>3</v>
      </c>
      <c r="V1767" s="71">
        <v>0</v>
      </c>
      <c r="Y1767" s="71" t="b">
        <v>0</v>
      </c>
      <c r="AA1767" s="71" t="b">
        <v>0</v>
      </c>
      <c r="AD1767" s="20">
        <v>99</v>
      </c>
      <c r="AE1767" s="20">
        <v>99</v>
      </c>
      <c r="AH1767" s="75">
        <v>0.1</v>
      </c>
      <c r="AI1767" s="75">
        <v>0.5</v>
      </c>
      <c r="AL1767" s="20">
        <v>35</v>
      </c>
      <c r="BF1767" s="20">
        <v>1</v>
      </c>
      <c r="BI1767" s="20">
        <v>1</v>
      </c>
    </row>
    <row r="1768" spans="1:61" ht="14.5">
      <c r="A1768" s="20">
        <v>30000016</v>
      </c>
      <c r="C1768" s="20">
        <v>1</v>
      </c>
      <c r="F1768" s="146" t="s">
        <v>4722</v>
      </c>
      <c r="G1768" s="81" t="str">
        <f>VLOOKUP(F1768,'#对话模型配置'!A:O,12,FALSE)</f>
        <v>TID_DialogueConf_1060001_name_CN_Main</v>
      </c>
      <c r="H1768" s="20" t="str">
        <f>VLOOKUP(F1768,'#对话模型配置'!A:O,14,FALSE)</f>
        <v>icon_hero</v>
      </c>
      <c r="I1768" s="20" t="str">
        <f>VLOOKUP(F1768,'#对话模型配置'!A:O,15,FALSE)</f>
        <v>icon_hero_206_big</v>
      </c>
      <c r="J1768" s="145" t="s">
        <v>6050</v>
      </c>
      <c r="K1768" s="203" t="s">
        <v>6051</v>
      </c>
      <c r="L1768" s="76"/>
      <c r="U1768" s="71">
        <v>3</v>
      </c>
      <c r="V1768" s="71">
        <v>0</v>
      </c>
      <c r="Y1768" s="71" t="b">
        <v>0</v>
      </c>
      <c r="AA1768" s="71" t="b">
        <v>0</v>
      </c>
      <c r="AD1768" s="20">
        <v>99</v>
      </c>
      <c r="AE1768" s="20">
        <v>99</v>
      </c>
      <c r="AH1768" s="75">
        <v>0.1</v>
      </c>
      <c r="AI1768" s="75">
        <v>0.5</v>
      </c>
      <c r="AL1768" s="20">
        <v>35</v>
      </c>
      <c r="BF1768" s="20">
        <v>1</v>
      </c>
      <c r="BI1768" s="20">
        <v>1</v>
      </c>
    </row>
    <row r="1769" spans="1:61" ht="14.5">
      <c r="A1769" s="20">
        <v>30000017</v>
      </c>
      <c r="C1769" s="20">
        <v>1</v>
      </c>
      <c r="F1769" s="146" t="s">
        <v>4722</v>
      </c>
      <c r="G1769" s="81" t="str">
        <f>VLOOKUP(F1769,'#对话模型配置'!A:O,12,FALSE)</f>
        <v>TID_DialogueConf_1060001_name_CN_Main</v>
      </c>
      <c r="H1769" s="20" t="str">
        <f>VLOOKUP(F1769,'#对话模型配置'!A:O,14,FALSE)</f>
        <v>icon_hero</v>
      </c>
      <c r="I1769" s="20" t="str">
        <f>VLOOKUP(F1769,'#对话模型配置'!A:O,15,FALSE)</f>
        <v>icon_hero_206_big</v>
      </c>
      <c r="J1769" s="145" t="s">
        <v>6052</v>
      </c>
      <c r="K1769" s="203" t="s">
        <v>6053</v>
      </c>
      <c r="L1769" s="76"/>
      <c r="U1769" s="71">
        <v>3</v>
      </c>
      <c r="V1769" s="71">
        <v>0</v>
      </c>
      <c r="Y1769" s="71" t="b">
        <v>0</v>
      </c>
      <c r="AA1769" s="71" t="b">
        <v>0</v>
      </c>
      <c r="AD1769" s="20">
        <v>99</v>
      </c>
      <c r="AE1769" s="20">
        <v>99</v>
      </c>
      <c r="AH1769" s="75">
        <v>0.1</v>
      </c>
      <c r="AI1769" s="75">
        <v>0.5</v>
      </c>
      <c r="AL1769" s="20">
        <v>35</v>
      </c>
      <c r="BF1769" s="20">
        <v>1</v>
      </c>
      <c r="BI1769" s="20">
        <v>1</v>
      </c>
    </row>
    <row r="1770" spans="1:61" ht="14.5">
      <c r="A1770" s="20">
        <v>30000018</v>
      </c>
      <c r="C1770" s="20">
        <v>1</v>
      </c>
      <c r="F1770" s="146" t="s">
        <v>4811</v>
      </c>
      <c r="G1770" s="81" t="str">
        <f>VLOOKUP(F1770,'#对话模型配置'!A:O,12,FALSE)</f>
        <v>TID_Dialogue_story_gl_charaname_01</v>
      </c>
      <c r="H1770" s="20" t="str">
        <f>VLOOKUP(F1770,'#对话模型配置'!A:O,14,FALSE)</f>
        <v>icon_hero</v>
      </c>
      <c r="I1770" s="20" t="str">
        <f>VLOOKUP(F1770,'#对话模型配置'!A:O,15,FALSE)</f>
        <v>story_austin_big</v>
      </c>
      <c r="J1770" s="145" t="s">
        <v>6054</v>
      </c>
      <c r="K1770" s="203" t="s">
        <v>6055</v>
      </c>
      <c r="L1770" s="76"/>
      <c r="U1770" s="71">
        <v>3</v>
      </c>
      <c r="V1770" s="71">
        <v>0</v>
      </c>
      <c r="Y1770" s="71" t="b">
        <v>0</v>
      </c>
      <c r="AA1770" s="71" t="b">
        <v>0</v>
      </c>
      <c r="AD1770" s="20">
        <v>99</v>
      </c>
      <c r="AE1770" s="20">
        <v>99</v>
      </c>
      <c r="AH1770" s="75">
        <v>0.1</v>
      </c>
      <c r="AI1770" s="75">
        <v>0.5</v>
      </c>
      <c r="AL1770" s="20">
        <v>35</v>
      </c>
      <c r="BF1770" s="20">
        <v>1</v>
      </c>
      <c r="BI1770" s="20">
        <v>1</v>
      </c>
    </row>
    <row r="1771" spans="1:61" ht="14.5">
      <c r="A1771" s="20">
        <v>30000019</v>
      </c>
      <c r="C1771" s="20">
        <v>1</v>
      </c>
      <c r="F1771" s="146" t="s">
        <v>4722</v>
      </c>
      <c r="G1771" s="81" t="str">
        <f>VLOOKUP(F1771,'#对话模型配置'!A:O,12,FALSE)</f>
        <v>TID_DialogueConf_1060001_name_CN_Main</v>
      </c>
      <c r="H1771" s="20" t="str">
        <f>VLOOKUP(F1771,'#对话模型配置'!A:O,14,FALSE)</f>
        <v>icon_hero</v>
      </c>
      <c r="I1771" s="20" t="str">
        <f>VLOOKUP(F1771,'#对话模型配置'!A:O,15,FALSE)</f>
        <v>icon_hero_206_big</v>
      </c>
      <c r="J1771" s="145" t="s">
        <v>6056</v>
      </c>
      <c r="K1771" s="203" t="s">
        <v>6057</v>
      </c>
      <c r="L1771" s="76"/>
      <c r="U1771" s="71">
        <v>3</v>
      </c>
      <c r="V1771" s="71">
        <v>0</v>
      </c>
      <c r="Y1771" s="71" t="b">
        <v>0</v>
      </c>
      <c r="AA1771" s="71" t="b">
        <v>0</v>
      </c>
      <c r="AD1771" s="20">
        <v>99</v>
      </c>
      <c r="AE1771" s="20">
        <v>99</v>
      </c>
      <c r="AH1771" s="75">
        <v>0.1</v>
      </c>
      <c r="AI1771" s="75">
        <v>0.5</v>
      </c>
      <c r="AL1771" s="20">
        <v>35</v>
      </c>
      <c r="BF1771" s="20">
        <v>1</v>
      </c>
      <c r="BI1771" s="20">
        <v>1</v>
      </c>
    </row>
    <row r="1772" spans="1:61" ht="14.5">
      <c r="A1772" s="20">
        <v>30000020</v>
      </c>
      <c r="C1772" s="20">
        <v>1</v>
      </c>
      <c r="F1772" s="146" t="s">
        <v>6033</v>
      </c>
      <c r="G1772" s="81" t="str">
        <f>VLOOKUP(F1772,'#对话模型配置'!A:O,12,FALSE)</f>
        <v>TID_Dialogue_Character_6</v>
      </c>
      <c r="H1772" s="20" t="str">
        <f>VLOOKUP(F1772,'#对话模型配置'!A:O,14,FALSE)</f>
        <v>icon_newbie</v>
      </c>
      <c r="I1772" s="20" t="str">
        <f>VLOOKUP(F1772,'#对话模型配置'!A:O,15,FALSE)</f>
        <v>newbie_oversea_enemy</v>
      </c>
      <c r="J1772" s="145" t="s">
        <v>6058</v>
      </c>
      <c r="K1772" s="203" t="s">
        <v>6059</v>
      </c>
      <c r="L1772" s="76"/>
      <c r="U1772" s="71">
        <v>3</v>
      </c>
      <c r="V1772" s="71">
        <v>0</v>
      </c>
      <c r="Y1772" s="71" t="b">
        <v>0</v>
      </c>
      <c r="AA1772" s="71" t="b">
        <v>0</v>
      </c>
      <c r="AD1772" s="20">
        <v>99</v>
      </c>
      <c r="AE1772" s="20">
        <v>99</v>
      </c>
      <c r="AH1772" s="75">
        <v>0.1</v>
      </c>
      <c r="AI1772" s="75">
        <v>0.5</v>
      </c>
      <c r="AL1772" s="20">
        <v>35</v>
      </c>
      <c r="BF1772" s="20">
        <v>1</v>
      </c>
      <c r="BI1772" s="20">
        <v>1</v>
      </c>
    </row>
    <row r="1773" spans="1:61" ht="14.5">
      <c r="A1773" s="20">
        <v>30000021</v>
      </c>
      <c r="C1773" s="20">
        <v>1</v>
      </c>
      <c r="F1773" s="146" t="s">
        <v>4722</v>
      </c>
      <c r="G1773" s="81" t="str">
        <f>VLOOKUP(F1773,'#对话模型配置'!A:O,12,FALSE)</f>
        <v>TID_DialogueConf_1060001_name_CN_Main</v>
      </c>
      <c r="H1773" s="20" t="str">
        <f>VLOOKUP(F1773,'#对话模型配置'!A:O,14,FALSE)</f>
        <v>icon_hero</v>
      </c>
      <c r="I1773" s="20" t="str">
        <f>VLOOKUP(F1773,'#对话模型配置'!A:O,15,FALSE)</f>
        <v>icon_hero_206_big</v>
      </c>
      <c r="J1773" s="145" t="s">
        <v>6060</v>
      </c>
      <c r="K1773" s="203" t="s">
        <v>6061</v>
      </c>
      <c r="L1773" s="76"/>
      <c r="U1773" s="71">
        <v>3</v>
      </c>
      <c r="V1773" s="71">
        <v>0</v>
      </c>
      <c r="Y1773" s="71" t="b">
        <v>0</v>
      </c>
      <c r="AA1773" s="71" t="b">
        <v>0</v>
      </c>
      <c r="AD1773" s="20">
        <v>99</v>
      </c>
      <c r="AE1773" s="20">
        <v>99</v>
      </c>
      <c r="AH1773" s="75">
        <v>0.1</v>
      </c>
      <c r="AI1773" s="75">
        <v>0.5</v>
      </c>
      <c r="AL1773" s="20">
        <v>35</v>
      </c>
      <c r="BF1773" s="20">
        <v>1</v>
      </c>
      <c r="BI1773" s="20">
        <v>1</v>
      </c>
    </row>
    <row r="1774" spans="1:61" ht="14.5">
      <c r="A1774" s="20">
        <v>30000022</v>
      </c>
      <c r="C1774" s="20">
        <v>1</v>
      </c>
      <c r="F1774" s="146" t="s">
        <v>4811</v>
      </c>
      <c r="G1774" s="81" t="str">
        <f>VLOOKUP(F1774,'#对话模型配置'!A:O,12,FALSE)</f>
        <v>TID_Dialogue_story_gl_charaname_01</v>
      </c>
      <c r="H1774" s="20" t="str">
        <f>VLOOKUP(F1774,'#对话模型配置'!A:O,14,FALSE)</f>
        <v>icon_hero</v>
      </c>
      <c r="I1774" s="20" t="str">
        <f>VLOOKUP(F1774,'#对话模型配置'!A:O,15,FALSE)</f>
        <v>story_austin_big</v>
      </c>
      <c r="J1774" s="145" t="s">
        <v>6062</v>
      </c>
      <c r="K1774" s="203" t="s">
        <v>6063</v>
      </c>
      <c r="L1774" s="76"/>
      <c r="U1774" s="71">
        <v>3</v>
      </c>
      <c r="V1774" s="71">
        <v>0</v>
      </c>
      <c r="Y1774" s="71" t="b">
        <v>0</v>
      </c>
      <c r="AA1774" s="71" t="b">
        <v>0</v>
      </c>
      <c r="AD1774" s="20">
        <v>99</v>
      </c>
      <c r="AE1774" s="20">
        <v>99</v>
      </c>
      <c r="AH1774" s="75">
        <v>0.1</v>
      </c>
      <c r="AI1774" s="75">
        <v>0.5</v>
      </c>
      <c r="AL1774" s="20">
        <v>35</v>
      </c>
      <c r="BF1774" s="20">
        <v>1</v>
      </c>
      <c r="BI1774" s="20">
        <v>1</v>
      </c>
    </row>
    <row r="1775" spans="1:61" ht="14.5">
      <c r="A1775" s="20">
        <v>30000023</v>
      </c>
      <c r="C1775" s="20">
        <v>1</v>
      </c>
      <c r="F1775" s="146" t="s">
        <v>5401</v>
      </c>
      <c r="G1775" s="81" t="str">
        <f>VLOOKUP(F1775,'#对话模型配置'!A:O,12,FALSE)</f>
        <v>TID_Dialogue_story_gl_charaname_03</v>
      </c>
      <c r="H1775" s="20" t="str">
        <f>VLOOKUP(F1775,'#对话模型配置'!A:O,14,FALSE)</f>
        <v>icon_hero</v>
      </c>
      <c r="I1775" s="20" t="str">
        <f>VLOOKUP(F1775,'#对话模型配置'!A:O,15,FALSE)</f>
        <v>story_linda_big</v>
      </c>
      <c r="J1775" s="145" t="s">
        <v>6064</v>
      </c>
      <c r="K1775" s="203" t="s">
        <v>6065</v>
      </c>
      <c r="L1775" s="76"/>
      <c r="U1775" s="71">
        <v>3</v>
      </c>
      <c r="V1775" s="71">
        <v>0</v>
      </c>
      <c r="Y1775" s="71" t="b">
        <v>0</v>
      </c>
      <c r="AA1775" s="71" t="b">
        <v>0</v>
      </c>
      <c r="AD1775" s="20">
        <v>99</v>
      </c>
      <c r="AE1775" s="20">
        <v>99</v>
      </c>
      <c r="AH1775" s="75">
        <v>0.1</v>
      </c>
      <c r="AI1775" s="75">
        <v>0.5</v>
      </c>
      <c r="AL1775" s="20">
        <v>35</v>
      </c>
      <c r="BF1775" s="20">
        <v>1</v>
      </c>
      <c r="BI1775" s="20">
        <v>1</v>
      </c>
    </row>
    <row r="1776" spans="1:61" ht="14.5">
      <c r="A1776" s="20">
        <v>30000024</v>
      </c>
      <c r="C1776" s="20">
        <v>1</v>
      </c>
      <c r="F1776" s="146" t="s">
        <v>2646</v>
      </c>
      <c r="G1776" s="81" t="str">
        <f>VLOOKUP(F1776,'#对话模型配置'!A:O,12,FALSE)</f>
        <v>TID_DialogueConf_1060611_name_CN_Main</v>
      </c>
      <c r="H1776" s="20" t="str">
        <f>VLOOKUP(F1776,'#对话模型配置'!A:O,14,FALSE)</f>
        <v>icon_newbie</v>
      </c>
      <c r="I1776" s="20" t="str">
        <f>VLOOKUP(F1776,'#对话模型配置'!A:O,15,FALSE)</f>
        <v>newbie_oversea_farmernohat</v>
      </c>
      <c r="J1776" s="145" t="s">
        <v>6066</v>
      </c>
      <c r="K1776" s="203" t="s">
        <v>6067</v>
      </c>
      <c r="L1776" s="76"/>
      <c r="U1776" s="71">
        <v>3</v>
      </c>
      <c r="V1776" s="71">
        <v>0</v>
      </c>
      <c r="Y1776" s="71" t="b">
        <v>0</v>
      </c>
      <c r="AA1776" s="71" t="b">
        <v>0</v>
      </c>
      <c r="AD1776" s="20">
        <v>99</v>
      </c>
      <c r="AE1776" s="20">
        <v>99</v>
      </c>
      <c r="AH1776" s="75">
        <v>0.1</v>
      </c>
      <c r="AI1776" s="75">
        <v>0.5</v>
      </c>
      <c r="AL1776" s="20">
        <v>35</v>
      </c>
      <c r="BF1776" s="20">
        <v>1</v>
      </c>
      <c r="BI1776" s="20">
        <v>1</v>
      </c>
    </row>
    <row r="1777" spans="1:61" ht="14.5">
      <c r="A1777" s="20">
        <v>30000025</v>
      </c>
      <c r="C1777" s="20">
        <v>1</v>
      </c>
      <c r="F1777" s="146" t="s">
        <v>2646</v>
      </c>
      <c r="G1777" s="81" t="str">
        <f>VLOOKUP(F1777,'#对话模型配置'!A:O,12,FALSE)</f>
        <v>TID_DialogueConf_1060611_name_CN_Main</v>
      </c>
      <c r="H1777" s="20" t="str">
        <f>VLOOKUP(F1777,'#对话模型配置'!A:O,14,FALSE)</f>
        <v>icon_newbie</v>
      </c>
      <c r="I1777" s="20" t="str">
        <f>VLOOKUP(F1777,'#对话模型配置'!A:O,15,FALSE)</f>
        <v>newbie_oversea_farmernohat</v>
      </c>
      <c r="J1777" s="145" t="s">
        <v>6068</v>
      </c>
      <c r="K1777" s="203" t="s">
        <v>6069</v>
      </c>
      <c r="L1777" s="76"/>
      <c r="U1777" s="71">
        <v>3</v>
      </c>
      <c r="V1777" s="71">
        <v>0</v>
      </c>
      <c r="Y1777" s="71" t="b">
        <v>0</v>
      </c>
      <c r="AA1777" s="71" t="b">
        <v>0</v>
      </c>
      <c r="AD1777" s="20">
        <v>99</v>
      </c>
      <c r="AE1777" s="20">
        <v>99</v>
      </c>
      <c r="AH1777" s="75">
        <v>0.1</v>
      </c>
      <c r="AI1777" s="75">
        <v>0.5</v>
      </c>
      <c r="AL1777" s="20">
        <v>35</v>
      </c>
      <c r="BF1777" s="20">
        <v>1</v>
      </c>
      <c r="BI1777" s="20">
        <v>1</v>
      </c>
    </row>
    <row r="1778" spans="1:61" ht="14.5">
      <c r="A1778" s="20">
        <v>30000026</v>
      </c>
      <c r="C1778" s="20">
        <v>1</v>
      </c>
      <c r="F1778" s="146" t="s">
        <v>2646</v>
      </c>
      <c r="G1778" s="81" t="str">
        <f>VLOOKUP(F1778,'#对话模型配置'!A:O,12,FALSE)</f>
        <v>TID_DialogueConf_1060611_name_CN_Main</v>
      </c>
      <c r="H1778" s="20" t="str">
        <f>VLOOKUP(F1778,'#对话模型配置'!A:O,14,FALSE)</f>
        <v>icon_newbie</v>
      </c>
      <c r="I1778" s="20" t="str">
        <f>VLOOKUP(F1778,'#对话模型配置'!A:O,15,FALSE)</f>
        <v>newbie_oversea_farmernohat</v>
      </c>
      <c r="J1778" s="145" t="s">
        <v>6070</v>
      </c>
      <c r="K1778" s="203" t="s">
        <v>6071</v>
      </c>
      <c r="L1778" s="76"/>
      <c r="U1778" s="71">
        <v>3</v>
      </c>
      <c r="V1778" s="71">
        <v>0</v>
      </c>
      <c r="Y1778" s="71" t="b">
        <v>0</v>
      </c>
      <c r="AA1778" s="71" t="b">
        <v>0</v>
      </c>
      <c r="AD1778" s="20">
        <v>99</v>
      </c>
      <c r="AE1778" s="20">
        <v>99</v>
      </c>
      <c r="AH1778" s="75">
        <v>0.1</v>
      </c>
      <c r="AI1778" s="75">
        <v>0.5</v>
      </c>
      <c r="AL1778" s="20">
        <v>35</v>
      </c>
      <c r="BF1778" s="20">
        <v>1</v>
      </c>
      <c r="BI1778" s="20">
        <v>1</v>
      </c>
    </row>
    <row r="1779" spans="1:61" ht="14.5">
      <c r="A1779" s="20">
        <v>30000027</v>
      </c>
      <c r="C1779" s="20">
        <v>1</v>
      </c>
      <c r="F1779" s="146" t="s">
        <v>5401</v>
      </c>
      <c r="G1779" s="81" t="str">
        <f>VLOOKUP(F1779,'#对话模型配置'!A:O,12,FALSE)</f>
        <v>TID_Dialogue_story_gl_charaname_03</v>
      </c>
      <c r="H1779" s="20" t="str">
        <f>VLOOKUP(F1779,'#对话模型配置'!A:O,14,FALSE)</f>
        <v>icon_hero</v>
      </c>
      <c r="I1779" s="20" t="str">
        <f>VLOOKUP(F1779,'#对话模型配置'!A:O,15,FALSE)</f>
        <v>story_linda_big</v>
      </c>
      <c r="J1779" s="145" t="s">
        <v>6072</v>
      </c>
      <c r="K1779" s="203" t="s">
        <v>6073</v>
      </c>
      <c r="L1779" s="76"/>
      <c r="U1779" s="71">
        <v>3</v>
      </c>
      <c r="V1779" s="71">
        <v>0</v>
      </c>
      <c r="Y1779" s="71" t="b">
        <v>0</v>
      </c>
      <c r="AA1779" s="71" t="b">
        <v>0</v>
      </c>
      <c r="AD1779" s="20">
        <v>99</v>
      </c>
      <c r="AE1779" s="20">
        <v>99</v>
      </c>
      <c r="AH1779" s="75">
        <v>0.1</v>
      </c>
      <c r="AI1779" s="75">
        <v>0.5</v>
      </c>
      <c r="AL1779" s="20">
        <v>35</v>
      </c>
      <c r="BF1779" s="20">
        <v>1</v>
      </c>
      <c r="BI1779" s="20">
        <v>1</v>
      </c>
    </row>
    <row r="1780" spans="1:61" ht="14.5">
      <c r="A1780" s="20">
        <v>30000028</v>
      </c>
      <c r="C1780" s="20">
        <v>1</v>
      </c>
      <c r="F1780" s="146" t="s">
        <v>5401</v>
      </c>
      <c r="G1780" s="81" t="str">
        <f>VLOOKUP(F1780,'#对话模型配置'!A:O,12,FALSE)</f>
        <v>TID_Dialogue_story_gl_charaname_03</v>
      </c>
      <c r="H1780" s="20" t="str">
        <f>VLOOKUP(F1780,'#对话模型配置'!A:O,14,FALSE)</f>
        <v>icon_hero</v>
      </c>
      <c r="I1780" s="20" t="str">
        <f>VLOOKUP(F1780,'#对话模型配置'!A:O,15,FALSE)</f>
        <v>story_linda_big</v>
      </c>
      <c r="J1780" s="145" t="s">
        <v>6074</v>
      </c>
      <c r="K1780" s="203" t="s">
        <v>6075</v>
      </c>
      <c r="L1780" s="76"/>
      <c r="U1780" s="71">
        <v>3</v>
      </c>
      <c r="V1780" s="71">
        <v>0</v>
      </c>
      <c r="Y1780" s="71" t="b">
        <v>0</v>
      </c>
      <c r="AA1780" s="71" t="b">
        <v>0</v>
      </c>
      <c r="AD1780" s="20">
        <v>99</v>
      </c>
      <c r="AE1780" s="20">
        <v>99</v>
      </c>
      <c r="AH1780" s="75">
        <v>0.1</v>
      </c>
      <c r="AI1780" s="75">
        <v>0.5</v>
      </c>
      <c r="AL1780" s="20">
        <v>35</v>
      </c>
      <c r="BF1780" s="20">
        <v>1</v>
      </c>
      <c r="BI1780" s="20">
        <v>1</v>
      </c>
    </row>
    <row r="1781" spans="1:61" ht="14.5">
      <c r="A1781" s="20">
        <v>30000029</v>
      </c>
      <c r="C1781" s="20">
        <v>1</v>
      </c>
      <c r="F1781" s="146" t="s">
        <v>2761</v>
      </c>
      <c r="G1781" s="81" t="str">
        <f>VLOOKUP(F1781,'#对话模型配置'!A:O,12,FALSE)</f>
        <v>TID_Name_shibing_CN_Main</v>
      </c>
      <c r="H1781" s="20" t="str">
        <f>VLOOKUP(F1781,'#对话模型配置'!A:O,14,FALSE)</f>
        <v>icon_newbie</v>
      </c>
      <c r="I1781" s="20" t="str">
        <f>VLOOKUP(F1781,'#对话模型配置'!A:O,15,FALSE)</f>
        <v>newbie_oversea_leo</v>
      </c>
      <c r="J1781" s="145" t="s">
        <v>6076</v>
      </c>
      <c r="K1781" s="203" t="s">
        <v>6077</v>
      </c>
      <c r="L1781" s="76"/>
      <c r="U1781" s="71">
        <v>3</v>
      </c>
      <c r="V1781" s="71">
        <v>0</v>
      </c>
      <c r="Y1781" s="71" t="b">
        <v>0</v>
      </c>
      <c r="AA1781" s="71" t="b">
        <v>0</v>
      </c>
      <c r="AD1781" s="20">
        <v>99</v>
      </c>
      <c r="AE1781" s="20">
        <v>99</v>
      </c>
      <c r="AH1781" s="75">
        <v>0.1</v>
      </c>
      <c r="AI1781" s="75">
        <v>0.5</v>
      </c>
      <c r="AL1781" s="20">
        <v>35</v>
      </c>
      <c r="BF1781" s="20">
        <v>1</v>
      </c>
      <c r="BI1781" s="20">
        <v>1</v>
      </c>
    </row>
    <row r="1782" spans="1:61" ht="14.5">
      <c r="A1782" s="20">
        <v>30000030</v>
      </c>
      <c r="C1782" s="20">
        <v>1</v>
      </c>
      <c r="F1782" s="146" t="s">
        <v>2761</v>
      </c>
      <c r="G1782" s="81" t="str">
        <f>VLOOKUP(F1782,'#对话模型配置'!A:O,12,FALSE)</f>
        <v>TID_Name_shibing_CN_Main</v>
      </c>
      <c r="H1782" s="20" t="str">
        <f>VLOOKUP(F1782,'#对话模型配置'!A:O,14,FALSE)</f>
        <v>icon_newbie</v>
      </c>
      <c r="I1782" s="20" t="str">
        <f>VLOOKUP(F1782,'#对话模型配置'!A:O,15,FALSE)</f>
        <v>newbie_oversea_leo</v>
      </c>
      <c r="J1782" s="145" t="s">
        <v>6078</v>
      </c>
      <c r="K1782" s="203" t="s">
        <v>6079</v>
      </c>
      <c r="L1782" s="76"/>
      <c r="U1782" s="71">
        <v>3</v>
      </c>
      <c r="V1782" s="71">
        <v>0</v>
      </c>
      <c r="Y1782" s="71" t="b">
        <v>0</v>
      </c>
      <c r="AA1782" s="71" t="b">
        <v>0</v>
      </c>
      <c r="AD1782" s="20">
        <v>99</v>
      </c>
      <c r="AE1782" s="20">
        <v>99</v>
      </c>
      <c r="AH1782" s="75">
        <v>0.1</v>
      </c>
      <c r="AI1782" s="75">
        <v>0.5</v>
      </c>
      <c r="AL1782" s="20">
        <v>35</v>
      </c>
      <c r="BF1782" s="20">
        <v>1</v>
      </c>
      <c r="BI1782" s="20">
        <v>1</v>
      </c>
    </row>
    <row r="1783" spans="1:61" ht="14.5">
      <c r="A1783" s="20">
        <v>30000031</v>
      </c>
      <c r="C1783" s="20">
        <v>1</v>
      </c>
      <c r="F1783" s="146" t="s">
        <v>6033</v>
      </c>
      <c r="G1783" s="81" t="str">
        <f>VLOOKUP(F1783,'#对话模型配置'!A:O,12,FALSE)</f>
        <v>TID_Dialogue_Character_6</v>
      </c>
      <c r="H1783" s="20" t="str">
        <f>VLOOKUP(F1783,'#对话模型配置'!A:O,14,FALSE)</f>
        <v>icon_newbie</v>
      </c>
      <c r="I1783" s="20" t="str">
        <f>VLOOKUP(F1783,'#对话模型配置'!A:O,15,FALSE)</f>
        <v>newbie_oversea_enemy</v>
      </c>
      <c r="J1783" s="145" t="s">
        <v>6080</v>
      </c>
      <c r="K1783" s="203" t="s">
        <v>6081</v>
      </c>
      <c r="L1783" s="76"/>
      <c r="U1783" s="71">
        <v>3</v>
      </c>
      <c r="V1783" s="71">
        <v>0</v>
      </c>
      <c r="Y1783" s="71" t="b">
        <v>0</v>
      </c>
      <c r="AA1783" s="71" t="b">
        <v>0</v>
      </c>
      <c r="AD1783" s="20">
        <v>99</v>
      </c>
      <c r="AE1783" s="20">
        <v>99</v>
      </c>
      <c r="AH1783" s="75">
        <v>0.1</v>
      </c>
      <c r="AI1783" s="75">
        <v>0.5</v>
      </c>
      <c r="AL1783" s="20">
        <v>35</v>
      </c>
      <c r="BF1783" s="20">
        <v>1</v>
      </c>
      <c r="BI1783" s="20">
        <v>1</v>
      </c>
    </row>
    <row r="1784" spans="1:61" ht="14.5">
      <c r="A1784" s="20">
        <v>30000032</v>
      </c>
      <c r="C1784" s="20">
        <v>1</v>
      </c>
      <c r="F1784" s="146" t="s">
        <v>6033</v>
      </c>
      <c r="G1784" s="81" t="str">
        <f>VLOOKUP(F1784,'#对话模型配置'!A:O,12,FALSE)</f>
        <v>TID_Dialogue_Character_6</v>
      </c>
      <c r="H1784" s="20" t="str">
        <f>VLOOKUP(F1784,'#对话模型配置'!A:O,14,FALSE)</f>
        <v>icon_newbie</v>
      </c>
      <c r="I1784" s="20" t="str">
        <f>VLOOKUP(F1784,'#对话模型配置'!A:O,15,FALSE)</f>
        <v>newbie_oversea_enemy</v>
      </c>
      <c r="J1784" s="145" t="s">
        <v>6082</v>
      </c>
      <c r="K1784" s="203" t="s">
        <v>6083</v>
      </c>
      <c r="L1784" s="76"/>
      <c r="U1784" s="71">
        <v>3</v>
      </c>
      <c r="V1784" s="71">
        <v>0</v>
      </c>
      <c r="Y1784" s="71" t="b">
        <v>0</v>
      </c>
      <c r="AA1784" s="71" t="b">
        <v>0</v>
      </c>
      <c r="AD1784" s="20">
        <v>99</v>
      </c>
      <c r="AE1784" s="20">
        <v>99</v>
      </c>
      <c r="AH1784" s="75">
        <v>0.1</v>
      </c>
      <c r="AI1784" s="75">
        <v>0.5</v>
      </c>
      <c r="AL1784" s="20">
        <v>35</v>
      </c>
      <c r="BF1784" s="20">
        <v>1</v>
      </c>
      <c r="BI1784" s="20">
        <v>1</v>
      </c>
    </row>
    <row r="1785" spans="1:61" s="76" customFormat="1" ht="14.5">
      <c r="A1785" s="76">
        <v>21300001</v>
      </c>
      <c r="C1785" s="76">
        <v>1</v>
      </c>
      <c r="F1785" s="179" t="s">
        <v>4722</v>
      </c>
      <c r="G1785" s="180" t="str">
        <f>VLOOKUP(F1785,'#对话模型配置'!A:O,12,FALSE)</f>
        <v>TID_DialogueConf_1060001_name_CN_Main</v>
      </c>
      <c r="H1785" s="76" t="str">
        <f>VLOOKUP(F1785,'#对话模型配置'!A:O,14,FALSE)</f>
        <v>icon_hero</v>
      </c>
      <c r="I1785" s="76" t="str">
        <f>VLOOKUP(F1785,'#对话模型配置'!A:O,15,FALSE)</f>
        <v>icon_hero_206_big</v>
      </c>
      <c r="J1785" s="182" t="s">
        <v>4552</v>
      </c>
      <c r="K1785" s="183" t="s">
        <v>4553</v>
      </c>
      <c r="U1785" s="76">
        <v>6</v>
      </c>
      <c r="V1785" s="76">
        <v>0</v>
      </c>
      <c r="Y1785" s="76" t="b">
        <v>0</v>
      </c>
      <c r="Z1785" s="76" t="s">
        <v>6084</v>
      </c>
      <c r="AA1785" s="76" t="b">
        <v>0</v>
      </c>
      <c r="AD1785" s="76">
        <v>9.7030830383300799</v>
      </c>
      <c r="AE1785" s="76">
        <f t="shared" ref="AE1785" si="121">AD1785+1</f>
        <v>10.70308303833008</v>
      </c>
      <c r="AF1785" s="76" t="s">
        <v>5840</v>
      </c>
      <c r="AH1785" s="188">
        <v>0.1</v>
      </c>
      <c r="AI1785" s="188">
        <v>0.5</v>
      </c>
      <c r="AL1785" s="76">
        <v>35</v>
      </c>
      <c r="BF1785" s="76">
        <v>0</v>
      </c>
      <c r="BI1785" s="76">
        <v>1</v>
      </c>
    </row>
    <row r="1786" spans="1:61" ht="14.5">
      <c r="A1786" s="20">
        <v>30000033</v>
      </c>
      <c r="C1786" s="20">
        <v>1</v>
      </c>
      <c r="F1786" s="146" t="s">
        <v>4008</v>
      </c>
      <c r="G1786" s="81" t="str">
        <f>VLOOKUP(F1786,'#对话模型配置'!A:O,12,FALSE)</f>
        <v>TID_Dialogue_Character_11</v>
      </c>
      <c r="H1786" s="20" t="str">
        <f>VLOOKUP(F1786,'#对话模型配置'!A:O,14,FALSE)</f>
        <v>icon_newbie</v>
      </c>
      <c r="I1786" s="20" t="str">
        <f>VLOOKUP(F1786,'#对话模型配置'!A:O,15,FALSE)</f>
        <v>newbie_oversea_andrea</v>
      </c>
      <c r="J1786" s="21" t="s">
        <v>6085</v>
      </c>
      <c r="K1786" s="203" t="s">
        <v>6086</v>
      </c>
      <c r="L1786" s="76"/>
      <c r="U1786" s="71">
        <v>1</v>
      </c>
      <c r="V1786" s="71">
        <v>0</v>
      </c>
      <c r="Y1786" s="71" t="b">
        <v>0</v>
      </c>
      <c r="Z1786" s="20" t="s">
        <v>6087</v>
      </c>
      <c r="AA1786" s="71" t="b">
        <v>0</v>
      </c>
      <c r="AD1786" s="20">
        <v>8</v>
      </c>
      <c r="AE1786" s="20">
        <v>8</v>
      </c>
      <c r="AF1786" s="76" t="s">
        <v>5840</v>
      </c>
      <c r="AH1786" s="75">
        <v>0.1</v>
      </c>
      <c r="AI1786" s="75">
        <v>0.5</v>
      </c>
      <c r="AL1786" s="20">
        <v>35</v>
      </c>
      <c r="BF1786" s="20">
        <v>0</v>
      </c>
      <c r="BI1786" s="20">
        <v>1</v>
      </c>
    </row>
    <row r="1787" spans="1:61" s="77" customFormat="1" ht="14.5">
      <c r="A1787" s="202">
        <v>40000001</v>
      </c>
      <c r="C1787" s="77">
        <v>1</v>
      </c>
      <c r="E1787" s="77" t="s">
        <v>6088</v>
      </c>
      <c r="F1787" s="77" t="s">
        <v>6089</v>
      </c>
      <c r="G1787" s="81" t="str">
        <f>VLOOKUP(F1787,'#对话模型配置'!A:O,12,FALSE)</f>
        <v>TID_HolyDawn_Relic</v>
      </c>
      <c r="H1787" s="20" t="str">
        <f>VLOOKUP(F1787,'#对话模型配置'!A:O,14,FALSE)</f>
        <v>ui_g_holywar</v>
      </c>
      <c r="I1787" s="20" t="str">
        <f>VLOOKUP(F1787,'#对话模型配置'!A:O,15,FALSE)</f>
        <v>pic_holywar_icon_38</v>
      </c>
      <c r="J1787" s="77" t="s">
        <v>6090</v>
      </c>
      <c r="K1787" s="77" t="s">
        <v>6091</v>
      </c>
      <c r="U1787" s="77">
        <v>5</v>
      </c>
      <c r="V1787" s="77">
        <v>0</v>
      </c>
      <c r="Y1787" s="77" t="b">
        <v>0</v>
      </c>
      <c r="AA1787" s="59" t="b">
        <v>0</v>
      </c>
      <c r="AD1787" s="77">
        <v>99</v>
      </c>
      <c r="AE1787" s="77">
        <v>10</v>
      </c>
      <c r="AF1787" s="77" t="s">
        <v>4284</v>
      </c>
      <c r="AG1787" s="77" t="s">
        <v>4285</v>
      </c>
      <c r="AH1787" s="77">
        <v>0.1</v>
      </c>
      <c r="AI1787" s="77">
        <v>2.2000000000000002</v>
      </c>
      <c r="AL1787" s="204">
        <v>55</v>
      </c>
      <c r="BF1787" s="77">
        <v>0</v>
      </c>
      <c r="BI1787" s="77">
        <v>1</v>
      </c>
    </row>
  </sheetData>
  <phoneticPr fontId="40" type="noConversion"/>
  <dataValidations count="1">
    <dataValidation showInputMessage="1" showErrorMessage="1" error="只能输入数字" sqref="AC3 AC7 Z4:AA6 Z2:AB3" xr:uid="{00000000-0002-0000-0000-000000000000}"/>
  </dataValidation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A18" sqref="A18"/>
    </sheetView>
  </sheetViews>
  <sheetFormatPr defaultColWidth="9" defaultRowHeight="14"/>
  <cols>
    <col min="1" max="1" width="44.08203125" style="1" customWidth="1"/>
    <col min="2" max="2" width="31" style="1" customWidth="1"/>
    <col min="3" max="3" width="19.33203125" style="1" customWidth="1"/>
    <col min="4" max="4" width="29" style="1" customWidth="1"/>
    <col min="5" max="5" width="63.25" style="1" customWidth="1"/>
    <col min="6" max="6" width="37.08203125" style="1" customWidth="1"/>
  </cols>
  <sheetData>
    <row r="1" spans="1:6">
      <c r="A1" s="33" t="s">
        <v>6092</v>
      </c>
      <c r="B1" s="33"/>
      <c r="C1" s="34"/>
    </row>
    <row r="2" spans="1:6" ht="16.5" customHeight="1">
      <c r="A2" s="35" t="s">
        <v>6093</v>
      </c>
      <c r="B2" s="35" t="s">
        <v>6094</v>
      </c>
      <c r="C2" s="35" t="s">
        <v>6095</v>
      </c>
      <c r="D2" s="36" t="s">
        <v>6096</v>
      </c>
      <c r="E2" s="36" t="s">
        <v>6097</v>
      </c>
      <c r="F2" s="36" t="s">
        <v>25</v>
      </c>
    </row>
    <row r="3" spans="1:6" ht="16.5" customHeight="1">
      <c r="A3" s="37" t="s">
        <v>6098</v>
      </c>
      <c r="B3" s="37"/>
      <c r="C3" s="37" t="s">
        <v>62</v>
      </c>
      <c r="D3" s="38" t="s">
        <v>6099</v>
      </c>
      <c r="E3" s="38" t="s">
        <v>66</v>
      </c>
      <c r="F3" s="38" t="s">
        <v>81</v>
      </c>
    </row>
    <row r="4" spans="1:6" ht="49.5" customHeight="1">
      <c r="A4" s="39">
        <v>1</v>
      </c>
      <c r="B4" s="39"/>
      <c r="C4" s="39">
        <v>1</v>
      </c>
      <c r="D4" s="40"/>
      <c r="E4" s="41" t="s">
        <v>6100</v>
      </c>
      <c r="F4" s="42"/>
    </row>
    <row r="5" spans="1:6" ht="66" customHeight="1">
      <c r="A5" s="39">
        <v>1</v>
      </c>
      <c r="B5" s="39"/>
      <c r="C5" s="39">
        <v>2</v>
      </c>
      <c r="D5" s="40"/>
      <c r="E5" s="41" t="s">
        <v>6101</v>
      </c>
      <c r="F5" s="42"/>
    </row>
    <row r="6" spans="1:6" ht="49.5" customHeight="1">
      <c r="A6" s="39">
        <v>1</v>
      </c>
      <c r="B6" s="39"/>
      <c r="C6" s="39">
        <v>3</v>
      </c>
      <c r="D6" s="40"/>
      <c r="E6" s="41" t="s">
        <v>6102</v>
      </c>
      <c r="F6" s="42"/>
    </row>
    <row r="7" spans="1:6" ht="28" customHeight="1">
      <c r="A7" s="39">
        <v>2</v>
      </c>
      <c r="B7" s="39"/>
      <c r="C7" s="39">
        <v>1</v>
      </c>
      <c r="D7" s="43"/>
      <c r="E7" s="44" t="s">
        <v>6103</v>
      </c>
      <c r="F7" s="43"/>
    </row>
    <row r="8" spans="1:6" ht="66" customHeight="1">
      <c r="A8" s="39">
        <v>2</v>
      </c>
      <c r="B8" s="39"/>
      <c r="C8" s="39">
        <v>2</v>
      </c>
      <c r="D8" s="40"/>
      <c r="E8" s="41" t="s">
        <v>6104</v>
      </c>
      <c r="F8" s="43"/>
    </row>
  </sheetData>
  <phoneticPr fontId="40" type="noConversion"/>
  <dataValidations count="1">
    <dataValidation showInputMessage="1" showErrorMessage="1" error="只能输入数字" sqref="F2:F6" xr:uid="{00000000-0002-0000-0100-000000000000}"/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workbookViewId="0">
      <selection activeCell="B3" sqref="B3:B33"/>
    </sheetView>
  </sheetViews>
  <sheetFormatPr defaultColWidth="9" defaultRowHeight="14"/>
  <cols>
    <col min="1" max="1" width="7" style="1" customWidth="1"/>
    <col min="2" max="2" width="67.33203125" style="1" customWidth="1"/>
    <col min="3" max="3" width="14.25" style="1" customWidth="1"/>
  </cols>
  <sheetData>
    <row r="1" spans="1:8" ht="16.5" customHeight="1">
      <c r="A1" s="28" t="s">
        <v>6105</v>
      </c>
      <c r="B1" s="28" t="s">
        <v>6106</v>
      </c>
      <c r="C1" s="28" t="s">
        <v>6107</v>
      </c>
      <c r="H1" s="28"/>
    </row>
    <row r="2" spans="1:8" ht="16.5" customHeight="1">
      <c r="A2" s="29" t="s">
        <v>6108</v>
      </c>
      <c r="B2" s="29" t="s">
        <v>6109</v>
      </c>
      <c r="C2" s="29" t="s">
        <v>6110</v>
      </c>
      <c r="H2" s="29"/>
    </row>
    <row r="3" spans="1:8" ht="16.5" customHeight="1">
      <c r="A3" s="30">
        <v>1</v>
      </c>
      <c r="B3" s="30" t="s">
        <v>6111</v>
      </c>
      <c r="C3" s="30" t="s">
        <v>6112</v>
      </c>
      <c r="D3" t="s">
        <v>6113</v>
      </c>
      <c r="E3" t="s">
        <v>6114</v>
      </c>
      <c r="F3" t="s">
        <v>6115</v>
      </c>
      <c r="H3" s="30"/>
    </row>
    <row r="4" spans="1:8" ht="16.5" customHeight="1">
      <c r="A4" s="30">
        <v>2</v>
      </c>
      <c r="B4" s="30" t="s">
        <v>6116</v>
      </c>
      <c r="C4" s="30" t="s">
        <v>6117</v>
      </c>
      <c r="D4" t="s">
        <v>6118</v>
      </c>
      <c r="E4" t="s">
        <v>6119</v>
      </c>
      <c r="F4" t="s">
        <v>6120</v>
      </c>
      <c r="H4" s="30"/>
    </row>
    <row r="5" spans="1:8" ht="16.5" customHeight="1">
      <c r="A5" s="30">
        <v>3</v>
      </c>
      <c r="B5" s="30" t="s">
        <v>6121</v>
      </c>
      <c r="C5" s="30" t="s">
        <v>6112</v>
      </c>
      <c r="D5" t="s">
        <v>6113</v>
      </c>
      <c r="E5" t="s">
        <v>6122</v>
      </c>
      <c r="F5" t="s">
        <v>6123</v>
      </c>
      <c r="H5" s="30"/>
    </row>
    <row r="6" spans="1:8" ht="16.5" customHeight="1">
      <c r="A6" s="30">
        <v>4</v>
      </c>
      <c r="B6" s="30" t="s">
        <v>6124</v>
      </c>
      <c r="C6" s="30" t="s">
        <v>6125</v>
      </c>
      <c r="D6" t="s">
        <v>6126</v>
      </c>
      <c r="E6" t="s">
        <v>6127</v>
      </c>
      <c r="F6" t="s">
        <v>6128</v>
      </c>
      <c r="H6" s="30"/>
    </row>
    <row r="7" spans="1:8" ht="16.5" customHeight="1">
      <c r="A7" s="30">
        <v>5</v>
      </c>
      <c r="B7" s="30" t="s">
        <v>6129</v>
      </c>
      <c r="C7" s="30" t="s">
        <v>6125</v>
      </c>
      <c r="H7" s="30"/>
    </row>
    <row r="8" spans="1:8" ht="16.5" customHeight="1">
      <c r="A8" s="30">
        <v>6</v>
      </c>
      <c r="B8" s="30" t="s">
        <v>6130</v>
      </c>
      <c r="C8" s="30" t="s">
        <v>6125</v>
      </c>
      <c r="H8" s="30"/>
    </row>
    <row r="9" spans="1:8" ht="16.5" customHeight="1">
      <c r="A9" s="30">
        <v>7</v>
      </c>
      <c r="B9" s="30" t="s">
        <v>6131</v>
      </c>
      <c r="C9" s="30" t="s">
        <v>6125</v>
      </c>
      <c r="D9" t="s">
        <v>6132</v>
      </c>
      <c r="E9" t="s">
        <v>6133</v>
      </c>
      <c r="F9" t="s">
        <v>6134</v>
      </c>
      <c r="H9" s="30"/>
    </row>
    <row r="10" spans="1:8" ht="16.5" customHeight="1">
      <c r="A10" s="30">
        <v>8</v>
      </c>
      <c r="B10" s="30" t="s">
        <v>6135</v>
      </c>
      <c r="C10" s="30" t="s">
        <v>6125</v>
      </c>
      <c r="D10" t="s">
        <v>6132</v>
      </c>
      <c r="E10" t="s">
        <v>6136</v>
      </c>
      <c r="H10" s="30"/>
    </row>
    <row r="11" spans="1:8" ht="16.5" customHeight="1">
      <c r="A11" s="30">
        <v>9</v>
      </c>
      <c r="B11" s="30" t="s">
        <v>6137</v>
      </c>
      <c r="C11" s="30" t="s">
        <v>6138</v>
      </c>
      <c r="D11" t="s">
        <v>6139</v>
      </c>
      <c r="H11" s="30"/>
    </row>
    <row r="12" spans="1:8" ht="16.5" customHeight="1">
      <c r="A12" s="30">
        <v>10</v>
      </c>
      <c r="B12" s="30" t="s">
        <v>6140</v>
      </c>
      <c r="C12" s="30"/>
      <c r="H12" s="30"/>
    </row>
    <row r="13" spans="1:8" ht="16.5" customHeight="1">
      <c r="A13" s="30">
        <v>11</v>
      </c>
      <c r="B13" s="30" t="s">
        <v>6141</v>
      </c>
      <c r="C13" s="30"/>
      <c r="H13" s="30"/>
    </row>
    <row r="14" spans="1:8" ht="16.5" customHeight="1">
      <c r="A14" s="30">
        <v>12</v>
      </c>
      <c r="B14" s="30" t="s">
        <v>6142</v>
      </c>
      <c r="C14" s="30" t="s">
        <v>121</v>
      </c>
      <c r="D14" t="s">
        <v>6143</v>
      </c>
      <c r="E14" t="s">
        <v>6144</v>
      </c>
      <c r="H14" s="31" t="s">
        <v>6145</v>
      </c>
    </row>
    <row r="15" spans="1:8" ht="16.5" customHeight="1">
      <c r="A15" s="30">
        <v>13</v>
      </c>
      <c r="B15" s="30" t="s">
        <v>6146</v>
      </c>
      <c r="C15" s="30" t="s">
        <v>121</v>
      </c>
      <c r="D15" t="s">
        <v>6143</v>
      </c>
      <c r="E15" t="s">
        <v>6144</v>
      </c>
      <c r="H15" s="31" t="s">
        <v>6147</v>
      </c>
    </row>
    <row r="16" spans="1:8" ht="16.5" customHeight="1">
      <c r="A16" s="30">
        <v>14</v>
      </c>
      <c r="B16" s="30" t="s">
        <v>6148</v>
      </c>
      <c r="C16" s="30" t="s">
        <v>121</v>
      </c>
      <c r="D16" t="s">
        <v>6143</v>
      </c>
      <c r="E16" t="s">
        <v>6144</v>
      </c>
      <c r="H16" s="31" t="s">
        <v>6149</v>
      </c>
    </row>
    <row r="17" spans="1:8" ht="16.5" customHeight="1">
      <c r="A17" s="30">
        <v>15</v>
      </c>
      <c r="B17" s="30" t="s">
        <v>6150</v>
      </c>
      <c r="C17" s="30" t="s">
        <v>6125</v>
      </c>
      <c r="H17" s="30" t="s">
        <v>6151</v>
      </c>
    </row>
    <row r="18" spans="1:8" ht="16.5" customHeight="1">
      <c r="A18" s="30">
        <v>16</v>
      </c>
      <c r="B18" s="30" t="s">
        <v>6152</v>
      </c>
      <c r="C18" s="30" t="s">
        <v>6125</v>
      </c>
      <c r="H18" s="30" t="s">
        <v>6153</v>
      </c>
    </row>
    <row r="19" spans="1:8" ht="16.5" customHeight="1">
      <c r="A19" s="30">
        <v>17</v>
      </c>
      <c r="B19" s="30" t="s">
        <v>6154</v>
      </c>
      <c r="C19" s="30" t="s">
        <v>117</v>
      </c>
      <c r="H19" s="30" t="s">
        <v>6155</v>
      </c>
    </row>
    <row r="20" spans="1:8" ht="16.5" customHeight="1">
      <c r="A20" s="30">
        <v>18</v>
      </c>
      <c r="B20" s="30" t="s">
        <v>6156</v>
      </c>
      <c r="C20" s="30" t="s">
        <v>117</v>
      </c>
      <c r="H20" s="30" t="s">
        <v>6157</v>
      </c>
    </row>
    <row r="21" spans="1:8" ht="16.5" customHeight="1">
      <c r="A21" s="30">
        <v>19</v>
      </c>
      <c r="B21" s="30" t="s">
        <v>6158</v>
      </c>
      <c r="C21" s="30" t="s">
        <v>6125</v>
      </c>
      <c r="H21" s="31" t="s">
        <v>6159</v>
      </c>
    </row>
    <row r="22" spans="1:8" ht="16.5" customHeight="1">
      <c r="A22" s="30">
        <v>20</v>
      </c>
      <c r="B22" s="30" t="s">
        <v>6160</v>
      </c>
      <c r="C22" s="30" t="s">
        <v>127</v>
      </c>
      <c r="H22" s="31" t="s">
        <v>6161</v>
      </c>
    </row>
    <row r="23" spans="1:8" ht="16.5" customHeight="1">
      <c r="A23" s="30">
        <v>21</v>
      </c>
      <c r="B23" s="30" t="s">
        <v>6160</v>
      </c>
      <c r="C23" s="30" t="s">
        <v>127</v>
      </c>
      <c r="H23" s="31" t="s">
        <v>6161</v>
      </c>
    </row>
    <row r="24" spans="1:8" ht="16.5" customHeight="1">
      <c r="A24" s="30">
        <v>22</v>
      </c>
      <c r="B24" s="30" t="s">
        <v>6162</v>
      </c>
      <c r="C24" s="30" t="s">
        <v>6125</v>
      </c>
      <c r="H24" s="30" t="s">
        <v>6163</v>
      </c>
    </row>
    <row r="25" spans="1:8" ht="16.5" customHeight="1">
      <c r="A25" s="30">
        <v>23</v>
      </c>
      <c r="B25" s="30" t="s">
        <v>6164</v>
      </c>
      <c r="C25" s="30" t="s">
        <v>117</v>
      </c>
      <c r="H25" s="31" t="s">
        <v>6165</v>
      </c>
    </row>
    <row r="26" spans="1:8" ht="16.5" customHeight="1">
      <c r="A26" s="30">
        <v>24</v>
      </c>
      <c r="B26" s="30" t="s">
        <v>6166</v>
      </c>
      <c r="C26" s="30" t="s">
        <v>127</v>
      </c>
      <c r="H26" s="31" t="s">
        <v>6167</v>
      </c>
    </row>
    <row r="27" spans="1:8" ht="16.5" customHeight="1">
      <c r="A27" s="30">
        <v>25</v>
      </c>
      <c r="B27" s="30" t="s">
        <v>6168</v>
      </c>
      <c r="C27" s="30" t="s">
        <v>117</v>
      </c>
      <c r="H27" s="31" t="s">
        <v>6169</v>
      </c>
    </row>
    <row r="28" spans="1:8" ht="16.5" customHeight="1">
      <c r="A28" s="30">
        <v>26</v>
      </c>
      <c r="B28" s="30" t="s">
        <v>6170</v>
      </c>
      <c r="C28" s="30" t="s">
        <v>121</v>
      </c>
      <c r="D28" t="s">
        <v>6143</v>
      </c>
      <c r="E28" t="s">
        <v>6144</v>
      </c>
      <c r="H28" s="31" t="s">
        <v>1149</v>
      </c>
    </row>
    <row r="29" spans="1:8" ht="16.5" customHeight="1">
      <c r="A29" s="30">
        <v>27</v>
      </c>
      <c r="B29" s="30" t="s">
        <v>6171</v>
      </c>
      <c r="C29" s="30" t="s">
        <v>121</v>
      </c>
      <c r="H29" s="31" t="s">
        <v>6172</v>
      </c>
    </row>
    <row r="30" spans="1:8" ht="16.5" customHeight="1">
      <c r="A30" s="30">
        <v>28</v>
      </c>
      <c r="B30" s="30" t="s">
        <v>6173</v>
      </c>
      <c r="C30" s="30" t="s">
        <v>121</v>
      </c>
      <c r="D30" t="s">
        <v>6143</v>
      </c>
      <c r="E30" t="s">
        <v>6144</v>
      </c>
      <c r="H30" s="32" t="s">
        <v>6149</v>
      </c>
    </row>
    <row r="31" spans="1:8" ht="16.5" customHeight="1">
      <c r="A31" s="30">
        <v>29</v>
      </c>
      <c r="B31" s="30" t="s">
        <v>6174</v>
      </c>
      <c r="C31" s="30" t="s">
        <v>121</v>
      </c>
      <c r="H31" s="32" t="s">
        <v>6172</v>
      </c>
    </row>
    <row r="32" spans="1:8" ht="16.5" customHeight="1">
      <c r="A32" s="30">
        <v>30</v>
      </c>
      <c r="B32" s="30" t="s">
        <v>6175</v>
      </c>
      <c r="C32" s="30" t="s">
        <v>127</v>
      </c>
      <c r="H32" s="32" t="s">
        <v>6176</v>
      </c>
    </row>
    <row r="33" spans="1:8" ht="16.5" customHeight="1">
      <c r="A33" s="30">
        <v>31</v>
      </c>
      <c r="B33" s="30" t="s">
        <v>6177</v>
      </c>
      <c r="C33" s="30" t="s">
        <v>127</v>
      </c>
      <c r="H33" s="32" t="s">
        <v>6178</v>
      </c>
    </row>
  </sheetData>
  <phoneticPr fontId="40" type="noConversion"/>
  <conditionalFormatting sqref="B22">
    <cfRule type="duplicateValues" dxfId="11" priority="11"/>
    <cfRule type="duplicateValues" dxfId="10" priority="12"/>
  </conditionalFormatting>
  <conditionalFormatting sqref="B23">
    <cfRule type="duplicateValues" dxfId="9" priority="5"/>
    <cfRule type="duplicateValues" dxfId="8" priority="6"/>
  </conditionalFormatting>
  <conditionalFormatting sqref="B24">
    <cfRule type="duplicateValues" dxfId="7" priority="9"/>
    <cfRule type="duplicateValues" dxfId="6" priority="10"/>
  </conditionalFormatting>
  <conditionalFormatting sqref="B25">
    <cfRule type="duplicateValues" dxfId="5" priority="7"/>
    <cfRule type="duplicateValues" dxfId="4" priority="8"/>
  </conditionalFormatting>
  <conditionalFormatting sqref="B32">
    <cfRule type="duplicateValues" dxfId="3" priority="3"/>
    <cfRule type="duplicateValues" dxfId="2" priority="4"/>
  </conditionalFormatting>
  <conditionalFormatting sqref="B33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J2:L10"/>
  <sheetViews>
    <sheetView workbookViewId="0">
      <selection activeCell="H59" sqref="H59"/>
    </sheetView>
  </sheetViews>
  <sheetFormatPr defaultColWidth="9" defaultRowHeight="14"/>
  <cols>
    <col min="10" max="10" width="15.75" style="1" customWidth="1"/>
    <col min="11" max="11" width="16.25" style="1" customWidth="1"/>
  </cols>
  <sheetData>
    <row r="2" spans="10:12">
      <c r="J2" s="1" t="s">
        <v>6179</v>
      </c>
      <c r="K2" s="1" t="str">
        <f t="shared" ref="K2:K10" si="0">"frame_s_xsdh_00"&amp;L2</f>
        <v>frame_s_xsdh_001</v>
      </c>
      <c r="L2">
        <v>1</v>
      </c>
    </row>
    <row r="3" spans="10:12">
      <c r="J3" s="1" t="s">
        <v>6180</v>
      </c>
      <c r="K3" s="1" t="str">
        <f t="shared" si="0"/>
        <v>frame_s_xsdh_005</v>
      </c>
      <c r="L3">
        <v>5</v>
      </c>
    </row>
    <row r="4" spans="10:12">
      <c r="J4" s="1" t="s">
        <v>6181</v>
      </c>
      <c r="K4" s="1" t="str">
        <f t="shared" si="0"/>
        <v>frame_s_xsdh_003</v>
      </c>
      <c r="L4">
        <v>3</v>
      </c>
    </row>
    <row r="5" spans="10:12">
      <c r="J5" s="1" t="s">
        <v>6182</v>
      </c>
      <c r="K5" s="1" t="str">
        <f t="shared" si="0"/>
        <v>frame_s_xsdh_006</v>
      </c>
      <c r="L5">
        <v>6</v>
      </c>
    </row>
    <row r="6" spans="10:12">
      <c r="J6" s="1" t="s">
        <v>6183</v>
      </c>
      <c r="K6" s="1" t="str">
        <f t="shared" si="0"/>
        <v>frame_s_xsdh_005</v>
      </c>
      <c r="L6">
        <v>5</v>
      </c>
    </row>
    <row r="7" spans="10:12">
      <c r="J7" s="1" t="s">
        <v>6184</v>
      </c>
      <c r="K7" s="1" t="str">
        <f t="shared" si="0"/>
        <v>frame_s_xsdh_005</v>
      </c>
      <c r="L7">
        <v>5</v>
      </c>
    </row>
    <row r="8" spans="10:12">
      <c r="J8" s="1" t="s">
        <v>6185</v>
      </c>
      <c r="K8" s="1" t="str">
        <f t="shared" si="0"/>
        <v>frame_s_xsdh_002</v>
      </c>
      <c r="L8">
        <v>2</v>
      </c>
    </row>
    <row r="9" spans="10:12">
      <c r="J9" s="1" t="s">
        <v>6186</v>
      </c>
      <c r="K9" s="1" t="str">
        <f t="shared" si="0"/>
        <v>frame_s_xsdh_002</v>
      </c>
      <c r="L9">
        <v>2</v>
      </c>
    </row>
    <row r="10" spans="10:12">
      <c r="J10" s="1" t="s">
        <v>6187</v>
      </c>
      <c r="K10" s="1" t="str">
        <f t="shared" si="0"/>
        <v>frame_s_xsdh_005</v>
      </c>
      <c r="L10">
        <v>5</v>
      </c>
    </row>
  </sheetData>
  <phoneticPr fontId="4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5"/>
  <sheetViews>
    <sheetView topLeftCell="A25" workbookViewId="0">
      <selection activeCell="A46" sqref="A46"/>
    </sheetView>
  </sheetViews>
  <sheetFormatPr defaultColWidth="9" defaultRowHeight="16.5"/>
  <cols>
    <col min="1" max="17" width="9" style="27" customWidth="1"/>
    <col min="18" max="16384" width="9" style="27"/>
  </cols>
  <sheetData>
    <row r="1" spans="1:2">
      <c r="A1" s="27" t="s">
        <v>6188</v>
      </c>
      <c r="B1" s="27" t="s">
        <v>6189</v>
      </c>
    </row>
    <row r="2" spans="1:2">
      <c r="A2" s="27" t="s">
        <v>6190</v>
      </c>
      <c r="B2" s="27" t="s">
        <v>6191</v>
      </c>
    </row>
    <row r="3" spans="1:2">
      <c r="A3" s="27" t="s">
        <v>6192</v>
      </c>
      <c r="B3" s="27" t="s">
        <v>6193</v>
      </c>
    </row>
    <row r="4" spans="1:2">
      <c r="A4" s="27" t="s">
        <v>6194</v>
      </c>
      <c r="B4" s="27" t="s">
        <v>6195</v>
      </c>
    </row>
    <row r="5" spans="1:2">
      <c r="A5" s="27" t="s">
        <v>6179</v>
      </c>
      <c r="B5" s="27" t="s">
        <v>6196</v>
      </c>
    </row>
    <row r="6" spans="1:2">
      <c r="A6" s="27" t="s">
        <v>6180</v>
      </c>
      <c r="B6" s="27" t="s">
        <v>6197</v>
      </c>
    </row>
    <row r="7" spans="1:2">
      <c r="A7" s="27" t="s">
        <v>6181</v>
      </c>
      <c r="B7" s="27" t="s">
        <v>6198</v>
      </c>
    </row>
    <row r="8" spans="1:2">
      <c r="A8" s="27" t="s">
        <v>6182</v>
      </c>
      <c r="B8" s="27" t="s">
        <v>6199</v>
      </c>
    </row>
    <row r="9" spans="1:2">
      <c r="A9" s="27" t="s">
        <v>6183</v>
      </c>
      <c r="B9" s="27" t="s">
        <v>6200</v>
      </c>
    </row>
    <row r="10" spans="1:2">
      <c r="A10" s="27" t="s">
        <v>6184</v>
      </c>
      <c r="B10" s="27" t="s">
        <v>6201</v>
      </c>
    </row>
    <row r="11" spans="1:2">
      <c r="A11" s="27" t="s">
        <v>6185</v>
      </c>
      <c r="B11" s="27" t="s">
        <v>6202</v>
      </c>
    </row>
    <row r="12" spans="1:2">
      <c r="A12" s="27" t="s">
        <v>6186</v>
      </c>
      <c r="B12" s="27" t="s">
        <v>6203</v>
      </c>
    </row>
    <row r="13" spans="1:2">
      <c r="A13" s="27" t="s">
        <v>6187</v>
      </c>
      <c r="B13" s="27" t="s">
        <v>6204</v>
      </c>
    </row>
    <row r="14" spans="1:2">
      <c r="A14" s="27" t="s">
        <v>6205</v>
      </c>
      <c r="B14" s="27" t="s">
        <v>6196</v>
      </c>
    </row>
    <row r="15" spans="1:2">
      <c r="A15" s="27" t="s">
        <v>6206</v>
      </c>
      <c r="B15" s="27" t="s">
        <v>6207</v>
      </c>
    </row>
    <row r="16" spans="1:2">
      <c r="A16" s="27" t="s">
        <v>6208</v>
      </c>
      <c r="B16" s="27" t="s">
        <v>6209</v>
      </c>
    </row>
    <row r="17" spans="1:2">
      <c r="A17" s="27" t="s">
        <v>6210</v>
      </c>
      <c r="B17" s="27" t="s">
        <v>6211</v>
      </c>
    </row>
    <row r="18" spans="1:2">
      <c r="A18" s="27" t="s">
        <v>6212</v>
      </c>
      <c r="B18" s="27" t="s">
        <v>6213</v>
      </c>
    </row>
    <row r="19" spans="1:2">
      <c r="A19" s="27" t="s">
        <v>6214</v>
      </c>
      <c r="B19" s="27" t="s">
        <v>6215</v>
      </c>
    </row>
    <row r="20" spans="1:2">
      <c r="A20" s="27" t="s">
        <v>6216</v>
      </c>
      <c r="B20" s="27" t="s">
        <v>6217</v>
      </c>
    </row>
    <row r="21" spans="1:2">
      <c r="A21" s="27" t="s">
        <v>6218</v>
      </c>
      <c r="B21" s="27" t="s">
        <v>6219</v>
      </c>
    </row>
    <row r="22" spans="1:2">
      <c r="A22" s="27" t="s">
        <v>6220</v>
      </c>
      <c r="B22" s="27" t="s">
        <v>6221</v>
      </c>
    </row>
    <row r="23" spans="1:2">
      <c r="A23" s="27" t="s">
        <v>6222</v>
      </c>
      <c r="B23" s="27" t="s">
        <v>6223</v>
      </c>
    </row>
    <row r="24" spans="1:2">
      <c r="A24" s="27" t="s">
        <v>6224</v>
      </c>
      <c r="B24" s="27" t="s">
        <v>6225</v>
      </c>
    </row>
    <row r="25" spans="1:2">
      <c r="A25" s="27" t="s">
        <v>6226</v>
      </c>
      <c r="B25" s="27" t="s">
        <v>6227</v>
      </c>
    </row>
    <row r="26" spans="1:2">
      <c r="A26" s="27" t="s">
        <v>6228</v>
      </c>
      <c r="B26" s="27" t="s">
        <v>6229</v>
      </c>
    </row>
    <row r="27" spans="1:2">
      <c r="A27" s="27" t="s">
        <v>6230</v>
      </c>
      <c r="B27" s="27" t="s">
        <v>6231</v>
      </c>
    </row>
    <row r="28" spans="1:2">
      <c r="A28" s="27" t="s">
        <v>6232</v>
      </c>
      <c r="B28" s="27" t="s">
        <v>6233</v>
      </c>
    </row>
    <row r="29" spans="1:2">
      <c r="A29" s="27" t="s">
        <v>6234</v>
      </c>
      <c r="B29" s="27" t="s">
        <v>6235</v>
      </c>
    </row>
    <row r="30" spans="1:2">
      <c r="A30" s="27" t="s">
        <v>6236</v>
      </c>
      <c r="B30" s="27" t="s">
        <v>6237</v>
      </c>
    </row>
    <row r="31" spans="1:2">
      <c r="A31" s="27" t="s">
        <v>6238</v>
      </c>
      <c r="B31" s="27" t="s">
        <v>6239</v>
      </c>
    </row>
    <row r="32" spans="1:2">
      <c r="A32" s="27" t="s">
        <v>6240</v>
      </c>
      <c r="B32" s="27" t="s">
        <v>6241</v>
      </c>
    </row>
    <row r="33" spans="1:2">
      <c r="A33" s="27" t="s">
        <v>6242</v>
      </c>
      <c r="B33" s="27" t="s">
        <v>6243</v>
      </c>
    </row>
    <row r="34" spans="1:2">
      <c r="A34" s="27" t="s">
        <v>6244</v>
      </c>
      <c r="B34" s="27" t="s">
        <v>6245</v>
      </c>
    </row>
    <row r="35" spans="1:2">
      <c r="A35" s="27" t="s">
        <v>6246</v>
      </c>
      <c r="B35" s="27" t="s">
        <v>6247</v>
      </c>
    </row>
    <row r="36" spans="1:2">
      <c r="A36" s="27" t="s">
        <v>6248</v>
      </c>
      <c r="B36" s="27" t="s">
        <v>6249</v>
      </c>
    </row>
    <row r="37" spans="1:2">
      <c r="A37" s="27" t="s">
        <v>6250</v>
      </c>
      <c r="B37" s="27" t="s">
        <v>6251</v>
      </c>
    </row>
    <row r="38" spans="1:2">
      <c r="A38" s="27" t="s">
        <v>6252</v>
      </c>
      <c r="B38" s="27" t="s">
        <v>6253</v>
      </c>
    </row>
    <row r="39" spans="1:2">
      <c r="A39" s="27" t="s">
        <v>6254</v>
      </c>
      <c r="B39" s="27" t="s">
        <v>6255</v>
      </c>
    </row>
    <row r="40" spans="1:2">
      <c r="A40" s="27" t="s">
        <v>6256</v>
      </c>
      <c r="B40" s="27" t="s">
        <v>6257</v>
      </c>
    </row>
    <row r="41" spans="1:2">
      <c r="A41" s="27" t="s">
        <v>6258</v>
      </c>
      <c r="B41" s="27" t="s">
        <v>6259</v>
      </c>
    </row>
    <row r="42" spans="1:2">
      <c r="A42" s="27" t="s">
        <v>6260</v>
      </c>
      <c r="B42" s="27" t="s">
        <v>6261</v>
      </c>
    </row>
    <row r="43" spans="1:2">
      <c r="A43" s="27" t="s">
        <v>6262</v>
      </c>
      <c r="B43" s="27" t="s">
        <v>6263</v>
      </c>
    </row>
    <row r="44" spans="1:2">
      <c r="A44" s="27" t="s">
        <v>6264</v>
      </c>
      <c r="B44" s="27" t="s">
        <v>6265</v>
      </c>
    </row>
    <row r="45" spans="1:2">
      <c r="A45" s="27" t="s">
        <v>6266</v>
      </c>
      <c r="B45" s="27" t="s">
        <v>6267</v>
      </c>
    </row>
  </sheetData>
  <autoFilter ref="A1:A45" xr:uid="{00000000-0009-0000-0000-000004000000}"/>
  <phoneticPr fontId="4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53"/>
  <sheetViews>
    <sheetView zoomScale="115" zoomScaleNormal="115" workbookViewId="0">
      <pane xSplit="1" ySplit="2" topLeftCell="I15" activePane="bottomRight" state="frozenSplit"/>
      <selection pane="topRight"/>
      <selection pane="bottomLeft"/>
      <selection pane="bottomRight" activeCell="A53" sqref="A53:XFD53"/>
    </sheetView>
  </sheetViews>
  <sheetFormatPr defaultColWidth="9" defaultRowHeight="16.5"/>
  <cols>
    <col min="1" max="2" width="18" style="7" customWidth="1"/>
    <col min="3" max="3" width="19.33203125" style="7" customWidth="1"/>
    <col min="4" max="4" width="19.08203125" style="7" customWidth="1"/>
    <col min="5" max="5" width="17.33203125" style="7" customWidth="1"/>
    <col min="6" max="6" width="22.58203125" style="7" customWidth="1"/>
    <col min="7" max="7" width="25.58203125" style="7" customWidth="1"/>
    <col min="8" max="8" width="13" style="7" customWidth="1"/>
    <col min="9" max="9" width="45.08203125" style="7" customWidth="1"/>
    <col min="10" max="11" width="12.75" style="7" customWidth="1"/>
    <col min="12" max="12" width="34.75" style="7" customWidth="1"/>
    <col min="13" max="15" width="24.33203125" style="7" customWidth="1"/>
    <col min="16" max="16" width="36.08203125" style="7" customWidth="1"/>
    <col min="17" max="17" width="9" style="7" customWidth="1"/>
    <col min="18" max="18" width="11.25" style="7" customWidth="1"/>
    <col min="19" max="19" width="16.33203125" style="7" customWidth="1"/>
    <col min="20" max="21" width="21.33203125" style="7" customWidth="1"/>
    <col min="22" max="38" width="9" style="7" customWidth="1"/>
    <col min="39" max="16384" width="9" style="7"/>
  </cols>
  <sheetData>
    <row r="1" spans="1:23" s="2" customFormat="1">
      <c r="A1" s="8" t="s">
        <v>5</v>
      </c>
      <c r="B1" s="8" t="s">
        <v>6268</v>
      </c>
      <c r="C1" s="8" t="s">
        <v>6097</v>
      </c>
      <c r="D1" s="8" t="s">
        <v>24</v>
      </c>
      <c r="E1" s="8" t="s">
        <v>25</v>
      </c>
      <c r="F1" s="8" t="s">
        <v>27</v>
      </c>
      <c r="G1" s="8" t="s">
        <v>28</v>
      </c>
      <c r="H1" s="8" t="s">
        <v>30</v>
      </c>
      <c r="I1" s="8" t="s">
        <v>38</v>
      </c>
      <c r="J1" s="8" t="s">
        <v>39</v>
      </c>
      <c r="K1" s="8" t="s">
        <v>40</v>
      </c>
      <c r="L1" s="8" t="s">
        <v>6269</v>
      </c>
      <c r="M1" s="8" t="s">
        <v>7</v>
      </c>
      <c r="N1" s="8" t="s">
        <v>6270</v>
      </c>
      <c r="O1" s="8" t="s">
        <v>6271</v>
      </c>
      <c r="P1" s="8" t="s">
        <v>8</v>
      </c>
      <c r="Q1" s="8" t="s">
        <v>6272</v>
      </c>
      <c r="R1" s="8" t="s">
        <v>45</v>
      </c>
      <c r="S1" s="8" t="s">
        <v>6273</v>
      </c>
      <c r="T1" s="8" t="s">
        <v>48</v>
      </c>
      <c r="U1" s="8" t="s">
        <v>49</v>
      </c>
      <c r="V1" s="8" t="s">
        <v>50</v>
      </c>
      <c r="W1" s="8" t="s">
        <v>51</v>
      </c>
    </row>
    <row r="2" spans="1:23" s="3" customFormat="1">
      <c r="A2" s="9" t="s">
        <v>63</v>
      </c>
      <c r="B2" s="9"/>
      <c r="C2" s="9" t="s">
        <v>66</v>
      </c>
      <c r="D2" s="9" t="s">
        <v>80</v>
      </c>
      <c r="E2" s="9" t="s">
        <v>81</v>
      </c>
      <c r="F2" s="9" t="s">
        <v>83</v>
      </c>
      <c r="G2" s="9"/>
      <c r="H2" s="9" t="s">
        <v>86</v>
      </c>
      <c r="I2" s="9" t="s">
        <v>94</v>
      </c>
      <c r="J2" s="9" t="s">
        <v>95</v>
      </c>
      <c r="K2" s="9" t="s">
        <v>96</v>
      </c>
      <c r="L2" s="9" t="s">
        <v>99</v>
      </c>
      <c r="M2" s="9" t="s">
        <v>64</v>
      </c>
      <c r="N2" s="9" t="s">
        <v>64</v>
      </c>
      <c r="O2" s="9" t="s">
        <v>65</v>
      </c>
      <c r="P2" s="9" t="s">
        <v>65</v>
      </c>
      <c r="Q2" s="9"/>
      <c r="R2" s="8"/>
      <c r="S2" s="8"/>
      <c r="T2" s="8"/>
      <c r="U2" s="8"/>
      <c r="V2" s="8"/>
      <c r="W2" s="8"/>
    </row>
    <row r="3" spans="1:23" s="4" customFormat="1">
      <c r="A3" s="10" t="s">
        <v>6216</v>
      </c>
      <c r="B3" s="10"/>
      <c r="C3" s="10"/>
      <c r="D3" s="10"/>
      <c r="E3" s="10"/>
      <c r="F3" s="10"/>
      <c r="G3" s="10"/>
      <c r="H3" s="10">
        <v>10</v>
      </c>
      <c r="I3" s="10">
        <v>20001001</v>
      </c>
      <c r="J3" s="10" t="s">
        <v>655</v>
      </c>
      <c r="K3" s="10"/>
      <c r="L3" s="10"/>
      <c r="M3" s="10" t="s">
        <v>112</v>
      </c>
      <c r="N3" s="10"/>
      <c r="O3" s="10"/>
      <c r="P3" s="10" t="s">
        <v>113</v>
      </c>
      <c r="Q3" s="10"/>
      <c r="R3" s="10"/>
      <c r="S3" s="10"/>
      <c r="T3" s="10"/>
      <c r="U3" s="10"/>
      <c r="V3" s="10"/>
      <c r="W3" s="10"/>
    </row>
    <row r="4" spans="1:23" s="5" customFormat="1">
      <c r="A4" s="11" t="s">
        <v>6274</v>
      </c>
      <c r="B4" s="11"/>
      <c r="C4" s="11"/>
      <c r="D4" s="11"/>
      <c r="E4" s="11"/>
      <c r="F4" s="11"/>
      <c r="G4" s="11"/>
      <c r="H4" s="11">
        <v>10</v>
      </c>
      <c r="I4" s="11">
        <v>30001001</v>
      </c>
      <c r="J4" s="11" t="s">
        <v>631</v>
      </c>
      <c r="K4" s="11"/>
      <c r="L4" s="11"/>
      <c r="M4" s="11" t="s">
        <v>112</v>
      </c>
      <c r="N4" s="11" t="s">
        <v>3889</v>
      </c>
      <c r="O4" s="11" t="s">
        <v>4148</v>
      </c>
      <c r="P4" s="11" t="s">
        <v>113</v>
      </c>
      <c r="Q4" s="11"/>
      <c r="R4" s="11"/>
      <c r="S4" s="11"/>
      <c r="T4" s="11"/>
      <c r="U4" s="11"/>
      <c r="V4" s="11"/>
      <c r="W4" s="11"/>
    </row>
    <row r="5" spans="1:23" s="4" customFormat="1">
      <c r="A5" s="10" t="s">
        <v>6214</v>
      </c>
      <c r="B5" s="10"/>
      <c r="C5" s="10"/>
      <c r="D5" s="10"/>
      <c r="E5" s="10"/>
      <c r="F5" s="10"/>
      <c r="G5" s="10"/>
      <c r="H5" s="10">
        <v>10</v>
      </c>
      <c r="I5" s="10">
        <v>20001003</v>
      </c>
      <c r="J5" s="10" t="s">
        <v>6112</v>
      </c>
      <c r="K5" s="10"/>
      <c r="L5" s="10"/>
      <c r="M5" s="10" t="s">
        <v>112</v>
      </c>
      <c r="N5" s="10"/>
      <c r="O5" s="10"/>
      <c r="P5" s="10" t="s">
        <v>113</v>
      </c>
      <c r="Q5" s="10"/>
      <c r="R5" s="10"/>
      <c r="S5" s="10"/>
      <c r="T5" s="10"/>
      <c r="U5" s="10"/>
      <c r="V5" s="10"/>
      <c r="W5" s="10"/>
    </row>
    <row r="6" spans="1:23" s="4" customFormat="1">
      <c r="A6" s="10" t="s">
        <v>6275</v>
      </c>
      <c r="B6" s="10"/>
      <c r="C6" s="10"/>
      <c r="D6" s="10"/>
      <c r="E6" s="10"/>
      <c r="F6" s="10"/>
      <c r="G6" s="10"/>
      <c r="H6" s="10">
        <v>10</v>
      </c>
      <c r="I6" s="10">
        <v>20001004</v>
      </c>
      <c r="J6" s="10" t="s">
        <v>6112</v>
      </c>
      <c r="K6" s="10"/>
      <c r="L6" s="10"/>
      <c r="M6" s="10" t="s">
        <v>112</v>
      </c>
      <c r="N6" s="10"/>
      <c r="O6" s="10"/>
      <c r="P6" s="10" t="s">
        <v>113</v>
      </c>
      <c r="Q6" s="10"/>
      <c r="R6" s="10"/>
      <c r="S6" s="10"/>
      <c r="T6" s="10"/>
      <c r="U6" s="10"/>
      <c r="V6" s="10"/>
      <c r="W6" s="10"/>
    </row>
    <row r="7" spans="1:23" s="4" customFormat="1">
      <c r="A7" s="10" t="s">
        <v>6194</v>
      </c>
      <c r="B7" s="10"/>
      <c r="C7" s="10"/>
      <c r="D7" s="10"/>
      <c r="E7" s="10"/>
      <c r="F7" s="10"/>
      <c r="G7" s="10"/>
      <c r="H7" s="10">
        <v>10</v>
      </c>
      <c r="I7" s="10">
        <v>20001005</v>
      </c>
      <c r="J7" s="10" t="s">
        <v>631</v>
      </c>
      <c r="K7" s="10"/>
      <c r="L7" s="10"/>
      <c r="M7" s="10" t="s">
        <v>112</v>
      </c>
      <c r="N7" s="10"/>
      <c r="O7" s="10"/>
      <c r="P7" s="10" t="s">
        <v>113</v>
      </c>
      <c r="Q7" s="10"/>
      <c r="R7" s="10"/>
      <c r="S7" s="10"/>
      <c r="T7" s="10"/>
      <c r="U7" s="10"/>
      <c r="V7" s="10"/>
      <c r="W7" s="10"/>
    </row>
    <row r="8" spans="1:23" s="4" customFormat="1">
      <c r="A8" s="10" t="s">
        <v>6220</v>
      </c>
      <c r="B8" s="10"/>
      <c r="C8" s="10"/>
      <c r="D8" s="10"/>
      <c r="E8" s="10"/>
      <c r="F8" s="10"/>
      <c r="G8" s="10"/>
      <c r="H8" s="10">
        <v>10</v>
      </c>
      <c r="I8" s="10">
        <v>20001006</v>
      </c>
      <c r="J8" s="10" t="s">
        <v>511</v>
      </c>
      <c r="K8" s="10"/>
      <c r="L8" s="10"/>
      <c r="M8" s="10" t="s">
        <v>112</v>
      </c>
      <c r="N8" s="10"/>
      <c r="O8" s="10"/>
      <c r="P8" s="10" t="s">
        <v>113</v>
      </c>
      <c r="Q8" s="10"/>
      <c r="R8" s="10"/>
      <c r="S8" s="10"/>
      <c r="T8" s="10"/>
      <c r="U8" s="10"/>
      <c r="V8" s="10"/>
      <c r="W8" s="10"/>
    </row>
    <row r="9" spans="1:23" s="4" customFormat="1">
      <c r="A9" s="10" t="s">
        <v>1149</v>
      </c>
      <c r="B9" s="10"/>
      <c r="C9" s="10"/>
      <c r="D9" s="10"/>
      <c r="E9" s="10"/>
      <c r="F9" s="10"/>
      <c r="G9" s="10"/>
      <c r="H9" s="10">
        <v>10</v>
      </c>
      <c r="I9" s="10">
        <v>20001005</v>
      </c>
      <c r="J9" s="10" t="s">
        <v>631</v>
      </c>
      <c r="K9" s="10"/>
      <c r="L9" s="10"/>
      <c r="M9" s="10" t="s">
        <v>112</v>
      </c>
      <c r="N9" s="10"/>
      <c r="O9" s="10"/>
      <c r="P9" s="10" t="s">
        <v>113</v>
      </c>
      <c r="Q9" s="10"/>
      <c r="R9" s="10"/>
      <c r="S9" s="10"/>
      <c r="T9" s="10"/>
      <c r="U9" s="10"/>
      <c r="V9" s="10"/>
      <c r="W9" s="10"/>
    </row>
    <row r="10" spans="1:23" s="4" customFormat="1">
      <c r="A10" s="10" t="s">
        <v>6214</v>
      </c>
      <c r="B10" s="10"/>
      <c r="C10" s="10"/>
      <c r="D10" s="10"/>
      <c r="E10" s="10"/>
      <c r="F10" s="10"/>
      <c r="G10" s="10"/>
      <c r="H10" s="10">
        <v>10</v>
      </c>
      <c r="I10" s="10">
        <v>20001003</v>
      </c>
      <c r="J10" s="10" t="s">
        <v>6112</v>
      </c>
      <c r="K10" s="10"/>
      <c r="L10" s="10"/>
      <c r="M10" s="10" t="s">
        <v>112</v>
      </c>
      <c r="N10" s="10"/>
      <c r="O10" s="10"/>
      <c r="P10" s="10" t="s">
        <v>113</v>
      </c>
      <c r="Q10" s="10"/>
      <c r="R10" s="10"/>
      <c r="S10" s="10"/>
      <c r="T10" s="10"/>
      <c r="U10" s="10"/>
      <c r="V10" s="10"/>
      <c r="W10" s="10"/>
    </row>
    <row r="11" spans="1:23" s="4" customFormat="1">
      <c r="A11" s="10" t="s">
        <v>1519</v>
      </c>
      <c r="B11" s="10"/>
      <c r="C11" s="10"/>
      <c r="D11" s="10"/>
      <c r="E11" s="10"/>
      <c r="F11" s="10"/>
      <c r="G11" s="10"/>
      <c r="H11" s="10"/>
      <c r="I11" s="10">
        <v>20001099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s="6" customFormat="1">
      <c r="A12" s="12" t="s">
        <v>2793</v>
      </c>
      <c r="B12" s="13">
        <v>110002</v>
      </c>
      <c r="C12" s="12"/>
      <c r="D12" s="12"/>
      <c r="E12" s="12"/>
      <c r="F12" s="12"/>
      <c r="G12" s="12"/>
      <c r="H12" s="12">
        <v>10</v>
      </c>
      <c r="I12" s="12">
        <v>30001002</v>
      </c>
      <c r="J12" s="12" t="s">
        <v>631</v>
      </c>
      <c r="K12" s="12"/>
      <c r="L12" s="12" t="s">
        <v>3301</v>
      </c>
      <c r="M12" s="12" t="s">
        <v>112</v>
      </c>
      <c r="N12" s="11" t="s">
        <v>3889</v>
      </c>
      <c r="O12" s="12" t="s">
        <v>6276</v>
      </c>
      <c r="P12" s="12" t="s">
        <v>113</v>
      </c>
      <c r="Q12" s="12"/>
      <c r="R12" s="12"/>
      <c r="S12" s="12"/>
      <c r="T12" s="12"/>
      <c r="U12" s="12"/>
      <c r="V12" s="12"/>
      <c r="W12" s="12"/>
    </row>
    <row r="13" spans="1:23" s="6" customFormat="1">
      <c r="A13" s="12" t="s">
        <v>2633</v>
      </c>
      <c r="B13" s="13">
        <v>110008</v>
      </c>
      <c r="C13" s="12"/>
      <c r="D13" s="12"/>
      <c r="E13" s="12"/>
      <c r="F13" s="12"/>
      <c r="G13" s="12"/>
      <c r="H13" s="12">
        <v>10</v>
      </c>
      <c r="I13" s="12">
        <v>30001003</v>
      </c>
      <c r="J13" s="12" t="s">
        <v>6112</v>
      </c>
      <c r="K13" s="12"/>
      <c r="L13" s="12" t="s">
        <v>2330</v>
      </c>
      <c r="M13" s="12" t="s">
        <v>112</v>
      </c>
      <c r="N13" s="11" t="s">
        <v>3889</v>
      </c>
      <c r="O13" s="12" t="s">
        <v>3265</v>
      </c>
      <c r="P13" s="12" t="s">
        <v>113</v>
      </c>
      <c r="Q13" s="12"/>
      <c r="R13" s="12"/>
      <c r="S13" s="12"/>
      <c r="T13" s="12"/>
      <c r="U13" s="12"/>
      <c r="V13" s="12"/>
      <c r="W13" s="12"/>
    </row>
    <row r="14" spans="1:23">
      <c r="A14" s="7" t="s">
        <v>2646</v>
      </c>
      <c r="L14" s="7" t="s">
        <v>2544</v>
      </c>
      <c r="N14" s="11" t="s">
        <v>3889</v>
      </c>
      <c r="O14" s="7" t="s">
        <v>6277</v>
      </c>
    </row>
    <row r="15" spans="1:23">
      <c r="A15" s="7" t="s">
        <v>2663</v>
      </c>
      <c r="L15" s="7" t="s">
        <v>2412</v>
      </c>
      <c r="N15" s="11" t="s">
        <v>3889</v>
      </c>
      <c r="O15" s="7" t="s">
        <v>3003</v>
      </c>
    </row>
    <row r="16" spans="1:23">
      <c r="A16" s="7" t="s">
        <v>2428</v>
      </c>
      <c r="L16" s="7" t="s">
        <v>2499</v>
      </c>
      <c r="N16" s="11" t="s">
        <v>3889</v>
      </c>
      <c r="O16" s="7" t="s">
        <v>6278</v>
      </c>
    </row>
    <row r="17" spans="1:16">
      <c r="A17" s="11" t="s">
        <v>2637</v>
      </c>
      <c r="B17" s="13">
        <v>110003</v>
      </c>
      <c r="L17" s="7" t="s">
        <v>2335</v>
      </c>
      <c r="N17" s="11" t="s">
        <v>3889</v>
      </c>
      <c r="O17" s="11" t="s">
        <v>4148</v>
      </c>
    </row>
    <row r="18" spans="1:16">
      <c r="A18" s="7" t="s">
        <v>6279</v>
      </c>
      <c r="N18" s="11" t="s">
        <v>3889</v>
      </c>
      <c r="O18" s="7" t="s">
        <v>4158</v>
      </c>
    </row>
    <row r="19" spans="1:16">
      <c r="A19" s="7" t="s">
        <v>6280</v>
      </c>
      <c r="N19" s="11" t="s">
        <v>3889</v>
      </c>
      <c r="O19" s="11" t="s">
        <v>4158</v>
      </c>
    </row>
    <row r="20" spans="1:16">
      <c r="A20" s="7" t="s">
        <v>2768</v>
      </c>
      <c r="L20" s="20" t="s">
        <v>6281</v>
      </c>
      <c r="N20" s="11" t="s">
        <v>3889</v>
      </c>
      <c r="O20" s="7" t="s">
        <v>6282</v>
      </c>
    </row>
    <row r="21" spans="1:16">
      <c r="A21" s="7" t="s">
        <v>2761</v>
      </c>
      <c r="L21" s="20" t="s">
        <v>6283</v>
      </c>
      <c r="N21" s="11" t="s">
        <v>3889</v>
      </c>
      <c r="O21" s="7" t="s">
        <v>4158</v>
      </c>
    </row>
    <row r="22" spans="1:16">
      <c r="A22" s="7" t="s">
        <v>672</v>
      </c>
      <c r="L22" s="1" t="s">
        <v>3412</v>
      </c>
      <c r="N22" s="11" t="s">
        <v>3889</v>
      </c>
      <c r="O22" s="7" t="s">
        <v>3003</v>
      </c>
    </row>
    <row r="23" spans="1:16">
      <c r="A23" s="7" t="s">
        <v>2850</v>
      </c>
      <c r="L23" s="20" t="s">
        <v>6284</v>
      </c>
      <c r="N23" s="11" t="s">
        <v>3889</v>
      </c>
      <c r="O23" s="7" t="s">
        <v>4158</v>
      </c>
    </row>
    <row r="24" spans="1:16">
      <c r="A24" s="7" t="s">
        <v>2775</v>
      </c>
      <c r="L24" s="20" t="s">
        <v>4220</v>
      </c>
      <c r="N24" s="11" t="s">
        <v>3889</v>
      </c>
      <c r="O24" s="7" t="s">
        <v>3003</v>
      </c>
    </row>
    <row r="25" spans="1:16">
      <c r="A25" s="1" t="s">
        <v>2959</v>
      </c>
      <c r="B25" s="1"/>
      <c r="L25" s="20" t="s">
        <v>6285</v>
      </c>
      <c r="N25" s="11" t="s">
        <v>3889</v>
      </c>
      <c r="O25" s="7" t="s">
        <v>3003</v>
      </c>
    </row>
    <row r="26" spans="1:16">
      <c r="A26" s="1" t="s">
        <v>3002</v>
      </c>
      <c r="B26" s="1"/>
      <c r="L26" s="20" t="s">
        <v>6286</v>
      </c>
      <c r="N26" s="11" t="s">
        <v>3889</v>
      </c>
      <c r="O26" s="7" t="s">
        <v>3003</v>
      </c>
    </row>
    <row r="27" spans="1:16">
      <c r="A27" s="1" t="s">
        <v>3043</v>
      </c>
      <c r="B27" s="1"/>
      <c r="L27" s="20" t="s">
        <v>6287</v>
      </c>
      <c r="N27" s="11" t="s">
        <v>3889</v>
      </c>
      <c r="O27" s="7" t="s">
        <v>3003</v>
      </c>
    </row>
    <row r="28" spans="1:16">
      <c r="A28" s="1" t="s">
        <v>2956</v>
      </c>
      <c r="B28" s="1"/>
      <c r="L28" s="20" t="s">
        <v>6288</v>
      </c>
      <c r="N28" s="11" t="s">
        <v>3889</v>
      </c>
      <c r="O28" s="7" t="s">
        <v>4158</v>
      </c>
    </row>
    <row r="29" spans="1:16">
      <c r="A29" s="1" t="s">
        <v>3340</v>
      </c>
      <c r="B29" s="13">
        <v>110001</v>
      </c>
      <c r="L29" s="1" t="s">
        <v>3341</v>
      </c>
      <c r="N29" s="11" t="s">
        <v>3889</v>
      </c>
      <c r="O29" s="21" t="s">
        <v>6289</v>
      </c>
      <c r="P29" s="21"/>
    </row>
    <row r="30" spans="1:16">
      <c r="A30" s="1" t="s">
        <v>3357</v>
      </c>
      <c r="B30" s="13">
        <v>110001</v>
      </c>
      <c r="L30" s="1" t="s">
        <v>3358</v>
      </c>
      <c r="N30" s="11" t="s">
        <v>3889</v>
      </c>
      <c r="O30" s="21" t="s">
        <v>6289</v>
      </c>
      <c r="P30" s="21"/>
    </row>
    <row r="31" spans="1:16">
      <c r="A31" s="14" t="s">
        <v>6033</v>
      </c>
      <c r="B31" s="13">
        <v>110005</v>
      </c>
      <c r="L31" s="1" t="s">
        <v>3412</v>
      </c>
      <c r="N31" s="11" t="s">
        <v>3889</v>
      </c>
      <c r="O31" s="7" t="s">
        <v>3003</v>
      </c>
      <c r="P31" s="21"/>
    </row>
    <row r="32" spans="1:16">
      <c r="A32" s="1" t="s">
        <v>3458</v>
      </c>
      <c r="B32" s="13">
        <v>110004</v>
      </c>
      <c r="L32" s="1" t="s">
        <v>3459</v>
      </c>
      <c r="N32" s="11" t="s">
        <v>3889</v>
      </c>
      <c r="O32" s="21" t="s">
        <v>6290</v>
      </c>
      <c r="P32" s="21"/>
    </row>
    <row r="33" spans="1:45">
      <c r="A33" s="1" t="s">
        <v>3588</v>
      </c>
      <c r="B33" s="13">
        <v>110005</v>
      </c>
      <c r="L33" s="1" t="s">
        <v>3589</v>
      </c>
      <c r="N33" s="11" t="s">
        <v>3889</v>
      </c>
      <c r="O33" s="21" t="s">
        <v>6291</v>
      </c>
      <c r="P33" s="21"/>
    </row>
    <row r="34" spans="1:45">
      <c r="A34" s="1" t="s">
        <v>3672</v>
      </c>
      <c r="B34" s="13">
        <v>110006</v>
      </c>
      <c r="L34" s="1" t="s">
        <v>3673</v>
      </c>
      <c r="N34" s="11" t="s">
        <v>3889</v>
      </c>
      <c r="O34" s="21" t="s">
        <v>6292</v>
      </c>
    </row>
    <row r="35" spans="1:45">
      <c r="A35" s="1" t="s">
        <v>3855</v>
      </c>
      <c r="B35" s="13">
        <v>110007</v>
      </c>
      <c r="L35" s="14" t="s">
        <v>3856</v>
      </c>
      <c r="N35" s="7" t="s">
        <v>5017</v>
      </c>
      <c r="O35" s="21" t="s">
        <v>4741</v>
      </c>
    </row>
    <row r="36" spans="1:45">
      <c r="A36" s="14" t="s">
        <v>4008</v>
      </c>
      <c r="B36" s="13">
        <v>110003</v>
      </c>
      <c r="L36" s="14" t="s">
        <v>4147</v>
      </c>
      <c r="N36" s="11" t="s">
        <v>3889</v>
      </c>
      <c r="O36" s="11" t="s">
        <v>4148</v>
      </c>
    </row>
    <row r="37" spans="1:45">
      <c r="A37" s="7" t="s">
        <v>4290</v>
      </c>
      <c r="L37" s="14" t="s">
        <v>6293</v>
      </c>
      <c r="N37" s="11" t="s">
        <v>3889</v>
      </c>
      <c r="O37" s="7" t="s">
        <v>6294</v>
      </c>
    </row>
    <row r="38" spans="1:45">
      <c r="A38" s="15" t="s">
        <v>4156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22" t="s">
        <v>4157</v>
      </c>
      <c r="M38" s="15"/>
      <c r="N38" s="23" t="s">
        <v>3889</v>
      </c>
      <c r="O38" s="16" t="s">
        <v>4158</v>
      </c>
      <c r="P38" s="16"/>
      <c r="Q38" s="16"/>
      <c r="R38" s="16"/>
      <c r="S38" s="16"/>
      <c r="T38" s="16"/>
      <c r="U38" s="16"/>
      <c r="V38" s="16"/>
      <c r="W38" s="1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</row>
    <row r="39" spans="1:45">
      <c r="A39" s="12" t="s">
        <v>4464</v>
      </c>
      <c r="L39" s="12" t="s">
        <v>2330</v>
      </c>
      <c r="N39" s="7" t="s">
        <v>5017</v>
      </c>
      <c r="O39" s="7" t="s">
        <v>4723</v>
      </c>
    </row>
    <row r="40" spans="1:45">
      <c r="A40" s="7" t="s">
        <v>4378</v>
      </c>
      <c r="L40" s="7" t="s">
        <v>2544</v>
      </c>
      <c r="N40" s="7" t="s">
        <v>5017</v>
      </c>
      <c r="O40" s="7" t="s">
        <v>6295</v>
      </c>
    </row>
    <row r="41" spans="1:45">
      <c r="A41" s="7" t="s">
        <v>4366</v>
      </c>
      <c r="L41" s="7" t="s">
        <v>2412</v>
      </c>
      <c r="N41" s="7" t="s">
        <v>5017</v>
      </c>
      <c r="O41" s="7" t="s">
        <v>6296</v>
      </c>
    </row>
    <row r="42" spans="1:45">
      <c r="A42" s="7" t="s">
        <v>4485</v>
      </c>
      <c r="L42" s="7" t="s">
        <v>2499</v>
      </c>
      <c r="N42" s="7" t="s">
        <v>5017</v>
      </c>
      <c r="O42" s="7" t="s">
        <v>6297</v>
      </c>
    </row>
    <row r="43" spans="1:45">
      <c r="A43" s="11" t="s">
        <v>4329</v>
      </c>
      <c r="L43" s="7" t="s">
        <v>4147</v>
      </c>
      <c r="N43" s="7" t="s">
        <v>5017</v>
      </c>
      <c r="O43" s="7" t="s">
        <v>4734</v>
      </c>
    </row>
    <row r="44" spans="1:45">
      <c r="A44" s="7" t="s">
        <v>6298</v>
      </c>
      <c r="L44" s="20" t="s">
        <v>6283</v>
      </c>
      <c r="N44" s="7" t="s">
        <v>5017</v>
      </c>
      <c r="O44" s="7" t="s">
        <v>6299</v>
      </c>
    </row>
    <row r="45" spans="1:45">
      <c r="A45" s="7" t="s">
        <v>4323</v>
      </c>
      <c r="L45" s="7" t="s">
        <v>6293</v>
      </c>
      <c r="N45" s="7" t="s">
        <v>5017</v>
      </c>
      <c r="O45" s="7" t="s">
        <v>6300</v>
      </c>
    </row>
    <row r="46" spans="1:45">
      <c r="A46" s="7" t="s">
        <v>4722</v>
      </c>
      <c r="B46" s="17">
        <v>110008</v>
      </c>
      <c r="L46" s="24" t="s">
        <v>2330</v>
      </c>
      <c r="N46" s="7" t="s">
        <v>5017</v>
      </c>
      <c r="O46" s="7" t="s">
        <v>4723</v>
      </c>
    </row>
    <row r="47" spans="1:45">
      <c r="A47" s="18" t="s">
        <v>4811</v>
      </c>
      <c r="B47" s="17">
        <v>110009</v>
      </c>
      <c r="L47" s="18" t="s">
        <v>4812</v>
      </c>
      <c r="N47" s="7" t="s">
        <v>5017</v>
      </c>
      <c r="O47" s="7" t="s">
        <v>4813</v>
      </c>
    </row>
    <row r="48" spans="1:45">
      <c r="A48" s="19" t="s">
        <v>5060</v>
      </c>
      <c r="B48" s="17">
        <v>110011</v>
      </c>
      <c r="L48" s="19" t="s">
        <v>5061</v>
      </c>
      <c r="N48" s="7" t="s">
        <v>5017</v>
      </c>
      <c r="O48" s="21" t="s">
        <v>5062</v>
      </c>
    </row>
    <row r="49" spans="1:40">
      <c r="A49" s="19" t="s">
        <v>5401</v>
      </c>
      <c r="B49" s="17">
        <v>110012</v>
      </c>
      <c r="L49" s="19" t="s">
        <v>5402</v>
      </c>
      <c r="N49" s="7" t="s">
        <v>5017</v>
      </c>
      <c r="O49" s="7" t="s">
        <v>5386</v>
      </c>
    </row>
    <row r="50" spans="1:40">
      <c r="A50" s="19" t="s">
        <v>5679</v>
      </c>
      <c r="B50" s="17">
        <v>110010</v>
      </c>
      <c r="L50" s="19" t="s">
        <v>6301</v>
      </c>
      <c r="N50" s="7" t="s">
        <v>5017</v>
      </c>
      <c r="O50" s="7" t="s">
        <v>6302</v>
      </c>
    </row>
    <row r="51" spans="1:40">
      <c r="A51" s="19" t="s">
        <v>5384</v>
      </c>
      <c r="B51" s="17">
        <v>110012</v>
      </c>
      <c r="L51" s="19" t="s">
        <v>5385</v>
      </c>
      <c r="N51" s="7" t="s">
        <v>5017</v>
      </c>
      <c r="O51" s="7" t="s">
        <v>5386</v>
      </c>
    </row>
    <row r="52" spans="1:40">
      <c r="A52" s="7" t="s">
        <v>5816</v>
      </c>
      <c r="B52" s="13">
        <v>110006</v>
      </c>
      <c r="L52" s="25" t="s">
        <v>6303</v>
      </c>
      <c r="N52" s="7" t="s">
        <v>5017</v>
      </c>
      <c r="O52" s="21" t="s">
        <v>6304</v>
      </c>
    </row>
    <row r="53" spans="1:40" customFormat="1">
      <c r="A53" s="7" t="s">
        <v>6089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 t="s">
        <v>6305</v>
      </c>
      <c r="M53" s="7"/>
      <c r="N53" s="7" t="s">
        <v>6306</v>
      </c>
      <c r="O53" t="s">
        <v>6307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</sheetData>
  <phoneticPr fontId="40" type="noConversion"/>
  <dataValidations count="1">
    <dataValidation showInputMessage="1" showErrorMessage="1" error="只能输入数字" sqref="G2 E1:F2" xr:uid="{00000000-0002-0000-0500-000000000000}"/>
  </dataValidations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47"/>
  <sheetViews>
    <sheetView topLeftCell="A816" workbookViewId="0">
      <selection activeCell="B842" sqref="B842"/>
    </sheetView>
  </sheetViews>
  <sheetFormatPr defaultColWidth="9" defaultRowHeight="14"/>
  <cols>
    <col min="1" max="3" width="80" style="1" customWidth="1"/>
  </cols>
  <sheetData>
    <row r="1" spans="1:3">
      <c r="A1" s="1" t="s">
        <v>6308</v>
      </c>
      <c r="B1" s="1" t="s">
        <v>6309</v>
      </c>
      <c r="C1" s="1" t="s">
        <v>6097</v>
      </c>
    </row>
    <row r="2" spans="1:3">
      <c r="A2" s="1" t="s">
        <v>6310</v>
      </c>
      <c r="B2" s="1" t="s">
        <v>111</v>
      </c>
      <c r="C2" s="1" t="s">
        <v>6188</v>
      </c>
    </row>
    <row r="3" spans="1:3">
      <c r="A3" s="1" t="s">
        <v>6311</v>
      </c>
      <c r="B3" s="1" t="s">
        <v>114</v>
      </c>
      <c r="C3" s="1" t="s">
        <v>6312</v>
      </c>
    </row>
    <row r="4" spans="1:3">
      <c r="A4" s="1" t="s">
        <v>6313</v>
      </c>
      <c r="B4" s="1" t="s">
        <v>119</v>
      </c>
      <c r="C4" s="1" t="s">
        <v>6190</v>
      </c>
    </row>
    <row r="5" spans="1:3">
      <c r="A5" s="1" t="s">
        <v>6314</v>
      </c>
      <c r="B5" s="1" t="s">
        <v>120</v>
      </c>
      <c r="C5" s="1" t="s">
        <v>6315</v>
      </c>
    </row>
    <row r="6" spans="1:3">
      <c r="A6" s="1" t="s">
        <v>6316</v>
      </c>
      <c r="B6" s="1" t="s">
        <v>123</v>
      </c>
      <c r="C6" s="1" t="s">
        <v>124</v>
      </c>
    </row>
    <row r="7" spans="1:3">
      <c r="A7" s="1" t="s">
        <v>6317</v>
      </c>
      <c r="B7" s="1" t="s">
        <v>125</v>
      </c>
      <c r="C7" s="1" t="s">
        <v>6192</v>
      </c>
    </row>
    <row r="8" spans="1:3">
      <c r="A8" s="1" t="s">
        <v>6318</v>
      </c>
      <c r="B8" s="1" t="s">
        <v>126</v>
      </c>
      <c r="C8" s="1" t="s">
        <v>128</v>
      </c>
    </row>
    <row r="9" spans="1:3">
      <c r="A9" s="1" t="s">
        <v>6319</v>
      </c>
      <c r="B9" s="1" t="s">
        <v>129</v>
      </c>
      <c r="C9" s="1" t="s">
        <v>6194</v>
      </c>
    </row>
    <row r="10" spans="1:3">
      <c r="A10" s="1" t="s">
        <v>6320</v>
      </c>
      <c r="B10" s="1" t="s">
        <v>130</v>
      </c>
      <c r="C10" s="1" t="s">
        <v>6321</v>
      </c>
    </row>
    <row r="11" spans="1:3">
      <c r="A11" s="1" t="s">
        <v>6322</v>
      </c>
      <c r="B11" s="1" t="s">
        <v>134</v>
      </c>
      <c r="C11" s="1" t="s">
        <v>135</v>
      </c>
    </row>
    <row r="12" spans="1:3">
      <c r="A12" s="1" t="s">
        <v>6323</v>
      </c>
      <c r="B12" s="1" t="s">
        <v>136</v>
      </c>
      <c r="C12" s="1" t="s">
        <v>137</v>
      </c>
    </row>
    <row r="13" spans="1:3">
      <c r="A13" s="1" t="s">
        <v>6324</v>
      </c>
      <c r="B13" s="1" t="s">
        <v>138</v>
      </c>
      <c r="C13" s="1" t="s">
        <v>139</v>
      </c>
    </row>
    <row r="14" spans="1:3">
      <c r="A14" s="1" t="s">
        <v>6325</v>
      </c>
      <c r="B14" s="1" t="s">
        <v>140</v>
      </c>
      <c r="C14" s="1" t="s">
        <v>141</v>
      </c>
    </row>
    <row r="15" spans="1:3">
      <c r="A15" s="1" t="s">
        <v>6326</v>
      </c>
      <c r="B15" s="1" t="s">
        <v>142</v>
      </c>
      <c r="C15" s="1" t="s">
        <v>143</v>
      </c>
    </row>
    <row r="16" spans="1:3">
      <c r="A16" s="1" t="s">
        <v>6327</v>
      </c>
      <c r="B16" s="1" t="s">
        <v>144</v>
      </c>
      <c r="C16" s="1" t="s">
        <v>6179</v>
      </c>
    </row>
    <row r="17" spans="1:3">
      <c r="A17" s="1" t="s">
        <v>6328</v>
      </c>
      <c r="B17" s="1" t="s">
        <v>146</v>
      </c>
      <c r="C17" s="1" t="s">
        <v>147</v>
      </c>
    </row>
    <row r="18" spans="1:3">
      <c r="A18" s="1" t="s">
        <v>6329</v>
      </c>
      <c r="B18" s="1" t="s">
        <v>148</v>
      </c>
      <c r="C18" s="1" t="s">
        <v>6180</v>
      </c>
    </row>
    <row r="19" spans="1:3">
      <c r="A19" s="1" t="s">
        <v>6330</v>
      </c>
      <c r="B19" s="1" t="s">
        <v>149</v>
      </c>
      <c r="C19" s="1" t="s">
        <v>150</v>
      </c>
    </row>
    <row r="20" spans="1:3">
      <c r="A20" s="1" t="s">
        <v>6331</v>
      </c>
      <c r="B20" s="1" t="s">
        <v>151</v>
      </c>
      <c r="C20" s="1" t="s">
        <v>152</v>
      </c>
    </row>
    <row r="21" spans="1:3">
      <c r="A21" s="1" t="s">
        <v>6332</v>
      </c>
      <c r="B21" s="1" t="s">
        <v>153</v>
      </c>
      <c r="C21" s="1" t="s">
        <v>6181</v>
      </c>
    </row>
    <row r="22" spans="1:3">
      <c r="A22" s="1" t="s">
        <v>6333</v>
      </c>
      <c r="B22" s="1" t="s">
        <v>154</v>
      </c>
      <c r="C22" s="1" t="s">
        <v>155</v>
      </c>
    </row>
    <row r="23" spans="1:3">
      <c r="A23" s="1" t="s">
        <v>6334</v>
      </c>
      <c r="B23" s="1" t="s">
        <v>156</v>
      </c>
      <c r="C23" s="1" t="s">
        <v>6182</v>
      </c>
    </row>
    <row r="24" spans="1:3">
      <c r="A24" s="1" t="s">
        <v>6335</v>
      </c>
      <c r="B24" s="1" t="s">
        <v>157</v>
      </c>
      <c r="C24" s="1" t="s">
        <v>6336</v>
      </c>
    </row>
    <row r="25" spans="1:3">
      <c r="A25" s="1" t="s">
        <v>6337</v>
      </c>
      <c r="B25" s="1" t="s">
        <v>159</v>
      </c>
      <c r="C25" s="1" t="s">
        <v>160</v>
      </c>
    </row>
    <row r="26" spans="1:3">
      <c r="A26" s="1" t="s">
        <v>6338</v>
      </c>
      <c r="B26" s="1" t="s">
        <v>161</v>
      </c>
      <c r="C26" s="1" t="s">
        <v>162</v>
      </c>
    </row>
    <row r="27" spans="1:3">
      <c r="A27" s="1" t="s">
        <v>6339</v>
      </c>
      <c r="B27" s="1" t="s">
        <v>163</v>
      </c>
      <c r="C27" s="1" t="s">
        <v>164</v>
      </c>
    </row>
    <row r="28" spans="1:3">
      <c r="A28" s="1" t="s">
        <v>6340</v>
      </c>
      <c r="B28" s="1" t="s">
        <v>165</v>
      </c>
      <c r="C28" s="1" t="s">
        <v>166</v>
      </c>
    </row>
    <row r="29" spans="1:3">
      <c r="A29" s="1" t="s">
        <v>6341</v>
      </c>
      <c r="B29" s="1" t="s">
        <v>167</v>
      </c>
      <c r="C29" s="1" t="s">
        <v>6183</v>
      </c>
    </row>
    <row r="30" spans="1:3">
      <c r="A30" s="1" t="s">
        <v>6342</v>
      </c>
      <c r="B30" s="1" t="s">
        <v>168</v>
      </c>
      <c r="C30" s="1" t="s">
        <v>169</v>
      </c>
    </row>
    <row r="31" spans="1:3">
      <c r="A31" s="1" t="s">
        <v>6343</v>
      </c>
      <c r="B31" s="1" t="s">
        <v>170</v>
      </c>
      <c r="C31" s="1" t="s">
        <v>6184</v>
      </c>
    </row>
    <row r="32" spans="1:3">
      <c r="A32" s="1" t="s">
        <v>6344</v>
      </c>
      <c r="B32" s="1" t="s">
        <v>171</v>
      </c>
      <c r="C32" s="1" t="s">
        <v>172</v>
      </c>
    </row>
    <row r="33" spans="1:3">
      <c r="A33" s="1" t="s">
        <v>6345</v>
      </c>
      <c r="B33" s="1" t="s">
        <v>173</v>
      </c>
      <c r="C33" s="1" t="s">
        <v>174</v>
      </c>
    </row>
    <row r="34" spans="1:3">
      <c r="A34" s="1" t="s">
        <v>6346</v>
      </c>
      <c r="B34" s="1" t="s">
        <v>175</v>
      </c>
      <c r="C34" s="1" t="s">
        <v>176</v>
      </c>
    </row>
    <row r="35" spans="1:3">
      <c r="A35" s="1" t="s">
        <v>6347</v>
      </c>
      <c r="B35" s="1" t="s">
        <v>177</v>
      </c>
      <c r="C35" s="1" t="s">
        <v>178</v>
      </c>
    </row>
    <row r="36" spans="1:3">
      <c r="A36" s="1" t="s">
        <v>6348</v>
      </c>
      <c r="B36" s="1" t="s">
        <v>179</v>
      </c>
      <c r="C36" s="1" t="s">
        <v>6185</v>
      </c>
    </row>
    <row r="37" spans="1:3">
      <c r="A37" s="1" t="s">
        <v>6349</v>
      </c>
      <c r="B37" s="1" t="s">
        <v>180</v>
      </c>
      <c r="C37" s="1" t="s">
        <v>181</v>
      </c>
    </row>
    <row r="38" spans="1:3">
      <c r="A38" s="1" t="s">
        <v>6350</v>
      </c>
      <c r="B38" s="1" t="s">
        <v>182</v>
      </c>
      <c r="C38" s="1" t="s">
        <v>183</v>
      </c>
    </row>
    <row r="39" spans="1:3">
      <c r="A39" s="1" t="s">
        <v>6351</v>
      </c>
      <c r="B39" s="1" t="s">
        <v>184</v>
      </c>
      <c r="C39" s="1" t="s">
        <v>185</v>
      </c>
    </row>
    <row r="40" spans="1:3">
      <c r="A40" s="1" t="s">
        <v>6352</v>
      </c>
      <c r="B40" s="1" t="s">
        <v>186</v>
      </c>
      <c r="C40" s="1" t="s">
        <v>187</v>
      </c>
    </row>
    <row r="41" spans="1:3">
      <c r="A41" s="1" t="s">
        <v>6353</v>
      </c>
      <c r="B41" s="1" t="s">
        <v>188</v>
      </c>
      <c r="C41" s="1" t="s">
        <v>189</v>
      </c>
    </row>
    <row r="42" spans="1:3">
      <c r="A42" s="1" t="s">
        <v>6354</v>
      </c>
      <c r="B42" s="1" t="s">
        <v>190</v>
      </c>
      <c r="C42" s="1" t="s">
        <v>191</v>
      </c>
    </row>
    <row r="43" spans="1:3">
      <c r="A43" s="1" t="s">
        <v>6355</v>
      </c>
      <c r="B43" s="1" t="s">
        <v>192</v>
      </c>
      <c r="C43" s="1" t="s">
        <v>193</v>
      </c>
    </row>
    <row r="44" spans="1:3">
      <c r="A44" s="1" t="s">
        <v>6356</v>
      </c>
      <c r="B44" s="1" t="s">
        <v>194</v>
      </c>
      <c r="C44" s="1" t="s">
        <v>195</v>
      </c>
    </row>
    <row r="45" spans="1:3">
      <c r="A45" s="1" t="s">
        <v>6357</v>
      </c>
      <c r="B45" s="1" t="s">
        <v>196</v>
      </c>
      <c r="C45" s="1" t="s">
        <v>197</v>
      </c>
    </row>
    <row r="46" spans="1:3">
      <c r="A46" s="1" t="s">
        <v>6358</v>
      </c>
      <c r="B46" s="1" t="s">
        <v>198</v>
      </c>
      <c r="C46" s="1" t="s">
        <v>199</v>
      </c>
    </row>
    <row r="47" spans="1:3">
      <c r="A47" s="1" t="s">
        <v>6359</v>
      </c>
      <c r="B47" s="1" t="s">
        <v>200</v>
      </c>
      <c r="C47" s="1" t="s">
        <v>201</v>
      </c>
    </row>
    <row r="48" spans="1:3">
      <c r="A48" s="1" t="s">
        <v>6360</v>
      </c>
      <c r="B48" s="1" t="s">
        <v>202</v>
      </c>
      <c r="C48" s="1" t="s">
        <v>203</v>
      </c>
    </row>
    <row r="49" spans="1:3">
      <c r="A49" s="1" t="s">
        <v>6361</v>
      </c>
      <c r="B49" s="1" t="s">
        <v>204</v>
      </c>
      <c r="C49" s="1" t="s">
        <v>205</v>
      </c>
    </row>
    <row r="50" spans="1:3">
      <c r="A50" s="1" t="s">
        <v>6362</v>
      </c>
      <c r="B50" s="1" t="s">
        <v>206</v>
      </c>
      <c r="C50" s="1" t="s">
        <v>207</v>
      </c>
    </row>
    <row r="51" spans="1:3">
      <c r="A51" s="1" t="s">
        <v>6363</v>
      </c>
      <c r="B51" s="1" t="s">
        <v>208</v>
      </c>
      <c r="C51" s="1" t="s">
        <v>6186</v>
      </c>
    </row>
    <row r="52" spans="1:3">
      <c r="A52" s="1" t="s">
        <v>6364</v>
      </c>
      <c r="B52" s="1" t="s">
        <v>209</v>
      </c>
      <c r="C52" s="1" t="s">
        <v>210</v>
      </c>
    </row>
    <row r="53" spans="1:3">
      <c r="A53" s="1" t="s">
        <v>6365</v>
      </c>
      <c r="B53" s="1" t="s">
        <v>211</v>
      </c>
      <c r="C53" s="1" t="s">
        <v>212</v>
      </c>
    </row>
    <row r="54" spans="1:3">
      <c r="A54" s="1" t="s">
        <v>6366</v>
      </c>
      <c r="B54" s="1" t="s">
        <v>213</v>
      </c>
      <c r="C54" s="1" t="s">
        <v>214</v>
      </c>
    </row>
    <row r="55" spans="1:3">
      <c r="A55" s="1" t="s">
        <v>6367</v>
      </c>
      <c r="B55" s="1" t="s">
        <v>215</v>
      </c>
      <c r="C55" s="1" t="s">
        <v>216</v>
      </c>
    </row>
    <row r="56" spans="1:3">
      <c r="A56" s="1" t="s">
        <v>6368</v>
      </c>
      <c r="B56" s="1" t="s">
        <v>217</v>
      </c>
      <c r="C56" s="1" t="s">
        <v>6187</v>
      </c>
    </row>
    <row r="57" spans="1:3">
      <c r="A57" s="1" t="s">
        <v>6369</v>
      </c>
      <c r="B57" s="1" t="s">
        <v>218</v>
      </c>
      <c r="C57" s="1" t="s">
        <v>219</v>
      </c>
    </row>
    <row r="58" spans="1:3">
      <c r="A58" s="1" t="s">
        <v>6370</v>
      </c>
      <c r="B58" s="1" t="s">
        <v>220</v>
      </c>
      <c r="C58" s="1" t="s">
        <v>221</v>
      </c>
    </row>
    <row r="59" spans="1:3">
      <c r="A59" s="1" t="s">
        <v>6371</v>
      </c>
      <c r="B59" s="1" t="s">
        <v>222</v>
      </c>
      <c r="C59" s="1" t="s">
        <v>223</v>
      </c>
    </row>
    <row r="60" spans="1:3">
      <c r="A60" s="1" t="s">
        <v>6372</v>
      </c>
      <c r="B60" s="1" t="s">
        <v>224</v>
      </c>
      <c r="C60" s="1" t="s">
        <v>225</v>
      </c>
    </row>
    <row r="61" spans="1:3">
      <c r="A61" s="1" t="s">
        <v>6373</v>
      </c>
      <c r="B61" s="1" t="s">
        <v>226</v>
      </c>
      <c r="C61" s="1" t="s">
        <v>227</v>
      </c>
    </row>
    <row r="62" spans="1:3">
      <c r="A62" s="1" t="s">
        <v>6374</v>
      </c>
      <c r="B62" s="1" t="s">
        <v>228</v>
      </c>
      <c r="C62" s="1" t="s">
        <v>229</v>
      </c>
    </row>
    <row r="63" spans="1:3">
      <c r="A63" s="1" t="s">
        <v>6375</v>
      </c>
      <c r="B63" s="1" t="s">
        <v>230</v>
      </c>
      <c r="C63" s="1" t="s">
        <v>231</v>
      </c>
    </row>
    <row r="64" spans="1:3">
      <c r="A64" s="1" t="s">
        <v>6376</v>
      </c>
      <c r="B64" s="1" t="s">
        <v>232</v>
      </c>
      <c r="C64" s="1" t="s">
        <v>233</v>
      </c>
    </row>
    <row r="65" spans="1:3">
      <c r="A65" s="1" t="s">
        <v>6377</v>
      </c>
      <c r="B65" s="1" t="s">
        <v>234</v>
      </c>
      <c r="C65" s="1" t="s">
        <v>235</v>
      </c>
    </row>
    <row r="66" spans="1:3">
      <c r="A66" s="1" t="s">
        <v>6378</v>
      </c>
      <c r="B66" s="1" t="s">
        <v>236</v>
      </c>
      <c r="C66" s="1" t="s">
        <v>237</v>
      </c>
    </row>
    <row r="67" spans="1:3">
      <c r="A67" s="1" t="s">
        <v>6379</v>
      </c>
      <c r="B67" s="1" t="s">
        <v>238</v>
      </c>
      <c r="C67" s="1" t="s">
        <v>239</v>
      </c>
    </row>
    <row r="68" spans="1:3">
      <c r="A68" s="1" t="s">
        <v>6380</v>
      </c>
      <c r="B68" s="1" t="s">
        <v>240</v>
      </c>
      <c r="C68" s="1" t="s">
        <v>241</v>
      </c>
    </row>
    <row r="69" spans="1:3">
      <c r="A69" s="1" t="s">
        <v>6381</v>
      </c>
      <c r="B69" s="1" t="s">
        <v>243</v>
      </c>
      <c r="C69" s="1" t="s">
        <v>245</v>
      </c>
    </row>
    <row r="70" spans="1:3">
      <c r="A70" s="1" t="s">
        <v>6382</v>
      </c>
      <c r="B70" s="1" t="s">
        <v>248</v>
      </c>
      <c r="C70" s="1" t="s">
        <v>250</v>
      </c>
    </row>
    <row r="71" spans="1:3">
      <c r="A71" s="1" t="s">
        <v>6383</v>
      </c>
      <c r="B71" s="1" t="s">
        <v>252</v>
      </c>
      <c r="C71" s="1" t="s">
        <v>254</v>
      </c>
    </row>
    <row r="72" spans="1:3">
      <c r="A72" s="1" t="s">
        <v>6384</v>
      </c>
      <c r="B72" s="1" t="s">
        <v>255</v>
      </c>
      <c r="C72" s="1" t="s">
        <v>257</v>
      </c>
    </row>
    <row r="73" spans="1:3">
      <c r="A73" s="1" t="s">
        <v>6385</v>
      </c>
      <c r="B73" s="1" t="s">
        <v>258</v>
      </c>
      <c r="C73" s="1" t="s">
        <v>260</v>
      </c>
    </row>
    <row r="74" spans="1:3">
      <c r="A74" s="1" t="s">
        <v>6386</v>
      </c>
      <c r="B74" s="1" t="s">
        <v>261</v>
      </c>
      <c r="C74" s="1" t="s">
        <v>263</v>
      </c>
    </row>
    <row r="75" spans="1:3">
      <c r="A75" s="1" t="s">
        <v>6387</v>
      </c>
      <c r="B75" s="1" t="s">
        <v>264</v>
      </c>
      <c r="C75" s="1" t="s">
        <v>266</v>
      </c>
    </row>
    <row r="76" spans="1:3">
      <c r="A76" s="1" t="s">
        <v>6388</v>
      </c>
      <c r="B76" s="1" t="s">
        <v>6389</v>
      </c>
      <c r="C76" s="1" t="s">
        <v>6205</v>
      </c>
    </row>
    <row r="77" spans="1:3">
      <c r="A77" s="1" t="s">
        <v>6390</v>
      </c>
      <c r="B77" s="1" t="s">
        <v>268</v>
      </c>
      <c r="C77" s="1" t="s">
        <v>270</v>
      </c>
    </row>
    <row r="78" spans="1:3">
      <c r="A78" s="1" t="s">
        <v>6391</v>
      </c>
      <c r="B78" s="1" t="s">
        <v>271</v>
      </c>
      <c r="C78" s="1" t="s">
        <v>273</v>
      </c>
    </row>
    <row r="79" spans="1:3">
      <c r="A79" s="1" t="s">
        <v>6392</v>
      </c>
      <c r="B79" s="1" t="s">
        <v>274</v>
      </c>
      <c r="C79" s="1" t="s">
        <v>276</v>
      </c>
    </row>
    <row r="80" spans="1:3">
      <c r="A80" s="1" t="s">
        <v>6393</v>
      </c>
      <c r="B80" s="1" t="s">
        <v>277</v>
      </c>
      <c r="C80" s="1" t="s">
        <v>279</v>
      </c>
    </row>
    <row r="81" spans="1:3">
      <c r="A81" s="1" t="s">
        <v>6394</v>
      </c>
      <c r="B81" s="1" t="s">
        <v>280</v>
      </c>
      <c r="C81" s="1" t="s">
        <v>282</v>
      </c>
    </row>
    <row r="82" spans="1:3">
      <c r="A82" s="1" t="s">
        <v>6395</v>
      </c>
      <c r="B82" s="1" t="s">
        <v>285</v>
      </c>
      <c r="C82" s="1" t="s">
        <v>287</v>
      </c>
    </row>
    <row r="83" spans="1:3">
      <c r="A83" s="1" t="s">
        <v>6396</v>
      </c>
      <c r="B83" s="1" t="s">
        <v>288</v>
      </c>
      <c r="C83" s="1" t="s">
        <v>290</v>
      </c>
    </row>
    <row r="84" spans="1:3">
      <c r="A84" s="1" t="s">
        <v>6397</v>
      </c>
      <c r="B84" s="1" t="s">
        <v>291</v>
      </c>
      <c r="C84" s="1" t="s">
        <v>293</v>
      </c>
    </row>
    <row r="85" spans="1:3">
      <c r="A85" s="1" t="s">
        <v>6398</v>
      </c>
      <c r="B85" s="1" t="s">
        <v>294</v>
      </c>
      <c r="C85" s="1" t="s">
        <v>296</v>
      </c>
    </row>
    <row r="86" spans="1:3">
      <c r="A86" s="1" t="s">
        <v>6399</v>
      </c>
      <c r="B86" s="1" t="s">
        <v>297</v>
      </c>
      <c r="C86" s="1" t="s">
        <v>299</v>
      </c>
    </row>
    <row r="87" spans="1:3">
      <c r="A87" s="1" t="s">
        <v>6400</v>
      </c>
      <c r="B87" s="1" t="s">
        <v>300</v>
      </c>
      <c r="C87" s="1" t="s">
        <v>302</v>
      </c>
    </row>
    <row r="88" spans="1:3">
      <c r="A88" s="1" t="s">
        <v>6401</v>
      </c>
      <c r="B88" s="1" t="s">
        <v>303</v>
      </c>
      <c r="C88" s="1" t="s">
        <v>305</v>
      </c>
    </row>
    <row r="89" spans="1:3">
      <c r="A89" s="1" t="s">
        <v>6402</v>
      </c>
      <c r="B89" s="1" t="s">
        <v>306</v>
      </c>
      <c r="C89" s="1" t="s">
        <v>308</v>
      </c>
    </row>
    <row r="90" spans="1:3">
      <c r="A90" s="1" t="s">
        <v>6403</v>
      </c>
      <c r="B90" s="1" t="s">
        <v>309</v>
      </c>
      <c r="C90" s="1" t="s">
        <v>6206</v>
      </c>
    </row>
    <row r="91" spans="1:3">
      <c r="A91" s="1" t="s">
        <v>6404</v>
      </c>
      <c r="B91" s="1" t="s">
        <v>310</v>
      </c>
      <c r="C91" s="1" t="s">
        <v>312</v>
      </c>
    </row>
    <row r="92" spans="1:3">
      <c r="A92" s="1" t="s">
        <v>6405</v>
      </c>
      <c r="B92" s="1" t="s">
        <v>313</v>
      </c>
      <c r="C92" s="1" t="s">
        <v>315</v>
      </c>
    </row>
    <row r="93" spans="1:3">
      <c r="A93" s="1" t="s">
        <v>6406</v>
      </c>
      <c r="B93" s="1" t="s">
        <v>316</v>
      </c>
      <c r="C93" s="1" t="s">
        <v>318</v>
      </c>
    </row>
    <row r="94" spans="1:3">
      <c r="A94" s="1" t="s">
        <v>6407</v>
      </c>
      <c r="B94" s="1" t="s">
        <v>319</v>
      </c>
      <c r="C94" s="1" t="s">
        <v>321</v>
      </c>
    </row>
    <row r="95" spans="1:3">
      <c r="A95" s="1" t="s">
        <v>6408</v>
      </c>
      <c r="B95" s="1" t="s">
        <v>322</v>
      </c>
      <c r="C95" s="1" t="s">
        <v>324</v>
      </c>
    </row>
    <row r="96" spans="1:3">
      <c r="A96" s="1" t="s">
        <v>6409</v>
      </c>
      <c r="B96" s="1" t="s">
        <v>325</v>
      </c>
      <c r="C96" s="1" t="s">
        <v>327</v>
      </c>
    </row>
    <row r="97" spans="1:3">
      <c r="A97" s="1" t="s">
        <v>6410</v>
      </c>
      <c r="B97" s="1" t="s">
        <v>328</v>
      </c>
      <c r="C97" s="1" t="s">
        <v>330</v>
      </c>
    </row>
    <row r="98" spans="1:3">
      <c r="A98" s="1" t="s">
        <v>6411</v>
      </c>
      <c r="B98" s="1" t="s">
        <v>331</v>
      </c>
      <c r="C98" s="1" t="s">
        <v>333</v>
      </c>
    </row>
    <row r="99" spans="1:3">
      <c r="A99" s="1" t="s">
        <v>6412</v>
      </c>
      <c r="B99" s="1" t="s">
        <v>334</v>
      </c>
      <c r="C99" s="1" t="s">
        <v>336</v>
      </c>
    </row>
    <row r="100" spans="1:3">
      <c r="A100" s="1" t="s">
        <v>6413</v>
      </c>
      <c r="B100" s="1" t="s">
        <v>337</v>
      </c>
      <c r="C100" s="1" t="s">
        <v>339</v>
      </c>
    </row>
    <row r="101" spans="1:3">
      <c r="A101" s="1" t="s">
        <v>6414</v>
      </c>
      <c r="B101" s="1" t="s">
        <v>340</v>
      </c>
      <c r="C101" s="1" t="s">
        <v>342</v>
      </c>
    </row>
    <row r="102" spans="1:3">
      <c r="A102" s="1" t="s">
        <v>6415</v>
      </c>
      <c r="B102" s="1" t="s">
        <v>343</v>
      </c>
      <c r="C102" s="1" t="s">
        <v>345</v>
      </c>
    </row>
    <row r="103" spans="1:3">
      <c r="A103" s="1" t="s">
        <v>6416</v>
      </c>
      <c r="B103" s="1" t="s">
        <v>346</v>
      </c>
      <c r="C103" s="1" t="s">
        <v>6208</v>
      </c>
    </row>
    <row r="104" spans="1:3">
      <c r="A104" s="1" t="s">
        <v>6417</v>
      </c>
      <c r="B104" s="1" t="s">
        <v>347</v>
      </c>
      <c r="C104" s="1" t="s">
        <v>349</v>
      </c>
    </row>
    <row r="105" spans="1:3">
      <c r="A105" s="1" t="s">
        <v>6418</v>
      </c>
      <c r="B105" s="1" t="s">
        <v>350</v>
      </c>
      <c r="C105" s="1" t="s">
        <v>352</v>
      </c>
    </row>
    <row r="106" spans="1:3">
      <c r="A106" s="1" t="s">
        <v>6419</v>
      </c>
      <c r="B106" s="1" t="s">
        <v>353</v>
      </c>
      <c r="C106" s="1" t="s">
        <v>355</v>
      </c>
    </row>
    <row r="107" spans="1:3">
      <c r="A107" s="1" t="s">
        <v>6420</v>
      </c>
      <c r="B107" s="1" t="s">
        <v>356</v>
      </c>
      <c r="C107" s="1" t="s">
        <v>358</v>
      </c>
    </row>
    <row r="108" spans="1:3">
      <c r="A108" s="1" t="s">
        <v>6421</v>
      </c>
      <c r="B108" s="1" t="s">
        <v>359</v>
      </c>
      <c r="C108" s="1" t="s">
        <v>361</v>
      </c>
    </row>
    <row r="109" spans="1:3">
      <c r="A109" s="1" t="s">
        <v>6422</v>
      </c>
      <c r="B109" s="1" t="s">
        <v>362</v>
      </c>
      <c r="C109" s="1" t="s">
        <v>364</v>
      </c>
    </row>
    <row r="110" spans="1:3">
      <c r="A110" s="1" t="s">
        <v>6423</v>
      </c>
      <c r="B110" s="1" t="s">
        <v>365</v>
      </c>
      <c r="C110" s="1" t="s">
        <v>367</v>
      </c>
    </row>
    <row r="111" spans="1:3">
      <c r="A111" s="1" t="s">
        <v>6424</v>
      </c>
      <c r="B111" s="1" t="s">
        <v>368</v>
      </c>
      <c r="C111" s="1" t="s">
        <v>370</v>
      </c>
    </row>
    <row r="112" spans="1:3">
      <c r="A112" s="1" t="s">
        <v>6425</v>
      </c>
      <c r="B112" s="1" t="s">
        <v>371</v>
      </c>
      <c r="C112" s="1" t="s">
        <v>373</v>
      </c>
    </row>
    <row r="113" spans="1:3">
      <c r="A113" s="1" t="s">
        <v>6426</v>
      </c>
      <c r="B113" s="1" t="s">
        <v>375</v>
      </c>
      <c r="C113" s="1" t="s">
        <v>377</v>
      </c>
    </row>
    <row r="114" spans="1:3">
      <c r="A114" s="1" t="s">
        <v>6427</v>
      </c>
      <c r="B114" s="1" t="s">
        <v>378</v>
      </c>
      <c r="C114" s="1" t="s">
        <v>380</v>
      </c>
    </row>
    <row r="115" spans="1:3">
      <c r="A115" s="1" t="s">
        <v>6428</v>
      </c>
      <c r="B115" s="1" t="s">
        <v>381</v>
      </c>
      <c r="C115" s="1" t="s">
        <v>383</v>
      </c>
    </row>
    <row r="116" spans="1:3">
      <c r="A116" s="1" t="s">
        <v>6429</v>
      </c>
      <c r="B116" s="1" t="s">
        <v>384</v>
      </c>
      <c r="C116" s="1" t="s">
        <v>386</v>
      </c>
    </row>
    <row r="117" spans="1:3">
      <c r="A117" s="1" t="s">
        <v>6430</v>
      </c>
      <c r="B117" s="1" t="s">
        <v>387</v>
      </c>
      <c r="C117" s="1" t="s">
        <v>389</v>
      </c>
    </row>
    <row r="118" spans="1:3">
      <c r="A118" s="1" t="s">
        <v>6431</v>
      </c>
      <c r="B118" s="1" t="s">
        <v>390</v>
      </c>
      <c r="C118" s="1" t="s">
        <v>392</v>
      </c>
    </row>
    <row r="119" spans="1:3">
      <c r="A119" s="1" t="s">
        <v>6432</v>
      </c>
      <c r="B119" s="1" t="s">
        <v>393</v>
      </c>
      <c r="C119" s="1" t="s">
        <v>6433</v>
      </c>
    </row>
    <row r="120" spans="1:3">
      <c r="A120" s="1" t="s">
        <v>6434</v>
      </c>
      <c r="B120" s="1" t="s">
        <v>396</v>
      </c>
      <c r="C120" s="1" t="s">
        <v>398</v>
      </c>
    </row>
    <row r="121" spans="1:3">
      <c r="A121" s="1" t="s">
        <v>6435</v>
      </c>
      <c r="B121" s="1" t="s">
        <v>399</v>
      </c>
      <c r="C121" s="1" t="s">
        <v>401</v>
      </c>
    </row>
    <row r="122" spans="1:3">
      <c r="A122" s="1" t="s">
        <v>6436</v>
      </c>
      <c r="B122" s="1" t="s">
        <v>402</v>
      </c>
      <c r="C122" s="1" t="s">
        <v>6210</v>
      </c>
    </row>
    <row r="123" spans="1:3">
      <c r="A123" s="1" t="s">
        <v>6437</v>
      </c>
      <c r="B123" s="1" t="s">
        <v>403</v>
      </c>
      <c r="C123" s="1" t="s">
        <v>405</v>
      </c>
    </row>
    <row r="124" spans="1:3">
      <c r="A124" s="1" t="s">
        <v>6438</v>
      </c>
      <c r="B124" s="1" t="s">
        <v>406</v>
      </c>
      <c r="C124" s="1" t="s">
        <v>6212</v>
      </c>
    </row>
    <row r="125" spans="1:3">
      <c r="A125" s="1" t="s">
        <v>6439</v>
      </c>
      <c r="B125" s="1" t="s">
        <v>407</v>
      </c>
      <c r="C125" s="1" t="s">
        <v>409</v>
      </c>
    </row>
    <row r="126" spans="1:3">
      <c r="A126" s="1" t="s">
        <v>6440</v>
      </c>
      <c r="B126" s="1" t="s">
        <v>413</v>
      </c>
      <c r="C126" s="1" t="s">
        <v>6214</v>
      </c>
    </row>
    <row r="127" spans="1:3">
      <c r="A127" s="1" t="s">
        <v>6441</v>
      </c>
      <c r="B127" s="1" t="s">
        <v>414</v>
      </c>
      <c r="C127" s="1" t="s">
        <v>6442</v>
      </c>
    </row>
    <row r="128" spans="1:3">
      <c r="A128" s="1" t="s">
        <v>6443</v>
      </c>
      <c r="B128" s="1" t="s">
        <v>419</v>
      </c>
      <c r="C128" s="1" t="s">
        <v>6444</v>
      </c>
    </row>
    <row r="129" spans="1:3">
      <c r="A129" s="1" t="s">
        <v>6445</v>
      </c>
      <c r="B129" s="1" t="s">
        <v>425</v>
      </c>
      <c r="C129" s="1" t="s">
        <v>6216</v>
      </c>
    </row>
    <row r="130" spans="1:3">
      <c r="A130" s="1" t="s">
        <v>6446</v>
      </c>
      <c r="B130" s="1" t="s">
        <v>426</v>
      </c>
      <c r="C130" s="1" t="s">
        <v>429</v>
      </c>
    </row>
    <row r="131" spans="1:3">
      <c r="A131" s="1" t="s">
        <v>6447</v>
      </c>
      <c r="B131" s="1" t="s">
        <v>430</v>
      </c>
      <c r="C131" s="1" t="s">
        <v>432</v>
      </c>
    </row>
    <row r="132" spans="1:3">
      <c r="A132" s="1" t="s">
        <v>6448</v>
      </c>
      <c r="B132" s="1" t="s">
        <v>433</v>
      </c>
      <c r="C132" s="1" t="s">
        <v>6449</v>
      </c>
    </row>
    <row r="133" spans="1:3">
      <c r="A133" s="1" t="s">
        <v>6450</v>
      </c>
      <c r="B133" s="1" t="s">
        <v>439</v>
      </c>
      <c r="C133" s="1" t="s">
        <v>6451</v>
      </c>
    </row>
    <row r="134" spans="1:3">
      <c r="A134" s="1" t="s">
        <v>6452</v>
      </c>
      <c r="B134" s="1" t="s">
        <v>445</v>
      </c>
      <c r="C134" s="1" t="s">
        <v>447</v>
      </c>
    </row>
    <row r="135" spans="1:3">
      <c r="A135" s="1" t="s">
        <v>6453</v>
      </c>
      <c r="B135" s="1" t="s">
        <v>448</v>
      </c>
      <c r="C135" s="1" t="s">
        <v>451</v>
      </c>
    </row>
    <row r="136" spans="1:3">
      <c r="A136" s="1" t="s">
        <v>6454</v>
      </c>
      <c r="B136" s="1" t="s">
        <v>452</v>
      </c>
      <c r="C136" s="1" t="s">
        <v>454</v>
      </c>
    </row>
    <row r="137" spans="1:3">
      <c r="A137" s="1" t="s">
        <v>6455</v>
      </c>
      <c r="B137" s="1" t="s">
        <v>455</v>
      </c>
      <c r="C137" s="1" t="s">
        <v>457</v>
      </c>
    </row>
    <row r="138" spans="1:3">
      <c r="A138" s="1" t="s">
        <v>6456</v>
      </c>
      <c r="B138" s="1" t="s">
        <v>459</v>
      </c>
      <c r="C138" s="1" t="s">
        <v>6457</v>
      </c>
    </row>
    <row r="139" spans="1:3">
      <c r="A139" s="1" t="s">
        <v>6458</v>
      </c>
      <c r="B139" s="1" t="s">
        <v>465</v>
      </c>
      <c r="C139" s="1" t="s">
        <v>466</v>
      </c>
    </row>
    <row r="140" spans="1:3">
      <c r="A140" s="1" t="s">
        <v>6459</v>
      </c>
      <c r="B140" s="1" t="s">
        <v>467</v>
      </c>
      <c r="C140" s="1" t="s">
        <v>6274</v>
      </c>
    </row>
    <row r="141" spans="1:3">
      <c r="A141" s="1" t="s">
        <v>6460</v>
      </c>
      <c r="B141" s="1" t="s">
        <v>468</v>
      </c>
      <c r="C141" s="1" t="s">
        <v>471</v>
      </c>
    </row>
    <row r="142" spans="1:3">
      <c r="A142" s="1" t="s">
        <v>6461</v>
      </c>
      <c r="B142" s="1" t="s">
        <v>472</v>
      </c>
      <c r="C142" s="1" t="s">
        <v>6462</v>
      </c>
    </row>
    <row r="143" spans="1:3">
      <c r="A143" s="1" t="s">
        <v>6463</v>
      </c>
      <c r="B143" s="1" t="s">
        <v>473</v>
      </c>
      <c r="C143" s="1" t="s">
        <v>476</v>
      </c>
    </row>
    <row r="144" spans="1:3">
      <c r="A144" s="1" t="s">
        <v>6464</v>
      </c>
      <c r="B144" s="1" t="s">
        <v>477</v>
      </c>
      <c r="C144" s="1" t="s">
        <v>479</v>
      </c>
    </row>
    <row r="145" spans="1:3">
      <c r="A145" s="1" t="s">
        <v>6465</v>
      </c>
      <c r="B145" s="1" t="s">
        <v>480</v>
      </c>
      <c r="C145" s="1" t="s">
        <v>483</v>
      </c>
    </row>
    <row r="146" spans="1:3">
      <c r="A146" s="1" t="s">
        <v>6466</v>
      </c>
      <c r="B146" s="1" t="s">
        <v>484</v>
      </c>
      <c r="C146" s="1" t="s">
        <v>6218</v>
      </c>
    </row>
    <row r="147" spans="1:3">
      <c r="A147" s="1" t="s">
        <v>6467</v>
      </c>
      <c r="B147" s="1" t="s">
        <v>485</v>
      </c>
      <c r="C147" s="1" t="s">
        <v>487</v>
      </c>
    </row>
    <row r="148" spans="1:3">
      <c r="A148" s="1" t="s">
        <v>6468</v>
      </c>
      <c r="B148" s="1" t="s">
        <v>488</v>
      </c>
      <c r="C148" s="1" t="s">
        <v>6220</v>
      </c>
    </row>
    <row r="149" spans="1:3">
      <c r="A149" s="1" t="s">
        <v>6469</v>
      </c>
      <c r="B149" s="1" t="s">
        <v>489</v>
      </c>
      <c r="C149" s="1" t="s">
        <v>492</v>
      </c>
    </row>
    <row r="150" spans="1:3">
      <c r="A150" s="1" t="s">
        <v>6470</v>
      </c>
      <c r="B150" s="1" t="s">
        <v>493</v>
      </c>
      <c r="C150" s="1" t="s">
        <v>494</v>
      </c>
    </row>
    <row r="151" spans="1:3">
      <c r="A151" s="1" t="s">
        <v>6471</v>
      </c>
      <c r="B151" s="1" t="s">
        <v>495</v>
      </c>
      <c r="C151" s="1" t="s">
        <v>498</v>
      </c>
    </row>
    <row r="152" spans="1:3">
      <c r="A152" s="1" t="s">
        <v>6472</v>
      </c>
      <c r="B152" s="1" t="s">
        <v>499</v>
      </c>
      <c r="C152" s="1" t="s">
        <v>502</v>
      </c>
    </row>
    <row r="153" spans="1:3">
      <c r="A153" s="1" t="s">
        <v>6473</v>
      </c>
      <c r="B153" s="1" t="s">
        <v>503</v>
      </c>
      <c r="C153" s="1" t="s">
        <v>505</v>
      </c>
    </row>
    <row r="154" spans="1:3">
      <c r="A154" s="1" t="s">
        <v>6474</v>
      </c>
      <c r="B154" s="1" t="s">
        <v>506</v>
      </c>
      <c r="C154" s="1" t="s">
        <v>508</v>
      </c>
    </row>
    <row r="155" spans="1:3">
      <c r="A155" s="1" t="s">
        <v>6475</v>
      </c>
      <c r="B155" s="1" t="s">
        <v>509</v>
      </c>
      <c r="C155" s="1" t="s">
        <v>6476</v>
      </c>
    </row>
    <row r="156" spans="1:3">
      <c r="A156" s="1" t="s">
        <v>6477</v>
      </c>
      <c r="B156" s="1" t="s">
        <v>516</v>
      </c>
      <c r="C156" s="1" t="s">
        <v>6478</v>
      </c>
    </row>
    <row r="157" spans="1:3">
      <c r="A157" s="1" t="s">
        <v>6479</v>
      </c>
      <c r="B157" s="1" t="s">
        <v>521</v>
      </c>
      <c r="C157" s="1" t="s">
        <v>6222</v>
      </c>
    </row>
    <row r="158" spans="1:3">
      <c r="A158" s="1" t="s">
        <v>6480</v>
      </c>
      <c r="B158" s="1" t="s">
        <v>522</v>
      </c>
      <c r="C158" s="1" t="s">
        <v>524</v>
      </c>
    </row>
    <row r="159" spans="1:3">
      <c r="A159" s="1" t="s">
        <v>6481</v>
      </c>
      <c r="B159" s="1" t="s">
        <v>525</v>
      </c>
      <c r="C159" s="1" t="s">
        <v>527</v>
      </c>
    </row>
    <row r="160" spans="1:3">
      <c r="A160" s="1" t="s">
        <v>6482</v>
      </c>
      <c r="B160" s="1" t="s">
        <v>528</v>
      </c>
      <c r="C160" s="1" t="s">
        <v>530</v>
      </c>
    </row>
    <row r="161" spans="1:3">
      <c r="A161" s="1" t="s">
        <v>6483</v>
      </c>
      <c r="B161" s="1" t="s">
        <v>531</v>
      </c>
      <c r="C161" s="1" t="s">
        <v>533</v>
      </c>
    </row>
    <row r="162" spans="1:3">
      <c r="A162" s="1" t="s">
        <v>6484</v>
      </c>
      <c r="B162" s="1" t="s">
        <v>534</v>
      </c>
      <c r="C162" s="1" t="s">
        <v>536</v>
      </c>
    </row>
    <row r="163" spans="1:3">
      <c r="A163" s="1" t="s">
        <v>6485</v>
      </c>
      <c r="B163" s="1" t="s">
        <v>537</v>
      </c>
      <c r="C163" s="1" t="s">
        <v>538</v>
      </c>
    </row>
    <row r="164" spans="1:3">
      <c r="A164" s="1" t="s">
        <v>6486</v>
      </c>
      <c r="B164" s="1" t="s">
        <v>539</v>
      </c>
      <c r="C164" s="1" t="s">
        <v>541</v>
      </c>
    </row>
    <row r="165" spans="1:3">
      <c r="A165" s="1" t="s">
        <v>6487</v>
      </c>
      <c r="B165" s="1" t="s">
        <v>542</v>
      </c>
      <c r="C165" s="1" t="s">
        <v>544</v>
      </c>
    </row>
    <row r="166" spans="1:3">
      <c r="A166" s="1" t="s">
        <v>6488</v>
      </c>
      <c r="B166" s="1" t="s">
        <v>545</v>
      </c>
      <c r="C166" s="1" t="s">
        <v>547</v>
      </c>
    </row>
    <row r="167" spans="1:3">
      <c r="A167" s="1" t="s">
        <v>6489</v>
      </c>
      <c r="B167" s="1" t="s">
        <v>548</v>
      </c>
      <c r="C167" s="1" t="s">
        <v>6490</v>
      </c>
    </row>
    <row r="168" spans="1:3">
      <c r="A168" s="1" t="s">
        <v>6491</v>
      </c>
      <c r="B168" s="1" t="s">
        <v>553</v>
      </c>
      <c r="C168" s="1" t="s">
        <v>555</v>
      </c>
    </row>
    <row r="169" spans="1:3">
      <c r="A169" s="1" t="s">
        <v>6492</v>
      </c>
      <c r="B169" s="1" t="s">
        <v>556</v>
      </c>
      <c r="C169" s="1" t="s">
        <v>558</v>
      </c>
    </row>
    <row r="170" spans="1:3">
      <c r="A170" s="1" t="s">
        <v>6493</v>
      </c>
      <c r="B170" s="1" t="s">
        <v>560</v>
      </c>
      <c r="C170" s="1" t="s">
        <v>3357</v>
      </c>
    </row>
    <row r="171" spans="1:3">
      <c r="A171" s="1" t="s">
        <v>6494</v>
      </c>
      <c r="B171" s="1" t="s">
        <v>561</v>
      </c>
      <c r="C171" s="1" t="s">
        <v>6495</v>
      </c>
    </row>
    <row r="172" spans="1:3">
      <c r="A172" s="1" t="s">
        <v>6496</v>
      </c>
      <c r="B172" s="1" t="s">
        <v>565</v>
      </c>
      <c r="C172" s="1" t="s">
        <v>567</v>
      </c>
    </row>
    <row r="173" spans="1:3">
      <c r="A173" s="1" t="s">
        <v>6497</v>
      </c>
      <c r="B173" s="1" t="s">
        <v>568</v>
      </c>
      <c r="C173" s="1" t="s">
        <v>570</v>
      </c>
    </row>
    <row r="174" spans="1:3">
      <c r="A174" s="1" t="s">
        <v>6498</v>
      </c>
      <c r="B174" s="1" t="s">
        <v>571</v>
      </c>
      <c r="C174" s="1" t="s">
        <v>573</v>
      </c>
    </row>
    <row r="175" spans="1:3">
      <c r="A175" s="1" t="s">
        <v>6499</v>
      </c>
      <c r="B175" s="1" t="s">
        <v>575</v>
      </c>
      <c r="C175" s="1" t="s">
        <v>577</v>
      </c>
    </row>
    <row r="176" spans="1:3">
      <c r="A176" s="1" t="s">
        <v>6500</v>
      </c>
      <c r="B176" s="1" t="s">
        <v>578</v>
      </c>
      <c r="C176" s="1" t="s">
        <v>580</v>
      </c>
    </row>
    <row r="177" spans="1:3">
      <c r="A177" s="1" t="s">
        <v>6501</v>
      </c>
      <c r="B177" s="1" t="s">
        <v>581</v>
      </c>
      <c r="C177" s="1" t="s">
        <v>583</v>
      </c>
    </row>
    <row r="178" spans="1:3">
      <c r="A178" s="1" t="s">
        <v>6502</v>
      </c>
      <c r="B178" s="1" t="s">
        <v>588</v>
      </c>
      <c r="C178" s="1" t="s">
        <v>590</v>
      </c>
    </row>
    <row r="179" spans="1:3">
      <c r="A179" s="1" t="s">
        <v>6503</v>
      </c>
      <c r="B179" s="1" t="s">
        <v>592</v>
      </c>
      <c r="C179" s="1" t="s">
        <v>594</v>
      </c>
    </row>
    <row r="180" spans="1:3">
      <c r="A180" s="1" t="s">
        <v>6504</v>
      </c>
      <c r="B180" s="1" t="s">
        <v>595</v>
      </c>
      <c r="C180" s="1" t="s">
        <v>597</v>
      </c>
    </row>
    <row r="181" spans="1:3">
      <c r="A181" s="1" t="s">
        <v>6505</v>
      </c>
      <c r="B181" s="1" t="s">
        <v>598</v>
      </c>
      <c r="C181" s="1" t="s">
        <v>600</v>
      </c>
    </row>
    <row r="182" spans="1:3">
      <c r="A182" s="1" t="s">
        <v>6506</v>
      </c>
      <c r="B182" s="1" t="s">
        <v>603</v>
      </c>
      <c r="C182" s="1" t="s">
        <v>605</v>
      </c>
    </row>
    <row r="183" spans="1:3">
      <c r="A183" s="1" t="s">
        <v>6507</v>
      </c>
      <c r="B183" s="1" t="s">
        <v>608</v>
      </c>
      <c r="C183" s="1" t="s">
        <v>6508</v>
      </c>
    </row>
    <row r="184" spans="1:3">
      <c r="A184" s="1" t="s">
        <v>6509</v>
      </c>
      <c r="B184" s="1" t="s">
        <v>614</v>
      </c>
      <c r="C184" s="1" t="s">
        <v>6510</v>
      </c>
    </row>
    <row r="185" spans="1:3">
      <c r="A185" s="1" t="s">
        <v>6511</v>
      </c>
      <c r="B185" s="1" t="s">
        <v>623</v>
      </c>
      <c r="C185" s="1" t="s">
        <v>6512</v>
      </c>
    </row>
    <row r="186" spans="1:3">
      <c r="A186" s="1" t="s">
        <v>6513</v>
      </c>
      <c r="B186" s="1" t="s">
        <v>629</v>
      </c>
      <c r="C186" s="1" t="s">
        <v>6514</v>
      </c>
    </row>
    <row r="187" spans="1:3">
      <c r="A187" s="1" t="s">
        <v>6515</v>
      </c>
      <c r="B187" s="1" t="s">
        <v>636</v>
      </c>
      <c r="C187" s="1" t="s">
        <v>6516</v>
      </c>
    </row>
    <row r="188" spans="1:3">
      <c r="A188" s="1" t="s">
        <v>6517</v>
      </c>
      <c r="B188" s="1" t="s">
        <v>641</v>
      </c>
      <c r="C188" s="1" t="s">
        <v>6518</v>
      </c>
    </row>
    <row r="189" spans="1:3">
      <c r="A189" s="1" t="s">
        <v>6519</v>
      </c>
      <c r="B189" s="1" t="s">
        <v>647</v>
      </c>
      <c r="C189" s="1" t="s">
        <v>6520</v>
      </c>
    </row>
    <row r="190" spans="1:3">
      <c r="A190" s="1" t="s">
        <v>6521</v>
      </c>
      <c r="B190" s="1" t="s">
        <v>653</v>
      </c>
      <c r="C190" s="1" t="s">
        <v>6522</v>
      </c>
    </row>
    <row r="191" spans="1:3">
      <c r="A191" s="1" t="s">
        <v>6523</v>
      </c>
      <c r="B191" s="1" t="s">
        <v>660</v>
      </c>
      <c r="C191" s="1" t="s">
        <v>6524</v>
      </c>
    </row>
    <row r="192" spans="1:3">
      <c r="A192" s="1" t="s">
        <v>6525</v>
      </c>
      <c r="B192" s="1" t="s">
        <v>667</v>
      </c>
      <c r="C192" s="1" t="s">
        <v>6526</v>
      </c>
    </row>
    <row r="193" spans="1:3">
      <c r="A193" s="1" t="s">
        <v>6527</v>
      </c>
      <c r="B193" s="1" t="s">
        <v>674</v>
      </c>
      <c r="C193" s="1" t="s">
        <v>6528</v>
      </c>
    </row>
    <row r="194" spans="1:3">
      <c r="A194" s="1" t="s">
        <v>6529</v>
      </c>
      <c r="B194" s="1" t="s">
        <v>680</v>
      </c>
      <c r="C194" s="1" t="s">
        <v>6530</v>
      </c>
    </row>
    <row r="195" spans="1:3">
      <c r="A195" s="1" t="s">
        <v>6531</v>
      </c>
      <c r="B195" s="1" t="s">
        <v>685</v>
      </c>
      <c r="C195" s="1" t="s">
        <v>6532</v>
      </c>
    </row>
    <row r="196" spans="1:3">
      <c r="A196" s="1" t="s">
        <v>6533</v>
      </c>
      <c r="B196" s="1" t="s">
        <v>691</v>
      </c>
      <c r="C196" s="1" t="s">
        <v>6534</v>
      </c>
    </row>
    <row r="197" spans="1:3">
      <c r="A197" s="1" t="s">
        <v>6535</v>
      </c>
      <c r="B197" s="1" t="s">
        <v>698</v>
      </c>
      <c r="C197" s="1" t="s">
        <v>6536</v>
      </c>
    </row>
    <row r="198" spans="1:3">
      <c r="A198" s="1" t="s">
        <v>6537</v>
      </c>
      <c r="B198" s="1" t="s">
        <v>704</v>
      </c>
      <c r="C198" s="1" t="s">
        <v>6538</v>
      </c>
    </row>
    <row r="199" spans="1:3">
      <c r="A199" s="1" t="s">
        <v>6539</v>
      </c>
      <c r="B199" s="1" t="s">
        <v>711</v>
      </c>
      <c r="C199" s="1" t="s">
        <v>6540</v>
      </c>
    </row>
    <row r="200" spans="1:3">
      <c r="A200" s="1" t="s">
        <v>6541</v>
      </c>
      <c r="B200" s="1" t="s">
        <v>717</v>
      </c>
      <c r="C200" s="1" t="s">
        <v>6542</v>
      </c>
    </row>
    <row r="201" spans="1:3">
      <c r="A201" s="1" t="s">
        <v>6543</v>
      </c>
      <c r="B201" s="1" t="s">
        <v>722</v>
      </c>
      <c r="C201" s="1" t="s">
        <v>6544</v>
      </c>
    </row>
    <row r="202" spans="1:3">
      <c r="A202" s="1" t="s">
        <v>6545</v>
      </c>
      <c r="B202" s="1" t="s">
        <v>728</v>
      </c>
      <c r="C202" s="1" t="s">
        <v>6546</v>
      </c>
    </row>
    <row r="203" spans="1:3">
      <c r="A203" s="1" t="s">
        <v>6547</v>
      </c>
      <c r="B203" s="1" t="s">
        <v>734</v>
      </c>
      <c r="C203" s="1" t="s">
        <v>6548</v>
      </c>
    </row>
    <row r="204" spans="1:3">
      <c r="A204" s="1" t="s">
        <v>6549</v>
      </c>
      <c r="B204" s="1" t="s">
        <v>739</v>
      </c>
      <c r="C204" s="1" t="s">
        <v>6550</v>
      </c>
    </row>
    <row r="205" spans="1:3">
      <c r="A205" s="1" t="s">
        <v>6551</v>
      </c>
      <c r="B205" s="1" t="s">
        <v>745</v>
      </c>
      <c r="C205" s="1" t="s">
        <v>6552</v>
      </c>
    </row>
    <row r="206" spans="1:3">
      <c r="A206" s="1" t="s">
        <v>6553</v>
      </c>
      <c r="B206" s="1" t="s">
        <v>751</v>
      </c>
      <c r="C206" s="1" t="s">
        <v>6554</v>
      </c>
    </row>
    <row r="207" spans="1:3">
      <c r="A207" s="1" t="s">
        <v>6555</v>
      </c>
      <c r="B207" s="1" t="s">
        <v>757</v>
      </c>
      <c r="C207" s="1" t="s">
        <v>6556</v>
      </c>
    </row>
    <row r="208" spans="1:3">
      <c r="A208" s="1" t="s">
        <v>6557</v>
      </c>
      <c r="B208" s="1" t="s">
        <v>763</v>
      </c>
      <c r="C208" s="1" t="s">
        <v>6558</v>
      </c>
    </row>
    <row r="209" spans="1:3">
      <c r="A209" s="1" t="s">
        <v>6559</v>
      </c>
      <c r="B209" s="1" t="s">
        <v>770</v>
      </c>
      <c r="C209" s="1" t="s">
        <v>6560</v>
      </c>
    </row>
    <row r="210" spans="1:3">
      <c r="A210" s="1" t="s">
        <v>6561</v>
      </c>
      <c r="B210" s="1" t="s">
        <v>776</v>
      </c>
      <c r="C210" s="1" t="s">
        <v>6562</v>
      </c>
    </row>
    <row r="211" spans="1:3">
      <c r="A211" s="1" t="s">
        <v>6563</v>
      </c>
      <c r="B211" s="1" t="s">
        <v>782</v>
      </c>
      <c r="C211" s="1" t="s">
        <v>6564</v>
      </c>
    </row>
    <row r="212" spans="1:3">
      <c r="A212" s="1" t="s">
        <v>6565</v>
      </c>
      <c r="B212" s="1" t="s">
        <v>787</v>
      </c>
      <c r="C212" s="1" t="s">
        <v>6566</v>
      </c>
    </row>
    <row r="213" spans="1:3">
      <c r="A213" s="1" t="s">
        <v>6567</v>
      </c>
      <c r="B213" s="1" t="s">
        <v>792</v>
      </c>
      <c r="C213" s="1" t="s">
        <v>6275</v>
      </c>
    </row>
    <row r="214" spans="1:3">
      <c r="A214" s="1" t="s">
        <v>6568</v>
      </c>
      <c r="B214" s="1" t="s">
        <v>793</v>
      </c>
      <c r="C214" s="1" t="s">
        <v>6569</v>
      </c>
    </row>
    <row r="215" spans="1:3">
      <c r="A215" s="1" t="s">
        <v>6570</v>
      </c>
      <c r="B215" s="1" t="s">
        <v>799</v>
      </c>
      <c r="C215" s="1" t="s">
        <v>6571</v>
      </c>
    </row>
    <row r="216" spans="1:3">
      <c r="A216" s="1" t="s">
        <v>6572</v>
      </c>
      <c r="B216" s="1" t="s">
        <v>805</v>
      </c>
      <c r="C216" s="1" t="s">
        <v>6573</v>
      </c>
    </row>
    <row r="217" spans="1:3">
      <c r="A217" s="1" t="s">
        <v>6574</v>
      </c>
      <c r="B217" s="1" t="s">
        <v>809</v>
      </c>
      <c r="C217" s="1" t="s">
        <v>6575</v>
      </c>
    </row>
    <row r="218" spans="1:3">
      <c r="A218" s="1" t="s">
        <v>6576</v>
      </c>
      <c r="B218" s="1" t="s">
        <v>814</v>
      </c>
      <c r="C218" s="1" t="s">
        <v>6577</v>
      </c>
    </row>
    <row r="219" spans="1:3">
      <c r="A219" s="1" t="s">
        <v>6578</v>
      </c>
      <c r="B219" s="1" t="s">
        <v>820</v>
      </c>
      <c r="C219" s="1" t="s">
        <v>6579</v>
      </c>
    </row>
    <row r="220" spans="1:3">
      <c r="A220" s="1" t="s">
        <v>6580</v>
      </c>
      <c r="B220" s="1" t="s">
        <v>827</v>
      </c>
      <c r="C220" s="1" t="s">
        <v>6581</v>
      </c>
    </row>
    <row r="221" spans="1:3">
      <c r="A221" s="1" t="s">
        <v>6582</v>
      </c>
      <c r="B221" s="1" t="s">
        <v>835</v>
      </c>
      <c r="C221" s="1" t="s">
        <v>6583</v>
      </c>
    </row>
    <row r="222" spans="1:3">
      <c r="A222" s="1" t="s">
        <v>6584</v>
      </c>
      <c r="B222" s="1" t="s">
        <v>841</v>
      </c>
      <c r="C222" s="1" t="s">
        <v>6585</v>
      </c>
    </row>
    <row r="223" spans="1:3">
      <c r="A223" s="1" t="s">
        <v>6586</v>
      </c>
      <c r="B223" s="1" t="s">
        <v>845</v>
      </c>
      <c r="C223" s="1" t="s">
        <v>6587</v>
      </c>
    </row>
    <row r="224" spans="1:3">
      <c r="A224" s="1" t="s">
        <v>6588</v>
      </c>
      <c r="B224" s="1" t="s">
        <v>851</v>
      </c>
      <c r="C224" s="1" t="s">
        <v>6589</v>
      </c>
    </row>
    <row r="225" spans="1:3">
      <c r="A225" s="1" t="s">
        <v>6590</v>
      </c>
      <c r="B225" s="1" t="s">
        <v>856</v>
      </c>
      <c r="C225" s="1" t="s">
        <v>6591</v>
      </c>
    </row>
    <row r="226" spans="1:3">
      <c r="A226" s="1" t="s">
        <v>6592</v>
      </c>
      <c r="B226" s="1" t="s">
        <v>863</v>
      </c>
      <c r="C226" s="1" t="s">
        <v>6593</v>
      </c>
    </row>
    <row r="227" spans="1:3">
      <c r="A227" s="1" t="s">
        <v>6594</v>
      </c>
      <c r="B227" s="1" t="s">
        <v>870</v>
      </c>
      <c r="C227" s="1" t="s">
        <v>6595</v>
      </c>
    </row>
    <row r="228" spans="1:3">
      <c r="A228" s="1" t="s">
        <v>6596</v>
      </c>
      <c r="B228" s="1" t="s">
        <v>875</v>
      </c>
      <c r="C228" s="1" t="s">
        <v>6597</v>
      </c>
    </row>
    <row r="229" spans="1:3">
      <c r="A229" s="1" t="s">
        <v>6598</v>
      </c>
      <c r="B229" s="1" t="s">
        <v>880</v>
      </c>
      <c r="C229" s="1" t="s">
        <v>6599</v>
      </c>
    </row>
    <row r="230" spans="1:3">
      <c r="A230" s="1" t="s">
        <v>6600</v>
      </c>
      <c r="B230" s="1" t="s">
        <v>885</v>
      </c>
      <c r="C230" s="1" t="s">
        <v>6601</v>
      </c>
    </row>
    <row r="231" spans="1:3">
      <c r="A231" s="1" t="s">
        <v>6602</v>
      </c>
      <c r="B231" s="1" t="s">
        <v>889</v>
      </c>
      <c r="C231" s="1" t="s">
        <v>6603</v>
      </c>
    </row>
    <row r="232" spans="1:3">
      <c r="A232" s="1" t="s">
        <v>6604</v>
      </c>
      <c r="B232" s="1" t="s">
        <v>893</v>
      </c>
      <c r="C232" s="1" t="s">
        <v>6605</v>
      </c>
    </row>
    <row r="233" spans="1:3">
      <c r="A233" s="1" t="s">
        <v>6606</v>
      </c>
      <c r="B233" s="1" t="s">
        <v>899</v>
      </c>
      <c r="C233" s="1" t="s">
        <v>6607</v>
      </c>
    </row>
    <row r="234" spans="1:3">
      <c r="A234" s="1" t="s">
        <v>6608</v>
      </c>
      <c r="B234" s="1" t="s">
        <v>903</v>
      </c>
      <c r="C234" s="1" t="s">
        <v>6609</v>
      </c>
    </row>
    <row r="235" spans="1:3">
      <c r="A235" s="1" t="s">
        <v>6610</v>
      </c>
      <c r="B235" s="1" t="s">
        <v>910</v>
      </c>
      <c r="C235" s="1" t="s">
        <v>6611</v>
      </c>
    </row>
    <row r="236" spans="1:3">
      <c r="A236" s="1" t="s">
        <v>6612</v>
      </c>
      <c r="B236" s="1" t="s">
        <v>916</v>
      </c>
      <c r="C236" s="1" t="s">
        <v>6613</v>
      </c>
    </row>
    <row r="237" spans="1:3">
      <c r="A237" s="1" t="s">
        <v>6614</v>
      </c>
      <c r="B237" s="1" t="s">
        <v>920</v>
      </c>
      <c r="C237" s="1" t="s">
        <v>6615</v>
      </c>
    </row>
    <row r="238" spans="1:3">
      <c r="A238" s="1" t="s">
        <v>6616</v>
      </c>
      <c r="B238" s="1" t="s">
        <v>927</v>
      </c>
      <c r="C238" s="1" t="s">
        <v>6617</v>
      </c>
    </row>
    <row r="239" spans="1:3">
      <c r="A239" s="1" t="s">
        <v>6618</v>
      </c>
      <c r="B239" s="1" t="s">
        <v>933</v>
      </c>
      <c r="C239" s="1" t="s">
        <v>6619</v>
      </c>
    </row>
    <row r="240" spans="1:3">
      <c r="A240" s="1" t="s">
        <v>6620</v>
      </c>
      <c r="B240" s="1" t="s">
        <v>937</v>
      </c>
      <c r="C240" s="1" t="s">
        <v>6621</v>
      </c>
    </row>
    <row r="241" spans="1:3">
      <c r="A241" s="1" t="s">
        <v>6622</v>
      </c>
      <c r="B241" s="1" t="s">
        <v>942</v>
      </c>
      <c r="C241" s="1" t="s">
        <v>6623</v>
      </c>
    </row>
    <row r="242" spans="1:3">
      <c r="A242" s="1" t="s">
        <v>6624</v>
      </c>
      <c r="B242" s="1" t="s">
        <v>947</v>
      </c>
      <c r="C242" s="1" t="s">
        <v>6625</v>
      </c>
    </row>
    <row r="243" spans="1:3">
      <c r="A243" s="1" t="s">
        <v>6626</v>
      </c>
      <c r="B243" s="1" t="s">
        <v>953</v>
      </c>
      <c r="C243" s="1" t="s">
        <v>6627</v>
      </c>
    </row>
    <row r="244" spans="1:3">
      <c r="A244" s="1" t="s">
        <v>6628</v>
      </c>
      <c r="B244" s="1" t="s">
        <v>6629</v>
      </c>
      <c r="C244" s="1" t="s">
        <v>6630</v>
      </c>
    </row>
    <row r="245" spans="1:3">
      <c r="A245" s="1" t="s">
        <v>6631</v>
      </c>
      <c r="B245" s="1" t="s">
        <v>965</v>
      </c>
      <c r="C245" s="1" t="s">
        <v>6632</v>
      </c>
    </row>
    <row r="246" spans="1:3">
      <c r="A246" s="1" t="s">
        <v>6633</v>
      </c>
      <c r="B246" s="1" t="s">
        <v>972</v>
      </c>
      <c r="C246" s="1" t="s">
        <v>6634</v>
      </c>
    </row>
    <row r="247" spans="1:3">
      <c r="A247" s="1" t="s">
        <v>6635</v>
      </c>
      <c r="B247" s="1" t="s">
        <v>978</v>
      </c>
      <c r="C247" s="1" t="s">
        <v>6636</v>
      </c>
    </row>
    <row r="248" spans="1:3">
      <c r="A248" s="1" t="s">
        <v>6637</v>
      </c>
      <c r="B248" s="1" t="s">
        <v>984</v>
      </c>
      <c r="C248" s="1" t="s">
        <v>6638</v>
      </c>
    </row>
    <row r="249" spans="1:3">
      <c r="A249" s="1" t="s">
        <v>6639</v>
      </c>
      <c r="B249" s="1" t="s">
        <v>991</v>
      </c>
      <c r="C249" s="1" t="s">
        <v>6640</v>
      </c>
    </row>
    <row r="250" spans="1:3">
      <c r="A250" s="1" t="s">
        <v>6641</v>
      </c>
      <c r="B250" s="1" t="s">
        <v>997</v>
      </c>
      <c r="C250" s="1" t="s">
        <v>6642</v>
      </c>
    </row>
    <row r="251" spans="1:3">
      <c r="A251" s="1" t="s">
        <v>6643</v>
      </c>
      <c r="B251" s="1" t="s">
        <v>1002</v>
      </c>
      <c r="C251" s="1" t="s">
        <v>6644</v>
      </c>
    </row>
    <row r="252" spans="1:3">
      <c r="A252" s="1" t="s">
        <v>6645</v>
      </c>
      <c r="B252" s="1" t="s">
        <v>1009</v>
      </c>
      <c r="C252" s="1" t="s">
        <v>6646</v>
      </c>
    </row>
    <row r="253" spans="1:3">
      <c r="A253" s="1" t="s">
        <v>6647</v>
      </c>
      <c r="B253" s="1" t="s">
        <v>1015</v>
      </c>
      <c r="C253" s="1" t="s">
        <v>6648</v>
      </c>
    </row>
    <row r="254" spans="1:3">
      <c r="A254" s="1" t="s">
        <v>6649</v>
      </c>
      <c r="B254" s="1" t="s">
        <v>1021</v>
      </c>
      <c r="C254" s="1" t="s">
        <v>6650</v>
      </c>
    </row>
    <row r="255" spans="1:3">
      <c r="A255" s="1" t="s">
        <v>6651</v>
      </c>
      <c r="B255" s="1" t="s">
        <v>1028</v>
      </c>
      <c r="C255" s="1" t="s">
        <v>6652</v>
      </c>
    </row>
    <row r="256" spans="1:3">
      <c r="A256" s="1" t="s">
        <v>6653</v>
      </c>
      <c r="B256" s="1" t="s">
        <v>1034</v>
      </c>
      <c r="C256" s="1" t="s">
        <v>6654</v>
      </c>
    </row>
    <row r="257" spans="1:3">
      <c r="A257" s="1" t="s">
        <v>6655</v>
      </c>
      <c r="B257" s="1" t="s">
        <v>1041</v>
      </c>
      <c r="C257" s="1" t="s">
        <v>6656</v>
      </c>
    </row>
    <row r="258" spans="1:3">
      <c r="A258" s="1" t="s">
        <v>6657</v>
      </c>
      <c r="B258" s="1" t="s">
        <v>1047</v>
      </c>
      <c r="C258" s="1" t="s">
        <v>6658</v>
      </c>
    </row>
    <row r="259" spans="1:3">
      <c r="A259" s="1" t="s">
        <v>6659</v>
      </c>
      <c r="B259" s="1" t="s">
        <v>1053</v>
      </c>
      <c r="C259" s="1" t="s">
        <v>6660</v>
      </c>
    </row>
    <row r="260" spans="1:3">
      <c r="A260" s="1" t="s">
        <v>6661</v>
      </c>
      <c r="B260" s="1" t="s">
        <v>1059</v>
      </c>
      <c r="C260" s="1" t="s">
        <v>6662</v>
      </c>
    </row>
    <row r="261" spans="1:3">
      <c r="A261" s="1" t="s">
        <v>6663</v>
      </c>
      <c r="B261" s="1" t="s">
        <v>1066</v>
      </c>
      <c r="C261" s="1" t="s">
        <v>6664</v>
      </c>
    </row>
    <row r="262" spans="1:3">
      <c r="A262" s="1" t="s">
        <v>6665</v>
      </c>
      <c r="B262" s="1" t="s">
        <v>1072</v>
      </c>
      <c r="C262" s="1" t="s">
        <v>6666</v>
      </c>
    </row>
    <row r="263" spans="1:3">
      <c r="A263" s="1" t="s">
        <v>6667</v>
      </c>
      <c r="B263" s="1" t="s">
        <v>1079</v>
      </c>
      <c r="C263" s="1" t="s">
        <v>6668</v>
      </c>
    </row>
    <row r="264" spans="1:3">
      <c r="A264" s="1" t="s">
        <v>6669</v>
      </c>
      <c r="B264" s="1" t="s">
        <v>1085</v>
      </c>
      <c r="C264" s="1" t="s">
        <v>6670</v>
      </c>
    </row>
    <row r="265" spans="1:3">
      <c r="A265" s="1" t="s">
        <v>6671</v>
      </c>
      <c r="B265" s="1" t="s">
        <v>1092</v>
      </c>
      <c r="C265" s="1" t="s">
        <v>6672</v>
      </c>
    </row>
    <row r="266" spans="1:3">
      <c r="A266" s="1" t="s">
        <v>6673</v>
      </c>
      <c r="B266" s="1" t="s">
        <v>1099</v>
      </c>
      <c r="C266" s="1" t="s">
        <v>6674</v>
      </c>
    </row>
    <row r="267" spans="1:3">
      <c r="A267" s="1" t="s">
        <v>6675</v>
      </c>
      <c r="B267" s="1" t="s">
        <v>1106</v>
      </c>
      <c r="C267" s="1" t="s">
        <v>6676</v>
      </c>
    </row>
    <row r="268" spans="1:3">
      <c r="A268" s="1" t="s">
        <v>6677</v>
      </c>
      <c r="B268" s="1" t="s">
        <v>1113</v>
      </c>
      <c r="C268" s="1" t="s">
        <v>6678</v>
      </c>
    </row>
    <row r="269" spans="1:3">
      <c r="A269" s="1" t="s">
        <v>6679</v>
      </c>
      <c r="B269" s="1" t="s">
        <v>1120</v>
      </c>
      <c r="C269" s="1" t="s">
        <v>6680</v>
      </c>
    </row>
    <row r="270" spans="1:3">
      <c r="A270" s="1" t="s">
        <v>6681</v>
      </c>
      <c r="B270" s="1" t="s">
        <v>1123</v>
      </c>
      <c r="C270" s="1" t="s">
        <v>6682</v>
      </c>
    </row>
    <row r="271" spans="1:3">
      <c r="A271" s="1" t="s">
        <v>6683</v>
      </c>
      <c r="B271" s="1" t="s">
        <v>1127</v>
      </c>
      <c r="C271" s="1" t="s">
        <v>6684</v>
      </c>
    </row>
    <row r="272" spans="1:3">
      <c r="A272" s="1" t="s">
        <v>6685</v>
      </c>
      <c r="B272" s="1" t="s">
        <v>1131</v>
      </c>
      <c r="C272" s="1" t="s">
        <v>6686</v>
      </c>
    </row>
    <row r="273" spans="1:3">
      <c r="A273" s="1" t="s">
        <v>6687</v>
      </c>
      <c r="B273" s="1" t="s">
        <v>1136</v>
      </c>
      <c r="C273" s="1" t="s">
        <v>6688</v>
      </c>
    </row>
    <row r="274" spans="1:3">
      <c r="A274" s="1" t="s">
        <v>6689</v>
      </c>
      <c r="B274" s="1" t="s">
        <v>1140</v>
      </c>
      <c r="C274" s="1" t="s">
        <v>6690</v>
      </c>
    </row>
    <row r="275" spans="1:3">
      <c r="A275" s="1" t="s">
        <v>6691</v>
      </c>
      <c r="B275" s="1" t="s">
        <v>1142</v>
      </c>
      <c r="C275" s="1" t="s">
        <v>6692</v>
      </c>
    </row>
    <row r="276" spans="1:3">
      <c r="A276" s="1" t="s">
        <v>6693</v>
      </c>
      <c r="B276" s="1" t="s">
        <v>1145</v>
      </c>
      <c r="C276" s="1" t="s">
        <v>1149</v>
      </c>
    </row>
    <row r="277" spans="1:3">
      <c r="A277" s="1" t="s">
        <v>6694</v>
      </c>
      <c r="B277" s="1" t="s">
        <v>1146</v>
      </c>
      <c r="C277" s="1" t="s">
        <v>6695</v>
      </c>
    </row>
    <row r="278" spans="1:3">
      <c r="A278" s="1" t="s">
        <v>6696</v>
      </c>
      <c r="B278" s="1" t="s">
        <v>1150</v>
      </c>
      <c r="C278" s="1" t="s">
        <v>6697</v>
      </c>
    </row>
    <row r="279" spans="1:3">
      <c r="A279" s="1" t="s">
        <v>6698</v>
      </c>
      <c r="B279" s="1" t="s">
        <v>1153</v>
      </c>
      <c r="C279" s="1" t="s">
        <v>6699</v>
      </c>
    </row>
    <row r="280" spans="1:3">
      <c r="A280" s="1" t="s">
        <v>6700</v>
      </c>
      <c r="B280" s="1" t="s">
        <v>1156</v>
      </c>
      <c r="C280" s="1" t="s">
        <v>6701</v>
      </c>
    </row>
    <row r="281" spans="1:3">
      <c r="A281" s="1" t="s">
        <v>6702</v>
      </c>
      <c r="B281" s="1" t="s">
        <v>1159</v>
      </c>
      <c r="C281" s="1" t="s">
        <v>6703</v>
      </c>
    </row>
    <row r="282" spans="1:3">
      <c r="A282" s="1" t="s">
        <v>6704</v>
      </c>
      <c r="B282" s="1" t="s">
        <v>1162</v>
      </c>
      <c r="C282" s="1" t="s">
        <v>6705</v>
      </c>
    </row>
    <row r="283" spans="1:3">
      <c r="A283" s="1" t="s">
        <v>6706</v>
      </c>
      <c r="B283" s="1" t="s">
        <v>1166</v>
      </c>
      <c r="C283" s="1" t="s">
        <v>6707</v>
      </c>
    </row>
    <row r="284" spans="1:3">
      <c r="A284" s="1" t="s">
        <v>6708</v>
      </c>
      <c r="B284" s="1" t="s">
        <v>1169</v>
      </c>
      <c r="C284" s="1" t="s">
        <v>6709</v>
      </c>
    </row>
    <row r="285" spans="1:3">
      <c r="A285" s="1" t="s">
        <v>6710</v>
      </c>
      <c r="B285" s="1" t="s">
        <v>1174</v>
      </c>
      <c r="C285" s="1" t="s">
        <v>6711</v>
      </c>
    </row>
    <row r="286" spans="1:3">
      <c r="A286" s="1" t="s">
        <v>6712</v>
      </c>
      <c r="B286" s="1" t="s">
        <v>1179</v>
      </c>
      <c r="C286" s="1" t="s">
        <v>6713</v>
      </c>
    </row>
    <row r="287" spans="1:3">
      <c r="A287" s="1" t="s">
        <v>6714</v>
      </c>
      <c r="B287" s="1" t="s">
        <v>1182</v>
      </c>
      <c r="C287" s="1" t="s">
        <v>6715</v>
      </c>
    </row>
    <row r="288" spans="1:3">
      <c r="A288" s="1" t="s">
        <v>6716</v>
      </c>
      <c r="B288" s="1" t="s">
        <v>1185</v>
      </c>
      <c r="C288" s="1" t="s">
        <v>6717</v>
      </c>
    </row>
    <row r="289" spans="1:3">
      <c r="A289" s="1" t="s">
        <v>6718</v>
      </c>
      <c r="B289" s="1" t="s">
        <v>1190</v>
      </c>
      <c r="C289" s="1" t="s">
        <v>6719</v>
      </c>
    </row>
    <row r="290" spans="1:3">
      <c r="A290" s="1" t="s">
        <v>6720</v>
      </c>
      <c r="B290" s="1" t="s">
        <v>1194</v>
      </c>
      <c r="C290" s="1" t="s">
        <v>6721</v>
      </c>
    </row>
    <row r="291" spans="1:3">
      <c r="A291" s="1" t="s">
        <v>6722</v>
      </c>
      <c r="B291" s="1" t="s">
        <v>1198</v>
      </c>
      <c r="C291" s="1" t="s">
        <v>6723</v>
      </c>
    </row>
    <row r="292" spans="1:3">
      <c r="A292" s="1" t="s">
        <v>6724</v>
      </c>
      <c r="B292" s="1" t="s">
        <v>1201</v>
      </c>
      <c r="C292" s="1" t="s">
        <v>6725</v>
      </c>
    </row>
    <row r="293" spans="1:3">
      <c r="A293" s="1" t="s">
        <v>6726</v>
      </c>
      <c r="B293" s="1" t="s">
        <v>1204</v>
      </c>
      <c r="C293" s="1" t="s">
        <v>6727</v>
      </c>
    </row>
    <row r="294" spans="1:3">
      <c r="A294" s="1" t="s">
        <v>6728</v>
      </c>
      <c r="B294" s="1" t="s">
        <v>1207</v>
      </c>
      <c r="C294" s="1" t="s">
        <v>6729</v>
      </c>
    </row>
    <row r="295" spans="1:3">
      <c r="A295" s="1" t="s">
        <v>6730</v>
      </c>
      <c r="B295" s="1" t="s">
        <v>1212</v>
      </c>
      <c r="C295" s="1" t="s">
        <v>6731</v>
      </c>
    </row>
    <row r="296" spans="1:3">
      <c r="A296" s="1" t="s">
        <v>6732</v>
      </c>
      <c r="B296" s="1" t="s">
        <v>1217</v>
      </c>
      <c r="C296" s="1" t="s">
        <v>6733</v>
      </c>
    </row>
    <row r="297" spans="1:3">
      <c r="A297" s="1" t="s">
        <v>6734</v>
      </c>
      <c r="B297" s="1" t="s">
        <v>1221</v>
      </c>
      <c r="C297" s="1" t="s">
        <v>6735</v>
      </c>
    </row>
    <row r="298" spans="1:3">
      <c r="A298" s="1" t="s">
        <v>6736</v>
      </c>
      <c r="B298" s="1" t="s">
        <v>1223</v>
      </c>
      <c r="C298" s="1" t="s">
        <v>6737</v>
      </c>
    </row>
    <row r="299" spans="1:3">
      <c r="A299" s="1" t="s">
        <v>6738</v>
      </c>
      <c r="B299" s="1" t="s">
        <v>1228</v>
      </c>
      <c r="C299" s="1" t="s">
        <v>6739</v>
      </c>
    </row>
    <row r="300" spans="1:3">
      <c r="A300" s="1" t="s">
        <v>6740</v>
      </c>
      <c r="B300" s="1" t="s">
        <v>1232</v>
      </c>
      <c r="C300" s="1" t="s">
        <v>6741</v>
      </c>
    </row>
    <row r="301" spans="1:3">
      <c r="A301" s="1" t="s">
        <v>6742</v>
      </c>
      <c r="B301" s="1" t="s">
        <v>1236</v>
      </c>
      <c r="C301" s="1" t="s">
        <v>6743</v>
      </c>
    </row>
    <row r="302" spans="1:3">
      <c r="A302" s="1" t="s">
        <v>6744</v>
      </c>
      <c r="B302" s="1" t="s">
        <v>1241</v>
      </c>
      <c r="C302" s="1" t="s">
        <v>6745</v>
      </c>
    </row>
    <row r="303" spans="1:3">
      <c r="A303" s="1" t="s">
        <v>6746</v>
      </c>
      <c r="B303" s="1" t="s">
        <v>1246</v>
      </c>
      <c r="C303" s="1" t="s">
        <v>6747</v>
      </c>
    </row>
    <row r="304" spans="1:3">
      <c r="A304" s="1" t="s">
        <v>6748</v>
      </c>
      <c r="B304" s="1" t="s">
        <v>1249</v>
      </c>
      <c r="C304" s="1" t="s">
        <v>6749</v>
      </c>
    </row>
    <row r="305" spans="1:3">
      <c r="A305" s="1" t="s">
        <v>6750</v>
      </c>
      <c r="B305" s="1" t="s">
        <v>1252</v>
      </c>
      <c r="C305" s="1" t="s">
        <v>6751</v>
      </c>
    </row>
    <row r="306" spans="1:3">
      <c r="A306" s="1" t="s">
        <v>6752</v>
      </c>
      <c r="B306" s="1" t="s">
        <v>1257</v>
      </c>
      <c r="C306" s="1" t="s">
        <v>6753</v>
      </c>
    </row>
    <row r="307" spans="1:3">
      <c r="A307" s="1" t="s">
        <v>6754</v>
      </c>
      <c r="B307" s="1" t="s">
        <v>1263</v>
      </c>
      <c r="C307" s="1" t="s">
        <v>6755</v>
      </c>
    </row>
    <row r="308" spans="1:3">
      <c r="A308" s="1" t="s">
        <v>6756</v>
      </c>
      <c r="B308" s="1" t="s">
        <v>1268</v>
      </c>
      <c r="C308" s="1" t="s">
        <v>6757</v>
      </c>
    </row>
    <row r="309" spans="1:3">
      <c r="A309" s="1" t="s">
        <v>6758</v>
      </c>
      <c r="B309" s="1" t="s">
        <v>1271</v>
      </c>
      <c r="C309" s="1" t="s">
        <v>6759</v>
      </c>
    </row>
    <row r="310" spans="1:3">
      <c r="A310" s="1" t="s">
        <v>6760</v>
      </c>
      <c r="B310" s="1" t="s">
        <v>1274</v>
      </c>
      <c r="C310" s="1" t="s">
        <v>6761</v>
      </c>
    </row>
    <row r="311" spans="1:3">
      <c r="A311" s="1" t="s">
        <v>6762</v>
      </c>
      <c r="B311" s="1" t="s">
        <v>1277</v>
      </c>
      <c r="C311" s="1" t="s">
        <v>6763</v>
      </c>
    </row>
    <row r="312" spans="1:3">
      <c r="A312" s="1" t="s">
        <v>6764</v>
      </c>
      <c r="B312" s="1" t="s">
        <v>1281</v>
      </c>
      <c r="C312" s="1" t="s">
        <v>6765</v>
      </c>
    </row>
    <row r="313" spans="1:3">
      <c r="A313" s="1" t="s">
        <v>6766</v>
      </c>
      <c r="B313" s="1" t="s">
        <v>1287</v>
      </c>
      <c r="C313" s="1" t="s">
        <v>6767</v>
      </c>
    </row>
    <row r="314" spans="1:3">
      <c r="A314" s="1" t="s">
        <v>6768</v>
      </c>
      <c r="B314" s="1" t="s">
        <v>1290</v>
      </c>
      <c r="C314" s="1" t="s">
        <v>6769</v>
      </c>
    </row>
    <row r="315" spans="1:3">
      <c r="A315" s="1" t="s">
        <v>6770</v>
      </c>
      <c r="B315" s="1" t="s">
        <v>1293</v>
      </c>
      <c r="C315" s="1" t="s">
        <v>6771</v>
      </c>
    </row>
    <row r="316" spans="1:3">
      <c r="A316" s="1" t="s">
        <v>6772</v>
      </c>
      <c r="B316" s="1" t="s">
        <v>1296</v>
      </c>
      <c r="C316" s="1" t="s">
        <v>6773</v>
      </c>
    </row>
    <row r="317" spans="1:3">
      <c r="A317" s="1" t="s">
        <v>6774</v>
      </c>
      <c r="B317" s="1" t="s">
        <v>1300</v>
      </c>
      <c r="C317" s="1" t="s">
        <v>6775</v>
      </c>
    </row>
    <row r="318" spans="1:3">
      <c r="A318" s="1" t="s">
        <v>6776</v>
      </c>
      <c r="B318" s="1" t="s">
        <v>1303</v>
      </c>
      <c r="C318" s="1" t="s">
        <v>6777</v>
      </c>
    </row>
    <row r="319" spans="1:3">
      <c r="A319" s="1" t="s">
        <v>6778</v>
      </c>
      <c r="B319" s="1" t="s">
        <v>1309</v>
      </c>
      <c r="C319" s="1" t="s">
        <v>6779</v>
      </c>
    </row>
    <row r="320" spans="1:3">
      <c r="A320" s="1" t="s">
        <v>6780</v>
      </c>
      <c r="B320" s="1" t="s">
        <v>1314</v>
      </c>
      <c r="C320" s="1" t="s">
        <v>6781</v>
      </c>
    </row>
    <row r="321" spans="1:3">
      <c r="A321" s="1" t="s">
        <v>6782</v>
      </c>
      <c r="B321" s="1" t="s">
        <v>1317</v>
      </c>
      <c r="C321" s="1" t="s">
        <v>6783</v>
      </c>
    </row>
    <row r="322" spans="1:3">
      <c r="A322" s="1" t="s">
        <v>6784</v>
      </c>
      <c r="B322" s="1" t="s">
        <v>1321</v>
      </c>
      <c r="C322" s="1" t="s">
        <v>6785</v>
      </c>
    </row>
    <row r="323" spans="1:3">
      <c r="A323" s="1" t="s">
        <v>6786</v>
      </c>
      <c r="B323" s="1" t="s">
        <v>1326</v>
      </c>
      <c r="C323" s="1" t="s">
        <v>6787</v>
      </c>
    </row>
    <row r="324" spans="1:3">
      <c r="A324" s="1" t="s">
        <v>6788</v>
      </c>
      <c r="B324" s="1" t="s">
        <v>1330</v>
      </c>
      <c r="C324" s="1" t="s">
        <v>6789</v>
      </c>
    </row>
    <row r="325" spans="1:3">
      <c r="A325" s="1" t="s">
        <v>6790</v>
      </c>
      <c r="B325" s="1" t="s">
        <v>1334</v>
      </c>
      <c r="C325" s="1" t="s">
        <v>6791</v>
      </c>
    </row>
    <row r="326" spans="1:3">
      <c r="A326" s="1" t="s">
        <v>6792</v>
      </c>
      <c r="B326" s="1" t="s">
        <v>1339</v>
      </c>
      <c r="C326" s="1" t="s">
        <v>6793</v>
      </c>
    </row>
    <row r="327" spans="1:3">
      <c r="A327" s="1" t="s">
        <v>6794</v>
      </c>
      <c r="B327" s="1" t="s">
        <v>1345</v>
      </c>
      <c r="C327" s="1" t="s">
        <v>6795</v>
      </c>
    </row>
    <row r="328" spans="1:3">
      <c r="A328" s="1" t="s">
        <v>6796</v>
      </c>
      <c r="B328" s="1" t="s">
        <v>1350</v>
      </c>
      <c r="C328" s="1" t="s">
        <v>6797</v>
      </c>
    </row>
    <row r="329" spans="1:3">
      <c r="A329" s="1" t="s">
        <v>6798</v>
      </c>
      <c r="B329" s="1" t="s">
        <v>1353</v>
      </c>
      <c r="C329" s="1" t="s">
        <v>6799</v>
      </c>
    </row>
    <row r="330" spans="1:3">
      <c r="A330" s="1" t="s">
        <v>6800</v>
      </c>
      <c r="B330" s="1" t="s">
        <v>1358</v>
      </c>
      <c r="C330" s="1" t="s">
        <v>6801</v>
      </c>
    </row>
    <row r="331" spans="1:3">
      <c r="A331" s="1" t="s">
        <v>6802</v>
      </c>
      <c r="B331" s="1" t="s">
        <v>1363</v>
      </c>
      <c r="C331" s="1" t="s">
        <v>6803</v>
      </c>
    </row>
    <row r="332" spans="1:3">
      <c r="A332" s="1" t="s">
        <v>6804</v>
      </c>
      <c r="B332" s="1" t="s">
        <v>1367</v>
      </c>
      <c r="C332" s="1" t="s">
        <v>6805</v>
      </c>
    </row>
    <row r="333" spans="1:3">
      <c r="A333" s="1" t="s">
        <v>6806</v>
      </c>
      <c r="B333" s="1" t="s">
        <v>1371</v>
      </c>
      <c r="C333" s="1" t="s">
        <v>6807</v>
      </c>
    </row>
    <row r="334" spans="1:3">
      <c r="A334" s="1" t="s">
        <v>6808</v>
      </c>
      <c r="B334" s="1" t="s">
        <v>1375</v>
      </c>
      <c r="C334" s="1" t="s">
        <v>6809</v>
      </c>
    </row>
    <row r="335" spans="1:3">
      <c r="A335" s="1" t="s">
        <v>6810</v>
      </c>
      <c r="B335" s="1" t="s">
        <v>1378</v>
      </c>
      <c r="C335" s="1" t="s">
        <v>6811</v>
      </c>
    </row>
    <row r="336" spans="1:3">
      <c r="A336" s="1" t="s">
        <v>6812</v>
      </c>
      <c r="B336" s="1" t="s">
        <v>1383</v>
      </c>
      <c r="C336" s="1" t="s">
        <v>6813</v>
      </c>
    </row>
    <row r="337" spans="1:3">
      <c r="A337" s="1" t="s">
        <v>6814</v>
      </c>
      <c r="B337" s="1" t="s">
        <v>1389</v>
      </c>
      <c r="C337" s="1" t="s">
        <v>6815</v>
      </c>
    </row>
    <row r="338" spans="1:3">
      <c r="A338" s="1" t="s">
        <v>6816</v>
      </c>
      <c r="B338" s="1" t="s">
        <v>1394</v>
      </c>
      <c r="C338" s="1" t="s">
        <v>6817</v>
      </c>
    </row>
    <row r="339" spans="1:3">
      <c r="A339" s="1" t="s">
        <v>6818</v>
      </c>
      <c r="B339" s="1" t="s">
        <v>1399</v>
      </c>
      <c r="C339" s="1" t="s">
        <v>6819</v>
      </c>
    </row>
    <row r="340" spans="1:3">
      <c r="A340" s="1" t="s">
        <v>6820</v>
      </c>
      <c r="B340" s="1" t="s">
        <v>1405</v>
      </c>
      <c r="C340" s="1" t="s">
        <v>1408</v>
      </c>
    </row>
    <row r="341" spans="1:3">
      <c r="A341" s="1" t="s">
        <v>6821</v>
      </c>
      <c r="B341" s="1" t="s">
        <v>1410</v>
      </c>
      <c r="C341" s="1" t="s">
        <v>6822</v>
      </c>
    </row>
    <row r="342" spans="1:3">
      <c r="A342" s="1" t="s">
        <v>6823</v>
      </c>
      <c r="B342" s="1" t="s">
        <v>1416</v>
      </c>
      <c r="C342" s="1" t="s">
        <v>6824</v>
      </c>
    </row>
    <row r="343" spans="1:3">
      <c r="A343" s="1" t="s">
        <v>6825</v>
      </c>
      <c r="B343" s="1" t="s">
        <v>1422</v>
      </c>
      <c r="C343" s="1" t="s">
        <v>6826</v>
      </c>
    </row>
    <row r="344" spans="1:3">
      <c r="A344" s="1" t="s">
        <v>6827</v>
      </c>
      <c r="B344" s="1" t="s">
        <v>1427</v>
      </c>
      <c r="C344" s="1" t="s">
        <v>6828</v>
      </c>
    </row>
    <row r="345" spans="1:3">
      <c r="A345" s="1" t="s">
        <v>6829</v>
      </c>
      <c r="B345" s="1" t="s">
        <v>1433</v>
      </c>
      <c r="C345" s="1" t="s">
        <v>6830</v>
      </c>
    </row>
    <row r="346" spans="1:3">
      <c r="A346" s="1" t="s">
        <v>6831</v>
      </c>
      <c r="B346" s="1" t="s">
        <v>1438</v>
      </c>
      <c r="C346" s="1" t="s">
        <v>6832</v>
      </c>
    </row>
    <row r="347" spans="1:3">
      <c r="A347" s="1" t="s">
        <v>6833</v>
      </c>
      <c r="B347" s="1" t="s">
        <v>1444</v>
      </c>
      <c r="C347" s="1" t="s">
        <v>6834</v>
      </c>
    </row>
    <row r="348" spans="1:3">
      <c r="A348" s="1" t="s">
        <v>6835</v>
      </c>
      <c r="B348" s="1" t="s">
        <v>1449</v>
      </c>
      <c r="C348" s="1" t="s">
        <v>6836</v>
      </c>
    </row>
    <row r="349" spans="1:3">
      <c r="A349" s="1" t="s">
        <v>6837</v>
      </c>
      <c r="B349" s="1" t="s">
        <v>1454</v>
      </c>
      <c r="C349" s="1" t="s">
        <v>6838</v>
      </c>
    </row>
    <row r="350" spans="1:3">
      <c r="A350" s="1" t="s">
        <v>6839</v>
      </c>
      <c r="B350" s="1" t="s">
        <v>1459</v>
      </c>
      <c r="C350" s="1" t="s">
        <v>6840</v>
      </c>
    </row>
    <row r="351" spans="1:3">
      <c r="A351" s="1" t="s">
        <v>6841</v>
      </c>
      <c r="B351" s="1" t="s">
        <v>1464</v>
      </c>
      <c r="C351" s="1" t="s">
        <v>6842</v>
      </c>
    </row>
    <row r="352" spans="1:3">
      <c r="A352" s="1" t="s">
        <v>6843</v>
      </c>
      <c r="B352" s="1" t="s">
        <v>1468</v>
      </c>
      <c r="C352" s="1" t="s">
        <v>6844</v>
      </c>
    </row>
    <row r="353" spans="1:3">
      <c r="A353" s="1" t="s">
        <v>6845</v>
      </c>
      <c r="B353" s="1" t="s">
        <v>1472</v>
      </c>
      <c r="C353" s="1" t="s">
        <v>6846</v>
      </c>
    </row>
    <row r="354" spans="1:3">
      <c r="A354" s="1" t="s">
        <v>6847</v>
      </c>
      <c r="B354" s="1" t="s">
        <v>1476</v>
      </c>
      <c r="C354" s="1" t="s">
        <v>6848</v>
      </c>
    </row>
    <row r="355" spans="1:3">
      <c r="A355" s="1" t="s">
        <v>6849</v>
      </c>
      <c r="B355" s="1" t="s">
        <v>1480</v>
      </c>
      <c r="C355" s="1" t="s">
        <v>1483</v>
      </c>
    </row>
    <row r="356" spans="1:3">
      <c r="A356" s="1" t="s">
        <v>6850</v>
      </c>
      <c r="B356" s="1" t="s">
        <v>1484</v>
      </c>
      <c r="C356" s="1" t="s">
        <v>1486</v>
      </c>
    </row>
    <row r="357" spans="1:3">
      <c r="A357" s="1" t="s">
        <v>6851</v>
      </c>
      <c r="B357" s="1" t="s">
        <v>1487</v>
      </c>
      <c r="C357" s="1" t="s">
        <v>6852</v>
      </c>
    </row>
    <row r="358" spans="1:3">
      <c r="A358" s="1" t="s">
        <v>6853</v>
      </c>
      <c r="B358" s="1" t="s">
        <v>1491</v>
      </c>
      <c r="C358" s="1" t="s">
        <v>6854</v>
      </c>
    </row>
    <row r="359" spans="1:3">
      <c r="A359" s="1" t="s">
        <v>6855</v>
      </c>
      <c r="B359" s="1" t="s">
        <v>1497</v>
      </c>
      <c r="C359" s="1" t="s">
        <v>1500</v>
      </c>
    </row>
    <row r="360" spans="1:3">
      <c r="A360" s="1" t="s">
        <v>6856</v>
      </c>
      <c r="B360" s="1" t="s">
        <v>1501</v>
      </c>
      <c r="C360" s="1" t="s">
        <v>1503</v>
      </c>
    </row>
    <row r="361" spans="1:3">
      <c r="A361" s="1" t="s">
        <v>6857</v>
      </c>
      <c r="B361" s="1" t="s">
        <v>1504</v>
      </c>
      <c r="C361" s="1" t="s">
        <v>6858</v>
      </c>
    </row>
    <row r="362" spans="1:3">
      <c r="A362" s="1" t="s">
        <v>6859</v>
      </c>
      <c r="B362" s="1" t="s">
        <v>1510</v>
      </c>
      <c r="C362" s="1" t="s">
        <v>1513</v>
      </c>
    </row>
    <row r="363" spans="1:3">
      <c r="A363" s="1" t="s">
        <v>6860</v>
      </c>
      <c r="B363" s="1" t="s">
        <v>1514</v>
      </c>
      <c r="C363" s="1" t="s">
        <v>1519</v>
      </c>
    </row>
    <row r="364" spans="1:3">
      <c r="A364" s="1" t="s">
        <v>6861</v>
      </c>
      <c r="B364" s="1" t="s">
        <v>1515</v>
      </c>
      <c r="C364" s="1" t="s">
        <v>6862</v>
      </c>
    </row>
    <row r="365" spans="1:3">
      <c r="A365" s="1" t="s">
        <v>6863</v>
      </c>
      <c r="B365" s="1" t="s">
        <v>1520</v>
      </c>
      <c r="C365" s="1" t="s">
        <v>6864</v>
      </c>
    </row>
    <row r="366" spans="1:3">
      <c r="A366" s="1" t="s">
        <v>6865</v>
      </c>
      <c r="B366" s="1" t="s">
        <v>1524</v>
      </c>
      <c r="C366" s="1" t="s">
        <v>6866</v>
      </c>
    </row>
    <row r="367" spans="1:3">
      <c r="A367" s="1" t="s">
        <v>6867</v>
      </c>
      <c r="B367" s="1" t="s">
        <v>1529</v>
      </c>
      <c r="C367" s="1" t="s">
        <v>6868</v>
      </c>
    </row>
    <row r="368" spans="1:3">
      <c r="A368" s="1" t="s">
        <v>6869</v>
      </c>
      <c r="B368" s="1" t="s">
        <v>1533</v>
      </c>
      <c r="C368" s="1" t="s">
        <v>6870</v>
      </c>
    </row>
    <row r="369" spans="1:3">
      <c r="A369" s="1" t="s">
        <v>6871</v>
      </c>
      <c r="B369" s="1" t="s">
        <v>1538</v>
      </c>
      <c r="C369" s="1" t="s">
        <v>6872</v>
      </c>
    </row>
    <row r="370" spans="1:3">
      <c r="A370" s="1" t="s">
        <v>6873</v>
      </c>
      <c r="B370" s="1" t="s">
        <v>1545</v>
      </c>
      <c r="C370" s="1" t="s">
        <v>6874</v>
      </c>
    </row>
    <row r="371" spans="1:3">
      <c r="A371" s="1" t="s">
        <v>6875</v>
      </c>
      <c r="B371" s="1" t="s">
        <v>1549</v>
      </c>
      <c r="C371" s="1" t="s">
        <v>6876</v>
      </c>
    </row>
    <row r="372" spans="1:3">
      <c r="A372" s="1" t="s">
        <v>6877</v>
      </c>
      <c r="B372" s="1" t="s">
        <v>1553</v>
      </c>
      <c r="C372" s="1" t="s">
        <v>6878</v>
      </c>
    </row>
    <row r="373" spans="1:3">
      <c r="A373" s="1" t="s">
        <v>6879</v>
      </c>
      <c r="B373" s="1" t="s">
        <v>1558</v>
      </c>
      <c r="C373" s="1" t="s">
        <v>6880</v>
      </c>
    </row>
    <row r="374" spans="1:3">
      <c r="A374" s="1" t="s">
        <v>6881</v>
      </c>
      <c r="B374" s="1" t="s">
        <v>1563</v>
      </c>
      <c r="C374" s="1" t="s">
        <v>1565</v>
      </c>
    </row>
    <row r="375" spans="1:3">
      <c r="A375" s="1" t="s">
        <v>6882</v>
      </c>
      <c r="B375" s="1" t="s">
        <v>1566</v>
      </c>
      <c r="C375" s="1" t="s">
        <v>6226</v>
      </c>
    </row>
    <row r="376" spans="1:3">
      <c r="A376" s="1" t="s">
        <v>6883</v>
      </c>
      <c r="B376" s="1" t="s">
        <v>1569</v>
      </c>
      <c r="C376" s="1" t="s">
        <v>1571</v>
      </c>
    </row>
    <row r="377" spans="1:3">
      <c r="A377" s="1" t="s">
        <v>6884</v>
      </c>
      <c r="B377" s="1" t="s">
        <v>1572</v>
      </c>
      <c r="C377" s="1" t="s">
        <v>6228</v>
      </c>
    </row>
    <row r="378" spans="1:3">
      <c r="A378" s="1" t="s">
        <v>6885</v>
      </c>
      <c r="B378" s="1" t="s">
        <v>1574</v>
      </c>
      <c r="C378" s="1" t="s">
        <v>1576</v>
      </c>
    </row>
    <row r="379" spans="1:3">
      <c r="A379" s="1" t="s">
        <v>6886</v>
      </c>
      <c r="B379" s="1" t="s">
        <v>1577</v>
      </c>
      <c r="C379" s="1" t="s">
        <v>1579</v>
      </c>
    </row>
    <row r="380" spans="1:3">
      <c r="A380" s="1" t="s">
        <v>6887</v>
      </c>
      <c r="B380" s="1" t="s">
        <v>1580</v>
      </c>
      <c r="C380" s="1" t="s">
        <v>6230</v>
      </c>
    </row>
    <row r="381" spans="1:3">
      <c r="A381" s="1" t="s">
        <v>6888</v>
      </c>
      <c r="B381" s="1" t="s">
        <v>1582</v>
      </c>
      <c r="C381" s="1" t="s">
        <v>1584</v>
      </c>
    </row>
    <row r="382" spans="1:3">
      <c r="A382" s="1" t="s">
        <v>6889</v>
      </c>
      <c r="B382" s="1" t="s">
        <v>1585</v>
      </c>
      <c r="C382" s="1" t="s">
        <v>6232</v>
      </c>
    </row>
    <row r="383" spans="1:3">
      <c r="A383" s="1" t="s">
        <v>6890</v>
      </c>
      <c r="B383" s="1" t="s">
        <v>1587</v>
      </c>
      <c r="C383" s="1" t="s">
        <v>1589</v>
      </c>
    </row>
    <row r="384" spans="1:3">
      <c r="A384" s="1" t="s">
        <v>6891</v>
      </c>
      <c r="B384" s="1" t="s">
        <v>1590</v>
      </c>
      <c r="C384" s="1" t="s">
        <v>1592</v>
      </c>
    </row>
    <row r="385" spans="1:3">
      <c r="A385" s="1" t="s">
        <v>6892</v>
      </c>
      <c r="B385" s="1" t="s">
        <v>1593</v>
      </c>
      <c r="C385" s="1" t="s">
        <v>1595</v>
      </c>
    </row>
    <row r="386" spans="1:3">
      <c r="A386" s="1" t="s">
        <v>6893</v>
      </c>
      <c r="B386" s="1" t="s">
        <v>1596</v>
      </c>
      <c r="C386" s="1" t="s">
        <v>1598</v>
      </c>
    </row>
    <row r="387" spans="1:3">
      <c r="A387" s="1" t="s">
        <v>6894</v>
      </c>
      <c r="B387" s="1" t="s">
        <v>1599</v>
      </c>
      <c r="C387" s="1" t="s">
        <v>1601</v>
      </c>
    </row>
    <row r="388" spans="1:3">
      <c r="A388" s="1" t="s">
        <v>6895</v>
      </c>
      <c r="B388" s="1" t="s">
        <v>1602</v>
      </c>
      <c r="C388" s="1" t="s">
        <v>6234</v>
      </c>
    </row>
    <row r="389" spans="1:3">
      <c r="A389" s="1" t="s">
        <v>6896</v>
      </c>
      <c r="B389" s="1" t="s">
        <v>1603</v>
      </c>
      <c r="C389" s="1" t="s">
        <v>1605</v>
      </c>
    </row>
    <row r="390" spans="1:3">
      <c r="A390" s="1" t="s">
        <v>6897</v>
      </c>
      <c r="B390" s="1" t="s">
        <v>1606</v>
      </c>
      <c r="C390" s="1" t="s">
        <v>1608</v>
      </c>
    </row>
    <row r="391" spans="1:3">
      <c r="A391" s="1" t="s">
        <v>6898</v>
      </c>
      <c r="B391" s="1" t="s">
        <v>1609</v>
      </c>
      <c r="C391" s="1" t="s">
        <v>6236</v>
      </c>
    </row>
    <row r="392" spans="1:3">
      <c r="A392" s="1" t="s">
        <v>6899</v>
      </c>
      <c r="B392" s="1" t="s">
        <v>1610</v>
      </c>
      <c r="C392" s="1" t="s">
        <v>1612</v>
      </c>
    </row>
    <row r="393" spans="1:3">
      <c r="A393" s="1" t="s">
        <v>6900</v>
      </c>
      <c r="B393" s="1" t="s">
        <v>1613</v>
      </c>
      <c r="C393" s="1" t="s">
        <v>6238</v>
      </c>
    </row>
    <row r="394" spans="1:3">
      <c r="A394" s="1" t="s">
        <v>6901</v>
      </c>
      <c r="B394" s="1" t="s">
        <v>1615</v>
      </c>
      <c r="C394" s="1" t="s">
        <v>1617</v>
      </c>
    </row>
    <row r="395" spans="1:3">
      <c r="A395" s="1" t="s">
        <v>6902</v>
      </c>
      <c r="B395" s="1" t="s">
        <v>1618</v>
      </c>
      <c r="C395" s="1" t="s">
        <v>6240</v>
      </c>
    </row>
    <row r="396" spans="1:3">
      <c r="A396" s="1" t="s">
        <v>6903</v>
      </c>
      <c r="B396" s="1" t="s">
        <v>1619</v>
      </c>
      <c r="C396" s="1" t="s">
        <v>1621</v>
      </c>
    </row>
    <row r="397" spans="1:3">
      <c r="A397" s="1" t="s">
        <v>6904</v>
      </c>
      <c r="B397" s="1" t="s">
        <v>1622</v>
      </c>
      <c r="C397" s="1" t="s">
        <v>6242</v>
      </c>
    </row>
    <row r="398" spans="1:3">
      <c r="A398" s="1" t="s">
        <v>6905</v>
      </c>
      <c r="B398" s="1" t="s">
        <v>1623</v>
      </c>
      <c r="C398" s="1" t="s">
        <v>1625</v>
      </c>
    </row>
    <row r="399" spans="1:3">
      <c r="A399" s="1" t="s">
        <v>6906</v>
      </c>
      <c r="B399" s="1" t="s">
        <v>1626</v>
      </c>
      <c r="C399" s="1" t="s">
        <v>1628</v>
      </c>
    </row>
    <row r="400" spans="1:3">
      <c r="A400" s="1" t="s">
        <v>6907</v>
      </c>
      <c r="B400" s="1" t="s">
        <v>1629</v>
      </c>
      <c r="C400" s="1" t="s">
        <v>1631</v>
      </c>
    </row>
    <row r="401" spans="1:3">
      <c r="A401" s="1" t="s">
        <v>6908</v>
      </c>
      <c r="B401" s="1" t="s">
        <v>1632</v>
      </c>
      <c r="C401" s="1" t="s">
        <v>1634</v>
      </c>
    </row>
    <row r="402" spans="1:3">
      <c r="A402" s="1" t="s">
        <v>6909</v>
      </c>
      <c r="B402" s="1" t="s">
        <v>1635</v>
      </c>
      <c r="C402" s="1" t="s">
        <v>6244</v>
      </c>
    </row>
    <row r="403" spans="1:3">
      <c r="A403" s="1" t="s">
        <v>6910</v>
      </c>
      <c r="B403" s="1" t="s">
        <v>1636</v>
      </c>
      <c r="C403" s="1" t="s">
        <v>1638</v>
      </c>
    </row>
    <row r="404" spans="1:3">
      <c r="A404" s="1" t="s">
        <v>6911</v>
      </c>
      <c r="B404" s="1" t="s">
        <v>1639</v>
      </c>
      <c r="C404" s="1" t="s">
        <v>1641</v>
      </c>
    </row>
    <row r="405" spans="1:3">
      <c r="A405" s="1" t="s">
        <v>6912</v>
      </c>
      <c r="B405" s="1" t="s">
        <v>1642</v>
      </c>
      <c r="C405" s="1" t="s">
        <v>1644</v>
      </c>
    </row>
    <row r="406" spans="1:3">
      <c r="A406" s="1" t="s">
        <v>6913</v>
      </c>
      <c r="B406" s="1" t="s">
        <v>1645</v>
      </c>
      <c r="C406" s="1" t="s">
        <v>1647</v>
      </c>
    </row>
    <row r="407" spans="1:3">
      <c r="A407" s="1" t="s">
        <v>6914</v>
      </c>
      <c r="B407" s="1" t="s">
        <v>1648</v>
      </c>
      <c r="C407" s="1" t="s">
        <v>1650</v>
      </c>
    </row>
    <row r="408" spans="1:3">
      <c r="A408" s="1" t="s">
        <v>6915</v>
      </c>
      <c r="B408" s="1" t="s">
        <v>1651</v>
      </c>
      <c r="C408" s="1" t="s">
        <v>1653</v>
      </c>
    </row>
    <row r="409" spans="1:3">
      <c r="A409" s="1" t="s">
        <v>6916</v>
      </c>
      <c r="B409" s="1" t="s">
        <v>1654</v>
      </c>
      <c r="C409" s="1" t="s">
        <v>1656</v>
      </c>
    </row>
    <row r="410" spans="1:3">
      <c r="A410" s="1" t="s">
        <v>6917</v>
      </c>
      <c r="B410" s="1" t="s">
        <v>1657</v>
      </c>
      <c r="C410" s="1" t="s">
        <v>1659</v>
      </c>
    </row>
    <row r="411" spans="1:3">
      <c r="A411" s="1" t="s">
        <v>6918</v>
      </c>
      <c r="B411" s="1" t="s">
        <v>1660</v>
      </c>
      <c r="C411" s="1" t="s">
        <v>1662</v>
      </c>
    </row>
    <row r="412" spans="1:3">
      <c r="A412" s="1" t="s">
        <v>6919</v>
      </c>
      <c r="B412" s="1" t="s">
        <v>1663</v>
      </c>
      <c r="C412" s="1" t="s">
        <v>1665</v>
      </c>
    </row>
    <row r="413" spans="1:3">
      <c r="A413" s="1" t="s">
        <v>6920</v>
      </c>
      <c r="B413" s="1" t="s">
        <v>1667</v>
      </c>
      <c r="C413" s="1" t="s">
        <v>6246</v>
      </c>
    </row>
    <row r="414" spans="1:3">
      <c r="A414" s="1" t="s">
        <v>6921</v>
      </c>
      <c r="B414" s="1" t="s">
        <v>1669</v>
      </c>
      <c r="C414" s="1" t="s">
        <v>1671</v>
      </c>
    </row>
    <row r="415" spans="1:3">
      <c r="A415" s="1" t="s">
        <v>6922</v>
      </c>
      <c r="B415" s="1" t="s">
        <v>1673</v>
      </c>
      <c r="C415" s="1" t="s">
        <v>1675</v>
      </c>
    </row>
    <row r="416" spans="1:3">
      <c r="A416" s="1" t="s">
        <v>6923</v>
      </c>
      <c r="B416" s="1" t="s">
        <v>1677</v>
      </c>
      <c r="C416" s="1" t="s">
        <v>6248</v>
      </c>
    </row>
    <row r="417" spans="1:3">
      <c r="A417" s="1" t="s">
        <v>6924</v>
      </c>
      <c r="B417" s="1" t="s">
        <v>1678</v>
      </c>
      <c r="C417" s="1" t="s">
        <v>1680</v>
      </c>
    </row>
    <row r="418" spans="1:3">
      <c r="A418" s="1" t="s">
        <v>6925</v>
      </c>
      <c r="B418" s="1" t="s">
        <v>1681</v>
      </c>
      <c r="C418" s="1" t="s">
        <v>1683</v>
      </c>
    </row>
    <row r="419" spans="1:3">
      <c r="A419" s="1" t="s">
        <v>6926</v>
      </c>
      <c r="B419" s="1" t="s">
        <v>1684</v>
      </c>
      <c r="C419" s="1" t="s">
        <v>1686</v>
      </c>
    </row>
    <row r="420" spans="1:3">
      <c r="A420" s="1" t="s">
        <v>6927</v>
      </c>
      <c r="B420" s="1" t="s">
        <v>1687</v>
      </c>
      <c r="C420" s="1" t="s">
        <v>1689</v>
      </c>
    </row>
    <row r="421" spans="1:3">
      <c r="A421" s="1" t="s">
        <v>6928</v>
      </c>
      <c r="B421" s="1" t="s">
        <v>1690</v>
      </c>
      <c r="C421" s="1" t="s">
        <v>1692</v>
      </c>
    </row>
    <row r="422" spans="1:3">
      <c r="A422" s="1" t="s">
        <v>6929</v>
      </c>
      <c r="B422" s="1" t="s">
        <v>1693</v>
      </c>
      <c r="C422" s="1" t="s">
        <v>1695</v>
      </c>
    </row>
    <row r="423" spans="1:3">
      <c r="A423" s="1" t="s">
        <v>6930</v>
      </c>
      <c r="B423" s="1" t="s">
        <v>1696</v>
      </c>
      <c r="C423" s="1" t="s">
        <v>1698</v>
      </c>
    </row>
    <row r="424" spans="1:3">
      <c r="A424" s="1" t="s">
        <v>6931</v>
      </c>
      <c r="B424" s="1" t="s">
        <v>1699</v>
      </c>
      <c r="C424" s="1" t="s">
        <v>1701</v>
      </c>
    </row>
    <row r="425" spans="1:3">
      <c r="A425" s="1" t="s">
        <v>6932</v>
      </c>
      <c r="B425" s="1" t="s">
        <v>1702</v>
      </c>
      <c r="C425" s="1" t="s">
        <v>1704</v>
      </c>
    </row>
    <row r="426" spans="1:3">
      <c r="A426" s="1" t="s">
        <v>6933</v>
      </c>
      <c r="B426" s="1" t="s">
        <v>1705</v>
      </c>
      <c r="C426" s="1" t="s">
        <v>1707</v>
      </c>
    </row>
    <row r="427" spans="1:3">
      <c r="A427" s="1" t="s">
        <v>6934</v>
      </c>
      <c r="B427" s="1" t="s">
        <v>1708</v>
      </c>
      <c r="C427" s="1" t="s">
        <v>1710</v>
      </c>
    </row>
    <row r="428" spans="1:3">
      <c r="A428" s="1" t="s">
        <v>6935</v>
      </c>
      <c r="B428" s="1" t="s">
        <v>1712</v>
      </c>
      <c r="C428" s="1" t="s">
        <v>1714</v>
      </c>
    </row>
    <row r="429" spans="1:3">
      <c r="A429" s="1" t="s">
        <v>6936</v>
      </c>
      <c r="B429" s="1" t="s">
        <v>1715</v>
      </c>
      <c r="C429" s="1" t="s">
        <v>1717</v>
      </c>
    </row>
    <row r="430" spans="1:3">
      <c r="A430" s="1" t="s">
        <v>6937</v>
      </c>
      <c r="B430" s="1" t="s">
        <v>1718</v>
      </c>
      <c r="C430" s="1" t="s">
        <v>1720</v>
      </c>
    </row>
    <row r="431" spans="1:3">
      <c r="A431" s="1" t="s">
        <v>6938</v>
      </c>
      <c r="B431" s="1" t="s">
        <v>1721</v>
      </c>
      <c r="C431" s="1" t="s">
        <v>1723</v>
      </c>
    </row>
    <row r="432" spans="1:3">
      <c r="A432" s="1" t="s">
        <v>6939</v>
      </c>
      <c r="B432" s="1" t="s">
        <v>1724</v>
      </c>
      <c r="C432" s="1" t="s">
        <v>1725</v>
      </c>
    </row>
    <row r="433" spans="1:3">
      <c r="A433" s="1" t="s">
        <v>6940</v>
      </c>
      <c r="B433" s="1" t="s">
        <v>1726</v>
      </c>
      <c r="C433" s="1" t="s">
        <v>1728</v>
      </c>
    </row>
    <row r="434" spans="1:3">
      <c r="A434" s="1" t="s">
        <v>6941</v>
      </c>
      <c r="B434" s="1" t="s">
        <v>1730</v>
      </c>
      <c r="C434" s="1" t="s">
        <v>6250</v>
      </c>
    </row>
    <row r="435" spans="1:3">
      <c r="A435" s="1" t="s">
        <v>6942</v>
      </c>
      <c r="B435" s="1" t="s">
        <v>1731</v>
      </c>
      <c r="C435" s="1" t="s">
        <v>1733</v>
      </c>
    </row>
    <row r="436" spans="1:3">
      <c r="A436" s="1" t="s">
        <v>6943</v>
      </c>
      <c r="B436" s="1" t="s">
        <v>1734</v>
      </c>
      <c r="C436" s="1" t="s">
        <v>1736</v>
      </c>
    </row>
    <row r="437" spans="1:3">
      <c r="A437" s="1" t="s">
        <v>6944</v>
      </c>
      <c r="B437" s="1" t="s">
        <v>1737</v>
      </c>
      <c r="C437" s="1" t="s">
        <v>1739</v>
      </c>
    </row>
    <row r="438" spans="1:3">
      <c r="A438" s="1" t="s">
        <v>6945</v>
      </c>
      <c r="B438" s="1" t="s">
        <v>1740</v>
      </c>
      <c r="C438" s="1" t="s">
        <v>1742</v>
      </c>
    </row>
    <row r="439" spans="1:3">
      <c r="A439" s="1" t="s">
        <v>6946</v>
      </c>
      <c r="B439" s="1" t="s">
        <v>1743</v>
      </c>
      <c r="C439" s="1" t="s">
        <v>1744</v>
      </c>
    </row>
    <row r="440" spans="1:3">
      <c r="A440" s="1" t="s">
        <v>6947</v>
      </c>
      <c r="B440" s="1" t="s">
        <v>1745</v>
      </c>
      <c r="C440" s="1" t="s">
        <v>1747</v>
      </c>
    </row>
    <row r="441" spans="1:3">
      <c r="A441" s="1" t="s">
        <v>6948</v>
      </c>
      <c r="B441" s="1" t="s">
        <v>1748</v>
      </c>
      <c r="C441" s="1" t="s">
        <v>1750</v>
      </c>
    </row>
    <row r="442" spans="1:3">
      <c r="A442" s="1" t="s">
        <v>6949</v>
      </c>
      <c r="B442" s="1" t="s">
        <v>1751</v>
      </c>
      <c r="C442" s="1" t="s">
        <v>1753</v>
      </c>
    </row>
    <row r="443" spans="1:3">
      <c r="A443" s="1" t="s">
        <v>6950</v>
      </c>
      <c r="B443" s="1" t="s">
        <v>1754</v>
      </c>
      <c r="C443" s="1" t="s">
        <v>1756</v>
      </c>
    </row>
    <row r="444" spans="1:3">
      <c r="A444" s="1" t="s">
        <v>6951</v>
      </c>
      <c r="B444" s="1" t="s">
        <v>1757</v>
      </c>
      <c r="C444" s="1" t="s">
        <v>1759</v>
      </c>
    </row>
    <row r="445" spans="1:3">
      <c r="A445" s="1" t="s">
        <v>6952</v>
      </c>
      <c r="B445" s="1" t="s">
        <v>1760</v>
      </c>
      <c r="C445" s="1" t="s">
        <v>1762</v>
      </c>
    </row>
    <row r="446" spans="1:3">
      <c r="A446" s="1" t="s">
        <v>6953</v>
      </c>
      <c r="B446" s="1" t="s">
        <v>1763</v>
      </c>
      <c r="C446" s="1" t="s">
        <v>1765</v>
      </c>
    </row>
    <row r="447" spans="1:3">
      <c r="A447" s="1" t="s">
        <v>6954</v>
      </c>
      <c r="B447" s="1" t="s">
        <v>1767</v>
      </c>
      <c r="C447" s="1" t="s">
        <v>6252</v>
      </c>
    </row>
    <row r="448" spans="1:3">
      <c r="A448" s="1" t="s">
        <v>6955</v>
      </c>
      <c r="B448" s="1" t="s">
        <v>1768</v>
      </c>
      <c r="C448" s="1" t="s">
        <v>1770</v>
      </c>
    </row>
    <row r="449" spans="1:3">
      <c r="A449" s="1" t="s">
        <v>6956</v>
      </c>
      <c r="B449" s="1" t="s">
        <v>1771</v>
      </c>
      <c r="C449" s="1" t="s">
        <v>6254</v>
      </c>
    </row>
    <row r="450" spans="1:3">
      <c r="A450" s="1" t="s">
        <v>6957</v>
      </c>
      <c r="B450" s="1" t="s">
        <v>1772</v>
      </c>
      <c r="C450" s="1" t="s">
        <v>1774</v>
      </c>
    </row>
    <row r="451" spans="1:3">
      <c r="A451" s="1" t="s">
        <v>6958</v>
      </c>
      <c r="B451" s="1" t="s">
        <v>1775</v>
      </c>
      <c r="C451" s="1" t="s">
        <v>1777</v>
      </c>
    </row>
    <row r="452" spans="1:3">
      <c r="A452" s="1" t="s">
        <v>6959</v>
      </c>
      <c r="B452" s="1" t="s">
        <v>1778</v>
      </c>
      <c r="C452" s="1" t="s">
        <v>6960</v>
      </c>
    </row>
    <row r="453" spans="1:3">
      <c r="A453" s="1" t="s">
        <v>6961</v>
      </c>
      <c r="B453" s="1" t="s">
        <v>1781</v>
      </c>
      <c r="C453" s="1" t="s">
        <v>1783</v>
      </c>
    </row>
    <row r="454" spans="1:3">
      <c r="A454" s="1" t="s">
        <v>6962</v>
      </c>
      <c r="B454" s="1" t="s">
        <v>1784</v>
      </c>
      <c r="C454" s="1" t="s">
        <v>1786</v>
      </c>
    </row>
    <row r="455" spans="1:3">
      <c r="A455" s="1" t="s">
        <v>6963</v>
      </c>
      <c r="B455" s="1" t="s">
        <v>1787</v>
      </c>
      <c r="C455" s="1" t="s">
        <v>1789</v>
      </c>
    </row>
    <row r="456" spans="1:3">
      <c r="A456" s="1" t="s">
        <v>6964</v>
      </c>
      <c r="B456" s="1" t="s">
        <v>1790</v>
      </c>
      <c r="C456" s="1" t="s">
        <v>1792</v>
      </c>
    </row>
    <row r="457" spans="1:3">
      <c r="A457" s="1" t="s">
        <v>6965</v>
      </c>
      <c r="B457" s="1" t="s">
        <v>1793</v>
      </c>
      <c r="C457" s="1" t="s">
        <v>6256</v>
      </c>
    </row>
    <row r="458" spans="1:3">
      <c r="A458" s="1" t="s">
        <v>6966</v>
      </c>
      <c r="B458" s="1" t="s">
        <v>1795</v>
      </c>
      <c r="C458" s="1" t="s">
        <v>1797</v>
      </c>
    </row>
    <row r="459" spans="1:3">
      <c r="A459" s="1" t="s">
        <v>6967</v>
      </c>
      <c r="B459" s="1" t="s">
        <v>1798</v>
      </c>
      <c r="C459" s="1" t="s">
        <v>1800</v>
      </c>
    </row>
    <row r="460" spans="1:3">
      <c r="A460" s="1" t="s">
        <v>6968</v>
      </c>
      <c r="B460" s="1" t="s">
        <v>1801</v>
      </c>
      <c r="C460" s="1" t="s">
        <v>6969</v>
      </c>
    </row>
    <row r="461" spans="1:3">
      <c r="A461" s="1" t="s">
        <v>6970</v>
      </c>
      <c r="B461" s="1" t="s">
        <v>1804</v>
      </c>
      <c r="C461" s="1" t="s">
        <v>1806</v>
      </c>
    </row>
    <row r="462" spans="1:3">
      <c r="A462" s="1" t="s">
        <v>6971</v>
      </c>
      <c r="B462" s="1" t="s">
        <v>1807</v>
      </c>
      <c r="C462" s="1" t="s">
        <v>1809</v>
      </c>
    </row>
    <row r="463" spans="1:3">
      <c r="A463" s="1" t="s">
        <v>6972</v>
      </c>
      <c r="B463" s="1" t="s">
        <v>1810</v>
      </c>
      <c r="C463" s="1" t="s">
        <v>1812</v>
      </c>
    </row>
    <row r="464" spans="1:3">
      <c r="A464" s="1" t="s">
        <v>6973</v>
      </c>
      <c r="B464" s="1" t="s">
        <v>1813</v>
      </c>
      <c r="C464" s="1" t="s">
        <v>6258</v>
      </c>
    </row>
    <row r="465" spans="1:3">
      <c r="A465" s="1" t="s">
        <v>6974</v>
      </c>
      <c r="B465" s="1" t="s">
        <v>1814</v>
      </c>
      <c r="C465" s="1" t="s">
        <v>1816</v>
      </c>
    </row>
    <row r="466" spans="1:3">
      <c r="A466" s="1" t="s">
        <v>6975</v>
      </c>
      <c r="B466" s="1" t="s">
        <v>1817</v>
      </c>
      <c r="C466" s="1" t="s">
        <v>6976</v>
      </c>
    </row>
    <row r="467" spans="1:3">
      <c r="A467" s="1" t="s">
        <v>6977</v>
      </c>
      <c r="B467" s="1" t="s">
        <v>1820</v>
      </c>
      <c r="C467" s="1" t="s">
        <v>1822</v>
      </c>
    </row>
    <row r="468" spans="1:3">
      <c r="A468" s="1" t="s">
        <v>6978</v>
      </c>
      <c r="B468" s="1" t="s">
        <v>1823</v>
      </c>
      <c r="C468" s="1" t="s">
        <v>1825</v>
      </c>
    </row>
    <row r="469" spans="1:3">
      <c r="A469" s="1" t="s">
        <v>6979</v>
      </c>
      <c r="B469" s="1" t="s">
        <v>1826</v>
      </c>
      <c r="C469" s="1" t="s">
        <v>6980</v>
      </c>
    </row>
    <row r="470" spans="1:3">
      <c r="A470" s="1" t="s">
        <v>6981</v>
      </c>
      <c r="B470" s="1" t="s">
        <v>1829</v>
      </c>
      <c r="C470" s="1" t="s">
        <v>1831</v>
      </c>
    </row>
    <row r="471" spans="1:3">
      <c r="A471" s="1" t="s">
        <v>6982</v>
      </c>
      <c r="B471" s="1" t="s">
        <v>1832</v>
      </c>
      <c r="C471" s="1" t="s">
        <v>1834</v>
      </c>
    </row>
    <row r="472" spans="1:3">
      <c r="A472" s="1" t="s">
        <v>6983</v>
      </c>
      <c r="B472" s="1" t="s">
        <v>1835</v>
      </c>
      <c r="C472" s="1" t="s">
        <v>6260</v>
      </c>
    </row>
    <row r="473" spans="1:3">
      <c r="A473" s="1" t="s">
        <v>6984</v>
      </c>
      <c r="B473" s="1" t="s">
        <v>1836</v>
      </c>
      <c r="C473" s="1" t="s">
        <v>1838</v>
      </c>
    </row>
    <row r="474" spans="1:3">
      <c r="A474" s="1" t="s">
        <v>6985</v>
      </c>
      <c r="B474" s="1" t="s">
        <v>1839</v>
      </c>
      <c r="C474" s="1" t="s">
        <v>1841</v>
      </c>
    </row>
    <row r="475" spans="1:3">
      <c r="A475" s="1" t="s">
        <v>6986</v>
      </c>
      <c r="B475" s="1" t="s">
        <v>1842</v>
      </c>
      <c r="C475" s="1" t="s">
        <v>6987</v>
      </c>
    </row>
    <row r="476" spans="1:3">
      <c r="A476" s="1" t="s">
        <v>6988</v>
      </c>
      <c r="B476" s="1" t="s">
        <v>1845</v>
      </c>
      <c r="C476" s="1" t="s">
        <v>6262</v>
      </c>
    </row>
    <row r="477" spans="1:3">
      <c r="A477" s="1" t="s">
        <v>6989</v>
      </c>
      <c r="B477" s="1" t="s">
        <v>1846</v>
      </c>
      <c r="C477" s="1" t="s">
        <v>1848</v>
      </c>
    </row>
    <row r="478" spans="1:3">
      <c r="A478" s="1" t="s">
        <v>6990</v>
      </c>
      <c r="B478" s="1" t="s">
        <v>1849</v>
      </c>
      <c r="C478" s="1" t="s">
        <v>1851</v>
      </c>
    </row>
    <row r="479" spans="1:3">
      <c r="A479" s="1" t="s">
        <v>6991</v>
      </c>
      <c r="B479" s="1" t="s">
        <v>1852</v>
      </c>
      <c r="C479" s="1" t="s">
        <v>1854</v>
      </c>
    </row>
    <row r="480" spans="1:3">
      <c r="A480" s="1" t="s">
        <v>6992</v>
      </c>
      <c r="B480" s="1" t="s">
        <v>1855</v>
      </c>
      <c r="C480" s="1" t="s">
        <v>1857</v>
      </c>
    </row>
    <row r="481" spans="1:3">
      <c r="A481" s="1" t="s">
        <v>6993</v>
      </c>
      <c r="B481" s="1" t="s">
        <v>1858</v>
      </c>
      <c r="C481" s="1" t="s">
        <v>6264</v>
      </c>
    </row>
    <row r="482" spans="1:3">
      <c r="A482" s="1" t="s">
        <v>6994</v>
      </c>
      <c r="B482" s="1" t="s">
        <v>1859</v>
      </c>
      <c r="C482" s="1" t="s">
        <v>1861</v>
      </c>
    </row>
    <row r="483" spans="1:3">
      <c r="A483" s="1" t="s">
        <v>6995</v>
      </c>
      <c r="B483" s="1" t="s">
        <v>1862</v>
      </c>
      <c r="C483" s="1" t="s">
        <v>1864</v>
      </c>
    </row>
    <row r="484" spans="1:3">
      <c r="A484" s="1" t="s">
        <v>6996</v>
      </c>
      <c r="B484" s="1" t="s">
        <v>1865</v>
      </c>
      <c r="C484" s="1" t="s">
        <v>1867</v>
      </c>
    </row>
    <row r="485" spans="1:3">
      <c r="A485" s="1" t="s">
        <v>6997</v>
      </c>
      <c r="B485" s="1" t="s">
        <v>1868</v>
      </c>
      <c r="C485" s="1" t="s">
        <v>1870</v>
      </c>
    </row>
    <row r="486" spans="1:3">
      <c r="A486" s="1" t="s">
        <v>6998</v>
      </c>
      <c r="B486" s="1" t="s">
        <v>1871</v>
      </c>
      <c r="C486" s="1" t="s">
        <v>1873</v>
      </c>
    </row>
    <row r="487" spans="1:3">
      <c r="A487" s="1" t="s">
        <v>6999</v>
      </c>
      <c r="B487" s="1" t="s">
        <v>1874</v>
      </c>
      <c r="C487" s="1" t="s">
        <v>1876</v>
      </c>
    </row>
    <row r="488" spans="1:3">
      <c r="A488" s="1" t="s">
        <v>7000</v>
      </c>
      <c r="B488" s="1" t="s">
        <v>1877</v>
      </c>
      <c r="C488" s="1" t="s">
        <v>7001</v>
      </c>
    </row>
    <row r="489" spans="1:3">
      <c r="A489" s="1" t="s">
        <v>7002</v>
      </c>
      <c r="B489" s="1" t="s">
        <v>1880</v>
      </c>
      <c r="C489" s="1" t="s">
        <v>7003</v>
      </c>
    </row>
    <row r="490" spans="1:3">
      <c r="A490" s="1" t="s">
        <v>7004</v>
      </c>
      <c r="B490" s="1" t="s">
        <v>1882</v>
      </c>
      <c r="C490" s="1" t="s">
        <v>6224</v>
      </c>
    </row>
    <row r="491" spans="1:3">
      <c r="A491" s="1" t="s">
        <v>7005</v>
      </c>
      <c r="B491" s="1" t="s">
        <v>1884</v>
      </c>
      <c r="C491" s="1" t="s">
        <v>1886</v>
      </c>
    </row>
    <row r="492" spans="1:3">
      <c r="A492" s="1" t="s">
        <v>7006</v>
      </c>
      <c r="B492" s="1" t="s">
        <v>1887</v>
      </c>
      <c r="C492" s="1" t="s">
        <v>1889</v>
      </c>
    </row>
    <row r="493" spans="1:3">
      <c r="A493" s="1" t="s">
        <v>7007</v>
      </c>
      <c r="B493" s="1" t="s">
        <v>1890</v>
      </c>
      <c r="C493" s="1" t="s">
        <v>1892</v>
      </c>
    </row>
    <row r="494" spans="1:3">
      <c r="A494" s="1" t="s">
        <v>7008</v>
      </c>
      <c r="B494" s="1" t="s">
        <v>1893</v>
      </c>
      <c r="C494" s="1" t="s">
        <v>1895</v>
      </c>
    </row>
    <row r="495" spans="1:3">
      <c r="A495" s="1" t="s">
        <v>7009</v>
      </c>
      <c r="B495" s="1" t="s">
        <v>1896</v>
      </c>
      <c r="C495" s="1" t="s">
        <v>7010</v>
      </c>
    </row>
    <row r="496" spans="1:3">
      <c r="A496" s="1" t="s">
        <v>7011</v>
      </c>
      <c r="B496" s="1" t="s">
        <v>1897</v>
      </c>
      <c r="C496" s="1" t="s">
        <v>1899</v>
      </c>
    </row>
    <row r="497" spans="1:3">
      <c r="A497" s="1" t="s">
        <v>7012</v>
      </c>
      <c r="B497" s="1" t="s">
        <v>1900</v>
      </c>
      <c r="C497" s="1" t="s">
        <v>1902</v>
      </c>
    </row>
    <row r="498" spans="1:3">
      <c r="A498" s="1" t="s">
        <v>7013</v>
      </c>
      <c r="B498" s="1" t="s">
        <v>1903</v>
      </c>
      <c r="C498" s="1" t="s">
        <v>1905</v>
      </c>
    </row>
    <row r="499" spans="1:3">
      <c r="A499" s="1" t="s">
        <v>7014</v>
      </c>
      <c r="B499" s="1" t="s">
        <v>1906</v>
      </c>
      <c r="C499" s="1" t="s">
        <v>1908</v>
      </c>
    </row>
    <row r="500" spans="1:3">
      <c r="A500" s="1" t="s">
        <v>7015</v>
      </c>
      <c r="B500" s="1" t="s">
        <v>1909</v>
      </c>
      <c r="C500" s="1" t="s">
        <v>1911</v>
      </c>
    </row>
    <row r="501" spans="1:3">
      <c r="A501" s="1" t="s">
        <v>7016</v>
      </c>
      <c r="B501" s="1" t="s">
        <v>1913</v>
      </c>
      <c r="C501" s="1" t="s">
        <v>1915</v>
      </c>
    </row>
    <row r="502" spans="1:3">
      <c r="A502" s="1" t="s">
        <v>7017</v>
      </c>
      <c r="B502" s="1" t="s">
        <v>1916</v>
      </c>
      <c r="C502" s="1" t="s">
        <v>1918</v>
      </c>
    </row>
    <row r="503" spans="1:3">
      <c r="A503" s="1" t="s">
        <v>7018</v>
      </c>
      <c r="B503" s="1" t="s">
        <v>1919</v>
      </c>
      <c r="C503" s="1" t="s">
        <v>1921</v>
      </c>
    </row>
    <row r="504" spans="1:3">
      <c r="A504" s="1" t="s">
        <v>7019</v>
      </c>
      <c r="B504" s="1" t="s">
        <v>1922</v>
      </c>
      <c r="C504" s="1" t="s">
        <v>1924</v>
      </c>
    </row>
    <row r="505" spans="1:3">
      <c r="A505" s="1" t="s">
        <v>7020</v>
      </c>
      <c r="B505" s="1" t="s">
        <v>1925</v>
      </c>
      <c r="C505" s="1" t="s">
        <v>1927</v>
      </c>
    </row>
    <row r="506" spans="1:3">
      <c r="A506" s="1" t="s">
        <v>7021</v>
      </c>
      <c r="B506" s="1" t="s">
        <v>1928</v>
      </c>
      <c r="C506" s="1" t="s">
        <v>1930</v>
      </c>
    </row>
    <row r="507" spans="1:3">
      <c r="A507" s="1" t="s">
        <v>7022</v>
      </c>
      <c r="B507" s="1" t="s">
        <v>1931</v>
      </c>
      <c r="C507" s="1" t="s">
        <v>1933</v>
      </c>
    </row>
    <row r="508" spans="1:3">
      <c r="A508" s="1" t="s">
        <v>7023</v>
      </c>
      <c r="B508" s="1" t="s">
        <v>1934</v>
      </c>
      <c r="C508" s="1" t="s">
        <v>1936</v>
      </c>
    </row>
    <row r="509" spans="1:3">
      <c r="A509" s="1" t="s">
        <v>7024</v>
      </c>
      <c r="B509" s="1" t="s">
        <v>1937</v>
      </c>
      <c r="C509" s="1" t="s">
        <v>1939</v>
      </c>
    </row>
    <row r="510" spans="1:3">
      <c r="A510" s="1" t="s">
        <v>7025</v>
      </c>
      <c r="B510" s="1" t="s">
        <v>1940</v>
      </c>
      <c r="C510" s="1" t="s">
        <v>1942</v>
      </c>
    </row>
    <row r="511" spans="1:3">
      <c r="A511" s="1" t="s">
        <v>7026</v>
      </c>
      <c r="B511" s="1" t="s">
        <v>1943</v>
      </c>
      <c r="C511" s="1" t="s">
        <v>1945</v>
      </c>
    </row>
    <row r="512" spans="1:3">
      <c r="A512" s="1" t="s">
        <v>7027</v>
      </c>
      <c r="B512" s="1" t="s">
        <v>1946</v>
      </c>
      <c r="C512" s="1" t="s">
        <v>1948</v>
      </c>
    </row>
    <row r="513" spans="1:3">
      <c r="A513" s="1" t="s">
        <v>7028</v>
      </c>
      <c r="B513" s="1" t="s">
        <v>1949</v>
      </c>
      <c r="C513" s="1" t="s">
        <v>1951</v>
      </c>
    </row>
    <row r="514" spans="1:3">
      <c r="A514" s="1" t="s">
        <v>7029</v>
      </c>
      <c r="B514" s="1" t="s">
        <v>1952</v>
      </c>
      <c r="C514" s="1" t="s">
        <v>1954</v>
      </c>
    </row>
    <row r="515" spans="1:3">
      <c r="A515" s="1" t="s">
        <v>7030</v>
      </c>
      <c r="B515" s="1" t="s">
        <v>1955</v>
      </c>
      <c r="C515" s="1" t="s">
        <v>1957</v>
      </c>
    </row>
    <row r="516" spans="1:3">
      <c r="A516" s="1" t="s">
        <v>7031</v>
      </c>
      <c r="B516" s="1" t="s">
        <v>1958</v>
      </c>
      <c r="C516" s="1" t="s">
        <v>1960</v>
      </c>
    </row>
    <row r="517" spans="1:3">
      <c r="A517" s="1" t="s">
        <v>7032</v>
      </c>
      <c r="B517" s="1" t="s">
        <v>1961</v>
      </c>
      <c r="C517" s="1" t="s">
        <v>7033</v>
      </c>
    </row>
    <row r="518" spans="1:3">
      <c r="A518" s="1" t="s">
        <v>7034</v>
      </c>
      <c r="B518" s="1" t="s">
        <v>1962</v>
      </c>
      <c r="C518" s="1" t="s">
        <v>1964</v>
      </c>
    </row>
    <row r="519" spans="1:3">
      <c r="A519" s="1" t="s">
        <v>7035</v>
      </c>
      <c r="B519" s="1" t="s">
        <v>1965</v>
      </c>
      <c r="C519" s="1" t="s">
        <v>1967</v>
      </c>
    </row>
    <row r="520" spans="1:3">
      <c r="A520" s="1" t="s">
        <v>7036</v>
      </c>
      <c r="B520" s="1" t="s">
        <v>1968</v>
      </c>
      <c r="C520" s="1" t="s">
        <v>1970</v>
      </c>
    </row>
    <row r="521" spans="1:3">
      <c r="A521" s="1" t="s">
        <v>7037</v>
      </c>
      <c r="B521" s="1" t="s">
        <v>1971</v>
      </c>
      <c r="C521" s="1" t="s">
        <v>1973</v>
      </c>
    </row>
    <row r="522" spans="1:3">
      <c r="A522" s="1" t="s">
        <v>7038</v>
      </c>
      <c r="B522" s="1" t="s">
        <v>1974</v>
      </c>
      <c r="C522" s="1" t="s">
        <v>1976</v>
      </c>
    </row>
    <row r="523" spans="1:3">
      <c r="A523" s="1" t="s">
        <v>7039</v>
      </c>
      <c r="B523" s="1" t="s">
        <v>1977</v>
      </c>
      <c r="C523" s="1" t="s">
        <v>1979</v>
      </c>
    </row>
    <row r="524" spans="1:3">
      <c r="A524" s="1" t="s">
        <v>7040</v>
      </c>
      <c r="B524" s="1" t="s">
        <v>1980</v>
      </c>
      <c r="C524" s="1" t="s">
        <v>1982</v>
      </c>
    </row>
    <row r="525" spans="1:3">
      <c r="A525" s="1" t="s">
        <v>7041</v>
      </c>
      <c r="B525" s="1" t="s">
        <v>1983</v>
      </c>
      <c r="C525" s="1" t="s">
        <v>7042</v>
      </c>
    </row>
    <row r="526" spans="1:3">
      <c r="A526" s="1" t="s">
        <v>7043</v>
      </c>
      <c r="B526" s="1" t="s">
        <v>1984</v>
      </c>
      <c r="C526" s="1" t="s">
        <v>1986</v>
      </c>
    </row>
    <row r="527" spans="1:3">
      <c r="A527" s="1" t="s">
        <v>7044</v>
      </c>
      <c r="B527" s="1" t="s">
        <v>1987</v>
      </c>
      <c r="C527" s="1" t="s">
        <v>1989</v>
      </c>
    </row>
    <row r="528" spans="1:3">
      <c r="A528" s="1" t="s">
        <v>7045</v>
      </c>
      <c r="B528" s="1" t="s">
        <v>1990</v>
      </c>
      <c r="C528" s="1" t="s">
        <v>1992</v>
      </c>
    </row>
    <row r="529" spans="1:3">
      <c r="A529" s="1" t="s">
        <v>7046</v>
      </c>
      <c r="B529" s="1" t="s">
        <v>1993</v>
      </c>
      <c r="C529" s="1" t="s">
        <v>1995</v>
      </c>
    </row>
    <row r="530" spans="1:3">
      <c r="A530" s="1" t="s">
        <v>7047</v>
      </c>
      <c r="B530" s="1" t="s">
        <v>1996</v>
      </c>
      <c r="C530" s="1" t="s">
        <v>1998</v>
      </c>
    </row>
    <row r="531" spans="1:3">
      <c r="A531" s="1" t="s">
        <v>7048</v>
      </c>
      <c r="B531" s="1" t="s">
        <v>1999</v>
      </c>
      <c r="C531" s="1" t="s">
        <v>2001</v>
      </c>
    </row>
    <row r="532" spans="1:3">
      <c r="A532" s="1" t="s">
        <v>7049</v>
      </c>
      <c r="B532" s="1" t="s">
        <v>2002</v>
      </c>
      <c r="C532" s="1" t="s">
        <v>2004</v>
      </c>
    </row>
    <row r="533" spans="1:3">
      <c r="A533" s="1" t="s">
        <v>7050</v>
      </c>
      <c r="B533" s="1" t="s">
        <v>2005</v>
      </c>
      <c r="C533" s="1" t="s">
        <v>2007</v>
      </c>
    </row>
    <row r="534" spans="1:3">
      <c r="A534" s="1" t="s">
        <v>7051</v>
      </c>
      <c r="B534" s="1" t="s">
        <v>2008</v>
      </c>
      <c r="C534" s="1" t="s">
        <v>2010</v>
      </c>
    </row>
    <row r="535" spans="1:3">
      <c r="A535" s="1" t="s">
        <v>7052</v>
      </c>
      <c r="B535" s="1" t="s">
        <v>2011</v>
      </c>
      <c r="C535" s="1" t="s">
        <v>2013</v>
      </c>
    </row>
    <row r="536" spans="1:3">
      <c r="A536" s="1" t="s">
        <v>7053</v>
      </c>
      <c r="B536" s="1" t="s">
        <v>2014</v>
      </c>
      <c r="C536" s="1" t="s">
        <v>2016</v>
      </c>
    </row>
    <row r="537" spans="1:3">
      <c r="A537" s="1" t="s">
        <v>7054</v>
      </c>
      <c r="B537" s="1" t="s">
        <v>2017</v>
      </c>
      <c r="C537" s="1" t="s">
        <v>2019</v>
      </c>
    </row>
    <row r="538" spans="1:3">
      <c r="A538" s="1" t="s">
        <v>7055</v>
      </c>
      <c r="B538" s="1" t="s">
        <v>2020</v>
      </c>
      <c r="C538" s="1" t="s">
        <v>2022</v>
      </c>
    </row>
    <row r="539" spans="1:3">
      <c r="A539" s="1" t="s">
        <v>7056</v>
      </c>
      <c r="B539" s="1" t="s">
        <v>2023</v>
      </c>
      <c r="C539" s="1" t="s">
        <v>2025</v>
      </c>
    </row>
    <row r="540" spans="1:3">
      <c r="A540" s="1" t="s">
        <v>7057</v>
      </c>
      <c r="B540" s="1" t="s">
        <v>2026</v>
      </c>
      <c r="C540" s="1" t="s">
        <v>2028</v>
      </c>
    </row>
    <row r="541" spans="1:3">
      <c r="A541" s="1" t="s">
        <v>7058</v>
      </c>
      <c r="B541" s="1" t="s">
        <v>2029</v>
      </c>
      <c r="C541" s="1" t="s">
        <v>2031</v>
      </c>
    </row>
    <row r="542" spans="1:3">
      <c r="A542" s="1" t="s">
        <v>7059</v>
      </c>
      <c r="B542" s="1" t="s">
        <v>2032</v>
      </c>
      <c r="C542" s="1" t="s">
        <v>2034</v>
      </c>
    </row>
    <row r="543" spans="1:3">
      <c r="A543" s="1" t="s">
        <v>7060</v>
      </c>
      <c r="B543" s="1" t="s">
        <v>2035</v>
      </c>
      <c r="C543" s="1" t="s">
        <v>2037</v>
      </c>
    </row>
    <row r="544" spans="1:3">
      <c r="A544" s="1" t="s">
        <v>7061</v>
      </c>
      <c r="B544" s="1" t="s">
        <v>2038</v>
      </c>
      <c r="C544" s="1" t="s">
        <v>2040</v>
      </c>
    </row>
    <row r="545" spans="1:3">
      <c r="A545" s="1" t="s">
        <v>7062</v>
      </c>
      <c r="B545" s="1" t="s">
        <v>2041</v>
      </c>
      <c r="C545" s="1" t="s">
        <v>2043</v>
      </c>
    </row>
    <row r="546" spans="1:3">
      <c r="A546" s="1" t="s">
        <v>7063</v>
      </c>
      <c r="B546" s="1" t="s">
        <v>2044</v>
      </c>
      <c r="C546" s="1" t="s">
        <v>2046</v>
      </c>
    </row>
    <row r="547" spans="1:3">
      <c r="A547" s="1" t="s">
        <v>7064</v>
      </c>
      <c r="B547" s="1" t="s">
        <v>2047</v>
      </c>
      <c r="C547" s="1" t="s">
        <v>6266</v>
      </c>
    </row>
    <row r="548" spans="1:3">
      <c r="A548" s="1" t="s">
        <v>7065</v>
      </c>
      <c r="B548" s="1" t="s">
        <v>2049</v>
      </c>
      <c r="C548" s="1" t="s">
        <v>2051</v>
      </c>
    </row>
    <row r="549" spans="1:3">
      <c r="A549" s="1" t="s">
        <v>7066</v>
      </c>
      <c r="B549" s="1" t="s">
        <v>2052</v>
      </c>
      <c r="C549" s="1" t="s">
        <v>2054</v>
      </c>
    </row>
    <row r="550" spans="1:3">
      <c r="A550" s="1" t="s">
        <v>7067</v>
      </c>
      <c r="B550" s="1" t="s">
        <v>2055</v>
      </c>
      <c r="C550" s="1" t="s">
        <v>2057</v>
      </c>
    </row>
    <row r="551" spans="1:3">
      <c r="A551" s="1" t="s">
        <v>7068</v>
      </c>
      <c r="B551" s="1" t="s">
        <v>2058</v>
      </c>
      <c r="C551" s="1" t="s">
        <v>2060</v>
      </c>
    </row>
    <row r="552" spans="1:3">
      <c r="A552" s="1" t="s">
        <v>7069</v>
      </c>
      <c r="B552" s="1" t="s">
        <v>2061</v>
      </c>
      <c r="C552" s="1" t="s">
        <v>7070</v>
      </c>
    </row>
    <row r="553" spans="1:3">
      <c r="A553" s="1" t="s">
        <v>7071</v>
      </c>
      <c r="B553" s="1" t="s">
        <v>2064</v>
      </c>
      <c r="C553" s="1" t="s">
        <v>2066</v>
      </c>
    </row>
    <row r="554" spans="1:3">
      <c r="A554" s="1" t="s">
        <v>7072</v>
      </c>
      <c r="B554" s="1" t="s">
        <v>2067</v>
      </c>
      <c r="C554" s="1" t="s">
        <v>2069</v>
      </c>
    </row>
    <row r="555" spans="1:3">
      <c r="A555" s="1" t="s">
        <v>7073</v>
      </c>
      <c r="B555" s="1" t="s">
        <v>2070</v>
      </c>
      <c r="C555" s="1" t="s">
        <v>2072</v>
      </c>
    </row>
    <row r="556" spans="1:3">
      <c r="A556" s="1" t="s">
        <v>7074</v>
      </c>
      <c r="B556" s="1" t="s">
        <v>2073</v>
      </c>
      <c r="C556" s="1" t="s">
        <v>2075</v>
      </c>
    </row>
    <row r="557" spans="1:3">
      <c r="A557" s="1" t="s">
        <v>7075</v>
      </c>
      <c r="B557" s="1" t="s">
        <v>2076</v>
      </c>
      <c r="C557" s="1" t="s">
        <v>2078</v>
      </c>
    </row>
    <row r="558" spans="1:3">
      <c r="A558" s="1" t="s">
        <v>7076</v>
      </c>
      <c r="B558" s="1" t="s">
        <v>2079</v>
      </c>
      <c r="C558" s="1" t="s">
        <v>2081</v>
      </c>
    </row>
    <row r="559" spans="1:3">
      <c r="A559" s="1" t="s">
        <v>7077</v>
      </c>
      <c r="B559" s="1" t="s">
        <v>2082</v>
      </c>
      <c r="C559" s="1" t="s">
        <v>2084</v>
      </c>
    </row>
    <row r="560" spans="1:3">
      <c r="A560" s="1" t="s">
        <v>7078</v>
      </c>
      <c r="B560" s="1" t="s">
        <v>2085</v>
      </c>
      <c r="C560" s="1" t="s">
        <v>2087</v>
      </c>
    </row>
    <row r="561" spans="1:3">
      <c r="A561" s="1" t="s">
        <v>7079</v>
      </c>
      <c r="B561" s="1" t="s">
        <v>2088</v>
      </c>
      <c r="C561" s="1" t="s">
        <v>2090</v>
      </c>
    </row>
    <row r="562" spans="1:3">
      <c r="A562" s="1" t="s">
        <v>7080</v>
      </c>
      <c r="B562" s="1" t="s">
        <v>2091</v>
      </c>
      <c r="C562" s="1" t="s">
        <v>2093</v>
      </c>
    </row>
    <row r="563" spans="1:3">
      <c r="A563" s="1" t="s">
        <v>7081</v>
      </c>
      <c r="B563" s="1" t="s">
        <v>2094</v>
      </c>
      <c r="C563" s="1" t="s">
        <v>7082</v>
      </c>
    </row>
    <row r="564" spans="1:3">
      <c r="A564" s="1" t="s">
        <v>7083</v>
      </c>
      <c r="B564" s="1" t="s">
        <v>2100</v>
      </c>
      <c r="C564" s="1" t="s">
        <v>7084</v>
      </c>
    </row>
    <row r="565" spans="1:3">
      <c r="A565" s="1" t="s">
        <v>7085</v>
      </c>
      <c r="B565" s="1" t="s">
        <v>2101</v>
      </c>
      <c r="C565" s="1" t="s">
        <v>7086</v>
      </c>
    </row>
    <row r="566" spans="1:3">
      <c r="A566" s="1" t="s">
        <v>7087</v>
      </c>
      <c r="B566" s="1" t="s">
        <v>2103</v>
      </c>
      <c r="C566" s="1" t="s">
        <v>7088</v>
      </c>
    </row>
    <row r="567" spans="1:3">
      <c r="A567" s="1" t="s">
        <v>7089</v>
      </c>
      <c r="B567" s="1" t="s">
        <v>2105</v>
      </c>
      <c r="C567" s="1" t="s">
        <v>7090</v>
      </c>
    </row>
    <row r="568" spans="1:3">
      <c r="A568" s="1" t="s">
        <v>7091</v>
      </c>
      <c r="B568" s="1" t="s">
        <v>2107</v>
      </c>
      <c r="C568" s="1" t="s">
        <v>7092</v>
      </c>
    </row>
    <row r="569" spans="1:3">
      <c r="A569" s="1" t="s">
        <v>7093</v>
      </c>
      <c r="B569" s="1" t="s">
        <v>2109</v>
      </c>
      <c r="C569" s="1" t="s">
        <v>7094</v>
      </c>
    </row>
    <row r="570" spans="1:3">
      <c r="A570" s="1" t="s">
        <v>7095</v>
      </c>
      <c r="B570" s="1" t="s">
        <v>2110</v>
      </c>
      <c r="C570" s="1" t="s">
        <v>7096</v>
      </c>
    </row>
    <row r="571" spans="1:3">
      <c r="A571" s="1" t="s">
        <v>7097</v>
      </c>
      <c r="B571" s="1" t="s">
        <v>2111</v>
      </c>
      <c r="C571" s="1" t="s">
        <v>7098</v>
      </c>
    </row>
    <row r="572" spans="1:3">
      <c r="A572" s="1" t="s">
        <v>7099</v>
      </c>
      <c r="B572" s="1" t="s">
        <v>2112</v>
      </c>
      <c r="C572" s="1" t="s">
        <v>7100</v>
      </c>
    </row>
    <row r="573" spans="1:3">
      <c r="A573" s="1" t="s">
        <v>7101</v>
      </c>
      <c r="B573" s="1" t="s">
        <v>2113</v>
      </c>
      <c r="C573" s="1" t="s">
        <v>7102</v>
      </c>
    </row>
    <row r="574" spans="1:3">
      <c r="A574" s="1" t="s">
        <v>7103</v>
      </c>
      <c r="B574" s="1" t="s">
        <v>2115</v>
      </c>
      <c r="C574" s="1" t="s">
        <v>7104</v>
      </c>
    </row>
    <row r="575" spans="1:3">
      <c r="A575" s="1" t="s">
        <v>7105</v>
      </c>
      <c r="B575" s="1" t="s">
        <v>2117</v>
      </c>
      <c r="C575" s="1" t="s">
        <v>7106</v>
      </c>
    </row>
    <row r="576" spans="1:3">
      <c r="A576" s="1" t="s">
        <v>7107</v>
      </c>
      <c r="B576" s="1" t="s">
        <v>2119</v>
      </c>
      <c r="C576" s="1" t="s">
        <v>7108</v>
      </c>
    </row>
    <row r="577" spans="1:3">
      <c r="A577" s="1" t="s">
        <v>7109</v>
      </c>
      <c r="B577" s="1" t="s">
        <v>2120</v>
      </c>
      <c r="C577" s="1" t="s">
        <v>7110</v>
      </c>
    </row>
    <row r="578" spans="1:3">
      <c r="A578" s="1" t="s">
        <v>7111</v>
      </c>
      <c r="B578" s="1" t="s">
        <v>2121</v>
      </c>
      <c r="C578" s="1" t="s">
        <v>7112</v>
      </c>
    </row>
    <row r="579" spans="1:3">
      <c r="A579" s="1" t="s">
        <v>7113</v>
      </c>
      <c r="B579" s="1" t="s">
        <v>2122</v>
      </c>
      <c r="C579" s="1" t="s">
        <v>7114</v>
      </c>
    </row>
    <row r="580" spans="1:3">
      <c r="A580" s="1" t="s">
        <v>7115</v>
      </c>
      <c r="B580" s="1" t="s">
        <v>2123</v>
      </c>
      <c r="C580" s="1" t="s">
        <v>7116</v>
      </c>
    </row>
    <row r="581" spans="1:3">
      <c r="A581" s="1" t="s">
        <v>7117</v>
      </c>
      <c r="B581" s="1" t="s">
        <v>2124</v>
      </c>
      <c r="C581" s="1" t="s">
        <v>7118</v>
      </c>
    </row>
    <row r="582" spans="1:3">
      <c r="A582" s="1" t="s">
        <v>7119</v>
      </c>
      <c r="B582" s="1" t="s">
        <v>2125</v>
      </c>
      <c r="C582" s="1" t="s">
        <v>7120</v>
      </c>
    </row>
    <row r="583" spans="1:3">
      <c r="A583" s="1" t="s">
        <v>7121</v>
      </c>
      <c r="B583" s="1" t="s">
        <v>2126</v>
      </c>
      <c r="C583" s="1" t="s">
        <v>7122</v>
      </c>
    </row>
    <row r="584" spans="1:3">
      <c r="A584" s="1" t="s">
        <v>7123</v>
      </c>
      <c r="B584" s="1" t="s">
        <v>2127</v>
      </c>
      <c r="C584" s="1" t="s">
        <v>7124</v>
      </c>
    </row>
    <row r="585" spans="1:3">
      <c r="A585" s="1" t="s">
        <v>7125</v>
      </c>
      <c r="B585" s="1" t="s">
        <v>2128</v>
      </c>
      <c r="C585" s="1" t="s">
        <v>7126</v>
      </c>
    </row>
    <row r="586" spans="1:3">
      <c r="A586" s="1" t="s">
        <v>7127</v>
      </c>
      <c r="B586" s="1" t="s">
        <v>2129</v>
      </c>
      <c r="C586" s="1" t="s">
        <v>7128</v>
      </c>
    </row>
    <row r="587" spans="1:3">
      <c r="A587" s="1" t="s">
        <v>7129</v>
      </c>
      <c r="B587" s="1" t="s">
        <v>2132</v>
      </c>
      <c r="C587" s="1" t="s">
        <v>2134</v>
      </c>
    </row>
    <row r="588" spans="1:3">
      <c r="A588" s="1" t="s">
        <v>7130</v>
      </c>
      <c r="B588" s="1" t="s">
        <v>2135</v>
      </c>
      <c r="C588" s="1" t="s">
        <v>2137</v>
      </c>
    </row>
    <row r="589" spans="1:3">
      <c r="A589" s="1" t="s">
        <v>7131</v>
      </c>
      <c r="B589" s="1" t="s">
        <v>2138</v>
      </c>
      <c r="C589" s="1" t="s">
        <v>2140</v>
      </c>
    </row>
    <row r="590" spans="1:3">
      <c r="A590" s="1" t="s">
        <v>7132</v>
      </c>
      <c r="B590" s="1" t="s">
        <v>2141</v>
      </c>
      <c r="C590" s="1" t="s">
        <v>2143</v>
      </c>
    </row>
    <row r="591" spans="1:3">
      <c r="A591" s="1" t="s">
        <v>7133</v>
      </c>
      <c r="B591" s="1" t="s">
        <v>2145</v>
      </c>
      <c r="C591" s="1" t="s">
        <v>2147</v>
      </c>
    </row>
    <row r="592" spans="1:3">
      <c r="A592" s="1" t="s">
        <v>7134</v>
      </c>
      <c r="B592" s="1" t="s">
        <v>2148</v>
      </c>
      <c r="C592" s="1" t="s">
        <v>2150</v>
      </c>
    </row>
    <row r="593" spans="1:3">
      <c r="A593" s="1" t="s">
        <v>7135</v>
      </c>
      <c r="B593" s="1" t="s">
        <v>2151</v>
      </c>
      <c r="C593" s="1" t="s">
        <v>2153</v>
      </c>
    </row>
    <row r="594" spans="1:3">
      <c r="A594" s="1" t="s">
        <v>7136</v>
      </c>
      <c r="B594" s="1" t="s">
        <v>2154</v>
      </c>
      <c r="C594" s="1" t="s">
        <v>2156</v>
      </c>
    </row>
    <row r="595" spans="1:3">
      <c r="A595" s="1" t="s">
        <v>7137</v>
      </c>
      <c r="B595" s="1" t="s">
        <v>2158</v>
      </c>
      <c r="C595" s="1" t="s">
        <v>7138</v>
      </c>
    </row>
    <row r="596" spans="1:3">
      <c r="A596" s="1" t="s">
        <v>7139</v>
      </c>
      <c r="B596" s="1" t="s">
        <v>2162</v>
      </c>
      <c r="C596" s="1" t="s">
        <v>2164</v>
      </c>
    </row>
    <row r="597" spans="1:3">
      <c r="A597" s="1" t="s">
        <v>7140</v>
      </c>
      <c r="B597" s="1" t="s">
        <v>2167</v>
      </c>
      <c r="C597" s="1" t="s">
        <v>7141</v>
      </c>
    </row>
    <row r="598" spans="1:3">
      <c r="A598" s="1" t="s">
        <v>7142</v>
      </c>
      <c r="B598" s="1" t="s">
        <v>2169</v>
      </c>
      <c r="C598" s="1" t="s">
        <v>2171</v>
      </c>
    </row>
    <row r="599" spans="1:3">
      <c r="A599" s="1" t="s">
        <v>7143</v>
      </c>
      <c r="B599" s="1" t="s">
        <v>2173</v>
      </c>
      <c r="C599" s="1" t="s">
        <v>7144</v>
      </c>
    </row>
    <row r="600" spans="1:3">
      <c r="A600" s="1" t="s">
        <v>7145</v>
      </c>
      <c r="B600" s="1" t="s">
        <v>2179</v>
      </c>
      <c r="C600" s="1" t="s">
        <v>7146</v>
      </c>
    </row>
    <row r="601" spans="1:3">
      <c r="A601" s="1" t="s">
        <v>7147</v>
      </c>
      <c r="B601" s="1" t="s">
        <v>2187</v>
      </c>
      <c r="C601" s="1" t="s">
        <v>7148</v>
      </c>
    </row>
    <row r="602" spans="1:3">
      <c r="A602" s="1" t="s">
        <v>7149</v>
      </c>
      <c r="B602" s="1" t="s">
        <v>2193</v>
      </c>
      <c r="C602" s="1" t="s">
        <v>7150</v>
      </c>
    </row>
    <row r="603" spans="1:3">
      <c r="A603" s="1" t="s">
        <v>7151</v>
      </c>
      <c r="B603" s="1" t="s">
        <v>2200</v>
      </c>
      <c r="C603" s="1" t="s">
        <v>7152</v>
      </c>
    </row>
    <row r="604" spans="1:3">
      <c r="A604" s="1" t="s">
        <v>7153</v>
      </c>
      <c r="B604" s="1" t="s">
        <v>2207</v>
      </c>
      <c r="C604" s="1" t="s">
        <v>7154</v>
      </c>
    </row>
    <row r="605" spans="1:3">
      <c r="A605" s="1" t="s">
        <v>7155</v>
      </c>
      <c r="B605" s="1" t="s">
        <v>2213</v>
      </c>
      <c r="C605" s="1" t="s">
        <v>7156</v>
      </c>
    </row>
    <row r="606" spans="1:3">
      <c r="A606" s="1" t="s">
        <v>7157</v>
      </c>
      <c r="B606" s="1" t="s">
        <v>2218</v>
      </c>
      <c r="C606" s="1" t="s">
        <v>7158</v>
      </c>
    </row>
    <row r="607" spans="1:3">
      <c r="A607" s="1" t="s">
        <v>7159</v>
      </c>
      <c r="B607" s="1" t="s">
        <v>2224</v>
      </c>
      <c r="C607" s="1" t="s">
        <v>7160</v>
      </c>
    </row>
    <row r="608" spans="1:3">
      <c r="A608" s="1" t="s">
        <v>7161</v>
      </c>
      <c r="B608" s="1" t="s">
        <v>2230</v>
      </c>
      <c r="C608" s="1" t="s">
        <v>7162</v>
      </c>
    </row>
    <row r="609" spans="1:3">
      <c r="A609" s="1" t="s">
        <v>7163</v>
      </c>
      <c r="B609" s="1" t="s">
        <v>2236</v>
      </c>
      <c r="C609" s="1" t="s">
        <v>7164</v>
      </c>
    </row>
    <row r="610" spans="1:3">
      <c r="A610" s="1" t="s">
        <v>7165</v>
      </c>
      <c r="B610" s="1" t="s">
        <v>2242</v>
      </c>
      <c r="C610" s="1" t="s">
        <v>7166</v>
      </c>
    </row>
    <row r="611" spans="1:3">
      <c r="A611" s="1" t="s">
        <v>7167</v>
      </c>
      <c r="B611" s="1" t="s">
        <v>2249</v>
      </c>
      <c r="C611" s="1" t="s">
        <v>7168</v>
      </c>
    </row>
    <row r="612" spans="1:3">
      <c r="A612" s="1" t="s">
        <v>7169</v>
      </c>
      <c r="B612" s="1" t="s">
        <v>2256</v>
      </c>
      <c r="C612" s="1" t="s">
        <v>7170</v>
      </c>
    </row>
    <row r="613" spans="1:3">
      <c r="A613" s="1" t="s">
        <v>7171</v>
      </c>
      <c r="B613" s="1" t="s">
        <v>2260</v>
      </c>
      <c r="C613" s="1" t="s">
        <v>7172</v>
      </c>
    </row>
    <row r="614" spans="1:3">
      <c r="A614" s="1" t="s">
        <v>7173</v>
      </c>
      <c r="B614" s="1" t="s">
        <v>2263</v>
      </c>
      <c r="C614" s="1" t="s">
        <v>7174</v>
      </c>
    </row>
    <row r="615" spans="1:3">
      <c r="A615" s="1" t="s">
        <v>7175</v>
      </c>
      <c r="B615" s="1" t="s">
        <v>2267</v>
      </c>
      <c r="C615" s="1" t="s">
        <v>7176</v>
      </c>
    </row>
    <row r="616" spans="1:3">
      <c r="A616" s="1" t="s">
        <v>7177</v>
      </c>
      <c r="B616" s="1" t="s">
        <v>2271</v>
      </c>
      <c r="C616" s="1" t="s">
        <v>7178</v>
      </c>
    </row>
    <row r="617" spans="1:3">
      <c r="A617" s="1" t="s">
        <v>7179</v>
      </c>
      <c r="B617" s="1" t="s">
        <v>2275</v>
      </c>
      <c r="C617" s="1" t="s">
        <v>7180</v>
      </c>
    </row>
    <row r="618" spans="1:3">
      <c r="A618" s="1" t="s">
        <v>7181</v>
      </c>
      <c r="B618" s="1" t="s">
        <v>2279</v>
      </c>
      <c r="C618" s="1" t="s">
        <v>7182</v>
      </c>
    </row>
    <row r="619" spans="1:3">
      <c r="A619" s="1" t="s">
        <v>7183</v>
      </c>
      <c r="B619" s="1" t="s">
        <v>2283</v>
      </c>
      <c r="C619" s="1" t="s">
        <v>7184</v>
      </c>
    </row>
    <row r="620" spans="1:3">
      <c r="A620" s="1" t="s">
        <v>7185</v>
      </c>
      <c r="B620" s="1" t="s">
        <v>2286</v>
      </c>
      <c r="C620" s="1" t="s">
        <v>7186</v>
      </c>
    </row>
    <row r="621" spans="1:3">
      <c r="A621" s="1" t="s">
        <v>7187</v>
      </c>
      <c r="B621" s="1" t="s">
        <v>2291</v>
      </c>
      <c r="C621" s="1" t="s">
        <v>7188</v>
      </c>
    </row>
    <row r="622" spans="1:3">
      <c r="A622" s="1" t="s">
        <v>7189</v>
      </c>
      <c r="B622" s="1" t="s">
        <v>2295</v>
      </c>
      <c r="C622" s="1" t="s">
        <v>7190</v>
      </c>
    </row>
    <row r="623" spans="1:3">
      <c r="A623" s="1" t="s">
        <v>7191</v>
      </c>
      <c r="B623" s="1" t="s">
        <v>2300</v>
      </c>
      <c r="C623" s="1" t="s">
        <v>7192</v>
      </c>
    </row>
    <row r="624" spans="1:3">
      <c r="A624" s="1" t="s">
        <v>7193</v>
      </c>
      <c r="B624" s="1" t="s">
        <v>2305</v>
      </c>
      <c r="C624" s="1" t="s">
        <v>7194</v>
      </c>
    </row>
    <row r="625" spans="1:3">
      <c r="A625" s="1" t="s">
        <v>7195</v>
      </c>
      <c r="B625" s="1" t="s">
        <v>2307</v>
      </c>
      <c r="C625" s="1" t="s">
        <v>2308</v>
      </c>
    </row>
    <row r="626" spans="1:3">
      <c r="A626" s="1" t="s">
        <v>7196</v>
      </c>
      <c r="B626" s="1" t="s">
        <v>2310</v>
      </c>
      <c r="C626" s="1" t="s">
        <v>2311</v>
      </c>
    </row>
    <row r="627" spans="1:3">
      <c r="A627" s="1" t="s">
        <v>7197</v>
      </c>
      <c r="B627" s="1" t="s">
        <v>2313</v>
      </c>
      <c r="C627" s="1" t="s">
        <v>2314</v>
      </c>
    </row>
    <row r="628" spans="1:3">
      <c r="A628" s="1" t="s">
        <v>7198</v>
      </c>
      <c r="B628" s="1" t="s">
        <v>2316</v>
      </c>
      <c r="C628" s="1" t="s">
        <v>2317</v>
      </c>
    </row>
    <row r="629" spans="1:3">
      <c r="A629" s="1" t="s">
        <v>7199</v>
      </c>
      <c r="B629" s="1" t="s">
        <v>2318</v>
      </c>
      <c r="C629" s="1" t="s">
        <v>2319</v>
      </c>
    </row>
    <row r="630" spans="1:3">
      <c r="A630" s="1" t="s">
        <v>7200</v>
      </c>
      <c r="B630" s="1" t="s">
        <v>2320</v>
      </c>
      <c r="C630" s="1" t="s">
        <v>7201</v>
      </c>
    </row>
    <row r="631" spans="1:3">
      <c r="A631" s="1" t="s">
        <v>7202</v>
      </c>
      <c r="B631" s="1" t="s">
        <v>2330</v>
      </c>
      <c r="C631" s="1" t="s">
        <v>2633</v>
      </c>
    </row>
    <row r="632" spans="1:3">
      <c r="A632" s="1" t="s">
        <v>7203</v>
      </c>
      <c r="B632" s="1" t="s">
        <v>2332</v>
      </c>
      <c r="C632" s="1" t="s">
        <v>2334</v>
      </c>
    </row>
    <row r="633" spans="1:3">
      <c r="A633" s="1" t="s">
        <v>7204</v>
      </c>
      <c r="B633" s="1" t="s">
        <v>2335</v>
      </c>
      <c r="C633" s="1" t="s">
        <v>2637</v>
      </c>
    </row>
    <row r="634" spans="1:3">
      <c r="A634" s="1" t="s">
        <v>7205</v>
      </c>
      <c r="B634" s="1" t="s">
        <v>2336</v>
      </c>
      <c r="C634" s="1" t="s">
        <v>7206</v>
      </c>
    </row>
    <row r="635" spans="1:3">
      <c r="A635" s="1" t="s">
        <v>7207</v>
      </c>
      <c r="B635" s="1" t="s">
        <v>2340</v>
      </c>
      <c r="C635" s="1" t="s">
        <v>2342</v>
      </c>
    </row>
    <row r="636" spans="1:3">
      <c r="A636" s="1" t="s">
        <v>7208</v>
      </c>
      <c r="B636" s="1" t="s">
        <v>7209</v>
      </c>
      <c r="C636" s="1" t="s">
        <v>7210</v>
      </c>
    </row>
    <row r="637" spans="1:3">
      <c r="A637" s="1" t="s">
        <v>7211</v>
      </c>
      <c r="B637" s="1" t="s">
        <v>7212</v>
      </c>
      <c r="C637" s="1" t="s">
        <v>7213</v>
      </c>
    </row>
    <row r="638" spans="1:3">
      <c r="A638" s="1" t="s">
        <v>7214</v>
      </c>
      <c r="B638" s="1" t="s">
        <v>2343</v>
      </c>
      <c r="C638" s="1" t="s">
        <v>7215</v>
      </c>
    </row>
    <row r="639" spans="1:3">
      <c r="A639" s="1" t="s">
        <v>7216</v>
      </c>
      <c r="B639" s="1" t="s">
        <v>2347</v>
      </c>
      <c r="C639" s="1" t="s">
        <v>7217</v>
      </c>
    </row>
    <row r="640" spans="1:3">
      <c r="A640" s="1" t="s">
        <v>7218</v>
      </c>
      <c r="B640" s="1" t="s">
        <v>2351</v>
      </c>
      <c r="C640" s="1" t="s">
        <v>2353</v>
      </c>
    </row>
    <row r="641" spans="1:3">
      <c r="A641" s="1" t="s">
        <v>7219</v>
      </c>
      <c r="B641" s="1" t="s">
        <v>2354</v>
      </c>
      <c r="C641" s="1" t="s">
        <v>2356</v>
      </c>
    </row>
    <row r="642" spans="1:3">
      <c r="A642" s="1" t="s">
        <v>7220</v>
      </c>
      <c r="B642" s="1" t="s">
        <v>2624</v>
      </c>
      <c r="C642" s="1" t="s">
        <v>6279</v>
      </c>
    </row>
    <row r="643" spans="1:3">
      <c r="A643" s="1" t="s">
        <v>7221</v>
      </c>
      <c r="B643" s="1" t="s">
        <v>2357</v>
      </c>
      <c r="C643" s="1" t="s">
        <v>2359</v>
      </c>
    </row>
    <row r="644" spans="1:3">
      <c r="A644" s="1" t="s">
        <v>7222</v>
      </c>
      <c r="B644" s="1" t="s">
        <v>2360</v>
      </c>
      <c r="C644" s="1" t="s">
        <v>2362</v>
      </c>
    </row>
    <row r="645" spans="1:3">
      <c r="A645" s="1" t="s">
        <v>7223</v>
      </c>
      <c r="B645" s="1" t="s">
        <v>2363</v>
      </c>
      <c r="C645" s="1" t="s">
        <v>2365</v>
      </c>
    </row>
    <row r="646" spans="1:3">
      <c r="A646" s="1" t="s">
        <v>7224</v>
      </c>
      <c r="B646" s="1" t="s">
        <v>2366</v>
      </c>
      <c r="C646" s="1" t="s">
        <v>7225</v>
      </c>
    </row>
    <row r="647" spans="1:3">
      <c r="A647" s="1" t="s">
        <v>7226</v>
      </c>
      <c r="B647" s="1" t="s">
        <v>2371</v>
      </c>
      <c r="C647" s="1" t="s">
        <v>2373</v>
      </c>
    </row>
    <row r="648" spans="1:3">
      <c r="A648" s="1" t="s">
        <v>7227</v>
      </c>
      <c r="B648" s="1" t="s">
        <v>2374</v>
      </c>
      <c r="C648" s="1" t="s">
        <v>7228</v>
      </c>
    </row>
    <row r="649" spans="1:3">
      <c r="A649" s="1" t="s">
        <v>7229</v>
      </c>
      <c r="B649" s="1" t="s">
        <v>2378</v>
      </c>
      <c r="C649" s="1" t="s">
        <v>7230</v>
      </c>
    </row>
    <row r="650" spans="1:3">
      <c r="A650" s="1" t="s">
        <v>7231</v>
      </c>
      <c r="B650" s="1" t="s">
        <v>7232</v>
      </c>
      <c r="C650" s="1" t="s">
        <v>7233</v>
      </c>
    </row>
    <row r="651" spans="1:3">
      <c r="A651" s="1" t="s">
        <v>7234</v>
      </c>
      <c r="B651" s="1" t="s">
        <v>7235</v>
      </c>
      <c r="C651" s="1" t="s">
        <v>7236</v>
      </c>
    </row>
    <row r="652" spans="1:3">
      <c r="A652" s="1" t="s">
        <v>7237</v>
      </c>
      <c r="B652" s="1" t="s">
        <v>2391</v>
      </c>
      <c r="C652" s="1" t="s">
        <v>2393</v>
      </c>
    </row>
    <row r="653" spans="1:3">
      <c r="A653" s="1" t="s">
        <v>7238</v>
      </c>
      <c r="B653" s="1" t="s">
        <v>2394</v>
      </c>
      <c r="C653" s="1" t="s">
        <v>7239</v>
      </c>
    </row>
    <row r="654" spans="1:3">
      <c r="A654" s="1" t="s">
        <v>7240</v>
      </c>
      <c r="B654" s="1" t="s">
        <v>2398</v>
      </c>
      <c r="C654" s="1" t="s">
        <v>7241</v>
      </c>
    </row>
    <row r="655" spans="1:3">
      <c r="A655" s="1" t="s">
        <v>7242</v>
      </c>
      <c r="B655" s="1" t="s">
        <v>2402</v>
      </c>
      <c r="C655" s="1" t="s">
        <v>2404</v>
      </c>
    </row>
    <row r="656" spans="1:3">
      <c r="A656" s="1" t="s">
        <v>7243</v>
      </c>
      <c r="B656" s="1" t="s">
        <v>2405</v>
      </c>
      <c r="C656" s="1" t="s">
        <v>2407</v>
      </c>
    </row>
    <row r="657" spans="1:3">
      <c r="A657" s="1" t="s">
        <v>7244</v>
      </c>
      <c r="B657" s="1" t="s">
        <v>2408</v>
      </c>
      <c r="C657" s="1" t="s">
        <v>7245</v>
      </c>
    </row>
    <row r="658" spans="1:3">
      <c r="A658" s="1" t="s">
        <v>7246</v>
      </c>
      <c r="B658" s="1" t="s">
        <v>2412</v>
      </c>
      <c r="C658" s="1" t="s">
        <v>2663</v>
      </c>
    </row>
    <row r="659" spans="1:3">
      <c r="A659" s="1" t="s">
        <v>7247</v>
      </c>
      <c r="B659" s="1" t="s">
        <v>2413</v>
      </c>
      <c r="C659" s="1" t="s">
        <v>2415</v>
      </c>
    </row>
    <row r="660" spans="1:3">
      <c r="A660" s="1" t="s">
        <v>7248</v>
      </c>
      <c r="B660" s="1" t="s">
        <v>2416</v>
      </c>
      <c r="C660" s="1" t="s">
        <v>2418</v>
      </c>
    </row>
    <row r="661" spans="1:3">
      <c r="A661" s="1" t="s">
        <v>7249</v>
      </c>
      <c r="B661" s="1" t="s">
        <v>2419</v>
      </c>
      <c r="C661" s="1" t="s">
        <v>2421</v>
      </c>
    </row>
    <row r="662" spans="1:3">
      <c r="A662" s="1" t="s">
        <v>7250</v>
      </c>
      <c r="B662" s="1" t="s">
        <v>2422</v>
      </c>
      <c r="C662" s="1" t="s">
        <v>2424</v>
      </c>
    </row>
    <row r="663" spans="1:3">
      <c r="A663" s="1" t="s">
        <v>7251</v>
      </c>
      <c r="B663" s="1" t="s">
        <v>2425</v>
      </c>
      <c r="C663" s="1" t="s">
        <v>7252</v>
      </c>
    </row>
    <row r="664" spans="1:3">
      <c r="A664" s="1" t="s">
        <v>7253</v>
      </c>
      <c r="B664" s="1" t="s">
        <v>2429</v>
      </c>
      <c r="C664" s="1" t="s">
        <v>7254</v>
      </c>
    </row>
    <row r="665" spans="1:3">
      <c r="A665" s="1" t="s">
        <v>7255</v>
      </c>
      <c r="B665" s="1" t="s">
        <v>2433</v>
      </c>
      <c r="C665" s="1" t="s">
        <v>2435</v>
      </c>
    </row>
    <row r="666" spans="1:3">
      <c r="A666" s="1" t="s">
        <v>7256</v>
      </c>
      <c r="B666" s="1" t="s">
        <v>2436</v>
      </c>
      <c r="C666" s="1" t="s">
        <v>2438</v>
      </c>
    </row>
    <row r="667" spans="1:3">
      <c r="A667" s="1" t="s">
        <v>7257</v>
      </c>
      <c r="B667" s="1" t="s">
        <v>2439</v>
      </c>
      <c r="C667" s="1" t="s">
        <v>2441</v>
      </c>
    </row>
    <row r="668" spans="1:3">
      <c r="A668" s="1" t="s">
        <v>7258</v>
      </c>
      <c r="B668" s="1" t="s">
        <v>2442</v>
      </c>
      <c r="C668" s="1" t="s">
        <v>2444</v>
      </c>
    </row>
    <row r="669" spans="1:3">
      <c r="A669" s="1" t="s">
        <v>7259</v>
      </c>
      <c r="B669" s="1" t="s">
        <v>2445</v>
      </c>
      <c r="C669" s="1" t="s">
        <v>2447</v>
      </c>
    </row>
    <row r="670" spans="1:3">
      <c r="A670" s="1" t="s">
        <v>7260</v>
      </c>
      <c r="B670" s="1" t="s">
        <v>2448</v>
      </c>
      <c r="C670" s="1" t="s">
        <v>2450</v>
      </c>
    </row>
    <row r="671" spans="1:3">
      <c r="A671" s="1" t="s">
        <v>7261</v>
      </c>
      <c r="B671" s="1" t="s">
        <v>2451</v>
      </c>
      <c r="C671" s="1" t="s">
        <v>2453</v>
      </c>
    </row>
    <row r="672" spans="1:3">
      <c r="A672" s="1" t="s">
        <v>7262</v>
      </c>
      <c r="B672" s="1" t="s">
        <v>2454</v>
      </c>
      <c r="C672" s="1" t="s">
        <v>2456</v>
      </c>
    </row>
    <row r="673" spans="1:3">
      <c r="A673" s="1" t="s">
        <v>7263</v>
      </c>
      <c r="B673" s="1" t="s">
        <v>2457</v>
      </c>
      <c r="C673" s="1" t="s">
        <v>7264</v>
      </c>
    </row>
    <row r="674" spans="1:3">
      <c r="A674" s="1" t="s">
        <v>7265</v>
      </c>
      <c r="B674" s="1" t="s">
        <v>2462</v>
      </c>
      <c r="C674" s="1" t="s">
        <v>7266</v>
      </c>
    </row>
    <row r="675" spans="1:3">
      <c r="A675" s="1" t="s">
        <v>7267</v>
      </c>
      <c r="B675" s="1" t="s">
        <v>2467</v>
      </c>
      <c r="C675" s="1" t="s">
        <v>2469</v>
      </c>
    </row>
    <row r="676" spans="1:3">
      <c r="A676" s="1" t="s">
        <v>7268</v>
      </c>
      <c r="B676" s="1" t="s">
        <v>2470</v>
      </c>
      <c r="C676" s="1" t="s">
        <v>7269</v>
      </c>
    </row>
    <row r="677" spans="1:3">
      <c r="A677" s="1" t="s">
        <v>7270</v>
      </c>
      <c r="B677" s="1" t="s">
        <v>2474</v>
      </c>
      <c r="C677" s="1" t="s">
        <v>7271</v>
      </c>
    </row>
    <row r="678" spans="1:3">
      <c r="A678" s="1" t="s">
        <v>7272</v>
      </c>
      <c r="B678" s="1" t="s">
        <v>2478</v>
      </c>
      <c r="C678" s="1" t="s">
        <v>7273</v>
      </c>
    </row>
    <row r="679" spans="1:3">
      <c r="A679" s="1" t="s">
        <v>7274</v>
      </c>
      <c r="B679" s="1" t="s">
        <v>2482</v>
      </c>
      <c r="C679" s="1" t="s">
        <v>7275</v>
      </c>
    </row>
    <row r="680" spans="1:3">
      <c r="A680" s="1" t="s">
        <v>7276</v>
      </c>
      <c r="B680" s="1" t="s">
        <v>2486</v>
      </c>
      <c r="C680" s="1" t="s">
        <v>7277</v>
      </c>
    </row>
    <row r="681" spans="1:3">
      <c r="A681" s="1" t="s">
        <v>7278</v>
      </c>
      <c r="B681" s="1" t="s">
        <v>2490</v>
      </c>
      <c r="C681" s="1" t="s">
        <v>2492</v>
      </c>
    </row>
    <row r="682" spans="1:3">
      <c r="A682" s="1" t="s">
        <v>7279</v>
      </c>
      <c r="B682" s="1" t="s">
        <v>2494</v>
      </c>
      <c r="C682" s="1" t="s">
        <v>2495</v>
      </c>
    </row>
    <row r="683" spans="1:3">
      <c r="A683" s="1" t="s">
        <v>7280</v>
      </c>
      <c r="B683" s="1" t="s">
        <v>2496</v>
      </c>
      <c r="C683" s="1" t="s">
        <v>2497</v>
      </c>
    </row>
    <row r="684" spans="1:3">
      <c r="A684" s="1" t="s">
        <v>7281</v>
      </c>
      <c r="B684" s="1" t="s">
        <v>2499</v>
      </c>
      <c r="C684" s="1" t="s">
        <v>2428</v>
      </c>
    </row>
    <row r="685" spans="1:3">
      <c r="A685" s="1" t="s">
        <v>7282</v>
      </c>
      <c r="B685" s="1" t="s">
        <v>2500</v>
      </c>
      <c r="C685" s="1" t="s">
        <v>2502</v>
      </c>
    </row>
    <row r="686" spans="1:3">
      <c r="A686" s="1" t="s">
        <v>7283</v>
      </c>
      <c r="B686" s="1" t="s">
        <v>2503</v>
      </c>
      <c r="C686" s="1" t="s">
        <v>2505</v>
      </c>
    </row>
    <row r="687" spans="1:3">
      <c r="A687" s="1" t="s">
        <v>7284</v>
      </c>
      <c r="B687" s="1" t="s">
        <v>2506</v>
      </c>
      <c r="C687" s="1" t="s">
        <v>7285</v>
      </c>
    </row>
    <row r="688" spans="1:3">
      <c r="A688" s="1" t="s">
        <v>7286</v>
      </c>
      <c r="B688" s="1" t="s">
        <v>2510</v>
      </c>
      <c r="C688" s="1" t="s">
        <v>2511</v>
      </c>
    </row>
    <row r="689" spans="1:3">
      <c r="A689" s="1" t="s">
        <v>7287</v>
      </c>
      <c r="B689" s="1" t="s">
        <v>2512</v>
      </c>
      <c r="C689" s="1" t="s">
        <v>7288</v>
      </c>
    </row>
    <row r="690" spans="1:3">
      <c r="A690" s="1" t="s">
        <v>7289</v>
      </c>
      <c r="B690" s="1" t="s">
        <v>2516</v>
      </c>
      <c r="C690" s="1" t="s">
        <v>2518</v>
      </c>
    </row>
    <row r="691" spans="1:3">
      <c r="A691" s="1" t="s">
        <v>7290</v>
      </c>
      <c r="B691" s="1" t="s">
        <v>2520</v>
      </c>
      <c r="C691" s="1" t="s">
        <v>2522</v>
      </c>
    </row>
    <row r="692" spans="1:3">
      <c r="A692" s="1" t="s">
        <v>7291</v>
      </c>
      <c r="B692" s="1" t="s">
        <v>2523</v>
      </c>
      <c r="C692" s="1" t="s">
        <v>2525</v>
      </c>
    </row>
    <row r="693" spans="1:3">
      <c r="A693" s="1" t="s">
        <v>7292</v>
      </c>
      <c r="B693" s="1" t="s">
        <v>2526</v>
      </c>
      <c r="C693" s="1" t="s">
        <v>2527</v>
      </c>
    </row>
    <row r="694" spans="1:3">
      <c r="A694" s="1" t="s">
        <v>7293</v>
      </c>
      <c r="B694" s="1" t="s">
        <v>2528</v>
      </c>
      <c r="C694" s="1" t="s">
        <v>2529</v>
      </c>
    </row>
    <row r="695" spans="1:3">
      <c r="A695" s="1" t="s">
        <v>7294</v>
      </c>
      <c r="B695" s="1" t="s">
        <v>2530</v>
      </c>
      <c r="C695" s="1" t="s">
        <v>7295</v>
      </c>
    </row>
    <row r="696" spans="1:3">
      <c r="A696" s="1" t="s">
        <v>7296</v>
      </c>
      <c r="B696" s="1" t="s">
        <v>2532</v>
      </c>
      <c r="C696" s="1" t="s">
        <v>7297</v>
      </c>
    </row>
    <row r="697" spans="1:3">
      <c r="A697" s="1" t="s">
        <v>7298</v>
      </c>
      <c r="B697" s="1" t="s">
        <v>2535</v>
      </c>
      <c r="C697" s="1" t="s">
        <v>2536</v>
      </c>
    </row>
    <row r="698" spans="1:3">
      <c r="A698" s="1" t="s">
        <v>7299</v>
      </c>
      <c r="B698" s="1" t="s">
        <v>2537</v>
      </c>
      <c r="C698" s="1" t="s">
        <v>2538</v>
      </c>
    </row>
    <row r="699" spans="1:3">
      <c r="A699" s="1" t="s">
        <v>7300</v>
      </c>
      <c r="B699" s="1" t="s">
        <v>2539</v>
      </c>
      <c r="C699" s="1" t="s">
        <v>2540</v>
      </c>
    </row>
    <row r="700" spans="1:3">
      <c r="A700" s="1" t="s">
        <v>7301</v>
      </c>
      <c r="B700" s="1" t="s">
        <v>2541</v>
      </c>
      <c r="C700" s="1" t="s">
        <v>2542</v>
      </c>
    </row>
    <row r="701" spans="1:3">
      <c r="A701" s="1" t="s">
        <v>7302</v>
      </c>
      <c r="B701" s="1" t="s">
        <v>2544</v>
      </c>
      <c r="C701" s="1" t="s">
        <v>2646</v>
      </c>
    </row>
    <row r="702" spans="1:3">
      <c r="A702" s="1" t="s">
        <v>7303</v>
      </c>
      <c r="B702" s="1" t="s">
        <v>7304</v>
      </c>
      <c r="C702" s="1" t="s">
        <v>7305</v>
      </c>
    </row>
    <row r="703" spans="1:3">
      <c r="A703" s="1" t="s">
        <v>7306</v>
      </c>
      <c r="B703" s="1" t="s">
        <v>2549</v>
      </c>
      <c r="C703" s="1" t="s">
        <v>7307</v>
      </c>
    </row>
    <row r="704" spans="1:3">
      <c r="A704" s="1" t="s">
        <v>7308</v>
      </c>
      <c r="B704" s="1" t="s">
        <v>2553</v>
      </c>
      <c r="C704" s="1" t="s">
        <v>2555</v>
      </c>
    </row>
    <row r="705" spans="1:3">
      <c r="A705" s="1" t="s">
        <v>7309</v>
      </c>
      <c r="B705" s="1" t="s">
        <v>2556</v>
      </c>
      <c r="C705" s="1" t="s">
        <v>2558</v>
      </c>
    </row>
    <row r="706" spans="1:3">
      <c r="A706" s="1" t="s">
        <v>7310</v>
      </c>
      <c r="B706" s="1" t="s">
        <v>2559</v>
      </c>
      <c r="C706" s="1" t="s">
        <v>2761</v>
      </c>
    </row>
    <row r="707" spans="1:3">
      <c r="A707" s="1" t="s">
        <v>7311</v>
      </c>
      <c r="B707" s="1" t="s">
        <v>2560</v>
      </c>
      <c r="C707" s="1" t="s">
        <v>2562</v>
      </c>
    </row>
    <row r="708" spans="1:3">
      <c r="A708" s="1" t="s">
        <v>7312</v>
      </c>
      <c r="B708" s="1" t="s">
        <v>2564</v>
      </c>
      <c r="C708" s="1" t="s">
        <v>2565</v>
      </c>
    </row>
    <row r="709" spans="1:3">
      <c r="A709" s="1" t="s">
        <v>7313</v>
      </c>
      <c r="B709" s="1" t="s">
        <v>2566</v>
      </c>
      <c r="C709" s="1" t="s">
        <v>7314</v>
      </c>
    </row>
    <row r="710" spans="1:3">
      <c r="A710" s="1" t="s">
        <v>7315</v>
      </c>
      <c r="B710" s="1" t="s">
        <v>2569</v>
      </c>
      <c r="C710" s="1" t="s">
        <v>2570</v>
      </c>
    </row>
    <row r="711" spans="1:3">
      <c r="A711" s="1" t="s">
        <v>7316</v>
      </c>
      <c r="B711" s="1" t="s">
        <v>2572</v>
      </c>
      <c r="C711" s="1" t="s">
        <v>7317</v>
      </c>
    </row>
    <row r="712" spans="1:3">
      <c r="A712" s="1" t="s">
        <v>7318</v>
      </c>
      <c r="B712" s="1" t="s">
        <v>2578</v>
      </c>
      <c r="C712" s="1" t="s">
        <v>7319</v>
      </c>
    </row>
    <row r="713" spans="1:3">
      <c r="A713" s="1" t="s">
        <v>7320</v>
      </c>
      <c r="B713" s="1" t="s">
        <v>2583</v>
      </c>
      <c r="C713" s="1" t="s">
        <v>2584</v>
      </c>
    </row>
    <row r="714" spans="1:3">
      <c r="A714" s="1" t="s">
        <v>7321</v>
      </c>
      <c r="B714" s="1" t="s">
        <v>2545</v>
      </c>
      <c r="C714" s="1" t="s">
        <v>7305</v>
      </c>
    </row>
    <row r="715" spans="1:3">
      <c r="A715" s="1" t="s">
        <v>7322</v>
      </c>
      <c r="B715" s="1" t="s">
        <v>2587</v>
      </c>
      <c r="C715" s="1" t="s">
        <v>7323</v>
      </c>
    </row>
    <row r="716" spans="1:3">
      <c r="A716" s="1" t="s">
        <v>7324</v>
      </c>
      <c r="B716" s="1" t="s">
        <v>2591</v>
      </c>
      <c r="C716" s="1" t="s">
        <v>2593</v>
      </c>
    </row>
    <row r="717" spans="1:3">
      <c r="A717" s="1" t="s">
        <v>7325</v>
      </c>
      <c r="B717" s="1" t="s">
        <v>2594</v>
      </c>
      <c r="C717" s="1" t="s">
        <v>7326</v>
      </c>
    </row>
    <row r="718" spans="1:3">
      <c r="A718" s="1" t="s">
        <v>7327</v>
      </c>
      <c r="B718" s="1" t="s">
        <v>2596</v>
      </c>
      <c r="C718" s="1" t="s">
        <v>2597</v>
      </c>
    </row>
    <row r="719" spans="1:3">
      <c r="A719" s="1" t="s">
        <v>7328</v>
      </c>
      <c r="B719" s="1" t="s">
        <v>2598</v>
      </c>
      <c r="C719" s="1" t="s">
        <v>2600</v>
      </c>
    </row>
    <row r="720" spans="1:3">
      <c r="A720" s="1" t="s">
        <v>7329</v>
      </c>
      <c r="B720" s="1" t="s">
        <v>2602</v>
      </c>
      <c r="C720" s="1" t="s">
        <v>7330</v>
      </c>
    </row>
    <row r="721" spans="1:3">
      <c r="A721" s="1" t="s">
        <v>7331</v>
      </c>
      <c r="B721" s="1" t="s">
        <v>2606</v>
      </c>
      <c r="C721" s="1" t="s">
        <v>7332</v>
      </c>
    </row>
    <row r="722" spans="1:3">
      <c r="A722" s="1" t="s">
        <v>7333</v>
      </c>
      <c r="B722" s="1" t="s">
        <v>2610</v>
      </c>
      <c r="C722" s="1" t="s">
        <v>2611</v>
      </c>
    </row>
    <row r="723" spans="1:3">
      <c r="A723" s="1" t="s">
        <v>7334</v>
      </c>
      <c r="B723" s="1" t="s">
        <v>2612</v>
      </c>
      <c r="C723" s="1" t="s">
        <v>2614</v>
      </c>
    </row>
    <row r="724" spans="1:3">
      <c r="A724" s="1" t="s">
        <v>7335</v>
      </c>
      <c r="B724" s="1" t="s">
        <v>2615</v>
      </c>
      <c r="C724" s="1" t="s">
        <v>2617</v>
      </c>
    </row>
    <row r="725" spans="1:3">
      <c r="A725" s="1" t="s">
        <v>7336</v>
      </c>
      <c r="B725" s="1" t="s">
        <v>2619</v>
      </c>
      <c r="C725" s="1" t="s">
        <v>2621</v>
      </c>
    </row>
    <row r="726" spans="1:3">
      <c r="A726" s="1" t="s">
        <v>7337</v>
      </c>
      <c r="B726" s="1" t="s">
        <v>4703</v>
      </c>
      <c r="C726" s="1" t="s">
        <v>6280</v>
      </c>
    </row>
    <row r="727" spans="1:3">
      <c r="A727" s="1" t="s">
        <v>7338</v>
      </c>
      <c r="B727" s="1" t="s">
        <v>2626</v>
      </c>
      <c r="C727" s="1" t="s">
        <v>7339</v>
      </c>
    </row>
    <row r="728" spans="1:3">
      <c r="A728" s="1" t="s">
        <v>7340</v>
      </c>
      <c r="B728" s="1" t="s">
        <v>4685</v>
      </c>
      <c r="C728" s="1" t="s">
        <v>4687</v>
      </c>
    </row>
    <row r="729" spans="1:3">
      <c r="A729" s="1" t="s">
        <v>7341</v>
      </c>
      <c r="B729" s="1" t="s">
        <v>4688</v>
      </c>
      <c r="C729" s="1" t="s">
        <v>4690</v>
      </c>
    </row>
    <row r="730" spans="1:3">
      <c r="A730" s="1" t="s">
        <v>7342</v>
      </c>
      <c r="B730" s="1" t="s">
        <v>4691</v>
      </c>
      <c r="C730" s="1" t="s">
        <v>4693</v>
      </c>
    </row>
    <row r="731" spans="1:3">
      <c r="A731" s="1" t="s">
        <v>7343</v>
      </c>
      <c r="B731" s="1" t="s">
        <v>4694</v>
      </c>
      <c r="C731" s="1" t="s">
        <v>4696</v>
      </c>
    </row>
    <row r="732" spans="1:3">
      <c r="A732" s="1" t="s">
        <v>7344</v>
      </c>
      <c r="B732" s="1" t="s">
        <v>4697</v>
      </c>
      <c r="C732" s="1" t="s">
        <v>4699</v>
      </c>
    </row>
    <row r="733" spans="1:3">
      <c r="A733" s="1" t="s">
        <v>7345</v>
      </c>
      <c r="B733" s="1" t="s">
        <v>4700</v>
      </c>
      <c r="C733" s="1" t="s">
        <v>4702</v>
      </c>
    </row>
    <row r="734" spans="1:3">
      <c r="A734" s="1" t="s">
        <v>7346</v>
      </c>
      <c r="B734" s="1" t="s">
        <v>7347</v>
      </c>
      <c r="C734" s="1" t="s">
        <v>7348</v>
      </c>
    </row>
    <row r="735" spans="1:3">
      <c r="A735" s="1" t="s">
        <v>7349</v>
      </c>
      <c r="B735" s="1" t="s">
        <v>7350</v>
      </c>
      <c r="C735" s="1" t="s">
        <v>7351</v>
      </c>
    </row>
    <row r="736" spans="1:3">
      <c r="A736" s="1" t="s">
        <v>7352</v>
      </c>
      <c r="B736" s="1" t="s">
        <v>7353</v>
      </c>
      <c r="C736" s="1" t="s">
        <v>7354</v>
      </c>
    </row>
    <row r="737" spans="1:3">
      <c r="A737" s="1" t="s">
        <v>7355</v>
      </c>
      <c r="B737" s="1" t="s">
        <v>7356</v>
      </c>
      <c r="C737" s="1" t="s">
        <v>7357</v>
      </c>
    </row>
    <row r="738" spans="1:3">
      <c r="A738" s="1" t="s">
        <v>7358</v>
      </c>
      <c r="B738" s="1" t="s">
        <v>7359</v>
      </c>
      <c r="C738" s="1" t="s">
        <v>7360</v>
      </c>
    </row>
    <row r="739" spans="1:3">
      <c r="A739" s="1" t="s">
        <v>7361</v>
      </c>
      <c r="B739" s="1" t="s">
        <v>7362</v>
      </c>
      <c r="C739" s="1" t="s">
        <v>7363</v>
      </c>
    </row>
    <row r="740" spans="1:3">
      <c r="A740" s="1" t="s">
        <v>7364</v>
      </c>
      <c r="B740" s="1" t="s">
        <v>7365</v>
      </c>
      <c r="C740" s="1" t="s">
        <v>7366</v>
      </c>
    </row>
    <row r="741" spans="1:3">
      <c r="A741" s="1" t="s">
        <v>7367</v>
      </c>
      <c r="B741" s="1" t="s">
        <v>7368</v>
      </c>
      <c r="C741" s="1" t="s">
        <v>7369</v>
      </c>
    </row>
    <row r="742" spans="1:3">
      <c r="A742" s="1" t="s">
        <v>7370</v>
      </c>
      <c r="B742" s="1" t="s">
        <v>7371</v>
      </c>
      <c r="C742" s="1" t="s">
        <v>7372</v>
      </c>
    </row>
    <row r="743" spans="1:3">
      <c r="A743" s="1" t="s">
        <v>7373</v>
      </c>
      <c r="B743" s="1" t="s">
        <v>7374</v>
      </c>
      <c r="C743" s="1" t="s">
        <v>7375</v>
      </c>
    </row>
    <row r="744" spans="1:3">
      <c r="A744" s="1" t="s">
        <v>7376</v>
      </c>
      <c r="B744" s="1" t="s">
        <v>7377</v>
      </c>
      <c r="C744" s="1" t="s">
        <v>7378</v>
      </c>
    </row>
    <row r="745" spans="1:3">
      <c r="A745" s="1" t="s">
        <v>7379</v>
      </c>
      <c r="B745" s="1" t="s">
        <v>7380</v>
      </c>
      <c r="C745" s="1" t="s">
        <v>7381</v>
      </c>
    </row>
    <row r="746" spans="1:3">
      <c r="A746" s="1" t="s">
        <v>7382</v>
      </c>
      <c r="B746" s="1" t="s">
        <v>7383</v>
      </c>
      <c r="C746" s="1" t="s">
        <v>7384</v>
      </c>
    </row>
    <row r="747" spans="1:3">
      <c r="A747" s="1" t="s">
        <v>7385</v>
      </c>
      <c r="B747" s="1" t="s">
        <v>7386</v>
      </c>
      <c r="C747" s="1" t="s">
        <v>7387</v>
      </c>
    </row>
    <row r="748" spans="1:3">
      <c r="A748" s="1" t="s">
        <v>7388</v>
      </c>
      <c r="B748" s="1" t="s">
        <v>7389</v>
      </c>
      <c r="C748" s="1" t="s">
        <v>7390</v>
      </c>
    </row>
    <row r="749" spans="1:3">
      <c r="A749" s="1" t="s">
        <v>7391</v>
      </c>
      <c r="B749" s="1" t="s">
        <v>3301</v>
      </c>
      <c r="C749" s="1" t="s">
        <v>2793</v>
      </c>
    </row>
    <row r="750" spans="1:3">
      <c r="A750" s="1" t="s">
        <v>7392</v>
      </c>
      <c r="B750" s="1" t="s">
        <v>7393</v>
      </c>
      <c r="C750" s="1" t="s">
        <v>7394</v>
      </c>
    </row>
    <row r="751" spans="1:3">
      <c r="A751" s="1" t="s">
        <v>7395</v>
      </c>
      <c r="B751" s="1" t="s">
        <v>7396</v>
      </c>
      <c r="C751" s="1" t="s">
        <v>7397</v>
      </c>
    </row>
    <row r="752" spans="1:3">
      <c r="A752" s="1" t="s">
        <v>7398</v>
      </c>
      <c r="B752" s="1" t="s">
        <v>7399</v>
      </c>
      <c r="C752" s="1" t="s">
        <v>7400</v>
      </c>
    </row>
    <row r="753" spans="1:3">
      <c r="A753" s="1" t="s">
        <v>7401</v>
      </c>
      <c r="B753" s="1" t="s">
        <v>7402</v>
      </c>
      <c r="C753" s="1" t="s">
        <v>7403</v>
      </c>
    </row>
    <row r="754" spans="1:3">
      <c r="A754" s="1" t="s">
        <v>7404</v>
      </c>
      <c r="B754" s="1" t="s">
        <v>7405</v>
      </c>
      <c r="C754" s="1" t="s">
        <v>7406</v>
      </c>
    </row>
    <row r="755" spans="1:3">
      <c r="A755" s="1" t="s">
        <v>7407</v>
      </c>
      <c r="B755" s="1" t="s">
        <v>7408</v>
      </c>
      <c r="C755" s="1" t="s">
        <v>7409</v>
      </c>
    </row>
    <row r="756" spans="1:3">
      <c r="A756" s="1" t="s">
        <v>7410</v>
      </c>
      <c r="B756" s="1" t="s">
        <v>7411</v>
      </c>
      <c r="C756" s="1" t="s">
        <v>7412</v>
      </c>
    </row>
    <row r="757" spans="1:3">
      <c r="A757" s="1" t="s">
        <v>7413</v>
      </c>
      <c r="B757" s="1" t="s">
        <v>7414</v>
      </c>
      <c r="C757" s="1" t="s">
        <v>7415</v>
      </c>
    </row>
    <row r="758" spans="1:3">
      <c r="A758" s="1" t="s">
        <v>7416</v>
      </c>
      <c r="B758" s="1" t="s">
        <v>7417</v>
      </c>
      <c r="C758" s="1" t="s">
        <v>7418</v>
      </c>
    </row>
    <row r="759" spans="1:3">
      <c r="A759" s="1" t="s">
        <v>7419</v>
      </c>
      <c r="B759" s="1" t="s">
        <v>7420</v>
      </c>
      <c r="C759" s="1" t="s">
        <v>7421</v>
      </c>
    </row>
    <row r="760" spans="1:3">
      <c r="A760" s="1" t="s">
        <v>7422</v>
      </c>
      <c r="B760" s="1" t="s">
        <v>7423</v>
      </c>
      <c r="C760" s="1" t="s">
        <v>7424</v>
      </c>
    </row>
    <row r="761" spans="1:3">
      <c r="A761" s="1" t="s">
        <v>7425</v>
      </c>
      <c r="B761" s="1" t="s">
        <v>7426</v>
      </c>
      <c r="C761" s="1" t="s">
        <v>7427</v>
      </c>
    </row>
    <row r="762" spans="1:3">
      <c r="A762" s="1" t="s">
        <v>7428</v>
      </c>
      <c r="B762" s="1" t="s">
        <v>7429</v>
      </c>
      <c r="C762" s="1" t="s">
        <v>7430</v>
      </c>
    </row>
    <row r="763" spans="1:3">
      <c r="A763" s="1" t="s">
        <v>7431</v>
      </c>
      <c r="B763" s="1" t="s">
        <v>7432</v>
      </c>
      <c r="C763" s="1" t="s">
        <v>7433</v>
      </c>
    </row>
    <row r="764" spans="1:3">
      <c r="A764" s="1" t="s">
        <v>7434</v>
      </c>
      <c r="B764" s="1" t="s">
        <v>7435</v>
      </c>
      <c r="C764" s="1" t="s">
        <v>672</v>
      </c>
    </row>
    <row r="765" spans="1:3">
      <c r="A765" s="1" t="s">
        <v>7436</v>
      </c>
      <c r="B765" s="1" t="s">
        <v>7437</v>
      </c>
      <c r="C765" s="1" t="s">
        <v>7438</v>
      </c>
    </row>
    <row r="766" spans="1:3">
      <c r="A766" s="1" t="s">
        <v>7439</v>
      </c>
      <c r="B766" s="1" t="s">
        <v>7440</v>
      </c>
      <c r="C766" s="1" t="s">
        <v>7441</v>
      </c>
    </row>
    <row r="767" spans="1:3">
      <c r="A767" s="1" t="s">
        <v>7442</v>
      </c>
      <c r="B767" s="1" t="s">
        <v>7443</v>
      </c>
      <c r="C767" s="1" t="s">
        <v>7444</v>
      </c>
    </row>
    <row r="768" spans="1:3">
      <c r="A768" s="1" t="s">
        <v>7445</v>
      </c>
      <c r="B768" s="1" t="s">
        <v>7446</v>
      </c>
      <c r="C768" s="1" t="s">
        <v>7447</v>
      </c>
    </row>
    <row r="769" spans="1:3">
      <c r="A769" s="1" t="s">
        <v>7448</v>
      </c>
      <c r="B769" s="1" t="s">
        <v>7449</v>
      </c>
      <c r="C769" s="1" t="s">
        <v>7450</v>
      </c>
    </row>
    <row r="770" spans="1:3">
      <c r="A770" s="1" t="s">
        <v>7451</v>
      </c>
      <c r="B770" s="1" t="s">
        <v>7452</v>
      </c>
      <c r="C770" s="1" t="s">
        <v>7453</v>
      </c>
    </row>
    <row r="771" spans="1:3">
      <c r="A771" s="1" t="s">
        <v>7454</v>
      </c>
      <c r="B771" s="1" t="s">
        <v>7455</v>
      </c>
      <c r="C771" s="1" t="s">
        <v>7456</v>
      </c>
    </row>
    <row r="772" spans="1:3">
      <c r="A772" s="1" t="s">
        <v>7457</v>
      </c>
      <c r="B772" s="1" t="s">
        <v>7458</v>
      </c>
      <c r="C772" s="1" t="s">
        <v>7459</v>
      </c>
    </row>
    <row r="773" spans="1:3">
      <c r="A773" s="1" t="s">
        <v>7460</v>
      </c>
      <c r="B773" s="1" t="s">
        <v>7461</v>
      </c>
      <c r="C773" s="1" t="s">
        <v>7462</v>
      </c>
    </row>
    <row r="774" spans="1:3">
      <c r="A774" s="1" t="s">
        <v>7463</v>
      </c>
      <c r="B774" s="1" t="s">
        <v>7464</v>
      </c>
      <c r="C774" s="1" t="s">
        <v>7465</v>
      </c>
    </row>
    <row r="775" spans="1:3">
      <c r="A775" s="1" t="s">
        <v>7466</v>
      </c>
      <c r="B775" s="1" t="s">
        <v>7467</v>
      </c>
      <c r="C775" s="1" t="s">
        <v>7468</v>
      </c>
    </row>
    <row r="776" spans="1:3">
      <c r="A776" s="1" t="s">
        <v>7469</v>
      </c>
      <c r="B776" s="1" t="s">
        <v>7470</v>
      </c>
      <c r="C776" s="1" t="s">
        <v>7471</v>
      </c>
    </row>
    <row r="777" spans="1:3">
      <c r="A777" s="1" t="s">
        <v>7472</v>
      </c>
      <c r="B777" s="1" t="s">
        <v>7473</v>
      </c>
      <c r="C777" s="1" t="s">
        <v>7474</v>
      </c>
    </row>
    <row r="778" spans="1:3">
      <c r="A778" s="1" t="s">
        <v>7475</v>
      </c>
      <c r="B778" s="1" t="s">
        <v>7476</v>
      </c>
      <c r="C778" s="1" t="s">
        <v>7477</v>
      </c>
    </row>
    <row r="779" spans="1:3">
      <c r="A779" s="1" t="s">
        <v>7478</v>
      </c>
      <c r="B779" s="1" t="s">
        <v>7479</v>
      </c>
      <c r="C779" s="1" t="s">
        <v>7480</v>
      </c>
    </row>
    <row r="780" spans="1:3">
      <c r="A780" s="1" t="s">
        <v>7481</v>
      </c>
      <c r="B780" s="1" t="s">
        <v>7482</v>
      </c>
      <c r="C780" s="1" t="s">
        <v>7483</v>
      </c>
    </row>
    <row r="781" spans="1:3">
      <c r="A781" s="1" t="s">
        <v>7484</v>
      </c>
      <c r="B781" s="1" t="s">
        <v>7485</v>
      </c>
      <c r="C781" s="1" t="s">
        <v>7486</v>
      </c>
    </row>
    <row r="782" spans="1:3">
      <c r="A782" s="1" t="s">
        <v>7487</v>
      </c>
      <c r="B782" s="1" t="s">
        <v>7488</v>
      </c>
      <c r="C782" s="1" t="s">
        <v>7489</v>
      </c>
    </row>
    <row r="783" spans="1:3">
      <c r="A783" s="1" t="s">
        <v>7490</v>
      </c>
      <c r="B783" s="1" t="s">
        <v>7491</v>
      </c>
      <c r="C783" s="1" t="s">
        <v>7492</v>
      </c>
    </row>
    <row r="784" spans="1:3">
      <c r="A784" s="1" t="s">
        <v>7493</v>
      </c>
      <c r="B784" s="1" t="s">
        <v>7494</v>
      </c>
      <c r="C784" s="1" t="s">
        <v>7495</v>
      </c>
    </row>
    <row r="785" spans="1:3">
      <c r="A785" s="1" t="s">
        <v>7496</v>
      </c>
      <c r="B785" s="1" t="s">
        <v>7497</v>
      </c>
      <c r="C785" s="1" t="s">
        <v>7498</v>
      </c>
    </row>
    <row r="786" spans="1:3">
      <c r="A786" s="1" t="s">
        <v>7499</v>
      </c>
      <c r="B786" s="1" t="s">
        <v>7500</v>
      </c>
      <c r="C786" s="1" t="s">
        <v>7501</v>
      </c>
    </row>
    <row r="787" spans="1:3">
      <c r="A787" s="1" t="s">
        <v>7502</v>
      </c>
      <c r="B787" s="1" t="s">
        <v>7503</v>
      </c>
      <c r="C787" s="1" t="s">
        <v>7504</v>
      </c>
    </row>
    <row r="788" spans="1:3">
      <c r="A788" s="1" t="s">
        <v>7505</v>
      </c>
      <c r="B788" s="1" t="s">
        <v>7506</v>
      </c>
      <c r="C788" s="1" t="s">
        <v>7507</v>
      </c>
    </row>
    <row r="789" spans="1:3">
      <c r="A789" s="1" t="s">
        <v>7508</v>
      </c>
      <c r="B789" s="1" t="s">
        <v>7509</v>
      </c>
      <c r="C789" s="1" t="s">
        <v>7510</v>
      </c>
    </row>
    <row r="790" spans="1:3">
      <c r="A790" s="1" t="s">
        <v>7511</v>
      </c>
      <c r="B790" s="1" t="s">
        <v>7512</v>
      </c>
      <c r="C790" s="1" t="s">
        <v>7513</v>
      </c>
    </row>
    <row r="791" spans="1:3">
      <c r="A791" s="1" t="s">
        <v>7514</v>
      </c>
      <c r="B791" s="1" t="s">
        <v>7515</v>
      </c>
      <c r="C791" s="1" t="s">
        <v>7516</v>
      </c>
    </row>
    <row r="792" spans="1:3">
      <c r="A792" s="1" t="s">
        <v>7517</v>
      </c>
      <c r="B792" s="1" t="s">
        <v>7518</v>
      </c>
      <c r="C792" s="1" t="s">
        <v>7519</v>
      </c>
    </row>
    <row r="793" spans="1:3">
      <c r="A793" s="1" t="s">
        <v>7520</v>
      </c>
      <c r="B793" s="1" t="s">
        <v>7521</v>
      </c>
      <c r="C793" s="1" t="s">
        <v>7522</v>
      </c>
    </row>
    <row r="794" spans="1:3">
      <c r="A794" s="1" t="s">
        <v>7523</v>
      </c>
      <c r="B794" s="1" t="s">
        <v>7524</v>
      </c>
      <c r="C794" s="1" t="s">
        <v>7525</v>
      </c>
    </row>
    <row r="795" spans="1:3">
      <c r="A795" s="1" t="s">
        <v>7526</v>
      </c>
      <c r="B795" s="1" t="s">
        <v>7527</v>
      </c>
      <c r="C795" s="1" t="s">
        <v>7528</v>
      </c>
    </row>
    <row r="796" spans="1:3">
      <c r="A796" s="1" t="s">
        <v>7529</v>
      </c>
      <c r="B796" s="1" t="s">
        <v>7530</v>
      </c>
      <c r="C796" s="1" t="s">
        <v>7531</v>
      </c>
    </row>
    <row r="797" spans="1:3">
      <c r="A797" s="1" t="s">
        <v>7532</v>
      </c>
      <c r="B797" s="1" t="s">
        <v>7533</v>
      </c>
      <c r="C797" s="1" t="s">
        <v>2768</v>
      </c>
    </row>
    <row r="798" spans="1:3">
      <c r="A798" s="1" t="s">
        <v>7534</v>
      </c>
      <c r="B798" s="1" t="s">
        <v>7535</v>
      </c>
      <c r="C798" s="1" t="s">
        <v>7536</v>
      </c>
    </row>
    <row r="799" spans="1:3">
      <c r="A799" s="1" t="s">
        <v>7537</v>
      </c>
      <c r="B799" s="1" t="s">
        <v>7538</v>
      </c>
      <c r="C799" s="1" t="s">
        <v>7539</v>
      </c>
    </row>
    <row r="800" spans="1:3">
      <c r="A800" s="1" t="s">
        <v>7540</v>
      </c>
      <c r="B800" s="1" t="s">
        <v>7541</v>
      </c>
      <c r="C800" s="1" t="s">
        <v>7542</v>
      </c>
    </row>
    <row r="801" spans="1:3">
      <c r="A801" s="1" t="s">
        <v>7543</v>
      </c>
      <c r="B801" s="1" t="s">
        <v>7544</v>
      </c>
      <c r="C801" s="1" t="s">
        <v>7545</v>
      </c>
    </row>
    <row r="802" spans="1:3">
      <c r="A802" s="1" t="s">
        <v>7546</v>
      </c>
      <c r="B802" s="1" t="s">
        <v>7547</v>
      </c>
      <c r="C802" s="1" t="s">
        <v>7548</v>
      </c>
    </row>
    <row r="803" spans="1:3">
      <c r="A803" s="1" t="s">
        <v>7549</v>
      </c>
      <c r="B803" s="1" t="s">
        <v>7550</v>
      </c>
      <c r="C803" s="1" t="s">
        <v>7551</v>
      </c>
    </row>
    <row r="804" spans="1:3">
      <c r="A804" s="1" t="s">
        <v>7552</v>
      </c>
      <c r="B804" s="1" t="s">
        <v>7553</v>
      </c>
      <c r="C804" s="1" t="s">
        <v>7554</v>
      </c>
    </row>
    <row r="805" spans="1:3">
      <c r="A805" s="1" t="s">
        <v>7555</v>
      </c>
      <c r="B805" s="1" t="s">
        <v>7556</v>
      </c>
      <c r="C805" s="1" t="s">
        <v>7557</v>
      </c>
    </row>
    <row r="806" spans="1:3">
      <c r="A806" s="1" t="s">
        <v>7558</v>
      </c>
      <c r="B806" s="1" t="s">
        <v>7559</v>
      </c>
      <c r="C806" s="1" t="s">
        <v>7560</v>
      </c>
    </row>
    <row r="807" spans="1:3">
      <c r="A807" s="1" t="s">
        <v>7561</v>
      </c>
      <c r="B807" s="1" t="s">
        <v>7562</v>
      </c>
      <c r="C807" s="1" t="s">
        <v>7563</v>
      </c>
    </row>
    <row r="808" spans="1:3">
      <c r="A808" s="1" t="s">
        <v>7564</v>
      </c>
      <c r="B808" s="1" t="s">
        <v>7565</v>
      </c>
      <c r="C808" s="1" t="s">
        <v>7566</v>
      </c>
    </row>
    <row r="809" spans="1:3">
      <c r="A809" s="1" t="s">
        <v>7567</v>
      </c>
      <c r="B809" s="1" t="s">
        <v>7568</v>
      </c>
      <c r="C809" s="1" t="s">
        <v>7569</v>
      </c>
    </row>
    <row r="810" spans="1:3">
      <c r="A810" s="1" t="s">
        <v>7570</v>
      </c>
      <c r="B810" s="1" t="s">
        <v>7571</v>
      </c>
      <c r="C810" s="1" t="s">
        <v>7572</v>
      </c>
    </row>
    <row r="811" spans="1:3">
      <c r="A811" s="1" t="s">
        <v>7573</v>
      </c>
      <c r="B811" s="1" t="s">
        <v>7574</v>
      </c>
      <c r="C811" s="1" t="s">
        <v>7575</v>
      </c>
    </row>
    <row r="812" spans="1:3">
      <c r="A812" s="1" t="s">
        <v>7576</v>
      </c>
      <c r="B812" s="1" t="s">
        <v>7577</v>
      </c>
      <c r="C812" s="1" t="s">
        <v>7578</v>
      </c>
    </row>
    <row r="813" spans="1:3">
      <c r="A813" s="1" t="s">
        <v>7579</v>
      </c>
      <c r="B813" s="1" t="s">
        <v>7580</v>
      </c>
      <c r="C813" s="1" t="s">
        <v>7581</v>
      </c>
    </row>
    <row r="814" spans="1:3">
      <c r="A814" s="1" t="s">
        <v>7582</v>
      </c>
      <c r="B814" s="1" t="s">
        <v>7583</v>
      </c>
      <c r="C814" s="1" t="s">
        <v>7584</v>
      </c>
    </row>
    <row r="815" spans="1:3">
      <c r="A815" s="1" t="s">
        <v>7585</v>
      </c>
      <c r="B815" s="1" t="s">
        <v>7586</v>
      </c>
      <c r="C815" s="1" t="s">
        <v>7587</v>
      </c>
    </row>
    <row r="816" spans="1:3">
      <c r="A816" s="1" t="s">
        <v>7588</v>
      </c>
      <c r="B816" s="1" t="s">
        <v>7589</v>
      </c>
      <c r="C816" s="1" t="s">
        <v>7590</v>
      </c>
    </row>
    <row r="817" spans="1:3">
      <c r="A817" s="1" t="s">
        <v>7591</v>
      </c>
      <c r="B817" s="1" t="s">
        <v>7592</v>
      </c>
      <c r="C817" s="1" t="s">
        <v>7593</v>
      </c>
    </row>
    <row r="818" spans="1:3">
      <c r="A818" s="1" t="s">
        <v>7594</v>
      </c>
      <c r="B818" s="1" t="s">
        <v>7595</v>
      </c>
      <c r="C818" s="1" t="s">
        <v>7596</v>
      </c>
    </row>
    <row r="819" spans="1:3">
      <c r="A819" s="1" t="s">
        <v>7597</v>
      </c>
      <c r="B819" s="1" t="s">
        <v>7598</v>
      </c>
      <c r="C819" s="1" t="s">
        <v>7599</v>
      </c>
    </row>
    <row r="820" spans="1:3">
      <c r="A820" s="1" t="s">
        <v>7600</v>
      </c>
      <c r="B820" s="1" t="s">
        <v>7601</v>
      </c>
      <c r="C820" s="1" t="s">
        <v>7602</v>
      </c>
    </row>
    <row r="821" spans="1:3">
      <c r="A821" s="1" t="s">
        <v>7603</v>
      </c>
      <c r="B821" s="1" t="s">
        <v>7604</v>
      </c>
      <c r="C821" s="1" t="s">
        <v>7605</v>
      </c>
    </row>
    <row r="822" spans="1:3">
      <c r="A822" s="1" t="s">
        <v>7606</v>
      </c>
      <c r="B822" s="1" t="s">
        <v>7607</v>
      </c>
      <c r="C822" s="1" t="s">
        <v>7608</v>
      </c>
    </row>
    <row r="823" spans="1:3">
      <c r="A823" s="1" t="s">
        <v>7609</v>
      </c>
      <c r="B823" s="1" t="s">
        <v>7610</v>
      </c>
      <c r="C823" s="1" t="s">
        <v>7611</v>
      </c>
    </row>
    <row r="824" spans="1:3">
      <c r="A824" s="1" t="s">
        <v>7612</v>
      </c>
      <c r="B824" s="1" t="s">
        <v>7613</v>
      </c>
      <c r="C824" s="1" t="s">
        <v>7614</v>
      </c>
    </row>
    <row r="825" spans="1:3">
      <c r="A825" s="1" t="s">
        <v>7615</v>
      </c>
      <c r="B825" s="1" t="s">
        <v>7616</v>
      </c>
      <c r="C825" s="1" t="s">
        <v>7617</v>
      </c>
    </row>
    <row r="826" spans="1:3">
      <c r="A826" s="1" t="s">
        <v>7618</v>
      </c>
      <c r="B826" s="1" t="s">
        <v>7619</v>
      </c>
      <c r="C826" s="1" t="s">
        <v>7620</v>
      </c>
    </row>
    <row r="827" spans="1:3">
      <c r="A827" s="1" t="s">
        <v>7621</v>
      </c>
      <c r="B827" s="1" t="s">
        <v>7622</v>
      </c>
      <c r="C827" s="1" t="s">
        <v>7623</v>
      </c>
    </row>
    <row r="828" spans="1:3">
      <c r="A828" s="1" t="s">
        <v>7624</v>
      </c>
      <c r="B828" s="1" t="s">
        <v>7625</v>
      </c>
      <c r="C828" s="1" t="s">
        <v>7626</v>
      </c>
    </row>
    <row r="829" spans="1:3">
      <c r="A829" s="1" t="s">
        <v>7627</v>
      </c>
      <c r="B829" s="1" t="s">
        <v>7628</v>
      </c>
      <c r="C829" s="1" t="s">
        <v>7629</v>
      </c>
    </row>
    <row r="830" spans="1:3">
      <c r="A830" s="1" t="s">
        <v>7630</v>
      </c>
      <c r="B830" s="1" t="s">
        <v>7631</v>
      </c>
      <c r="C830" s="1" t="s">
        <v>7632</v>
      </c>
    </row>
    <row r="831" spans="1:3">
      <c r="A831" s="1" t="s">
        <v>7633</v>
      </c>
      <c r="B831" s="1" t="s">
        <v>7634</v>
      </c>
      <c r="C831" s="1" t="s">
        <v>7635</v>
      </c>
    </row>
    <row r="832" spans="1:3">
      <c r="A832" s="1" t="s">
        <v>7636</v>
      </c>
      <c r="B832" s="1" t="s">
        <v>7637</v>
      </c>
      <c r="C832" s="1" t="s">
        <v>7638</v>
      </c>
    </row>
    <row r="833" spans="1:3">
      <c r="A833" s="1" t="s">
        <v>7639</v>
      </c>
      <c r="B833" s="1" t="s">
        <v>7640</v>
      </c>
      <c r="C833" s="1" t="s">
        <v>7641</v>
      </c>
    </row>
    <row r="834" spans="1:3">
      <c r="A834" s="1" t="s">
        <v>7642</v>
      </c>
      <c r="B834" s="1" t="s">
        <v>7643</v>
      </c>
      <c r="C834" s="1" t="s">
        <v>7644</v>
      </c>
    </row>
    <row r="835" spans="1:3">
      <c r="A835" s="1" t="s">
        <v>7645</v>
      </c>
      <c r="B835" s="1" t="s">
        <v>7646</v>
      </c>
      <c r="C835" s="1" t="s">
        <v>7647</v>
      </c>
    </row>
    <row r="836" spans="1:3">
      <c r="A836" s="1" t="s">
        <v>7648</v>
      </c>
      <c r="B836" s="1" t="s">
        <v>7649</v>
      </c>
      <c r="C836" s="1" t="s">
        <v>7650</v>
      </c>
    </row>
    <row r="837" spans="1:3">
      <c r="A837" s="1" t="s">
        <v>7651</v>
      </c>
      <c r="B837" s="1" t="s">
        <v>7652</v>
      </c>
      <c r="C837" s="1" t="s">
        <v>7653</v>
      </c>
    </row>
    <row r="838" spans="1:3">
      <c r="A838" s="1" t="s">
        <v>7654</v>
      </c>
      <c r="B838" s="1" t="s">
        <v>7655</v>
      </c>
      <c r="C838" s="1" t="s">
        <v>7656</v>
      </c>
    </row>
    <row r="839" spans="1:3">
      <c r="A839" s="1" t="s">
        <v>7657</v>
      </c>
      <c r="B839" s="1" t="s">
        <v>7658</v>
      </c>
      <c r="C839" s="1" t="s">
        <v>7659</v>
      </c>
    </row>
    <row r="840" spans="1:3">
      <c r="A840" s="1" t="s">
        <v>7660</v>
      </c>
      <c r="B840" s="1" t="s">
        <v>4712</v>
      </c>
      <c r="C840" s="1" t="s">
        <v>4714</v>
      </c>
    </row>
    <row r="841" spans="1:3">
      <c r="A841" s="1" t="s">
        <v>7661</v>
      </c>
      <c r="B841" s="1" t="s">
        <v>4716</v>
      </c>
      <c r="C841" s="1" t="s">
        <v>4718</v>
      </c>
    </row>
    <row r="842" spans="1:3">
      <c r="A842" s="1" t="s">
        <v>7662</v>
      </c>
      <c r="B842" s="1" t="s">
        <v>4708</v>
      </c>
      <c r="C842" s="1" t="s">
        <v>4710</v>
      </c>
    </row>
    <row r="843" spans="1:3">
      <c r="A843" s="1" t="s">
        <v>7663</v>
      </c>
      <c r="B843" s="1" t="s">
        <v>6100</v>
      </c>
      <c r="C843" s="1" t="s">
        <v>7664</v>
      </c>
    </row>
    <row r="844" spans="1:3">
      <c r="A844" s="1" t="s">
        <v>7665</v>
      </c>
      <c r="B844" s="1" t="s">
        <v>6101</v>
      </c>
      <c r="C844" s="1" t="s">
        <v>7666</v>
      </c>
    </row>
    <row r="845" spans="1:3">
      <c r="A845" s="1" t="s">
        <v>7667</v>
      </c>
      <c r="B845" s="1" t="s">
        <v>6102</v>
      </c>
      <c r="C845" s="1" t="s">
        <v>7668</v>
      </c>
    </row>
    <row r="846" spans="1:3">
      <c r="A846" s="1" t="s">
        <v>7669</v>
      </c>
      <c r="B846" s="1" t="s">
        <v>6103</v>
      </c>
      <c r="C846" s="1" t="s">
        <v>7670</v>
      </c>
    </row>
    <row r="847" spans="1:3">
      <c r="A847" s="1" t="s">
        <v>7671</v>
      </c>
      <c r="B847" s="1" t="s">
        <v>6104</v>
      </c>
      <c r="C847" s="1" t="s">
        <v>7672</v>
      </c>
    </row>
  </sheetData>
  <phoneticPr fontId="40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对话配置表</vt:lpstr>
      <vt:lpstr>Spine配置表</vt:lpstr>
      <vt:lpstr>#Sheet2</vt:lpstr>
      <vt:lpstr>#Sheet1</vt:lpstr>
      <vt:lpstr>#名称Key</vt:lpstr>
      <vt:lpstr>#对话模型配置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waaaghwang(王旭)</dc:creator>
  <cp:lastModifiedBy>T144256</cp:lastModifiedBy>
  <dcterms:created xsi:type="dcterms:W3CDTF">2021-02-22T09:09:00Z</dcterms:created>
  <dcterms:modified xsi:type="dcterms:W3CDTF">2025-02-07T06:15:32Z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B000D09F6F6843D78D7F9EB18FE71AE9</vt:lpwstr>
  </property>
  <property fmtid="{D5CDD505-2E9C-101B-9397-08002B2CF9AE}" pid="3" name="KSOProductBuildVer">
    <vt:lpwstr>2052-12.1.0.19770</vt:lpwstr>
  </property>
</Properties>
</file>