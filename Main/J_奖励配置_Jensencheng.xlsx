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ameDesigner_Global\common\excel\xls\Main\"/>
    </mc:Choice>
  </mc:AlternateContent>
  <xr:revisionPtr revIDLastSave="0" documentId="13_ncr:1_{FCC7B50E-2770-456D-9E5B-68A2F2A57091}" xr6:coauthVersionLast="47" xr6:coauthVersionMax="47" xr10:uidLastSave="{00000000-0000-0000-0000-000000000000}"/>
  <bookViews>
    <workbookView xWindow="-38510" yWindow="-110" windowWidth="38620" windowHeight="21820" xr2:uid="{00000000-000D-0000-FFFF-FFFF00000000}"/>
  </bookViews>
  <sheets>
    <sheet name="奖励配置表" sheetId="1" r:id="rId1"/>
    <sheet name="#配表须知" sheetId="2" r:id="rId2"/>
    <sheet name="#道具ID" sheetId="3" r:id="rId3"/>
    <sheet name="#TID_base_up" sheetId="4" r:id="rId4"/>
  </sheets>
  <externalReferences>
    <externalReference r:id="rId5"/>
  </externalReferences>
  <definedNames>
    <definedName name="_xlnm._FilterDatabase" localSheetId="0" hidden="1">奖励配置表!$A$2:$L$2977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06" i="1" l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A3049" i="1" l="1"/>
  <c r="A3044" i="1"/>
  <c r="A3039" i="1"/>
  <c r="A3034" i="1"/>
  <c r="A3029" i="1"/>
  <c r="A3024" i="1"/>
  <c r="A3019" i="1"/>
  <c r="A3014" i="1"/>
  <c r="A3008" i="1"/>
  <c r="A3002" i="1"/>
  <c r="A2996" i="1"/>
  <c r="A2990" i="1"/>
  <c r="A2984" i="1"/>
  <c r="D2543" i="1"/>
  <c r="D2544" i="1"/>
  <c r="D2545" i="1"/>
  <c r="D2537" i="1"/>
  <c r="D2531" i="1"/>
  <c r="D2525" i="1"/>
  <c r="D2519" i="1"/>
  <c r="D2513" i="1"/>
  <c r="E2465" i="1"/>
  <c r="E2470" i="1" s="1"/>
  <c r="E2475" i="1" s="1"/>
  <c r="E2480" i="1" s="1"/>
  <c r="E2485" i="1" s="1"/>
  <c r="E2490" i="1" s="1"/>
  <c r="E2495" i="1" s="1"/>
  <c r="E2500" i="1" s="1"/>
  <c r="E2505" i="1" s="1"/>
  <c r="E2510" i="1" s="1"/>
  <c r="E2466" i="1"/>
  <c r="E2471" i="1" s="1"/>
  <c r="E2476" i="1" s="1"/>
  <c r="E2481" i="1" s="1"/>
  <c r="E2486" i="1" s="1"/>
  <c r="E2491" i="1" s="1"/>
  <c r="E2496" i="1" s="1"/>
  <c r="E2501" i="1" s="1"/>
  <c r="E2506" i="1" s="1"/>
  <c r="E2511" i="1" s="1"/>
  <c r="E2464" i="1"/>
  <c r="E2469" i="1" s="1"/>
  <c r="E2474" i="1" s="1"/>
  <c r="E2479" i="1" s="1"/>
  <c r="E2484" i="1" s="1"/>
  <c r="E2489" i="1" s="1"/>
  <c r="E2494" i="1" s="1"/>
  <c r="E2499" i="1" s="1"/>
  <c r="E2504" i="1" s="1"/>
  <c r="E2509" i="1" s="1"/>
  <c r="E2463" i="1"/>
  <c r="E2468" i="1" s="1"/>
  <c r="E2473" i="1" s="1"/>
  <c r="E2478" i="1" s="1"/>
  <c r="E2483" i="1" s="1"/>
  <c r="E2488" i="1" s="1"/>
  <c r="E2493" i="1" s="1"/>
  <c r="E2498" i="1" s="1"/>
  <c r="E2503" i="1" s="1"/>
  <c r="E2508" i="1" s="1"/>
  <c r="E2437" i="1"/>
  <c r="A2911" i="1" l="1"/>
  <c r="A2914" i="1" s="1"/>
  <c r="A2918" i="1" s="1"/>
  <c r="A2921" i="1" s="1"/>
  <c r="A2924" i="1" s="1"/>
  <c r="A2928" i="1" s="1"/>
  <c r="A2931" i="1" s="1"/>
  <c r="A2934" i="1" s="1"/>
  <c r="A2938" i="1" s="1"/>
  <c r="A2941" i="1" s="1"/>
  <c r="A2944" i="1" s="1"/>
  <c r="A2948" i="1" s="1"/>
  <c r="A2951" i="1" s="1"/>
  <c r="A2954" i="1" s="1"/>
  <c r="A2958" i="1" s="1"/>
  <c r="A2961" i="1" s="1"/>
  <c r="A2964" i="1" s="1"/>
  <c r="A2968" i="1" s="1"/>
  <c r="A2971" i="1" s="1"/>
  <c r="A2974" i="1" s="1"/>
  <c r="E2904" i="1" l="1"/>
  <c r="E2905" i="1"/>
  <c r="E2906" i="1"/>
  <c r="E2907" i="1"/>
  <c r="E2903" i="1"/>
  <c r="E2899" i="1"/>
  <c r="E2900" i="1"/>
  <c r="E2901" i="1"/>
  <c r="E2902" i="1"/>
  <c r="E2898" i="1"/>
  <c r="E2894" i="1"/>
  <c r="E2895" i="1"/>
  <c r="E2896" i="1"/>
  <c r="E2897" i="1"/>
  <c r="E2893" i="1"/>
  <c r="D2888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E2550" i="1" l="1"/>
  <c r="E2555" i="1" s="1"/>
  <c r="E2560" i="1" s="1"/>
  <c r="E2565" i="1" s="1"/>
  <c r="E2570" i="1" s="1"/>
  <c r="E2575" i="1" s="1"/>
  <c r="E2583" i="1" s="1"/>
  <c r="E2588" i="1" s="1"/>
  <c r="E2593" i="1" s="1"/>
  <c r="E2598" i="1" s="1"/>
  <c r="E2551" i="1"/>
  <c r="E2556" i="1" s="1"/>
  <c r="E2561" i="1" s="1"/>
  <c r="E2566" i="1" s="1"/>
  <c r="E2571" i="1" s="1"/>
  <c r="E2576" i="1" s="1"/>
  <c r="E2584" i="1" s="1"/>
  <c r="E2589" i="1" s="1"/>
  <c r="E2594" i="1" s="1"/>
  <c r="E2599" i="1" s="1"/>
  <c r="E2552" i="1"/>
  <c r="E2557" i="1" s="1"/>
  <c r="E2562" i="1" s="1"/>
  <c r="E2567" i="1" s="1"/>
  <c r="E2572" i="1" s="1"/>
  <c r="E2577" i="1" s="1"/>
  <c r="E2585" i="1" s="1"/>
  <c r="E2590" i="1" s="1"/>
  <c r="E2595" i="1" s="1"/>
  <c r="E2600" i="1" s="1"/>
  <c r="E2549" i="1"/>
  <c r="E2554" i="1" s="1"/>
  <c r="E2559" i="1" s="1"/>
  <c r="E2564" i="1" s="1"/>
  <c r="E2569" i="1" s="1"/>
  <c r="E2574" i="1" s="1"/>
  <c r="E2582" i="1" s="1"/>
  <c r="E2587" i="1" s="1"/>
  <c r="E2592" i="1" s="1"/>
  <c r="E2597" i="1" s="1"/>
  <c r="J81" i="3" l="1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A2606" i="1"/>
  <c r="A2609" i="1" s="1"/>
  <c r="A2612" i="1" s="1"/>
  <c r="A2615" i="1" s="1"/>
  <c r="A2618" i="1" s="1"/>
  <c r="A2621" i="1" s="1"/>
  <c r="A2624" i="1" s="1"/>
  <c r="A2627" i="1" s="1"/>
  <c r="A2630" i="1" s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2" i="1"/>
  <c r="D2541" i="1"/>
  <c r="D2540" i="1"/>
  <c r="D2539" i="1"/>
  <c r="D2538" i="1"/>
  <c r="D2536" i="1"/>
  <c r="D2535" i="1"/>
  <c r="D2534" i="1"/>
  <c r="D2533" i="1"/>
  <c r="D2532" i="1"/>
  <c r="D2530" i="1"/>
  <c r="D2529" i="1"/>
  <c r="D2528" i="1"/>
  <c r="D2527" i="1"/>
  <c r="D2526" i="1"/>
  <c r="D2524" i="1"/>
  <c r="E2523" i="1"/>
  <c r="E2529" i="1" s="1"/>
  <c r="D2523" i="1"/>
  <c r="E2522" i="1"/>
  <c r="E2528" i="1" s="1"/>
  <c r="D2522" i="1"/>
  <c r="E2521" i="1"/>
  <c r="E2527" i="1" s="1"/>
  <c r="D2521" i="1"/>
  <c r="E2520" i="1"/>
  <c r="E2526" i="1" s="1"/>
  <c r="D2520" i="1"/>
  <c r="D2518" i="1"/>
  <c r="A2518" i="1"/>
  <c r="D2517" i="1"/>
  <c r="D2516" i="1"/>
  <c r="D2515" i="1"/>
  <c r="D2514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E2440" i="1"/>
  <c r="E2444" i="1" s="1"/>
  <c r="E2448" i="1" s="1"/>
  <c r="E2452" i="1" s="1"/>
  <c r="D2440" i="1"/>
  <c r="E2439" i="1"/>
  <c r="E2443" i="1" s="1"/>
  <c r="E2447" i="1" s="1"/>
  <c r="E2451" i="1" s="1"/>
  <c r="D2439" i="1"/>
  <c r="D2438" i="1"/>
  <c r="E2441" i="1"/>
  <c r="E2445" i="1" s="1"/>
  <c r="E2449" i="1" s="1"/>
  <c r="E2453" i="1" s="1"/>
  <c r="E2457" i="1" s="1"/>
  <c r="E2462" i="1" s="1"/>
  <c r="E2467" i="1" s="1"/>
  <c r="E2472" i="1" s="1"/>
  <c r="E2477" i="1" s="1"/>
  <c r="E2482" i="1" s="1"/>
  <c r="E2487" i="1" s="1"/>
  <c r="E2492" i="1" s="1"/>
  <c r="E2497" i="1" s="1"/>
  <c r="E2502" i="1" s="1"/>
  <c r="E2507" i="1" s="1"/>
  <c r="D2437" i="1"/>
  <c r="A2437" i="1"/>
  <c r="A2441" i="1" s="1"/>
  <c r="A2445" i="1" s="1"/>
  <c r="A2449" i="1" s="1"/>
  <c r="A2453" i="1" s="1"/>
  <c r="A2457" i="1" s="1"/>
  <c r="A2462" i="1" s="1"/>
  <c r="A2467" i="1" s="1"/>
  <c r="A2472" i="1" s="1"/>
  <c r="A2477" i="1" s="1"/>
  <c r="A2482" i="1" s="1"/>
  <c r="A2487" i="1" s="1"/>
  <c r="A2492" i="1" s="1"/>
  <c r="A2497" i="1" s="1"/>
  <c r="A2502" i="1" s="1"/>
  <c r="A2507" i="1" s="1"/>
  <c r="D2436" i="1"/>
  <c r="D2435" i="1"/>
  <c r="D2434" i="1"/>
  <c r="D2433" i="1"/>
  <c r="E2152" i="1"/>
  <c r="E2156" i="1" s="1"/>
  <c r="E2160" i="1" s="1"/>
  <c r="E2164" i="1" s="1"/>
  <c r="E2168" i="1" s="1"/>
  <c r="E2172" i="1" s="1"/>
  <c r="E2176" i="1" s="1"/>
  <c r="E2180" i="1" s="1"/>
  <c r="E2184" i="1" s="1"/>
  <c r="E2188" i="1" s="1"/>
  <c r="E2192" i="1" s="1"/>
  <c r="E2196" i="1" s="1"/>
  <c r="E2200" i="1" s="1"/>
  <c r="E2204" i="1" s="1"/>
  <c r="E2208" i="1" s="1"/>
  <c r="E2212" i="1" s="1"/>
  <c r="E2216" i="1" s="1"/>
  <c r="E2220" i="1" s="1"/>
  <c r="E2224" i="1" s="1"/>
  <c r="E2228" i="1" s="1"/>
  <c r="E2232" i="1" s="1"/>
  <c r="E2236" i="1" s="1"/>
  <c r="E2240" i="1" s="1"/>
  <c r="E2244" i="1" s="1"/>
  <c r="E2248" i="1" s="1"/>
  <c r="E2252" i="1" s="1"/>
  <c r="E2256" i="1" s="1"/>
  <c r="E2260" i="1" s="1"/>
  <c r="E2264" i="1" s="1"/>
  <c r="E2268" i="1" s="1"/>
  <c r="E2272" i="1" s="1"/>
  <c r="E2276" i="1" s="1"/>
  <c r="E2280" i="1" s="1"/>
  <c r="E2284" i="1" s="1"/>
  <c r="E2288" i="1" s="1"/>
  <c r="E2292" i="1" s="1"/>
  <c r="E2296" i="1" s="1"/>
  <c r="E2300" i="1" s="1"/>
  <c r="E2304" i="1" s="1"/>
  <c r="E2308" i="1" s="1"/>
  <c r="E2312" i="1" s="1"/>
  <c r="E2316" i="1" s="1"/>
  <c r="E2320" i="1" s="1"/>
  <c r="E2324" i="1" s="1"/>
  <c r="E2328" i="1" s="1"/>
  <c r="E2332" i="1" s="1"/>
  <c r="E2336" i="1" s="1"/>
  <c r="E2340" i="1" s="1"/>
  <c r="E2344" i="1" s="1"/>
  <c r="E2348" i="1" s="1"/>
  <c r="E2352" i="1" s="1"/>
  <c r="E2356" i="1" s="1"/>
  <c r="E2360" i="1" s="1"/>
  <c r="E2364" i="1" s="1"/>
  <c r="E2368" i="1" s="1"/>
  <c r="E2372" i="1" s="1"/>
  <c r="E2376" i="1" s="1"/>
  <c r="E2380" i="1" s="1"/>
  <c r="E2384" i="1" s="1"/>
  <c r="E2388" i="1" s="1"/>
  <c r="E2392" i="1" s="1"/>
  <c r="E2396" i="1" s="1"/>
  <c r="E2400" i="1" s="1"/>
  <c r="E2404" i="1" s="1"/>
  <c r="E2408" i="1" s="1"/>
  <c r="E2412" i="1" s="1"/>
  <c r="E2416" i="1" s="1"/>
  <c r="E2420" i="1" s="1"/>
  <c r="E2424" i="1" s="1"/>
  <c r="E2428" i="1" s="1"/>
  <c r="E2432" i="1" s="1"/>
  <c r="E2151" i="1"/>
  <c r="E2155" i="1" s="1"/>
  <c r="E2159" i="1" s="1"/>
  <c r="E2163" i="1" s="1"/>
  <c r="E2167" i="1" s="1"/>
  <c r="E2171" i="1" s="1"/>
  <c r="E2175" i="1" s="1"/>
  <c r="E2179" i="1" s="1"/>
  <c r="E2183" i="1" s="1"/>
  <c r="E2187" i="1" s="1"/>
  <c r="E2191" i="1" s="1"/>
  <c r="E2195" i="1" s="1"/>
  <c r="E2199" i="1" s="1"/>
  <c r="E2203" i="1" s="1"/>
  <c r="E2207" i="1" s="1"/>
  <c r="E2211" i="1" s="1"/>
  <c r="E2215" i="1" s="1"/>
  <c r="E2219" i="1" s="1"/>
  <c r="E2223" i="1" s="1"/>
  <c r="E2227" i="1" s="1"/>
  <c r="E2231" i="1" s="1"/>
  <c r="E2235" i="1" s="1"/>
  <c r="E2239" i="1" s="1"/>
  <c r="E2243" i="1" s="1"/>
  <c r="E2247" i="1" s="1"/>
  <c r="E2251" i="1" s="1"/>
  <c r="E2255" i="1" s="1"/>
  <c r="E2259" i="1" s="1"/>
  <c r="E2263" i="1" s="1"/>
  <c r="E2267" i="1" s="1"/>
  <c r="E2271" i="1" s="1"/>
  <c r="E2275" i="1" s="1"/>
  <c r="E2279" i="1" s="1"/>
  <c r="E2283" i="1" s="1"/>
  <c r="E2287" i="1" s="1"/>
  <c r="E2291" i="1" s="1"/>
  <c r="E2295" i="1" s="1"/>
  <c r="E2299" i="1" s="1"/>
  <c r="E2303" i="1" s="1"/>
  <c r="E2307" i="1" s="1"/>
  <c r="E2311" i="1" s="1"/>
  <c r="E2315" i="1" s="1"/>
  <c r="E2319" i="1" s="1"/>
  <c r="E2323" i="1" s="1"/>
  <c r="E2327" i="1" s="1"/>
  <c r="E2331" i="1" s="1"/>
  <c r="E2335" i="1" s="1"/>
  <c r="E2339" i="1" s="1"/>
  <c r="E2343" i="1" s="1"/>
  <c r="E2347" i="1" s="1"/>
  <c r="E2351" i="1" s="1"/>
  <c r="E2355" i="1" s="1"/>
  <c r="E2359" i="1" s="1"/>
  <c r="E2363" i="1" s="1"/>
  <c r="E2367" i="1" s="1"/>
  <c r="E2371" i="1" s="1"/>
  <c r="E2375" i="1" s="1"/>
  <c r="E2379" i="1" s="1"/>
  <c r="E2383" i="1" s="1"/>
  <c r="E2387" i="1" s="1"/>
  <c r="E2391" i="1" s="1"/>
  <c r="E2395" i="1" s="1"/>
  <c r="E2399" i="1" s="1"/>
  <c r="E2403" i="1" s="1"/>
  <c r="E2407" i="1" s="1"/>
  <c r="E2411" i="1" s="1"/>
  <c r="E2415" i="1" s="1"/>
  <c r="E2419" i="1" s="1"/>
  <c r="E2423" i="1" s="1"/>
  <c r="E2427" i="1" s="1"/>
  <c r="E2431" i="1" s="1"/>
  <c r="E2150" i="1"/>
  <c r="E2154" i="1" s="1"/>
  <c r="E2158" i="1" s="1"/>
  <c r="E2162" i="1" s="1"/>
  <c r="E2166" i="1" s="1"/>
  <c r="E2170" i="1" s="1"/>
  <c r="E2174" i="1" s="1"/>
  <c r="E2178" i="1" s="1"/>
  <c r="E2182" i="1" s="1"/>
  <c r="E2186" i="1" s="1"/>
  <c r="E2190" i="1" s="1"/>
  <c r="E2194" i="1" s="1"/>
  <c r="E2198" i="1" s="1"/>
  <c r="E2202" i="1" s="1"/>
  <c r="E2206" i="1" s="1"/>
  <c r="E2210" i="1" s="1"/>
  <c r="E2214" i="1" s="1"/>
  <c r="E2218" i="1" s="1"/>
  <c r="E2222" i="1" s="1"/>
  <c r="E2226" i="1" s="1"/>
  <c r="E2230" i="1" s="1"/>
  <c r="E2234" i="1" s="1"/>
  <c r="E2238" i="1" s="1"/>
  <c r="E2242" i="1" s="1"/>
  <c r="E2246" i="1" s="1"/>
  <c r="E2250" i="1" s="1"/>
  <c r="E2254" i="1" s="1"/>
  <c r="E2258" i="1" s="1"/>
  <c r="E2262" i="1" s="1"/>
  <c r="E2266" i="1" s="1"/>
  <c r="E2270" i="1" s="1"/>
  <c r="E2274" i="1" s="1"/>
  <c r="E2278" i="1" s="1"/>
  <c r="E2282" i="1" s="1"/>
  <c r="E2286" i="1" s="1"/>
  <c r="E2290" i="1" s="1"/>
  <c r="E2294" i="1" s="1"/>
  <c r="E2298" i="1" s="1"/>
  <c r="E2302" i="1" s="1"/>
  <c r="E2306" i="1" s="1"/>
  <c r="E2310" i="1" s="1"/>
  <c r="E2314" i="1" s="1"/>
  <c r="E2318" i="1" s="1"/>
  <c r="E2322" i="1" s="1"/>
  <c r="E2326" i="1" s="1"/>
  <c r="E2330" i="1" s="1"/>
  <c r="E2334" i="1" s="1"/>
  <c r="E2338" i="1" s="1"/>
  <c r="E2342" i="1" s="1"/>
  <c r="E2346" i="1" s="1"/>
  <c r="E2350" i="1" s="1"/>
  <c r="E2354" i="1" s="1"/>
  <c r="E2358" i="1" s="1"/>
  <c r="E2362" i="1" s="1"/>
  <c r="E2366" i="1" s="1"/>
  <c r="E2370" i="1" s="1"/>
  <c r="E2374" i="1" s="1"/>
  <c r="E2378" i="1" s="1"/>
  <c r="E2382" i="1" s="1"/>
  <c r="E2386" i="1" s="1"/>
  <c r="E2390" i="1" s="1"/>
  <c r="E2394" i="1" s="1"/>
  <c r="E2398" i="1" s="1"/>
  <c r="E2402" i="1" s="1"/>
  <c r="E2406" i="1" s="1"/>
  <c r="E2410" i="1" s="1"/>
  <c r="E2414" i="1" s="1"/>
  <c r="E2418" i="1" s="1"/>
  <c r="E2422" i="1" s="1"/>
  <c r="E2426" i="1" s="1"/>
  <c r="E2430" i="1" s="1"/>
  <c r="E2149" i="1"/>
  <c r="E2153" i="1" s="1"/>
  <c r="E2157" i="1" s="1"/>
  <c r="E2161" i="1" s="1"/>
  <c r="E2165" i="1" s="1"/>
  <c r="E2169" i="1" s="1"/>
  <c r="E2173" i="1" s="1"/>
  <c r="E2177" i="1" s="1"/>
  <c r="E2181" i="1" s="1"/>
  <c r="E2185" i="1" s="1"/>
  <c r="E2189" i="1" s="1"/>
  <c r="E2193" i="1" s="1"/>
  <c r="E2197" i="1" s="1"/>
  <c r="E2201" i="1" s="1"/>
  <c r="E2205" i="1" s="1"/>
  <c r="E2209" i="1" s="1"/>
  <c r="E2213" i="1" s="1"/>
  <c r="E2217" i="1" s="1"/>
  <c r="E2221" i="1" s="1"/>
  <c r="E2225" i="1" s="1"/>
  <c r="E2229" i="1" s="1"/>
  <c r="E2233" i="1" s="1"/>
  <c r="E2237" i="1" s="1"/>
  <c r="E2241" i="1" s="1"/>
  <c r="E2245" i="1" s="1"/>
  <c r="E2249" i="1" s="1"/>
  <c r="E2253" i="1" s="1"/>
  <c r="E2257" i="1" s="1"/>
  <c r="E2261" i="1" s="1"/>
  <c r="E2265" i="1" s="1"/>
  <c r="E2269" i="1" s="1"/>
  <c r="E2273" i="1" s="1"/>
  <c r="E2277" i="1" s="1"/>
  <c r="E2281" i="1" s="1"/>
  <c r="E2285" i="1" s="1"/>
  <c r="E2289" i="1" s="1"/>
  <c r="E2293" i="1" s="1"/>
  <c r="E2297" i="1" s="1"/>
  <c r="E2301" i="1" s="1"/>
  <c r="E2305" i="1" s="1"/>
  <c r="E2309" i="1" s="1"/>
  <c r="E2313" i="1" s="1"/>
  <c r="E2317" i="1" s="1"/>
  <c r="E2321" i="1" s="1"/>
  <c r="E2325" i="1" s="1"/>
  <c r="E2329" i="1" s="1"/>
  <c r="E2333" i="1" s="1"/>
  <c r="E2337" i="1" s="1"/>
  <c r="E2341" i="1" s="1"/>
  <c r="E2345" i="1" s="1"/>
  <c r="E2349" i="1" s="1"/>
  <c r="E2353" i="1" s="1"/>
  <c r="E2357" i="1" s="1"/>
  <c r="E2361" i="1" s="1"/>
  <c r="E2365" i="1" s="1"/>
  <c r="E2369" i="1" s="1"/>
  <c r="E2373" i="1" s="1"/>
  <c r="E2377" i="1" s="1"/>
  <c r="E2381" i="1" s="1"/>
  <c r="E2385" i="1" s="1"/>
  <c r="E2389" i="1" s="1"/>
  <c r="E2393" i="1" s="1"/>
  <c r="E2397" i="1" s="1"/>
  <c r="E2401" i="1" s="1"/>
  <c r="E2405" i="1" s="1"/>
  <c r="E2409" i="1" s="1"/>
  <c r="E2413" i="1" s="1"/>
  <c r="E2417" i="1" s="1"/>
  <c r="E2421" i="1" s="1"/>
  <c r="E2425" i="1" s="1"/>
  <c r="E2429" i="1" s="1"/>
  <c r="E1928" i="1"/>
  <c r="E1932" i="1" s="1"/>
  <c r="E1936" i="1" s="1"/>
  <c r="E1940" i="1" s="1"/>
  <c r="E1944" i="1" s="1"/>
  <c r="E1948" i="1" s="1"/>
  <c r="E1952" i="1" s="1"/>
  <c r="E1956" i="1" s="1"/>
  <c r="E1960" i="1" s="1"/>
  <c r="E1964" i="1" s="1"/>
  <c r="E1968" i="1" s="1"/>
  <c r="E1972" i="1" s="1"/>
  <c r="E1976" i="1" s="1"/>
  <c r="E1980" i="1" s="1"/>
  <c r="E1984" i="1" s="1"/>
  <c r="E1988" i="1" s="1"/>
  <c r="E1992" i="1" s="1"/>
  <c r="E1996" i="1" s="1"/>
  <c r="E2000" i="1" s="1"/>
  <c r="E2004" i="1" s="1"/>
  <c r="E2008" i="1" s="1"/>
  <c r="E2012" i="1" s="1"/>
  <c r="E2016" i="1" s="1"/>
  <c r="E2020" i="1" s="1"/>
  <c r="E2024" i="1" s="1"/>
  <c r="E2028" i="1" s="1"/>
  <c r="E2032" i="1" s="1"/>
  <c r="E2036" i="1" s="1"/>
  <c r="E2040" i="1" s="1"/>
  <c r="E2044" i="1" s="1"/>
  <c r="E2048" i="1" s="1"/>
  <c r="E2052" i="1" s="1"/>
  <c r="E2056" i="1" s="1"/>
  <c r="E2060" i="1" s="1"/>
  <c r="E2064" i="1" s="1"/>
  <c r="E2068" i="1" s="1"/>
  <c r="E2072" i="1" s="1"/>
  <c r="E2076" i="1" s="1"/>
  <c r="E2080" i="1" s="1"/>
  <c r="E2084" i="1" s="1"/>
  <c r="E2088" i="1" s="1"/>
  <c r="E2092" i="1" s="1"/>
  <c r="E2096" i="1" s="1"/>
  <c r="E2100" i="1" s="1"/>
  <c r="E2104" i="1" s="1"/>
  <c r="E2108" i="1" s="1"/>
  <c r="E2112" i="1" s="1"/>
  <c r="E2116" i="1" s="1"/>
  <c r="E2120" i="1" s="1"/>
  <c r="E2124" i="1" s="1"/>
  <c r="E2128" i="1" s="1"/>
  <c r="E2132" i="1" s="1"/>
  <c r="E2136" i="1" s="1"/>
  <c r="E2140" i="1" s="1"/>
  <c r="E2144" i="1" s="1"/>
  <c r="E1927" i="1"/>
  <c r="E1931" i="1" s="1"/>
  <c r="E1935" i="1" s="1"/>
  <c r="E1939" i="1" s="1"/>
  <c r="E1943" i="1" s="1"/>
  <c r="E1947" i="1" s="1"/>
  <c r="E1951" i="1" s="1"/>
  <c r="E1955" i="1" s="1"/>
  <c r="E1959" i="1" s="1"/>
  <c r="E1963" i="1" s="1"/>
  <c r="E1967" i="1" s="1"/>
  <c r="E1971" i="1" s="1"/>
  <c r="E1975" i="1" s="1"/>
  <c r="E1979" i="1" s="1"/>
  <c r="E1983" i="1" s="1"/>
  <c r="E1987" i="1" s="1"/>
  <c r="E1991" i="1" s="1"/>
  <c r="E1995" i="1" s="1"/>
  <c r="E1999" i="1" s="1"/>
  <c r="E2003" i="1" s="1"/>
  <c r="E2007" i="1" s="1"/>
  <c r="E2011" i="1" s="1"/>
  <c r="E2015" i="1" s="1"/>
  <c r="E2019" i="1" s="1"/>
  <c r="E2023" i="1" s="1"/>
  <c r="E2027" i="1" s="1"/>
  <c r="E2031" i="1" s="1"/>
  <c r="E2035" i="1" s="1"/>
  <c r="E2039" i="1" s="1"/>
  <c r="E2043" i="1" s="1"/>
  <c r="E2047" i="1" s="1"/>
  <c r="E2051" i="1" s="1"/>
  <c r="E2055" i="1" s="1"/>
  <c r="E2059" i="1" s="1"/>
  <c r="E2063" i="1" s="1"/>
  <c r="E2067" i="1" s="1"/>
  <c r="E2071" i="1" s="1"/>
  <c r="E2075" i="1" s="1"/>
  <c r="E2079" i="1" s="1"/>
  <c r="E2083" i="1" s="1"/>
  <c r="E2087" i="1" s="1"/>
  <c r="E2091" i="1" s="1"/>
  <c r="E2095" i="1" s="1"/>
  <c r="E2099" i="1" s="1"/>
  <c r="E2103" i="1" s="1"/>
  <c r="E2107" i="1" s="1"/>
  <c r="E2111" i="1" s="1"/>
  <c r="E2115" i="1" s="1"/>
  <c r="E2119" i="1" s="1"/>
  <c r="E2123" i="1" s="1"/>
  <c r="E2127" i="1" s="1"/>
  <c r="E2131" i="1" s="1"/>
  <c r="E2135" i="1" s="1"/>
  <c r="E2139" i="1" s="1"/>
  <c r="E2143" i="1" s="1"/>
  <c r="E1926" i="1"/>
  <c r="E1930" i="1" s="1"/>
  <c r="E1934" i="1" s="1"/>
  <c r="E1938" i="1" s="1"/>
  <c r="E1942" i="1" s="1"/>
  <c r="E1946" i="1" s="1"/>
  <c r="E1950" i="1" s="1"/>
  <c r="E1954" i="1" s="1"/>
  <c r="E1958" i="1" s="1"/>
  <c r="E1962" i="1" s="1"/>
  <c r="E1966" i="1" s="1"/>
  <c r="E1970" i="1" s="1"/>
  <c r="E1974" i="1" s="1"/>
  <c r="E1978" i="1" s="1"/>
  <c r="E1982" i="1" s="1"/>
  <c r="E1986" i="1" s="1"/>
  <c r="E1990" i="1" s="1"/>
  <c r="E1994" i="1" s="1"/>
  <c r="E1998" i="1" s="1"/>
  <c r="E2002" i="1" s="1"/>
  <c r="E2006" i="1" s="1"/>
  <c r="E2010" i="1" s="1"/>
  <c r="E2014" i="1" s="1"/>
  <c r="E2018" i="1" s="1"/>
  <c r="E2022" i="1" s="1"/>
  <c r="E2026" i="1" s="1"/>
  <c r="E2030" i="1" s="1"/>
  <c r="E2034" i="1" s="1"/>
  <c r="E2038" i="1" s="1"/>
  <c r="E2042" i="1" s="1"/>
  <c r="E2046" i="1" s="1"/>
  <c r="E2050" i="1" s="1"/>
  <c r="E2054" i="1" s="1"/>
  <c r="E2058" i="1" s="1"/>
  <c r="E2062" i="1" s="1"/>
  <c r="E2066" i="1" s="1"/>
  <c r="E2070" i="1" s="1"/>
  <c r="E2074" i="1" s="1"/>
  <c r="E2078" i="1" s="1"/>
  <c r="E2082" i="1" s="1"/>
  <c r="E2086" i="1" s="1"/>
  <c r="E2090" i="1" s="1"/>
  <c r="E2094" i="1" s="1"/>
  <c r="E2098" i="1" s="1"/>
  <c r="E2102" i="1" s="1"/>
  <c r="E2106" i="1" s="1"/>
  <c r="E2110" i="1" s="1"/>
  <c r="E2114" i="1" s="1"/>
  <c r="E2118" i="1" s="1"/>
  <c r="E2122" i="1" s="1"/>
  <c r="E2126" i="1" s="1"/>
  <c r="E2130" i="1" s="1"/>
  <c r="E2134" i="1" s="1"/>
  <c r="E2138" i="1" s="1"/>
  <c r="E2142" i="1" s="1"/>
  <c r="E1925" i="1"/>
  <c r="E1929" i="1" s="1"/>
  <c r="E1933" i="1" s="1"/>
  <c r="E1937" i="1" s="1"/>
  <c r="E1941" i="1" s="1"/>
  <c r="E1945" i="1" s="1"/>
  <c r="E1949" i="1" s="1"/>
  <c r="E1953" i="1" s="1"/>
  <c r="E1957" i="1" s="1"/>
  <c r="E1961" i="1" s="1"/>
  <c r="E1965" i="1" s="1"/>
  <c r="E1969" i="1" s="1"/>
  <c r="E1973" i="1" s="1"/>
  <c r="E1977" i="1" s="1"/>
  <c r="E1981" i="1" s="1"/>
  <c r="E1985" i="1" s="1"/>
  <c r="E1989" i="1" s="1"/>
  <c r="E1993" i="1" s="1"/>
  <c r="E1997" i="1" s="1"/>
  <c r="E2001" i="1" s="1"/>
  <c r="E2005" i="1" s="1"/>
  <c r="E2009" i="1" s="1"/>
  <c r="E2013" i="1" s="1"/>
  <c r="E2017" i="1" s="1"/>
  <c r="E2021" i="1" s="1"/>
  <c r="E2025" i="1" s="1"/>
  <c r="E2029" i="1" s="1"/>
  <c r="E2033" i="1" s="1"/>
  <c r="E2037" i="1" s="1"/>
  <c r="E2041" i="1" s="1"/>
  <c r="E2045" i="1" s="1"/>
  <c r="E2049" i="1" s="1"/>
  <c r="E2053" i="1" s="1"/>
  <c r="E2057" i="1" s="1"/>
  <c r="E2061" i="1" s="1"/>
  <c r="E2065" i="1" s="1"/>
  <c r="E2069" i="1" s="1"/>
  <c r="E2073" i="1" s="1"/>
  <c r="E2077" i="1" s="1"/>
  <c r="E2081" i="1" s="1"/>
  <c r="E2085" i="1" s="1"/>
  <c r="E2089" i="1" s="1"/>
  <c r="E2093" i="1" s="1"/>
  <c r="E2097" i="1" s="1"/>
  <c r="E2101" i="1" s="1"/>
  <c r="E2105" i="1" s="1"/>
  <c r="E2109" i="1" s="1"/>
  <c r="E2113" i="1" s="1"/>
  <c r="E2117" i="1" s="1"/>
  <c r="E2121" i="1" s="1"/>
  <c r="E2125" i="1" s="1"/>
  <c r="E2129" i="1" s="1"/>
  <c r="E2133" i="1" s="1"/>
  <c r="E2137" i="1" s="1"/>
  <c r="E2141" i="1" s="1"/>
  <c r="E1840" i="1"/>
  <c r="E1844" i="1" s="1"/>
  <c r="E1848" i="1" s="1"/>
  <c r="E1852" i="1" s="1"/>
  <c r="E1856" i="1" s="1"/>
  <c r="E1860" i="1" s="1"/>
  <c r="E1864" i="1" s="1"/>
  <c r="E1868" i="1" s="1"/>
  <c r="E1872" i="1" s="1"/>
  <c r="E1876" i="1" s="1"/>
  <c r="E1880" i="1" s="1"/>
  <c r="E1884" i="1" s="1"/>
  <c r="E1888" i="1" s="1"/>
  <c r="E1892" i="1" s="1"/>
  <c r="E1896" i="1" s="1"/>
  <c r="E1900" i="1" s="1"/>
  <c r="E1904" i="1" s="1"/>
  <c r="E1908" i="1" s="1"/>
  <c r="E1912" i="1" s="1"/>
  <c r="E1916" i="1" s="1"/>
  <c r="E1920" i="1" s="1"/>
  <c r="E1839" i="1"/>
  <c r="E1843" i="1" s="1"/>
  <c r="E1847" i="1" s="1"/>
  <c r="E1851" i="1" s="1"/>
  <c r="E1855" i="1" s="1"/>
  <c r="E1859" i="1" s="1"/>
  <c r="E1863" i="1" s="1"/>
  <c r="E1867" i="1" s="1"/>
  <c r="E1871" i="1" s="1"/>
  <c r="E1875" i="1" s="1"/>
  <c r="E1879" i="1" s="1"/>
  <c r="E1883" i="1" s="1"/>
  <c r="E1887" i="1" s="1"/>
  <c r="E1891" i="1" s="1"/>
  <c r="E1895" i="1" s="1"/>
  <c r="E1899" i="1" s="1"/>
  <c r="E1903" i="1" s="1"/>
  <c r="E1907" i="1" s="1"/>
  <c r="E1911" i="1" s="1"/>
  <c r="E1915" i="1" s="1"/>
  <c r="E1919" i="1" s="1"/>
  <c r="E1838" i="1"/>
  <c r="E1842" i="1" s="1"/>
  <c r="E1846" i="1" s="1"/>
  <c r="E1850" i="1" s="1"/>
  <c r="E1854" i="1" s="1"/>
  <c r="E1858" i="1" s="1"/>
  <c r="E1862" i="1" s="1"/>
  <c r="E1866" i="1" s="1"/>
  <c r="E1870" i="1" s="1"/>
  <c r="E1874" i="1" s="1"/>
  <c r="E1878" i="1" s="1"/>
  <c r="E1882" i="1" s="1"/>
  <c r="E1886" i="1" s="1"/>
  <c r="E1890" i="1" s="1"/>
  <c r="E1894" i="1" s="1"/>
  <c r="E1898" i="1" s="1"/>
  <c r="E1902" i="1" s="1"/>
  <c r="E1906" i="1" s="1"/>
  <c r="E1910" i="1" s="1"/>
  <c r="E1914" i="1" s="1"/>
  <c r="E1918" i="1" s="1"/>
  <c r="E1837" i="1"/>
  <c r="E1841" i="1" s="1"/>
  <c r="E1845" i="1" s="1"/>
  <c r="E1849" i="1" s="1"/>
  <c r="E1853" i="1" s="1"/>
  <c r="E1857" i="1" s="1"/>
  <c r="E1861" i="1" s="1"/>
  <c r="E1865" i="1" s="1"/>
  <c r="E1869" i="1" s="1"/>
  <c r="E1873" i="1" s="1"/>
  <c r="E1877" i="1" s="1"/>
  <c r="E1881" i="1" s="1"/>
  <c r="E1885" i="1" s="1"/>
  <c r="E1889" i="1" s="1"/>
  <c r="E1893" i="1" s="1"/>
  <c r="E1897" i="1" s="1"/>
  <c r="E1901" i="1" s="1"/>
  <c r="E1905" i="1" s="1"/>
  <c r="E1909" i="1" s="1"/>
  <c r="E1913" i="1" s="1"/>
  <c r="E1917" i="1" s="1"/>
  <c r="E1760" i="1"/>
  <c r="E1764" i="1" s="1"/>
  <c r="E1768" i="1" s="1"/>
  <c r="E1772" i="1" s="1"/>
  <c r="E1776" i="1" s="1"/>
  <c r="E1780" i="1" s="1"/>
  <c r="E1784" i="1" s="1"/>
  <c r="E1788" i="1" s="1"/>
  <c r="E1792" i="1" s="1"/>
  <c r="E1796" i="1" s="1"/>
  <c r="E1800" i="1" s="1"/>
  <c r="E1804" i="1" s="1"/>
  <c r="E1808" i="1" s="1"/>
  <c r="E1812" i="1" s="1"/>
  <c r="E1816" i="1" s="1"/>
  <c r="E1820" i="1" s="1"/>
  <c r="E1824" i="1" s="1"/>
  <c r="E1828" i="1" s="1"/>
  <c r="E1832" i="1" s="1"/>
  <c r="E1759" i="1"/>
  <c r="E1763" i="1" s="1"/>
  <c r="E1767" i="1" s="1"/>
  <c r="E1771" i="1" s="1"/>
  <c r="E1775" i="1" s="1"/>
  <c r="E1779" i="1" s="1"/>
  <c r="E1783" i="1" s="1"/>
  <c r="E1787" i="1" s="1"/>
  <c r="E1791" i="1" s="1"/>
  <c r="E1795" i="1" s="1"/>
  <c r="E1799" i="1" s="1"/>
  <c r="E1803" i="1" s="1"/>
  <c r="E1807" i="1" s="1"/>
  <c r="E1811" i="1" s="1"/>
  <c r="E1815" i="1" s="1"/>
  <c r="E1819" i="1" s="1"/>
  <c r="E1823" i="1" s="1"/>
  <c r="E1827" i="1" s="1"/>
  <c r="E1831" i="1" s="1"/>
  <c r="E1758" i="1"/>
  <c r="E1762" i="1" s="1"/>
  <c r="E1766" i="1" s="1"/>
  <c r="E1770" i="1" s="1"/>
  <c r="E1774" i="1" s="1"/>
  <c r="E1778" i="1" s="1"/>
  <c r="E1782" i="1" s="1"/>
  <c r="E1786" i="1" s="1"/>
  <c r="E1790" i="1" s="1"/>
  <c r="E1794" i="1" s="1"/>
  <c r="E1798" i="1" s="1"/>
  <c r="E1802" i="1" s="1"/>
  <c r="E1806" i="1" s="1"/>
  <c r="E1810" i="1" s="1"/>
  <c r="E1814" i="1" s="1"/>
  <c r="E1818" i="1" s="1"/>
  <c r="E1822" i="1" s="1"/>
  <c r="E1826" i="1" s="1"/>
  <c r="E1830" i="1" s="1"/>
  <c r="E1757" i="1"/>
  <c r="E1761" i="1" s="1"/>
  <c r="E1765" i="1" s="1"/>
  <c r="E1769" i="1" s="1"/>
  <c r="E1773" i="1" s="1"/>
  <c r="E1777" i="1" s="1"/>
  <c r="E1781" i="1" s="1"/>
  <c r="E1785" i="1" s="1"/>
  <c r="E1789" i="1" s="1"/>
  <c r="E1793" i="1" s="1"/>
  <c r="E1797" i="1" s="1"/>
  <c r="E1801" i="1" s="1"/>
  <c r="E1805" i="1" s="1"/>
  <c r="E1809" i="1" s="1"/>
  <c r="E1813" i="1" s="1"/>
  <c r="E1817" i="1" s="1"/>
  <c r="E1821" i="1" s="1"/>
  <c r="E1825" i="1" s="1"/>
  <c r="E1829" i="1" s="1"/>
  <c r="E1660" i="1"/>
  <c r="E1664" i="1" s="1"/>
  <c r="E1668" i="1" s="1"/>
  <c r="E1672" i="1" s="1"/>
  <c r="E1676" i="1" s="1"/>
  <c r="E1680" i="1" s="1"/>
  <c r="E1684" i="1" s="1"/>
  <c r="E1688" i="1" s="1"/>
  <c r="E1692" i="1" s="1"/>
  <c r="E1696" i="1" s="1"/>
  <c r="E1700" i="1" s="1"/>
  <c r="E1704" i="1" s="1"/>
  <c r="E1708" i="1" s="1"/>
  <c r="E1712" i="1" s="1"/>
  <c r="E1716" i="1" s="1"/>
  <c r="E1720" i="1" s="1"/>
  <c r="E1724" i="1" s="1"/>
  <c r="E1728" i="1" s="1"/>
  <c r="E1732" i="1" s="1"/>
  <c r="E1736" i="1" s="1"/>
  <c r="E1740" i="1" s="1"/>
  <c r="E1744" i="1" s="1"/>
  <c r="E1748" i="1" s="1"/>
  <c r="E1752" i="1" s="1"/>
  <c r="E1659" i="1"/>
  <c r="E1663" i="1" s="1"/>
  <c r="E1667" i="1" s="1"/>
  <c r="E1671" i="1" s="1"/>
  <c r="E1675" i="1" s="1"/>
  <c r="E1679" i="1" s="1"/>
  <c r="E1683" i="1" s="1"/>
  <c r="E1687" i="1" s="1"/>
  <c r="E1691" i="1" s="1"/>
  <c r="E1695" i="1" s="1"/>
  <c r="E1699" i="1" s="1"/>
  <c r="E1703" i="1" s="1"/>
  <c r="E1707" i="1" s="1"/>
  <c r="E1711" i="1" s="1"/>
  <c r="E1715" i="1" s="1"/>
  <c r="E1719" i="1" s="1"/>
  <c r="E1723" i="1" s="1"/>
  <c r="E1727" i="1" s="1"/>
  <c r="E1731" i="1" s="1"/>
  <c r="E1735" i="1" s="1"/>
  <c r="E1739" i="1" s="1"/>
  <c r="E1743" i="1" s="1"/>
  <c r="E1747" i="1" s="1"/>
  <c r="E1751" i="1" s="1"/>
  <c r="E1658" i="1"/>
  <c r="E1662" i="1" s="1"/>
  <c r="E1666" i="1" s="1"/>
  <c r="E1670" i="1" s="1"/>
  <c r="E1674" i="1" s="1"/>
  <c r="E1678" i="1" s="1"/>
  <c r="E1682" i="1" s="1"/>
  <c r="E1686" i="1" s="1"/>
  <c r="E1690" i="1" s="1"/>
  <c r="E1694" i="1" s="1"/>
  <c r="E1698" i="1" s="1"/>
  <c r="E1702" i="1" s="1"/>
  <c r="E1706" i="1" s="1"/>
  <c r="E1710" i="1" s="1"/>
  <c r="E1714" i="1" s="1"/>
  <c r="E1718" i="1" s="1"/>
  <c r="E1722" i="1" s="1"/>
  <c r="E1726" i="1" s="1"/>
  <c r="E1730" i="1" s="1"/>
  <c r="E1734" i="1" s="1"/>
  <c r="E1738" i="1" s="1"/>
  <c r="E1742" i="1" s="1"/>
  <c r="E1746" i="1" s="1"/>
  <c r="E1750" i="1" s="1"/>
  <c r="E1657" i="1"/>
  <c r="E1661" i="1" s="1"/>
  <c r="E1665" i="1" s="1"/>
  <c r="E1669" i="1" s="1"/>
  <c r="E1673" i="1" s="1"/>
  <c r="E1677" i="1" s="1"/>
  <c r="E1681" i="1" s="1"/>
  <c r="E1685" i="1" s="1"/>
  <c r="E1689" i="1" s="1"/>
  <c r="E1693" i="1" s="1"/>
  <c r="E1697" i="1" s="1"/>
  <c r="E1701" i="1" s="1"/>
  <c r="E1705" i="1" s="1"/>
  <c r="E1709" i="1" s="1"/>
  <c r="E1713" i="1" s="1"/>
  <c r="E1717" i="1" s="1"/>
  <c r="E1721" i="1" s="1"/>
  <c r="E1725" i="1" s="1"/>
  <c r="E1729" i="1" s="1"/>
  <c r="E1733" i="1" s="1"/>
  <c r="E1737" i="1" s="1"/>
  <c r="E1741" i="1" s="1"/>
  <c r="E1745" i="1" s="1"/>
  <c r="E1749" i="1" s="1"/>
  <c r="E1608" i="1"/>
  <c r="E1612" i="1" s="1"/>
  <c r="E1616" i="1" s="1"/>
  <c r="E1620" i="1" s="1"/>
  <c r="E1624" i="1" s="1"/>
  <c r="E1628" i="1" s="1"/>
  <c r="E1632" i="1" s="1"/>
  <c r="E1636" i="1" s="1"/>
  <c r="E1640" i="1" s="1"/>
  <c r="E1644" i="1" s="1"/>
  <c r="E1648" i="1" s="1"/>
  <c r="E1652" i="1" s="1"/>
  <c r="E1607" i="1"/>
  <c r="E1611" i="1" s="1"/>
  <c r="E1615" i="1" s="1"/>
  <c r="E1619" i="1" s="1"/>
  <c r="E1623" i="1" s="1"/>
  <c r="E1627" i="1" s="1"/>
  <c r="E1631" i="1" s="1"/>
  <c r="E1635" i="1" s="1"/>
  <c r="E1639" i="1" s="1"/>
  <c r="E1643" i="1" s="1"/>
  <c r="E1647" i="1" s="1"/>
  <c r="E1651" i="1" s="1"/>
  <c r="E1606" i="1"/>
  <c r="E1610" i="1" s="1"/>
  <c r="E1614" i="1" s="1"/>
  <c r="E1618" i="1" s="1"/>
  <c r="E1622" i="1" s="1"/>
  <c r="E1626" i="1" s="1"/>
  <c r="E1630" i="1" s="1"/>
  <c r="E1634" i="1" s="1"/>
  <c r="E1638" i="1" s="1"/>
  <c r="E1642" i="1" s="1"/>
  <c r="E1646" i="1" s="1"/>
  <c r="E1650" i="1" s="1"/>
  <c r="E1605" i="1"/>
  <c r="E1609" i="1" s="1"/>
  <c r="E1613" i="1" s="1"/>
  <c r="E1617" i="1" s="1"/>
  <c r="E1621" i="1" s="1"/>
  <c r="E1625" i="1" s="1"/>
  <c r="E1629" i="1" s="1"/>
  <c r="E1633" i="1" s="1"/>
  <c r="E1637" i="1" s="1"/>
  <c r="E1641" i="1" s="1"/>
  <c r="E1645" i="1" s="1"/>
  <c r="E1649" i="1" s="1"/>
  <c r="A1457" i="1"/>
  <c r="A1461" i="1" s="1"/>
  <c r="A1465" i="1" s="1"/>
  <c r="A1469" i="1" s="1"/>
  <c r="A1473" i="1" s="1"/>
  <c r="A1477" i="1" s="1"/>
  <c r="A1481" i="1" s="1"/>
  <c r="A1485" i="1" s="1"/>
  <c r="A1489" i="1" s="1"/>
  <c r="A1493" i="1" s="1"/>
  <c r="A1497" i="1" s="1"/>
  <c r="A1501" i="1" s="1"/>
  <c r="A1505" i="1" s="1"/>
  <c r="A1509" i="1" s="1"/>
  <c r="A1513" i="1" s="1"/>
  <c r="A1517" i="1" s="1"/>
  <c r="A1521" i="1" s="1"/>
  <c r="A1525" i="1" s="1"/>
  <c r="A1529" i="1" s="1"/>
  <c r="A1533" i="1" s="1"/>
  <c r="A1537" i="1" s="1"/>
  <c r="A1541" i="1" s="1"/>
  <c r="A1545" i="1" s="1"/>
  <c r="A1549" i="1" s="1"/>
  <c r="A1553" i="1" s="1"/>
  <c r="A1557" i="1" s="1"/>
  <c r="A1561" i="1" s="1"/>
  <c r="A1565" i="1" s="1"/>
  <c r="A1569" i="1" s="1"/>
  <c r="A1573" i="1" s="1"/>
  <c r="A1577" i="1" s="1"/>
  <c r="A1581" i="1" s="1"/>
  <c r="A1585" i="1" s="1"/>
  <c r="A1589" i="1" s="1"/>
  <c r="A1593" i="1" s="1"/>
  <c r="A1597" i="1" s="1"/>
  <c r="E1440" i="1"/>
  <c r="E1444" i="1" s="1"/>
  <c r="E1448" i="1" s="1"/>
  <c r="E1452" i="1" s="1"/>
  <c r="E1456" i="1" s="1"/>
  <c r="E1460" i="1" s="1"/>
  <c r="E1464" i="1" s="1"/>
  <c r="E1468" i="1" s="1"/>
  <c r="E1472" i="1" s="1"/>
  <c r="E1476" i="1" s="1"/>
  <c r="E1480" i="1" s="1"/>
  <c r="E1484" i="1" s="1"/>
  <c r="E1488" i="1" s="1"/>
  <c r="E1492" i="1" s="1"/>
  <c r="E1496" i="1" s="1"/>
  <c r="E1500" i="1" s="1"/>
  <c r="E1504" i="1" s="1"/>
  <c r="E1508" i="1" s="1"/>
  <c r="E1512" i="1" s="1"/>
  <c r="E1516" i="1" s="1"/>
  <c r="E1520" i="1" s="1"/>
  <c r="E1524" i="1" s="1"/>
  <c r="E1528" i="1" s="1"/>
  <c r="E1532" i="1" s="1"/>
  <c r="E1536" i="1" s="1"/>
  <c r="E1540" i="1" s="1"/>
  <c r="E1544" i="1" s="1"/>
  <c r="E1548" i="1" s="1"/>
  <c r="E1552" i="1" s="1"/>
  <c r="E1556" i="1" s="1"/>
  <c r="E1560" i="1" s="1"/>
  <c r="E1564" i="1" s="1"/>
  <c r="E1568" i="1" s="1"/>
  <c r="E1572" i="1" s="1"/>
  <c r="E1576" i="1" s="1"/>
  <c r="E1580" i="1" s="1"/>
  <c r="E1584" i="1" s="1"/>
  <c r="E1588" i="1" s="1"/>
  <c r="E1592" i="1" s="1"/>
  <c r="E1596" i="1" s="1"/>
  <c r="E1600" i="1" s="1"/>
  <c r="E1439" i="1"/>
  <c r="E1443" i="1" s="1"/>
  <c r="E1447" i="1" s="1"/>
  <c r="E1451" i="1" s="1"/>
  <c r="E1455" i="1" s="1"/>
  <c r="E1459" i="1" s="1"/>
  <c r="E1463" i="1" s="1"/>
  <c r="E1467" i="1" s="1"/>
  <c r="E1471" i="1" s="1"/>
  <c r="E1475" i="1" s="1"/>
  <c r="E1479" i="1" s="1"/>
  <c r="E1483" i="1" s="1"/>
  <c r="E1487" i="1" s="1"/>
  <c r="E1491" i="1" s="1"/>
  <c r="E1495" i="1" s="1"/>
  <c r="E1499" i="1" s="1"/>
  <c r="E1503" i="1" s="1"/>
  <c r="E1507" i="1" s="1"/>
  <c r="E1511" i="1" s="1"/>
  <c r="E1515" i="1" s="1"/>
  <c r="E1519" i="1" s="1"/>
  <c r="E1523" i="1" s="1"/>
  <c r="E1527" i="1" s="1"/>
  <c r="E1531" i="1" s="1"/>
  <c r="E1535" i="1" s="1"/>
  <c r="E1539" i="1" s="1"/>
  <c r="E1543" i="1" s="1"/>
  <c r="E1547" i="1" s="1"/>
  <c r="E1551" i="1" s="1"/>
  <c r="E1555" i="1" s="1"/>
  <c r="E1559" i="1" s="1"/>
  <c r="E1563" i="1" s="1"/>
  <c r="E1567" i="1" s="1"/>
  <c r="E1571" i="1" s="1"/>
  <c r="E1575" i="1" s="1"/>
  <c r="E1579" i="1" s="1"/>
  <c r="E1583" i="1" s="1"/>
  <c r="E1587" i="1" s="1"/>
  <c r="E1591" i="1" s="1"/>
  <c r="E1595" i="1" s="1"/>
  <c r="E1599" i="1" s="1"/>
  <c r="E1438" i="1"/>
  <c r="E1442" i="1" s="1"/>
  <c r="E1446" i="1" s="1"/>
  <c r="E1450" i="1" s="1"/>
  <c r="E1454" i="1" s="1"/>
  <c r="E1458" i="1" s="1"/>
  <c r="E1462" i="1" s="1"/>
  <c r="E1466" i="1" s="1"/>
  <c r="E1470" i="1" s="1"/>
  <c r="E1474" i="1" s="1"/>
  <c r="E1478" i="1" s="1"/>
  <c r="E1482" i="1" s="1"/>
  <c r="E1486" i="1" s="1"/>
  <c r="E1490" i="1" s="1"/>
  <c r="E1494" i="1" s="1"/>
  <c r="E1498" i="1" s="1"/>
  <c r="E1502" i="1" s="1"/>
  <c r="E1506" i="1" s="1"/>
  <c r="E1510" i="1" s="1"/>
  <c r="E1514" i="1" s="1"/>
  <c r="E1518" i="1" s="1"/>
  <c r="E1522" i="1" s="1"/>
  <c r="E1526" i="1" s="1"/>
  <c r="E1530" i="1" s="1"/>
  <c r="E1534" i="1" s="1"/>
  <c r="E1538" i="1" s="1"/>
  <c r="E1542" i="1" s="1"/>
  <c r="E1546" i="1" s="1"/>
  <c r="E1550" i="1" s="1"/>
  <c r="E1554" i="1" s="1"/>
  <c r="E1558" i="1" s="1"/>
  <c r="E1562" i="1" s="1"/>
  <c r="E1566" i="1" s="1"/>
  <c r="E1570" i="1" s="1"/>
  <c r="E1574" i="1" s="1"/>
  <c r="E1578" i="1" s="1"/>
  <c r="E1582" i="1" s="1"/>
  <c r="E1586" i="1" s="1"/>
  <c r="E1590" i="1" s="1"/>
  <c r="E1594" i="1" s="1"/>
  <c r="E1598" i="1" s="1"/>
  <c r="E1437" i="1"/>
  <c r="E1441" i="1" s="1"/>
  <c r="E1445" i="1" s="1"/>
  <c r="E1449" i="1" s="1"/>
  <c r="E1453" i="1" s="1"/>
  <c r="E1457" i="1" s="1"/>
  <c r="E1461" i="1" s="1"/>
  <c r="E1465" i="1" s="1"/>
  <c r="E1469" i="1" s="1"/>
  <c r="E1473" i="1" s="1"/>
  <c r="E1477" i="1" s="1"/>
  <c r="E1481" i="1" s="1"/>
  <c r="E1485" i="1" s="1"/>
  <c r="E1489" i="1" s="1"/>
  <c r="E1493" i="1" s="1"/>
  <c r="E1497" i="1" s="1"/>
  <c r="E1501" i="1" s="1"/>
  <c r="E1505" i="1" s="1"/>
  <c r="E1509" i="1" s="1"/>
  <c r="E1513" i="1" s="1"/>
  <c r="E1517" i="1" s="1"/>
  <c r="E1521" i="1" s="1"/>
  <c r="E1525" i="1" s="1"/>
  <c r="E1529" i="1" s="1"/>
  <c r="E1533" i="1" s="1"/>
  <c r="E1537" i="1" s="1"/>
  <c r="E1541" i="1" s="1"/>
  <c r="E1545" i="1" s="1"/>
  <c r="E1549" i="1" s="1"/>
  <c r="E1553" i="1" s="1"/>
  <c r="E1557" i="1" s="1"/>
  <c r="E1561" i="1" s="1"/>
  <c r="E1565" i="1" s="1"/>
  <c r="E1569" i="1" s="1"/>
  <c r="E1573" i="1" s="1"/>
  <c r="E1577" i="1" s="1"/>
  <c r="E1581" i="1" s="1"/>
  <c r="E1585" i="1" s="1"/>
  <c r="E1589" i="1" s="1"/>
  <c r="E1593" i="1" s="1"/>
  <c r="E1597" i="1" s="1"/>
  <c r="E1412" i="1"/>
  <c r="E1416" i="1" s="1"/>
  <c r="E1420" i="1" s="1"/>
  <c r="E1424" i="1" s="1"/>
  <c r="E1428" i="1" s="1"/>
  <c r="E1432" i="1" s="1"/>
  <c r="E1411" i="1"/>
  <c r="E1415" i="1" s="1"/>
  <c r="E1419" i="1" s="1"/>
  <c r="E1423" i="1" s="1"/>
  <c r="E1427" i="1" s="1"/>
  <c r="E1431" i="1" s="1"/>
  <c r="E1410" i="1"/>
  <c r="E1414" i="1" s="1"/>
  <c r="E1418" i="1" s="1"/>
  <c r="E1422" i="1" s="1"/>
  <c r="E1426" i="1" s="1"/>
  <c r="E1430" i="1" s="1"/>
  <c r="E1409" i="1"/>
  <c r="E1413" i="1" s="1"/>
  <c r="E1417" i="1" s="1"/>
  <c r="E1421" i="1" s="1"/>
  <c r="E1425" i="1" s="1"/>
  <c r="E1429" i="1" s="1"/>
  <c r="E1384" i="1"/>
  <c r="E1388" i="1" s="1"/>
  <c r="E1392" i="1" s="1"/>
  <c r="E1396" i="1" s="1"/>
  <c r="E1400" i="1" s="1"/>
  <c r="E1404" i="1" s="1"/>
  <c r="E1383" i="1"/>
  <c r="E1387" i="1" s="1"/>
  <c r="E1391" i="1" s="1"/>
  <c r="E1395" i="1" s="1"/>
  <c r="E1399" i="1" s="1"/>
  <c r="E1403" i="1" s="1"/>
  <c r="E1382" i="1"/>
  <c r="E1386" i="1" s="1"/>
  <c r="E1390" i="1" s="1"/>
  <c r="E1394" i="1" s="1"/>
  <c r="E1398" i="1" s="1"/>
  <c r="E1402" i="1" s="1"/>
  <c r="E1381" i="1"/>
  <c r="E1385" i="1" s="1"/>
  <c r="E1389" i="1" s="1"/>
  <c r="E1393" i="1" s="1"/>
  <c r="E1397" i="1" s="1"/>
  <c r="E1401" i="1" s="1"/>
  <c r="E1288" i="1"/>
  <c r="E1292" i="1" s="1"/>
  <c r="E1296" i="1" s="1"/>
  <c r="E1300" i="1" s="1"/>
  <c r="E1304" i="1" s="1"/>
  <c r="E1308" i="1" s="1"/>
  <c r="E1312" i="1" s="1"/>
  <c r="E1316" i="1" s="1"/>
  <c r="E1320" i="1" s="1"/>
  <c r="E1324" i="1" s="1"/>
  <c r="E1328" i="1" s="1"/>
  <c r="E1332" i="1" s="1"/>
  <c r="E1336" i="1" s="1"/>
  <c r="E1340" i="1" s="1"/>
  <c r="E1344" i="1" s="1"/>
  <c r="E1348" i="1" s="1"/>
  <c r="E1352" i="1" s="1"/>
  <c r="E1356" i="1" s="1"/>
  <c r="E1360" i="1" s="1"/>
  <c r="E1364" i="1" s="1"/>
  <c r="E1368" i="1" s="1"/>
  <c r="E1372" i="1" s="1"/>
  <c r="E1376" i="1" s="1"/>
  <c r="E1287" i="1"/>
  <c r="E1291" i="1" s="1"/>
  <c r="E1295" i="1" s="1"/>
  <c r="E1299" i="1" s="1"/>
  <c r="E1303" i="1" s="1"/>
  <c r="E1307" i="1" s="1"/>
  <c r="E1311" i="1" s="1"/>
  <c r="E1315" i="1" s="1"/>
  <c r="E1319" i="1" s="1"/>
  <c r="E1323" i="1" s="1"/>
  <c r="E1327" i="1" s="1"/>
  <c r="E1331" i="1" s="1"/>
  <c r="E1335" i="1" s="1"/>
  <c r="E1339" i="1" s="1"/>
  <c r="E1343" i="1" s="1"/>
  <c r="E1347" i="1" s="1"/>
  <c r="E1351" i="1" s="1"/>
  <c r="E1355" i="1" s="1"/>
  <c r="E1359" i="1" s="1"/>
  <c r="E1363" i="1" s="1"/>
  <c r="E1367" i="1" s="1"/>
  <c r="E1371" i="1" s="1"/>
  <c r="E1375" i="1" s="1"/>
  <c r="E1286" i="1"/>
  <c r="E1290" i="1" s="1"/>
  <c r="E1294" i="1" s="1"/>
  <c r="E1298" i="1" s="1"/>
  <c r="E1302" i="1" s="1"/>
  <c r="E1306" i="1" s="1"/>
  <c r="E1310" i="1" s="1"/>
  <c r="E1314" i="1" s="1"/>
  <c r="E1318" i="1" s="1"/>
  <c r="E1322" i="1" s="1"/>
  <c r="E1326" i="1" s="1"/>
  <c r="E1330" i="1" s="1"/>
  <c r="E1334" i="1" s="1"/>
  <c r="E1338" i="1" s="1"/>
  <c r="E1342" i="1" s="1"/>
  <c r="E1346" i="1" s="1"/>
  <c r="E1350" i="1" s="1"/>
  <c r="E1354" i="1" s="1"/>
  <c r="E1358" i="1" s="1"/>
  <c r="E1362" i="1" s="1"/>
  <c r="E1366" i="1" s="1"/>
  <c r="E1370" i="1" s="1"/>
  <c r="E1374" i="1" s="1"/>
  <c r="E1285" i="1"/>
  <c r="E1289" i="1" s="1"/>
  <c r="E1293" i="1" s="1"/>
  <c r="E1297" i="1" s="1"/>
  <c r="E1301" i="1" s="1"/>
  <c r="E1305" i="1" s="1"/>
  <c r="E1309" i="1" s="1"/>
  <c r="E1313" i="1" s="1"/>
  <c r="E1317" i="1" s="1"/>
  <c r="E1321" i="1" s="1"/>
  <c r="E1325" i="1" s="1"/>
  <c r="E1329" i="1" s="1"/>
  <c r="E1333" i="1" s="1"/>
  <c r="E1337" i="1" s="1"/>
  <c r="E1341" i="1" s="1"/>
  <c r="E1345" i="1" s="1"/>
  <c r="E1349" i="1" s="1"/>
  <c r="E1353" i="1" s="1"/>
  <c r="E1357" i="1" s="1"/>
  <c r="E1361" i="1" s="1"/>
  <c r="E1365" i="1" s="1"/>
  <c r="E1369" i="1" s="1"/>
  <c r="E1373" i="1" s="1"/>
  <c r="E1180" i="1"/>
  <c r="E1184" i="1" s="1"/>
  <c r="E1188" i="1" s="1"/>
  <c r="E1192" i="1" s="1"/>
  <c r="E1196" i="1" s="1"/>
  <c r="E1200" i="1" s="1"/>
  <c r="E1204" i="1" s="1"/>
  <c r="E1208" i="1" s="1"/>
  <c r="E1212" i="1" s="1"/>
  <c r="E1216" i="1" s="1"/>
  <c r="E1220" i="1" s="1"/>
  <c r="E1224" i="1" s="1"/>
  <c r="E1228" i="1" s="1"/>
  <c r="E1232" i="1" s="1"/>
  <c r="E1236" i="1" s="1"/>
  <c r="E1240" i="1" s="1"/>
  <c r="E1244" i="1" s="1"/>
  <c r="E1248" i="1" s="1"/>
  <c r="E1252" i="1" s="1"/>
  <c r="E1256" i="1" s="1"/>
  <c r="E1260" i="1" s="1"/>
  <c r="E1264" i="1" s="1"/>
  <c r="E1268" i="1" s="1"/>
  <c r="E1272" i="1" s="1"/>
  <c r="E1276" i="1" s="1"/>
  <c r="E1280" i="1" s="1"/>
  <c r="E1179" i="1"/>
  <c r="E1183" i="1" s="1"/>
  <c r="E1187" i="1" s="1"/>
  <c r="E1191" i="1" s="1"/>
  <c r="E1195" i="1" s="1"/>
  <c r="E1199" i="1" s="1"/>
  <c r="E1203" i="1" s="1"/>
  <c r="E1207" i="1" s="1"/>
  <c r="E1211" i="1" s="1"/>
  <c r="E1215" i="1" s="1"/>
  <c r="E1219" i="1" s="1"/>
  <c r="E1223" i="1" s="1"/>
  <c r="E1227" i="1" s="1"/>
  <c r="E1231" i="1" s="1"/>
  <c r="E1235" i="1" s="1"/>
  <c r="E1239" i="1" s="1"/>
  <c r="E1243" i="1" s="1"/>
  <c r="E1247" i="1" s="1"/>
  <c r="E1251" i="1" s="1"/>
  <c r="E1255" i="1" s="1"/>
  <c r="E1259" i="1" s="1"/>
  <c r="E1263" i="1" s="1"/>
  <c r="E1267" i="1" s="1"/>
  <c r="E1271" i="1" s="1"/>
  <c r="E1275" i="1" s="1"/>
  <c r="E1279" i="1" s="1"/>
  <c r="E1178" i="1"/>
  <c r="E1182" i="1" s="1"/>
  <c r="E1186" i="1" s="1"/>
  <c r="E1190" i="1" s="1"/>
  <c r="E1194" i="1" s="1"/>
  <c r="E1198" i="1" s="1"/>
  <c r="E1202" i="1" s="1"/>
  <c r="E1206" i="1" s="1"/>
  <c r="E1210" i="1" s="1"/>
  <c r="E1214" i="1" s="1"/>
  <c r="E1218" i="1" s="1"/>
  <c r="E1222" i="1" s="1"/>
  <c r="E1226" i="1" s="1"/>
  <c r="E1230" i="1" s="1"/>
  <c r="E1234" i="1" s="1"/>
  <c r="E1238" i="1" s="1"/>
  <c r="E1242" i="1" s="1"/>
  <c r="E1246" i="1" s="1"/>
  <c r="E1250" i="1" s="1"/>
  <c r="E1254" i="1" s="1"/>
  <c r="E1258" i="1" s="1"/>
  <c r="E1262" i="1" s="1"/>
  <c r="E1266" i="1" s="1"/>
  <c r="E1270" i="1" s="1"/>
  <c r="E1274" i="1" s="1"/>
  <c r="E1278" i="1" s="1"/>
  <c r="E1177" i="1"/>
  <c r="E1181" i="1" s="1"/>
  <c r="E1185" i="1" s="1"/>
  <c r="E1189" i="1" s="1"/>
  <c r="E1193" i="1" s="1"/>
  <c r="E1197" i="1" s="1"/>
  <c r="E1201" i="1" s="1"/>
  <c r="E1205" i="1" s="1"/>
  <c r="E1209" i="1" s="1"/>
  <c r="E1213" i="1" s="1"/>
  <c r="E1217" i="1" s="1"/>
  <c r="E1221" i="1" s="1"/>
  <c r="E1225" i="1" s="1"/>
  <c r="E1229" i="1" s="1"/>
  <c r="E1233" i="1" s="1"/>
  <c r="E1237" i="1" s="1"/>
  <c r="E1241" i="1" s="1"/>
  <c r="E1245" i="1" s="1"/>
  <c r="E1249" i="1" s="1"/>
  <c r="E1253" i="1" s="1"/>
  <c r="E1257" i="1" s="1"/>
  <c r="E1261" i="1" s="1"/>
  <c r="E1265" i="1" s="1"/>
  <c r="E1269" i="1" s="1"/>
  <c r="E1273" i="1" s="1"/>
  <c r="E1277" i="1" s="1"/>
  <c r="E1120" i="1"/>
  <c r="E1124" i="1" s="1"/>
  <c r="E1128" i="1" s="1"/>
  <c r="E1132" i="1" s="1"/>
  <c r="E1136" i="1" s="1"/>
  <c r="E1140" i="1" s="1"/>
  <c r="E1144" i="1" s="1"/>
  <c r="E1148" i="1" s="1"/>
  <c r="E1152" i="1" s="1"/>
  <c r="E1156" i="1" s="1"/>
  <c r="E1160" i="1" s="1"/>
  <c r="E1164" i="1" s="1"/>
  <c r="E1168" i="1" s="1"/>
  <c r="E1172" i="1" s="1"/>
  <c r="E1119" i="1"/>
  <c r="E1123" i="1" s="1"/>
  <c r="E1127" i="1" s="1"/>
  <c r="E1131" i="1" s="1"/>
  <c r="E1135" i="1" s="1"/>
  <c r="E1139" i="1" s="1"/>
  <c r="E1143" i="1" s="1"/>
  <c r="E1147" i="1" s="1"/>
  <c r="E1151" i="1" s="1"/>
  <c r="E1155" i="1" s="1"/>
  <c r="E1159" i="1" s="1"/>
  <c r="E1163" i="1" s="1"/>
  <c r="E1167" i="1" s="1"/>
  <c r="E1171" i="1" s="1"/>
  <c r="E1118" i="1"/>
  <c r="E1122" i="1" s="1"/>
  <c r="E1126" i="1" s="1"/>
  <c r="E1130" i="1" s="1"/>
  <c r="E1134" i="1" s="1"/>
  <c r="E1138" i="1" s="1"/>
  <c r="E1142" i="1" s="1"/>
  <c r="E1146" i="1" s="1"/>
  <c r="E1150" i="1" s="1"/>
  <c r="E1154" i="1" s="1"/>
  <c r="E1158" i="1" s="1"/>
  <c r="E1162" i="1" s="1"/>
  <c r="E1166" i="1" s="1"/>
  <c r="E1170" i="1" s="1"/>
  <c r="E1117" i="1"/>
  <c r="E1121" i="1" s="1"/>
  <c r="E1125" i="1" s="1"/>
  <c r="E1129" i="1" s="1"/>
  <c r="E1133" i="1" s="1"/>
  <c r="E1137" i="1" s="1"/>
  <c r="E1141" i="1" s="1"/>
  <c r="E1145" i="1" s="1"/>
  <c r="E1149" i="1" s="1"/>
  <c r="E1153" i="1" s="1"/>
  <c r="E1157" i="1" s="1"/>
  <c r="E1161" i="1" s="1"/>
  <c r="E1165" i="1" s="1"/>
  <c r="E1169" i="1" s="1"/>
  <c r="E1044" i="1"/>
  <c r="E1048" i="1" s="1"/>
  <c r="E1052" i="1" s="1"/>
  <c r="E1056" i="1" s="1"/>
  <c r="E1060" i="1" s="1"/>
  <c r="E1064" i="1" s="1"/>
  <c r="E1068" i="1" s="1"/>
  <c r="E1072" i="1" s="1"/>
  <c r="E1076" i="1" s="1"/>
  <c r="E1080" i="1" s="1"/>
  <c r="E1084" i="1" s="1"/>
  <c r="E1088" i="1" s="1"/>
  <c r="E1092" i="1" s="1"/>
  <c r="E1096" i="1" s="1"/>
  <c r="E1100" i="1" s="1"/>
  <c r="E1104" i="1" s="1"/>
  <c r="E1108" i="1" s="1"/>
  <c r="E1112" i="1" s="1"/>
  <c r="E1043" i="1"/>
  <c r="E1047" i="1" s="1"/>
  <c r="E1051" i="1" s="1"/>
  <c r="E1055" i="1" s="1"/>
  <c r="E1059" i="1" s="1"/>
  <c r="E1063" i="1" s="1"/>
  <c r="E1067" i="1" s="1"/>
  <c r="E1071" i="1" s="1"/>
  <c r="E1075" i="1" s="1"/>
  <c r="E1079" i="1" s="1"/>
  <c r="E1083" i="1" s="1"/>
  <c r="E1087" i="1" s="1"/>
  <c r="E1091" i="1" s="1"/>
  <c r="E1095" i="1" s="1"/>
  <c r="E1099" i="1" s="1"/>
  <c r="E1103" i="1" s="1"/>
  <c r="E1107" i="1" s="1"/>
  <c r="E1111" i="1" s="1"/>
  <c r="E1042" i="1"/>
  <c r="E1046" i="1" s="1"/>
  <c r="E1050" i="1" s="1"/>
  <c r="E1054" i="1" s="1"/>
  <c r="E1058" i="1" s="1"/>
  <c r="E1062" i="1" s="1"/>
  <c r="E1066" i="1" s="1"/>
  <c r="E1070" i="1" s="1"/>
  <c r="E1074" i="1" s="1"/>
  <c r="E1078" i="1" s="1"/>
  <c r="E1082" i="1" s="1"/>
  <c r="E1086" i="1" s="1"/>
  <c r="E1090" i="1" s="1"/>
  <c r="E1094" i="1" s="1"/>
  <c r="E1098" i="1" s="1"/>
  <c r="E1102" i="1" s="1"/>
  <c r="E1106" i="1" s="1"/>
  <c r="E1110" i="1" s="1"/>
  <c r="E1041" i="1"/>
  <c r="E1045" i="1" s="1"/>
  <c r="E1049" i="1" s="1"/>
  <c r="E1053" i="1" s="1"/>
  <c r="E1057" i="1" s="1"/>
  <c r="E1061" i="1" s="1"/>
  <c r="E1065" i="1" s="1"/>
  <c r="E1069" i="1" s="1"/>
  <c r="E1073" i="1" s="1"/>
  <c r="E1077" i="1" s="1"/>
  <c r="E1081" i="1" s="1"/>
  <c r="E1085" i="1" s="1"/>
  <c r="E1089" i="1" s="1"/>
  <c r="E1093" i="1" s="1"/>
  <c r="E1097" i="1" s="1"/>
  <c r="E1101" i="1" s="1"/>
  <c r="E1105" i="1" s="1"/>
  <c r="E1109" i="1" s="1"/>
  <c r="E896" i="1"/>
  <c r="E900" i="1" s="1"/>
  <c r="E904" i="1" s="1"/>
  <c r="E908" i="1" s="1"/>
  <c r="E912" i="1" s="1"/>
  <c r="E916" i="1" s="1"/>
  <c r="E920" i="1" s="1"/>
  <c r="E924" i="1" s="1"/>
  <c r="E928" i="1" s="1"/>
  <c r="E932" i="1" s="1"/>
  <c r="E936" i="1" s="1"/>
  <c r="E940" i="1" s="1"/>
  <c r="E944" i="1" s="1"/>
  <c r="E948" i="1" s="1"/>
  <c r="E952" i="1" s="1"/>
  <c r="E956" i="1" s="1"/>
  <c r="E960" i="1" s="1"/>
  <c r="E964" i="1" s="1"/>
  <c r="E968" i="1" s="1"/>
  <c r="E972" i="1" s="1"/>
  <c r="E976" i="1" s="1"/>
  <c r="E980" i="1" s="1"/>
  <c r="E984" i="1" s="1"/>
  <c r="E988" i="1" s="1"/>
  <c r="E992" i="1" s="1"/>
  <c r="E996" i="1" s="1"/>
  <c r="E1000" i="1" s="1"/>
  <c r="E1004" i="1" s="1"/>
  <c r="E1008" i="1" s="1"/>
  <c r="E1012" i="1" s="1"/>
  <c r="E1016" i="1" s="1"/>
  <c r="E1020" i="1" s="1"/>
  <c r="E1024" i="1" s="1"/>
  <c r="E1028" i="1" s="1"/>
  <c r="E1032" i="1" s="1"/>
  <c r="E1036" i="1" s="1"/>
  <c r="E895" i="1"/>
  <c r="E899" i="1" s="1"/>
  <c r="E903" i="1" s="1"/>
  <c r="E907" i="1" s="1"/>
  <c r="E911" i="1" s="1"/>
  <c r="E915" i="1" s="1"/>
  <c r="E919" i="1" s="1"/>
  <c r="E923" i="1" s="1"/>
  <c r="E927" i="1" s="1"/>
  <c r="E931" i="1" s="1"/>
  <c r="E935" i="1" s="1"/>
  <c r="E939" i="1" s="1"/>
  <c r="E943" i="1" s="1"/>
  <c r="E947" i="1" s="1"/>
  <c r="E951" i="1" s="1"/>
  <c r="E955" i="1" s="1"/>
  <c r="E959" i="1" s="1"/>
  <c r="E963" i="1" s="1"/>
  <c r="E967" i="1" s="1"/>
  <c r="E971" i="1" s="1"/>
  <c r="E975" i="1" s="1"/>
  <c r="E979" i="1" s="1"/>
  <c r="E983" i="1" s="1"/>
  <c r="E987" i="1" s="1"/>
  <c r="E991" i="1" s="1"/>
  <c r="E995" i="1" s="1"/>
  <c r="E999" i="1" s="1"/>
  <c r="E1003" i="1" s="1"/>
  <c r="E1007" i="1" s="1"/>
  <c r="E1011" i="1" s="1"/>
  <c r="E1015" i="1" s="1"/>
  <c r="E1019" i="1" s="1"/>
  <c r="E1023" i="1" s="1"/>
  <c r="E1027" i="1" s="1"/>
  <c r="E1031" i="1" s="1"/>
  <c r="E1035" i="1" s="1"/>
  <c r="E894" i="1"/>
  <c r="E898" i="1" s="1"/>
  <c r="E902" i="1" s="1"/>
  <c r="E906" i="1" s="1"/>
  <c r="E910" i="1" s="1"/>
  <c r="E914" i="1" s="1"/>
  <c r="E918" i="1" s="1"/>
  <c r="E922" i="1" s="1"/>
  <c r="E926" i="1" s="1"/>
  <c r="E930" i="1" s="1"/>
  <c r="E934" i="1" s="1"/>
  <c r="E938" i="1" s="1"/>
  <c r="E942" i="1" s="1"/>
  <c r="E946" i="1" s="1"/>
  <c r="E950" i="1" s="1"/>
  <c r="E954" i="1" s="1"/>
  <c r="E958" i="1" s="1"/>
  <c r="E962" i="1" s="1"/>
  <c r="E966" i="1" s="1"/>
  <c r="E970" i="1" s="1"/>
  <c r="E974" i="1" s="1"/>
  <c r="E978" i="1" s="1"/>
  <c r="E982" i="1" s="1"/>
  <c r="E986" i="1" s="1"/>
  <c r="E990" i="1" s="1"/>
  <c r="E994" i="1" s="1"/>
  <c r="E998" i="1" s="1"/>
  <c r="E1002" i="1" s="1"/>
  <c r="E1006" i="1" s="1"/>
  <c r="E1010" i="1" s="1"/>
  <c r="E1014" i="1" s="1"/>
  <c r="E1018" i="1" s="1"/>
  <c r="E1022" i="1" s="1"/>
  <c r="E1026" i="1" s="1"/>
  <c r="E1030" i="1" s="1"/>
  <c r="E1034" i="1" s="1"/>
  <c r="E893" i="1"/>
  <c r="E897" i="1" s="1"/>
  <c r="E901" i="1" s="1"/>
  <c r="E905" i="1" s="1"/>
  <c r="E909" i="1" s="1"/>
  <c r="E913" i="1" s="1"/>
  <c r="E917" i="1" s="1"/>
  <c r="E921" i="1" s="1"/>
  <c r="E925" i="1" s="1"/>
  <c r="E929" i="1" s="1"/>
  <c r="E933" i="1" s="1"/>
  <c r="E937" i="1" s="1"/>
  <c r="E941" i="1" s="1"/>
  <c r="E945" i="1" s="1"/>
  <c r="E949" i="1" s="1"/>
  <c r="E953" i="1" s="1"/>
  <c r="E957" i="1" s="1"/>
  <c r="E961" i="1" s="1"/>
  <c r="E965" i="1" s="1"/>
  <c r="E969" i="1" s="1"/>
  <c r="E973" i="1" s="1"/>
  <c r="E977" i="1" s="1"/>
  <c r="E981" i="1" s="1"/>
  <c r="E985" i="1" s="1"/>
  <c r="E989" i="1" s="1"/>
  <c r="E993" i="1" s="1"/>
  <c r="E997" i="1" s="1"/>
  <c r="E1001" i="1" s="1"/>
  <c r="E1005" i="1" s="1"/>
  <c r="E1009" i="1" s="1"/>
  <c r="E1013" i="1" s="1"/>
  <c r="E1017" i="1" s="1"/>
  <c r="E1021" i="1" s="1"/>
  <c r="E1025" i="1" s="1"/>
  <c r="E1029" i="1" s="1"/>
  <c r="E1033" i="1" s="1"/>
  <c r="E836" i="1"/>
  <c r="E840" i="1" s="1"/>
  <c r="E844" i="1" s="1"/>
  <c r="E848" i="1" s="1"/>
  <c r="E852" i="1" s="1"/>
  <c r="E856" i="1" s="1"/>
  <c r="E860" i="1" s="1"/>
  <c r="E864" i="1" s="1"/>
  <c r="E868" i="1" s="1"/>
  <c r="E872" i="1" s="1"/>
  <c r="E876" i="1" s="1"/>
  <c r="E880" i="1" s="1"/>
  <c r="E884" i="1" s="1"/>
  <c r="E888" i="1" s="1"/>
  <c r="E835" i="1"/>
  <c r="E839" i="1" s="1"/>
  <c r="E843" i="1" s="1"/>
  <c r="E847" i="1" s="1"/>
  <c r="E851" i="1" s="1"/>
  <c r="E855" i="1" s="1"/>
  <c r="E859" i="1" s="1"/>
  <c r="E863" i="1" s="1"/>
  <c r="E867" i="1" s="1"/>
  <c r="E871" i="1" s="1"/>
  <c r="E875" i="1" s="1"/>
  <c r="E879" i="1" s="1"/>
  <c r="E883" i="1" s="1"/>
  <c r="E887" i="1" s="1"/>
  <c r="E834" i="1"/>
  <c r="E838" i="1" s="1"/>
  <c r="E842" i="1" s="1"/>
  <c r="E846" i="1" s="1"/>
  <c r="E850" i="1" s="1"/>
  <c r="E854" i="1" s="1"/>
  <c r="E858" i="1" s="1"/>
  <c r="E862" i="1" s="1"/>
  <c r="E866" i="1" s="1"/>
  <c r="E870" i="1" s="1"/>
  <c r="E874" i="1" s="1"/>
  <c r="E878" i="1" s="1"/>
  <c r="E882" i="1" s="1"/>
  <c r="E886" i="1" s="1"/>
  <c r="E833" i="1"/>
  <c r="E837" i="1" s="1"/>
  <c r="E841" i="1" s="1"/>
  <c r="E845" i="1" s="1"/>
  <c r="E849" i="1" s="1"/>
  <c r="E853" i="1" s="1"/>
  <c r="E857" i="1" s="1"/>
  <c r="E861" i="1" s="1"/>
  <c r="E865" i="1" s="1"/>
  <c r="E869" i="1" s="1"/>
  <c r="E873" i="1" s="1"/>
  <c r="E877" i="1" s="1"/>
  <c r="E881" i="1" s="1"/>
  <c r="E885" i="1" s="1"/>
  <c r="E792" i="1"/>
  <c r="E796" i="1" s="1"/>
  <c r="E800" i="1" s="1"/>
  <c r="E804" i="1" s="1"/>
  <c r="E808" i="1" s="1"/>
  <c r="E812" i="1" s="1"/>
  <c r="E816" i="1" s="1"/>
  <c r="E820" i="1" s="1"/>
  <c r="E824" i="1" s="1"/>
  <c r="E828" i="1" s="1"/>
  <c r="E791" i="1"/>
  <c r="E795" i="1" s="1"/>
  <c r="E799" i="1" s="1"/>
  <c r="E803" i="1" s="1"/>
  <c r="E807" i="1" s="1"/>
  <c r="E811" i="1" s="1"/>
  <c r="E815" i="1" s="1"/>
  <c r="E819" i="1" s="1"/>
  <c r="E823" i="1" s="1"/>
  <c r="E827" i="1" s="1"/>
  <c r="E790" i="1"/>
  <c r="E794" i="1" s="1"/>
  <c r="E798" i="1" s="1"/>
  <c r="E802" i="1" s="1"/>
  <c r="E806" i="1" s="1"/>
  <c r="E810" i="1" s="1"/>
  <c r="E814" i="1" s="1"/>
  <c r="E818" i="1" s="1"/>
  <c r="E822" i="1" s="1"/>
  <c r="E826" i="1" s="1"/>
  <c r="E789" i="1"/>
  <c r="E793" i="1" s="1"/>
  <c r="E797" i="1" s="1"/>
  <c r="E801" i="1" s="1"/>
  <c r="E805" i="1" s="1"/>
  <c r="E809" i="1" s="1"/>
  <c r="E813" i="1" s="1"/>
  <c r="E817" i="1" s="1"/>
  <c r="E821" i="1" s="1"/>
  <c r="E825" i="1" s="1"/>
  <c r="C692" i="1"/>
  <c r="C696" i="1" s="1"/>
  <c r="D696" i="1" s="1"/>
  <c r="C691" i="1"/>
  <c r="C695" i="1" s="1"/>
  <c r="D695" i="1" s="1"/>
  <c r="E690" i="1"/>
  <c r="E694" i="1" s="1"/>
  <c r="E698" i="1" s="1"/>
  <c r="E702" i="1" s="1"/>
  <c r="E706" i="1" s="1"/>
  <c r="E710" i="1" s="1"/>
  <c r="E714" i="1" s="1"/>
  <c r="E718" i="1" s="1"/>
  <c r="E722" i="1" s="1"/>
  <c r="E726" i="1" s="1"/>
  <c r="E730" i="1" s="1"/>
  <c r="E734" i="1" s="1"/>
  <c r="E738" i="1" s="1"/>
  <c r="E742" i="1" s="1"/>
  <c r="E746" i="1" s="1"/>
  <c r="E750" i="1" s="1"/>
  <c r="E754" i="1" s="1"/>
  <c r="E758" i="1" s="1"/>
  <c r="E762" i="1" s="1"/>
  <c r="E766" i="1" s="1"/>
  <c r="E770" i="1" s="1"/>
  <c r="E774" i="1" s="1"/>
  <c r="E778" i="1" s="1"/>
  <c r="E782" i="1" s="1"/>
  <c r="C690" i="1"/>
  <c r="D690" i="1" s="1"/>
  <c r="E689" i="1"/>
  <c r="E693" i="1" s="1"/>
  <c r="E697" i="1" s="1"/>
  <c r="E701" i="1" s="1"/>
  <c r="E705" i="1" s="1"/>
  <c r="E709" i="1" s="1"/>
  <c r="E713" i="1" s="1"/>
  <c r="E717" i="1" s="1"/>
  <c r="E721" i="1" s="1"/>
  <c r="E725" i="1" s="1"/>
  <c r="E729" i="1" s="1"/>
  <c r="E733" i="1" s="1"/>
  <c r="E737" i="1" s="1"/>
  <c r="E741" i="1" s="1"/>
  <c r="E745" i="1" s="1"/>
  <c r="E749" i="1" s="1"/>
  <c r="E753" i="1" s="1"/>
  <c r="E757" i="1" s="1"/>
  <c r="E761" i="1" s="1"/>
  <c r="E765" i="1" s="1"/>
  <c r="E769" i="1" s="1"/>
  <c r="E773" i="1" s="1"/>
  <c r="E777" i="1" s="1"/>
  <c r="E781" i="1" s="1"/>
  <c r="C689" i="1"/>
  <c r="D689" i="1" s="1"/>
  <c r="D688" i="1"/>
  <c r="E687" i="1"/>
  <c r="E691" i="1" s="1"/>
  <c r="E695" i="1" s="1"/>
  <c r="E699" i="1" s="1"/>
  <c r="E703" i="1" s="1"/>
  <c r="E707" i="1" s="1"/>
  <c r="E711" i="1" s="1"/>
  <c r="E715" i="1" s="1"/>
  <c r="E719" i="1" s="1"/>
  <c r="E723" i="1" s="1"/>
  <c r="E727" i="1" s="1"/>
  <c r="E731" i="1" s="1"/>
  <c r="E735" i="1" s="1"/>
  <c r="E739" i="1" s="1"/>
  <c r="E743" i="1" s="1"/>
  <c r="E747" i="1" s="1"/>
  <c r="E751" i="1" s="1"/>
  <c r="E755" i="1" s="1"/>
  <c r="E759" i="1" s="1"/>
  <c r="E763" i="1" s="1"/>
  <c r="E767" i="1" s="1"/>
  <c r="E771" i="1" s="1"/>
  <c r="E775" i="1" s="1"/>
  <c r="E779" i="1" s="1"/>
  <c r="E783" i="1" s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E592" i="1"/>
  <c r="E594" i="1" s="1"/>
  <c r="E596" i="1" s="1"/>
  <c r="E598" i="1" s="1"/>
  <c r="E600" i="1" s="1"/>
  <c r="E602" i="1" s="1"/>
  <c r="E604" i="1" s="1"/>
  <c r="E606" i="1" s="1"/>
  <c r="E608" i="1" s="1"/>
  <c r="E610" i="1" s="1"/>
  <c r="E612" i="1" s="1"/>
  <c r="E614" i="1" s="1"/>
  <c r="E616" i="1" s="1"/>
  <c r="E618" i="1" s="1"/>
  <c r="E620" i="1" s="1"/>
  <c r="E622" i="1" s="1"/>
  <c r="E624" i="1" s="1"/>
  <c r="E626" i="1" s="1"/>
  <c r="E628" i="1" s="1"/>
  <c r="E630" i="1" s="1"/>
  <c r="E591" i="1"/>
  <c r="E593" i="1" s="1"/>
  <c r="E595" i="1" s="1"/>
  <c r="E597" i="1" s="1"/>
  <c r="E599" i="1" s="1"/>
  <c r="E601" i="1" s="1"/>
  <c r="E603" i="1" s="1"/>
  <c r="E605" i="1" s="1"/>
  <c r="E607" i="1" s="1"/>
  <c r="E609" i="1" s="1"/>
  <c r="E611" i="1" s="1"/>
  <c r="E613" i="1" s="1"/>
  <c r="E615" i="1" s="1"/>
  <c r="E617" i="1" s="1"/>
  <c r="E619" i="1" s="1"/>
  <c r="E621" i="1" s="1"/>
  <c r="E623" i="1" s="1"/>
  <c r="E625" i="1" s="1"/>
  <c r="E627" i="1" s="1"/>
  <c r="E629" i="1" s="1"/>
  <c r="C591" i="1"/>
  <c r="D591" i="1" s="1"/>
  <c r="D589" i="1"/>
  <c r="E550" i="1"/>
  <c r="E552" i="1" s="1"/>
  <c r="E554" i="1" s="1"/>
  <c r="E556" i="1" s="1"/>
  <c r="E558" i="1" s="1"/>
  <c r="E560" i="1" s="1"/>
  <c r="E562" i="1" s="1"/>
  <c r="E564" i="1" s="1"/>
  <c r="E566" i="1" s="1"/>
  <c r="E568" i="1" s="1"/>
  <c r="E570" i="1" s="1"/>
  <c r="E572" i="1" s="1"/>
  <c r="E574" i="1" s="1"/>
  <c r="E576" i="1" s="1"/>
  <c r="E578" i="1" s="1"/>
  <c r="E580" i="1" s="1"/>
  <c r="E582" i="1" s="1"/>
  <c r="E584" i="1" s="1"/>
  <c r="E586" i="1" s="1"/>
  <c r="E588" i="1" s="1"/>
  <c r="C550" i="1"/>
  <c r="D550" i="1" s="1"/>
  <c r="E549" i="1"/>
  <c r="E551" i="1" s="1"/>
  <c r="E553" i="1" s="1"/>
  <c r="E555" i="1" s="1"/>
  <c r="E557" i="1" s="1"/>
  <c r="E559" i="1" s="1"/>
  <c r="E561" i="1" s="1"/>
  <c r="E563" i="1" s="1"/>
  <c r="E565" i="1" s="1"/>
  <c r="E567" i="1" s="1"/>
  <c r="E569" i="1" s="1"/>
  <c r="E571" i="1" s="1"/>
  <c r="E573" i="1" s="1"/>
  <c r="E575" i="1" s="1"/>
  <c r="E577" i="1" s="1"/>
  <c r="E579" i="1" s="1"/>
  <c r="E581" i="1" s="1"/>
  <c r="E583" i="1" s="1"/>
  <c r="E585" i="1" s="1"/>
  <c r="E587" i="1" s="1"/>
  <c r="C549" i="1"/>
  <c r="D549" i="1" s="1"/>
  <c r="A549" i="1"/>
  <c r="A551" i="1" s="1"/>
  <c r="A553" i="1" s="1"/>
  <c r="A555" i="1" s="1"/>
  <c r="A557" i="1" s="1"/>
  <c r="A559" i="1" s="1"/>
  <c r="A561" i="1" s="1"/>
  <c r="A563" i="1" s="1"/>
  <c r="A565" i="1" s="1"/>
  <c r="A567" i="1" s="1"/>
  <c r="A569" i="1" s="1"/>
  <c r="A571" i="1" s="1"/>
  <c r="A573" i="1" s="1"/>
  <c r="A575" i="1" s="1"/>
  <c r="A577" i="1" s="1"/>
  <c r="A579" i="1" s="1"/>
  <c r="A581" i="1" s="1"/>
  <c r="A583" i="1" s="1"/>
  <c r="A585" i="1" s="1"/>
  <c r="A587" i="1" s="1"/>
  <c r="A589" i="1" s="1"/>
  <c r="A591" i="1" s="1"/>
  <c r="A593" i="1" s="1"/>
  <c r="A595" i="1" s="1"/>
  <c r="A597" i="1" s="1"/>
  <c r="A599" i="1" s="1"/>
  <c r="A601" i="1" s="1"/>
  <c r="A603" i="1" s="1"/>
  <c r="A605" i="1" s="1"/>
  <c r="A607" i="1" s="1"/>
  <c r="A609" i="1" s="1"/>
  <c r="A611" i="1" s="1"/>
  <c r="A613" i="1" s="1"/>
  <c r="A615" i="1" s="1"/>
  <c r="A617" i="1" s="1"/>
  <c r="A619" i="1" s="1"/>
  <c r="A621" i="1" s="1"/>
  <c r="A623" i="1" s="1"/>
  <c r="A625" i="1" s="1"/>
  <c r="A627" i="1" s="1"/>
  <c r="A629" i="1" s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E355" i="1"/>
  <c r="E358" i="1" s="1"/>
  <c r="E354" i="1"/>
  <c r="E357" i="1" s="1"/>
  <c r="E353" i="1"/>
  <c r="E359" i="1" s="1"/>
  <c r="E365" i="1" s="1"/>
  <c r="E352" i="1"/>
  <c r="C352" i="1"/>
  <c r="C355" i="1" s="1"/>
  <c r="C358" i="1" s="1"/>
  <c r="E351" i="1"/>
  <c r="C351" i="1"/>
  <c r="D351" i="1" s="1"/>
  <c r="E350" i="1"/>
  <c r="C350" i="1"/>
  <c r="D350" i="1" s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E254" i="1"/>
  <c r="E269" i="1" s="1"/>
  <c r="E284" i="1" s="1"/>
  <c r="E299" i="1" s="1"/>
  <c r="D254" i="1"/>
  <c r="E253" i="1"/>
  <c r="E268" i="1" s="1"/>
  <c r="E283" i="1" s="1"/>
  <c r="E298" i="1" s="1"/>
  <c r="D253" i="1"/>
  <c r="E252" i="1"/>
  <c r="E267" i="1" s="1"/>
  <c r="E282" i="1" s="1"/>
  <c r="E297" i="1" s="1"/>
  <c r="D252" i="1"/>
  <c r="E251" i="1"/>
  <c r="E266" i="1" s="1"/>
  <c r="E281" i="1" s="1"/>
  <c r="E296" i="1" s="1"/>
  <c r="D251" i="1"/>
  <c r="E250" i="1"/>
  <c r="E265" i="1" s="1"/>
  <c r="E280" i="1" s="1"/>
  <c r="E295" i="1" s="1"/>
  <c r="D250" i="1"/>
  <c r="E249" i="1"/>
  <c r="E264" i="1" s="1"/>
  <c r="E279" i="1" s="1"/>
  <c r="E294" i="1" s="1"/>
  <c r="D249" i="1"/>
  <c r="E248" i="1"/>
  <c r="E263" i="1" s="1"/>
  <c r="E278" i="1" s="1"/>
  <c r="E293" i="1" s="1"/>
  <c r="D248" i="1"/>
  <c r="E247" i="1"/>
  <c r="E262" i="1" s="1"/>
  <c r="E277" i="1" s="1"/>
  <c r="E292" i="1" s="1"/>
  <c r="D247" i="1"/>
  <c r="E246" i="1"/>
  <c r="E261" i="1" s="1"/>
  <c r="E276" i="1" s="1"/>
  <c r="E291" i="1" s="1"/>
  <c r="D246" i="1"/>
  <c r="E245" i="1"/>
  <c r="E260" i="1" s="1"/>
  <c r="E275" i="1" s="1"/>
  <c r="E290" i="1" s="1"/>
  <c r="D245" i="1"/>
  <c r="E244" i="1"/>
  <c r="E259" i="1" s="1"/>
  <c r="E274" i="1" s="1"/>
  <c r="E289" i="1" s="1"/>
  <c r="D244" i="1"/>
  <c r="E243" i="1"/>
  <c r="E258" i="1" s="1"/>
  <c r="E273" i="1" s="1"/>
  <c r="E288" i="1" s="1"/>
  <c r="D243" i="1"/>
  <c r="E242" i="1"/>
  <c r="E257" i="1" s="1"/>
  <c r="E272" i="1" s="1"/>
  <c r="E287" i="1" s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C114" i="1"/>
  <c r="D114" i="1" s="1"/>
  <c r="C113" i="1"/>
  <c r="D113" i="1" s="1"/>
  <c r="C112" i="1"/>
  <c r="D112" i="1" s="1"/>
  <c r="C111" i="1"/>
  <c r="C115" i="1" s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700" i="1" l="1"/>
  <c r="C704" i="1" s="1"/>
  <c r="D704" i="1" s="1"/>
  <c r="C551" i="1"/>
  <c r="C553" i="1" s="1"/>
  <c r="C555" i="1" s="1"/>
  <c r="D555" i="1" s="1"/>
  <c r="D692" i="1"/>
  <c r="C353" i="1"/>
  <c r="C356" i="1" s="1"/>
  <c r="C359" i="1" s="1"/>
  <c r="C699" i="1"/>
  <c r="C703" i="1" s="1"/>
  <c r="D703" i="1" s="1"/>
  <c r="E360" i="1"/>
  <c r="E361" i="1"/>
  <c r="D352" i="1"/>
  <c r="E688" i="1"/>
  <c r="E692" i="1" s="1"/>
  <c r="E696" i="1" s="1"/>
  <c r="E700" i="1" s="1"/>
  <c r="E704" i="1" s="1"/>
  <c r="E708" i="1" s="1"/>
  <c r="E712" i="1" s="1"/>
  <c r="E716" i="1" s="1"/>
  <c r="E720" i="1" s="1"/>
  <c r="E724" i="1" s="1"/>
  <c r="E728" i="1" s="1"/>
  <c r="E732" i="1" s="1"/>
  <c r="E736" i="1" s="1"/>
  <c r="E740" i="1" s="1"/>
  <c r="E744" i="1" s="1"/>
  <c r="E748" i="1" s="1"/>
  <c r="E752" i="1" s="1"/>
  <c r="E756" i="1" s="1"/>
  <c r="E760" i="1" s="1"/>
  <c r="E764" i="1" s="1"/>
  <c r="E768" i="1" s="1"/>
  <c r="E772" i="1" s="1"/>
  <c r="E776" i="1" s="1"/>
  <c r="E780" i="1" s="1"/>
  <c r="E784" i="1" s="1"/>
  <c r="C354" i="1"/>
  <c r="D691" i="1"/>
  <c r="E356" i="1"/>
  <c r="C119" i="1"/>
  <c r="D115" i="1"/>
  <c r="D111" i="1"/>
  <c r="E371" i="1"/>
  <c r="E368" i="1"/>
  <c r="C116" i="1"/>
  <c r="C117" i="1"/>
  <c r="C361" i="1"/>
  <c r="D358" i="1"/>
  <c r="C118" i="1"/>
  <c r="D356" i="1"/>
  <c r="D353" i="1"/>
  <c r="C694" i="1"/>
  <c r="C552" i="1"/>
  <c r="C557" i="1"/>
  <c r="E362" i="1"/>
  <c r="C593" i="1"/>
  <c r="D355" i="1"/>
  <c r="C693" i="1"/>
  <c r="B2518" i="1"/>
  <c r="A2524" i="1"/>
  <c r="C707" i="1" l="1"/>
  <c r="D707" i="1" s="1"/>
  <c r="D699" i="1"/>
  <c r="D553" i="1"/>
  <c r="D551" i="1"/>
  <c r="C708" i="1"/>
  <c r="C712" i="1" s="1"/>
  <c r="C716" i="1" s="1"/>
  <c r="C720" i="1" s="1"/>
  <c r="C724" i="1" s="1"/>
  <c r="D700" i="1"/>
  <c r="E367" i="1"/>
  <c r="E364" i="1"/>
  <c r="E366" i="1"/>
  <c r="E363" i="1"/>
  <c r="C357" i="1"/>
  <c r="D354" i="1"/>
  <c r="C554" i="1"/>
  <c r="D552" i="1"/>
  <c r="A2530" i="1"/>
  <c r="B2524" i="1"/>
  <c r="C698" i="1"/>
  <c r="D694" i="1"/>
  <c r="D118" i="1"/>
  <c r="C122" i="1"/>
  <c r="C595" i="1"/>
  <c r="D593" i="1"/>
  <c r="C364" i="1"/>
  <c r="D361" i="1"/>
  <c r="E377" i="1"/>
  <c r="E374" i="1"/>
  <c r="D117" i="1"/>
  <c r="C121" i="1"/>
  <c r="D693" i="1"/>
  <c r="C697" i="1"/>
  <c r="C362" i="1"/>
  <c r="D359" i="1"/>
  <c r="C123" i="1"/>
  <c r="D119" i="1"/>
  <c r="C559" i="1"/>
  <c r="D557" i="1"/>
  <c r="D116" i="1"/>
  <c r="C120" i="1"/>
  <c r="C711" i="1" l="1"/>
  <c r="D720" i="1"/>
  <c r="D716" i="1"/>
  <c r="D712" i="1"/>
  <c r="D708" i="1"/>
  <c r="E372" i="1"/>
  <c r="E369" i="1"/>
  <c r="E373" i="1"/>
  <c r="E370" i="1"/>
  <c r="C360" i="1"/>
  <c r="D357" i="1"/>
  <c r="C365" i="1"/>
  <c r="D362" i="1"/>
  <c r="A2536" i="1"/>
  <c r="B2530" i="1"/>
  <c r="D711" i="1"/>
  <c r="C715" i="1"/>
  <c r="C561" i="1"/>
  <c r="D559" i="1"/>
  <c r="C728" i="1"/>
  <c r="D724" i="1"/>
  <c r="C701" i="1"/>
  <c r="D697" i="1"/>
  <c r="D122" i="1"/>
  <c r="C126" i="1"/>
  <c r="C127" i="1"/>
  <c r="D123" i="1"/>
  <c r="E383" i="1"/>
  <c r="E380" i="1"/>
  <c r="C556" i="1"/>
  <c r="D554" i="1"/>
  <c r="D121" i="1"/>
  <c r="C125" i="1"/>
  <c r="D698" i="1"/>
  <c r="C702" i="1"/>
  <c r="D120" i="1"/>
  <c r="C124" i="1"/>
  <c r="C367" i="1"/>
  <c r="D364" i="1"/>
  <c r="D595" i="1"/>
  <c r="C597" i="1"/>
  <c r="E379" i="1" l="1"/>
  <c r="E376" i="1"/>
  <c r="E378" i="1"/>
  <c r="E375" i="1"/>
  <c r="C363" i="1"/>
  <c r="D360" i="1"/>
  <c r="E389" i="1"/>
  <c r="E386" i="1"/>
  <c r="D597" i="1"/>
  <c r="C599" i="1"/>
  <c r="C706" i="1"/>
  <c r="D702" i="1"/>
  <c r="C131" i="1"/>
  <c r="D127" i="1"/>
  <c r="C732" i="1"/>
  <c r="D728" i="1"/>
  <c r="A2542" i="1"/>
  <c r="B2536" i="1"/>
  <c r="D125" i="1"/>
  <c r="C129" i="1"/>
  <c r="D126" i="1"/>
  <c r="C130" i="1"/>
  <c r="D561" i="1"/>
  <c r="C563" i="1"/>
  <c r="C370" i="1"/>
  <c r="D367" i="1"/>
  <c r="D556" i="1"/>
  <c r="C558" i="1"/>
  <c r="D701" i="1"/>
  <c r="C705" i="1"/>
  <c r="C368" i="1"/>
  <c r="D365" i="1"/>
  <c r="D124" i="1"/>
  <c r="C128" i="1"/>
  <c r="C719" i="1"/>
  <c r="D715" i="1"/>
  <c r="E384" i="1" l="1"/>
  <c r="E381" i="1"/>
  <c r="E385" i="1"/>
  <c r="E382" i="1"/>
  <c r="C366" i="1"/>
  <c r="D363" i="1"/>
  <c r="C373" i="1"/>
  <c r="D370" i="1"/>
  <c r="D563" i="1"/>
  <c r="C565" i="1"/>
  <c r="A2548" i="1"/>
  <c r="B2542" i="1"/>
  <c r="D128" i="1"/>
  <c r="C132" i="1"/>
  <c r="C560" i="1"/>
  <c r="D558" i="1"/>
  <c r="C736" i="1"/>
  <c r="D732" i="1"/>
  <c r="E395" i="1"/>
  <c r="E392" i="1"/>
  <c r="D130" i="1"/>
  <c r="C134" i="1"/>
  <c r="C371" i="1"/>
  <c r="D368" i="1"/>
  <c r="D129" i="1"/>
  <c r="C133" i="1"/>
  <c r="C135" i="1"/>
  <c r="D131" i="1"/>
  <c r="C601" i="1"/>
  <c r="D599" i="1"/>
  <c r="D706" i="1"/>
  <c r="C710" i="1"/>
  <c r="C709" i="1"/>
  <c r="D705" i="1"/>
  <c r="C723" i="1"/>
  <c r="D719" i="1"/>
  <c r="E391" i="1" l="1"/>
  <c r="E388" i="1"/>
  <c r="E387" i="1"/>
  <c r="E390" i="1"/>
  <c r="C369" i="1"/>
  <c r="D366" i="1"/>
  <c r="C567" i="1"/>
  <c r="D565" i="1"/>
  <c r="C727" i="1"/>
  <c r="D723" i="1"/>
  <c r="C374" i="1"/>
  <c r="D371" i="1"/>
  <c r="D134" i="1"/>
  <c r="C138" i="1"/>
  <c r="D709" i="1"/>
  <c r="C713" i="1"/>
  <c r="D560" i="1"/>
  <c r="C562" i="1"/>
  <c r="D710" i="1"/>
  <c r="C714" i="1"/>
  <c r="D132" i="1"/>
  <c r="C136" i="1"/>
  <c r="C139" i="1"/>
  <c r="D135" i="1"/>
  <c r="E401" i="1"/>
  <c r="E398" i="1"/>
  <c r="C376" i="1"/>
  <c r="D373" i="1"/>
  <c r="D133" i="1"/>
  <c r="C137" i="1"/>
  <c r="A2553" i="1"/>
  <c r="B2548" i="1"/>
  <c r="D601" i="1"/>
  <c r="C603" i="1"/>
  <c r="C740" i="1"/>
  <c r="D736" i="1"/>
  <c r="E396" i="1" l="1"/>
  <c r="E393" i="1"/>
  <c r="E397" i="1"/>
  <c r="E394" i="1"/>
  <c r="C372" i="1"/>
  <c r="D369" i="1"/>
  <c r="C718" i="1"/>
  <c r="D714" i="1"/>
  <c r="E407" i="1"/>
  <c r="E404" i="1"/>
  <c r="D727" i="1"/>
  <c r="C731" i="1"/>
  <c r="D562" i="1"/>
  <c r="C564" i="1"/>
  <c r="A2558" i="1"/>
  <c r="B2553" i="1"/>
  <c r="C143" i="1"/>
  <c r="D139" i="1"/>
  <c r="C569" i="1"/>
  <c r="D567" i="1"/>
  <c r="D137" i="1"/>
  <c r="C141" i="1"/>
  <c r="D136" i="1"/>
  <c r="C140" i="1"/>
  <c r="C377" i="1"/>
  <c r="D374" i="1"/>
  <c r="C744" i="1"/>
  <c r="D740" i="1"/>
  <c r="D713" i="1"/>
  <c r="C717" i="1"/>
  <c r="C379" i="1"/>
  <c r="D376" i="1"/>
  <c r="D603" i="1"/>
  <c r="C605" i="1"/>
  <c r="D138" i="1"/>
  <c r="C142" i="1"/>
  <c r="E400" i="1" l="1"/>
  <c r="E403" i="1"/>
  <c r="E399" i="1"/>
  <c r="E402" i="1"/>
  <c r="C375" i="1"/>
  <c r="D372" i="1"/>
  <c r="D142" i="1"/>
  <c r="C146" i="1"/>
  <c r="D744" i="1"/>
  <c r="C748" i="1"/>
  <c r="D564" i="1"/>
  <c r="C566" i="1"/>
  <c r="C380" i="1"/>
  <c r="D377" i="1"/>
  <c r="D569" i="1"/>
  <c r="C571" i="1"/>
  <c r="C735" i="1"/>
  <c r="D731" i="1"/>
  <c r="C382" i="1"/>
  <c r="D379" i="1"/>
  <c r="C722" i="1"/>
  <c r="D718" i="1"/>
  <c r="D717" i="1"/>
  <c r="C721" i="1"/>
  <c r="D140" i="1"/>
  <c r="C144" i="1"/>
  <c r="C147" i="1"/>
  <c r="D143" i="1"/>
  <c r="D141" i="1"/>
  <c r="C145" i="1"/>
  <c r="B2558" i="1"/>
  <c r="A2563" i="1"/>
  <c r="E413" i="1"/>
  <c r="E410" i="1"/>
  <c r="C607" i="1"/>
  <c r="D605" i="1"/>
  <c r="E408" i="1" l="1"/>
  <c r="E405" i="1"/>
  <c r="E406" i="1"/>
  <c r="E409" i="1"/>
  <c r="C378" i="1"/>
  <c r="D375" i="1"/>
  <c r="C609" i="1"/>
  <c r="D607" i="1"/>
  <c r="C726" i="1"/>
  <c r="D722" i="1"/>
  <c r="B2563" i="1"/>
  <c r="A2568" i="1"/>
  <c r="D144" i="1"/>
  <c r="C148" i="1"/>
  <c r="D571" i="1"/>
  <c r="C573" i="1"/>
  <c r="D146" i="1"/>
  <c r="C150" i="1"/>
  <c r="C385" i="1"/>
  <c r="D382" i="1"/>
  <c r="D145" i="1"/>
  <c r="C149" i="1"/>
  <c r="C725" i="1"/>
  <c r="D721" i="1"/>
  <c r="C151" i="1"/>
  <c r="D147" i="1"/>
  <c r="D735" i="1"/>
  <c r="C739" i="1"/>
  <c r="C383" i="1"/>
  <c r="D380" i="1"/>
  <c r="D566" i="1"/>
  <c r="C568" i="1"/>
  <c r="C752" i="1"/>
  <c r="D748" i="1"/>
  <c r="E419" i="1"/>
  <c r="E416" i="1"/>
  <c r="E415" i="1" l="1"/>
  <c r="E412" i="1"/>
  <c r="E414" i="1"/>
  <c r="E411" i="1"/>
  <c r="C381" i="1"/>
  <c r="D378" i="1"/>
  <c r="D568" i="1"/>
  <c r="C570" i="1"/>
  <c r="D725" i="1"/>
  <c r="C729" i="1"/>
  <c r="D149" i="1"/>
  <c r="C153" i="1"/>
  <c r="D148" i="1"/>
  <c r="C152" i="1"/>
  <c r="E425" i="1"/>
  <c r="E422" i="1"/>
  <c r="C386" i="1"/>
  <c r="D383" i="1"/>
  <c r="C743" i="1"/>
  <c r="D739" i="1"/>
  <c r="A2573" i="1"/>
  <c r="B2568" i="1"/>
  <c r="D573" i="1"/>
  <c r="C575" i="1"/>
  <c r="C756" i="1"/>
  <c r="D752" i="1"/>
  <c r="C388" i="1"/>
  <c r="D385" i="1"/>
  <c r="D150" i="1"/>
  <c r="C154" i="1"/>
  <c r="C155" i="1"/>
  <c r="D151" i="1"/>
  <c r="C730" i="1"/>
  <c r="D726" i="1"/>
  <c r="D609" i="1"/>
  <c r="C611" i="1"/>
  <c r="E420" i="1" l="1"/>
  <c r="E417" i="1"/>
  <c r="E421" i="1"/>
  <c r="E418" i="1"/>
  <c r="C384" i="1"/>
  <c r="D381" i="1"/>
  <c r="D153" i="1"/>
  <c r="C157" i="1"/>
  <c r="C389" i="1"/>
  <c r="D386" i="1"/>
  <c r="C577" i="1"/>
  <c r="D575" i="1"/>
  <c r="C159" i="1"/>
  <c r="D155" i="1"/>
  <c r="C391" i="1"/>
  <c r="D388" i="1"/>
  <c r="C747" i="1"/>
  <c r="D743" i="1"/>
  <c r="C760" i="1"/>
  <c r="D756" i="1"/>
  <c r="C613" i="1"/>
  <c r="D611" i="1"/>
  <c r="C733" i="1"/>
  <c r="D729" i="1"/>
  <c r="E431" i="1"/>
  <c r="E428" i="1"/>
  <c r="D154" i="1"/>
  <c r="C158" i="1"/>
  <c r="D152" i="1"/>
  <c r="C156" i="1"/>
  <c r="C572" i="1"/>
  <c r="D570" i="1"/>
  <c r="C734" i="1"/>
  <c r="D730" i="1"/>
  <c r="A2578" i="1"/>
  <c r="B2573" i="1"/>
  <c r="E424" i="1" l="1"/>
  <c r="E427" i="1"/>
  <c r="E426" i="1"/>
  <c r="E423" i="1"/>
  <c r="D384" i="1"/>
  <c r="C387" i="1"/>
  <c r="C764" i="1"/>
  <c r="D760" i="1"/>
  <c r="D577" i="1"/>
  <c r="C579" i="1"/>
  <c r="D156" i="1"/>
  <c r="C160" i="1"/>
  <c r="D572" i="1"/>
  <c r="C574" i="1"/>
  <c r="E437" i="1"/>
  <c r="E434" i="1"/>
  <c r="D747" i="1"/>
  <c r="C751" i="1"/>
  <c r="C392" i="1"/>
  <c r="D389" i="1"/>
  <c r="A2586" i="1"/>
  <c r="B2578" i="1"/>
  <c r="D733" i="1"/>
  <c r="C737" i="1"/>
  <c r="C394" i="1"/>
  <c r="D391" i="1"/>
  <c r="D157" i="1"/>
  <c r="C161" i="1"/>
  <c r="D158" i="1"/>
  <c r="C162" i="1"/>
  <c r="C738" i="1"/>
  <c r="D734" i="1"/>
  <c r="C615" i="1"/>
  <c r="D613" i="1"/>
  <c r="C163" i="1"/>
  <c r="D159" i="1"/>
  <c r="E430" i="1" l="1"/>
  <c r="E433" i="1"/>
  <c r="E432" i="1"/>
  <c r="E429" i="1"/>
  <c r="C390" i="1"/>
  <c r="D387" i="1"/>
  <c r="D751" i="1"/>
  <c r="C755" i="1"/>
  <c r="D579" i="1"/>
  <c r="C581" i="1"/>
  <c r="C741" i="1"/>
  <c r="D737" i="1"/>
  <c r="E443" i="1"/>
  <c r="E440" i="1"/>
  <c r="C768" i="1"/>
  <c r="D764" i="1"/>
  <c r="A2591" i="1"/>
  <c r="B2586" i="1"/>
  <c r="D615" i="1"/>
  <c r="C617" i="1"/>
  <c r="D738" i="1"/>
  <c r="C742" i="1"/>
  <c r="D162" i="1"/>
  <c r="C166" i="1"/>
  <c r="C576" i="1"/>
  <c r="D574" i="1"/>
  <c r="D161" i="1"/>
  <c r="C165" i="1"/>
  <c r="D160" i="1"/>
  <c r="C164" i="1"/>
  <c r="C397" i="1"/>
  <c r="D394" i="1"/>
  <c r="C167" i="1"/>
  <c r="D163" i="1"/>
  <c r="C395" i="1"/>
  <c r="D392" i="1"/>
  <c r="E438" i="1" l="1"/>
  <c r="E435" i="1"/>
  <c r="E439" i="1"/>
  <c r="E436" i="1"/>
  <c r="C393" i="1"/>
  <c r="D390" i="1"/>
  <c r="D164" i="1"/>
  <c r="C168" i="1"/>
  <c r="C398" i="1"/>
  <c r="D395" i="1"/>
  <c r="C171" i="1"/>
  <c r="D167" i="1"/>
  <c r="D576" i="1"/>
  <c r="C578" i="1"/>
  <c r="E449" i="1"/>
  <c r="E446" i="1"/>
  <c r="D581" i="1"/>
  <c r="C583" i="1"/>
  <c r="D166" i="1"/>
  <c r="C170" i="1"/>
  <c r="C400" i="1"/>
  <c r="D397" i="1"/>
  <c r="A2596" i="1"/>
  <c r="B2596" i="1" s="1"/>
  <c r="B2591" i="1"/>
  <c r="D741" i="1"/>
  <c r="C745" i="1"/>
  <c r="C746" i="1"/>
  <c r="D742" i="1"/>
  <c r="D165" i="1"/>
  <c r="C169" i="1"/>
  <c r="D617" i="1"/>
  <c r="C619" i="1"/>
  <c r="C759" i="1"/>
  <c r="D755" i="1"/>
  <c r="D768" i="1"/>
  <c r="C772" i="1"/>
  <c r="E445" i="1" l="1"/>
  <c r="E442" i="1"/>
  <c r="E444" i="1"/>
  <c r="E441" i="1"/>
  <c r="C396" i="1"/>
  <c r="D393" i="1"/>
  <c r="D619" i="1"/>
  <c r="C621" i="1"/>
  <c r="C749" i="1"/>
  <c r="D745" i="1"/>
  <c r="C585" i="1"/>
  <c r="D583" i="1"/>
  <c r="C175" i="1"/>
  <c r="D171" i="1"/>
  <c r="D169" i="1"/>
  <c r="C173" i="1"/>
  <c r="E455" i="1"/>
  <c r="E452" i="1"/>
  <c r="C401" i="1"/>
  <c r="D398" i="1"/>
  <c r="C403" i="1"/>
  <c r="D400" i="1"/>
  <c r="D170" i="1"/>
  <c r="C174" i="1"/>
  <c r="D578" i="1"/>
  <c r="C580" i="1"/>
  <c r="C172" i="1"/>
  <c r="D168" i="1"/>
  <c r="C776" i="1"/>
  <c r="D772" i="1"/>
  <c r="D759" i="1"/>
  <c r="C763" i="1"/>
  <c r="C750" i="1"/>
  <c r="D746" i="1"/>
  <c r="E450" i="1" l="1"/>
  <c r="E447" i="1"/>
  <c r="E448" i="1"/>
  <c r="E451" i="1"/>
  <c r="C399" i="1"/>
  <c r="D396" i="1"/>
  <c r="C767" i="1"/>
  <c r="D763" i="1"/>
  <c r="D174" i="1"/>
  <c r="C178" i="1"/>
  <c r="D750" i="1"/>
  <c r="C754" i="1"/>
  <c r="C179" i="1"/>
  <c r="D175" i="1"/>
  <c r="C780" i="1"/>
  <c r="D776" i="1"/>
  <c r="C404" i="1"/>
  <c r="D401" i="1"/>
  <c r="D585" i="1"/>
  <c r="C587" i="1"/>
  <c r="D587" i="1" s="1"/>
  <c r="C176" i="1"/>
  <c r="D172" i="1"/>
  <c r="E461" i="1"/>
  <c r="E458" i="1"/>
  <c r="D749" i="1"/>
  <c r="C753" i="1"/>
  <c r="C406" i="1"/>
  <c r="D403" i="1"/>
  <c r="C582" i="1"/>
  <c r="D580" i="1"/>
  <c r="D173" i="1"/>
  <c r="C177" i="1"/>
  <c r="D621" i="1"/>
  <c r="C623" i="1"/>
  <c r="E457" i="1" l="1"/>
  <c r="E454" i="1"/>
  <c r="E453" i="1"/>
  <c r="E456" i="1"/>
  <c r="C402" i="1"/>
  <c r="D399" i="1"/>
  <c r="C625" i="1"/>
  <c r="D623" i="1"/>
  <c r="E467" i="1"/>
  <c r="E464" i="1"/>
  <c r="C407" i="1"/>
  <c r="D404" i="1"/>
  <c r="D754" i="1"/>
  <c r="C758" i="1"/>
  <c r="D753" i="1"/>
  <c r="C757" i="1"/>
  <c r="C181" i="1"/>
  <c r="D177" i="1"/>
  <c r="D582" i="1"/>
  <c r="C584" i="1"/>
  <c r="D178" i="1"/>
  <c r="C182" i="1"/>
  <c r="C409" i="1"/>
  <c r="D406" i="1"/>
  <c r="D176" i="1"/>
  <c r="C180" i="1"/>
  <c r="C784" i="1"/>
  <c r="D780" i="1"/>
  <c r="C183" i="1"/>
  <c r="D179" i="1"/>
  <c r="D767" i="1"/>
  <c r="C771" i="1"/>
  <c r="E459" i="1" l="1"/>
  <c r="E462" i="1"/>
  <c r="E460" i="1"/>
  <c r="E463" i="1"/>
  <c r="C405" i="1"/>
  <c r="D402" i="1"/>
  <c r="D757" i="1"/>
  <c r="C761" i="1"/>
  <c r="D771" i="1"/>
  <c r="C775" i="1"/>
  <c r="D584" i="1"/>
  <c r="C586" i="1"/>
  <c r="C410" i="1"/>
  <c r="D407" i="1"/>
  <c r="C412" i="1"/>
  <c r="D409" i="1"/>
  <c r="D182" i="1"/>
  <c r="C186" i="1"/>
  <c r="C187" i="1"/>
  <c r="D183" i="1"/>
  <c r="C185" i="1"/>
  <c r="D181" i="1"/>
  <c r="E473" i="1"/>
  <c r="E470" i="1"/>
  <c r="C788" i="1"/>
  <c r="D784" i="1"/>
  <c r="D180" i="1"/>
  <c r="C184" i="1"/>
  <c r="C762" i="1"/>
  <c r="D758" i="1"/>
  <c r="C627" i="1"/>
  <c r="D625" i="1"/>
  <c r="E466" i="1" l="1"/>
  <c r="E469" i="1"/>
  <c r="E468" i="1"/>
  <c r="E465" i="1"/>
  <c r="C408" i="1"/>
  <c r="D405" i="1"/>
  <c r="E479" i="1"/>
  <c r="E476" i="1"/>
  <c r="D627" i="1"/>
  <c r="C629" i="1"/>
  <c r="D629" i="1" s="1"/>
  <c r="D185" i="1"/>
  <c r="C189" i="1"/>
  <c r="C413" i="1"/>
  <c r="D410" i="1"/>
  <c r="C588" i="1"/>
  <c r="D586" i="1"/>
  <c r="D788" i="1"/>
  <c r="C792" i="1"/>
  <c r="C191" i="1"/>
  <c r="D187" i="1"/>
  <c r="C415" i="1"/>
  <c r="D412" i="1"/>
  <c r="C190" i="1"/>
  <c r="D186" i="1"/>
  <c r="C779" i="1"/>
  <c r="D775" i="1"/>
  <c r="D762" i="1"/>
  <c r="C766" i="1"/>
  <c r="D184" i="1"/>
  <c r="C188" i="1"/>
  <c r="C765" i="1"/>
  <c r="D761" i="1"/>
  <c r="E471" i="1" l="1"/>
  <c r="E474" i="1"/>
  <c r="E472" i="1"/>
  <c r="E475" i="1"/>
  <c r="C411" i="1"/>
  <c r="D408" i="1"/>
  <c r="C796" i="1"/>
  <c r="D792" i="1"/>
  <c r="D189" i="1"/>
  <c r="C193" i="1"/>
  <c r="D188" i="1"/>
  <c r="C192" i="1"/>
  <c r="C194" i="1"/>
  <c r="D190" i="1"/>
  <c r="D765" i="1"/>
  <c r="C769" i="1"/>
  <c r="C418" i="1"/>
  <c r="D415" i="1"/>
  <c r="C783" i="1"/>
  <c r="D779" i="1"/>
  <c r="C590" i="1"/>
  <c r="D588" i="1"/>
  <c r="C770" i="1"/>
  <c r="D766" i="1"/>
  <c r="C195" i="1"/>
  <c r="D191" i="1"/>
  <c r="C416" i="1"/>
  <c r="D413" i="1"/>
  <c r="E485" i="1"/>
  <c r="E482" i="1"/>
  <c r="E478" i="1" l="1"/>
  <c r="E481" i="1"/>
  <c r="E477" i="1"/>
  <c r="E480" i="1"/>
  <c r="C414" i="1"/>
  <c r="D411" i="1"/>
  <c r="D770" i="1"/>
  <c r="C774" i="1"/>
  <c r="C421" i="1"/>
  <c r="D418" i="1"/>
  <c r="D194" i="1"/>
  <c r="C198" i="1"/>
  <c r="C773" i="1"/>
  <c r="D769" i="1"/>
  <c r="D192" i="1"/>
  <c r="C196" i="1"/>
  <c r="D193" i="1"/>
  <c r="C197" i="1"/>
  <c r="D590" i="1"/>
  <c r="C592" i="1"/>
  <c r="C419" i="1"/>
  <c r="D416" i="1"/>
  <c r="E491" i="1"/>
  <c r="E488" i="1"/>
  <c r="C199" i="1"/>
  <c r="D195" i="1"/>
  <c r="C787" i="1"/>
  <c r="D783" i="1"/>
  <c r="C800" i="1"/>
  <c r="D796" i="1"/>
  <c r="E483" i="1" l="1"/>
  <c r="E486" i="1"/>
  <c r="E484" i="1"/>
  <c r="E487" i="1"/>
  <c r="C417" i="1"/>
  <c r="D414" i="1"/>
  <c r="D773" i="1"/>
  <c r="C777" i="1"/>
  <c r="D197" i="1"/>
  <c r="C201" i="1"/>
  <c r="D198" i="1"/>
  <c r="C202" i="1"/>
  <c r="C594" i="1"/>
  <c r="D592" i="1"/>
  <c r="E497" i="1"/>
  <c r="E494" i="1"/>
  <c r="C422" i="1"/>
  <c r="D419" i="1"/>
  <c r="C424" i="1"/>
  <c r="D421" i="1"/>
  <c r="D196" i="1"/>
  <c r="C200" i="1"/>
  <c r="D774" i="1"/>
  <c r="C778" i="1"/>
  <c r="C203" i="1"/>
  <c r="D199" i="1"/>
  <c r="C804" i="1"/>
  <c r="D800" i="1"/>
  <c r="D787" i="1"/>
  <c r="C791" i="1"/>
  <c r="E493" i="1" l="1"/>
  <c r="E490" i="1"/>
  <c r="E492" i="1"/>
  <c r="E489" i="1"/>
  <c r="D417" i="1"/>
  <c r="C420" i="1"/>
  <c r="C427" i="1"/>
  <c r="D424" i="1"/>
  <c r="C207" i="1"/>
  <c r="D203" i="1"/>
  <c r="C596" i="1"/>
  <c r="D594" i="1"/>
  <c r="E503" i="1"/>
  <c r="E500" i="1"/>
  <c r="D778" i="1"/>
  <c r="C782" i="1"/>
  <c r="D202" i="1"/>
  <c r="C206" i="1"/>
  <c r="D804" i="1"/>
  <c r="C808" i="1"/>
  <c r="C425" i="1"/>
  <c r="D422" i="1"/>
  <c r="D791" i="1"/>
  <c r="C795" i="1"/>
  <c r="D201" i="1"/>
  <c r="C205" i="1"/>
  <c r="C204" i="1"/>
  <c r="D200" i="1"/>
  <c r="D777" i="1"/>
  <c r="C781" i="1"/>
  <c r="E498" i="1" l="1"/>
  <c r="E495" i="1"/>
  <c r="E496" i="1"/>
  <c r="E499" i="1"/>
  <c r="D420" i="1"/>
  <c r="C423" i="1"/>
  <c r="D596" i="1"/>
  <c r="C598" i="1"/>
  <c r="C812" i="1"/>
  <c r="D808" i="1"/>
  <c r="D781" i="1"/>
  <c r="C785" i="1"/>
  <c r="D205" i="1"/>
  <c r="C209" i="1"/>
  <c r="D206" i="1"/>
  <c r="C210" i="1"/>
  <c r="D795" i="1"/>
  <c r="C799" i="1"/>
  <c r="C208" i="1"/>
  <c r="D204" i="1"/>
  <c r="C211" i="1"/>
  <c r="D207" i="1"/>
  <c r="D782" i="1"/>
  <c r="C786" i="1"/>
  <c r="C428" i="1"/>
  <c r="D425" i="1"/>
  <c r="E509" i="1"/>
  <c r="E506" i="1"/>
  <c r="C430" i="1"/>
  <c r="D427" i="1"/>
  <c r="E505" i="1" l="1"/>
  <c r="E502" i="1"/>
  <c r="E504" i="1"/>
  <c r="E501" i="1"/>
  <c r="C426" i="1"/>
  <c r="D423" i="1"/>
  <c r="C803" i="1"/>
  <c r="D799" i="1"/>
  <c r="D785" i="1"/>
  <c r="C789" i="1"/>
  <c r="D210" i="1"/>
  <c r="C214" i="1"/>
  <c r="D786" i="1"/>
  <c r="C790" i="1"/>
  <c r="C433" i="1"/>
  <c r="D430" i="1"/>
  <c r="E515" i="1"/>
  <c r="E512" i="1"/>
  <c r="C215" i="1"/>
  <c r="D211" i="1"/>
  <c r="D812" i="1"/>
  <c r="C816" i="1"/>
  <c r="C213" i="1"/>
  <c r="D209" i="1"/>
  <c r="D598" i="1"/>
  <c r="C600" i="1"/>
  <c r="C431" i="1"/>
  <c r="D428" i="1"/>
  <c r="D208" i="1"/>
  <c r="C212" i="1"/>
  <c r="E507" i="1" l="1"/>
  <c r="E510" i="1"/>
  <c r="E508" i="1"/>
  <c r="E511" i="1"/>
  <c r="C429" i="1"/>
  <c r="D426" i="1"/>
  <c r="D212" i="1"/>
  <c r="C216" i="1"/>
  <c r="C602" i="1"/>
  <c r="D600" i="1"/>
  <c r="E521" i="1"/>
  <c r="E524" i="1" s="1"/>
  <c r="E518" i="1"/>
  <c r="C217" i="1"/>
  <c r="D213" i="1"/>
  <c r="C436" i="1"/>
  <c r="D433" i="1"/>
  <c r="C820" i="1"/>
  <c r="D816" i="1"/>
  <c r="C794" i="1"/>
  <c r="D790" i="1"/>
  <c r="C793" i="1"/>
  <c r="D789" i="1"/>
  <c r="C434" i="1"/>
  <c r="D431" i="1"/>
  <c r="D214" i="1"/>
  <c r="C218" i="1"/>
  <c r="C219" i="1"/>
  <c r="D215" i="1"/>
  <c r="D803" i="1"/>
  <c r="C807" i="1"/>
  <c r="E517" i="1" l="1"/>
  <c r="E514" i="1"/>
  <c r="E516" i="1"/>
  <c r="E513" i="1"/>
  <c r="D429" i="1"/>
  <c r="C432" i="1"/>
  <c r="C824" i="1"/>
  <c r="D820" i="1"/>
  <c r="C437" i="1"/>
  <c r="D434" i="1"/>
  <c r="C222" i="1"/>
  <c r="D218" i="1"/>
  <c r="D793" i="1"/>
  <c r="C797" i="1"/>
  <c r="C439" i="1"/>
  <c r="D436" i="1"/>
  <c r="C604" i="1"/>
  <c r="D602" i="1"/>
  <c r="D216" i="1"/>
  <c r="C220" i="1"/>
  <c r="C811" i="1"/>
  <c r="D807" i="1"/>
  <c r="C223" i="1"/>
  <c r="D223" i="1" s="1"/>
  <c r="D219" i="1"/>
  <c r="D794" i="1"/>
  <c r="C798" i="1"/>
  <c r="D217" i="1"/>
  <c r="C221" i="1"/>
  <c r="E522" i="1" l="1"/>
  <c r="E525" i="1" s="1"/>
  <c r="E519" i="1"/>
  <c r="E523" i="1"/>
  <c r="E526" i="1" s="1"/>
  <c r="E520" i="1"/>
  <c r="D432" i="1"/>
  <c r="C435" i="1"/>
  <c r="D221" i="1"/>
  <c r="C225" i="1"/>
  <c r="D225" i="1" s="1"/>
  <c r="C226" i="1"/>
  <c r="D226" i="1" s="1"/>
  <c r="D222" i="1"/>
  <c r="D798" i="1"/>
  <c r="C802" i="1"/>
  <c r="D604" i="1"/>
  <c r="C606" i="1"/>
  <c r="D220" i="1"/>
  <c r="C224" i="1"/>
  <c r="D224" i="1" s="1"/>
  <c r="C815" i="1"/>
  <c r="D811" i="1"/>
  <c r="C442" i="1"/>
  <c r="D439" i="1"/>
  <c r="C440" i="1"/>
  <c r="D437" i="1"/>
  <c r="C801" i="1"/>
  <c r="D797" i="1"/>
  <c r="C828" i="1"/>
  <c r="D824" i="1"/>
  <c r="C438" i="1" l="1"/>
  <c r="D435" i="1"/>
  <c r="D606" i="1"/>
  <c r="C608" i="1"/>
  <c r="C806" i="1"/>
  <c r="D802" i="1"/>
  <c r="C445" i="1"/>
  <c r="D442" i="1"/>
  <c r="D815" i="1"/>
  <c r="C819" i="1"/>
  <c r="C832" i="1"/>
  <c r="D828" i="1"/>
  <c r="D801" i="1"/>
  <c r="C805" i="1"/>
  <c r="C443" i="1"/>
  <c r="D440" i="1"/>
  <c r="C441" i="1" l="1"/>
  <c r="D438" i="1"/>
  <c r="D819" i="1"/>
  <c r="C823" i="1"/>
  <c r="C446" i="1"/>
  <c r="D443" i="1"/>
  <c r="C448" i="1"/>
  <c r="D445" i="1"/>
  <c r="D806" i="1"/>
  <c r="C810" i="1"/>
  <c r="D608" i="1"/>
  <c r="C610" i="1"/>
  <c r="C809" i="1"/>
  <c r="D805" i="1"/>
  <c r="C836" i="1"/>
  <c r="D832" i="1"/>
  <c r="D441" i="1" l="1"/>
  <c r="C444" i="1"/>
  <c r="C840" i="1"/>
  <c r="D836" i="1"/>
  <c r="C451" i="1"/>
  <c r="D448" i="1"/>
  <c r="C449" i="1"/>
  <c r="D446" i="1"/>
  <c r="D809" i="1"/>
  <c r="C813" i="1"/>
  <c r="C612" i="1"/>
  <c r="D610" i="1"/>
  <c r="D810" i="1"/>
  <c r="C814" i="1"/>
  <c r="C827" i="1"/>
  <c r="D823" i="1"/>
  <c r="D444" i="1" l="1"/>
  <c r="C447" i="1"/>
  <c r="C817" i="1"/>
  <c r="D813" i="1"/>
  <c r="C452" i="1"/>
  <c r="D449" i="1"/>
  <c r="C454" i="1"/>
  <c r="D451" i="1"/>
  <c r="D827" i="1"/>
  <c r="C831" i="1"/>
  <c r="D814" i="1"/>
  <c r="C818" i="1"/>
  <c r="D612" i="1"/>
  <c r="C614" i="1"/>
  <c r="C844" i="1"/>
  <c r="D840" i="1"/>
  <c r="C450" i="1" l="1"/>
  <c r="D447" i="1"/>
  <c r="C457" i="1"/>
  <c r="D454" i="1"/>
  <c r="D614" i="1"/>
  <c r="C616" i="1"/>
  <c r="D844" i="1"/>
  <c r="C848" i="1"/>
  <c r="C455" i="1"/>
  <c r="D452" i="1"/>
  <c r="C822" i="1"/>
  <c r="D818" i="1"/>
  <c r="C835" i="1"/>
  <c r="D831" i="1"/>
  <c r="C821" i="1"/>
  <c r="D817" i="1"/>
  <c r="D450" i="1" l="1"/>
  <c r="C453" i="1"/>
  <c r="C852" i="1"/>
  <c r="D848" i="1"/>
  <c r="C618" i="1"/>
  <c r="D616" i="1"/>
  <c r="D821" i="1"/>
  <c r="C825" i="1"/>
  <c r="C839" i="1"/>
  <c r="D835" i="1"/>
  <c r="D822" i="1"/>
  <c r="C826" i="1"/>
  <c r="C458" i="1"/>
  <c r="D455" i="1"/>
  <c r="C460" i="1"/>
  <c r="D457" i="1"/>
  <c r="C456" i="1" l="1"/>
  <c r="D453" i="1"/>
  <c r="C829" i="1"/>
  <c r="D825" i="1"/>
  <c r="D618" i="1"/>
  <c r="C620" i="1"/>
  <c r="C463" i="1"/>
  <c r="D460" i="1"/>
  <c r="C461" i="1"/>
  <c r="D458" i="1"/>
  <c r="C830" i="1"/>
  <c r="D826" i="1"/>
  <c r="D839" i="1"/>
  <c r="C843" i="1"/>
  <c r="D852" i="1"/>
  <c r="C856" i="1"/>
  <c r="C459" i="1" l="1"/>
  <c r="D456" i="1"/>
  <c r="C860" i="1"/>
  <c r="D856" i="1"/>
  <c r="C847" i="1"/>
  <c r="D843" i="1"/>
  <c r="C622" i="1"/>
  <c r="D620" i="1"/>
  <c r="C466" i="1"/>
  <c r="D463" i="1"/>
  <c r="C834" i="1"/>
  <c r="D830" i="1"/>
  <c r="C464" i="1"/>
  <c r="D461" i="1"/>
  <c r="C833" i="1"/>
  <c r="D829" i="1"/>
  <c r="C462" i="1" l="1"/>
  <c r="D459" i="1"/>
  <c r="C837" i="1"/>
  <c r="D833" i="1"/>
  <c r="D834" i="1"/>
  <c r="C838" i="1"/>
  <c r="D847" i="1"/>
  <c r="C851" i="1"/>
  <c r="D622" i="1"/>
  <c r="C624" i="1"/>
  <c r="C467" i="1"/>
  <c r="D464" i="1"/>
  <c r="C469" i="1"/>
  <c r="D466" i="1"/>
  <c r="D860" i="1"/>
  <c r="C864" i="1"/>
  <c r="C465" i="1" l="1"/>
  <c r="D462" i="1"/>
  <c r="D864" i="1"/>
  <c r="C868" i="1"/>
  <c r="C855" i="1"/>
  <c r="D851" i="1"/>
  <c r="C842" i="1"/>
  <c r="D838" i="1"/>
  <c r="C470" i="1"/>
  <c r="D467" i="1"/>
  <c r="C472" i="1"/>
  <c r="D469" i="1"/>
  <c r="D624" i="1"/>
  <c r="C626" i="1"/>
  <c r="D837" i="1"/>
  <c r="C841" i="1"/>
  <c r="C468" i="1" l="1"/>
  <c r="D465" i="1"/>
  <c r="C628" i="1"/>
  <c r="D626" i="1"/>
  <c r="C475" i="1"/>
  <c r="D472" i="1"/>
  <c r="D855" i="1"/>
  <c r="C859" i="1"/>
  <c r="C845" i="1"/>
  <c r="D841" i="1"/>
  <c r="C473" i="1"/>
  <c r="D470" i="1"/>
  <c r="C872" i="1"/>
  <c r="D868" i="1"/>
  <c r="C846" i="1"/>
  <c r="D842" i="1"/>
  <c r="C471" i="1" l="1"/>
  <c r="D468" i="1"/>
  <c r="C863" i="1"/>
  <c r="D859" i="1"/>
  <c r="D872" i="1"/>
  <c r="C876" i="1"/>
  <c r="C478" i="1"/>
  <c r="D475" i="1"/>
  <c r="C849" i="1"/>
  <c r="D845" i="1"/>
  <c r="C850" i="1"/>
  <c r="D846" i="1"/>
  <c r="C476" i="1"/>
  <c r="D473" i="1"/>
  <c r="C630" i="1"/>
  <c r="D630" i="1" s="1"/>
  <c r="D628" i="1"/>
  <c r="D471" i="1" l="1"/>
  <c r="C474" i="1"/>
  <c r="C481" i="1"/>
  <c r="D478" i="1"/>
  <c r="D876" i="1"/>
  <c r="C880" i="1"/>
  <c r="C479" i="1"/>
  <c r="D476" i="1"/>
  <c r="C854" i="1"/>
  <c r="D850" i="1"/>
  <c r="C853" i="1"/>
  <c r="D849" i="1"/>
  <c r="D863" i="1"/>
  <c r="C867" i="1"/>
  <c r="C477" i="1" l="1"/>
  <c r="D474" i="1"/>
  <c r="D867" i="1"/>
  <c r="C871" i="1"/>
  <c r="D853" i="1"/>
  <c r="C857" i="1"/>
  <c r="C484" i="1"/>
  <c r="D481" i="1"/>
  <c r="C482" i="1"/>
  <c r="D479" i="1"/>
  <c r="C884" i="1"/>
  <c r="D880" i="1"/>
  <c r="C858" i="1"/>
  <c r="D854" i="1"/>
  <c r="C480" i="1" l="1"/>
  <c r="D477" i="1"/>
  <c r="C485" i="1"/>
  <c r="D482" i="1"/>
  <c r="C487" i="1"/>
  <c r="D484" i="1"/>
  <c r="C861" i="1"/>
  <c r="D857" i="1"/>
  <c r="D871" i="1"/>
  <c r="C875" i="1"/>
  <c r="D858" i="1"/>
  <c r="C862" i="1"/>
  <c r="C888" i="1"/>
  <c r="D884" i="1"/>
  <c r="D480" i="1" l="1"/>
  <c r="C483" i="1"/>
  <c r="D861" i="1"/>
  <c r="C865" i="1"/>
  <c r="C490" i="1"/>
  <c r="D487" i="1"/>
  <c r="D875" i="1"/>
  <c r="C879" i="1"/>
  <c r="C892" i="1"/>
  <c r="D888" i="1"/>
  <c r="C866" i="1"/>
  <c r="D862" i="1"/>
  <c r="C488" i="1"/>
  <c r="D485" i="1"/>
  <c r="C486" i="1" l="1"/>
  <c r="D483" i="1"/>
  <c r="D879" i="1"/>
  <c r="C883" i="1"/>
  <c r="C896" i="1"/>
  <c r="D892" i="1"/>
  <c r="C491" i="1"/>
  <c r="D488" i="1"/>
  <c r="C493" i="1"/>
  <c r="D490" i="1"/>
  <c r="C870" i="1"/>
  <c r="D866" i="1"/>
  <c r="D865" i="1"/>
  <c r="C869" i="1"/>
  <c r="D486" i="1" l="1"/>
  <c r="C489" i="1"/>
  <c r="C496" i="1"/>
  <c r="D493" i="1"/>
  <c r="C494" i="1"/>
  <c r="D491" i="1"/>
  <c r="D896" i="1"/>
  <c r="C900" i="1"/>
  <c r="C873" i="1"/>
  <c r="D869" i="1"/>
  <c r="C887" i="1"/>
  <c r="D883" i="1"/>
  <c r="C874" i="1"/>
  <c r="D870" i="1"/>
  <c r="C492" i="1" l="1"/>
  <c r="D489" i="1"/>
  <c r="C904" i="1"/>
  <c r="D900" i="1"/>
  <c r="D887" i="1"/>
  <c r="C891" i="1"/>
  <c r="C497" i="1"/>
  <c r="D494" i="1"/>
  <c r="D874" i="1"/>
  <c r="C878" i="1"/>
  <c r="D873" i="1"/>
  <c r="C877" i="1"/>
  <c r="C499" i="1"/>
  <c r="D496" i="1"/>
  <c r="C495" i="1" l="1"/>
  <c r="D492" i="1"/>
  <c r="C895" i="1"/>
  <c r="D891" i="1"/>
  <c r="C882" i="1"/>
  <c r="D878" i="1"/>
  <c r="C500" i="1"/>
  <c r="D497" i="1"/>
  <c r="C502" i="1"/>
  <c r="D499" i="1"/>
  <c r="C881" i="1"/>
  <c r="D877" i="1"/>
  <c r="C908" i="1"/>
  <c r="D904" i="1"/>
  <c r="C498" i="1" l="1"/>
  <c r="D495" i="1"/>
  <c r="C503" i="1"/>
  <c r="D500" i="1"/>
  <c r="C886" i="1"/>
  <c r="D882" i="1"/>
  <c r="D881" i="1"/>
  <c r="C885" i="1"/>
  <c r="C899" i="1"/>
  <c r="D895" i="1"/>
  <c r="C912" i="1"/>
  <c r="D908" i="1"/>
  <c r="C505" i="1"/>
  <c r="D502" i="1"/>
  <c r="C501" i="1" l="1"/>
  <c r="D498" i="1"/>
  <c r="C508" i="1"/>
  <c r="D505" i="1"/>
  <c r="D886" i="1"/>
  <c r="C890" i="1"/>
  <c r="D899" i="1"/>
  <c r="C903" i="1"/>
  <c r="C889" i="1"/>
  <c r="D885" i="1"/>
  <c r="C916" i="1"/>
  <c r="D912" i="1"/>
  <c r="C506" i="1"/>
  <c r="D503" i="1"/>
  <c r="C504" i="1" l="1"/>
  <c r="D501" i="1"/>
  <c r="C907" i="1"/>
  <c r="D903" i="1"/>
  <c r="C894" i="1"/>
  <c r="D890" i="1"/>
  <c r="C509" i="1"/>
  <c r="D506" i="1"/>
  <c r="C920" i="1"/>
  <c r="D916" i="1"/>
  <c r="C893" i="1"/>
  <c r="D889" i="1"/>
  <c r="C511" i="1"/>
  <c r="D508" i="1"/>
  <c r="C507" i="1" l="1"/>
  <c r="D504" i="1"/>
  <c r="D894" i="1"/>
  <c r="C898" i="1"/>
  <c r="C897" i="1"/>
  <c r="D893" i="1"/>
  <c r="C514" i="1"/>
  <c r="D511" i="1"/>
  <c r="C512" i="1"/>
  <c r="D509" i="1"/>
  <c r="C924" i="1"/>
  <c r="D920" i="1"/>
  <c r="D907" i="1"/>
  <c r="C911" i="1"/>
  <c r="C510" i="1" l="1"/>
  <c r="D507" i="1"/>
  <c r="D911" i="1"/>
  <c r="C915" i="1"/>
  <c r="C517" i="1"/>
  <c r="D514" i="1"/>
  <c r="C928" i="1"/>
  <c r="D924" i="1"/>
  <c r="D897" i="1"/>
  <c r="C901" i="1"/>
  <c r="C902" i="1"/>
  <c r="D898" i="1"/>
  <c r="C515" i="1"/>
  <c r="D512" i="1"/>
  <c r="D510" i="1" l="1"/>
  <c r="C513" i="1"/>
  <c r="C932" i="1"/>
  <c r="D928" i="1"/>
  <c r="C518" i="1"/>
  <c r="D515" i="1"/>
  <c r="C520" i="1"/>
  <c r="D517" i="1"/>
  <c r="C906" i="1"/>
  <c r="D902" i="1"/>
  <c r="C905" i="1"/>
  <c r="D901" i="1"/>
  <c r="D915" i="1"/>
  <c r="C919" i="1"/>
  <c r="C516" i="1" l="1"/>
  <c r="D513" i="1"/>
  <c r="C523" i="1"/>
  <c r="D520" i="1"/>
  <c r="D905" i="1"/>
  <c r="C909" i="1"/>
  <c r="C521" i="1"/>
  <c r="D518" i="1"/>
  <c r="C923" i="1"/>
  <c r="D919" i="1"/>
  <c r="C910" i="1"/>
  <c r="D906" i="1"/>
  <c r="D932" i="1"/>
  <c r="C936" i="1"/>
  <c r="C519" i="1" l="1"/>
  <c r="D516" i="1"/>
  <c r="C524" i="1"/>
  <c r="D524" i="1" s="1"/>
  <c r="D521" i="1"/>
  <c r="C913" i="1"/>
  <c r="D909" i="1"/>
  <c r="C914" i="1"/>
  <c r="D910" i="1"/>
  <c r="C526" i="1"/>
  <c r="D526" i="1" s="1"/>
  <c r="D523" i="1"/>
  <c r="C940" i="1"/>
  <c r="D936" i="1"/>
  <c r="D923" i="1"/>
  <c r="C927" i="1"/>
  <c r="C522" i="1" l="1"/>
  <c r="D519" i="1"/>
  <c r="C918" i="1"/>
  <c r="D914" i="1"/>
  <c r="C917" i="1"/>
  <c r="D913" i="1"/>
  <c r="D927" i="1"/>
  <c r="C931" i="1"/>
  <c r="C944" i="1"/>
  <c r="D940" i="1"/>
  <c r="C525" i="1" l="1"/>
  <c r="D525" i="1" s="1"/>
  <c r="D522" i="1"/>
  <c r="D931" i="1"/>
  <c r="C935" i="1"/>
  <c r="D944" i="1"/>
  <c r="C948" i="1"/>
  <c r="C921" i="1"/>
  <c r="D917" i="1"/>
  <c r="D918" i="1"/>
  <c r="C922" i="1"/>
  <c r="C925" i="1" l="1"/>
  <c r="D921" i="1"/>
  <c r="D948" i="1"/>
  <c r="C952" i="1"/>
  <c r="D935" i="1"/>
  <c r="C939" i="1"/>
  <c r="C926" i="1"/>
  <c r="D922" i="1"/>
  <c r="D939" i="1" l="1"/>
  <c r="C943" i="1"/>
  <c r="C956" i="1"/>
  <c r="D952" i="1"/>
  <c r="D926" i="1"/>
  <c r="C930" i="1"/>
  <c r="D925" i="1"/>
  <c r="C929" i="1"/>
  <c r="D929" i="1" l="1"/>
  <c r="C933" i="1"/>
  <c r="C934" i="1"/>
  <c r="D930" i="1"/>
  <c r="C960" i="1"/>
  <c r="D956" i="1"/>
  <c r="D943" i="1"/>
  <c r="C947" i="1"/>
  <c r="D947" i="1" l="1"/>
  <c r="C951" i="1"/>
  <c r="D960" i="1"/>
  <c r="C964" i="1"/>
  <c r="D934" i="1"/>
  <c r="C938" i="1"/>
  <c r="D933" i="1"/>
  <c r="C937" i="1"/>
  <c r="C941" i="1" l="1"/>
  <c r="D937" i="1"/>
  <c r="C942" i="1"/>
  <c r="D938" i="1"/>
  <c r="C968" i="1"/>
  <c r="D964" i="1"/>
  <c r="C955" i="1"/>
  <c r="D951" i="1"/>
  <c r="D955" i="1" l="1"/>
  <c r="C959" i="1"/>
  <c r="C972" i="1"/>
  <c r="D968" i="1"/>
  <c r="C946" i="1"/>
  <c r="D942" i="1"/>
  <c r="D941" i="1"/>
  <c r="C945" i="1"/>
  <c r="C949" i="1" l="1"/>
  <c r="D945" i="1"/>
  <c r="C950" i="1"/>
  <c r="D946" i="1"/>
  <c r="C976" i="1"/>
  <c r="D972" i="1"/>
  <c r="C963" i="1"/>
  <c r="D959" i="1"/>
  <c r="D963" i="1" l="1"/>
  <c r="C967" i="1"/>
  <c r="C980" i="1"/>
  <c r="D976" i="1"/>
  <c r="C954" i="1"/>
  <c r="D950" i="1"/>
  <c r="C953" i="1"/>
  <c r="D949" i="1"/>
  <c r="D953" i="1" l="1"/>
  <c r="C957" i="1"/>
  <c r="C958" i="1"/>
  <c r="D954" i="1"/>
  <c r="C984" i="1"/>
  <c r="D980" i="1"/>
  <c r="C971" i="1"/>
  <c r="D967" i="1"/>
  <c r="D971" i="1" l="1"/>
  <c r="C975" i="1"/>
  <c r="D984" i="1"/>
  <c r="C988" i="1"/>
  <c r="C962" i="1"/>
  <c r="D958" i="1"/>
  <c r="C961" i="1"/>
  <c r="D957" i="1"/>
  <c r="C965" i="1" l="1"/>
  <c r="D961" i="1"/>
  <c r="C966" i="1"/>
  <c r="D962" i="1"/>
  <c r="C992" i="1"/>
  <c r="D988" i="1"/>
  <c r="C979" i="1"/>
  <c r="D975" i="1"/>
  <c r="D979" i="1" l="1"/>
  <c r="C983" i="1"/>
  <c r="D992" i="1"/>
  <c r="C996" i="1"/>
  <c r="C970" i="1"/>
  <c r="D966" i="1"/>
  <c r="C969" i="1"/>
  <c r="D965" i="1"/>
  <c r="D969" i="1" l="1"/>
  <c r="C973" i="1"/>
  <c r="C974" i="1"/>
  <c r="D970" i="1"/>
  <c r="D996" i="1"/>
  <c r="C1000" i="1"/>
  <c r="C987" i="1"/>
  <c r="D983" i="1"/>
  <c r="D987" i="1" l="1"/>
  <c r="C991" i="1"/>
  <c r="D1000" i="1"/>
  <c r="C1004" i="1"/>
  <c r="C978" i="1"/>
  <c r="D974" i="1"/>
  <c r="C977" i="1"/>
  <c r="D973" i="1"/>
  <c r="C981" i="1" l="1"/>
  <c r="D977" i="1"/>
  <c r="C982" i="1"/>
  <c r="D978" i="1"/>
  <c r="C1008" i="1"/>
  <c r="D1004" i="1"/>
  <c r="D991" i="1"/>
  <c r="C995" i="1"/>
  <c r="C999" i="1" l="1"/>
  <c r="D995" i="1"/>
  <c r="C1012" i="1"/>
  <c r="D1008" i="1"/>
  <c r="C986" i="1"/>
  <c r="D982" i="1"/>
  <c r="C985" i="1"/>
  <c r="D981" i="1"/>
  <c r="C989" i="1" l="1"/>
  <c r="D985" i="1"/>
  <c r="C990" i="1"/>
  <c r="D986" i="1"/>
  <c r="D1012" i="1"/>
  <c r="C1016" i="1"/>
  <c r="C1003" i="1"/>
  <c r="D999" i="1"/>
  <c r="C1007" i="1" l="1"/>
  <c r="D1003" i="1"/>
  <c r="C1020" i="1"/>
  <c r="D1016" i="1"/>
  <c r="D990" i="1"/>
  <c r="C994" i="1"/>
  <c r="C993" i="1"/>
  <c r="D989" i="1"/>
  <c r="D994" i="1" l="1"/>
  <c r="C998" i="1"/>
  <c r="C997" i="1"/>
  <c r="D993" i="1"/>
  <c r="C1024" i="1"/>
  <c r="D1020" i="1"/>
  <c r="C1011" i="1"/>
  <c r="D1007" i="1"/>
  <c r="C1015" i="1" l="1"/>
  <c r="D1011" i="1"/>
  <c r="D997" i="1"/>
  <c r="C1001" i="1"/>
  <c r="C1002" i="1"/>
  <c r="D998" i="1"/>
  <c r="C1028" i="1"/>
  <c r="D1024" i="1"/>
  <c r="D1028" i="1" l="1"/>
  <c r="C1032" i="1"/>
  <c r="D1002" i="1"/>
  <c r="C1006" i="1"/>
  <c r="C1005" i="1"/>
  <c r="D1001" i="1"/>
  <c r="C1019" i="1"/>
  <c r="D1015" i="1"/>
  <c r="C1023" i="1" l="1"/>
  <c r="D1019" i="1"/>
  <c r="D1005" i="1"/>
  <c r="C1009" i="1"/>
  <c r="D1006" i="1"/>
  <c r="C1010" i="1"/>
  <c r="D1032" i="1"/>
  <c r="C1036" i="1"/>
  <c r="D1036" i="1" l="1"/>
  <c r="C1040" i="1"/>
  <c r="D1010" i="1"/>
  <c r="C1014" i="1"/>
  <c r="C1013" i="1"/>
  <c r="D1009" i="1"/>
  <c r="C1027" i="1"/>
  <c r="D1023" i="1"/>
  <c r="C1031" i="1" l="1"/>
  <c r="D1027" i="1"/>
  <c r="C1017" i="1"/>
  <c r="D1013" i="1"/>
  <c r="D1014" i="1"/>
  <c r="C1018" i="1"/>
  <c r="C1044" i="1"/>
  <c r="D1040" i="1"/>
  <c r="C1048" i="1" l="1"/>
  <c r="D1044" i="1"/>
  <c r="D1018" i="1"/>
  <c r="C1022" i="1"/>
  <c r="C1021" i="1"/>
  <c r="D1017" i="1"/>
  <c r="C1035" i="1"/>
  <c r="D1031" i="1"/>
  <c r="C1039" i="1" l="1"/>
  <c r="D1035" i="1"/>
  <c r="D1021" i="1"/>
  <c r="C1025" i="1"/>
  <c r="C1026" i="1"/>
  <c r="D1022" i="1"/>
  <c r="D1048" i="1"/>
  <c r="C1052" i="1"/>
  <c r="D1026" i="1" l="1"/>
  <c r="C1030" i="1"/>
  <c r="C1029" i="1"/>
  <c r="D1025" i="1"/>
  <c r="D1052" i="1"/>
  <c r="C1056" i="1"/>
  <c r="C1043" i="1"/>
  <c r="D1039" i="1"/>
  <c r="C1060" i="1" l="1"/>
  <c r="D1056" i="1"/>
  <c r="C1047" i="1"/>
  <c r="D1043" i="1"/>
  <c r="D1029" i="1"/>
  <c r="C1033" i="1"/>
  <c r="D1030" i="1"/>
  <c r="C1034" i="1"/>
  <c r="D1034" i="1" l="1"/>
  <c r="C1038" i="1"/>
  <c r="C1037" i="1"/>
  <c r="D1033" i="1"/>
  <c r="C1051" i="1"/>
  <c r="D1047" i="1"/>
  <c r="D1060" i="1"/>
  <c r="C1064" i="1"/>
  <c r="C1041" i="1" l="1"/>
  <c r="D1037" i="1"/>
  <c r="C1042" i="1"/>
  <c r="D1038" i="1"/>
  <c r="C1068" i="1"/>
  <c r="D1064" i="1"/>
  <c r="D1051" i="1"/>
  <c r="C1055" i="1"/>
  <c r="D1055" i="1" l="1"/>
  <c r="C1059" i="1"/>
  <c r="C1072" i="1"/>
  <c r="D1068" i="1"/>
  <c r="C1046" i="1"/>
  <c r="D1042" i="1"/>
  <c r="D1041" i="1"/>
  <c r="C1045" i="1"/>
  <c r="D1046" i="1" l="1"/>
  <c r="C1050" i="1"/>
  <c r="C1076" i="1"/>
  <c r="D1072" i="1"/>
  <c r="C1063" i="1"/>
  <c r="D1059" i="1"/>
  <c r="C1049" i="1"/>
  <c r="D1045" i="1"/>
  <c r="C1067" i="1" l="1"/>
  <c r="D1063" i="1"/>
  <c r="D1076" i="1"/>
  <c r="C1080" i="1"/>
  <c r="C1054" i="1"/>
  <c r="D1050" i="1"/>
  <c r="C1053" i="1"/>
  <c r="D1049" i="1"/>
  <c r="C1057" i="1" l="1"/>
  <c r="D1053" i="1"/>
  <c r="D1054" i="1"/>
  <c r="C1058" i="1"/>
  <c r="D1080" i="1"/>
  <c r="C1084" i="1"/>
  <c r="C1071" i="1"/>
  <c r="D1067" i="1"/>
  <c r="C1088" i="1" l="1"/>
  <c r="D1084" i="1"/>
  <c r="C1062" i="1"/>
  <c r="D1058" i="1"/>
  <c r="C1075" i="1"/>
  <c r="D1071" i="1"/>
  <c r="C1061" i="1"/>
  <c r="D1057" i="1"/>
  <c r="C1065" i="1" l="1"/>
  <c r="D1061" i="1"/>
  <c r="C1079" i="1"/>
  <c r="D1075" i="1"/>
  <c r="D1062" i="1"/>
  <c r="C1066" i="1"/>
  <c r="D1088" i="1"/>
  <c r="C1092" i="1"/>
  <c r="C1096" i="1" l="1"/>
  <c r="D1092" i="1"/>
  <c r="C1070" i="1"/>
  <c r="D1066" i="1"/>
  <c r="C1083" i="1"/>
  <c r="D1079" i="1"/>
  <c r="C1069" i="1"/>
  <c r="D1065" i="1"/>
  <c r="C1073" i="1" l="1"/>
  <c r="D1069" i="1"/>
  <c r="C1087" i="1"/>
  <c r="D1083" i="1"/>
  <c r="D1070" i="1"/>
  <c r="C1074" i="1"/>
  <c r="C1100" i="1"/>
  <c r="D1096" i="1"/>
  <c r="D1100" i="1" l="1"/>
  <c r="C1104" i="1"/>
  <c r="C1078" i="1"/>
  <c r="D1074" i="1"/>
  <c r="C1091" i="1"/>
  <c r="D1087" i="1"/>
  <c r="D1073" i="1"/>
  <c r="C1077" i="1"/>
  <c r="C1081" i="1" l="1"/>
  <c r="D1077" i="1"/>
  <c r="C1095" i="1"/>
  <c r="D1091" i="1"/>
  <c r="D1078" i="1"/>
  <c r="C1082" i="1"/>
  <c r="C1108" i="1"/>
  <c r="D1104" i="1"/>
  <c r="C1086" i="1" l="1"/>
  <c r="D1082" i="1"/>
  <c r="C1112" i="1"/>
  <c r="D1108" i="1"/>
  <c r="C1099" i="1"/>
  <c r="D1095" i="1"/>
  <c r="C1085" i="1"/>
  <c r="D1081" i="1"/>
  <c r="C1089" i="1" l="1"/>
  <c r="D1085" i="1"/>
  <c r="C1103" i="1"/>
  <c r="D1099" i="1"/>
  <c r="D1112" i="1"/>
  <c r="C1116" i="1"/>
  <c r="D1086" i="1"/>
  <c r="C1090" i="1"/>
  <c r="D1116" i="1" l="1"/>
  <c r="C1120" i="1"/>
  <c r="C1094" i="1"/>
  <c r="D1090" i="1"/>
  <c r="D1103" i="1"/>
  <c r="C1107" i="1"/>
  <c r="C1093" i="1"/>
  <c r="D1089" i="1"/>
  <c r="D1094" i="1" l="1"/>
  <c r="C1098" i="1"/>
  <c r="C1097" i="1"/>
  <c r="D1093" i="1"/>
  <c r="C1111" i="1"/>
  <c r="D1107" i="1"/>
  <c r="C1124" i="1"/>
  <c r="D1120" i="1"/>
  <c r="C1128" i="1" l="1"/>
  <c r="D1124" i="1"/>
  <c r="C1115" i="1"/>
  <c r="D1111" i="1"/>
  <c r="D1097" i="1"/>
  <c r="C1101" i="1"/>
  <c r="D1098" i="1"/>
  <c r="C1102" i="1"/>
  <c r="C1105" i="1" l="1"/>
  <c r="D1101" i="1"/>
  <c r="C1119" i="1"/>
  <c r="D1115" i="1"/>
  <c r="D1102" i="1"/>
  <c r="C1106" i="1"/>
  <c r="C1132" i="1"/>
  <c r="D1128" i="1"/>
  <c r="C1136" i="1" l="1"/>
  <c r="D1132" i="1"/>
  <c r="D1106" i="1"/>
  <c r="C1110" i="1"/>
  <c r="D1119" i="1"/>
  <c r="C1123" i="1"/>
  <c r="D1105" i="1"/>
  <c r="C1109" i="1"/>
  <c r="D1110" i="1" l="1"/>
  <c r="C1114" i="1"/>
  <c r="C1113" i="1"/>
  <c r="D1109" i="1"/>
  <c r="D1123" i="1"/>
  <c r="C1127" i="1"/>
  <c r="D1136" i="1"/>
  <c r="C1140" i="1"/>
  <c r="C1144" i="1" l="1"/>
  <c r="D1140" i="1"/>
  <c r="C1117" i="1"/>
  <c r="D1113" i="1"/>
  <c r="D1114" i="1"/>
  <c r="C1118" i="1"/>
  <c r="C1131" i="1"/>
  <c r="D1127" i="1"/>
  <c r="C1135" i="1" l="1"/>
  <c r="D1131" i="1"/>
  <c r="D1118" i="1"/>
  <c r="C1122" i="1"/>
  <c r="C1121" i="1"/>
  <c r="D1117" i="1"/>
  <c r="D1144" i="1"/>
  <c r="C1148" i="1"/>
  <c r="C1152" i="1" l="1"/>
  <c r="D1148" i="1"/>
  <c r="C1125" i="1"/>
  <c r="D1121" i="1"/>
  <c r="D1122" i="1"/>
  <c r="C1126" i="1"/>
  <c r="C1139" i="1"/>
  <c r="D1135" i="1"/>
  <c r="D1139" i="1" l="1"/>
  <c r="C1143" i="1"/>
  <c r="C1129" i="1"/>
  <c r="D1125" i="1"/>
  <c r="C1130" i="1"/>
  <c r="D1126" i="1"/>
  <c r="C1156" i="1"/>
  <c r="D1152" i="1"/>
  <c r="C1160" i="1" l="1"/>
  <c r="D1156" i="1"/>
  <c r="D1130" i="1"/>
  <c r="C1134" i="1"/>
  <c r="C1133" i="1"/>
  <c r="D1129" i="1"/>
  <c r="C1147" i="1"/>
  <c r="D1143" i="1"/>
  <c r="C1151" i="1" l="1"/>
  <c r="D1147" i="1"/>
  <c r="C1137" i="1"/>
  <c r="D1133" i="1"/>
  <c r="C1138" i="1"/>
  <c r="D1134" i="1"/>
  <c r="D1160" i="1"/>
  <c r="C1164" i="1"/>
  <c r="D1138" i="1" l="1"/>
  <c r="C1142" i="1"/>
  <c r="C1141" i="1"/>
  <c r="D1137" i="1"/>
  <c r="C1168" i="1"/>
  <c r="D1164" i="1"/>
  <c r="D1151" i="1"/>
  <c r="C1155" i="1"/>
  <c r="C1145" i="1" l="1"/>
  <c r="D1141" i="1"/>
  <c r="C1146" i="1"/>
  <c r="D1142" i="1"/>
  <c r="C1159" i="1"/>
  <c r="D1155" i="1"/>
  <c r="D1168" i="1"/>
  <c r="C1172" i="1"/>
  <c r="C1176" i="1" l="1"/>
  <c r="D1172" i="1"/>
  <c r="C1163" i="1"/>
  <c r="D1159" i="1"/>
  <c r="D1146" i="1"/>
  <c r="C1150" i="1"/>
  <c r="C1149" i="1"/>
  <c r="D1145" i="1"/>
  <c r="C1153" i="1" l="1"/>
  <c r="D1149" i="1"/>
  <c r="C1154" i="1"/>
  <c r="D1150" i="1"/>
  <c r="C1167" i="1"/>
  <c r="D1163" i="1"/>
  <c r="D1176" i="1"/>
  <c r="C1180" i="1"/>
  <c r="C1184" i="1" l="1"/>
  <c r="D1180" i="1"/>
  <c r="D1167" i="1"/>
  <c r="C1171" i="1"/>
  <c r="D1154" i="1"/>
  <c r="C1158" i="1"/>
  <c r="C1157" i="1"/>
  <c r="D1153" i="1"/>
  <c r="C1162" i="1" l="1"/>
  <c r="D1158" i="1"/>
  <c r="C1175" i="1"/>
  <c r="D1171" i="1"/>
  <c r="C1161" i="1"/>
  <c r="D1157" i="1"/>
  <c r="D1184" i="1"/>
  <c r="C1188" i="1"/>
  <c r="C1192" i="1" l="1"/>
  <c r="D1188" i="1"/>
  <c r="C1165" i="1"/>
  <c r="D1161" i="1"/>
  <c r="C1179" i="1"/>
  <c r="D1175" i="1"/>
  <c r="D1162" i="1"/>
  <c r="C1166" i="1"/>
  <c r="C1170" i="1" l="1"/>
  <c r="D1166" i="1"/>
  <c r="D1179" i="1"/>
  <c r="C1183" i="1"/>
  <c r="D1165" i="1"/>
  <c r="C1169" i="1"/>
  <c r="C1196" i="1"/>
  <c r="D1192" i="1"/>
  <c r="C1200" i="1" l="1"/>
  <c r="D1196" i="1"/>
  <c r="C1173" i="1"/>
  <c r="D1169" i="1"/>
  <c r="C1187" i="1"/>
  <c r="D1183" i="1"/>
  <c r="D1170" i="1"/>
  <c r="C1174" i="1"/>
  <c r="D1174" i="1" l="1"/>
  <c r="C1178" i="1"/>
  <c r="D1187" i="1"/>
  <c r="C1191" i="1"/>
  <c r="C1177" i="1"/>
  <c r="D1173" i="1"/>
  <c r="C1204" i="1"/>
  <c r="D1200" i="1"/>
  <c r="C1208" i="1" l="1"/>
  <c r="D1204" i="1"/>
  <c r="C1181" i="1"/>
  <c r="D1177" i="1"/>
  <c r="C1195" i="1"/>
  <c r="D1191" i="1"/>
  <c r="D1178" i="1"/>
  <c r="C1182" i="1"/>
  <c r="D1182" i="1" l="1"/>
  <c r="C1186" i="1"/>
  <c r="C1199" i="1"/>
  <c r="D1195" i="1"/>
  <c r="C1185" i="1"/>
  <c r="D1181" i="1"/>
  <c r="C1212" i="1"/>
  <c r="D1208" i="1"/>
  <c r="D1185" i="1" l="1"/>
  <c r="C1189" i="1"/>
  <c r="D1199" i="1"/>
  <c r="C1203" i="1"/>
  <c r="D1186" i="1"/>
  <c r="C1190" i="1"/>
  <c r="C1216" i="1"/>
  <c r="D1212" i="1"/>
  <c r="C1220" i="1" l="1"/>
  <c r="D1216" i="1"/>
  <c r="D1190" i="1"/>
  <c r="C1194" i="1"/>
  <c r="C1207" i="1"/>
  <c r="D1203" i="1"/>
  <c r="C1193" i="1"/>
  <c r="D1189" i="1"/>
  <c r="C1197" i="1" l="1"/>
  <c r="D1193" i="1"/>
  <c r="D1207" i="1"/>
  <c r="C1211" i="1"/>
  <c r="C1198" i="1"/>
  <c r="D1194" i="1"/>
  <c r="C1224" i="1"/>
  <c r="D1220" i="1"/>
  <c r="C1228" i="1" l="1"/>
  <c r="D1224" i="1"/>
  <c r="D1198" i="1"/>
  <c r="C1202" i="1"/>
  <c r="C1215" i="1"/>
  <c r="D1211" i="1"/>
  <c r="C1201" i="1"/>
  <c r="D1197" i="1"/>
  <c r="C1205" i="1" l="1"/>
  <c r="D1201" i="1"/>
  <c r="C1219" i="1"/>
  <c r="D1215" i="1"/>
  <c r="C1206" i="1"/>
  <c r="D1202" i="1"/>
  <c r="C1232" i="1"/>
  <c r="D1228" i="1"/>
  <c r="C1236" i="1" l="1"/>
  <c r="D1232" i="1"/>
  <c r="D1206" i="1"/>
  <c r="C1210" i="1"/>
  <c r="C1223" i="1"/>
  <c r="D1219" i="1"/>
  <c r="C1209" i="1"/>
  <c r="D1205" i="1"/>
  <c r="C1213" i="1" l="1"/>
  <c r="D1209" i="1"/>
  <c r="C1227" i="1"/>
  <c r="D1223" i="1"/>
  <c r="D1210" i="1"/>
  <c r="C1214" i="1"/>
  <c r="D1236" i="1"/>
  <c r="C1240" i="1"/>
  <c r="C1244" i="1" l="1"/>
  <c r="D1240" i="1"/>
  <c r="D1214" i="1"/>
  <c r="C1218" i="1"/>
  <c r="C1231" i="1"/>
  <c r="D1227" i="1"/>
  <c r="C1217" i="1"/>
  <c r="D1213" i="1"/>
  <c r="C1221" i="1" l="1"/>
  <c r="D1217" i="1"/>
  <c r="D1231" i="1"/>
  <c r="C1235" i="1"/>
  <c r="C1222" i="1"/>
  <c r="D1218" i="1"/>
  <c r="D1244" i="1"/>
  <c r="C1248" i="1"/>
  <c r="D1222" i="1" l="1"/>
  <c r="C1226" i="1"/>
  <c r="C1239" i="1"/>
  <c r="D1235" i="1"/>
  <c r="D1248" i="1"/>
  <c r="C1252" i="1"/>
  <c r="C1225" i="1"/>
  <c r="D1221" i="1"/>
  <c r="D1252" i="1" l="1"/>
  <c r="C1256" i="1"/>
  <c r="C1229" i="1"/>
  <c r="D1225" i="1"/>
  <c r="D1239" i="1"/>
  <c r="C1243" i="1"/>
  <c r="C1230" i="1"/>
  <c r="D1226" i="1"/>
  <c r="C1247" i="1" l="1"/>
  <c r="D1243" i="1"/>
  <c r="D1230" i="1"/>
  <c r="C1234" i="1"/>
  <c r="C1233" i="1"/>
  <c r="D1229" i="1"/>
  <c r="C1260" i="1"/>
  <c r="D1256" i="1"/>
  <c r="C1264" i="1" l="1"/>
  <c r="D1260" i="1"/>
  <c r="D1233" i="1"/>
  <c r="C1237" i="1"/>
  <c r="C1238" i="1"/>
  <c r="D1234" i="1"/>
  <c r="C1251" i="1"/>
  <c r="D1247" i="1"/>
  <c r="D1251" i="1" l="1"/>
  <c r="C1255" i="1"/>
  <c r="D1238" i="1"/>
  <c r="C1242" i="1"/>
  <c r="C1241" i="1"/>
  <c r="D1237" i="1"/>
  <c r="C1268" i="1"/>
  <c r="D1264" i="1"/>
  <c r="C1272" i="1" l="1"/>
  <c r="D1268" i="1"/>
  <c r="C1245" i="1"/>
  <c r="D1241" i="1"/>
  <c r="D1242" i="1"/>
  <c r="C1246" i="1"/>
  <c r="C1259" i="1"/>
  <c r="D1255" i="1"/>
  <c r="C1263" i="1" l="1"/>
  <c r="D1259" i="1"/>
  <c r="D1246" i="1"/>
  <c r="C1250" i="1"/>
  <c r="C1249" i="1"/>
  <c r="D1245" i="1"/>
  <c r="C1276" i="1"/>
  <c r="D1272" i="1"/>
  <c r="C1280" i="1" l="1"/>
  <c r="D1276" i="1"/>
  <c r="C1253" i="1"/>
  <c r="D1249" i="1"/>
  <c r="C1254" i="1"/>
  <c r="D1250" i="1"/>
  <c r="C1267" i="1"/>
  <c r="D1263" i="1"/>
  <c r="C1271" i="1" l="1"/>
  <c r="D1267" i="1"/>
  <c r="D1254" i="1"/>
  <c r="C1258" i="1"/>
  <c r="C1257" i="1"/>
  <c r="D1253" i="1"/>
  <c r="D1280" i="1"/>
  <c r="C1284" i="1"/>
  <c r="C1288" i="1" l="1"/>
  <c r="D1284" i="1"/>
  <c r="C1261" i="1"/>
  <c r="D1257" i="1"/>
  <c r="D1258" i="1"/>
  <c r="C1262" i="1"/>
  <c r="C1275" i="1"/>
  <c r="D1271" i="1"/>
  <c r="C1279" i="1" l="1"/>
  <c r="D1275" i="1"/>
  <c r="D1262" i="1"/>
  <c r="C1266" i="1"/>
  <c r="C1265" i="1"/>
  <c r="D1261" i="1"/>
  <c r="C1292" i="1"/>
  <c r="D1288" i="1"/>
  <c r="C1296" i="1" l="1"/>
  <c r="D1292" i="1"/>
  <c r="D1265" i="1"/>
  <c r="C1269" i="1"/>
  <c r="C1270" i="1"/>
  <c r="D1266" i="1"/>
  <c r="D1279" i="1"/>
  <c r="C1283" i="1"/>
  <c r="D1283" i="1" l="1"/>
  <c r="C1287" i="1"/>
  <c r="D1270" i="1"/>
  <c r="C1274" i="1"/>
  <c r="C1273" i="1"/>
  <c r="D1269" i="1"/>
  <c r="C1300" i="1"/>
  <c r="D1296" i="1"/>
  <c r="C1304" i="1" l="1"/>
  <c r="D1300" i="1"/>
  <c r="D1273" i="1"/>
  <c r="C1277" i="1"/>
  <c r="C1278" i="1"/>
  <c r="D1274" i="1"/>
  <c r="D1287" i="1"/>
  <c r="C1291" i="1"/>
  <c r="D1278" i="1" l="1"/>
  <c r="C1282" i="1"/>
  <c r="C1281" i="1"/>
  <c r="D1277" i="1"/>
  <c r="C1295" i="1"/>
  <c r="D1291" i="1"/>
  <c r="D1304" i="1"/>
  <c r="C1308" i="1"/>
  <c r="D1308" i="1" l="1"/>
  <c r="C1312" i="1"/>
  <c r="C1299" i="1"/>
  <c r="D1295" i="1"/>
  <c r="C1285" i="1"/>
  <c r="D1281" i="1"/>
  <c r="D1282" i="1"/>
  <c r="C1286" i="1"/>
  <c r="D1286" i="1" l="1"/>
  <c r="C1290" i="1"/>
  <c r="C1289" i="1"/>
  <c r="D1285" i="1"/>
  <c r="C1303" i="1"/>
  <c r="D1299" i="1"/>
  <c r="D1312" i="1"/>
  <c r="C1316" i="1"/>
  <c r="D1316" i="1" l="1"/>
  <c r="C1320" i="1"/>
  <c r="C1307" i="1"/>
  <c r="D1303" i="1"/>
  <c r="C1293" i="1"/>
  <c r="D1289" i="1"/>
  <c r="D1290" i="1"/>
  <c r="C1294" i="1"/>
  <c r="D1307" i="1" l="1"/>
  <c r="C1311" i="1"/>
  <c r="C1324" i="1"/>
  <c r="D1320" i="1"/>
  <c r="C1298" i="1"/>
  <c r="D1294" i="1"/>
  <c r="C1297" i="1"/>
  <c r="D1293" i="1"/>
  <c r="C1301" i="1" l="1"/>
  <c r="D1297" i="1"/>
  <c r="C1328" i="1"/>
  <c r="D1324" i="1"/>
  <c r="C1315" i="1"/>
  <c r="D1311" i="1"/>
  <c r="D1298" i="1"/>
  <c r="C1302" i="1"/>
  <c r="C1306" i="1" l="1"/>
  <c r="D1302" i="1"/>
  <c r="C1319" i="1"/>
  <c r="D1315" i="1"/>
  <c r="D1328" i="1"/>
  <c r="C1332" i="1"/>
  <c r="D1301" i="1"/>
  <c r="C1305" i="1"/>
  <c r="C1309" i="1" l="1"/>
  <c r="D1305" i="1"/>
  <c r="D1332" i="1"/>
  <c r="C1336" i="1"/>
  <c r="D1319" i="1"/>
  <c r="C1323" i="1"/>
  <c r="D1306" i="1"/>
  <c r="C1310" i="1"/>
  <c r="D1310" i="1" l="1"/>
  <c r="C1314" i="1"/>
  <c r="C1327" i="1"/>
  <c r="D1323" i="1"/>
  <c r="C1340" i="1"/>
  <c r="D1336" i="1"/>
  <c r="C1313" i="1"/>
  <c r="D1309" i="1"/>
  <c r="C1344" i="1" l="1"/>
  <c r="D1340" i="1"/>
  <c r="D1327" i="1"/>
  <c r="C1331" i="1"/>
  <c r="D1314" i="1"/>
  <c r="C1318" i="1"/>
  <c r="C1317" i="1"/>
  <c r="D1313" i="1"/>
  <c r="C1321" i="1" l="1"/>
  <c r="D1317" i="1"/>
  <c r="D1318" i="1"/>
  <c r="C1322" i="1"/>
  <c r="D1331" i="1"/>
  <c r="C1335" i="1"/>
  <c r="D1344" i="1"/>
  <c r="C1348" i="1"/>
  <c r="C1339" i="1" l="1"/>
  <c r="D1335" i="1"/>
  <c r="D1322" i="1"/>
  <c r="C1326" i="1"/>
  <c r="C1352" i="1"/>
  <c r="D1348" i="1"/>
  <c r="C1325" i="1"/>
  <c r="D1321" i="1"/>
  <c r="C1329" i="1" l="1"/>
  <c r="D1325" i="1"/>
  <c r="D1352" i="1"/>
  <c r="C1356" i="1"/>
  <c r="C1330" i="1"/>
  <c r="D1326" i="1"/>
  <c r="D1339" i="1"/>
  <c r="C1343" i="1"/>
  <c r="C1347" i="1" l="1"/>
  <c r="D1343" i="1"/>
  <c r="C1334" i="1"/>
  <c r="D1330" i="1"/>
  <c r="C1360" i="1"/>
  <c r="D1356" i="1"/>
  <c r="C1333" i="1"/>
  <c r="D1329" i="1"/>
  <c r="C1337" i="1" l="1"/>
  <c r="D1333" i="1"/>
  <c r="D1360" i="1"/>
  <c r="C1364" i="1"/>
  <c r="C1338" i="1"/>
  <c r="D1334" i="1"/>
  <c r="D1347" i="1"/>
  <c r="C1351" i="1"/>
  <c r="C1342" i="1" l="1"/>
  <c r="D1338" i="1"/>
  <c r="D1364" i="1"/>
  <c r="C1368" i="1"/>
  <c r="C1355" i="1"/>
  <c r="D1351" i="1"/>
  <c r="C1341" i="1"/>
  <c r="D1337" i="1"/>
  <c r="C1345" i="1" l="1"/>
  <c r="D1341" i="1"/>
  <c r="D1355" i="1"/>
  <c r="C1359" i="1"/>
  <c r="D1368" i="1"/>
  <c r="C1372" i="1"/>
  <c r="C1346" i="1"/>
  <c r="D1342" i="1"/>
  <c r="C1350" i="1" l="1"/>
  <c r="D1346" i="1"/>
  <c r="C1376" i="1"/>
  <c r="D1372" i="1"/>
  <c r="C1363" i="1"/>
  <c r="D1359" i="1"/>
  <c r="C1349" i="1"/>
  <c r="D1345" i="1"/>
  <c r="C1353" i="1" l="1"/>
  <c r="D1349" i="1"/>
  <c r="D1363" i="1"/>
  <c r="C1367" i="1"/>
  <c r="D1376" i="1"/>
  <c r="C1380" i="1"/>
  <c r="C1354" i="1"/>
  <c r="D1350" i="1"/>
  <c r="C1358" i="1" l="1"/>
  <c r="D1354" i="1"/>
  <c r="D1380" i="1"/>
  <c r="C1384" i="1"/>
  <c r="D1367" i="1"/>
  <c r="C1371" i="1"/>
  <c r="D1353" i="1"/>
  <c r="C1357" i="1"/>
  <c r="C1361" i="1" l="1"/>
  <c r="D1357" i="1"/>
  <c r="D1371" i="1"/>
  <c r="C1375" i="1"/>
  <c r="C1388" i="1"/>
  <c r="D1384" i="1"/>
  <c r="D1358" i="1"/>
  <c r="C1362" i="1"/>
  <c r="C1366" i="1" l="1"/>
  <c r="D1362" i="1"/>
  <c r="D1388" i="1"/>
  <c r="C1392" i="1"/>
  <c r="D1375" i="1"/>
  <c r="C1379" i="1"/>
  <c r="D1361" i="1"/>
  <c r="C1365" i="1"/>
  <c r="C1369" i="1" l="1"/>
  <c r="D1365" i="1"/>
  <c r="C1383" i="1"/>
  <c r="D1379" i="1"/>
  <c r="C1396" i="1"/>
  <c r="D1392" i="1"/>
  <c r="C1370" i="1"/>
  <c r="D1366" i="1"/>
  <c r="C1374" i="1" l="1"/>
  <c r="D1370" i="1"/>
  <c r="C1400" i="1"/>
  <c r="D1396" i="1"/>
  <c r="D1383" i="1"/>
  <c r="C1387" i="1"/>
  <c r="D1369" i="1"/>
  <c r="C1373" i="1"/>
  <c r="D1373" i="1" l="1"/>
  <c r="C1377" i="1"/>
  <c r="D1387" i="1"/>
  <c r="C1391" i="1"/>
  <c r="C1404" i="1"/>
  <c r="D1400" i="1"/>
  <c r="C1378" i="1"/>
  <c r="D1374" i="1"/>
  <c r="D1378" i="1" l="1"/>
  <c r="C1382" i="1"/>
  <c r="D1404" i="1"/>
  <c r="C1408" i="1"/>
  <c r="D1391" i="1"/>
  <c r="C1395" i="1"/>
  <c r="C1381" i="1"/>
  <c r="D1377" i="1"/>
  <c r="C1399" i="1" l="1"/>
  <c r="D1395" i="1"/>
  <c r="D1408" i="1"/>
  <c r="C1412" i="1"/>
  <c r="C1386" i="1"/>
  <c r="D1382" i="1"/>
  <c r="C1385" i="1"/>
  <c r="D1381" i="1"/>
  <c r="D1385" i="1" l="1"/>
  <c r="C1389" i="1"/>
  <c r="C1390" i="1"/>
  <c r="D1386" i="1"/>
  <c r="D1412" i="1"/>
  <c r="C1416" i="1"/>
  <c r="D1399" i="1"/>
  <c r="C1403" i="1"/>
  <c r="D1403" i="1" l="1"/>
  <c r="C1407" i="1"/>
  <c r="C1420" i="1"/>
  <c r="D1416" i="1"/>
  <c r="C1394" i="1"/>
  <c r="D1390" i="1"/>
  <c r="C1393" i="1"/>
  <c r="D1389" i="1"/>
  <c r="D1394" i="1" l="1"/>
  <c r="C1398" i="1"/>
  <c r="D1420" i="1"/>
  <c r="C1424" i="1"/>
  <c r="C1411" i="1"/>
  <c r="D1407" i="1"/>
  <c r="C1397" i="1"/>
  <c r="D1393" i="1"/>
  <c r="C1428" i="1" l="1"/>
  <c r="D1424" i="1"/>
  <c r="C1402" i="1"/>
  <c r="D1398" i="1"/>
  <c r="D1397" i="1"/>
  <c r="C1401" i="1"/>
  <c r="D1411" i="1"/>
  <c r="C1415" i="1"/>
  <c r="D1415" i="1" l="1"/>
  <c r="C1419" i="1"/>
  <c r="C1405" i="1"/>
  <c r="D1401" i="1"/>
  <c r="D1402" i="1"/>
  <c r="C1406" i="1"/>
  <c r="D1428" i="1"/>
  <c r="C1432" i="1"/>
  <c r="D1405" i="1" l="1"/>
  <c r="C1409" i="1"/>
  <c r="D1419" i="1"/>
  <c r="C1423" i="1"/>
  <c r="D1432" i="1"/>
  <c r="C1436" i="1"/>
  <c r="C1410" i="1"/>
  <c r="D1406" i="1"/>
  <c r="C1414" i="1" l="1"/>
  <c r="D1410" i="1"/>
  <c r="D1436" i="1"/>
  <c r="C1440" i="1"/>
  <c r="D1423" i="1"/>
  <c r="C1427" i="1"/>
  <c r="C1413" i="1"/>
  <c r="D1409" i="1"/>
  <c r="D1427" i="1" l="1"/>
  <c r="C1431" i="1"/>
  <c r="C1444" i="1"/>
  <c r="D1440" i="1"/>
  <c r="C1417" i="1"/>
  <c r="D1413" i="1"/>
  <c r="D1414" i="1"/>
  <c r="C1418" i="1"/>
  <c r="C1422" i="1" l="1"/>
  <c r="D1418" i="1"/>
  <c r="C1421" i="1"/>
  <c r="D1417" i="1"/>
  <c r="D1444" i="1"/>
  <c r="C1448" i="1"/>
  <c r="C1435" i="1"/>
  <c r="D1431" i="1"/>
  <c r="D1448" i="1" l="1"/>
  <c r="C1452" i="1"/>
  <c r="D1435" i="1"/>
  <c r="C1439" i="1"/>
  <c r="C1425" i="1"/>
  <c r="D1421" i="1"/>
  <c r="D1422" i="1"/>
  <c r="C1426" i="1"/>
  <c r="C1429" i="1" l="1"/>
  <c r="D1425" i="1"/>
  <c r="D1439" i="1"/>
  <c r="C1443" i="1"/>
  <c r="C1456" i="1"/>
  <c r="D1452" i="1"/>
  <c r="C1430" i="1"/>
  <c r="D1426" i="1"/>
  <c r="C1434" i="1" l="1"/>
  <c r="D1430" i="1"/>
  <c r="C1460" i="1"/>
  <c r="D1456" i="1"/>
  <c r="D1443" i="1"/>
  <c r="C1447" i="1"/>
  <c r="D1429" i="1"/>
  <c r="C1433" i="1"/>
  <c r="D1433" i="1" l="1"/>
  <c r="C1437" i="1"/>
  <c r="D1447" i="1"/>
  <c r="C1451" i="1"/>
  <c r="D1460" i="1"/>
  <c r="C1464" i="1"/>
  <c r="D1434" i="1"/>
  <c r="C1438" i="1"/>
  <c r="C1442" i="1" l="1"/>
  <c r="D1438" i="1"/>
  <c r="C1468" i="1"/>
  <c r="D1464" i="1"/>
  <c r="C1455" i="1"/>
  <c r="D1451" i="1"/>
  <c r="D1437" i="1"/>
  <c r="C1441" i="1"/>
  <c r="D1441" i="1" l="1"/>
  <c r="C1445" i="1"/>
  <c r="D1455" i="1"/>
  <c r="C1459" i="1"/>
  <c r="C1472" i="1"/>
  <c r="D1468" i="1"/>
  <c r="D1442" i="1"/>
  <c r="C1446" i="1"/>
  <c r="C1450" i="1" l="1"/>
  <c r="D1446" i="1"/>
  <c r="D1472" i="1"/>
  <c r="C1476" i="1"/>
  <c r="D1459" i="1"/>
  <c r="C1463" i="1"/>
  <c r="C1449" i="1"/>
  <c r="D1445" i="1"/>
  <c r="C1453" i="1" l="1"/>
  <c r="D1449" i="1"/>
  <c r="D1463" i="1"/>
  <c r="C1467" i="1"/>
  <c r="C1480" i="1"/>
  <c r="D1476" i="1"/>
  <c r="C1454" i="1"/>
  <c r="D1450" i="1"/>
  <c r="C1458" i="1" l="1"/>
  <c r="D1454" i="1"/>
  <c r="C1484" i="1"/>
  <c r="D1480" i="1"/>
  <c r="C1471" i="1"/>
  <c r="D1467" i="1"/>
  <c r="C1457" i="1"/>
  <c r="D1453" i="1"/>
  <c r="C1461" i="1" l="1"/>
  <c r="D1457" i="1"/>
  <c r="C1475" i="1"/>
  <c r="D1471" i="1"/>
  <c r="C1488" i="1"/>
  <c r="D1484" i="1"/>
  <c r="C1462" i="1"/>
  <c r="D1458" i="1"/>
  <c r="D1462" i="1" l="1"/>
  <c r="C1466" i="1"/>
  <c r="D1488" i="1"/>
  <c r="C1492" i="1"/>
  <c r="C1479" i="1"/>
  <c r="D1475" i="1"/>
  <c r="C1465" i="1"/>
  <c r="D1461" i="1"/>
  <c r="C1483" i="1" l="1"/>
  <c r="D1479" i="1"/>
  <c r="D1492" i="1"/>
  <c r="C1496" i="1"/>
  <c r="C1470" i="1"/>
  <c r="D1466" i="1"/>
  <c r="D1465" i="1"/>
  <c r="C1469" i="1"/>
  <c r="C1474" i="1" l="1"/>
  <c r="D1470" i="1"/>
  <c r="C1500" i="1"/>
  <c r="D1496" i="1"/>
  <c r="C1473" i="1"/>
  <c r="D1469" i="1"/>
  <c r="C1487" i="1"/>
  <c r="D1483" i="1"/>
  <c r="D1473" i="1" l="1"/>
  <c r="C1477" i="1"/>
  <c r="C1504" i="1"/>
  <c r="D1500" i="1"/>
  <c r="D1487" i="1"/>
  <c r="C1491" i="1"/>
  <c r="D1474" i="1"/>
  <c r="C1478" i="1"/>
  <c r="D1478" i="1" l="1"/>
  <c r="C1482" i="1"/>
  <c r="D1491" i="1"/>
  <c r="C1495" i="1"/>
  <c r="D1504" i="1"/>
  <c r="C1508" i="1"/>
  <c r="D1477" i="1"/>
  <c r="C1481" i="1"/>
  <c r="C1485" i="1" l="1"/>
  <c r="D1481" i="1"/>
  <c r="D1508" i="1"/>
  <c r="C1512" i="1"/>
  <c r="C1499" i="1"/>
  <c r="D1495" i="1"/>
  <c r="D1482" i="1"/>
  <c r="C1486" i="1"/>
  <c r="C1503" i="1" l="1"/>
  <c r="D1499" i="1"/>
  <c r="C1516" i="1"/>
  <c r="D1512" i="1"/>
  <c r="C1490" i="1"/>
  <c r="D1486" i="1"/>
  <c r="C1489" i="1"/>
  <c r="D1485" i="1"/>
  <c r="C1493" i="1" l="1"/>
  <c r="D1489" i="1"/>
  <c r="D1490" i="1"/>
  <c r="C1494" i="1"/>
  <c r="C1520" i="1"/>
  <c r="D1516" i="1"/>
  <c r="D1503" i="1"/>
  <c r="C1507" i="1"/>
  <c r="C1511" i="1" l="1"/>
  <c r="D1507" i="1"/>
  <c r="D1520" i="1"/>
  <c r="C1524" i="1"/>
  <c r="D1494" i="1"/>
  <c r="C1498" i="1"/>
  <c r="C1497" i="1"/>
  <c r="D1493" i="1"/>
  <c r="C1501" i="1" l="1"/>
  <c r="D1497" i="1"/>
  <c r="C1502" i="1"/>
  <c r="D1498" i="1"/>
  <c r="C1528" i="1"/>
  <c r="D1524" i="1"/>
  <c r="D1511" i="1"/>
  <c r="C1515" i="1"/>
  <c r="C1519" i="1" l="1"/>
  <c r="D1515" i="1"/>
  <c r="D1528" i="1"/>
  <c r="C1532" i="1"/>
  <c r="C1506" i="1"/>
  <c r="D1502" i="1"/>
  <c r="C1505" i="1"/>
  <c r="D1501" i="1"/>
  <c r="D1505" i="1" l="1"/>
  <c r="C1509" i="1"/>
  <c r="C1510" i="1"/>
  <c r="D1506" i="1"/>
  <c r="C1536" i="1"/>
  <c r="D1532" i="1"/>
  <c r="C1523" i="1"/>
  <c r="D1519" i="1"/>
  <c r="D1523" i="1" l="1"/>
  <c r="C1527" i="1"/>
  <c r="C1540" i="1"/>
  <c r="D1536" i="1"/>
  <c r="C1514" i="1"/>
  <c r="D1510" i="1"/>
  <c r="C1513" i="1"/>
  <c r="D1509" i="1"/>
  <c r="C1518" i="1" l="1"/>
  <c r="D1514" i="1"/>
  <c r="C1544" i="1"/>
  <c r="D1540" i="1"/>
  <c r="C1531" i="1"/>
  <c r="D1527" i="1"/>
  <c r="D1513" i="1"/>
  <c r="C1517" i="1"/>
  <c r="D1531" i="1" l="1"/>
  <c r="C1535" i="1"/>
  <c r="C1521" i="1"/>
  <c r="D1517" i="1"/>
  <c r="C1548" i="1"/>
  <c r="D1544" i="1"/>
  <c r="D1518" i="1"/>
  <c r="C1522" i="1"/>
  <c r="D1522" i="1" l="1"/>
  <c r="C1526" i="1"/>
  <c r="C1525" i="1"/>
  <c r="D1521" i="1"/>
  <c r="D1535" i="1"/>
  <c r="C1539" i="1"/>
  <c r="C1552" i="1"/>
  <c r="D1548" i="1"/>
  <c r="C1543" i="1" l="1"/>
  <c r="D1539" i="1"/>
  <c r="D1552" i="1"/>
  <c r="C1556" i="1"/>
  <c r="D1525" i="1"/>
  <c r="C1529" i="1"/>
  <c r="D1526" i="1"/>
  <c r="C1530" i="1"/>
  <c r="D1530" i="1" l="1"/>
  <c r="C1534" i="1"/>
  <c r="C1533" i="1"/>
  <c r="D1529" i="1"/>
  <c r="D1556" i="1"/>
  <c r="C1560" i="1"/>
  <c r="C1547" i="1"/>
  <c r="D1543" i="1"/>
  <c r="C1551" i="1" l="1"/>
  <c r="D1547" i="1"/>
  <c r="C1537" i="1"/>
  <c r="D1533" i="1"/>
  <c r="C1538" i="1"/>
  <c r="D1534" i="1"/>
  <c r="D1560" i="1"/>
  <c r="C1564" i="1"/>
  <c r="C1568" i="1" l="1"/>
  <c r="D1564" i="1"/>
  <c r="C1542" i="1"/>
  <c r="D1538" i="1"/>
  <c r="D1537" i="1"/>
  <c r="C1541" i="1"/>
  <c r="C1555" i="1"/>
  <c r="D1551" i="1"/>
  <c r="D1555" i="1" l="1"/>
  <c r="C1559" i="1"/>
  <c r="C1545" i="1"/>
  <c r="D1541" i="1"/>
  <c r="D1542" i="1"/>
  <c r="C1546" i="1"/>
  <c r="C1572" i="1"/>
  <c r="D1568" i="1"/>
  <c r="C1576" i="1" l="1"/>
  <c r="D1572" i="1"/>
  <c r="D1545" i="1"/>
  <c r="C1549" i="1"/>
  <c r="C1563" i="1"/>
  <c r="D1559" i="1"/>
  <c r="C1550" i="1"/>
  <c r="D1546" i="1"/>
  <c r="D1550" i="1" l="1"/>
  <c r="C1554" i="1"/>
  <c r="D1563" i="1"/>
  <c r="C1567" i="1"/>
  <c r="D1549" i="1"/>
  <c r="C1553" i="1"/>
  <c r="C1580" i="1"/>
  <c r="D1576" i="1"/>
  <c r="D1553" i="1" l="1"/>
  <c r="C1557" i="1"/>
  <c r="D1567" i="1"/>
  <c r="C1571" i="1"/>
  <c r="C1558" i="1"/>
  <c r="D1554" i="1"/>
  <c r="D1580" i="1"/>
  <c r="C1584" i="1"/>
  <c r="D1584" i="1" l="1"/>
  <c r="C1588" i="1"/>
  <c r="C1562" i="1"/>
  <c r="D1558" i="1"/>
  <c r="C1575" i="1"/>
  <c r="D1571" i="1"/>
  <c r="D1557" i="1"/>
  <c r="C1561" i="1"/>
  <c r="C1579" i="1" l="1"/>
  <c r="D1575" i="1"/>
  <c r="C1566" i="1"/>
  <c r="D1562" i="1"/>
  <c r="C1592" i="1"/>
  <c r="D1588" i="1"/>
  <c r="C1565" i="1"/>
  <c r="D1561" i="1"/>
  <c r="D1565" i="1" l="1"/>
  <c r="C1569" i="1"/>
  <c r="D1592" i="1"/>
  <c r="C1596" i="1"/>
  <c r="C1570" i="1"/>
  <c r="D1566" i="1"/>
  <c r="D1579" i="1"/>
  <c r="C1583" i="1"/>
  <c r="C1587" i="1" l="1"/>
  <c r="D1583" i="1"/>
  <c r="D1570" i="1"/>
  <c r="C1574" i="1"/>
  <c r="D1596" i="1"/>
  <c r="C1600" i="1"/>
  <c r="C1573" i="1"/>
  <c r="D1569" i="1"/>
  <c r="D1600" i="1" l="1"/>
  <c r="C1604" i="1"/>
  <c r="D1574" i="1"/>
  <c r="C1578" i="1"/>
  <c r="C1577" i="1"/>
  <c r="D1573" i="1"/>
  <c r="D1587" i="1"/>
  <c r="C1591" i="1"/>
  <c r="C1595" i="1" l="1"/>
  <c r="D1591" i="1"/>
  <c r="D1577" i="1"/>
  <c r="C1581" i="1"/>
  <c r="C1582" i="1"/>
  <c r="D1578" i="1"/>
  <c r="D1604" i="1"/>
  <c r="C1608" i="1"/>
  <c r="C1612" i="1" l="1"/>
  <c r="D1608" i="1"/>
  <c r="D1582" i="1"/>
  <c r="C1586" i="1"/>
  <c r="D1581" i="1"/>
  <c r="C1585" i="1"/>
  <c r="D1595" i="1"/>
  <c r="C1599" i="1"/>
  <c r="C1603" i="1" l="1"/>
  <c r="D1599" i="1"/>
  <c r="C1589" i="1"/>
  <c r="D1585" i="1"/>
  <c r="C1590" i="1"/>
  <c r="D1586" i="1"/>
  <c r="C1616" i="1"/>
  <c r="D1612" i="1"/>
  <c r="C1620" i="1" l="1"/>
  <c r="D1616" i="1"/>
  <c r="C1594" i="1"/>
  <c r="D1590" i="1"/>
  <c r="D1589" i="1"/>
  <c r="C1593" i="1"/>
  <c r="D1603" i="1"/>
  <c r="C1607" i="1"/>
  <c r="D1607" i="1" l="1"/>
  <c r="C1611" i="1"/>
  <c r="C1597" i="1"/>
  <c r="D1593" i="1"/>
  <c r="C1598" i="1"/>
  <c r="D1594" i="1"/>
  <c r="C1624" i="1"/>
  <c r="D1620" i="1"/>
  <c r="C1628" i="1" l="1"/>
  <c r="D1624" i="1"/>
  <c r="D1598" i="1"/>
  <c r="C1602" i="1"/>
  <c r="D1597" i="1"/>
  <c r="C1601" i="1"/>
  <c r="C1615" i="1"/>
  <c r="D1611" i="1"/>
  <c r="D1601" i="1" l="1"/>
  <c r="C1605" i="1"/>
  <c r="D1602" i="1"/>
  <c r="C1606" i="1"/>
  <c r="D1615" i="1"/>
  <c r="C1619" i="1"/>
  <c r="D1628" i="1"/>
  <c r="C1632" i="1"/>
  <c r="C1636" i="1" l="1"/>
  <c r="D1632" i="1"/>
  <c r="C1623" i="1"/>
  <c r="D1619" i="1"/>
  <c r="D1606" i="1"/>
  <c r="C1610" i="1"/>
  <c r="C1609" i="1"/>
  <c r="D1605" i="1"/>
  <c r="C1613" i="1" l="1"/>
  <c r="D1609" i="1"/>
  <c r="C1614" i="1"/>
  <c r="D1610" i="1"/>
  <c r="C1627" i="1"/>
  <c r="D1623" i="1"/>
  <c r="D1636" i="1"/>
  <c r="C1640" i="1"/>
  <c r="D1627" i="1" l="1"/>
  <c r="C1631" i="1"/>
  <c r="D1640" i="1"/>
  <c r="C1644" i="1"/>
  <c r="D1614" i="1"/>
  <c r="C1618" i="1"/>
  <c r="C1617" i="1"/>
  <c r="D1613" i="1"/>
  <c r="C1621" i="1" l="1"/>
  <c r="D1617" i="1"/>
  <c r="C1622" i="1"/>
  <c r="D1618" i="1"/>
  <c r="D1644" i="1"/>
  <c r="C1648" i="1"/>
  <c r="D1631" i="1"/>
  <c r="C1635" i="1"/>
  <c r="D1635" i="1" l="1"/>
  <c r="C1639" i="1"/>
  <c r="D1648" i="1"/>
  <c r="C1652" i="1"/>
  <c r="D1622" i="1"/>
  <c r="C1626" i="1"/>
  <c r="C1625" i="1"/>
  <c r="D1621" i="1"/>
  <c r="C1630" i="1" l="1"/>
  <c r="D1626" i="1"/>
  <c r="C1656" i="1"/>
  <c r="D1652" i="1"/>
  <c r="D1639" i="1"/>
  <c r="C1643" i="1"/>
  <c r="C1629" i="1"/>
  <c r="D1625" i="1"/>
  <c r="C1633" i="1" l="1"/>
  <c r="D1629" i="1"/>
  <c r="D1643" i="1"/>
  <c r="C1647" i="1"/>
  <c r="D1656" i="1"/>
  <c r="C1660" i="1"/>
  <c r="D1630" i="1"/>
  <c r="C1634" i="1"/>
  <c r="C1651" i="1" l="1"/>
  <c r="D1647" i="1"/>
  <c r="D1634" i="1"/>
  <c r="C1638" i="1"/>
  <c r="D1660" i="1"/>
  <c r="C1664" i="1"/>
  <c r="D1633" i="1"/>
  <c r="C1637" i="1"/>
  <c r="C1641" i="1" l="1"/>
  <c r="D1637" i="1"/>
  <c r="C1668" i="1"/>
  <c r="D1664" i="1"/>
  <c r="D1638" i="1"/>
  <c r="C1642" i="1"/>
  <c r="C1655" i="1"/>
  <c r="D1651" i="1"/>
  <c r="D1642" i="1" l="1"/>
  <c r="C1646" i="1"/>
  <c r="C1659" i="1"/>
  <c r="D1655" i="1"/>
  <c r="C1672" i="1"/>
  <c r="D1668" i="1"/>
  <c r="D1641" i="1"/>
  <c r="C1645" i="1"/>
  <c r="C1663" i="1" l="1"/>
  <c r="D1659" i="1"/>
  <c r="D1646" i="1"/>
  <c r="C1650" i="1"/>
  <c r="C1649" i="1"/>
  <c r="D1645" i="1"/>
  <c r="D1672" i="1"/>
  <c r="C1676" i="1"/>
  <c r="D1676" i="1" l="1"/>
  <c r="C1680" i="1"/>
  <c r="C1653" i="1"/>
  <c r="D1649" i="1"/>
  <c r="D1650" i="1"/>
  <c r="C1654" i="1"/>
  <c r="D1663" i="1"/>
  <c r="C1667" i="1"/>
  <c r="C1671" i="1" l="1"/>
  <c r="D1667" i="1"/>
  <c r="C1658" i="1"/>
  <c r="D1654" i="1"/>
  <c r="D1653" i="1"/>
  <c r="C1657" i="1"/>
  <c r="D1680" i="1"/>
  <c r="C1684" i="1"/>
  <c r="C1688" i="1" l="1"/>
  <c r="D1684" i="1"/>
  <c r="C1661" i="1"/>
  <c r="D1657" i="1"/>
  <c r="D1658" i="1"/>
  <c r="C1662" i="1"/>
  <c r="C1675" i="1"/>
  <c r="D1671" i="1"/>
  <c r="C1679" i="1" l="1"/>
  <c r="D1675" i="1"/>
  <c r="C1666" i="1"/>
  <c r="D1662" i="1"/>
  <c r="C1665" i="1"/>
  <c r="D1661" i="1"/>
  <c r="C1692" i="1"/>
  <c r="D1688" i="1"/>
  <c r="D1692" i="1" l="1"/>
  <c r="C1696" i="1"/>
  <c r="C1669" i="1"/>
  <c r="D1665" i="1"/>
  <c r="D1666" i="1"/>
  <c r="C1670" i="1"/>
  <c r="C1683" i="1"/>
  <c r="D1679" i="1"/>
  <c r="C1674" i="1" l="1"/>
  <c r="D1670" i="1"/>
  <c r="D1669" i="1"/>
  <c r="C1673" i="1"/>
  <c r="C1700" i="1"/>
  <c r="D1696" i="1"/>
  <c r="D1683" i="1"/>
  <c r="C1687" i="1"/>
  <c r="C1691" i="1" l="1"/>
  <c r="D1687" i="1"/>
  <c r="D1700" i="1"/>
  <c r="C1704" i="1"/>
  <c r="C1677" i="1"/>
  <c r="D1673" i="1"/>
  <c r="D1674" i="1"/>
  <c r="C1678" i="1"/>
  <c r="D1678" i="1" l="1"/>
  <c r="C1682" i="1"/>
  <c r="D1677" i="1"/>
  <c r="C1681" i="1"/>
  <c r="C1708" i="1"/>
  <c r="D1704" i="1"/>
  <c r="D1691" i="1"/>
  <c r="C1695" i="1"/>
  <c r="D1695" i="1" l="1"/>
  <c r="C1699" i="1"/>
  <c r="C1712" i="1"/>
  <c r="D1708" i="1"/>
  <c r="C1685" i="1"/>
  <c r="D1681" i="1"/>
  <c r="D1682" i="1"/>
  <c r="C1686" i="1"/>
  <c r="D1712" i="1" l="1"/>
  <c r="C1716" i="1"/>
  <c r="D1699" i="1"/>
  <c r="C1703" i="1"/>
  <c r="D1686" i="1"/>
  <c r="C1690" i="1"/>
  <c r="D1685" i="1"/>
  <c r="C1689" i="1"/>
  <c r="C1693" i="1" l="1"/>
  <c r="D1689" i="1"/>
  <c r="D1690" i="1"/>
  <c r="C1694" i="1"/>
  <c r="C1707" i="1"/>
  <c r="D1703" i="1"/>
  <c r="C1720" i="1"/>
  <c r="D1716" i="1"/>
  <c r="D1707" i="1" l="1"/>
  <c r="C1711" i="1"/>
  <c r="C1698" i="1"/>
  <c r="D1694" i="1"/>
  <c r="D1720" i="1"/>
  <c r="C1724" i="1"/>
  <c r="D1693" i="1"/>
  <c r="C1697" i="1"/>
  <c r="C1701" i="1" l="1"/>
  <c r="D1697" i="1"/>
  <c r="C1728" i="1"/>
  <c r="D1724" i="1"/>
  <c r="D1698" i="1"/>
  <c r="C1702" i="1"/>
  <c r="C1715" i="1"/>
  <c r="D1711" i="1"/>
  <c r="C1706" i="1" l="1"/>
  <c r="D1702" i="1"/>
  <c r="C1719" i="1"/>
  <c r="D1715" i="1"/>
  <c r="C1732" i="1"/>
  <c r="D1728" i="1"/>
  <c r="C1705" i="1"/>
  <c r="D1701" i="1"/>
  <c r="C1709" i="1" l="1"/>
  <c r="D1705" i="1"/>
  <c r="C1736" i="1"/>
  <c r="D1732" i="1"/>
  <c r="C1723" i="1"/>
  <c r="D1719" i="1"/>
  <c r="D1706" i="1"/>
  <c r="C1710" i="1"/>
  <c r="C1714" i="1" l="1"/>
  <c r="D1710" i="1"/>
  <c r="C1727" i="1"/>
  <c r="D1723" i="1"/>
  <c r="C1740" i="1"/>
  <c r="D1736" i="1"/>
  <c r="C1713" i="1"/>
  <c r="D1709" i="1"/>
  <c r="C1717" i="1" l="1"/>
  <c r="D1713" i="1"/>
  <c r="D1740" i="1"/>
  <c r="C1744" i="1"/>
  <c r="C1731" i="1"/>
  <c r="D1727" i="1"/>
  <c r="D1714" i="1"/>
  <c r="C1718" i="1"/>
  <c r="C1722" i="1" l="1"/>
  <c r="D1718" i="1"/>
  <c r="C1735" i="1"/>
  <c r="D1731" i="1"/>
  <c r="D1744" i="1"/>
  <c r="C1748" i="1"/>
  <c r="C1721" i="1"/>
  <c r="D1717" i="1"/>
  <c r="C1752" i="1" l="1"/>
  <c r="D1748" i="1"/>
  <c r="C1725" i="1"/>
  <c r="D1721" i="1"/>
  <c r="D1735" i="1"/>
  <c r="C1739" i="1"/>
  <c r="D1722" i="1"/>
  <c r="C1726" i="1"/>
  <c r="C1743" i="1" l="1"/>
  <c r="D1739" i="1"/>
  <c r="D1726" i="1"/>
  <c r="C1730" i="1"/>
  <c r="C1729" i="1"/>
  <c r="D1725" i="1"/>
  <c r="D1752" i="1"/>
  <c r="C1756" i="1"/>
  <c r="C1733" i="1" l="1"/>
  <c r="D1729" i="1"/>
  <c r="D1730" i="1"/>
  <c r="C1734" i="1"/>
  <c r="C1760" i="1"/>
  <c r="D1756" i="1"/>
  <c r="C1747" i="1"/>
  <c r="D1743" i="1"/>
  <c r="D1747" i="1" l="1"/>
  <c r="C1751" i="1"/>
  <c r="C1764" i="1"/>
  <c r="D1760" i="1"/>
  <c r="C1738" i="1"/>
  <c r="D1734" i="1"/>
  <c r="D1733" i="1"/>
  <c r="C1737" i="1"/>
  <c r="C1741" i="1" l="1"/>
  <c r="D1737" i="1"/>
  <c r="D1738" i="1"/>
  <c r="C1742" i="1"/>
  <c r="C1768" i="1"/>
  <c r="D1764" i="1"/>
  <c r="C1755" i="1"/>
  <c r="D1751" i="1"/>
  <c r="C1759" i="1" l="1"/>
  <c r="D1755" i="1"/>
  <c r="C1772" i="1"/>
  <c r="D1768" i="1"/>
  <c r="D1742" i="1"/>
  <c r="C1746" i="1"/>
  <c r="D1741" i="1"/>
  <c r="C1745" i="1"/>
  <c r="C1749" i="1" l="1"/>
  <c r="D1745" i="1"/>
  <c r="D1746" i="1"/>
  <c r="C1750" i="1"/>
  <c r="C1776" i="1"/>
  <c r="D1772" i="1"/>
  <c r="C1763" i="1"/>
  <c r="D1759" i="1"/>
  <c r="C1767" i="1" l="1"/>
  <c r="D1763" i="1"/>
  <c r="C1780" i="1"/>
  <c r="D1776" i="1"/>
  <c r="D1750" i="1"/>
  <c r="C1754" i="1"/>
  <c r="D1749" i="1"/>
  <c r="C1753" i="1"/>
  <c r="D1753" i="1" l="1"/>
  <c r="C1757" i="1"/>
  <c r="D1754" i="1"/>
  <c r="C1758" i="1"/>
  <c r="C1784" i="1"/>
  <c r="D1780" i="1"/>
  <c r="D1767" i="1"/>
  <c r="C1771" i="1"/>
  <c r="C1775" i="1" l="1"/>
  <c r="D1771" i="1"/>
  <c r="D1784" i="1"/>
  <c r="C1788" i="1"/>
  <c r="D1758" i="1"/>
  <c r="C1762" i="1"/>
  <c r="C1761" i="1"/>
  <c r="D1757" i="1"/>
  <c r="C1765" i="1" l="1"/>
  <c r="D1761" i="1"/>
  <c r="D1762" i="1"/>
  <c r="C1766" i="1"/>
  <c r="D1788" i="1"/>
  <c r="C1792" i="1"/>
  <c r="C1779" i="1"/>
  <c r="D1775" i="1"/>
  <c r="C1783" i="1" l="1"/>
  <c r="D1779" i="1"/>
  <c r="C1796" i="1"/>
  <c r="D1792" i="1"/>
  <c r="D1766" i="1"/>
  <c r="C1770" i="1"/>
  <c r="C1769" i="1"/>
  <c r="D1765" i="1"/>
  <c r="C1773" i="1" l="1"/>
  <c r="D1769" i="1"/>
  <c r="D1770" i="1"/>
  <c r="C1774" i="1"/>
  <c r="D1796" i="1"/>
  <c r="C1800" i="1"/>
  <c r="D1783" i="1"/>
  <c r="C1787" i="1"/>
  <c r="C1791" i="1" l="1"/>
  <c r="D1787" i="1"/>
  <c r="D1800" i="1"/>
  <c r="C1804" i="1"/>
  <c r="D1774" i="1"/>
  <c r="C1778" i="1"/>
  <c r="C1777" i="1"/>
  <c r="D1773" i="1"/>
  <c r="C1782" i="1" l="1"/>
  <c r="D1778" i="1"/>
  <c r="C1808" i="1"/>
  <c r="D1804" i="1"/>
  <c r="D1777" i="1"/>
  <c r="C1781" i="1"/>
  <c r="D1791" i="1"/>
  <c r="C1795" i="1"/>
  <c r="D1795" i="1" l="1"/>
  <c r="C1799" i="1"/>
  <c r="C1785" i="1"/>
  <c r="D1781" i="1"/>
  <c r="C1812" i="1"/>
  <c r="D1808" i="1"/>
  <c r="D1782" i="1"/>
  <c r="C1786" i="1"/>
  <c r="D1785" i="1" l="1"/>
  <c r="C1789" i="1"/>
  <c r="C1803" i="1"/>
  <c r="D1799" i="1"/>
  <c r="C1790" i="1"/>
  <c r="D1786" i="1"/>
  <c r="D1812" i="1"/>
  <c r="C1816" i="1"/>
  <c r="D1816" i="1" l="1"/>
  <c r="C1820" i="1"/>
  <c r="D1790" i="1"/>
  <c r="C1794" i="1"/>
  <c r="D1803" i="1"/>
  <c r="C1807" i="1"/>
  <c r="C1793" i="1"/>
  <c r="D1789" i="1"/>
  <c r="C1811" i="1" l="1"/>
  <c r="D1807" i="1"/>
  <c r="D1794" i="1"/>
  <c r="C1798" i="1"/>
  <c r="C1824" i="1"/>
  <c r="D1820" i="1"/>
  <c r="C1797" i="1"/>
  <c r="D1793" i="1"/>
  <c r="C1801" i="1" l="1"/>
  <c r="D1797" i="1"/>
  <c r="D1824" i="1"/>
  <c r="C1828" i="1"/>
  <c r="D1798" i="1"/>
  <c r="C1802" i="1"/>
  <c r="C1815" i="1"/>
  <c r="D1811" i="1"/>
  <c r="C1806" i="1" l="1"/>
  <c r="D1802" i="1"/>
  <c r="C1832" i="1"/>
  <c r="D1828" i="1"/>
  <c r="D1815" i="1"/>
  <c r="C1819" i="1"/>
  <c r="C1805" i="1"/>
  <c r="D1801" i="1"/>
  <c r="D1819" i="1" l="1"/>
  <c r="C1823" i="1"/>
  <c r="D1832" i="1"/>
  <c r="C1836" i="1"/>
  <c r="C1809" i="1"/>
  <c r="D1805" i="1"/>
  <c r="D1806" i="1"/>
  <c r="C1810" i="1"/>
  <c r="D1809" i="1" l="1"/>
  <c r="C1813" i="1"/>
  <c r="D1836" i="1"/>
  <c r="C1840" i="1"/>
  <c r="C1827" i="1"/>
  <c r="D1823" i="1"/>
  <c r="D1810" i="1"/>
  <c r="C1814" i="1"/>
  <c r="D1814" i="1" l="1"/>
  <c r="C1818" i="1"/>
  <c r="D1827" i="1"/>
  <c r="C1831" i="1"/>
  <c r="C1844" i="1"/>
  <c r="D1840" i="1"/>
  <c r="C1817" i="1"/>
  <c r="D1813" i="1"/>
  <c r="C1821" i="1" l="1"/>
  <c r="D1817" i="1"/>
  <c r="D1844" i="1"/>
  <c r="C1848" i="1"/>
  <c r="D1831" i="1"/>
  <c r="C1835" i="1"/>
  <c r="D1818" i="1"/>
  <c r="C1822" i="1"/>
  <c r="D1822" i="1" l="1"/>
  <c r="C1826" i="1"/>
  <c r="C1839" i="1"/>
  <c r="D1835" i="1"/>
  <c r="D1848" i="1"/>
  <c r="C1852" i="1"/>
  <c r="C1825" i="1"/>
  <c r="D1821" i="1"/>
  <c r="C1829" i="1" l="1"/>
  <c r="D1825" i="1"/>
  <c r="C1843" i="1"/>
  <c r="D1839" i="1"/>
  <c r="C1830" i="1"/>
  <c r="D1826" i="1"/>
  <c r="C1856" i="1"/>
  <c r="D1852" i="1"/>
  <c r="D1856" i="1" l="1"/>
  <c r="C1860" i="1"/>
  <c r="D1830" i="1"/>
  <c r="C1834" i="1"/>
  <c r="C1847" i="1"/>
  <c r="D1843" i="1"/>
  <c r="C1833" i="1"/>
  <c r="D1829" i="1"/>
  <c r="C1837" i="1" l="1"/>
  <c r="D1833" i="1"/>
  <c r="C1851" i="1"/>
  <c r="D1847" i="1"/>
  <c r="C1838" i="1"/>
  <c r="D1834" i="1"/>
  <c r="C1864" i="1"/>
  <c r="D1860" i="1"/>
  <c r="C1868" i="1" l="1"/>
  <c r="D1864" i="1"/>
  <c r="D1838" i="1"/>
  <c r="C1842" i="1"/>
  <c r="D1851" i="1"/>
  <c r="C1855" i="1"/>
  <c r="C1841" i="1"/>
  <c r="D1837" i="1"/>
  <c r="C1859" i="1" l="1"/>
  <c r="D1855" i="1"/>
  <c r="D1842" i="1"/>
  <c r="C1846" i="1"/>
  <c r="C1845" i="1"/>
  <c r="D1841" i="1"/>
  <c r="C1872" i="1"/>
  <c r="D1868" i="1"/>
  <c r="C1876" i="1" l="1"/>
  <c r="D1872" i="1"/>
  <c r="D1845" i="1"/>
  <c r="C1849" i="1"/>
  <c r="C1850" i="1"/>
  <c r="D1846" i="1"/>
  <c r="C1863" i="1"/>
  <c r="D1859" i="1"/>
  <c r="C1867" i="1" l="1"/>
  <c r="D1863" i="1"/>
  <c r="D1850" i="1"/>
  <c r="C1854" i="1"/>
  <c r="C1853" i="1"/>
  <c r="D1849" i="1"/>
  <c r="D1876" i="1"/>
  <c r="C1880" i="1"/>
  <c r="D1853" i="1" l="1"/>
  <c r="C1857" i="1"/>
  <c r="D1854" i="1"/>
  <c r="C1858" i="1"/>
  <c r="D1880" i="1"/>
  <c r="C1884" i="1"/>
  <c r="C1871" i="1"/>
  <c r="D1867" i="1"/>
  <c r="C1875" i="1" l="1"/>
  <c r="D1871" i="1"/>
  <c r="C1888" i="1"/>
  <c r="D1884" i="1"/>
  <c r="D1858" i="1"/>
  <c r="C1862" i="1"/>
  <c r="C1861" i="1"/>
  <c r="D1857" i="1"/>
  <c r="C1866" i="1" l="1"/>
  <c r="D1862" i="1"/>
  <c r="C1865" i="1"/>
  <c r="D1861" i="1"/>
  <c r="D1888" i="1"/>
  <c r="C1892" i="1"/>
  <c r="C1879" i="1"/>
  <c r="D1875" i="1"/>
  <c r="C1883" i="1" l="1"/>
  <c r="D1879" i="1"/>
  <c r="D1892" i="1"/>
  <c r="C1896" i="1"/>
  <c r="C1869" i="1"/>
  <c r="D1865" i="1"/>
  <c r="D1866" i="1"/>
  <c r="C1870" i="1"/>
  <c r="C1874" i="1" l="1"/>
  <c r="D1870" i="1"/>
  <c r="C1873" i="1"/>
  <c r="D1869" i="1"/>
  <c r="C1900" i="1"/>
  <c r="D1896" i="1"/>
  <c r="D1883" i="1"/>
  <c r="C1887" i="1"/>
  <c r="C1904" i="1" l="1"/>
  <c r="D1900" i="1"/>
  <c r="C1891" i="1"/>
  <c r="D1887" i="1"/>
  <c r="C1877" i="1"/>
  <c r="D1873" i="1"/>
  <c r="D1874" i="1"/>
  <c r="C1878" i="1"/>
  <c r="C1882" i="1" l="1"/>
  <c r="D1878" i="1"/>
  <c r="D1877" i="1"/>
  <c r="C1881" i="1"/>
  <c r="D1891" i="1"/>
  <c r="C1895" i="1"/>
  <c r="D1904" i="1"/>
  <c r="C1908" i="1"/>
  <c r="D1908" i="1" l="1"/>
  <c r="C1912" i="1"/>
  <c r="D1895" i="1"/>
  <c r="C1899" i="1"/>
  <c r="C1885" i="1"/>
  <c r="D1881" i="1"/>
  <c r="D1882" i="1"/>
  <c r="C1886" i="1"/>
  <c r="D1885" i="1" l="1"/>
  <c r="C1889" i="1"/>
  <c r="C1903" i="1"/>
  <c r="D1899" i="1"/>
  <c r="C1916" i="1"/>
  <c r="D1912" i="1"/>
  <c r="D1886" i="1"/>
  <c r="C1890" i="1"/>
  <c r="D1890" i="1" l="1"/>
  <c r="C1894" i="1"/>
  <c r="C1920" i="1"/>
  <c r="D1916" i="1"/>
  <c r="C1907" i="1"/>
  <c r="D1903" i="1"/>
  <c r="C1893" i="1"/>
  <c r="D1889" i="1"/>
  <c r="D1907" i="1" l="1"/>
  <c r="C1911" i="1"/>
  <c r="C1924" i="1"/>
  <c r="D1920" i="1"/>
  <c r="D1894" i="1"/>
  <c r="C1898" i="1"/>
  <c r="C1897" i="1"/>
  <c r="D1893" i="1"/>
  <c r="D1898" i="1" l="1"/>
  <c r="C1902" i="1"/>
  <c r="C1901" i="1"/>
  <c r="D1897" i="1"/>
  <c r="C1928" i="1"/>
  <c r="D1924" i="1"/>
  <c r="C1915" i="1"/>
  <c r="D1911" i="1"/>
  <c r="D1915" i="1" l="1"/>
  <c r="C1919" i="1"/>
  <c r="C1932" i="1"/>
  <c r="D1928" i="1"/>
  <c r="C1905" i="1"/>
  <c r="D1901" i="1"/>
  <c r="D1902" i="1"/>
  <c r="C1906" i="1"/>
  <c r="C1936" i="1" l="1"/>
  <c r="D1932" i="1"/>
  <c r="D1919" i="1"/>
  <c r="C1923" i="1"/>
  <c r="C1910" i="1"/>
  <c r="D1906" i="1"/>
  <c r="C1909" i="1"/>
  <c r="D1905" i="1"/>
  <c r="C1913" i="1" l="1"/>
  <c r="D1909" i="1"/>
  <c r="D1910" i="1"/>
  <c r="C1914" i="1"/>
  <c r="C1927" i="1"/>
  <c r="D1923" i="1"/>
  <c r="C1940" i="1"/>
  <c r="D1936" i="1"/>
  <c r="C1944" i="1" l="1"/>
  <c r="D1940" i="1"/>
  <c r="C1931" i="1"/>
  <c r="D1927" i="1"/>
  <c r="C1918" i="1"/>
  <c r="D1914" i="1"/>
  <c r="C1917" i="1"/>
  <c r="D1913" i="1"/>
  <c r="C1921" i="1" l="1"/>
  <c r="D1917" i="1"/>
  <c r="D1918" i="1"/>
  <c r="C1922" i="1"/>
  <c r="C1935" i="1"/>
  <c r="D1931" i="1"/>
  <c r="C1948" i="1"/>
  <c r="D1944" i="1"/>
  <c r="C1952" i="1" l="1"/>
  <c r="D1948" i="1"/>
  <c r="C1939" i="1"/>
  <c r="D1935" i="1"/>
  <c r="D1922" i="1"/>
  <c r="C1926" i="1"/>
  <c r="C1925" i="1"/>
  <c r="D1921" i="1"/>
  <c r="C1929" i="1" l="1"/>
  <c r="D1925" i="1"/>
  <c r="C1930" i="1"/>
  <c r="D1926" i="1"/>
  <c r="C1943" i="1"/>
  <c r="D1939" i="1"/>
  <c r="C1956" i="1"/>
  <c r="D1952" i="1"/>
  <c r="C1960" i="1" l="1"/>
  <c r="D1956" i="1"/>
  <c r="C1947" i="1"/>
  <c r="D1943" i="1"/>
  <c r="D1930" i="1"/>
  <c r="C1934" i="1"/>
  <c r="C1933" i="1"/>
  <c r="D1929" i="1"/>
  <c r="D1934" i="1" l="1"/>
  <c r="C1938" i="1"/>
  <c r="C1951" i="1"/>
  <c r="D1947" i="1"/>
  <c r="C1937" i="1"/>
  <c r="D1933" i="1"/>
  <c r="D1960" i="1"/>
  <c r="C1964" i="1"/>
  <c r="D1951" i="1" l="1"/>
  <c r="C1955" i="1"/>
  <c r="D1938" i="1"/>
  <c r="C1942" i="1"/>
  <c r="C1968" i="1"/>
  <c r="D1964" i="1"/>
  <c r="C1941" i="1"/>
  <c r="D1937" i="1"/>
  <c r="C1945" i="1" l="1"/>
  <c r="D1941" i="1"/>
  <c r="C1946" i="1"/>
  <c r="D1942" i="1"/>
  <c r="D1955" i="1"/>
  <c r="C1959" i="1"/>
  <c r="D1968" i="1"/>
  <c r="C1972" i="1"/>
  <c r="D1972" i="1" l="1"/>
  <c r="C1976" i="1"/>
  <c r="C1963" i="1"/>
  <c r="D1959" i="1"/>
  <c r="D1946" i="1"/>
  <c r="C1950" i="1"/>
  <c r="C1949" i="1"/>
  <c r="D1945" i="1"/>
  <c r="C1954" i="1" l="1"/>
  <c r="D1950" i="1"/>
  <c r="D1963" i="1"/>
  <c r="C1967" i="1"/>
  <c r="D1976" i="1"/>
  <c r="C1980" i="1"/>
  <c r="C1953" i="1"/>
  <c r="D1949" i="1"/>
  <c r="C1957" i="1" l="1"/>
  <c r="D1953" i="1"/>
  <c r="C1984" i="1"/>
  <c r="D1980" i="1"/>
  <c r="C1971" i="1"/>
  <c r="D1967" i="1"/>
  <c r="D1954" i="1"/>
  <c r="C1958" i="1"/>
  <c r="C1962" i="1" l="1"/>
  <c r="D1958" i="1"/>
  <c r="C1975" i="1"/>
  <c r="D1971" i="1"/>
  <c r="C1988" i="1"/>
  <c r="D1984" i="1"/>
  <c r="D1957" i="1"/>
  <c r="C1961" i="1"/>
  <c r="C1992" i="1" l="1"/>
  <c r="D1988" i="1"/>
  <c r="D1975" i="1"/>
  <c r="C1979" i="1"/>
  <c r="C1965" i="1"/>
  <c r="D1961" i="1"/>
  <c r="D1962" i="1"/>
  <c r="C1966" i="1"/>
  <c r="C1969" i="1" l="1"/>
  <c r="D1965" i="1"/>
  <c r="C1983" i="1"/>
  <c r="D1979" i="1"/>
  <c r="D1966" i="1"/>
  <c r="C1970" i="1"/>
  <c r="C1996" i="1"/>
  <c r="D1992" i="1"/>
  <c r="D1970" i="1" l="1"/>
  <c r="C1974" i="1"/>
  <c r="C2000" i="1"/>
  <c r="D1996" i="1"/>
  <c r="C1987" i="1"/>
  <c r="D1983" i="1"/>
  <c r="C1973" i="1"/>
  <c r="D1969" i="1"/>
  <c r="C2004" i="1" l="1"/>
  <c r="D2000" i="1"/>
  <c r="C1978" i="1"/>
  <c r="D1974" i="1"/>
  <c r="C1977" i="1"/>
  <c r="D1973" i="1"/>
  <c r="C1991" i="1"/>
  <c r="D1987" i="1"/>
  <c r="C1995" i="1" l="1"/>
  <c r="D1991" i="1"/>
  <c r="C1981" i="1"/>
  <c r="D1977" i="1"/>
  <c r="D1978" i="1"/>
  <c r="C1982" i="1"/>
  <c r="C2008" i="1"/>
  <c r="D2004" i="1"/>
  <c r="D1982" i="1" l="1"/>
  <c r="C1986" i="1"/>
  <c r="C2012" i="1"/>
  <c r="D2008" i="1"/>
  <c r="C1985" i="1"/>
  <c r="D1981" i="1"/>
  <c r="C1999" i="1"/>
  <c r="D1995" i="1"/>
  <c r="C2003" i="1" l="1"/>
  <c r="D1999" i="1"/>
  <c r="C1989" i="1"/>
  <c r="D1985" i="1"/>
  <c r="C2016" i="1"/>
  <c r="D2012" i="1"/>
  <c r="D1986" i="1"/>
  <c r="C1990" i="1"/>
  <c r="C2020" i="1" l="1"/>
  <c r="D2016" i="1"/>
  <c r="C1994" i="1"/>
  <c r="D1990" i="1"/>
  <c r="D1989" i="1"/>
  <c r="C1993" i="1"/>
  <c r="D2003" i="1"/>
  <c r="C2007" i="1"/>
  <c r="C1997" i="1" l="1"/>
  <c r="D1993" i="1"/>
  <c r="C2011" i="1"/>
  <c r="D2007" i="1"/>
  <c r="D1994" i="1"/>
  <c r="C1998" i="1"/>
  <c r="C2024" i="1"/>
  <c r="D2020" i="1"/>
  <c r="D2024" i="1" l="1"/>
  <c r="C2028" i="1"/>
  <c r="C2002" i="1"/>
  <c r="D1998" i="1"/>
  <c r="C2015" i="1"/>
  <c r="D2011" i="1"/>
  <c r="D1997" i="1"/>
  <c r="C2001" i="1"/>
  <c r="C2019" i="1" l="1"/>
  <c r="D2015" i="1"/>
  <c r="D2002" i="1"/>
  <c r="C2006" i="1"/>
  <c r="C2032" i="1"/>
  <c r="D2028" i="1"/>
  <c r="C2005" i="1"/>
  <c r="D2001" i="1"/>
  <c r="C2036" i="1" l="1"/>
  <c r="D2032" i="1"/>
  <c r="C2010" i="1"/>
  <c r="D2006" i="1"/>
  <c r="C2009" i="1"/>
  <c r="D2005" i="1"/>
  <c r="C2023" i="1"/>
  <c r="D2019" i="1"/>
  <c r="C2027" i="1" l="1"/>
  <c r="D2023" i="1"/>
  <c r="C2013" i="1"/>
  <c r="D2009" i="1"/>
  <c r="D2010" i="1"/>
  <c r="C2014" i="1"/>
  <c r="D2036" i="1"/>
  <c r="C2040" i="1"/>
  <c r="C2044" i="1" l="1"/>
  <c r="D2040" i="1"/>
  <c r="C2018" i="1"/>
  <c r="D2014" i="1"/>
  <c r="C2017" i="1"/>
  <c r="D2013" i="1"/>
  <c r="D2027" i="1"/>
  <c r="C2031" i="1"/>
  <c r="C2021" i="1" l="1"/>
  <c r="D2017" i="1"/>
  <c r="C2035" i="1"/>
  <c r="D2031" i="1"/>
  <c r="D2018" i="1"/>
  <c r="C2022" i="1"/>
  <c r="C2048" i="1"/>
  <c r="D2044" i="1"/>
  <c r="D2048" i="1" l="1"/>
  <c r="C2052" i="1"/>
  <c r="C2026" i="1"/>
  <c r="D2022" i="1"/>
  <c r="D2035" i="1"/>
  <c r="C2039" i="1"/>
  <c r="D2021" i="1"/>
  <c r="C2025" i="1"/>
  <c r="C2029" i="1" l="1"/>
  <c r="D2025" i="1"/>
  <c r="D2039" i="1"/>
  <c r="C2043" i="1"/>
  <c r="D2026" i="1"/>
  <c r="C2030" i="1"/>
  <c r="D2052" i="1"/>
  <c r="C2056" i="1"/>
  <c r="D2030" i="1" l="1"/>
  <c r="C2034" i="1"/>
  <c r="C2047" i="1"/>
  <c r="D2043" i="1"/>
  <c r="C2060" i="1"/>
  <c r="D2056" i="1"/>
  <c r="C2033" i="1"/>
  <c r="D2029" i="1"/>
  <c r="D2060" i="1" l="1"/>
  <c r="C2064" i="1"/>
  <c r="C2051" i="1"/>
  <c r="D2047" i="1"/>
  <c r="D2034" i="1"/>
  <c r="C2038" i="1"/>
  <c r="C2037" i="1"/>
  <c r="D2033" i="1"/>
  <c r="C2041" i="1" l="1"/>
  <c r="D2037" i="1"/>
  <c r="D2051" i="1"/>
  <c r="C2055" i="1"/>
  <c r="C2068" i="1"/>
  <c r="D2064" i="1"/>
  <c r="C2042" i="1"/>
  <c r="D2038" i="1"/>
  <c r="D2042" i="1" l="1"/>
  <c r="C2046" i="1"/>
  <c r="D2068" i="1"/>
  <c r="C2072" i="1"/>
  <c r="D2055" i="1"/>
  <c r="C2059" i="1"/>
  <c r="C2045" i="1"/>
  <c r="D2041" i="1"/>
  <c r="C2063" i="1" l="1"/>
  <c r="D2059" i="1"/>
  <c r="C2076" i="1"/>
  <c r="D2072" i="1"/>
  <c r="C2050" i="1"/>
  <c r="D2046" i="1"/>
  <c r="C2049" i="1"/>
  <c r="D2045" i="1"/>
  <c r="C2053" i="1" l="1"/>
  <c r="D2049" i="1"/>
  <c r="D2050" i="1"/>
  <c r="C2054" i="1"/>
  <c r="D2076" i="1"/>
  <c r="C2080" i="1"/>
  <c r="D2063" i="1"/>
  <c r="C2067" i="1"/>
  <c r="C2071" i="1" l="1"/>
  <c r="D2067" i="1"/>
  <c r="C2084" i="1"/>
  <c r="D2080" i="1"/>
  <c r="D2054" i="1"/>
  <c r="C2058" i="1"/>
  <c r="C2057" i="1"/>
  <c r="D2053" i="1"/>
  <c r="D2058" i="1" l="1"/>
  <c r="C2062" i="1"/>
  <c r="C2088" i="1"/>
  <c r="D2084" i="1"/>
  <c r="C2061" i="1"/>
  <c r="D2057" i="1"/>
  <c r="D2071" i="1"/>
  <c r="C2075" i="1"/>
  <c r="C2079" i="1" l="1"/>
  <c r="D2075" i="1"/>
  <c r="C2065" i="1"/>
  <c r="D2061" i="1"/>
  <c r="D2088" i="1"/>
  <c r="C2092" i="1"/>
  <c r="C2066" i="1"/>
  <c r="D2062" i="1"/>
  <c r="D2092" i="1" l="1"/>
  <c r="C2096" i="1"/>
  <c r="C2069" i="1"/>
  <c r="D2065" i="1"/>
  <c r="D2066" i="1"/>
  <c r="C2070" i="1"/>
  <c r="D2079" i="1"/>
  <c r="C2083" i="1"/>
  <c r="C2087" i="1" l="1"/>
  <c r="D2083" i="1"/>
  <c r="C2074" i="1"/>
  <c r="D2070" i="1"/>
  <c r="C2073" i="1"/>
  <c r="D2069" i="1"/>
  <c r="C2100" i="1"/>
  <c r="D2096" i="1"/>
  <c r="C2104" i="1" l="1"/>
  <c r="D2100" i="1"/>
  <c r="C2077" i="1"/>
  <c r="D2073" i="1"/>
  <c r="D2074" i="1"/>
  <c r="C2078" i="1"/>
  <c r="C2091" i="1"/>
  <c r="D2087" i="1"/>
  <c r="D2091" i="1" l="1"/>
  <c r="C2095" i="1"/>
  <c r="C2082" i="1"/>
  <c r="D2078" i="1"/>
  <c r="C2081" i="1"/>
  <c r="D2077" i="1"/>
  <c r="D2104" i="1"/>
  <c r="C2108" i="1"/>
  <c r="D2108" i="1" l="1"/>
  <c r="C2112" i="1"/>
  <c r="C2085" i="1"/>
  <c r="D2081" i="1"/>
  <c r="D2082" i="1"/>
  <c r="C2086" i="1"/>
  <c r="D2095" i="1"/>
  <c r="C2099" i="1"/>
  <c r="D2085" i="1" l="1"/>
  <c r="C2089" i="1"/>
  <c r="D2112" i="1"/>
  <c r="C2116" i="1"/>
  <c r="C2103" i="1"/>
  <c r="D2099" i="1"/>
  <c r="C2090" i="1"/>
  <c r="D2086" i="1"/>
  <c r="D2090" i="1" l="1"/>
  <c r="C2094" i="1"/>
  <c r="C2107" i="1"/>
  <c r="D2103" i="1"/>
  <c r="C2120" i="1"/>
  <c r="D2116" i="1"/>
  <c r="C2093" i="1"/>
  <c r="D2089" i="1"/>
  <c r="C2124" i="1" l="1"/>
  <c r="D2120" i="1"/>
  <c r="D2107" i="1"/>
  <c r="C2111" i="1"/>
  <c r="D2094" i="1"/>
  <c r="C2098" i="1"/>
  <c r="C2097" i="1"/>
  <c r="D2093" i="1"/>
  <c r="D2098" i="1" l="1"/>
  <c r="C2102" i="1"/>
  <c r="D2111" i="1"/>
  <c r="C2115" i="1"/>
  <c r="C2101" i="1"/>
  <c r="D2097" i="1"/>
  <c r="D2124" i="1"/>
  <c r="C2128" i="1"/>
  <c r="D2128" i="1" l="1"/>
  <c r="C2132" i="1"/>
  <c r="D2115" i="1"/>
  <c r="C2119" i="1"/>
  <c r="C2106" i="1"/>
  <c r="D2102" i="1"/>
  <c r="D2101" i="1"/>
  <c r="C2105" i="1"/>
  <c r="C2109" i="1" l="1"/>
  <c r="D2105" i="1"/>
  <c r="D2106" i="1"/>
  <c r="C2110" i="1"/>
  <c r="D2119" i="1"/>
  <c r="C2123" i="1"/>
  <c r="C2136" i="1"/>
  <c r="D2132" i="1"/>
  <c r="C2127" i="1" l="1"/>
  <c r="D2123" i="1"/>
  <c r="D2110" i="1"/>
  <c r="C2114" i="1"/>
  <c r="C2140" i="1"/>
  <c r="D2136" i="1"/>
  <c r="D2109" i="1"/>
  <c r="C2113" i="1"/>
  <c r="C2144" i="1" l="1"/>
  <c r="D2140" i="1"/>
  <c r="D2114" i="1"/>
  <c r="C2118" i="1"/>
  <c r="C2117" i="1"/>
  <c r="D2113" i="1"/>
  <c r="D2127" i="1"/>
  <c r="C2131" i="1"/>
  <c r="D2131" i="1" l="1"/>
  <c r="C2135" i="1"/>
  <c r="C2121" i="1"/>
  <c r="D2117" i="1"/>
  <c r="D2118" i="1"/>
  <c r="C2122" i="1"/>
  <c r="C2148" i="1"/>
  <c r="D2144" i="1"/>
  <c r="C2125" i="1" l="1"/>
  <c r="D2121" i="1"/>
  <c r="C2139" i="1"/>
  <c r="D2135" i="1"/>
  <c r="C2152" i="1"/>
  <c r="D2148" i="1"/>
  <c r="D2122" i="1"/>
  <c r="C2126" i="1"/>
  <c r="C2130" i="1" l="1"/>
  <c r="D2126" i="1"/>
  <c r="D2152" i="1"/>
  <c r="C2156" i="1"/>
  <c r="C2143" i="1"/>
  <c r="D2139" i="1"/>
  <c r="D2125" i="1"/>
  <c r="C2129" i="1"/>
  <c r="C2147" i="1" l="1"/>
  <c r="D2143" i="1"/>
  <c r="D2156" i="1"/>
  <c r="C2160" i="1"/>
  <c r="C2133" i="1"/>
  <c r="D2129" i="1"/>
  <c r="D2130" i="1"/>
  <c r="C2134" i="1"/>
  <c r="C2137" i="1" l="1"/>
  <c r="D2133" i="1"/>
  <c r="C2164" i="1"/>
  <c r="D2160" i="1"/>
  <c r="D2134" i="1"/>
  <c r="C2138" i="1"/>
  <c r="C2151" i="1"/>
  <c r="D2147" i="1"/>
  <c r="C2155" i="1" l="1"/>
  <c r="D2151" i="1"/>
  <c r="D2138" i="1"/>
  <c r="C2142" i="1"/>
  <c r="D2164" i="1"/>
  <c r="C2168" i="1"/>
  <c r="C2141" i="1"/>
  <c r="D2137" i="1"/>
  <c r="C2172" i="1" l="1"/>
  <c r="D2168" i="1"/>
  <c r="C2146" i="1"/>
  <c r="D2142" i="1"/>
  <c r="C2145" i="1"/>
  <c r="D2141" i="1"/>
  <c r="C2159" i="1"/>
  <c r="D2155" i="1"/>
  <c r="C2163" i="1" l="1"/>
  <c r="D2159" i="1"/>
  <c r="C2149" i="1"/>
  <c r="D2145" i="1"/>
  <c r="C2150" i="1"/>
  <c r="D2146" i="1"/>
  <c r="D2172" i="1"/>
  <c r="C2176" i="1"/>
  <c r="C2180" i="1" l="1"/>
  <c r="D2176" i="1"/>
  <c r="D2150" i="1"/>
  <c r="C2154" i="1"/>
  <c r="C2153" i="1"/>
  <c r="D2149" i="1"/>
  <c r="C2167" i="1"/>
  <c r="D2163" i="1"/>
  <c r="C2171" i="1" l="1"/>
  <c r="D2167" i="1"/>
  <c r="D2153" i="1"/>
  <c r="C2157" i="1"/>
  <c r="C2158" i="1"/>
  <c r="D2154" i="1"/>
  <c r="D2180" i="1"/>
  <c r="C2184" i="1"/>
  <c r="C2188" i="1" l="1"/>
  <c r="D2184" i="1"/>
  <c r="D2158" i="1"/>
  <c r="C2162" i="1"/>
  <c r="C2161" i="1"/>
  <c r="D2157" i="1"/>
  <c r="C2175" i="1"/>
  <c r="D2171" i="1"/>
  <c r="C2179" i="1" l="1"/>
  <c r="D2175" i="1"/>
  <c r="D2161" i="1"/>
  <c r="C2165" i="1"/>
  <c r="D2162" i="1"/>
  <c r="C2166" i="1"/>
  <c r="D2188" i="1"/>
  <c r="C2192" i="1"/>
  <c r="C2196" i="1" l="1"/>
  <c r="D2192" i="1"/>
  <c r="C2170" i="1"/>
  <c r="D2166" i="1"/>
  <c r="C2169" i="1"/>
  <c r="D2165" i="1"/>
  <c r="C2183" i="1"/>
  <c r="D2179" i="1"/>
  <c r="D2183" i="1" l="1"/>
  <c r="C2187" i="1"/>
  <c r="C2173" i="1"/>
  <c r="D2169" i="1"/>
  <c r="C2174" i="1"/>
  <c r="D2170" i="1"/>
  <c r="D2196" i="1"/>
  <c r="C2200" i="1"/>
  <c r="C2177" i="1" l="1"/>
  <c r="D2173" i="1"/>
  <c r="C2191" i="1"/>
  <c r="D2187" i="1"/>
  <c r="C2204" i="1"/>
  <c r="D2200" i="1"/>
  <c r="C2178" i="1"/>
  <c r="D2174" i="1"/>
  <c r="C2182" i="1" l="1"/>
  <c r="D2178" i="1"/>
  <c r="D2204" i="1"/>
  <c r="C2208" i="1"/>
  <c r="C2195" i="1"/>
  <c r="D2191" i="1"/>
  <c r="C2181" i="1"/>
  <c r="D2177" i="1"/>
  <c r="C2185" i="1" l="1"/>
  <c r="D2181" i="1"/>
  <c r="C2199" i="1"/>
  <c r="D2195" i="1"/>
  <c r="D2208" i="1"/>
  <c r="C2212" i="1"/>
  <c r="C2186" i="1"/>
  <c r="D2182" i="1"/>
  <c r="D2212" i="1" l="1"/>
  <c r="C2216" i="1"/>
  <c r="C2190" i="1"/>
  <c r="D2186" i="1"/>
  <c r="C2203" i="1"/>
  <c r="D2199" i="1"/>
  <c r="C2189" i="1"/>
  <c r="D2185" i="1"/>
  <c r="C2207" i="1" l="1"/>
  <c r="D2203" i="1"/>
  <c r="D2190" i="1"/>
  <c r="C2194" i="1"/>
  <c r="D2216" i="1"/>
  <c r="C2220" i="1"/>
  <c r="C2193" i="1"/>
  <c r="D2189" i="1"/>
  <c r="C2197" i="1" l="1"/>
  <c r="D2193" i="1"/>
  <c r="C2198" i="1"/>
  <c r="D2194" i="1"/>
  <c r="D2220" i="1"/>
  <c r="C2224" i="1"/>
  <c r="D2207" i="1"/>
  <c r="C2211" i="1"/>
  <c r="C2215" i="1" l="1"/>
  <c r="D2211" i="1"/>
  <c r="C2228" i="1"/>
  <c r="D2224" i="1"/>
  <c r="C2202" i="1"/>
  <c r="D2198" i="1"/>
  <c r="C2201" i="1"/>
  <c r="D2197" i="1"/>
  <c r="C2205" i="1" l="1"/>
  <c r="D2201" i="1"/>
  <c r="C2206" i="1"/>
  <c r="D2202" i="1"/>
  <c r="D2228" i="1"/>
  <c r="C2232" i="1"/>
  <c r="D2215" i="1"/>
  <c r="C2219" i="1"/>
  <c r="C2223" i="1" l="1"/>
  <c r="D2219" i="1"/>
  <c r="C2236" i="1"/>
  <c r="D2232" i="1"/>
  <c r="C2210" i="1"/>
  <c r="D2206" i="1"/>
  <c r="C2209" i="1"/>
  <c r="D2205" i="1"/>
  <c r="C2213" i="1" l="1"/>
  <c r="D2209" i="1"/>
  <c r="D2210" i="1"/>
  <c r="C2214" i="1"/>
  <c r="D2236" i="1"/>
  <c r="C2240" i="1"/>
  <c r="C2227" i="1"/>
  <c r="D2223" i="1"/>
  <c r="C2231" i="1" l="1"/>
  <c r="D2227" i="1"/>
  <c r="C2244" i="1"/>
  <c r="D2240" i="1"/>
  <c r="C2218" i="1"/>
  <c r="D2214" i="1"/>
  <c r="D2213" i="1"/>
  <c r="C2217" i="1"/>
  <c r="C2222" i="1" l="1"/>
  <c r="D2218" i="1"/>
  <c r="D2244" i="1"/>
  <c r="C2248" i="1"/>
  <c r="C2221" i="1"/>
  <c r="D2217" i="1"/>
  <c r="C2235" i="1"/>
  <c r="D2231" i="1"/>
  <c r="D2221" i="1" l="1"/>
  <c r="C2225" i="1"/>
  <c r="C2252" i="1"/>
  <c r="D2248" i="1"/>
  <c r="C2239" i="1"/>
  <c r="D2235" i="1"/>
  <c r="D2222" i="1"/>
  <c r="C2226" i="1"/>
  <c r="C2230" i="1" l="1"/>
  <c r="D2226" i="1"/>
  <c r="C2243" i="1"/>
  <c r="D2239" i="1"/>
  <c r="D2252" i="1"/>
  <c r="C2256" i="1"/>
  <c r="D2225" i="1"/>
  <c r="C2229" i="1"/>
  <c r="D2229" i="1" l="1"/>
  <c r="C2233" i="1"/>
  <c r="C2260" i="1"/>
  <c r="D2256" i="1"/>
  <c r="C2247" i="1"/>
  <c r="D2243" i="1"/>
  <c r="C2234" i="1"/>
  <c r="D2230" i="1"/>
  <c r="C2238" i="1" l="1"/>
  <c r="D2234" i="1"/>
  <c r="C2251" i="1"/>
  <c r="D2247" i="1"/>
  <c r="D2260" i="1"/>
  <c r="C2264" i="1"/>
  <c r="C2237" i="1"/>
  <c r="D2233" i="1"/>
  <c r="C2241" i="1" l="1"/>
  <c r="D2237" i="1"/>
  <c r="D2264" i="1"/>
  <c r="C2268" i="1"/>
  <c r="C2255" i="1"/>
  <c r="D2251" i="1"/>
  <c r="C2242" i="1"/>
  <c r="D2238" i="1"/>
  <c r="D2242" i="1" l="1"/>
  <c r="C2246" i="1"/>
  <c r="C2259" i="1"/>
  <c r="D2255" i="1"/>
  <c r="D2268" i="1"/>
  <c r="C2272" i="1"/>
  <c r="C2245" i="1"/>
  <c r="D2241" i="1"/>
  <c r="C2249" i="1" l="1"/>
  <c r="D2245" i="1"/>
  <c r="C2276" i="1"/>
  <c r="D2272" i="1"/>
  <c r="C2263" i="1"/>
  <c r="D2259" i="1"/>
  <c r="C2250" i="1"/>
  <c r="D2246" i="1"/>
  <c r="C2254" i="1" l="1"/>
  <c r="D2250" i="1"/>
  <c r="D2263" i="1"/>
  <c r="C2267" i="1"/>
  <c r="D2276" i="1"/>
  <c r="C2280" i="1"/>
  <c r="C2253" i="1"/>
  <c r="D2249" i="1"/>
  <c r="C2257" i="1" l="1"/>
  <c r="D2253" i="1"/>
  <c r="D2280" i="1"/>
  <c r="C2284" i="1"/>
  <c r="C2271" i="1"/>
  <c r="D2267" i="1"/>
  <c r="C2258" i="1"/>
  <c r="D2254" i="1"/>
  <c r="C2262" i="1" l="1"/>
  <c r="D2258" i="1"/>
  <c r="D2271" i="1"/>
  <c r="C2275" i="1"/>
  <c r="D2284" i="1"/>
  <c r="C2288" i="1"/>
  <c r="C2261" i="1"/>
  <c r="D2257" i="1"/>
  <c r="D2288" i="1" l="1"/>
  <c r="C2292" i="1"/>
  <c r="C2279" i="1"/>
  <c r="D2275" i="1"/>
  <c r="D2261" i="1"/>
  <c r="C2265" i="1"/>
  <c r="C2266" i="1"/>
  <c r="D2262" i="1"/>
  <c r="C2269" i="1" l="1"/>
  <c r="D2265" i="1"/>
  <c r="D2266" i="1"/>
  <c r="C2270" i="1"/>
  <c r="C2283" i="1"/>
  <c r="D2279" i="1"/>
  <c r="D2292" i="1"/>
  <c r="C2296" i="1"/>
  <c r="C2300" i="1" l="1"/>
  <c r="D2296" i="1"/>
  <c r="C2287" i="1"/>
  <c r="D2283" i="1"/>
  <c r="D2270" i="1"/>
  <c r="C2274" i="1"/>
  <c r="C2273" i="1"/>
  <c r="D2269" i="1"/>
  <c r="D2274" i="1" l="1"/>
  <c r="C2278" i="1"/>
  <c r="C2277" i="1"/>
  <c r="D2273" i="1"/>
  <c r="C2291" i="1"/>
  <c r="D2287" i="1"/>
  <c r="D2300" i="1"/>
  <c r="C2304" i="1"/>
  <c r="C2281" i="1" l="1"/>
  <c r="D2277" i="1"/>
  <c r="C2282" i="1"/>
  <c r="D2278" i="1"/>
  <c r="D2304" i="1"/>
  <c r="C2308" i="1"/>
  <c r="C2295" i="1"/>
  <c r="D2291" i="1"/>
  <c r="D2295" i="1" l="1"/>
  <c r="C2299" i="1"/>
  <c r="D2308" i="1"/>
  <c r="C2312" i="1"/>
  <c r="D2282" i="1"/>
  <c r="C2286" i="1"/>
  <c r="C2285" i="1"/>
  <c r="D2281" i="1"/>
  <c r="C2290" i="1" l="1"/>
  <c r="D2286" i="1"/>
  <c r="D2312" i="1"/>
  <c r="C2316" i="1"/>
  <c r="C2303" i="1"/>
  <c r="D2299" i="1"/>
  <c r="C2289" i="1"/>
  <c r="D2285" i="1"/>
  <c r="C2293" i="1" l="1"/>
  <c r="D2289" i="1"/>
  <c r="D2303" i="1"/>
  <c r="C2307" i="1"/>
  <c r="D2316" i="1"/>
  <c r="C2320" i="1"/>
  <c r="C2294" i="1"/>
  <c r="D2290" i="1"/>
  <c r="C2298" i="1" l="1"/>
  <c r="D2294" i="1"/>
  <c r="C2324" i="1"/>
  <c r="D2320" i="1"/>
  <c r="C2311" i="1"/>
  <c r="D2307" i="1"/>
  <c r="C2297" i="1"/>
  <c r="D2293" i="1"/>
  <c r="C2301" i="1" l="1"/>
  <c r="D2297" i="1"/>
  <c r="D2311" i="1"/>
  <c r="C2315" i="1"/>
  <c r="D2324" i="1"/>
  <c r="C2328" i="1"/>
  <c r="C2302" i="1"/>
  <c r="D2298" i="1"/>
  <c r="C2332" i="1" l="1"/>
  <c r="D2328" i="1"/>
  <c r="C2319" i="1"/>
  <c r="D2315" i="1"/>
  <c r="C2306" i="1"/>
  <c r="D2302" i="1"/>
  <c r="D2301" i="1"/>
  <c r="C2305" i="1"/>
  <c r="D2306" i="1" l="1"/>
  <c r="C2310" i="1"/>
  <c r="C2323" i="1"/>
  <c r="D2319" i="1"/>
  <c r="C2309" i="1"/>
  <c r="D2305" i="1"/>
  <c r="D2332" i="1"/>
  <c r="C2336" i="1"/>
  <c r="C2327" i="1" l="1"/>
  <c r="D2323" i="1"/>
  <c r="C2314" i="1"/>
  <c r="D2310" i="1"/>
  <c r="C2340" i="1"/>
  <c r="D2336" i="1"/>
  <c r="D2309" i="1"/>
  <c r="C2313" i="1"/>
  <c r="D2340" i="1" l="1"/>
  <c r="C2344" i="1"/>
  <c r="C2317" i="1"/>
  <c r="D2313" i="1"/>
  <c r="C2318" i="1"/>
  <c r="D2314" i="1"/>
  <c r="C2331" i="1"/>
  <c r="D2327" i="1"/>
  <c r="C2335" i="1" l="1"/>
  <c r="D2331" i="1"/>
  <c r="C2322" i="1"/>
  <c r="D2318" i="1"/>
  <c r="D2317" i="1"/>
  <c r="C2321" i="1"/>
  <c r="C2348" i="1"/>
  <c r="D2344" i="1"/>
  <c r="C2325" i="1" l="1"/>
  <c r="D2321" i="1"/>
  <c r="D2322" i="1"/>
  <c r="C2326" i="1"/>
  <c r="D2348" i="1"/>
  <c r="C2352" i="1"/>
  <c r="C2339" i="1"/>
  <c r="D2335" i="1"/>
  <c r="C2343" i="1" l="1"/>
  <c r="D2339" i="1"/>
  <c r="C2356" i="1"/>
  <c r="D2352" i="1"/>
  <c r="D2326" i="1"/>
  <c r="C2330" i="1"/>
  <c r="D2325" i="1"/>
  <c r="C2329" i="1"/>
  <c r="D2330" i="1" l="1"/>
  <c r="C2334" i="1"/>
  <c r="C2333" i="1"/>
  <c r="D2329" i="1"/>
  <c r="D2356" i="1"/>
  <c r="C2360" i="1"/>
  <c r="C2347" i="1"/>
  <c r="D2343" i="1"/>
  <c r="D2333" i="1" l="1"/>
  <c r="C2337" i="1"/>
  <c r="D2334" i="1"/>
  <c r="C2338" i="1"/>
  <c r="C2351" i="1"/>
  <c r="D2347" i="1"/>
  <c r="C2364" i="1"/>
  <c r="D2360" i="1"/>
  <c r="D2364" i="1" l="1"/>
  <c r="C2368" i="1"/>
  <c r="C2355" i="1"/>
  <c r="D2351" i="1"/>
  <c r="D2338" i="1"/>
  <c r="C2342" i="1"/>
  <c r="C2341" i="1"/>
  <c r="D2337" i="1"/>
  <c r="D2342" i="1" l="1"/>
  <c r="C2346" i="1"/>
  <c r="C2359" i="1"/>
  <c r="D2355" i="1"/>
  <c r="C2372" i="1"/>
  <c r="D2368" i="1"/>
  <c r="D2341" i="1"/>
  <c r="C2345" i="1"/>
  <c r="C2349" i="1" l="1"/>
  <c r="D2345" i="1"/>
  <c r="D2372" i="1"/>
  <c r="C2376" i="1"/>
  <c r="D2359" i="1"/>
  <c r="C2363" i="1"/>
  <c r="D2346" i="1"/>
  <c r="C2350" i="1"/>
  <c r="D2350" i="1" l="1"/>
  <c r="C2354" i="1"/>
  <c r="D2363" i="1"/>
  <c r="C2367" i="1"/>
  <c r="D2376" i="1"/>
  <c r="C2380" i="1"/>
  <c r="D2349" i="1"/>
  <c r="C2353" i="1"/>
  <c r="D2367" i="1" l="1"/>
  <c r="C2371" i="1"/>
  <c r="C2358" i="1"/>
  <c r="D2354" i="1"/>
  <c r="C2357" i="1"/>
  <c r="D2353" i="1"/>
  <c r="D2380" i="1"/>
  <c r="C2384" i="1"/>
  <c r="C2388" i="1" l="1"/>
  <c r="D2384" i="1"/>
  <c r="D2357" i="1"/>
  <c r="C2361" i="1"/>
  <c r="D2358" i="1"/>
  <c r="C2362" i="1"/>
  <c r="D2371" i="1"/>
  <c r="C2375" i="1"/>
  <c r="D2375" i="1" l="1"/>
  <c r="C2379" i="1"/>
  <c r="C2366" i="1"/>
  <c r="D2362" i="1"/>
  <c r="C2365" i="1"/>
  <c r="D2361" i="1"/>
  <c r="D2388" i="1"/>
  <c r="C2392" i="1"/>
  <c r="D2365" i="1" l="1"/>
  <c r="C2369" i="1"/>
  <c r="C2370" i="1"/>
  <c r="D2366" i="1"/>
  <c r="D2379" i="1"/>
  <c r="C2383" i="1"/>
  <c r="C2396" i="1"/>
  <c r="D2392" i="1"/>
  <c r="D2396" i="1" l="1"/>
  <c r="C2400" i="1"/>
  <c r="D2383" i="1"/>
  <c r="C2387" i="1"/>
  <c r="C2374" i="1"/>
  <c r="D2370" i="1"/>
  <c r="C2373" i="1"/>
  <c r="D2369" i="1"/>
  <c r="D2373" i="1" l="1"/>
  <c r="C2377" i="1"/>
  <c r="C2378" i="1"/>
  <c r="D2374" i="1"/>
  <c r="D2387" i="1"/>
  <c r="C2391" i="1"/>
  <c r="C2404" i="1"/>
  <c r="D2400" i="1"/>
  <c r="D2404" i="1" l="1"/>
  <c r="C2408" i="1"/>
  <c r="D2391" i="1"/>
  <c r="C2395" i="1"/>
  <c r="C2382" i="1"/>
  <c r="D2378" i="1"/>
  <c r="C2381" i="1"/>
  <c r="D2377" i="1"/>
  <c r="C2386" i="1" l="1"/>
  <c r="D2382" i="1"/>
  <c r="D2395" i="1"/>
  <c r="C2399" i="1"/>
  <c r="C2412" i="1"/>
  <c r="D2408" i="1"/>
  <c r="C2385" i="1"/>
  <c r="D2381" i="1"/>
  <c r="C2389" i="1" l="1"/>
  <c r="D2385" i="1"/>
  <c r="D2412" i="1"/>
  <c r="C2416" i="1"/>
  <c r="D2399" i="1"/>
  <c r="C2403" i="1"/>
  <c r="C2390" i="1"/>
  <c r="D2386" i="1"/>
  <c r="D2403" i="1" l="1"/>
  <c r="C2407" i="1"/>
  <c r="C2420" i="1"/>
  <c r="D2416" i="1"/>
  <c r="C2394" i="1"/>
  <c r="D2390" i="1"/>
  <c r="D2389" i="1"/>
  <c r="C2393" i="1"/>
  <c r="C2424" i="1" l="1"/>
  <c r="D2420" i="1"/>
  <c r="D2407" i="1"/>
  <c r="C2411" i="1"/>
  <c r="C2397" i="1"/>
  <c r="D2393" i="1"/>
  <c r="C2398" i="1"/>
  <c r="D2394" i="1"/>
  <c r="D2397" i="1" l="1"/>
  <c r="C2401" i="1"/>
  <c r="D2411" i="1"/>
  <c r="C2415" i="1"/>
  <c r="C2402" i="1"/>
  <c r="D2398" i="1"/>
  <c r="C2428" i="1"/>
  <c r="D2424" i="1"/>
  <c r="C2432" i="1" l="1"/>
  <c r="D2432" i="1" s="1"/>
  <c r="D2428" i="1"/>
  <c r="C2406" i="1"/>
  <c r="D2402" i="1"/>
  <c r="D2415" i="1"/>
  <c r="C2419" i="1"/>
  <c r="C2405" i="1"/>
  <c r="D2401" i="1"/>
  <c r="C2409" i="1" l="1"/>
  <c r="D2405" i="1"/>
  <c r="C2410" i="1"/>
  <c r="D2406" i="1"/>
  <c r="D2419" i="1"/>
  <c r="C2423" i="1"/>
  <c r="D2423" i="1" l="1"/>
  <c r="C2427" i="1"/>
  <c r="C2414" i="1"/>
  <c r="D2410" i="1"/>
  <c r="C2413" i="1"/>
  <c r="D2409" i="1"/>
  <c r="D2413" i="1" l="1"/>
  <c r="C2417" i="1"/>
  <c r="C2418" i="1"/>
  <c r="D2414" i="1"/>
  <c r="D2427" i="1"/>
  <c r="C2431" i="1"/>
  <c r="D2431" i="1" s="1"/>
  <c r="C2422" i="1" l="1"/>
  <c r="D2418" i="1"/>
  <c r="C2421" i="1"/>
  <c r="D2417" i="1"/>
  <c r="D2421" i="1" l="1"/>
  <c r="C2425" i="1"/>
  <c r="C2426" i="1"/>
  <c r="D2422" i="1"/>
  <c r="C2430" i="1" l="1"/>
  <c r="D2430" i="1" s="1"/>
  <c r="D2426" i="1"/>
  <c r="C2429" i="1"/>
  <c r="D2429" i="1" s="1"/>
  <c r="D24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chuckcgchen(陈长阁)</author>
    <author>Tencent_Go</author>
  </authors>
  <commentList>
    <comment ref="F2" authorId="0" shapeId="0" xr:uid="{00000000-0006-0000-0000-000001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chuckcgchen(陈长阁):
与【相对权重】一起确定随机出几项道具
</t>
        </r>
      </text>
    </comment>
    <comment ref="H2" authorId="0" shapeId="0" xr:uid="{00000000-0006-0000-0000-000002000000}">
      <text>
        <r>
          <rPr>
            <sz val="11"/>
            <color theme="1"/>
            <rFont val="宋体"/>
            <family val="3"/>
            <charset val="134"/>
            <scheme val="minor"/>
          </rPr>
          <t>chuckcgchen(陈长阁):
从最大数量最小数量里选择一个的权重</t>
        </r>
      </text>
    </comment>
    <comment ref="I2" authorId="0" shapeId="0" xr:uid="{00000000-0006-0000-0000-000003000000}">
      <text>
        <r>
          <rPr>
            <sz val="11"/>
            <color theme="1"/>
            <rFont val="宋体"/>
            <family val="3"/>
            <charset val="134"/>
            <scheme val="minor"/>
          </rPr>
          <t>chuckcgchen(陈长阁):
包内物体统一计算权重</t>
        </r>
      </text>
    </comment>
    <comment ref="J2" authorId="0" shapeId="0" xr:uid="{00000000-0006-0000-0000-000004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chuckcgchen(陈长阁):
单独概率值，和其他物品无关
</t>
        </r>
      </text>
    </comment>
    <comment ref="L2" authorId="0" shapeId="0" xr:uid="{00000000-0006-0000-0000-000005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chuckcgchen(陈长阁):
是否使用本表id列顺序作为显示顺序
bool值 true或false
</t>
        </r>
      </text>
    </comment>
    <comment ref="K3" authorId="1" shapeId="0" xr:uid="{00000000-0006-0000-0000-000006000000}">
      <text>
        <r>
          <rPr>
            <sz val="11"/>
            <color theme="1"/>
            <rFont val="宋体"/>
            <family val="3"/>
            <charset val="134"/>
            <scheme val="minor"/>
          </rPr>
          <t>Tencent_Go:
失效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200-000001000000}">
      <text>
        <r>
          <rPr>
            <sz val="11"/>
            <color theme="1"/>
            <rFont val="宋体"/>
            <family val="3"/>
            <charset val="134"/>
            <scheme val="minor"/>
          </rPr>
          <t>作者:
ID分配
1-1000 资源
1001-3000 英雄
3001-4000 君主
4000-5000 装备
5000-6000 增益
6000-6500 加速
6500-7000 杂项
7000-8000 活动兑换物
8001-8500 联盟
8501-8600 活动野怪
8601-10000广告位招租
10001-20000活动礼包专用
20001-40000直购礼包</t>
        </r>
      </text>
    </comment>
    <comment ref="C2" authorId="0" shapeId="0" xr:uid="{00000000-0006-0000-0200-000002000000}">
      <text>
        <r>
          <rPr>
            <sz val="11"/>
            <color theme="1"/>
            <rFont val="宋体"/>
            <family val="3"/>
            <charset val="134"/>
            <scheme val="minor"/>
          </rPr>
          <t>作者:
ID分配
1-1000 资源
1001-3000 英雄
3001-4000 君主
4000-5000 装备
5000-6000 增益
6000-6500 加速
6500-7000 杂项
7000-8000 活动兑换物
8001-8500 联盟
8501-8600 活动野怪
8601-10000广告位招租
10001-20000活动礼包专用
20001-40000直购礼包</t>
        </r>
      </text>
    </comment>
  </commentList>
</comments>
</file>

<file path=xl/sharedStrings.xml><?xml version="1.0" encoding="utf-8"?>
<sst xmlns="http://schemas.openxmlformats.org/spreadsheetml/2006/main" count="1964" uniqueCount="1665">
  <si>
    <t>convert(ResReward.proto, table_RewardConfData, RewardConfData_5.pbin)</t>
  </si>
  <si>
    <t>相对随机配置</t>
  </si>
  <si>
    <t>奖励ID</t>
  </si>
  <si>
    <t>策划描述</t>
  </si>
  <si>
    <t>道具id</t>
  </si>
  <si>
    <t>道具名称</t>
  </si>
  <si>
    <t>道具数量</t>
  </si>
  <si>
    <t>相对权重最小个数</t>
  </si>
  <si>
    <t>相对权重最大个数</t>
  </si>
  <si>
    <t>数量权重</t>
  </si>
  <si>
    <t>相对权重（整数）</t>
  </si>
  <si>
    <t>绝对概率[0,1]</t>
  </si>
  <si>
    <t>过期时间</t>
  </si>
  <si>
    <t>自定义顺序</t>
  </si>
  <si>
    <t>id</t>
  </si>
  <si>
    <t>item.id</t>
  </si>
  <si>
    <t>item.num</t>
  </si>
  <si>
    <t>minNum</t>
  </si>
  <si>
    <t>maxNum</t>
  </si>
  <si>
    <t>numWeight[;]</t>
  </si>
  <si>
    <t>item.relativeWeight</t>
  </si>
  <si>
    <t>item.absoluteProbability</t>
  </si>
  <si>
    <t>item.expire</t>
  </si>
  <si>
    <t>customizedOrder</t>
  </si>
  <si>
    <t>冒险蓝色名人宝箱</t>
  </si>
  <si>
    <t>冒险紫名人宝箱</t>
  </si>
  <si>
    <t>冒险橙色名人宝箱</t>
  </si>
  <si>
    <t>冒险测试奖励</t>
  </si>
  <si>
    <t>冒险测试奖励[州展示用]</t>
  </si>
  <si>
    <t>冒险1级通用奖励</t>
  </si>
  <si>
    <t>冒险2级通用奖励</t>
  </si>
  <si>
    <t>冒险3级通用奖励</t>
  </si>
  <si>
    <t>冒险4级通用奖励</t>
  </si>
  <si>
    <t>冒险5级通用奖励</t>
  </si>
  <si>
    <t>冒险6级通用奖励</t>
  </si>
  <si>
    <t>冒险7级通用奖励</t>
  </si>
  <si>
    <t>冒险8级通用奖励</t>
  </si>
  <si>
    <t>冒险9级通用奖励</t>
  </si>
  <si>
    <t>冒险10级通用奖励</t>
  </si>
  <si>
    <t>冒险11级通用奖励</t>
  </si>
  <si>
    <t>冒险12级通用奖励</t>
  </si>
  <si>
    <t>冒险13级通用奖励</t>
  </si>
  <si>
    <t>冒险14级通用奖励</t>
  </si>
  <si>
    <t>冒险15级通用奖励</t>
  </si>
  <si>
    <t>冒险16级通用奖励</t>
  </si>
  <si>
    <t>冒险17级通用奖励</t>
  </si>
  <si>
    <t>冒险18级通用奖励</t>
  </si>
  <si>
    <t>冒险19级通用奖励</t>
  </si>
  <si>
    <t>冒险20级通用奖励</t>
  </si>
  <si>
    <t>冒险21级通用奖励</t>
  </si>
  <si>
    <t>冒险22级通用奖励</t>
  </si>
  <si>
    <t>冒险23级通用奖励</t>
  </si>
  <si>
    <t>冒险24级通用奖励</t>
  </si>
  <si>
    <t>冒险25级通用奖励</t>
  </si>
  <si>
    <t>冒险26级通用奖励</t>
  </si>
  <si>
    <t>冒险27级通用奖励</t>
  </si>
  <si>
    <t>冒险28级通用奖励</t>
  </si>
  <si>
    <t>冒险29级通用奖励</t>
  </si>
  <si>
    <t>冒险30级通用奖励</t>
  </si>
  <si>
    <t>普通事件-1级-木材</t>
  </si>
  <si>
    <t>普通事件-1级-食物</t>
  </si>
  <si>
    <t>普通事件-1级-石头</t>
  </si>
  <si>
    <t>普通事件-1级-黄金</t>
  </si>
  <si>
    <t>普通事件-2级-木材</t>
  </si>
  <si>
    <t>普通事件-2级-食物</t>
  </si>
  <si>
    <t>普通事件-2级-石头</t>
  </si>
  <si>
    <t>普通事件-2级-黄金</t>
  </si>
  <si>
    <t>普通事件-3级-木材</t>
  </si>
  <si>
    <t>普通事件-3级-食物</t>
  </si>
  <si>
    <t>普通事件-3级-石头</t>
  </si>
  <si>
    <t>普通事件-3级-黄金</t>
  </si>
  <si>
    <t>普通事件-4级-木材</t>
  </si>
  <si>
    <t>普通事件-4级-食物</t>
  </si>
  <si>
    <t>普通事件-4级-石头</t>
  </si>
  <si>
    <t>普通事件-4级-黄金</t>
  </si>
  <si>
    <t>普通事件-5级-木材</t>
  </si>
  <si>
    <t>普通事件-5级-食物</t>
  </si>
  <si>
    <t>普通事件-5级-石头</t>
  </si>
  <si>
    <t>普通事件-5级-黄金</t>
  </si>
  <si>
    <t>普通事件-6级-木材</t>
  </si>
  <si>
    <t>普通事件-6级-食物</t>
  </si>
  <si>
    <t>普通事件-6级-石头</t>
  </si>
  <si>
    <t>普通事件-6级-黄金</t>
  </si>
  <si>
    <t>普通事件-7级-木材</t>
  </si>
  <si>
    <t>普通事件-7级-食物</t>
  </si>
  <si>
    <t>普通事件-7级-石头</t>
  </si>
  <si>
    <t>普通事件-7级-黄金</t>
  </si>
  <si>
    <t>普通事件-8级-木材</t>
  </si>
  <si>
    <t>普通事件-8级-食物</t>
  </si>
  <si>
    <t>普通事件-8级-石头</t>
  </si>
  <si>
    <t>普通事件-8级-黄金</t>
  </si>
  <si>
    <t>普通事件-9级-木材</t>
  </si>
  <si>
    <t>普通事件-9级-食物</t>
  </si>
  <si>
    <t>普通事件-9级-石头</t>
  </si>
  <si>
    <t>普通事件-9级-黄金</t>
  </si>
  <si>
    <t>普通事件-10级-木材</t>
  </si>
  <si>
    <t>普通事件-10级-食物</t>
  </si>
  <si>
    <t>普通事件-10级-石头</t>
  </si>
  <si>
    <t>普通事件-10级-黄金</t>
  </si>
  <si>
    <t>普通事件-11级-木材</t>
  </si>
  <si>
    <t>普通事件-11级-食物</t>
  </si>
  <si>
    <t>普通事件-11级-石头</t>
  </si>
  <si>
    <t>普通事件-11级-黄金</t>
  </si>
  <si>
    <t>普通事件-12级-木材</t>
  </si>
  <si>
    <t>普通事件-12级-食物</t>
  </si>
  <si>
    <t>普通事件-12级-石头</t>
  </si>
  <si>
    <t>普通事件-12级-黄金</t>
  </si>
  <si>
    <t>普通事件-13级-木材</t>
  </si>
  <si>
    <t>普通事件-13级-食物</t>
  </si>
  <si>
    <t>普通事件-13级-石头</t>
  </si>
  <si>
    <t>普通事件-13级-黄金</t>
  </si>
  <si>
    <t>普通事件-14级-木材</t>
  </si>
  <si>
    <t>普通事件-14级-食物</t>
  </si>
  <si>
    <t>普通事件-14级-石头</t>
  </si>
  <si>
    <t>普通事件-14级-黄金</t>
  </si>
  <si>
    <t>普通事件-15级-木材</t>
  </si>
  <si>
    <t>普通事件-15级-食物</t>
  </si>
  <si>
    <t>普通事件-15级-石头</t>
  </si>
  <si>
    <t>普通事件-15级-黄金</t>
  </si>
  <si>
    <t>普通事件-16级-木材</t>
  </si>
  <si>
    <t>普通事件-16级-食物</t>
  </si>
  <si>
    <t>普通事件-16级-石头</t>
  </si>
  <si>
    <t>普通事件-16级-黄金</t>
  </si>
  <si>
    <t>普通事件-17级-木材</t>
  </si>
  <si>
    <t>普通事件-17级-食物</t>
  </si>
  <si>
    <t>普通事件-17级-石头</t>
  </si>
  <si>
    <t>普通事件-17级-黄金</t>
  </si>
  <si>
    <t>普通事件-18级-木材</t>
  </si>
  <si>
    <t>普通事件-18级-食物</t>
  </si>
  <si>
    <t>普通事件-18级-石头</t>
  </si>
  <si>
    <t>普通事件-18级-黄金</t>
  </si>
  <si>
    <t>普通事件-19级-木材</t>
  </si>
  <si>
    <t>普通事件-19级-食物</t>
  </si>
  <si>
    <t>普通事件-19级-石头</t>
  </si>
  <si>
    <t>普通事件-19级-黄金</t>
  </si>
  <si>
    <t>普通事件-20级-木材</t>
  </si>
  <si>
    <t>普通事件-20级-食物</t>
  </si>
  <si>
    <t>普通事件-20级-石头</t>
  </si>
  <si>
    <t>普通事件-20级-黄金</t>
  </si>
  <si>
    <t>普通事件-21级-木材</t>
  </si>
  <si>
    <t>普通事件-21级-食物</t>
  </si>
  <si>
    <t>普通事件-21级-石头</t>
  </si>
  <si>
    <t>普通事件-21级-黄金</t>
  </si>
  <si>
    <t>普通事件-22级-木材</t>
  </si>
  <si>
    <t>普通事件-22级-食物</t>
  </si>
  <si>
    <t>普通事件-22级-石头</t>
  </si>
  <si>
    <t>普通事件-22级-黄金</t>
  </si>
  <si>
    <t>普通事件-23级-木材</t>
  </si>
  <si>
    <t>普通事件-23级-食物</t>
  </si>
  <si>
    <t>普通事件-23级-石头</t>
  </si>
  <si>
    <t>普通事件-23级-黄金</t>
  </si>
  <si>
    <t>普通事件-24级-木材</t>
  </si>
  <si>
    <t>普通事件-24级-食物</t>
  </si>
  <si>
    <t>普通事件-24级-石头</t>
  </si>
  <si>
    <t>普通事件-24级-黄金</t>
  </si>
  <si>
    <t>普通事件-25级-木材</t>
  </si>
  <si>
    <t>普通事件-25级-食物</t>
  </si>
  <si>
    <t>普通事件-25级-石头</t>
  </si>
  <si>
    <t>普通事件-25级-黄金</t>
  </si>
  <si>
    <t>普通事件-26级-木材</t>
  </si>
  <si>
    <t>普通事件-26级-食物</t>
  </si>
  <si>
    <t>普通事件-26级-石头</t>
  </si>
  <si>
    <t>普通事件-26级-黄金</t>
  </si>
  <si>
    <t>普通事件-27级-木材</t>
  </si>
  <si>
    <t>普通事件-27级-食物</t>
  </si>
  <si>
    <t>普通事件-27级-石头</t>
  </si>
  <si>
    <t>普通事件-27级-黄金</t>
  </si>
  <si>
    <t>普通事件-28级-木材</t>
  </si>
  <si>
    <t>普通事件-28级-食物</t>
  </si>
  <si>
    <t>普通事件-28级-石头</t>
  </si>
  <si>
    <t>普通事件-28级-黄金</t>
  </si>
  <si>
    <t>普通事件-29级-木材</t>
  </si>
  <si>
    <t>普通事件-29级-食物</t>
  </si>
  <si>
    <t>普通事件-29级-石头</t>
  </si>
  <si>
    <t>普通事件-29级-黄金</t>
  </si>
  <si>
    <t>普通事件-30级-木材</t>
  </si>
  <si>
    <t>普通事件-30级-食物</t>
  </si>
  <si>
    <t>普通事件-30级-石头</t>
  </si>
  <si>
    <t>普通事件-30级-黄金</t>
  </si>
  <si>
    <t>蓝色内政官寻访1~4级</t>
  </si>
  <si>
    <t>紫色内政官寻访1~4级</t>
  </si>
  <si>
    <t>金色内政官寻访1~4级</t>
  </si>
  <si>
    <t>内政官寻访1~4级(州1专属）（暂时无用）</t>
  </si>
  <si>
    <t>内政官寻访1~4级(州2专属）（暂时无用）</t>
  </si>
  <si>
    <t>内政官寻访1~4级(州3专属）（暂时无用）</t>
  </si>
  <si>
    <t>内政官寻访1~4级(州4专属）（暂时无用）</t>
  </si>
  <si>
    <t>内政官寻访1~4级(州5专属）（暂时无用）</t>
  </si>
  <si>
    <t>内政官寻访1~4级(州6专属）（暂时无用）</t>
  </si>
  <si>
    <t>内政官寻访1~4级(州7专属）（暂时无用）</t>
  </si>
  <si>
    <t>内政官寻访1~4级(州8专属）（暂时无用）</t>
  </si>
  <si>
    <t>内政官寻访1~4级(州9专属）（暂时无用）</t>
  </si>
  <si>
    <t>内政官寻访1~4级(州10专属）（暂时无用）</t>
  </si>
  <si>
    <t>铜币事件1~4级</t>
  </si>
  <si>
    <t>银币事件1~4级</t>
  </si>
  <si>
    <t>蓝色内政官寻访6~8级</t>
  </si>
  <si>
    <t>紫色内政官寻访6~8级</t>
  </si>
  <si>
    <t>金色内政官寻访6~8级</t>
  </si>
  <si>
    <t>内政官寻访6~8级(州1专属）（暂时无用）</t>
  </si>
  <si>
    <t>内政官寻访6~8级(州2专属）（暂时无用）</t>
  </si>
  <si>
    <t>内政官寻访6~8级(州3专属）（暂时无用）</t>
  </si>
  <si>
    <t>内政官寻访6~8级(州4专属）（暂时无用）</t>
  </si>
  <si>
    <t>内政官寻访6~8级(州5专属）（暂时无用）</t>
  </si>
  <si>
    <t>内政官寻访6~8级(州6专属）（暂时无用）</t>
  </si>
  <si>
    <t>内政官寻访6~8级(州7专属）（暂时无用）</t>
  </si>
  <si>
    <t>内政官寻访6~8级(州8专属）（暂时无用）</t>
  </si>
  <si>
    <t>内政官寻访6~8级(州9专属）（暂时无用）</t>
  </si>
  <si>
    <t>内政官寻访6~8级(州10专属）（暂时无用）</t>
  </si>
  <si>
    <t>铜币事件6~8级</t>
  </si>
  <si>
    <t>银币事件6~8级</t>
  </si>
  <si>
    <t>蓝色内政官寻访9~12级</t>
  </si>
  <si>
    <t>紫色内政官寻访9~12级</t>
  </si>
  <si>
    <t>金色内政官寻访9~12级</t>
  </si>
  <si>
    <t>内政官寻访9~12级(州1专属）（暂时无用）</t>
  </si>
  <si>
    <t>内政官寻访9~12级(州2专属）（暂时无用）</t>
  </si>
  <si>
    <t>内政官寻访9~12级(州3专属）（暂时无用）</t>
  </si>
  <si>
    <t>内政官寻访9~12级(州4专属）（暂时无用）</t>
  </si>
  <si>
    <t>内政官寻访9~12级(州5专属）（暂时无用）</t>
  </si>
  <si>
    <t>内政官寻访9~12级(州6专属）（暂时无用）</t>
  </si>
  <si>
    <t>内政官寻访9~12级(州7专属）（暂时无用）</t>
  </si>
  <si>
    <t>内政官寻访9~12级(州8专属）（暂时无用）</t>
  </si>
  <si>
    <t>内政官寻访9~12级(州9专属）（暂时无用）</t>
  </si>
  <si>
    <t>内政官寻访9~12级(州10专属）（暂时无用）</t>
  </si>
  <si>
    <t>铜币事件9~12级</t>
  </si>
  <si>
    <t>银币事件9~12级</t>
  </si>
  <si>
    <t>蓝色内政官寻访13~16级</t>
  </si>
  <si>
    <t>紫色内政官寻访13~16级</t>
  </si>
  <si>
    <t>金色内政官寻访13~16级</t>
  </si>
  <si>
    <t>内政官寻访13~16级(州1专属）（暂时无用）</t>
  </si>
  <si>
    <t>内政官寻访13~16级(州2专属）（暂时无用）</t>
  </si>
  <si>
    <t>内政官寻访13~16级(州3专属）（暂时无用）</t>
  </si>
  <si>
    <t>内政官寻访13~16级(州4专属）（暂时无用）</t>
  </si>
  <si>
    <t>内政官寻访13~16级(州5专属）（暂时无用）</t>
  </si>
  <si>
    <t>内政官寻访13~16级(州6专属）（暂时无用）</t>
  </si>
  <si>
    <t>内政官寻访13~16级(州7专属）（暂时无用）</t>
  </si>
  <si>
    <t>内政官寻访13~16级(州8专属）（暂时无用）</t>
  </si>
  <si>
    <t>内政官寻访13~16级(州9专属）（暂时无用）</t>
  </si>
  <si>
    <t>内政官寻访13~16级(州10专属）（暂时无用）</t>
  </si>
  <si>
    <t>铜币事件13~16级</t>
  </si>
  <si>
    <t>银币事件13~16级</t>
  </si>
  <si>
    <t>蓝色内政官寻访17~20级</t>
  </si>
  <si>
    <t>紫色内政官寻访17~20级</t>
  </si>
  <si>
    <t>金色内政官寻访17~20级</t>
  </si>
  <si>
    <t>内政官寻访17~20级(州1专属）（暂时无用）</t>
  </si>
  <si>
    <t>内政官寻访17~20级(州2专属）（暂时无用）</t>
  </si>
  <si>
    <t>内政官寻访17~20级(州3专属）（暂时无用）</t>
  </si>
  <si>
    <t>内政官寻访17~20级(州4专属）（暂时无用）</t>
  </si>
  <si>
    <t>内政官寻访17~20级(州5专属）（暂时无用）</t>
  </si>
  <si>
    <t>内政官寻访17~20级(州6专属）（暂时无用）</t>
  </si>
  <si>
    <t>内政官寻访17~20级(州7专属）（暂时无用）</t>
  </si>
  <si>
    <t>内政官寻访17~20级(州8专属）（暂时无用）</t>
  </si>
  <si>
    <t>内政官寻访17~20级(州9专属）（暂时无用）</t>
  </si>
  <si>
    <t>内政官寻访17~20级(州10专属）（暂时无用）</t>
  </si>
  <si>
    <t>铜币事件17~20级</t>
  </si>
  <si>
    <t>银币事件17~20级</t>
  </si>
  <si>
    <t>蓝色内政官寻访21~24级</t>
  </si>
  <si>
    <t>紫色内政官寻访21~24级</t>
  </si>
  <si>
    <t>金色内政官寻访21~24级</t>
  </si>
  <si>
    <t>内政官寻访21~24级(州1专属）（暂时无用）</t>
  </si>
  <si>
    <t>内政官寻访21~24级(州2专属）（暂时无用）</t>
  </si>
  <si>
    <t>内政官寻访21~24级(州3专属）（暂时无用）</t>
  </si>
  <si>
    <t>内政官寻访21~24级(州4专属）（暂时无用）</t>
  </si>
  <si>
    <t>内政官寻访21~24级(州5专属）（暂时无用）</t>
  </si>
  <si>
    <t>内政官寻访21~24级(州6专属）（暂时无用）</t>
  </si>
  <si>
    <t>内政官寻访21~24级(州7专属）（暂时无用）</t>
  </si>
  <si>
    <t>内政官寻访21~24级(州8专属）（暂时无用）</t>
  </si>
  <si>
    <t>内政官寻访21~24级(州9专属）（暂时无用）</t>
  </si>
  <si>
    <t>内政官寻访21~24级(州10专属）（暂时无用）</t>
  </si>
  <si>
    <t>铜币事件21~24级</t>
  </si>
  <si>
    <t>银币事件21~24级</t>
  </si>
  <si>
    <t>蓝色内政官寻访25~28级</t>
  </si>
  <si>
    <t>紫色内政官寻访25~28级</t>
  </si>
  <si>
    <t>金色内政官寻访25~28级</t>
  </si>
  <si>
    <t>内政官寻访25~28级(州1专属）（暂时无用）</t>
  </si>
  <si>
    <t>内政官寻访25~28级(州2专属）（暂时无用）</t>
  </si>
  <si>
    <t>内政官寻访25~28级(州3专属）（暂时无用）</t>
  </si>
  <si>
    <t>内政官寻访25~28级(州4专属）（暂时无用）</t>
  </si>
  <si>
    <t>内政官寻访25~28级(州5专属）（暂时无用）</t>
  </si>
  <si>
    <t>内政官寻访25~28级(州6专属）（暂时无用）</t>
  </si>
  <si>
    <t>内政官寻访25~28级(州7专属）（暂时无用）</t>
  </si>
  <si>
    <t>内政官寻访25~28级(州8专属）（暂时无用）</t>
  </si>
  <si>
    <t>内政官寻访25~28级(州9专属）（暂时无用）</t>
  </si>
  <si>
    <t>内政官寻访25~28级(州10专属）（暂时无用）</t>
  </si>
  <si>
    <t>铜币事件25~28级</t>
  </si>
  <si>
    <t>银币事件25~28级</t>
  </si>
  <si>
    <t>蓝色内政官寻访29~30级</t>
  </si>
  <si>
    <t>紫色内政官寻访29~30级</t>
  </si>
  <si>
    <t>金色内政官寻访29~30级</t>
  </si>
  <si>
    <t>内政官寻访29~30级(州1专属）（暂时无用）</t>
  </si>
  <si>
    <t>内政官寻访29~30级(州2专属）（暂时无用）</t>
  </si>
  <si>
    <t>内政官寻访29~30级(州3专属）（暂时无用）</t>
  </si>
  <si>
    <t>内政官寻访29~30级(州4专属）（暂时无用）</t>
  </si>
  <si>
    <t>内政官寻访29~30级(州5专属）（暂时无用）</t>
  </si>
  <si>
    <t>内政官寻访29~30级(州6专属）（暂时无用）</t>
  </si>
  <si>
    <t>内政官寻访29~30级(州7专属）（暂时无用）</t>
  </si>
  <si>
    <t>内政官寻访29~30级(州8专属）（暂时无用）</t>
  </si>
  <si>
    <t>内政官寻访29~30级(州9专属）（暂时无用）</t>
  </si>
  <si>
    <t>内政官寻访29~30级(州10专属）（暂时无用）</t>
  </si>
  <si>
    <t>铜币事件29~30级</t>
  </si>
  <si>
    <t>银币事件29~30级</t>
  </si>
  <si>
    <t>1级选择事件-紫-木</t>
  </si>
  <si>
    <t>1级选择事件-紫-石</t>
  </si>
  <si>
    <t>1级选择事件-紫-金</t>
  </si>
  <si>
    <t>1级选择事件-橙-木</t>
  </si>
  <si>
    <t>1级选择事件-橙-石</t>
  </si>
  <si>
    <t>1级选择事件-橙-金</t>
  </si>
  <si>
    <t>2级选择事件-橙-木</t>
  </si>
  <si>
    <t>2级选择事件-橙-石</t>
  </si>
  <si>
    <t>2级选择事件-橙-金</t>
  </si>
  <si>
    <t>3级选择事件-橙-木</t>
  </si>
  <si>
    <t>3级选择事件-橙-石</t>
  </si>
  <si>
    <t>3级选择事件-橙-金</t>
  </si>
  <si>
    <t>4级选择事件-橙-木</t>
  </si>
  <si>
    <t>4级选择事件-橙-石</t>
  </si>
  <si>
    <t>4级选择事件-橙-金</t>
  </si>
  <si>
    <t>5级选择事件-橙-木</t>
  </si>
  <si>
    <t>5级选择事件-橙-石</t>
  </si>
  <si>
    <t>5级选择事件-橙-金</t>
  </si>
  <si>
    <t>6级选择事件-橙-木</t>
  </si>
  <si>
    <t>6级选择事件-橙-石</t>
  </si>
  <si>
    <t>6级选择事件-橙-金</t>
  </si>
  <si>
    <t>7级选择事件-橙-木</t>
  </si>
  <si>
    <t>7级选择事件-橙-石</t>
  </si>
  <si>
    <t>7级选择事件-橙-金</t>
  </si>
  <si>
    <t>8级选择事件-橙-木</t>
  </si>
  <si>
    <t>8级选择事件-橙-石</t>
  </si>
  <si>
    <t>8级选择事件-橙-金</t>
  </si>
  <si>
    <t>9级选择事件-橙-木</t>
  </si>
  <si>
    <t>9级选择事件-橙-石</t>
  </si>
  <si>
    <t>9级选择事件-橙-金</t>
  </si>
  <si>
    <t>10级选择事件-橙-木</t>
  </si>
  <si>
    <t>10级选择事件-橙-石</t>
  </si>
  <si>
    <t>10级选择事件-橙-金</t>
  </si>
  <si>
    <t>11级选择事件-橙-木</t>
  </si>
  <si>
    <t>11级选择事件-橙-石</t>
  </si>
  <si>
    <t>11级选择事件-橙-金</t>
  </si>
  <si>
    <t>12级选择事件-橙-木</t>
  </si>
  <si>
    <t>12级选择事件-橙-石</t>
  </si>
  <si>
    <t>12级选择事件-橙-金</t>
  </si>
  <si>
    <t>13级选择事件-橙-木</t>
  </si>
  <si>
    <t>13级选择事件-橙-石</t>
  </si>
  <si>
    <t>13级选择事件-橙-金</t>
  </si>
  <si>
    <t>14级选择事件-橙-木</t>
  </si>
  <si>
    <t>14级选择事件-橙-石</t>
  </si>
  <si>
    <t>14级选择事件-橙-金</t>
  </si>
  <si>
    <t>15级选择事件-橙-木</t>
  </si>
  <si>
    <t>15级选择事件-橙-石</t>
  </si>
  <si>
    <t>15级选择事件-橙-金</t>
  </si>
  <si>
    <t>16级选择事件-橙-木</t>
  </si>
  <si>
    <t>16级选择事件-橙-石</t>
  </si>
  <si>
    <t>16级选择事件-橙-金</t>
  </si>
  <si>
    <t>17级选择事件-橙-木</t>
  </si>
  <si>
    <t>17级选择事件-橙-石</t>
  </si>
  <si>
    <t>17级选择事件-橙-金</t>
  </si>
  <si>
    <t>18级选择事件-橙-木</t>
  </si>
  <si>
    <t>18级选择事件-橙-石</t>
  </si>
  <si>
    <t>18级选择事件-橙-金</t>
  </si>
  <si>
    <t>19级选择事件-橙-木</t>
  </si>
  <si>
    <t>19级选择事件-橙-石</t>
  </si>
  <si>
    <t>19级选择事件-橙-金</t>
  </si>
  <si>
    <t>20级选择事件-橙-木</t>
  </si>
  <si>
    <t>20级选择事件-橙-石</t>
  </si>
  <si>
    <t>20级选择事件-橙-金</t>
  </si>
  <si>
    <t>21级选择事件-橙-木</t>
  </si>
  <si>
    <t>21级选择事件-橙-石</t>
  </si>
  <si>
    <t>21级选择事件-橙-金</t>
  </si>
  <si>
    <t>22级选择事件-橙-木</t>
  </si>
  <si>
    <t>22级选择事件-橙-石</t>
  </si>
  <si>
    <t>22级选择事件-橙-金</t>
  </si>
  <si>
    <t>23级选择事件-橙-木</t>
  </si>
  <si>
    <t>23级选择事件-橙-石</t>
  </si>
  <si>
    <t>23级选择事件-橙-金</t>
  </si>
  <si>
    <t>24级选择事件-橙-木</t>
  </si>
  <si>
    <t>24级选择事件-橙-石</t>
  </si>
  <si>
    <t>24级选择事件-橙-金</t>
  </si>
  <si>
    <t>25级选择事件-橙-木</t>
  </si>
  <si>
    <t>25级选择事件-橙-石</t>
  </si>
  <si>
    <t>25级选择事件-橙-金</t>
  </si>
  <si>
    <t>26级选择事件-橙-木</t>
  </si>
  <si>
    <t>26级选择事件-橙-石</t>
  </si>
  <si>
    <t>26级选择事件-橙-金</t>
  </si>
  <si>
    <t>27级选择事件-橙-木</t>
  </si>
  <si>
    <t>27级选择事件-橙-石</t>
  </si>
  <si>
    <t>27级选择事件-橙-金</t>
  </si>
  <si>
    <t>28级选择事件-橙-木</t>
  </si>
  <si>
    <t>28级选择事件-橙-石</t>
  </si>
  <si>
    <t>28级选择事件-橙-金</t>
  </si>
  <si>
    <t>29级选择事件-橙-木</t>
  </si>
  <si>
    <t>29级选择事件-橙-石</t>
  </si>
  <si>
    <t>29级选择事件-橙-金</t>
  </si>
  <si>
    <t>30级选择事件-橙-木</t>
  </si>
  <si>
    <t>30级选择事件-橙-石</t>
  </si>
  <si>
    <t>30级选择事件-橙-金</t>
  </si>
  <si>
    <t>签到收集成就1</t>
  </si>
  <si>
    <t>签到收集成就2</t>
  </si>
  <si>
    <t>签到收集成就3</t>
  </si>
  <si>
    <t>签到收集成就4</t>
  </si>
  <si>
    <t>签到收集成就5</t>
  </si>
  <si>
    <t>签到收集成就6</t>
  </si>
  <si>
    <t>签到收集成就7</t>
  </si>
  <si>
    <t>签到收集成就8</t>
  </si>
  <si>
    <t>签到收集成就9</t>
  </si>
  <si>
    <t>签到收集成就10</t>
  </si>
  <si>
    <t>签到-1</t>
  </si>
  <si>
    <t>签到-2</t>
  </si>
  <si>
    <t>签到-3</t>
  </si>
  <si>
    <t>签到-4</t>
  </si>
  <si>
    <t>签到-5</t>
  </si>
  <si>
    <t>签到-6</t>
  </si>
  <si>
    <t>签到-7</t>
  </si>
  <si>
    <t>签到-8</t>
  </si>
  <si>
    <t>签到-9</t>
  </si>
  <si>
    <t>签到-10</t>
  </si>
  <si>
    <t>10后置名人事件-成功</t>
  </si>
  <si>
    <t>11后置名人事件-成功</t>
  </si>
  <si>
    <t>12后置名人事件-成功</t>
  </si>
  <si>
    <t>13后置名人事件-成功</t>
  </si>
  <si>
    <t>14后置名人事件-成功</t>
  </si>
  <si>
    <t>15后置名人事件-成功</t>
  </si>
  <si>
    <t>16后置名人事件-成功</t>
  </si>
  <si>
    <t>17后置名人事件-成功</t>
  </si>
  <si>
    <t>18后置名人事件-成功</t>
  </si>
  <si>
    <t>19后置名人事件-成功</t>
  </si>
  <si>
    <t>20后置名人事件-成功</t>
  </si>
  <si>
    <t>21后置名人事件-成功</t>
  </si>
  <si>
    <t>22后置名人事件-成功</t>
  </si>
  <si>
    <t>23后置名人事件-成功</t>
  </si>
  <si>
    <t>24后置名人事件-成功</t>
  </si>
  <si>
    <t>25后置名人事件-成功</t>
  </si>
  <si>
    <t>26后置名人事件-成功</t>
  </si>
  <si>
    <t>27后置名人事件-成功</t>
  </si>
  <si>
    <t>28后置名人事件-成功</t>
  </si>
  <si>
    <t>29后置名人事件-成功</t>
  </si>
  <si>
    <t>30后置名人事件-成功</t>
  </si>
  <si>
    <t>10后置名人事件-失败</t>
  </si>
  <si>
    <t>11后置名人事件-失败</t>
  </si>
  <si>
    <t>12后置名人事件-失败</t>
  </si>
  <si>
    <t>13后置名人事件-失败</t>
  </si>
  <si>
    <t>14后置名人事件-失败</t>
  </si>
  <si>
    <t>15后置名人事件-失败</t>
  </si>
  <si>
    <t>16后置名人事件-失败</t>
  </si>
  <si>
    <t>17后置名人事件-失败</t>
  </si>
  <si>
    <t>18后置名人事件-失败</t>
  </si>
  <si>
    <t>19后置名人事件-失败</t>
  </si>
  <si>
    <t>20后置名人事件-失败</t>
  </si>
  <si>
    <t>21后置名人事件-失败</t>
  </si>
  <si>
    <t>22后置名人事件-失败</t>
  </si>
  <si>
    <t>23后置名人事件-失败</t>
  </si>
  <si>
    <t>24后置名人事件-失败</t>
  </si>
  <si>
    <t>25后置名人事件-失败</t>
  </si>
  <si>
    <t>26后置名人事件-失败</t>
  </si>
  <si>
    <t>27后置名人事件-失败</t>
  </si>
  <si>
    <t>28后置名人事件-失败</t>
  </si>
  <si>
    <t>29后置名人事件-失败</t>
  </si>
  <si>
    <t>30后置名人事件-失败</t>
  </si>
  <si>
    <t>战役首通1-1</t>
  </si>
  <si>
    <t>战役首通1-2</t>
  </si>
  <si>
    <t>战役首通1-3</t>
  </si>
  <si>
    <t>战役首通1-4</t>
  </si>
  <si>
    <t>战役首通1-5</t>
  </si>
  <si>
    <t>战役首通1-6</t>
  </si>
  <si>
    <t>战役首通2-1</t>
  </si>
  <si>
    <t>战役首通2-2</t>
  </si>
  <si>
    <t>战役首通2-3</t>
  </si>
  <si>
    <t>战役首通2-4</t>
  </si>
  <si>
    <t>战役首通2-5</t>
  </si>
  <si>
    <t>战役首通2-6</t>
  </si>
  <si>
    <t>战役首通3-1</t>
  </si>
  <si>
    <t>战役首通3-2</t>
  </si>
  <si>
    <t>战役首通3-3</t>
  </si>
  <si>
    <t>战役首通3-4</t>
  </si>
  <si>
    <t>战役首通3-5</t>
  </si>
  <si>
    <t>战役首通3-6</t>
  </si>
  <si>
    <t>战役首通4-1</t>
  </si>
  <si>
    <t>战役首通4-2</t>
  </si>
  <si>
    <t>战役首通4-3</t>
  </si>
  <si>
    <t>战役首通4-4</t>
  </si>
  <si>
    <t>战役首通4-5</t>
  </si>
  <si>
    <t>战役首通4-6</t>
  </si>
  <si>
    <t>战役首通5-1</t>
  </si>
  <si>
    <t>战役首通5-2</t>
  </si>
  <si>
    <t>战役首通5-3</t>
  </si>
  <si>
    <t>战役首通5-4</t>
  </si>
  <si>
    <t>战役首通5-5</t>
  </si>
  <si>
    <t>战役首通5-6</t>
  </si>
  <si>
    <t>战役首通6-1</t>
  </si>
  <si>
    <t>战役首通6-2</t>
  </si>
  <si>
    <t>战役首通6-3</t>
  </si>
  <si>
    <t>战役首通6-4</t>
  </si>
  <si>
    <t>战役首通6-5</t>
  </si>
  <si>
    <t>战役首通6-6</t>
  </si>
  <si>
    <t>战役星级1-1，1星</t>
  </si>
  <si>
    <t>战役星级1-1，2星</t>
  </si>
  <si>
    <t>战役星级1-1，3星</t>
  </si>
  <si>
    <t>战役星级1-2，1星</t>
  </si>
  <si>
    <t>战役星级1-2，2星</t>
  </si>
  <si>
    <t>战役星级1-2，3星</t>
  </si>
  <si>
    <t>战役星级1-3，1星</t>
  </si>
  <si>
    <t>战役星级1-3，2星</t>
  </si>
  <si>
    <t>战役星级1-3，3星</t>
  </si>
  <si>
    <t>战役星级1-4，1星</t>
  </si>
  <si>
    <t>战役星级1-4，2星</t>
  </si>
  <si>
    <t>战役星级1-4，3星</t>
  </si>
  <si>
    <t>战役星级1-5，1星</t>
  </si>
  <si>
    <t>战役星级1-5，2星</t>
  </si>
  <si>
    <t>战役星级1-5，3星</t>
  </si>
  <si>
    <t>战役星级1-6，1星</t>
  </si>
  <si>
    <t>战役星级1-6，2星</t>
  </si>
  <si>
    <t>战役星级1-6，3星</t>
  </si>
  <si>
    <t>累计训练任意士兵1000名</t>
  </si>
  <si>
    <t>累计训练任意士兵2000名</t>
  </si>
  <si>
    <t>累计训练任意士兵3000名</t>
  </si>
  <si>
    <t>累计训练任意士兵4500名</t>
  </si>
  <si>
    <t>累计训练任意士兵6000名</t>
  </si>
  <si>
    <t>累计训练任意士兵8000名</t>
  </si>
  <si>
    <t>累计训练任意士兵10000名</t>
  </si>
  <si>
    <t>累计训练任意士兵20000名</t>
  </si>
  <si>
    <t>累计训练任意士兵30000名</t>
  </si>
  <si>
    <t>累计训练任意士兵40000名</t>
  </si>
  <si>
    <t>累计训练任意士兵50000名</t>
  </si>
  <si>
    <t>累计训练任意士兵60000名</t>
  </si>
  <si>
    <t>累计训练任意士兵80000名</t>
  </si>
  <si>
    <t>累计训练任意士兵100000名</t>
  </si>
  <si>
    <t>累计训练任意士兵200000名</t>
  </si>
  <si>
    <t>累计训练任意士兵300000名</t>
  </si>
  <si>
    <t>累计训练任意士兵400000名</t>
  </si>
  <si>
    <t>累计训练任意士兵500000名</t>
  </si>
  <si>
    <t>累计训练任意士兵600000名</t>
  </si>
  <si>
    <t>累计训练任意士兵800000名</t>
  </si>
  <si>
    <t>累计训练任意士兵1000000名</t>
  </si>
  <si>
    <t>累计训练任意士兵2000000名</t>
  </si>
  <si>
    <t>累计训练任意士兵3000000名</t>
  </si>
  <si>
    <t>累计训练任意士兵4000000名</t>
  </si>
  <si>
    <t>累计训练任意士兵5000000名</t>
  </si>
  <si>
    <t>累计治疗任意士兵1000名</t>
  </si>
  <si>
    <t>累计治疗任意士兵2000名</t>
  </si>
  <si>
    <t>累计治疗任意士兵3000名</t>
  </si>
  <si>
    <t>累计治疗任意士兵4500名</t>
  </si>
  <si>
    <t>累计治疗任意士兵6000名</t>
  </si>
  <si>
    <t>累计治疗任意士兵8000名</t>
  </si>
  <si>
    <t>累计治疗任意士兵10000名</t>
  </si>
  <si>
    <t>累计治疗任意士兵20000名</t>
  </si>
  <si>
    <t>累计治疗任意士兵30000名</t>
  </si>
  <si>
    <t>累计治疗任意士兵40000名</t>
  </si>
  <si>
    <t>累计治疗任意士兵50000名</t>
  </si>
  <si>
    <t>城外清剿1级或更高级【普通】蛮族</t>
  </si>
  <si>
    <t>城外清剿2级或更高级【普通】蛮族</t>
  </si>
  <si>
    <t>城外清剿3级或更高级【普通】蛮族</t>
  </si>
  <si>
    <t>城外清剿4级或更高级【普通】蛮族</t>
  </si>
  <si>
    <t>城外清剿5级或更高级【普通】蛮族</t>
  </si>
  <si>
    <t>城外清剿6级或更高级【普通】蛮族</t>
  </si>
  <si>
    <t>城外清剿7级或更高级【普通】蛮族</t>
  </si>
  <si>
    <t>城外清剿8级或更高级【普通】蛮族</t>
  </si>
  <si>
    <t>城外清剿9级或更高级【普通】蛮族</t>
  </si>
  <si>
    <t>城外清剿10级或更高级【普通】蛮族</t>
  </si>
  <si>
    <t>城外清剿11级或更高级【普通】蛮族</t>
  </si>
  <si>
    <t>城外清剿12级或更高级【普通】蛮族</t>
  </si>
  <si>
    <t>城外清剿13级或更高级【普通】蛮族</t>
  </si>
  <si>
    <t>城外清剿14级或更高级【普通】蛮族</t>
  </si>
  <si>
    <t>城外清剿15级或更高级【普通】蛮族</t>
  </si>
  <si>
    <t>城外清剿任意等级【普通】蛮族3次</t>
  </si>
  <si>
    <t>城外清剿任意等级【普通】蛮族5次</t>
  </si>
  <si>
    <t>城外清剿任意等级【普通】蛮族10次</t>
  </si>
  <si>
    <t>城外清剿任意等级【普通】蛮族15次</t>
  </si>
  <si>
    <t>城外清剿任意等级【普通】蛮族20次</t>
  </si>
  <si>
    <t>城外清剿任意等级【普通】蛮族25次</t>
  </si>
  <si>
    <t>城外清剿任意等级【普通】蛮族30次</t>
  </si>
  <si>
    <t>城外清剿任意等级【普通】蛮族35次</t>
  </si>
  <si>
    <t>城外清剿任意等级【普通】蛮族40次</t>
  </si>
  <si>
    <t>城外清剿任意等级【普通】蛮族50次</t>
  </si>
  <si>
    <t>城外清剿任意等级【普通】蛮族60次</t>
  </si>
  <si>
    <t>城外清剿任意等级【普通】蛮族70次</t>
  </si>
  <si>
    <t>城外清剿任意等级【普通】蛮族80次</t>
  </si>
  <si>
    <t>城外清剿任意等级【普通】蛮族90次</t>
  </si>
  <si>
    <t>城外清剿任意等级【普通】蛮族100次</t>
  </si>
  <si>
    <t>城外清剿任意等级【普通】蛮族120次</t>
  </si>
  <si>
    <t>城外清剿任意等级【普通】蛮族140次</t>
  </si>
  <si>
    <t>城外清剿任意等级【普通】蛮族160次</t>
  </si>
  <si>
    <t>城外清剿任意等级【普通】蛮族180次</t>
  </si>
  <si>
    <t>城外清剿任意等级【普通】蛮族200次</t>
  </si>
  <si>
    <t>城外清剿任意等级【普通】蛮族230次</t>
  </si>
  <si>
    <t>城外清剿任意等级【普通】蛮族260次</t>
  </si>
  <si>
    <t>城外清剿任意等级【普通】蛮族300次</t>
  </si>
  <si>
    <t>城外清剿任意等级【普通】蛮族350次</t>
  </si>
  <si>
    <t>城外清剿任意等级【普通】蛮族400次</t>
  </si>
  <si>
    <t>城外清剿任意等级【普通】蛮族450次</t>
  </si>
  <si>
    <t>城外清剿任意等级【普通】蛮族500次</t>
  </si>
  <si>
    <t>城外清剿任意等级【普通】蛮族550次</t>
  </si>
  <si>
    <t>城外清剿任意等级【普通】蛮族600次</t>
  </si>
  <si>
    <t>城外清剿任意等级【普通】蛮族650次</t>
  </si>
  <si>
    <t>城外清剿任意等级【普通】蛮族700次</t>
  </si>
  <si>
    <t>城外清剿任意等级【普通】蛮族750次</t>
  </si>
  <si>
    <t>城外清剿任意等级【普通】蛮族800次</t>
  </si>
  <si>
    <t>城外清剿任意等级【普通】蛮族850次</t>
  </si>
  <si>
    <t>城外清剿任意等级【普通】蛮族900次</t>
  </si>
  <si>
    <t>城外清剿任意等级【普通】蛮族950次</t>
  </si>
  <si>
    <t>城外清剿任意等级【普通】蛮族1000次</t>
  </si>
  <si>
    <t>任意2个英雄等级提升至5级</t>
  </si>
  <si>
    <t>任意2个英雄等级提升至6级</t>
  </si>
  <si>
    <t>任意2个英雄等级提升至7级</t>
  </si>
  <si>
    <t>任意2个英雄等级提升至8级</t>
  </si>
  <si>
    <t>任意2个英雄等级提升至9级</t>
  </si>
  <si>
    <t>任意2个英雄等级提升至10级</t>
  </si>
  <si>
    <t>任意2个英雄等级提升至12级</t>
  </si>
  <si>
    <t>任意2个英雄等级提升至14级</t>
  </si>
  <si>
    <t>任意2个英雄等级提升至16级</t>
  </si>
  <si>
    <t>任意2个英雄等级提升至18级</t>
  </si>
  <si>
    <t>任意2个英雄等级提升至20级</t>
  </si>
  <si>
    <t>任意2个英雄等级提升至22级</t>
  </si>
  <si>
    <t>任意2个英雄等级提升至25级</t>
  </si>
  <si>
    <t>任意3个英雄等级提升至20级</t>
  </si>
  <si>
    <t>任意3个英雄等级提升至25级</t>
  </si>
  <si>
    <t>任意3个英雄等级提升至30级</t>
  </si>
  <si>
    <t>任意3个英雄等级提升至35级</t>
  </si>
  <si>
    <t>任意3个英雄等级提升至40级</t>
  </si>
  <si>
    <t>任意3个英雄等级提升至45级</t>
  </si>
  <si>
    <t>城外攻占1级或更高级资源点</t>
  </si>
  <si>
    <t>城外攻占2级或更高级资源点</t>
  </si>
  <si>
    <t>城外攻占3级或更高级资源点</t>
  </si>
  <si>
    <t>城外攻占4级或更高级资源点</t>
  </si>
  <si>
    <t>城外攻占5级或更高级资源点</t>
  </si>
  <si>
    <t>城外攻占6级或更高级资源点</t>
  </si>
  <si>
    <t>城外攻占7级或更高级资源点</t>
  </si>
  <si>
    <t>城外攻占8级或更高级资源点</t>
  </si>
  <si>
    <t>城外攻占9级或更高级资源点</t>
  </si>
  <si>
    <t>城外攻占10级或更高级资源点</t>
  </si>
  <si>
    <t>城外攻占11级或更高级资源点</t>
  </si>
  <si>
    <t>城外攻占12级或更高级资源点</t>
  </si>
  <si>
    <t>城外攻占13级或更高级资源点</t>
  </si>
  <si>
    <t>城外攻占14级或更高级资源点</t>
  </si>
  <si>
    <t>城外攻占15级或更高级资源点</t>
  </si>
  <si>
    <t>采集任意资源点累计获取50000资源</t>
  </si>
  <si>
    <t>采集任意资源点累计获取100000资源</t>
  </si>
  <si>
    <t>采集任意资源点累计获取150000资源</t>
  </si>
  <si>
    <t>采集任意资源点累计获取200000资源</t>
  </si>
  <si>
    <t>采集任意资源点累计获取300000资源</t>
  </si>
  <si>
    <t>采集任意资源点累计获取400000资源</t>
  </si>
  <si>
    <t>采集任意资源点累计获取600000资源</t>
  </si>
  <si>
    <t>采集任意资源点累计获取800000资源</t>
  </si>
  <si>
    <t>采集任意资源点累计获取1000000资源</t>
  </si>
  <si>
    <t>采集任意资源点累计获取1200000资源</t>
  </si>
  <si>
    <t>采集任意资源点累计获取1500000资源</t>
  </si>
  <si>
    <t>采集任意资源点累计获取2000000资源</t>
  </si>
  <si>
    <t>采集任意资源点累计获取3000000资源</t>
  </si>
  <si>
    <t>采集任意资源点累计获取4000000资源</t>
  </si>
  <si>
    <t>采集任意资源点累计获取5000000资源</t>
  </si>
  <si>
    <t>采集任意资源点累计获取6000000资源</t>
  </si>
  <si>
    <t>采集任意资源点累计获取8000000资源</t>
  </si>
  <si>
    <t>采集任意资源点累计获取10000000资源</t>
  </si>
  <si>
    <t>采集任意资源点累计获取12000000资源</t>
  </si>
  <si>
    <t>采集任意资源点累计获取15000000资源</t>
  </si>
  <si>
    <t>采集任意资源点累计获取20000000资源</t>
  </si>
  <si>
    <t>采集任意资源点累计获取30000000资源</t>
  </si>
  <si>
    <t>采集任意资源点累计获取40000000资源</t>
  </si>
  <si>
    <t>采集任意资源点累计获取50000000资源</t>
  </si>
  <si>
    <t>采集任意资源点累计获取60000000资源</t>
  </si>
  <si>
    <t>采集任意资源点累计获取80000000资源</t>
  </si>
  <si>
    <t>采集任意资源点累计获取100000000资源</t>
  </si>
  <si>
    <t>完成1次科技研究</t>
  </si>
  <si>
    <t>完成2次科技研究</t>
  </si>
  <si>
    <t>完成3次科技研究</t>
  </si>
  <si>
    <t>完成4次科技研究</t>
  </si>
  <si>
    <t>完成5次科技研究</t>
  </si>
  <si>
    <t>完成7次科技研究</t>
  </si>
  <si>
    <t>完成10次科技研究</t>
  </si>
  <si>
    <t>完成15次科技研究</t>
  </si>
  <si>
    <t>完成20次科技研究</t>
  </si>
  <si>
    <t>完成25次科技研究</t>
  </si>
  <si>
    <t>完成30次科技研究</t>
  </si>
  <si>
    <t>完成35次科技研究</t>
  </si>
  <si>
    <t>完成40次科技研究</t>
  </si>
  <si>
    <t>完成45次科技研究</t>
  </si>
  <si>
    <t>完成50次科技研究</t>
  </si>
  <si>
    <t>完成55次科技研究</t>
  </si>
  <si>
    <t>完成60次科技研究</t>
  </si>
  <si>
    <t>完成65次科技研究</t>
  </si>
  <si>
    <t>完成70次科技研究</t>
  </si>
  <si>
    <t>完成75次科技研究</t>
  </si>
  <si>
    <t>完成80次科技研究</t>
  </si>
  <si>
    <t>完成85次科技研究</t>
  </si>
  <si>
    <t>完成95次科技研究</t>
  </si>
  <si>
    <t>完成100次科技研究</t>
  </si>
  <si>
    <t>消耗铜币累计招募100次</t>
  </si>
  <si>
    <t>消耗铜币累计招募200次</t>
  </si>
  <si>
    <t>消耗铜币累计招募300次</t>
  </si>
  <si>
    <t>消耗铜币累计招募450次</t>
  </si>
  <si>
    <t>消耗铜币累计招募600次</t>
  </si>
  <si>
    <t>消耗铜币累计招募800次</t>
  </si>
  <si>
    <t>消耗铜币累计招募1000次</t>
  </si>
  <si>
    <t>分解英雄或技能勋章获得1000技能点</t>
  </si>
  <si>
    <t>分解英雄或技能勋章获得2000技能点</t>
  </si>
  <si>
    <t>分解英雄或技能勋章获得3000技能点</t>
  </si>
  <si>
    <t>分解英雄或技能勋章获得4500技能点</t>
  </si>
  <si>
    <t>分解英雄或技能勋章获得6000技能点</t>
  </si>
  <si>
    <t>分解英雄或技能勋章获得8000技能点</t>
  </si>
  <si>
    <t>分解英雄或技能勋章获得10000技能点</t>
  </si>
  <si>
    <t>任意英雄固有技能等级提升至3级</t>
  </si>
  <si>
    <t>任意英雄固有技能等级提升至5级</t>
  </si>
  <si>
    <t>任意英雄固有技能等级提升至7级</t>
  </si>
  <si>
    <t>任意英雄固有技能等级提升至8级</t>
  </si>
  <si>
    <t>任意英雄固有技能等级提升至9级</t>
  </si>
  <si>
    <t>任意英雄固有技能等级提升至10级</t>
  </si>
  <si>
    <t>任意2个英雄固有技能等级提升至3级</t>
  </si>
  <si>
    <t>任意2个英雄固有技能等级提升至5级</t>
  </si>
  <si>
    <t>任意2个英雄固有技能等级提升至7级</t>
  </si>
  <si>
    <t>任意2个英雄固有技能等级提升至8级</t>
  </si>
  <si>
    <t>任意2个英雄固有技能等级提升至9级</t>
  </si>
  <si>
    <t>任意2个英雄固有技能等级提升至10级</t>
  </si>
  <si>
    <t>任意3个英雄固有技能等级提升至3级</t>
  </si>
  <si>
    <t>任意3个英雄固有技能等级提升至5级</t>
  </si>
  <si>
    <t>任意3个英雄固有技能等级提升至7级</t>
  </si>
  <si>
    <t>任意3个英雄固有技能等级提升至8级</t>
  </si>
  <si>
    <t>任意3个英雄固有技能等级提升至9级</t>
  </si>
  <si>
    <t>任意3个英雄固有技能等级提升至10级</t>
  </si>
  <si>
    <t>任意4个英雄固有技能等级提升至3级</t>
  </si>
  <si>
    <t>任意4个英雄固有技能等级提升至5级</t>
  </si>
  <si>
    <t>任意4个英雄固有技能等级提升至7级</t>
  </si>
  <si>
    <t>任意4个英雄固有技能等级提升至8级</t>
  </si>
  <si>
    <t>任意4个英雄固有技能等级提升至9级</t>
  </si>
  <si>
    <t>任意4个英雄固有技能等级提升至10级</t>
  </si>
  <si>
    <t>任意6个英雄固有技能等级提升至3级</t>
  </si>
  <si>
    <t>任意6个英雄固有技能等级提升至5级</t>
  </si>
  <si>
    <t>任意6个英雄固有技能等级提升至7级</t>
  </si>
  <si>
    <t>任意6个英雄固有技能等级提升至8级</t>
  </si>
  <si>
    <t>任意6个英雄固有技能等级提升至9级</t>
  </si>
  <si>
    <t>任意6个英雄固有技能等级提升至10级</t>
  </si>
  <si>
    <t>任意9个英雄固有技能等级提升至3级</t>
  </si>
  <si>
    <t>任意9个英雄固有技能等级提升至5级</t>
  </si>
  <si>
    <t>任意9个英雄固有技能等级提升至7级</t>
  </si>
  <si>
    <t>任意9个英雄固有技能等级提升至8级</t>
  </si>
  <si>
    <t>任意9个英雄固有技能等级提升至9级</t>
  </si>
  <si>
    <t>任意9个英雄固有技能等级提升至10级</t>
  </si>
  <si>
    <t>任意12个英雄固有技能等级提升至3级</t>
  </si>
  <si>
    <t>任意12个英雄固有技能等级提升至5级</t>
  </si>
  <si>
    <t>任意12个英雄固有技能等级提升至7级</t>
  </si>
  <si>
    <t>任意12个英雄固有技能等级提升至8级</t>
  </si>
  <si>
    <t>任意12个英雄固有技能等级提升至9级</t>
  </si>
  <si>
    <t>任意12个英雄固有技能等级提升至10级</t>
  </si>
  <si>
    <t>城外清剿3级或更高级【稀有】蛮族</t>
  </si>
  <si>
    <t>城外清剿4级或更高级【稀有】蛮族</t>
  </si>
  <si>
    <t>城外清剿5级或更高级【稀有】蛮族</t>
  </si>
  <si>
    <t>城外清剿6级或更高级【稀有】蛮族</t>
  </si>
  <si>
    <t>城外清剿7级或更高级【稀有】蛮族</t>
  </si>
  <si>
    <t>城外清剿8级或更高级【稀有】蛮族</t>
  </si>
  <si>
    <t>城外清剿9级或更高级【稀有】蛮族</t>
  </si>
  <si>
    <t>城外清剿10级或更高级【稀有】蛮族</t>
  </si>
  <si>
    <t>城外清剿11级或更高级【稀有】蛮族</t>
  </si>
  <si>
    <t>城外清剿12级或更高级【稀有】蛮族</t>
  </si>
  <si>
    <t>城外清剿13级或更高级【稀有】蛮族</t>
  </si>
  <si>
    <t>城外清剿14级或更高级【稀有】蛮族</t>
  </si>
  <si>
    <t>城外清剿15级或更高级【稀有】蛮族</t>
  </si>
  <si>
    <t>城外清剿任意等级【稀有】蛮族5级或更高级【稀有】蛮族</t>
  </si>
  <si>
    <t>城外清剿任意等级【稀有】蛮族10级或更高级【稀有】蛮族</t>
  </si>
  <si>
    <t>城外清剿任意等级【稀有】蛮族15级或更高级【稀有】蛮族</t>
  </si>
  <si>
    <t>城外清剿任意等级【稀有】蛮族20级或更高级【稀有】蛮族</t>
  </si>
  <si>
    <t>城外清剿任意等级【稀有】蛮族25级或更高级【稀有】蛮族</t>
  </si>
  <si>
    <t>城外清剿任意等级【稀有】蛮族30级或更高级【稀有】蛮族</t>
  </si>
  <si>
    <t>城外清剿任意等级【稀有】蛮族35级或更高级【稀有】蛮族</t>
  </si>
  <si>
    <t>城外清剿任意等级【稀有】蛮族40级或更高级【稀有】蛮族</t>
  </si>
  <si>
    <t>城外清剿任意等级【稀有】蛮族45级或更高级【稀有】蛮族</t>
  </si>
  <si>
    <t>城外清剿任意等级【稀有】蛮族50级或更高级【稀有】蛮族</t>
  </si>
  <si>
    <t>城外清剿任意等级【稀有】蛮族60级或更高级【稀有】蛮族</t>
  </si>
  <si>
    <t>城外清剿任意等级【稀有】蛮族70级或更高级【稀有】蛮族</t>
  </si>
  <si>
    <t>城外清剿任意等级【稀有】蛮族80级或更高级【稀有】蛮族</t>
  </si>
  <si>
    <t>城外清剿任意等级【稀有】蛮族90级或更高级【稀有】蛮族</t>
  </si>
  <si>
    <t>城外清剿任意等级【稀有】蛮族100级或更高级【稀有】蛮族</t>
  </si>
  <si>
    <t>城外清剿任意等级【稀有】蛮族120级或更高级【稀有】蛮族</t>
  </si>
  <si>
    <t>城外清剿任意等级【稀有】蛮族140级或更高级【稀有】蛮族</t>
  </si>
  <si>
    <t>城外清剿任意等级【稀有】蛮族160级或更高级【稀有】蛮族</t>
  </si>
  <si>
    <t>城外清剿任意等级【稀有】蛮族180级或更高级【稀有】蛮族</t>
  </si>
  <si>
    <t>城外清剿任意等级【稀有】蛮族200级或更高级【稀有】蛮族</t>
  </si>
  <si>
    <t>城外清剿任意等级【稀有】蛮族220级或更高级【稀有】蛮族</t>
  </si>
  <si>
    <t>城外清剿任意等级【稀有】蛮族240级或更高级【稀有】蛮族</t>
  </si>
  <si>
    <t>城外清剿任意等级【稀有】蛮族260级或更高级【稀有】蛮族</t>
  </si>
  <si>
    <t>城外清剿任意等级【稀有】蛮族280级或更高级【稀有】蛮族</t>
  </si>
  <si>
    <t>城外清剿任意等级【稀有】蛮族300级或更高级【稀有】蛮族</t>
  </si>
  <si>
    <t>激活任意一个1000要求的技术天赋</t>
  </si>
  <si>
    <t>激活任意一个1000要求的文化天赋</t>
  </si>
  <si>
    <t>激活任意一个3000要求的技术天赋</t>
  </si>
  <si>
    <t>激活任意一个3000要求的文化天赋</t>
  </si>
  <si>
    <t>激活任意一个6000要求的技术天赋</t>
  </si>
  <si>
    <t>激活任意一个6000要求的文化天赋</t>
  </si>
  <si>
    <t>激活任意一个10000要求的技术天赋</t>
  </si>
  <si>
    <t>激活任意一个10000要求的文化天赋</t>
  </si>
  <si>
    <t>激活任意一个15000要求的技术天赋</t>
  </si>
  <si>
    <t>激活任意一个15000要求的文化天赋</t>
  </si>
  <si>
    <t>激活任意一个20000要求的技术天赋</t>
  </si>
  <si>
    <t>激活任意一个20000要求的文化天赋</t>
  </si>
  <si>
    <t>激活任意一个25000要求的技术天赋</t>
  </si>
  <si>
    <t>激活任意一个25000要求的文化天赋</t>
  </si>
  <si>
    <t>激活任意一个30000要求的技术天赋</t>
  </si>
  <si>
    <t>激活任意一个30000要求的文化天赋</t>
  </si>
  <si>
    <t>激活任意一个40000要求的技术天赋</t>
  </si>
  <si>
    <t>激活任意一个40000要求的文化天赋</t>
  </si>
  <si>
    <t>激活任意一个50000要求的技术天赋</t>
  </si>
  <si>
    <t>激活任意一个50000要求的文化天赋</t>
  </si>
  <si>
    <t>帝国军演通关第1层</t>
  </si>
  <si>
    <t>帝国军演通关第2层</t>
  </si>
  <si>
    <t>帝国军演通关第3层</t>
  </si>
  <si>
    <t>帝国军演通关第4层</t>
  </si>
  <si>
    <t>帝国军演通关第5层</t>
  </si>
  <si>
    <t>帝国军演通关第6层</t>
  </si>
  <si>
    <t>帝国军演通关第7层</t>
  </si>
  <si>
    <t>帝国军演通关第8层</t>
  </si>
  <si>
    <t>帝国军演通关第9层</t>
  </si>
  <si>
    <t>帝国军演通关第10层</t>
  </si>
  <si>
    <t>帝国军演通关第12层</t>
  </si>
  <si>
    <t>帝国军演通关第14层</t>
  </si>
  <si>
    <t>帝国军演通关第16层</t>
  </si>
  <si>
    <t>帝国军演通关第18层</t>
  </si>
  <si>
    <t>帝国军演通关第20层</t>
  </si>
  <si>
    <t>帝国军演通关第22层</t>
  </si>
  <si>
    <t>帝国军演通关第25层</t>
  </si>
  <si>
    <t>帝国军演通关第30层</t>
  </si>
  <si>
    <t>帝国军演通关第35层</t>
  </si>
  <si>
    <t>帝国军演通关第40层</t>
  </si>
  <si>
    <t>帝国军演通关第45层</t>
  </si>
  <si>
    <t>帝国军演通关第50层</t>
  </si>
  <si>
    <t>任意1个英雄天赋激活至第1层</t>
  </si>
  <si>
    <t>任意1个英雄天赋激活至第2层</t>
  </si>
  <si>
    <t>任意1个英雄天赋激活至第3层</t>
  </si>
  <si>
    <t>任意1个英雄天赋激活至第4层</t>
  </si>
  <si>
    <t>任意1个英雄天赋激活至第5层</t>
  </si>
  <si>
    <t>任意1个英雄天赋激活至第6层</t>
  </si>
  <si>
    <t>任意1个英雄天赋激活至第7层</t>
  </si>
  <si>
    <t>任意1个英雄天赋激活至第8层</t>
  </si>
  <si>
    <t>任意2个英雄天赋激活至第1层</t>
  </si>
  <si>
    <t>任意2个英雄天赋激活至第2层</t>
  </si>
  <si>
    <t>任意2个英雄天赋激活至第3层</t>
  </si>
  <si>
    <t>任意2个英雄天赋激活至第4层</t>
  </si>
  <si>
    <t>任意2个英雄天赋激活至第5层</t>
  </si>
  <si>
    <t>任意2个英雄天赋激活至第6层</t>
  </si>
  <si>
    <t>任意2个英雄天赋激活至第7层</t>
  </si>
  <si>
    <t>任意2个英雄天赋激活至第8层</t>
  </si>
  <si>
    <t>任意3个英雄天赋激活至第1层</t>
  </si>
  <si>
    <t>任意3个英雄天赋激活至第2层</t>
  </si>
  <si>
    <t>任意3个英雄天赋激活至第3层</t>
  </si>
  <si>
    <t>任意3个英雄天赋激活至第4层</t>
  </si>
  <si>
    <t>任意3个英雄天赋激活至第5层</t>
  </si>
  <si>
    <t>任意3个英雄天赋激活至第6层</t>
  </si>
  <si>
    <t>任意3个英雄天赋激活至第7层</t>
  </si>
  <si>
    <t>任意3个英雄天赋激活至第8层</t>
  </si>
  <si>
    <t>任意4个英雄天赋激活至第1层</t>
  </si>
  <si>
    <t>任意4个英雄天赋激活至第2层</t>
  </si>
  <si>
    <t>任意4个英雄天赋激活至第3层</t>
  </si>
  <si>
    <t>任意4个英雄天赋激活至第4层</t>
  </si>
  <si>
    <t>任意4个英雄天赋激活至第5层</t>
  </si>
  <si>
    <t>任意4个英雄天赋激活至第6层</t>
  </si>
  <si>
    <t>任意4个英雄天赋激活至第7层</t>
  </si>
  <si>
    <t>任意4个英雄天赋激活至第8层</t>
  </si>
  <si>
    <t>任意6个英雄天赋激活至第1层</t>
  </si>
  <si>
    <t>任意6个英雄天赋激活至第2层</t>
  </si>
  <si>
    <t>任意6个英雄天赋激活至第3层</t>
  </si>
  <si>
    <t>任意6个英雄天赋激活至第4层</t>
  </si>
  <si>
    <t>任意6个英雄天赋激活至第5层</t>
  </si>
  <si>
    <t>任意6个英雄天赋激活至第6层</t>
  </si>
  <si>
    <t>任意6个英雄天赋激活至第7层</t>
  </si>
  <si>
    <t>任意6个英雄天赋激活至第8层</t>
  </si>
  <si>
    <t>任意9个英雄天赋激活至第1层</t>
  </si>
  <si>
    <t>任意9个英雄天赋激活至第2层</t>
  </si>
  <si>
    <t>任意9个英雄天赋激活至第3层</t>
  </si>
  <si>
    <t>任意9个英雄天赋激活至第4层</t>
  </si>
  <si>
    <t>任意9个英雄天赋激活至第5层</t>
  </si>
  <si>
    <t>任意9个英雄天赋激活至第6层</t>
  </si>
  <si>
    <t>任意9个英雄天赋激活至第7层</t>
  </si>
  <si>
    <t>任意9个英雄天赋激活至第8层</t>
  </si>
  <si>
    <t>任意12个英雄天赋激活至第1层</t>
  </si>
  <si>
    <t>任意12个英雄天赋激活至第2层</t>
  </si>
  <si>
    <t>任意12个英雄天赋激活至第3层</t>
  </si>
  <si>
    <t>任意12个英雄天赋激活至第4层</t>
  </si>
  <si>
    <t>任意12个英雄天赋激活至第5层</t>
  </si>
  <si>
    <t>任意12个英雄天赋激活至第6层</t>
  </si>
  <si>
    <t>任意12个英雄天赋激活至第7层</t>
  </si>
  <si>
    <t>任意12个英雄天赋激活至第8层</t>
  </si>
  <si>
    <t>升级城墙至5级</t>
  </si>
  <si>
    <t>升级瞭望塔至5级</t>
  </si>
  <si>
    <t>升级2个防卫塔至5级</t>
  </si>
  <si>
    <t>升级城墙至6级</t>
  </si>
  <si>
    <t>升级瞭望塔至6级</t>
  </si>
  <si>
    <t>升级2个防卫塔至6级</t>
  </si>
  <si>
    <t>升级城墙至7级</t>
  </si>
  <si>
    <t>升级瞭望塔至7级</t>
  </si>
  <si>
    <t>升级2个防卫塔至7级</t>
  </si>
  <si>
    <t>升级城墙至8级</t>
  </si>
  <si>
    <t>升级瞭望塔至8级</t>
  </si>
  <si>
    <t>升级2个防卫塔至8级</t>
  </si>
  <si>
    <t>升级大使馆至8级</t>
  </si>
  <si>
    <t>升级城墙至9级</t>
  </si>
  <si>
    <t>升级瞭望塔至9级</t>
  </si>
  <si>
    <t>升级2个防卫塔至9级</t>
  </si>
  <si>
    <t>升级大使馆至9级</t>
  </si>
  <si>
    <t>升级城墙至10级</t>
  </si>
  <si>
    <t>升级瞭望塔至10级</t>
  </si>
  <si>
    <t>升级2个防卫塔至10级</t>
  </si>
  <si>
    <t>升级大使馆至10级</t>
  </si>
  <si>
    <t>升级战争大厅至10级</t>
  </si>
  <si>
    <t>升级城墙至11级</t>
  </si>
  <si>
    <t>升级瞭望塔至11级</t>
  </si>
  <si>
    <t>升级2个防卫塔至11级</t>
  </si>
  <si>
    <t>升级大使馆至11级</t>
  </si>
  <si>
    <t>升级战争大厅至11级</t>
  </si>
  <si>
    <t>升级城墙至12级</t>
  </si>
  <si>
    <t>升级瞭望塔至12级</t>
  </si>
  <si>
    <t>升级2个防卫塔至12级</t>
  </si>
  <si>
    <t>升级大使馆至12级</t>
  </si>
  <si>
    <t>升级战争大厅至12级</t>
  </si>
  <si>
    <t>升级城墙至13级</t>
  </si>
  <si>
    <t>升级瞭望塔至13级</t>
  </si>
  <si>
    <t>升级2个防卫塔至13级</t>
  </si>
  <si>
    <t>升级大使馆至13级</t>
  </si>
  <si>
    <t>升级战争大厅至13级</t>
  </si>
  <si>
    <t>升级城墙至14级</t>
  </si>
  <si>
    <t>升级瞭望塔至14级</t>
  </si>
  <si>
    <t>升级2个防卫塔至14级</t>
  </si>
  <si>
    <t>升级大使馆至14级</t>
  </si>
  <si>
    <t>升级战争大厅至14级</t>
  </si>
  <si>
    <t>升级城墙至15级</t>
  </si>
  <si>
    <t>升级瞭望塔至15级</t>
  </si>
  <si>
    <t>升级2个防卫塔至15级</t>
  </si>
  <si>
    <t>升级大使馆至15级</t>
  </si>
  <si>
    <t>升级战争大厅至15级</t>
  </si>
  <si>
    <t>升级城墙至16级</t>
  </si>
  <si>
    <t>升级瞭望塔至16级</t>
  </si>
  <si>
    <t>升级2个防卫塔至16级</t>
  </si>
  <si>
    <t>升级大使馆至16级</t>
  </si>
  <si>
    <t>升级战争大厅至16级</t>
  </si>
  <si>
    <t>升级城墙至17级</t>
  </si>
  <si>
    <t>升级瞭望塔至17级</t>
  </si>
  <si>
    <t>升级2个防卫塔至17级</t>
  </si>
  <si>
    <t>升级大使馆至17级</t>
  </si>
  <si>
    <t>升级战争大厅至17级</t>
  </si>
  <si>
    <t>升级城墙至18级</t>
  </si>
  <si>
    <t>升级瞭望塔至18级</t>
  </si>
  <si>
    <t>升级2个防卫塔至18级</t>
  </si>
  <si>
    <t>升级大使馆至18级</t>
  </si>
  <si>
    <t>升级战争大厅至18级</t>
  </si>
  <si>
    <t>升级城墙至19级</t>
  </si>
  <si>
    <t>升级瞭望塔至19级</t>
  </si>
  <si>
    <t>升级2个防卫塔至19级</t>
  </si>
  <si>
    <t>升级大使馆至19级</t>
  </si>
  <si>
    <t>升级战争大厅至19级</t>
  </si>
  <si>
    <t>升级城墙至20级</t>
  </si>
  <si>
    <t>升级瞭望塔至20级</t>
  </si>
  <si>
    <t>升级2个防卫塔至20级</t>
  </si>
  <si>
    <t>升级大使馆至20级</t>
  </si>
  <si>
    <t>升级战争大厅至20级</t>
  </si>
  <si>
    <t>主线-4堡</t>
  </si>
  <si>
    <t>主线-5堡</t>
  </si>
  <si>
    <t>主线-6堡</t>
  </si>
  <si>
    <t>主线-7堡</t>
  </si>
  <si>
    <t>主线-8堡</t>
  </si>
  <si>
    <t>主线-9堡</t>
  </si>
  <si>
    <t>主线-10堡</t>
  </si>
  <si>
    <t>主线-11堡</t>
  </si>
  <si>
    <t>主线-12堡</t>
  </si>
  <si>
    <t>主线-13堡</t>
  </si>
  <si>
    <t>主线-14堡</t>
  </si>
  <si>
    <t>主线-15堡</t>
  </si>
  <si>
    <t>主线-16堡</t>
  </si>
  <si>
    <t>主线-17堡</t>
  </si>
  <si>
    <t>主线-18堡</t>
  </si>
  <si>
    <t>主线-19堡</t>
  </si>
  <si>
    <t>主线-20堡</t>
  </si>
  <si>
    <t>核心主线-5</t>
  </si>
  <si>
    <t>教学任务</t>
  </si>
  <si>
    <t>1级城每日资源</t>
  </si>
  <si>
    <t>2级城每日资源</t>
  </si>
  <si>
    <t>3级城每日资源</t>
  </si>
  <si>
    <t>4级城每日资源</t>
  </si>
  <si>
    <t>5级城每日资源</t>
  </si>
  <si>
    <t>6级城每日资源</t>
  </si>
  <si>
    <t>7级城每日资源</t>
  </si>
  <si>
    <t>8级城每日资源</t>
  </si>
  <si>
    <t>9级城每日资源</t>
  </si>
  <si>
    <t>10级城每日资源</t>
  </si>
  <si>
    <t>海外军演-01</t>
  </si>
  <si>
    <t>海外军演-02</t>
  </si>
  <si>
    <t>海外军演-03</t>
  </si>
  <si>
    <t>海外军演-04</t>
  </si>
  <si>
    <t>海外军演-05</t>
  </si>
  <si>
    <t>海外军演-06</t>
  </si>
  <si>
    <t>海外军演-07</t>
  </si>
  <si>
    <t>海外军演-08</t>
  </si>
  <si>
    <t>海外军演-09</t>
  </si>
  <si>
    <t>海外军演-10</t>
  </si>
  <si>
    <t>海外军演-11</t>
  </si>
  <si>
    <t>海外军演-12</t>
  </si>
  <si>
    <t>海外军演-13</t>
  </si>
  <si>
    <t>海外军演-14</t>
  </si>
  <si>
    <t>海外军演-15</t>
  </si>
  <si>
    <t>海外军演-16</t>
  </si>
  <si>
    <t>海外军演-17</t>
  </si>
  <si>
    <t>海外军演-18</t>
  </si>
  <si>
    <t>海外军演-19</t>
  </si>
  <si>
    <t>海外军演-20</t>
  </si>
  <si>
    <t>海外军演-21</t>
  </si>
  <si>
    <t>海外军演-22</t>
  </si>
  <si>
    <t>海外军演-23</t>
  </si>
  <si>
    <t>海外军演-24</t>
  </si>
  <si>
    <t>海外军演-25</t>
  </si>
  <si>
    <t>海外军演-26</t>
  </si>
  <si>
    <t>海外军演-27</t>
  </si>
  <si>
    <t>海外军演-28</t>
  </si>
  <si>
    <t>海外军演-29</t>
  </si>
  <si>
    <t>海外军演-30</t>
  </si>
  <si>
    <t>海外军演-31</t>
  </si>
  <si>
    <t>海外军演-32</t>
  </si>
  <si>
    <t>海外军演-33</t>
  </si>
  <si>
    <t>海外军演-34</t>
  </si>
  <si>
    <t>海外军演-35</t>
  </si>
  <si>
    <t>海外军演-36</t>
  </si>
  <si>
    <t>海外军演-37</t>
  </si>
  <si>
    <t>海外军演-38</t>
  </si>
  <si>
    <t>海外军演-39</t>
  </si>
  <si>
    <t>海外军演-40</t>
  </si>
  <si>
    <t>海外军演-41</t>
  </si>
  <si>
    <t>海外军演-42</t>
  </si>
  <si>
    <t>海外军演-43</t>
  </si>
  <si>
    <t>海外军演-44</t>
  </si>
  <si>
    <t>海外军演-45</t>
  </si>
  <si>
    <t>海外军演-46</t>
  </si>
  <si>
    <t>海外军演-47</t>
  </si>
  <si>
    <t>海外军演-48</t>
  </si>
  <si>
    <t>海外军演-49</t>
  </si>
  <si>
    <t>海外军演-50</t>
  </si>
  <si>
    <t>海外军演-每日军演币第1关</t>
  </si>
  <si>
    <t>海外军演-每日军演币2-20关</t>
  </si>
  <si>
    <t>海外军演-每日军演币21-40关</t>
  </si>
  <si>
    <t>海外军演-每日军演币41-60关</t>
  </si>
  <si>
    <t>海外军演-每日军演币61-70关</t>
  </si>
  <si>
    <t>分表须知</t>
  </si>
  <si>
    <t>* 每个策划占用10万ID段</t>
  </si>
  <si>
    <t>* 新增xlsx后需要将新表第一行pb名字和分表配置里对应起来(参考已有分表A1单元格的写法)</t>
  </si>
  <si>
    <t>* 告知服务器同学添加加载新分表的代码（ResMapAllServerLite.java.conv）</t>
  </si>
  <si>
    <t>* 新增分表后需转《奖励分表配置》并提交，后续只需要修改自己的分表即可</t>
  </si>
  <si>
    <t>奖励随机流程</t>
  </si>
  <si>
    <t>1. 产出【绝对概率】道具</t>
  </si>
  <si>
    <t>2. 产出【相对权重】道具</t>
  </si>
  <si>
    <t>3. 将第1步，第2步随机结果合并返回</t>
  </si>
  <si>
    <t>1.1对每个绝对概率道具进行一次随机，决定出不出</t>
  </si>
  <si>
    <t>2.1 将所有配置了相对权重的道具组建一个随机池子</t>
  </si>
  <si>
    <t>1.2 绝对概率配置范围为【0, 1】，配1必出，配置0必不出（用于预配置）</t>
  </si>
  <si>
    <t>2.2 如果配置了二项权重，则从最大最小两个数字中随机选一个数字n</t>
  </si>
  <si>
    <t>2.3 如果没配置二项权重，从最小最大数量范围中随机一个数字</t>
  </si>
  <si>
    <t>2.4 随机数为0不进行相对权重随机，随机数大于池子大小全出</t>
  </si>
  <si>
    <t>convert(ResItem.proto, table_ItemConfData, ItemConfData.pbin)</t>
  </si>
  <si>
    <t>道具ID</t>
  </si>
  <si>
    <t>简略描述</t>
  </si>
  <si>
    <t>debugDesc</t>
  </si>
  <si>
    <t>1万木材</t>
  </si>
  <si>
    <t>1万食物</t>
  </si>
  <si>
    <t>1分钟加速</t>
  </si>
  <si>
    <t>1万石头</t>
  </si>
  <si>
    <t>1分钟建造加速</t>
  </si>
  <si>
    <t>1千黄金</t>
  </si>
  <si>
    <t>1分钟科技研究加速</t>
  </si>
  <si>
    <t>1千木材</t>
  </si>
  <si>
    <t>1分钟训练加速</t>
  </si>
  <si>
    <t>1千食物</t>
  </si>
  <si>
    <t>1分钟医疗加速</t>
  </si>
  <si>
    <t>1千石头</t>
  </si>
  <si>
    <t>5分钟加速</t>
  </si>
  <si>
    <t>1小时加速</t>
  </si>
  <si>
    <t>2小时加速</t>
  </si>
  <si>
    <t>8小时加速</t>
  </si>
  <si>
    <t>12小时加速</t>
  </si>
  <si>
    <t>100黄金</t>
  </si>
  <si>
    <t>24小时加速</t>
  </si>
  <si>
    <t>1木材</t>
  </si>
  <si>
    <t>5分钟建造加速</t>
  </si>
  <si>
    <t>1食物</t>
  </si>
  <si>
    <t>1小时建造加速</t>
  </si>
  <si>
    <t>1石头</t>
  </si>
  <si>
    <t>2小时建造加速</t>
  </si>
  <si>
    <t>1黄金</t>
  </si>
  <si>
    <t>8小时建造加速</t>
  </si>
  <si>
    <t>5万木材</t>
  </si>
  <si>
    <t>12小时建造加速</t>
  </si>
  <si>
    <t>5万食物</t>
  </si>
  <si>
    <t>24小时建造加速</t>
  </si>
  <si>
    <t>5万石头</t>
  </si>
  <si>
    <t>5分钟科技研究加速</t>
  </si>
  <si>
    <t>5000黄金</t>
  </si>
  <si>
    <t>1小时科技研究加速</t>
  </si>
  <si>
    <t>10万木材</t>
  </si>
  <si>
    <t>2小时科技研究加速</t>
  </si>
  <si>
    <t>10万食物</t>
  </si>
  <si>
    <t>8小时科技研究加速</t>
  </si>
  <si>
    <t>10万石头</t>
  </si>
  <si>
    <t>12小时科技研究加速</t>
  </si>
  <si>
    <t>1万黄金</t>
  </si>
  <si>
    <t>24小时科技研究加速</t>
  </si>
  <si>
    <t>20万木材</t>
  </si>
  <si>
    <t>5分钟训练加速</t>
  </si>
  <si>
    <t>20万食物</t>
  </si>
  <si>
    <t>1小时训练加速</t>
  </si>
  <si>
    <t>20万石头</t>
  </si>
  <si>
    <t>2小时训练加速</t>
  </si>
  <si>
    <t>2万黄金</t>
  </si>
  <si>
    <t>8小时科训练加速</t>
  </si>
  <si>
    <t>100万木材</t>
  </si>
  <si>
    <t>12小时训练加速</t>
  </si>
  <si>
    <t>100万食物</t>
  </si>
  <si>
    <t>24小时训练加速</t>
  </si>
  <si>
    <t>100万石头</t>
  </si>
  <si>
    <t>5分钟治疗加速</t>
  </si>
  <si>
    <t>10万黄金</t>
  </si>
  <si>
    <t>1小时治疗加速</t>
  </si>
  <si>
    <t>2小时治疗加速</t>
  </si>
  <si>
    <t>8小时治疗加速</t>
  </si>
  <si>
    <t>12小时治疗加速</t>
  </si>
  <si>
    <t>24小时治疗加速</t>
  </si>
  <si>
    <t>1级资源宝箱</t>
  </si>
  <si>
    <t>1万木头</t>
  </si>
  <si>
    <t>2级资源宝箱</t>
  </si>
  <si>
    <t>3级资源宝箱</t>
  </si>
  <si>
    <t>1香料</t>
  </si>
  <si>
    <t>1千金矿</t>
  </si>
  <si>
    <t>1药草</t>
  </si>
  <si>
    <t>1千木头</t>
  </si>
  <si>
    <t>1蜂蜜</t>
  </si>
  <si>
    <t>1金刚石</t>
  </si>
  <si>
    <t>1可可豆</t>
  </si>
  <si>
    <t>1染料</t>
  </si>
  <si>
    <t>1人参</t>
  </si>
  <si>
    <t>1丝绸</t>
  </si>
  <si>
    <t>1铜器</t>
  </si>
  <si>
    <t>1银饰</t>
  </si>
  <si>
    <t>1木头</t>
  </si>
  <si>
    <t>1玉石</t>
  </si>
  <si>
    <t>1珍珠</t>
  </si>
  <si>
    <t>白色随机收藏品</t>
  </si>
  <si>
    <t>绿色随机收藏品</t>
  </si>
  <si>
    <t>5万木头</t>
  </si>
  <si>
    <t>蓝色随机收藏品</t>
  </si>
  <si>
    <t>紫色随机收藏品</t>
  </si>
  <si>
    <t>橙色随机收藏品</t>
  </si>
  <si>
    <t>科学文化值</t>
  </si>
  <si>
    <t>10万木头</t>
  </si>
  <si>
    <t>艺术文化值</t>
  </si>
  <si>
    <t>军事文化值</t>
  </si>
  <si>
    <t>【残破】米诺斯牛头像</t>
  </si>
  <si>
    <t>【残破】纳尔迈调色板</t>
  </si>
  <si>
    <t>20万木头</t>
  </si>
  <si>
    <t>【残破】阿尔戈斯盾</t>
  </si>
  <si>
    <t>【残破】秦始皇冕旒</t>
  </si>
  <si>
    <t>【残破】马其顿国王印戒</t>
  </si>
  <si>
    <t>【残破】古埃及帆船复原图</t>
  </si>
  <si>
    <t>10点体力</t>
  </si>
  <si>
    <t>【残破】越王勾践剑</t>
  </si>
  <si>
    <t>20点体力</t>
  </si>
  <si>
    <t>【残破】卷镰战车复原图</t>
  </si>
  <si>
    <t>30点体力</t>
  </si>
  <si>
    <t xml:space="preserve">【残破】天丛云剑 </t>
  </si>
  <si>
    <t>50点体力</t>
  </si>
  <si>
    <t>【残破】雅典娜神像</t>
  </si>
  <si>
    <t>100点体力</t>
  </si>
  <si>
    <t>【残破】《秦王破阵乐》谱</t>
  </si>
  <si>
    <t>内城木材24小时采集加速</t>
  </si>
  <si>
    <t>【残破】《太上圣祖金丹秘诀》</t>
  </si>
  <si>
    <t>内城食物24小时采集加速</t>
  </si>
  <si>
    <t>【残破】第一门的奥古斯都像</t>
  </si>
  <si>
    <t>内城石头24小时采集加速</t>
  </si>
  <si>
    <t>【残破】秦始皇兵马俑</t>
  </si>
  <si>
    <t>内城黄金24小时采集加速</t>
  </si>
  <si>
    <t>【残破】阿基米德之镜</t>
  </si>
  <si>
    <t>内城木材8小时采集加速</t>
  </si>
  <si>
    <t>【残破】乌尔王军标</t>
  </si>
  <si>
    <t>内城食物8小时采集加速</t>
  </si>
  <si>
    <t>【残破】图坦卡蒙黄金面具</t>
  </si>
  <si>
    <t>内城石头8小时采集加速</t>
  </si>
  <si>
    <t>【残破】月桂王冠</t>
  </si>
  <si>
    <t>内城黄金8小时采集加速</t>
  </si>
  <si>
    <t>【残破】萧后冠</t>
  </si>
  <si>
    <t>1铜币货币</t>
  </si>
  <si>
    <t>【残破】《高卢战记》</t>
  </si>
  <si>
    <t>【残破】贝希斯敦铭文</t>
  </si>
  <si>
    <t>【残破】传国玉玺</t>
  </si>
  <si>
    <t>【残破】赤道日晷仪</t>
  </si>
  <si>
    <t>【残破】西洋棋</t>
  </si>
  <si>
    <t>【残破】敦煌飞天壁画</t>
  </si>
  <si>
    <t>【残破】奥林匹亚宙斯神像摹本</t>
  </si>
  <si>
    <t>【残破】七弦竖琴</t>
  </si>
  <si>
    <t>【残破】阿斯克勒庇俄斯之杖</t>
  </si>
  <si>
    <t>【残破】伊西斯金像</t>
  </si>
  <si>
    <t>【残破】埃斯库罗斯面具</t>
  </si>
  <si>
    <t>【残破】希腊火复原图纸</t>
  </si>
  <si>
    <t>【残破】叙拉古金王冠</t>
  </si>
  <si>
    <t>【残破】黄帝指南车</t>
  </si>
  <si>
    <t>【残破】汉制纺车</t>
  </si>
  <si>
    <t>【残破】巴比伦星图</t>
  </si>
  <si>
    <t>【残破】司南</t>
  </si>
  <si>
    <t>【残破】诸葛连弩</t>
  </si>
  <si>
    <t>【残破】后天文王八卦</t>
  </si>
  <si>
    <t>【残破】纽姆记谱法</t>
  </si>
  <si>
    <t>【残破】青铜编钟</t>
  </si>
  <si>
    <t>【残破】银制长鸟嘴面具</t>
  </si>
  <si>
    <t>【残破】《黄帝内经》</t>
  </si>
  <si>
    <t>【残破】掷铁饼者</t>
  </si>
  <si>
    <t>【残破】候风地动仪</t>
  </si>
  <si>
    <t>【残破】木牛流马</t>
  </si>
  <si>
    <t>【普通】米诺斯牛头像</t>
  </si>
  <si>
    <t>【普通】纳尔迈调色板</t>
  </si>
  <si>
    <t>【普通】阿尔戈斯盾</t>
  </si>
  <si>
    <t>【普通】秦始皇冕旒</t>
  </si>
  <si>
    <t>【普通】马其顿国王印戒</t>
  </si>
  <si>
    <t>【普通】古埃及帆船复原图</t>
  </si>
  <si>
    <t>【普通】越王勾践剑</t>
  </si>
  <si>
    <t>【普通】卷镰战车复原图</t>
  </si>
  <si>
    <t xml:space="preserve">【普通】天丛云剑 </t>
  </si>
  <si>
    <t>【普通】雅典娜神像</t>
  </si>
  <si>
    <t>【普通】《秦王破阵乐》谱</t>
  </si>
  <si>
    <t>【普通】《太上圣祖金丹秘诀》</t>
  </si>
  <si>
    <t>【普通】第一门的奥古斯都像</t>
  </si>
  <si>
    <t>【普通】秦始皇兵马俑</t>
  </si>
  <si>
    <t>【普通】阿基米德之镜</t>
  </si>
  <si>
    <t>【普通】乌尔王军标</t>
  </si>
  <si>
    <t>【普通】图坦卡蒙黄金面具</t>
  </si>
  <si>
    <t>【普通】月桂王冠</t>
  </si>
  <si>
    <t>【普通】萧后冠</t>
  </si>
  <si>
    <t>【普通】《高卢战记》</t>
  </si>
  <si>
    <t>【普通】贝希斯敦铭文</t>
  </si>
  <si>
    <t>【普通】传国玉玺</t>
  </si>
  <si>
    <t>【普通】赤道日晷仪</t>
  </si>
  <si>
    <t>【普通】西洋棋</t>
  </si>
  <si>
    <t>【普通】敦煌飞天壁画</t>
  </si>
  <si>
    <t>【普通】奥林匹亚宙斯神像摹本</t>
  </si>
  <si>
    <t>【普通】七弦竖琴</t>
  </si>
  <si>
    <t>【普通】阿斯克勒庇俄斯之杖</t>
  </si>
  <si>
    <t>【普通】伊西斯金像</t>
  </si>
  <si>
    <t>【普通】埃斯库罗斯面具</t>
  </si>
  <si>
    <t>【普通】希腊火复原图纸</t>
  </si>
  <si>
    <t>【普通】叙拉古金王冠</t>
  </si>
  <si>
    <t>【普通】黄帝指南车</t>
  </si>
  <si>
    <t>【普通】汉制纺车</t>
  </si>
  <si>
    <t>【普通】巴比伦星图</t>
  </si>
  <si>
    <t>【普通】司南</t>
  </si>
  <si>
    <t>【普通】诸葛连弩</t>
  </si>
  <si>
    <t>【普通】后天文王八卦</t>
  </si>
  <si>
    <t>【普通】纽姆记谱法</t>
  </si>
  <si>
    <t>【普通】青铜编钟</t>
  </si>
  <si>
    <t>【普通】银制长鸟嘴面具</t>
  </si>
  <si>
    <t>【普通】《黄帝内经》</t>
  </si>
  <si>
    <t>【普通】掷铁饼者</t>
  </si>
  <si>
    <t>【普通】候风地动仪</t>
  </si>
  <si>
    <t>【普通】木牛流马</t>
  </si>
  <si>
    <t>【精良】米诺斯牛头像</t>
  </si>
  <si>
    <t>【精良】纳尔迈调色板</t>
  </si>
  <si>
    <t>【精良】阿尔戈斯盾</t>
  </si>
  <si>
    <t>【精良】秦始皇冕旒</t>
  </si>
  <si>
    <t>【精良】马其顿国王印戒</t>
  </si>
  <si>
    <t>【精良】古埃及帆船复原图</t>
  </si>
  <si>
    <t>【精良】越王勾践剑</t>
  </si>
  <si>
    <t>【精良】卷镰战车复原图</t>
  </si>
  <si>
    <t xml:space="preserve">【精良】天丛云剑 </t>
  </si>
  <si>
    <t>【精良】雅典娜神像</t>
  </si>
  <si>
    <t>【精良】《秦王破阵乐》谱</t>
  </si>
  <si>
    <t>【精良】《太上圣祖金丹秘诀》</t>
  </si>
  <si>
    <t>【精良】第一门的奥古斯都像</t>
  </si>
  <si>
    <t>【精良】秦始皇兵马俑</t>
  </si>
  <si>
    <t>【精良】阿基米德之镜</t>
  </si>
  <si>
    <t>【精良】乌尔王军标</t>
  </si>
  <si>
    <t>【精良】图坦卡蒙黄金面具</t>
  </si>
  <si>
    <t>【精良】月桂王冠</t>
  </si>
  <si>
    <t>【精良】萧后冠</t>
  </si>
  <si>
    <t>【精良】《高卢战记》</t>
  </si>
  <si>
    <t>【精良】贝希斯敦铭文</t>
  </si>
  <si>
    <t>【精良】传国玉玺</t>
  </si>
  <si>
    <t>【精良】赤道日晷仪</t>
  </si>
  <si>
    <t>【精良】西洋棋</t>
  </si>
  <si>
    <t>【精良】敦煌飞天壁画</t>
  </si>
  <si>
    <t>【精良】奥林匹亚宙斯神像摹本</t>
  </si>
  <si>
    <t>【精良】七弦竖琴</t>
  </si>
  <si>
    <t>【精良】阿斯克勒庇俄斯之杖</t>
  </si>
  <si>
    <t>【精良】伊西斯金像</t>
  </si>
  <si>
    <t>【精良】埃斯库罗斯面具</t>
  </si>
  <si>
    <t>【精良】希腊火复原图纸</t>
  </si>
  <si>
    <t>【精良】叙拉古金王冠</t>
  </si>
  <si>
    <t>【精良】黄帝指南车</t>
  </si>
  <si>
    <t>【精良】汉制纺车</t>
  </si>
  <si>
    <t>【精良】巴比伦星图</t>
  </si>
  <si>
    <t>【精良】司南</t>
  </si>
  <si>
    <t>【精良】诸葛连弩</t>
  </si>
  <si>
    <t>【精良】后天文王八卦</t>
  </si>
  <si>
    <t>【精良】纽姆记谱法</t>
  </si>
  <si>
    <t>【精良】青铜编钟</t>
  </si>
  <si>
    <t>【精良】银制长鸟嘴面具</t>
  </si>
  <si>
    <t>【精良】《黄帝内经》</t>
  </si>
  <si>
    <t>【精良】掷铁饼者</t>
  </si>
  <si>
    <t>【精良】候风地动仪</t>
  </si>
  <si>
    <t>【精良】木牛流马</t>
  </si>
  <si>
    <t>【珍稀】米诺斯牛头像</t>
  </si>
  <si>
    <t>【珍稀】纳尔迈调色板</t>
  </si>
  <si>
    <t>【珍稀】阿尔戈斯盾</t>
  </si>
  <si>
    <t>【珍稀】秦始皇冕旒</t>
  </si>
  <si>
    <t>【珍稀】马其顿国王印戒</t>
  </si>
  <si>
    <t>【珍稀】古埃及帆船复原图</t>
  </si>
  <si>
    <t>【珍稀】越王勾践剑</t>
  </si>
  <si>
    <t>【珍稀】卷镰战车复原图</t>
  </si>
  <si>
    <t xml:space="preserve">【珍稀】天丛云剑 </t>
  </si>
  <si>
    <t>【珍稀】雅典娜神像</t>
  </si>
  <si>
    <t>【珍稀】《秦王破阵乐》谱</t>
  </si>
  <si>
    <t>【珍稀】《太上圣祖金丹秘诀》</t>
  </si>
  <si>
    <t>【珍稀】第一门的奥古斯都像</t>
  </si>
  <si>
    <t>【珍稀】秦始皇兵马俑</t>
  </si>
  <si>
    <t>【珍稀】阿基米德之镜</t>
  </si>
  <si>
    <t>【珍稀】乌尔王军标</t>
  </si>
  <si>
    <t>【珍稀】图坦卡蒙黄金面具</t>
  </si>
  <si>
    <t>【珍稀】月桂王冠</t>
  </si>
  <si>
    <t>【珍稀】萧后冠</t>
  </si>
  <si>
    <t>【珍稀】《高卢战记》</t>
  </si>
  <si>
    <t>【珍稀】贝希斯敦铭文</t>
  </si>
  <si>
    <t>【珍稀】传国玉玺</t>
  </si>
  <si>
    <t>【珍稀】赤道日晷仪</t>
  </si>
  <si>
    <t>【珍稀】西洋棋</t>
  </si>
  <si>
    <t>【珍稀】敦煌飞天壁画</t>
  </si>
  <si>
    <t>【珍稀】奥林匹亚宙斯神像摹本</t>
  </si>
  <si>
    <t>【珍稀】七弦竖琴</t>
  </si>
  <si>
    <t>【珍稀】阿斯克勒庇俄斯之杖</t>
  </si>
  <si>
    <t>【珍稀】伊西斯金像</t>
  </si>
  <si>
    <t>【珍稀】埃斯库罗斯面具</t>
  </si>
  <si>
    <t>【珍稀】希腊火复原图纸</t>
  </si>
  <si>
    <t>【珍稀】叙拉古金王冠</t>
  </si>
  <si>
    <t>【珍稀】黄帝指南车</t>
  </si>
  <si>
    <t>【珍稀】汉制纺车</t>
  </si>
  <si>
    <t>【珍稀】巴比伦星图</t>
  </si>
  <si>
    <t>【珍稀】司南</t>
  </si>
  <si>
    <t>【珍稀】诸葛连弩</t>
  </si>
  <si>
    <t>【珍稀】后天文王八卦</t>
  </si>
  <si>
    <t>【珍稀】纽姆记谱法</t>
  </si>
  <si>
    <t>【珍稀】青铜编钟</t>
  </si>
  <si>
    <t>【珍稀】银制长鸟嘴面具</t>
  </si>
  <si>
    <t>【珍稀】《黄帝内经》</t>
  </si>
  <si>
    <t>【珍稀】掷铁饼者</t>
  </si>
  <si>
    <t>【珍稀】候风地动仪</t>
  </si>
  <si>
    <t>【珍稀】木牛流马</t>
  </si>
  <si>
    <t>【史诗】米诺斯牛头像</t>
  </si>
  <si>
    <t>【史诗】纳尔迈调色板</t>
  </si>
  <si>
    <t>【史诗】阿尔戈斯盾</t>
  </si>
  <si>
    <t>【史诗】秦始皇冕旒</t>
  </si>
  <si>
    <t>【史诗】马其顿国王印戒</t>
  </si>
  <si>
    <t>【史诗】古埃及帆船复原图</t>
  </si>
  <si>
    <t>【史诗】越王勾践剑</t>
  </si>
  <si>
    <t>【史诗】卷镰战车复原图</t>
  </si>
  <si>
    <t xml:space="preserve">【史诗】天丛云剑 </t>
  </si>
  <si>
    <t>【史诗】雅典娜神像</t>
  </si>
  <si>
    <t>【史诗】《秦王破阵乐》谱</t>
  </si>
  <si>
    <t>【史诗】《太上圣祖金丹秘诀》</t>
  </si>
  <si>
    <t>【史诗】第一门的奥古斯都像</t>
  </si>
  <si>
    <t>【史诗】秦始皇兵马俑</t>
  </si>
  <si>
    <t>【史诗】阿基米德之镜</t>
  </si>
  <si>
    <t>【史诗】乌尔王军标</t>
  </si>
  <si>
    <t>【史诗】图坦卡蒙黄金面具</t>
  </si>
  <si>
    <t>【史诗】月桂王冠</t>
  </si>
  <si>
    <t>【史诗】萧后冠</t>
  </si>
  <si>
    <t>【史诗】《高卢战记》</t>
  </si>
  <si>
    <t>【史诗】贝希斯敦铭文</t>
  </si>
  <si>
    <t>【史诗】传国玉玺</t>
  </si>
  <si>
    <t>【史诗】赤道日晷仪</t>
  </si>
  <si>
    <t>【史诗】西洋棋</t>
  </si>
  <si>
    <t>【史诗】敦煌飞天壁画</t>
  </si>
  <si>
    <t>【史诗】奥林匹亚宙斯神像摹本</t>
  </si>
  <si>
    <t>【史诗】七弦竖琴</t>
  </si>
  <si>
    <t>【史诗】阿斯克勒庇俄斯之杖</t>
  </si>
  <si>
    <t>【史诗】伊西斯金像</t>
  </si>
  <si>
    <t>【史诗】埃斯库罗斯面具</t>
  </si>
  <si>
    <t>【史诗】希腊火复原图纸</t>
  </si>
  <si>
    <t>【史诗】叙拉古金王冠</t>
  </si>
  <si>
    <t>【史诗】黄帝指南车</t>
  </si>
  <si>
    <t>【史诗】汉制纺车</t>
  </si>
  <si>
    <t>【史诗】巴比伦星图</t>
  </si>
  <si>
    <t>【史诗】司南</t>
  </si>
  <si>
    <t>【史诗】诸葛连弩</t>
  </si>
  <si>
    <t>【史诗】后天文王八卦</t>
  </si>
  <si>
    <t>【史诗】纽姆记谱法</t>
  </si>
  <si>
    <t>【史诗】青铜编钟</t>
  </si>
  <si>
    <t>【史诗】银制长鸟嘴面具</t>
  </si>
  <si>
    <t>【史诗】《黄帝内经》</t>
  </si>
  <si>
    <t>【史诗】掷铁饼者</t>
  </si>
  <si>
    <t>【史诗】候风地动仪</t>
  </si>
  <si>
    <t>【史诗】木牛流马</t>
  </si>
  <si>
    <t>初级经验卷轴</t>
  </si>
  <si>
    <t>中级经验卷轴</t>
  </si>
  <si>
    <t>高级经验卷轴</t>
  </si>
  <si>
    <t>极品经验卷轴</t>
  </si>
  <si>
    <t>贞德碎片</t>
  </si>
  <si>
    <t>织田信长碎片</t>
  </si>
  <si>
    <t>凯撒碎片</t>
  </si>
  <si>
    <t>埃及艳后碎片</t>
  </si>
  <si>
    <t>关羽碎片</t>
  </si>
  <si>
    <t>亨利五世碎片</t>
  </si>
  <si>
    <t>项羽碎片</t>
  </si>
  <si>
    <t>君士坦丁碎片</t>
  </si>
  <si>
    <t>花木兰碎片</t>
  </si>
  <si>
    <t>查士丁尼碎片</t>
  </si>
  <si>
    <t>布狄卡碎片</t>
  </si>
  <si>
    <t>萨拉丁碎片</t>
  </si>
  <si>
    <t>列奥尼达碎片</t>
  </si>
  <si>
    <t>孙子碎片</t>
  </si>
  <si>
    <t>武则天碎片</t>
  </si>
  <si>
    <t>腓力四世碎片</t>
  </si>
  <si>
    <t>腓特烈一世碎片</t>
  </si>
  <si>
    <t>天赋石</t>
  </si>
  <si>
    <t>英雄水晶</t>
  </si>
  <si>
    <t>王者水晶</t>
  </si>
  <si>
    <t>初级技能书</t>
  </si>
  <si>
    <t>中级技能书</t>
  </si>
  <si>
    <t>高级技能书</t>
  </si>
  <si>
    <t>极品技能书</t>
  </si>
  <si>
    <t>英雄召唤券</t>
  </si>
  <si>
    <t>10讨伐令</t>
  </si>
  <si>
    <t>100君主经验</t>
  </si>
  <si>
    <t>200君主经验</t>
  </si>
  <si>
    <t>1000君主经验</t>
  </si>
  <si>
    <t>4000君主经验</t>
  </si>
  <si>
    <t>2万君主经验</t>
  </si>
  <si>
    <t>10万君主经验</t>
  </si>
  <si>
    <t>40万君主经验</t>
  </si>
  <si>
    <t>500君主经验</t>
  </si>
  <si>
    <t>700君主经验</t>
  </si>
  <si>
    <t>1400君主经验</t>
  </si>
  <si>
    <t>1950君主经验</t>
  </si>
  <si>
    <t>君主改名券</t>
  </si>
  <si>
    <t>君主技能重置书</t>
  </si>
  <si>
    <t>行军加速</t>
  </si>
  <si>
    <t>高级行军加速</t>
  </si>
  <si>
    <t>随机迁城</t>
  </si>
  <si>
    <t>城墙耐久修复（废弃）</t>
  </si>
  <si>
    <t>城防灭火</t>
  </si>
  <si>
    <t>紧急加固</t>
  </si>
  <si>
    <t>城内木材24小时采集加速</t>
  </si>
  <si>
    <t>城内食物24小时采集加速</t>
  </si>
  <si>
    <t>城内石料24小时采集加速</t>
  </si>
  <si>
    <t>城内黄金24小时采集加速</t>
  </si>
  <si>
    <t>城内木材8小时采集加速</t>
  </si>
  <si>
    <t>城内食物8小时采集加速</t>
  </si>
  <si>
    <t>城内石料8小时采集加速</t>
  </si>
  <si>
    <t>城内黄金8小时采集加速</t>
  </si>
  <si>
    <t>1小时战争扩编（2万）</t>
  </si>
  <si>
    <t>1小时战争扩编（5万）</t>
  </si>
  <si>
    <t>1小时战争扩编（8万）</t>
  </si>
  <si>
    <t>1小时战争扩编（10万）</t>
  </si>
  <si>
    <t>12小时攻击加成（20%）</t>
  </si>
  <si>
    <t>1小时攻击加成（30%）</t>
  </si>
  <si>
    <t>1小时攻击加成（40%）</t>
  </si>
  <si>
    <t>1小时攻击加成（50%）</t>
  </si>
  <si>
    <t>12小时防御加成（20%）</t>
  </si>
  <si>
    <t>1小时防御加成（30%）</t>
  </si>
  <si>
    <t>1小时防御加成（40%）</t>
  </si>
  <si>
    <t>1小时防御加成（50%）</t>
  </si>
  <si>
    <t>瞒天过海4小时</t>
  </si>
  <si>
    <t>草木皆兵初级4小时</t>
  </si>
  <si>
    <t>草木皆兵中级4小时</t>
  </si>
  <si>
    <t>草木皆兵高级4小时</t>
  </si>
  <si>
    <t>8小时采集加速</t>
  </si>
  <si>
    <t>冒险经验X10</t>
  </si>
  <si>
    <t>24小时采集加速</t>
  </si>
  <si>
    <t>潜入令</t>
  </si>
  <si>
    <t>1分钟科技加速</t>
  </si>
  <si>
    <t>1分钟治疗加速</t>
  </si>
  <si>
    <t>5分钟科技加速</t>
  </si>
  <si>
    <t>1小时科技加速</t>
  </si>
  <si>
    <t>2小时科技加速</t>
  </si>
  <si>
    <t>8小时科技加速</t>
  </si>
  <si>
    <t>12小时科技加速</t>
  </si>
  <si>
    <t>24小时科技加速</t>
  </si>
  <si>
    <t>8小时训练加速</t>
  </si>
  <si>
    <t>100点君主经验</t>
  </si>
  <si>
    <t>号角</t>
  </si>
  <si>
    <t>科技尤里卡</t>
  </si>
  <si>
    <t>鸣金收兵</t>
  </si>
  <si>
    <t>集结解散</t>
  </si>
  <si>
    <t>1贵族积分</t>
  </si>
  <si>
    <t>1铜币</t>
  </si>
  <si>
    <t>1钻石</t>
  </si>
  <si>
    <t>1荣耀积分</t>
  </si>
  <si>
    <t>荣耀之星</t>
  </si>
  <si>
    <t>更多</t>
  </si>
  <si>
    <t>文明切换券</t>
  </si>
  <si>
    <t>领主声望</t>
  </si>
  <si>
    <t>签到周宝箱</t>
  </si>
  <si>
    <t>签到月宝箱</t>
  </si>
  <si>
    <t>累登次日宝箱</t>
  </si>
  <si>
    <t>累登七日宝箱</t>
  </si>
  <si>
    <t>伟大航道宝箱</t>
  </si>
  <si>
    <t>联盟币</t>
  </si>
  <si>
    <t>100联盟资金</t>
  </si>
  <si>
    <t>村民</t>
  </si>
  <si>
    <t>1级剑士</t>
  </si>
  <si>
    <t>1级枪兵</t>
  </si>
  <si>
    <t>1级骑兵</t>
  </si>
  <si>
    <t>1级弓兵</t>
  </si>
  <si>
    <t>2级剑士</t>
  </si>
  <si>
    <t>2级枪兵</t>
  </si>
  <si>
    <t>2级骑兵</t>
  </si>
  <si>
    <t>2级弓兵</t>
  </si>
  <si>
    <t>3级剑士</t>
  </si>
  <si>
    <t>3级枪兵</t>
  </si>
  <si>
    <t>3级骑兵</t>
  </si>
  <si>
    <t>3级弓兵</t>
  </si>
  <si>
    <t>4级剑士</t>
  </si>
  <si>
    <t>4级枪兵</t>
  </si>
  <si>
    <t>4级骑兵</t>
  </si>
  <si>
    <t>4级弓兵</t>
  </si>
  <si>
    <t>势力值排名奖励</t>
  </si>
  <si>
    <t>势力值排名官员奖励</t>
  </si>
  <si>
    <t>1级剑士预备役</t>
  </si>
  <si>
    <t>2级剑士预备役</t>
  </si>
  <si>
    <t>3级剑士预备役</t>
  </si>
  <si>
    <t>4级剑士预备役</t>
  </si>
  <si>
    <t>5级剑士预备役</t>
  </si>
  <si>
    <t>1级枪兵预备役</t>
  </si>
  <si>
    <t>2级枪兵预备役</t>
  </si>
  <si>
    <t>3级枪兵预备役</t>
  </si>
  <si>
    <t>4级枪兵预备役</t>
  </si>
  <si>
    <t>5级枪兵预备役</t>
  </si>
  <si>
    <t>1级骑士预备役</t>
  </si>
  <si>
    <t>2级骑士预备役</t>
  </si>
  <si>
    <t>3级骑士预备役</t>
  </si>
  <si>
    <t>4级骑士预备役</t>
  </si>
  <si>
    <t>5级骑士预备役</t>
  </si>
  <si>
    <t>1级弓兵预备役</t>
  </si>
  <si>
    <t>2级弓兵预备役</t>
  </si>
  <si>
    <t>3级弓兵预备役</t>
  </si>
  <si>
    <t>4级弓兵预备役</t>
  </si>
  <si>
    <t>5级弓兵预备役</t>
  </si>
  <si>
    <t>红柳枝</t>
  </si>
  <si>
    <t>白狼毛</t>
  </si>
  <si>
    <t>山羊奶</t>
  </si>
  <si>
    <t>胡椒粒</t>
  </si>
  <si>
    <t>野蚕丝</t>
  </si>
  <si>
    <t>鹿茸</t>
  </si>
  <si>
    <t>藏红花</t>
  </si>
  <si>
    <t>上等宝石</t>
  </si>
  <si>
    <t>大流克币</t>
  </si>
  <si>
    <t>情感水晶(D)</t>
  </si>
  <si>
    <t>情感水晶(C)</t>
  </si>
  <si>
    <t>情感水晶(B)</t>
  </si>
  <si>
    <t>情感水晶(A)</t>
  </si>
  <si>
    <t>情感水晶(S)</t>
  </si>
  <si>
    <t>情感水晶(SS)</t>
  </si>
  <si>
    <t>酒馆名人寻访-东方</t>
  </si>
  <si>
    <t>酒馆名人寻访-西方</t>
  </si>
  <si>
    <t>市集兑换商店-东方</t>
  </si>
  <si>
    <t>市集兑换商店-西方</t>
  </si>
  <si>
    <t>真理之酒</t>
  </si>
  <si>
    <t>统御之杖</t>
  </si>
  <si>
    <t>智慧之书</t>
  </si>
  <si>
    <t>魅力花环</t>
  </si>
  <si>
    <t>太平公主碎片</t>
  </si>
  <si>
    <t>张骞碎片</t>
  </si>
  <si>
    <t>管仲碎片</t>
  </si>
  <si>
    <t>班昭碎片</t>
  </si>
  <si>
    <t>蔡文姬碎片</t>
  </si>
  <si>
    <t>鬼谷子碎片</t>
  </si>
  <si>
    <t>伊莎贝拉碎片</t>
  </si>
  <si>
    <t>娜芙蒂蒂碎片</t>
  </si>
  <si>
    <t>阿基米德碎片</t>
  </si>
  <si>
    <t>米开朗基罗碎片</t>
  </si>
  <si>
    <t>房玄龄碎片</t>
  </si>
  <si>
    <t>哥白尼碎片</t>
  </si>
  <si>
    <t>达芬奇碎片</t>
  </si>
  <si>
    <t>卓文君碎片</t>
  </si>
  <si>
    <t>扁鹊碎片</t>
  </si>
  <si>
    <t>罗拉碎片</t>
  </si>
  <si>
    <t>杜加瓦蒂碎片</t>
  </si>
  <si>
    <t>祖冲之碎片</t>
  </si>
  <si>
    <t>朗纳尔碎片</t>
  </si>
  <si>
    <t>鲁班碎片</t>
  </si>
  <si>
    <t>普罗佩西亚碎片</t>
  </si>
  <si>
    <t>伯利克里碎片</t>
  </si>
  <si>
    <t>文成公主碎片</t>
  </si>
  <si>
    <t>弓手进攻核心</t>
  </si>
  <si>
    <t>剑士进攻核心</t>
  </si>
  <si>
    <t>骑士进攻核心</t>
  </si>
  <si>
    <t>枪兵进攻核心</t>
  </si>
  <si>
    <t>全能进攻核心</t>
  </si>
  <si>
    <t>弓手生命核心</t>
  </si>
  <si>
    <t>剑士生命核心</t>
  </si>
  <si>
    <t>骑士生命核心</t>
  </si>
  <si>
    <t>枪兵生命核心</t>
  </si>
  <si>
    <t>全能生命核心</t>
  </si>
  <si>
    <t>弓手防御核心</t>
  </si>
  <si>
    <t>剑士防御核心</t>
  </si>
  <si>
    <t>骑士防御核心</t>
  </si>
  <si>
    <t>枪兵防御核心</t>
  </si>
  <si>
    <t>全能防御核心</t>
  </si>
  <si>
    <t>马可波罗的笔记</t>
  </si>
  <si>
    <t>旧Key</t>
  </si>
  <si>
    <t>新Key</t>
  </si>
  <si>
    <t>文本</t>
  </si>
  <si>
    <t>海外官员推举第1轮奖励-1</t>
    <phoneticPr fontId="1" type="noConversion"/>
  </si>
  <si>
    <t>海外官员推举第1轮奖励-2</t>
    <phoneticPr fontId="1" type="noConversion"/>
  </si>
  <si>
    <t>海外官员推举第1轮奖励-3</t>
  </si>
  <si>
    <t>海外官员推举第1轮奖励-4</t>
  </si>
  <si>
    <t>海外官员推举第1轮奖励-5</t>
  </si>
  <si>
    <t>海外官员推举第2轮奖励-1</t>
    <phoneticPr fontId="1" type="noConversion"/>
  </si>
  <si>
    <t>海外官员推举第2轮奖励-2</t>
    <phoneticPr fontId="1" type="noConversion"/>
  </si>
  <si>
    <t>海外官员推举第2轮奖励-3</t>
  </si>
  <si>
    <t>海外官员推举第2轮奖励-4</t>
  </si>
  <si>
    <t>海外官员推举第2轮奖励-5</t>
  </si>
  <si>
    <t>海外官员推举第3轮奖励-1</t>
    <phoneticPr fontId="1" type="noConversion"/>
  </si>
  <si>
    <t>海外官员推举第3轮奖励-2</t>
  </si>
  <si>
    <t>海外官员推举第3轮奖励-3</t>
  </si>
  <si>
    <t>海外官员推举第3轮奖励-4</t>
  </si>
  <si>
    <t>海外官员推举第3轮奖励-5</t>
  </si>
  <si>
    <t>海外盟主转让奖励-1</t>
    <phoneticPr fontId="1" type="noConversion"/>
  </si>
  <si>
    <t>海外盟主转让奖励-2</t>
  </si>
  <si>
    <t>海外盟主转让奖励-3</t>
  </si>
  <si>
    <t>海外盟主转让奖励-4</t>
  </si>
  <si>
    <t>海外盟主转让奖励-5</t>
  </si>
  <si>
    <t>战略桌1-1</t>
    <phoneticPr fontId="1" type="noConversion"/>
  </si>
  <si>
    <t>战略桌1-2</t>
    <phoneticPr fontId="1" type="noConversion"/>
  </si>
  <si>
    <t>战略桌1-3</t>
    <phoneticPr fontId="1" type="noConversion"/>
  </si>
  <si>
    <t>战略桌2-1</t>
  </si>
  <si>
    <t>战略桌2-2</t>
  </si>
  <si>
    <t>战略桌2-3</t>
  </si>
  <si>
    <t>战略桌3-1</t>
  </si>
  <si>
    <t>战略桌3-2</t>
  </si>
  <si>
    <t>战略桌3-3</t>
  </si>
  <si>
    <t>战略桌4-1</t>
  </si>
  <si>
    <t>战略桌4-2</t>
  </si>
  <si>
    <t>战略桌4-3</t>
  </si>
  <si>
    <t>战略桌5-1</t>
  </si>
  <si>
    <t>战略桌5-2</t>
  </si>
  <si>
    <t>战略桌5-3</t>
  </si>
  <si>
    <t>战略桌6-1</t>
  </si>
  <si>
    <t>战略桌6-2</t>
  </si>
  <si>
    <t>战略桌6-3</t>
  </si>
  <si>
    <t>战略桌7-1</t>
  </si>
  <si>
    <t>战略桌7-2</t>
  </si>
  <si>
    <t>战略桌7-3</t>
  </si>
  <si>
    <t>定点迁城</t>
  </si>
  <si>
    <t>定点迁城（限时）</t>
  </si>
  <si>
    <t>领地迁城</t>
  </si>
  <si>
    <t>风信子</t>
    <phoneticPr fontId="1" type="noConversion"/>
  </si>
  <si>
    <t>雏菊之戒</t>
    <phoneticPr fontId="1" type="noConversion"/>
  </si>
  <si>
    <t>8小时紧急和平护盾</t>
  </si>
  <si>
    <t>24小时紧急和平护盾</t>
  </si>
  <si>
    <t>3天紧急和平护盾</t>
  </si>
  <si>
    <t>30天紧急和平护盾</t>
  </si>
  <si>
    <t>定点迁城</t>
    <phoneticPr fontId="1" type="noConversion"/>
  </si>
  <si>
    <t>装备升级材料</t>
    <phoneticPr fontId="1" type="noConversion"/>
  </si>
  <si>
    <t>海外章节任务-1</t>
  </si>
  <si>
    <t>大奖池招募券</t>
  </si>
  <si>
    <t>经验书*1000</t>
  </si>
  <si>
    <t>海外章节任务-2</t>
  </si>
  <si>
    <t>经验书*10000</t>
  </si>
  <si>
    <t>海外章节任务-3</t>
  </si>
  <si>
    <t>海外章节任务-4</t>
  </si>
  <si>
    <t>海外章节任务-5</t>
  </si>
  <si>
    <t>海外章节任务-6</t>
  </si>
  <si>
    <t>海外章节任务-7</t>
  </si>
  <si>
    <t>海外章节任务-8</t>
  </si>
  <si>
    <t>海外章节任务-10</t>
  </si>
  <si>
    <t>海外章节任务-11</t>
  </si>
  <si>
    <t>海外章节任务-12</t>
  </si>
  <si>
    <t>海外章节任务-13</t>
  </si>
  <si>
    <t>海外章节任务-14</t>
  </si>
  <si>
    <t>海外章节任务-9</t>
    <phoneticPr fontId="1" type="noConversion"/>
  </si>
  <si>
    <t>剑士等级1</t>
  </si>
  <si>
    <t>枪兵等级1</t>
  </si>
  <si>
    <t>骑兵等级1</t>
  </si>
  <si>
    <t>弓兵等级1</t>
  </si>
  <si>
    <t>剑士等级2</t>
  </si>
  <si>
    <t>剑士等级1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</si>
</sst>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"/>
    <numFmt numFmtId="177" formatCode="0.0%"/>
  </numFmts>
  <fonts count="1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i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9" fontId="7" fillId="0" borderId="0">
      <alignment vertical="center"/>
    </xf>
  </cellStyleXfs>
  <cellXfs count="44">
    <xf numFmtId="0" fontId="0" fillId="0" borderId="0" xfId="0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2" fillId="0" borderId="0" xfId="1" applyNumberFormat="1" applyFont="1" applyAlignment="1">
      <alignment vertical="center" wrapText="1"/>
    </xf>
    <xf numFmtId="0" fontId="0" fillId="0" borderId="0" xfId="0" applyAlignment="1"/>
    <xf numFmtId="176" fontId="2" fillId="3" borderId="0" xfId="1" applyNumberFormat="1" applyFont="1" applyFill="1" applyAlignment="1">
      <alignment vertical="center" wrapText="1"/>
    </xf>
    <xf numFmtId="176" fontId="2" fillId="4" borderId="0" xfId="1" applyNumberFormat="1" applyFont="1" applyFill="1" applyAlignment="1">
      <alignment vertical="center" wrapText="1"/>
    </xf>
    <xf numFmtId="176" fontId="2" fillId="5" borderId="0" xfId="1" applyNumberFormat="1" applyFont="1" applyFill="1" applyAlignment="1">
      <alignment vertical="center" wrapText="1"/>
    </xf>
    <xf numFmtId="177" fontId="0" fillId="0" borderId="0" xfId="2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3">
    <cellStyle name="百分比" xfId="2" builtinId="5"/>
    <cellStyle name="常规" xfId="0" builtinId="0"/>
    <cellStyle name="常规 2" xfId="1" xr:uid="{00000000-0005-0000-0000-000001000000}"/>
  </cellStyles>
  <dxfs count="2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OE-trunk/common/excel/xls_global/Main/D_&#36947;&#20855;&#37197;&#32622;G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道具配置表"/>
      <sheetName val="科技道具组"/>
      <sheetName val="道具合成表"/>
      <sheetName val="#旧道具备份"/>
      <sheetName val="#配表须知"/>
      <sheetName val="#TID_base_up"/>
      <sheetName val="#道具类型枚举说明"/>
    </sheetNames>
    <sheetDataSet>
      <sheetData sheetId="0" refreshError="1">
        <row r="1">
          <cell r="A1" t="str">
            <v>convert(ResItem.proto, table_ItemConfData, ItemConfData.pbin)</v>
          </cell>
          <cell r="B1" t="str">
            <v>COMMENT_LINE</v>
          </cell>
          <cell r="C1"/>
        </row>
        <row r="2">
          <cell r="A2" t="str">
            <v>道具ID</v>
          </cell>
          <cell r="B2" t="str">
            <v>商城商品ID</v>
          </cell>
          <cell r="C2" t="str">
            <v>策划</v>
          </cell>
          <cell r="D2" t="str">
            <v>备注</v>
          </cell>
        </row>
        <row r="3">
          <cell r="A3" t="str">
            <v>id</v>
          </cell>
          <cell r="B3" t="str">
            <v>commodityID</v>
          </cell>
        </row>
        <row r="4">
          <cell r="B4"/>
        </row>
        <row r="5">
          <cell r="A5">
            <v>101</v>
          </cell>
          <cell r="B5"/>
          <cell r="C5" t="str">
            <v>teysosui</v>
          </cell>
          <cell r="D5" t="str">
            <v>1木材</v>
          </cell>
        </row>
        <row r="6">
          <cell r="A6">
            <v>102</v>
          </cell>
          <cell r="B6"/>
          <cell r="C6" t="str">
            <v>teysosui</v>
          </cell>
          <cell r="D6" t="str">
            <v>1食物</v>
          </cell>
        </row>
        <row r="7">
          <cell r="A7">
            <v>103</v>
          </cell>
          <cell r="B7"/>
          <cell r="C7" t="str">
            <v>teysosui</v>
          </cell>
          <cell r="D7" t="str">
            <v>1石头</v>
          </cell>
        </row>
        <row r="8">
          <cell r="A8">
            <v>104</v>
          </cell>
          <cell r="B8"/>
          <cell r="C8" t="str">
            <v>teysosui</v>
          </cell>
          <cell r="D8" t="str">
            <v>1黄金</v>
          </cell>
        </row>
        <row r="9">
          <cell r="A9">
            <v>111</v>
          </cell>
          <cell r="B9"/>
          <cell r="C9" t="str">
            <v>chuckiecui</v>
          </cell>
          <cell r="D9" t="str">
            <v>1千木材</v>
          </cell>
        </row>
        <row r="10">
          <cell r="A10">
            <v>112</v>
          </cell>
          <cell r="B10"/>
          <cell r="C10" t="str">
            <v>chuckiecui</v>
          </cell>
          <cell r="D10" t="str">
            <v>1千食物</v>
          </cell>
        </row>
        <row r="11">
          <cell r="A11">
            <v>113</v>
          </cell>
          <cell r="B11"/>
          <cell r="C11" t="str">
            <v>chuckiecui</v>
          </cell>
          <cell r="D11" t="str">
            <v>1千石头</v>
          </cell>
        </row>
        <row r="12">
          <cell r="A12">
            <v>114</v>
          </cell>
          <cell r="B12"/>
          <cell r="C12" t="str">
            <v>chuckiecui</v>
          </cell>
          <cell r="D12" t="str">
            <v>1千黄金</v>
          </cell>
        </row>
        <row r="13">
          <cell r="A13">
            <v>121</v>
          </cell>
          <cell r="B13"/>
          <cell r="C13" t="str">
            <v>teysosui</v>
          </cell>
          <cell r="D13" t="str">
            <v>1万木材</v>
          </cell>
        </row>
        <row r="14">
          <cell r="A14">
            <v>122</v>
          </cell>
          <cell r="B14"/>
          <cell r="C14" t="str">
            <v>teysosui</v>
          </cell>
          <cell r="D14" t="str">
            <v>1万食物</v>
          </cell>
        </row>
        <row r="15">
          <cell r="A15">
            <v>123</v>
          </cell>
          <cell r="B15"/>
          <cell r="C15" t="str">
            <v>teysosui</v>
          </cell>
          <cell r="D15" t="str">
            <v>1万石头</v>
          </cell>
        </row>
        <row r="16">
          <cell r="A16">
            <v>124</v>
          </cell>
          <cell r="B16"/>
          <cell r="C16" t="str">
            <v>teysosui</v>
          </cell>
          <cell r="D16" t="str">
            <v>1万黄金</v>
          </cell>
        </row>
        <row r="17">
          <cell r="A17">
            <v>131</v>
          </cell>
          <cell r="B17"/>
          <cell r="C17" t="str">
            <v>lotxu</v>
          </cell>
          <cell r="D17" t="str">
            <v>5万木材</v>
          </cell>
        </row>
        <row r="18">
          <cell r="A18">
            <v>132</v>
          </cell>
          <cell r="B18"/>
          <cell r="C18" t="str">
            <v>lotxu</v>
          </cell>
          <cell r="D18" t="str">
            <v>5万食物</v>
          </cell>
        </row>
        <row r="19">
          <cell r="A19">
            <v>133</v>
          </cell>
          <cell r="B19"/>
          <cell r="C19" t="str">
            <v>lotxu</v>
          </cell>
          <cell r="D19" t="str">
            <v>5万石头</v>
          </cell>
        </row>
        <row r="20">
          <cell r="A20">
            <v>134</v>
          </cell>
          <cell r="B20"/>
          <cell r="C20" t="str">
            <v>lotxu</v>
          </cell>
          <cell r="D20" t="str">
            <v>5万黄金</v>
          </cell>
        </row>
        <row r="21">
          <cell r="A21">
            <v>141</v>
          </cell>
          <cell r="B21"/>
          <cell r="C21" t="str">
            <v>lotxu</v>
          </cell>
          <cell r="D21" t="str">
            <v>10万木材</v>
          </cell>
        </row>
        <row r="22">
          <cell r="A22">
            <v>142</v>
          </cell>
          <cell r="B22"/>
          <cell r="C22" t="str">
            <v>lotxu</v>
          </cell>
          <cell r="D22" t="str">
            <v>10万食物</v>
          </cell>
        </row>
        <row r="23">
          <cell r="A23">
            <v>143</v>
          </cell>
          <cell r="B23"/>
          <cell r="C23" t="str">
            <v>lotxu</v>
          </cell>
          <cell r="D23" t="str">
            <v>10万石头</v>
          </cell>
        </row>
        <row r="24">
          <cell r="A24">
            <v>144</v>
          </cell>
          <cell r="B24"/>
          <cell r="C24" t="str">
            <v>lotxu</v>
          </cell>
          <cell r="D24" t="str">
            <v>10万黄金</v>
          </cell>
        </row>
        <row r="25">
          <cell r="A25">
            <v>151</v>
          </cell>
          <cell r="B25"/>
          <cell r="C25" t="str">
            <v>lotxu</v>
          </cell>
          <cell r="D25" t="str">
            <v>20万木材</v>
          </cell>
        </row>
        <row r="26">
          <cell r="A26">
            <v>152</v>
          </cell>
          <cell r="B26"/>
          <cell r="C26" t="str">
            <v>lotxu</v>
          </cell>
          <cell r="D26" t="str">
            <v>20万食物</v>
          </cell>
        </row>
        <row r="27">
          <cell r="A27">
            <v>153</v>
          </cell>
          <cell r="B27"/>
          <cell r="C27" t="str">
            <v>lotxu</v>
          </cell>
          <cell r="D27" t="str">
            <v>20万石头</v>
          </cell>
        </row>
        <row r="28">
          <cell r="A28">
            <v>154</v>
          </cell>
          <cell r="B28"/>
          <cell r="C28" t="str">
            <v>lotxu</v>
          </cell>
          <cell r="D28" t="str">
            <v>20万黄金</v>
          </cell>
        </row>
        <row r="29">
          <cell r="A29">
            <v>156</v>
          </cell>
          <cell r="B29"/>
          <cell r="C29" t="str">
            <v>swingye</v>
          </cell>
          <cell r="D29" t="str">
            <v>50万木材</v>
          </cell>
        </row>
        <row r="30">
          <cell r="A30">
            <v>157</v>
          </cell>
          <cell r="B30"/>
          <cell r="C30" t="str">
            <v>lotxu</v>
          </cell>
          <cell r="D30" t="str">
            <v>50万食物</v>
          </cell>
        </row>
        <row r="31">
          <cell r="A31">
            <v>158</v>
          </cell>
          <cell r="B31"/>
          <cell r="C31" t="str">
            <v>swingye</v>
          </cell>
          <cell r="D31" t="str">
            <v>50万石头</v>
          </cell>
        </row>
        <row r="32">
          <cell r="A32">
            <v>159</v>
          </cell>
          <cell r="B32"/>
          <cell r="C32" t="str">
            <v>swingye</v>
          </cell>
          <cell r="D32" t="str">
            <v>50万黄金</v>
          </cell>
        </row>
        <row r="33">
          <cell r="A33">
            <v>161</v>
          </cell>
          <cell r="B33"/>
          <cell r="C33" t="str">
            <v>lotxu</v>
          </cell>
          <cell r="D33" t="str">
            <v>100万木材</v>
          </cell>
        </row>
        <row r="34">
          <cell r="A34">
            <v>162</v>
          </cell>
          <cell r="B34"/>
          <cell r="C34" t="str">
            <v>lotxu</v>
          </cell>
          <cell r="D34" t="str">
            <v>100万食物</v>
          </cell>
        </row>
        <row r="35">
          <cell r="A35">
            <v>163</v>
          </cell>
          <cell r="B35"/>
          <cell r="C35" t="str">
            <v>lotxu</v>
          </cell>
          <cell r="D35" t="str">
            <v>100万石头</v>
          </cell>
        </row>
        <row r="36">
          <cell r="A36">
            <v>164</v>
          </cell>
          <cell r="B36"/>
          <cell r="C36" t="str">
            <v>lotxu</v>
          </cell>
          <cell r="D36" t="str">
            <v>100万黄金</v>
          </cell>
        </row>
        <row r="37">
          <cell r="A37">
            <v>171</v>
          </cell>
          <cell r="B37"/>
          <cell r="C37" t="str">
            <v>swingye</v>
          </cell>
          <cell r="D37" t="str">
            <v>200万木材</v>
          </cell>
        </row>
        <row r="38">
          <cell r="A38">
            <v>172</v>
          </cell>
          <cell r="B38"/>
          <cell r="C38" t="str">
            <v>swingye</v>
          </cell>
          <cell r="D38" t="str">
            <v>200万食物</v>
          </cell>
        </row>
        <row r="39">
          <cell r="A39">
            <v>173</v>
          </cell>
          <cell r="B39"/>
          <cell r="C39" t="str">
            <v>swingye</v>
          </cell>
          <cell r="D39" t="str">
            <v>200万石头</v>
          </cell>
        </row>
        <row r="40">
          <cell r="A40">
            <v>174</v>
          </cell>
          <cell r="B40"/>
          <cell r="C40" t="str">
            <v>swingye</v>
          </cell>
          <cell r="D40" t="str">
            <v>200万黄金</v>
          </cell>
        </row>
        <row r="41">
          <cell r="A41">
            <v>181</v>
          </cell>
          <cell r="B41"/>
          <cell r="C41" t="str">
            <v>swingye</v>
          </cell>
          <cell r="D41" t="str">
            <v>500万木材</v>
          </cell>
        </row>
        <row r="42">
          <cell r="A42">
            <v>182</v>
          </cell>
          <cell r="B42"/>
          <cell r="C42" t="str">
            <v>swingye</v>
          </cell>
          <cell r="D42" t="str">
            <v>500万食物</v>
          </cell>
        </row>
        <row r="43">
          <cell r="A43">
            <v>183</v>
          </cell>
          <cell r="B43"/>
          <cell r="C43" t="str">
            <v>swingye</v>
          </cell>
          <cell r="D43" t="str">
            <v>500万石头</v>
          </cell>
        </row>
        <row r="44">
          <cell r="A44">
            <v>184</v>
          </cell>
          <cell r="B44"/>
          <cell r="C44" t="str">
            <v>swingye</v>
          </cell>
          <cell r="D44" t="str">
            <v>500万黄金</v>
          </cell>
        </row>
        <row r="45">
          <cell r="A45">
            <v>191</v>
          </cell>
          <cell r="B45"/>
          <cell r="C45" t="str">
            <v>swingye</v>
          </cell>
          <cell r="D45" t="str">
            <v>1000万木材</v>
          </cell>
        </row>
        <row r="46">
          <cell r="A46">
            <v>192</v>
          </cell>
          <cell r="B46"/>
          <cell r="C46" t="str">
            <v>swingye</v>
          </cell>
          <cell r="D46" t="str">
            <v>1000万食物</v>
          </cell>
        </row>
        <row r="47">
          <cell r="A47">
            <v>193</v>
          </cell>
          <cell r="B47"/>
          <cell r="C47" t="str">
            <v>swingye</v>
          </cell>
          <cell r="D47" t="str">
            <v>1000万石头</v>
          </cell>
        </row>
        <row r="48">
          <cell r="A48">
            <v>194</v>
          </cell>
          <cell r="B48"/>
          <cell r="C48" t="str">
            <v>swingye</v>
          </cell>
          <cell r="D48" t="str">
            <v>1000万黄金</v>
          </cell>
        </row>
        <row r="49">
          <cell r="A49">
            <v>201</v>
          </cell>
          <cell r="C49" t="str">
            <v>lotxu</v>
          </cell>
          <cell r="D49" t="str">
            <v>1级资源宝箱2千（木材、食物）</v>
          </cell>
        </row>
        <row r="50">
          <cell r="A50">
            <v>202</v>
          </cell>
          <cell r="C50" t="str">
            <v>lotxu</v>
          </cell>
          <cell r="D50" t="str">
            <v>2级资源宝箱3千（木材、食物、石头）</v>
          </cell>
        </row>
        <row r="51">
          <cell r="A51">
            <v>203</v>
          </cell>
          <cell r="C51" t="str">
            <v>lotxu</v>
          </cell>
          <cell r="D51" t="str">
            <v>3级资源宝箱4千（木材、食物、石头、黄金）</v>
          </cell>
        </row>
        <row r="52">
          <cell r="A52">
            <v>211</v>
          </cell>
          <cell r="B52"/>
          <cell r="C52" t="str">
            <v>chitawu</v>
          </cell>
          <cell r="D52" t="str">
            <v>1木材</v>
          </cell>
        </row>
        <row r="53">
          <cell r="A53">
            <v>212</v>
          </cell>
          <cell r="B53"/>
          <cell r="C53" t="str">
            <v>chitawu</v>
          </cell>
          <cell r="D53" t="str">
            <v>1食物</v>
          </cell>
        </row>
        <row r="54">
          <cell r="A54">
            <v>213</v>
          </cell>
          <cell r="B54"/>
          <cell r="C54" t="str">
            <v>chitawu</v>
          </cell>
          <cell r="D54" t="str">
            <v>1石头</v>
          </cell>
        </row>
        <row r="55">
          <cell r="A55">
            <v>214</v>
          </cell>
          <cell r="B55"/>
          <cell r="C55" t="str">
            <v>chitawu</v>
          </cell>
          <cell r="D55" t="str">
            <v>1黄金</v>
          </cell>
        </row>
        <row r="56">
          <cell r="A56">
            <v>221</v>
          </cell>
          <cell r="B56"/>
          <cell r="C56" t="str">
            <v>chitawu</v>
          </cell>
          <cell r="D56" t="str">
            <v>1千木材</v>
          </cell>
        </row>
        <row r="57">
          <cell r="A57">
            <v>222</v>
          </cell>
          <cell r="B57"/>
          <cell r="C57" t="str">
            <v>chitawu</v>
          </cell>
          <cell r="D57" t="str">
            <v>1千食物</v>
          </cell>
        </row>
        <row r="58">
          <cell r="A58">
            <v>223</v>
          </cell>
          <cell r="B58"/>
          <cell r="C58" t="str">
            <v>chitawu</v>
          </cell>
          <cell r="D58" t="str">
            <v>1千石头</v>
          </cell>
        </row>
        <row r="59">
          <cell r="A59">
            <v>224</v>
          </cell>
          <cell r="B59"/>
          <cell r="C59" t="str">
            <v>chitawu</v>
          </cell>
          <cell r="D59" t="str">
            <v>1千黄金</v>
          </cell>
        </row>
        <row r="60">
          <cell r="A60">
            <v>231</v>
          </cell>
          <cell r="B60">
            <v>4021</v>
          </cell>
          <cell r="C60" t="str">
            <v>chitawu</v>
          </cell>
          <cell r="D60" t="str">
            <v>1万木材</v>
          </cell>
        </row>
        <row r="61">
          <cell r="A61">
            <v>232</v>
          </cell>
          <cell r="B61">
            <v>4022</v>
          </cell>
          <cell r="C61" t="str">
            <v>chitawu</v>
          </cell>
          <cell r="D61" t="str">
            <v>1万食物</v>
          </cell>
        </row>
        <row r="62">
          <cell r="A62">
            <v>233</v>
          </cell>
          <cell r="B62">
            <v>4023</v>
          </cell>
          <cell r="C62" t="str">
            <v>chitawu</v>
          </cell>
          <cell r="D62" t="str">
            <v>1万石头</v>
          </cell>
        </row>
        <row r="63">
          <cell r="A63">
            <v>234</v>
          </cell>
          <cell r="B63">
            <v>4024</v>
          </cell>
          <cell r="C63" t="str">
            <v>chitawu</v>
          </cell>
          <cell r="D63" t="str">
            <v>1万黄金</v>
          </cell>
        </row>
        <row r="64">
          <cell r="A64">
            <v>241</v>
          </cell>
          <cell r="B64">
            <v>4031</v>
          </cell>
          <cell r="C64" t="str">
            <v>chitawu</v>
          </cell>
          <cell r="D64" t="str">
            <v>5万木材</v>
          </cell>
        </row>
        <row r="65">
          <cell r="A65">
            <v>242</v>
          </cell>
          <cell r="B65">
            <v>4032</v>
          </cell>
          <cell r="C65" t="str">
            <v>chitawu</v>
          </cell>
          <cell r="D65" t="str">
            <v>5万食物</v>
          </cell>
        </row>
        <row r="66">
          <cell r="A66">
            <v>243</v>
          </cell>
          <cell r="B66">
            <v>4033</v>
          </cell>
          <cell r="C66" t="str">
            <v>chitawu</v>
          </cell>
          <cell r="D66" t="str">
            <v>5万石头</v>
          </cell>
        </row>
        <row r="67">
          <cell r="A67">
            <v>244</v>
          </cell>
          <cell r="B67">
            <v>4034</v>
          </cell>
          <cell r="C67" t="str">
            <v>chitawu</v>
          </cell>
          <cell r="D67" t="str">
            <v>5万黄金</v>
          </cell>
        </row>
        <row r="68">
          <cell r="A68">
            <v>251</v>
          </cell>
          <cell r="B68">
            <v>4041</v>
          </cell>
          <cell r="C68" t="str">
            <v>chitawu</v>
          </cell>
          <cell r="D68" t="str">
            <v>10万木材</v>
          </cell>
        </row>
        <row r="69">
          <cell r="A69">
            <v>252</v>
          </cell>
          <cell r="B69">
            <v>4042</v>
          </cell>
          <cell r="C69" t="str">
            <v>chitawu</v>
          </cell>
          <cell r="D69" t="str">
            <v>10万食物</v>
          </cell>
        </row>
        <row r="70">
          <cell r="A70">
            <v>253</v>
          </cell>
          <cell r="B70">
            <v>4043</v>
          </cell>
          <cell r="C70" t="str">
            <v>chitawu</v>
          </cell>
          <cell r="D70" t="str">
            <v>10万石头</v>
          </cell>
        </row>
        <row r="71">
          <cell r="A71">
            <v>254</v>
          </cell>
          <cell r="B71">
            <v>4044</v>
          </cell>
          <cell r="C71" t="str">
            <v>chitawu</v>
          </cell>
          <cell r="D71" t="str">
            <v>10万黄金</v>
          </cell>
        </row>
        <row r="72">
          <cell r="A72">
            <v>261</v>
          </cell>
          <cell r="B72">
            <v>4051</v>
          </cell>
          <cell r="C72" t="str">
            <v>chitawu</v>
          </cell>
          <cell r="D72" t="str">
            <v>20万木材</v>
          </cell>
        </row>
        <row r="73">
          <cell r="A73">
            <v>262</v>
          </cell>
          <cell r="B73">
            <v>4052</v>
          </cell>
          <cell r="C73" t="str">
            <v>chitawu</v>
          </cell>
          <cell r="D73" t="str">
            <v>20万食物</v>
          </cell>
        </row>
        <row r="74">
          <cell r="A74">
            <v>263</v>
          </cell>
          <cell r="B74">
            <v>4053</v>
          </cell>
          <cell r="C74" t="str">
            <v>chitawu</v>
          </cell>
          <cell r="D74" t="str">
            <v>20万石头</v>
          </cell>
        </row>
        <row r="75">
          <cell r="A75">
            <v>264</v>
          </cell>
          <cell r="B75">
            <v>4054</v>
          </cell>
          <cell r="C75" t="str">
            <v>chitawu</v>
          </cell>
          <cell r="D75" t="str">
            <v>20万黄金</v>
          </cell>
        </row>
        <row r="76">
          <cell r="A76">
            <v>271</v>
          </cell>
          <cell r="B76">
            <v>4061</v>
          </cell>
          <cell r="C76" t="str">
            <v>swingye</v>
          </cell>
          <cell r="D76" t="str">
            <v>50万木材</v>
          </cell>
        </row>
        <row r="77">
          <cell r="A77">
            <v>272</v>
          </cell>
          <cell r="B77">
            <v>4062</v>
          </cell>
          <cell r="C77" t="str">
            <v>swingye</v>
          </cell>
          <cell r="D77" t="str">
            <v>50万食物</v>
          </cell>
        </row>
        <row r="78">
          <cell r="A78">
            <v>273</v>
          </cell>
          <cell r="B78">
            <v>4063</v>
          </cell>
          <cell r="C78" t="str">
            <v>swingye</v>
          </cell>
          <cell r="D78" t="str">
            <v>50万石头</v>
          </cell>
        </row>
        <row r="79">
          <cell r="A79">
            <v>274</v>
          </cell>
          <cell r="B79">
            <v>4064</v>
          </cell>
          <cell r="C79" t="str">
            <v>swingye</v>
          </cell>
          <cell r="D79" t="str">
            <v>50万黄金</v>
          </cell>
        </row>
        <row r="80">
          <cell r="A80">
            <v>277</v>
          </cell>
          <cell r="B80"/>
          <cell r="C80" t="str">
            <v>chitawu</v>
          </cell>
          <cell r="D80" t="str">
            <v>50万食物</v>
          </cell>
        </row>
        <row r="81">
          <cell r="A81">
            <v>281</v>
          </cell>
          <cell r="B81">
            <v>4071</v>
          </cell>
          <cell r="C81" t="str">
            <v>chitawu</v>
          </cell>
          <cell r="D81" t="str">
            <v>100万木材</v>
          </cell>
        </row>
        <row r="82">
          <cell r="A82">
            <v>282</v>
          </cell>
          <cell r="B82">
            <v>4072</v>
          </cell>
          <cell r="C82" t="str">
            <v>chitawu</v>
          </cell>
          <cell r="D82" t="str">
            <v>100万食物</v>
          </cell>
        </row>
        <row r="83">
          <cell r="A83">
            <v>283</v>
          </cell>
          <cell r="B83">
            <v>4073</v>
          </cell>
          <cell r="C83" t="str">
            <v>chitawu</v>
          </cell>
          <cell r="D83" t="str">
            <v>100万石头</v>
          </cell>
        </row>
        <row r="84">
          <cell r="A84">
            <v>284</v>
          </cell>
          <cell r="B84">
            <v>4074</v>
          </cell>
          <cell r="C84" t="str">
            <v>chitawu</v>
          </cell>
          <cell r="D84" t="str">
            <v>100万黄金</v>
          </cell>
        </row>
        <row r="85">
          <cell r="A85">
            <v>291</v>
          </cell>
          <cell r="B85">
            <v>4081</v>
          </cell>
          <cell r="C85" t="str">
            <v>swingye</v>
          </cell>
          <cell r="D85" t="str">
            <v>200万木材</v>
          </cell>
        </row>
        <row r="86">
          <cell r="A86">
            <v>292</v>
          </cell>
          <cell r="B86">
            <v>4082</v>
          </cell>
          <cell r="C86" t="str">
            <v xml:space="preserve">swingye </v>
          </cell>
          <cell r="D86" t="str">
            <v>200万食物</v>
          </cell>
        </row>
        <row r="87">
          <cell r="A87">
            <v>293</v>
          </cell>
          <cell r="B87">
            <v>4083</v>
          </cell>
          <cell r="C87" t="str">
            <v>swingye</v>
          </cell>
          <cell r="D87" t="str">
            <v>200万石头</v>
          </cell>
        </row>
        <row r="88">
          <cell r="A88">
            <v>294</v>
          </cell>
          <cell r="B88">
            <v>4084</v>
          </cell>
          <cell r="C88" t="str">
            <v>swingye</v>
          </cell>
          <cell r="D88" t="str">
            <v>200万黄金</v>
          </cell>
        </row>
        <row r="89">
          <cell r="A89">
            <v>301</v>
          </cell>
          <cell r="B89">
            <v>4091</v>
          </cell>
          <cell r="C89" t="str">
            <v>swingye</v>
          </cell>
          <cell r="D89" t="str">
            <v>500万木材</v>
          </cell>
        </row>
        <row r="90">
          <cell r="A90">
            <v>302</v>
          </cell>
          <cell r="B90">
            <v>4092</v>
          </cell>
          <cell r="C90" t="str">
            <v xml:space="preserve">swingye </v>
          </cell>
          <cell r="D90" t="str">
            <v>500万食物</v>
          </cell>
        </row>
        <row r="91">
          <cell r="A91">
            <v>303</v>
          </cell>
          <cell r="B91">
            <v>4093</v>
          </cell>
          <cell r="C91" t="str">
            <v>swingye</v>
          </cell>
          <cell r="D91" t="str">
            <v>500万石头</v>
          </cell>
        </row>
        <row r="92">
          <cell r="A92">
            <v>304</v>
          </cell>
          <cell r="B92">
            <v>4094</v>
          </cell>
          <cell r="C92" t="str">
            <v>swingye</v>
          </cell>
          <cell r="D92" t="str">
            <v>500万黄金</v>
          </cell>
        </row>
        <row r="93">
          <cell r="A93">
            <v>311</v>
          </cell>
          <cell r="B93">
            <v>4101</v>
          </cell>
          <cell r="C93" t="str">
            <v>swingye</v>
          </cell>
          <cell r="D93" t="str">
            <v>1000万木材</v>
          </cell>
        </row>
        <row r="94">
          <cell r="A94">
            <v>312</v>
          </cell>
          <cell r="B94">
            <v>4102</v>
          </cell>
          <cell r="C94" t="str">
            <v xml:space="preserve">swingye </v>
          </cell>
          <cell r="D94" t="str">
            <v>1000万食物</v>
          </cell>
        </row>
        <row r="95">
          <cell r="A95">
            <v>313</v>
          </cell>
          <cell r="B95">
            <v>4103</v>
          </cell>
          <cell r="C95" t="str">
            <v>swingye</v>
          </cell>
          <cell r="D95" t="str">
            <v>1000万石头</v>
          </cell>
        </row>
        <row r="96">
          <cell r="A96">
            <v>314</v>
          </cell>
          <cell r="B96">
            <v>4104</v>
          </cell>
          <cell r="C96" t="str">
            <v>swingye</v>
          </cell>
          <cell r="D96" t="str">
            <v>1000万黄金</v>
          </cell>
        </row>
        <row r="97">
          <cell r="A97">
            <v>501</v>
          </cell>
          <cell r="B97"/>
          <cell r="C97" t="str">
            <v>swingye</v>
          </cell>
          <cell r="D97" t="str">
            <v>1千资源自选宝箱</v>
          </cell>
        </row>
        <row r="98">
          <cell r="A98">
            <v>502</v>
          </cell>
          <cell r="B98"/>
          <cell r="C98" t="str">
            <v>swingye</v>
          </cell>
          <cell r="D98" t="str">
            <v>1万资源自选宝箱</v>
          </cell>
        </row>
        <row r="99">
          <cell r="A99">
            <v>503</v>
          </cell>
          <cell r="B99"/>
          <cell r="C99" t="str">
            <v>swingye</v>
          </cell>
          <cell r="D99" t="str">
            <v>5万资源自选宝箱</v>
          </cell>
        </row>
        <row r="100">
          <cell r="A100">
            <v>504</v>
          </cell>
          <cell r="B100"/>
          <cell r="C100" t="str">
            <v>swingye</v>
          </cell>
          <cell r="D100" t="str">
            <v>10万资源自选宝箱</v>
          </cell>
        </row>
        <row r="101">
          <cell r="A101">
            <v>505</v>
          </cell>
          <cell r="B101"/>
          <cell r="C101" t="str">
            <v>swingye</v>
          </cell>
          <cell r="D101" t="str">
            <v>20万资源自选宝箱</v>
          </cell>
        </row>
        <row r="102">
          <cell r="A102">
            <v>506</v>
          </cell>
          <cell r="B102"/>
          <cell r="C102" t="str">
            <v>swingye</v>
          </cell>
          <cell r="D102" t="str">
            <v>50万资源自选宝箱</v>
          </cell>
        </row>
        <row r="103">
          <cell r="A103">
            <v>507</v>
          </cell>
          <cell r="B103"/>
          <cell r="C103" t="str">
            <v>swingye</v>
          </cell>
          <cell r="D103" t="str">
            <v>100万资源自选宝箱</v>
          </cell>
        </row>
        <row r="104">
          <cell r="A104">
            <v>508</v>
          </cell>
          <cell r="B104"/>
          <cell r="C104" t="str">
            <v>swingye</v>
          </cell>
          <cell r="D104" t="str">
            <v>200万资源自选宝箱</v>
          </cell>
        </row>
        <row r="105">
          <cell r="A105">
            <v>509</v>
          </cell>
          <cell r="B105"/>
          <cell r="C105" t="str">
            <v>swingye</v>
          </cell>
          <cell r="D105" t="str">
            <v>500万资源自选宝箱</v>
          </cell>
        </row>
        <row r="106">
          <cell r="A106">
            <v>510</v>
          </cell>
          <cell r="B106"/>
          <cell r="C106" t="str">
            <v>swingye</v>
          </cell>
          <cell r="D106" t="str">
            <v>1000万资源自选宝箱</v>
          </cell>
        </row>
        <row r="107">
          <cell r="A107">
            <v>600</v>
          </cell>
          <cell r="B107">
            <v>600</v>
          </cell>
          <cell r="C107" t="str">
            <v>dylanzclin</v>
          </cell>
          <cell r="D107" t="str">
            <v>定点迁城</v>
          </cell>
        </row>
        <row r="108">
          <cell r="A108">
            <v>601</v>
          </cell>
          <cell r="B108">
            <v>601</v>
          </cell>
          <cell r="C108" t="str">
            <v>dylanzclin</v>
          </cell>
          <cell r="D108" t="str">
            <v>定点迁城（限时）</v>
          </cell>
        </row>
        <row r="109">
          <cell r="A109">
            <v>602</v>
          </cell>
          <cell r="B109">
            <v>602</v>
          </cell>
          <cell r="C109" t="str">
            <v>dylanzclin</v>
          </cell>
          <cell r="D109" t="str">
            <v>领地迁城</v>
          </cell>
        </row>
        <row r="110">
          <cell r="A110">
            <v>603</v>
          </cell>
          <cell r="B110">
            <v>603</v>
          </cell>
          <cell r="C110" t="str">
            <v>dylanzclin</v>
          </cell>
          <cell r="D110" t="str">
            <v>随机迁城</v>
          </cell>
        </row>
        <row r="111">
          <cell r="A111">
            <v>1001</v>
          </cell>
          <cell r="C111" t="str">
            <v>jianzili</v>
          </cell>
          <cell r="D111" t="str">
            <v>贞德</v>
          </cell>
        </row>
        <row r="112">
          <cell r="A112">
            <v>1002</v>
          </cell>
          <cell r="C112" t="str">
            <v>jianzili</v>
          </cell>
          <cell r="D112" t="str">
            <v>织田信长</v>
          </cell>
        </row>
        <row r="113">
          <cell r="A113">
            <v>1003</v>
          </cell>
          <cell r="C113" t="str">
            <v>jianzili</v>
          </cell>
          <cell r="D113" t="str">
            <v>凯撒</v>
          </cell>
        </row>
        <row r="114">
          <cell r="A114">
            <v>1004</v>
          </cell>
          <cell r="C114" t="str">
            <v>jianzili</v>
          </cell>
          <cell r="D114" t="str">
            <v>克里奥帕特拉</v>
          </cell>
        </row>
        <row r="115">
          <cell r="A115">
            <v>1005</v>
          </cell>
          <cell r="C115" t="str">
            <v>jianzili</v>
          </cell>
          <cell r="D115" t="str">
            <v>关羽</v>
          </cell>
        </row>
        <row r="116">
          <cell r="A116">
            <v>1006</v>
          </cell>
          <cell r="C116" t="str">
            <v>jianzili</v>
          </cell>
          <cell r="D116" t="str">
            <v>亨利五世</v>
          </cell>
        </row>
        <row r="117">
          <cell r="A117">
            <v>1007</v>
          </cell>
          <cell r="C117" t="str">
            <v>jianzili</v>
          </cell>
          <cell r="D117" t="str">
            <v>项羽</v>
          </cell>
        </row>
        <row r="118">
          <cell r="A118">
            <v>1008</v>
          </cell>
          <cell r="C118" t="str">
            <v>jianzili</v>
          </cell>
          <cell r="D118" t="str">
            <v>君士坦丁大帝</v>
          </cell>
        </row>
        <row r="119">
          <cell r="A119">
            <v>1009</v>
          </cell>
          <cell r="C119" t="str">
            <v>jianzili</v>
          </cell>
          <cell r="D119" t="str">
            <v>花木兰</v>
          </cell>
        </row>
        <row r="120">
          <cell r="A120">
            <v>1010</v>
          </cell>
          <cell r="C120" t="str">
            <v>jianzili</v>
          </cell>
          <cell r="D120" t="str">
            <v>查士丁尼一世</v>
          </cell>
        </row>
        <row r="121">
          <cell r="A121">
            <v>1011</v>
          </cell>
          <cell r="C121" t="str">
            <v>jianzili</v>
          </cell>
          <cell r="D121" t="str">
            <v>布狄卡</v>
          </cell>
        </row>
        <row r="122">
          <cell r="A122">
            <v>1012</v>
          </cell>
          <cell r="C122" t="str">
            <v>jianzili</v>
          </cell>
          <cell r="D122" t="str">
            <v>萨拉丁</v>
          </cell>
        </row>
        <row r="123">
          <cell r="A123">
            <v>1013</v>
          </cell>
          <cell r="C123" t="str">
            <v>jianzili</v>
          </cell>
          <cell r="D123" t="str">
            <v>列奥尼达一世</v>
          </cell>
        </row>
        <row r="124">
          <cell r="A124">
            <v>1014</v>
          </cell>
          <cell r="C124" t="str">
            <v>jianzili</v>
          </cell>
          <cell r="D124" t="str">
            <v>孙武</v>
          </cell>
        </row>
        <row r="125">
          <cell r="A125">
            <v>1015</v>
          </cell>
          <cell r="C125" t="str">
            <v>jianzili</v>
          </cell>
          <cell r="D125" t="str">
            <v>武则天</v>
          </cell>
        </row>
        <row r="126">
          <cell r="A126">
            <v>1016</v>
          </cell>
          <cell r="C126" t="str">
            <v>jianzili</v>
          </cell>
          <cell r="D126" t="str">
            <v>腓力四世</v>
          </cell>
        </row>
        <row r="127">
          <cell r="A127">
            <v>1017</v>
          </cell>
          <cell r="C127" t="str">
            <v>jianzili</v>
          </cell>
          <cell r="D127" t="str">
            <v>巴巴罗萨</v>
          </cell>
        </row>
        <row r="128">
          <cell r="A128">
            <v>1018</v>
          </cell>
          <cell r="C128" t="str">
            <v>jianzili</v>
          </cell>
          <cell r="D128" t="str">
            <v>曹操</v>
          </cell>
        </row>
        <row r="129">
          <cell r="A129">
            <v>1019</v>
          </cell>
          <cell r="C129" t="str">
            <v>jianzili</v>
          </cell>
          <cell r="D129" t="str">
            <v>大流士一世</v>
          </cell>
        </row>
        <row r="130">
          <cell r="A130">
            <v>1020</v>
          </cell>
          <cell r="C130" t="str">
            <v>jianzili</v>
          </cell>
          <cell r="D130" t="str">
            <v>李舜臣</v>
          </cell>
        </row>
        <row r="131">
          <cell r="A131">
            <v>1021</v>
          </cell>
          <cell r="C131" t="str">
            <v>jianzili</v>
          </cell>
          <cell r="D131" t="str">
            <v>亚瑟王</v>
          </cell>
        </row>
        <row r="132">
          <cell r="A132">
            <v>1022</v>
          </cell>
          <cell r="C132" t="str">
            <v>jianzili</v>
          </cell>
          <cell r="D132" t="str">
            <v>亚历山大大帝</v>
          </cell>
        </row>
        <row r="133">
          <cell r="A133">
            <v>1023</v>
          </cell>
          <cell r="C133" t="str">
            <v>jianzili</v>
          </cell>
          <cell r="D133" t="str">
            <v>汉尼拔</v>
          </cell>
        </row>
        <row r="134">
          <cell r="A134">
            <v>1024</v>
          </cell>
          <cell r="C134" t="str">
            <v>waaaghwang</v>
          </cell>
          <cell r="D134" t="str">
            <v>黄月英</v>
          </cell>
        </row>
        <row r="135">
          <cell r="A135">
            <v>1025</v>
          </cell>
          <cell r="C135" t="str">
            <v>waaaghwang</v>
          </cell>
          <cell r="D135" t="str">
            <v>穆桂英</v>
          </cell>
        </row>
        <row r="136">
          <cell r="A136">
            <v>1026</v>
          </cell>
          <cell r="C136" t="str">
            <v>waaaghwang</v>
          </cell>
          <cell r="D136" t="str">
            <v>赵云</v>
          </cell>
        </row>
        <row r="137">
          <cell r="A137">
            <v>1027</v>
          </cell>
          <cell r="C137" t="str">
            <v>waaaghwang</v>
          </cell>
          <cell r="D137" t="str">
            <v>兰陵王</v>
          </cell>
        </row>
        <row r="138">
          <cell r="A138">
            <v>1028</v>
          </cell>
          <cell r="C138" t="str">
            <v>waaaghwang</v>
          </cell>
          <cell r="D138" t="str">
            <v>虞姬</v>
          </cell>
        </row>
        <row r="139">
          <cell r="A139">
            <v>1029</v>
          </cell>
          <cell r="C139" t="str">
            <v>doublehwang</v>
          </cell>
          <cell r="D139" t="str">
            <v>白起</v>
          </cell>
        </row>
        <row r="140">
          <cell r="A140">
            <v>1030</v>
          </cell>
          <cell r="C140" t="str">
            <v>doublehwang</v>
          </cell>
          <cell r="D140" t="str">
            <v>秦琼</v>
          </cell>
        </row>
        <row r="141">
          <cell r="A141">
            <v>1031</v>
          </cell>
          <cell r="C141" t="str">
            <v>doublehwang</v>
          </cell>
          <cell r="D141" t="str">
            <v>尉迟恭</v>
          </cell>
        </row>
        <row r="142">
          <cell r="A142">
            <v>1032</v>
          </cell>
          <cell r="C142" t="str">
            <v>waaaghwang</v>
          </cell>
          <cell r="D142" t="str">
            <v>阿提拉</v>
          </cell>
        </row>
        <row r="143">
          <cell r="A143">
            <v>1033</v>
          </cell>
          <cell r="C143" t="str">
            <v>waaaghwang</v>
          </cell>
          <cell r="D143" t="str">
            <v>诸葛亮</v>
          </cell>
        </row>
        <row r="144">
          <cell r="A144">
            <v>1034</v>
          </cell>
          <cell r="C144" t="str">
            <v>waaaghwang</v>
          </cell>
          <cell r="D144" t="str">
            <v>屋大维</v>
          </cell>
        </row>
        <row r="145">
          <cell r="A145">
            <v>1035</v>
          </cell>
          <cell r="C145" t="str">
            <v>doublehwang</v>
          </cell>
          <cell r="D145" t="str">
            <v>韩信</v>
          </cell>
        </row>
        <row r="146">
          <cell r="A146">
            <v>1036</v>
          </cell>
          <cell r="C146" t="str">
            <v>jackjxzhang</v>
          </cell>
          <cell r="D146" t="str">
            <v>安德莉娅</v>
          </cell>
        </row>
        <row r="147">
          <cell r="A147">
            <v>1037</v>
          </cell>
          <cell r="C147" t="str">
            <v>doublehwang</v>
          </cell>
          <cell r="D147" t="str">
            <v>吕布</v>
          </cell>
        </row>
        <row r="148">
          <cell r="A148">
            <v>1038</v>
          </cell>
          <cell r="C148" t="str">
            <v>aldenqiu</v>
          </cell>
          <cell r="D148" t="str">
            <v>貂蝉</v>
          </cell>
        </row>
        <row r="149">
          <cell r="A149">
            <v>1039</v>
          </cell>
          <cell r="C149" t="str">
            <v>aldenqiu</v>
          </cell>
          <cell r="D149" t="str">
            <v>李白</v>
          </cell>
        </row>
        <row r="150">
          <cell r="A150">
            <v>1040</v>
          </cell>
          <cell r="C150" t="str">
            <v>doublehwang</v>
          </cell>
          <cell r="D150" t="str">
            <v>孙尚香</v>
          </cell>
        </row>
        <row r="151">
          <cell r="A151">
            <v>1041</v>
          </cell>
          <cell r="C151" t="str">
            <v>doublehwang</v>
          </cell>
          <cell r="D151" t="str">
            <v>查理曼大帝</v>
          </cell>
        </row>
        <row r="152">
          <cell r="A152">
            <v>1042</v>
          </cell>
          <cell r="C152" t="str">
            <v>aldenqiu</v>
          </cell>
          <cell r="D152" t="str">
            <v>理查一世</v>
          </cell>
        </row>
        <row r="153">
          <cell r="A153">
            <v>1043</v>
          </cell>
          <cell r="C153" t="str">
            <v>doublehwang</v>
          </cell>
          <cell r="D153" t="str">
            <v>樊梨花</v>
          </cell>
        </row>
        <row r="154">
          <cell r="A154">
            <v>1044</v>
          </cell>
          <cell r="C154" t="str">
            <v>doublehwang</v>
          </cell>
          <cell r="D154" t="str">
            <v>左慈</v>
          </cell>
        </row>
        <row r="155">
          <cell r="A155">
            <v>1045</v>
          </cell>
          <cell r="C155" t="str">
            <v>doublehwang</v>
          </cell>
          <cell r="D155" t="str">
            <v>马超</v>
          </cell>
        </row>
        <row r="156">
          <cell r="A156">
            <v>1046</v>
          </cell>
          <cell r="C156" t="str">
            <v>aldenqiu</v>
          </cell>
          <cell r="D156" t="str">
            <v>妇好</v>
          </cell>
        </row>
        <row r="157">
          <cell r="A157">
            <v>1047</v>
          </cell>
          <cell r="C157" t="str">
            <v>doublehwang</v>
          </cell>
          <cell r="D157" t="str">
            <v>熙德</v>
          </cell>
        </row>
        <row r="158">
          <cell r="A158">
            <v>1048</v>
          </cell>
          <cell r="C158" t="str">
            <v>aldenqiu</v>
          </cell>
          <cell r="D158" t="str">
            <v>李广</v>
          </cell>
        </row>
        <row r="159">
          <cell r="A159">
            <v>1049</v>
          </cell>
          <cell r="C159" t="str">
            <v>aldenqiu</v>
          </cell>
          <cell r="D159" t="str">
            <v>蒙特祖玛一世</v>
          </cell>
        </row>
        <row r="160">
          <cell r="A160">
            <v>1050</v>
          </cell>
          <cell r="C160" t="str">
            <v>aldenqiu</v>
          </cell>
          <cell r="D160" t="str">
            <v>李元霸</v>
          </cell>
        </row>
        <row r="161">
          <cell r="A161">
            <v>1051</v>
          </cell>
          <cell r="C161" t="str">
            <v>doublehwang</v>
          </cell>
          <cell r="D161" t="str">
            <v>司马懿</v>
          </cell>
        </row>
        <row r="162">
          <cell r="A162">
            <v>1052</v>
          </cell>
          <cell r="C162" t="str">
            <v>doublehwang</v>
          </cell>
          <cell r="D162" t="str">
            <v>芈月</v>
          </cell>
        </row>
        <row r="163">
          <cell r="A163">
            <v>1053</v>
          </cell>
          <cell r="C163" t="str">
            <v>aldenqiu</v>
          </cell>
          <cell r="D163" t="str">
            <v>张飞</v>
          </cell>
        </row>
        <row r="164">
          <cell r="A164">
            <v>1054</v>
          </cell>
          <cell r="C164" t="str">
            <v>aldenqiu</v>
          </cell>
          <cell r="D164" t="str">
            <v>鬼谷子</v>
          </cell>
        </row>
        <row r="165">
          <cell r="A165">
            <v>1055</v>
          </cell>
          <cell r="C165" t="str">
            <v>doublehwang</v>
          </cell>
          <cell r="D165" t="str">
            <v>大卫王</v>
          </cell>
        </row>
        <row r="166">
          <cell r="A166">
            <v>1056</v>
          </cell>
          <cell r="C166" t="str">
            <v>aldenqiu</v>
          </cell>
          <cell r="D166" t="str">
            <v>哈拉尔</v>
          </cell>
        </row>
        <row r="167">
          <cell r="A167">
            <v>1057</v>
          </cell>
          <cell r="C167" t="str">
            <v>doublehwang</v>
          </cell>
          <cell r="D167" t="str">
            <v>SP赵云</v>
          </cell>
        </row>
        <row r="168">
          <cell r="A168">
            <v>1058</v>
          </cell>
          <cell r="C168" t="str">
            <v>aldenqiu</v>
          </cell>
          <cell r="D168" t="str">
            <v>廉颇</v>
          </cell>
        </row>
        <row r="169">
          <cell r="A169">
            <v>1059</v>
          </cell>
          <cell r="C169" t="str">
            <v>doublehwang</v>
          </cell>
          <cell r="D169" t="str">
            <v>张良</v>
          </cell>
        </row>
        <row r="170">
          <cell r="A170">
            <v>1060</v>
          </cell>
          <cell r="C170" t="str">
            <v>doublehwang</v>
          </cell>
          <cell r="D170" t="str">
            <v>秦良玉</v>
          </cell>
        </row>
        <row r="171">
          <cell r="A171">
            <v>1061</v>
          </cell>
          <cell r="C171" t="str">
            <v>yanhaoyhli</v>
          </cell>
          <cell r="D171" t="str">
            <v>汉谟拉比</v>
          </cell>
        </row>
        <row r="172">
          <cell r="A172">
            <v>1062</v>
          </cell>
          <cell r="C172" t="str">
            <v>aldenqiu</v>
          </cell>
          <cell r="D172" t="str">
            <v>狄奥多拉</v>
          </cell>
        </row>
        <row r="173">
          <cell r="A173">
            <v>1063</v>
          </cell>
          <cell r="C173" t="str">
            <v>yanhaoyhli</v>
          </cell>
          <cell r="D173" t="str">
            <v>哈立德</v>
          </cell>
        </row>
        <row r="174">
          <cell r="A174">
            <v>1064</v>
          </cell>
          <cell r="C174" t="str">
            <v>yanhaoyhli</v>
          </cell>
          <cell r="D174" t="str">
            <v>示巴女王</v>
          </cell>
        </row>
        <row r="175">
          <cell r="A175">
            <v>1075</v>
          </cell>
          <cell r="C175" t="str">
            <v>yanhaoyhli</v>
          </cell>
          <cell r="D175" t="str">
            <v>阿育王</v>
          </cell>
        </row>
        <row r="176">
          <cell r="A176">
            <v>1076</v>
          </cell>
          <cell r="C176" t="str">
            <v>yanhaoyhli</v>
          </cell>
          <cell r="D176" t="str">
            <v>杜加瓦蒂</v>
          </cell>
        </row>
        <row r="177">
          <cell r="A177">
            <v>1201</v>
          </cell>
          <cell r="C177" t="str">
            <v>waaaghwang</v>
          </cell>
          <cell r="D177" t="str">
            <v>李道玄</v>
          </cell>
        </row>
        <row r="178">
          <cell r="A178">
            <v>1202</v>
          </cell>
          <cell r="C178" t="str">
            <v>waaaghwang</v>
          </cell>
          <cell r="D178" t="str">
            <v>纳尔西斯</v>
          </cell>
        </row>
        <row r="179">
          <cell r="A179">
            <v>1203</v>
          </cell>
          <cell r="C179" t="str">
            <v>waaaghwang</v>
          </cell>
          <cell r="D179" t="str">
            <v>雷欧</v>
          </cell>
        </row>
        <row r="180">
          <cell r="A180">
            <v>1204</v>
          </cell>
          <cell r="C180" t="str">
            <v>waaaghwang</v>
          </cell>
          <cell r="D180" t="str">
            <v>莱昂</v>
          </cell>
        </row>
        <row r="181">
          <cell r="A181">
            <v>1205</v>
          </cell>
          <cell r="C181" t="str">
            <v>waaaghwang</v>
          </cell>
          <cell r="D181" t="str">
            <v>巴尔达斯</v>
          </cell>
        </row>
        <row r="182">
          <cell r="A182">
            <v>1206</v>
          </cell>
          <cell r="C182" t="str">
            <v>waaaghwang</v>
          </cell>
          <cell r="D182" t="str">
            <v>阿克塞尔</v>
          </cell>
        </row>
        <row r="183">
          <cell r="A183">
            <v>1207</v>
          </cell>
          <cell r="C183" t="str">
            <v>waaaghwang</v>
          </cell>
          <cell r="D183" t="str">
            <v>武威</v>
          </cell>
        </row>
        <row r="184">
          <cell r="A184">
            <v>1208</v>
          </cell>
          <cell r="C184" t="str">
            <v>waaaghwang</v>
          </cell>
          <cell r="D184" t="str">
            <v>崔如意</v>
          </cell>
        </row>
        <row r="185">
          <cell r="A185">
            <v>1209</v>
          </cell>
          <cell r="C185" t="str">
            <v>waaaghwang</v>
          </cell>
          <cell r="D185" t="str">
            <v>尼诺</v>
          </cell>
        </row>
        <row r="186">
          <cell r="A186">
            <v>1210</v>
          </cell>
          <cell r="C186" t="str">
            <v>doublehwang</v>
          </cell>
          <cell r="D186" t="str">
            <v>克洛特</v>
          </cell>
        </row>
        <row r="187">
          <cell r="A187">
            <v>1211</v>
          </cell>
          <cell r="C187" t="str">
            <v>doublehwang</v>
          </cell>
          <cell r="D187" t="str">
            <v>高猛</v>
          </cell>
        </row>
        <row r="188">
          <cell r="A188">
            <v>1212</v>
          </cell>
          <cell r="C188" t="str">
            <v>joestarzhao</v>
          </cell>
          <cell r="D188" t="str">
            <v>袁夏</v>
          </cell>
        </row>
        <row r="189">
          <cell r="A189">
            <v>1213</v>
          </cell>
          <cell r="C189" t="str">
            <v>doublehwang</v>
          </cell>
          <cell r="D189" t="str">
            <v>泰尼乌斯</v>
          </cell>
        </row>
        <row r="190">
          <cell r="A190">
            <v>1214</v>
          </cell>
          <cell r="C190" t="str">
            <v>doublehwang</v>
          </cell>
          <cell r="D190" t="str">
            <v>加图斯</v>
          </cell>
        </row>
        <row r="191">
          <cell r="A191">
            <v>1215</v>
          </cell>
          <cell r="C191" t="str">
            <v>aldenqiu</v>
          </cell>
          <cell r="D191" t="str">
            <v>凯索</v>
          </cell>
        </row>
        <row r="192">
          <cell r="A192">
            <v>1216</v>
          </cell>
          <cell r="C192" t="str">
            <v>aldenqiu</v>
          </cell>
          <cell r="D192" t="str">
            <v>卢基</v>
          </cell>
        </row>
        <row r="193">
          <cell r="A193">
            <v>1999</v>
          </cell>
          <cell r="C193" t="str">
            <v>jackjxzhang</v>
          </cell>
          <cell r="D193" t="str">
            <v>木桩英雄</v>
          </cell>
        </row>
        <row r="194">
          <cell r="A194">
            <v>2005</v>
          </cell>
          <cell r="B194">
            <v>59</v>
          </cell>
          <cell r="C194" t="str">
            <v>halelin</v>
          </cell>
          <cell r="D194" t="str">
            <v>新手奖池招募券</v>
          </cell>
        </row>
        <row r="195">
          <cell r="A195">
            <v>2006</v>
          </cell>
          <cell r="B195">
            <v>100</v>
          </cell>
          <cell r="C195" t="str">
            <v>cherylxyliu</v>
          </cell>
          <cell r="D195" t="str">
            <v>铜币奖池招募券</v>
          </cell>
        </row>
        <row r="196">
          <cell r="A196">
            <v>2007</v>
          </cell>
          <cell r="B196">
            <v>101</v>
          </cell>
          <cell r="C196" t="str">
            <v>cherylxyliu</v>
          </cell>
          <cell r="D196" t="str">
            <v>大奖池招募券</v>
          </cell>
        </row>
        <row r="197">
          <cell r="A197">
            <v>2020</v>
          </cell>
          <cell r="C197" t="str">
            <v>proqin</v>
          </cell>
          <cell r="D197" t="str">
            <v>技术点数</v>
          </cell>
        </row>
        <row r="198">
          <cell r="A198">
            <v>2021</v>
          </cell>
          <cell r="B198"/>
          <cell r="C198" t="str">
            <v>proqin</v>
          </cell>
          <cell r="D198" t="str">
            <v>文化点数</v>
          </cell>
        </row>
        <row r="199">
          <cell r="A199">
            <v>2022</v>
          </cell>
          <cell r="B199"/>
          <cell r="C199" t="str">
            <v>proqin</v>
          </cell>
          <cell r="D199" t="str">
            <v>传承点数</v>
          </cell>
        </row>
        <row r="200">
          <cell r="A200">
            <v>2023</v>
          </cell>
          <cell r="B200"/>
          <cell r="C200" t="str">
            <v>junkaili</v>
          </cell>
          <cell r="D200" t="str">
            <v>名将笔记</v>
          </cell>
        </row>
        <row r="201">
          <cell r="A201">
            <v>2025</v>
          </cell>
          <cell r="B201"/>
          <cell r="C201" t="str">
            <v>jianzili</v>
          </cell>
          <cell r="D201" t="str">
            <v>英雄祈愿券（限时）</v>
          </cell>
        </row>
        <row r="202">
          <cell r="A202">
            <v>2026</v>
          </cell>
          <cell r="B202"/>
          <cell r="C202" t="str">
            <v>jianzili</v>
          </cell>
          <cell r="D202" t="str">
            <v>英雄祈愿券</v>
          </cell>
        </row>
        <row r="203">
          <cell r="A203">
            <v>2028</v>
          </cell>
          <cell r="B203"/>
          <cell r="C203" t="str">
            <v>jianzili</v>
          </cell>
          <cell r="D203" t="str">
            <v>精锐招募令</v>
          </cell>
        </row>
        <row r="204">
          <cell r="A204">
            <v>2050</v>
          </cell>
          <cell r="B204"/>
          <cell r="C204" t="str">
            <v>jianzili</v>
          </cell>
          <cell r="D204" t="str">
            <v>功勋道具占位</v>
          </cell>
        </row>
        <row r="205">
          <cell r="A205">
            <v>2055</v>
          </cell>
          <cell r="B205"/>
          <cell r="C205" t="str">
            <v>waaaghwang</v>
          </cell>
          <cell r="D205" t="str">
            <v>传奇英杰招募券</v>
          </cell>
        </row>
        <row r="206">
          <cell r="A206">
            <v>2056</v>
          </cell>
          <cell r="B206"/>
          <cell r="C206" t="str">
            <v>waaaghwang</v>
          </cell>
          <cell r="D206" t="str">
            <v>英雄重置券</v>
          </cell>
        </row>
        <row r="207">
          <cell r="A207">
            <v>2059</v>
          </cell>
          <cell r="C207" t="str">
            <v>waaaghwang</v>
          </cell>
          <cell r="D207" t="str">
            <v>英雄继承券</v>
          </cell>
        </row>
        <row r="208">
          <cell r="A208">
            <v>2060</v>
          </cell>
          <cell r="B208"/>
          <cell r="C208" t="str">
            <v>jianzili</v>
          </cell>
          <cell r="D208" t="str">
            <v>藏宝图碎片</v>
          </cell>
        </row>
        <row r="209">
          <cell r="A209">
            <v>2061</v>
          </cell>
          <cell r="B209"/>
          <cell r="C209" t="str">
            <v>cherylxyliu</v>
          </cell>
          <cell r="D209" t="str">
            <v>伟大蓝图</v>
          </cell>
        </row>
        <row r="210">
          <cell r="A210">
            <v>2062</v>
          </cell>
          <cell r="B210">
            <v>6006</v>
          </cell>
          <cell r="C210" t="str">
            <v>cherylxyliu</v>
          </cell>
          <cell r="D210" t="str">
            <v>48h雇佣合同</v>
          </cell>
        </row>
        <row r="211">
          <cell r="A211">
            <v>2063</v>
          </cell>
          <cell r="B211"/>
          <cell r="C211" t="str">
            <v>cherylxyliu</v>
          </cell>
          <cell r="D211" t="str">
            <v>技能点*2500</v>
          </cell>
        </row>
        <row r="212">
          <cell r="A212">
            <v>2064</v>
          </cell>
          <cell r="B212"/>
          <cell r="C212" t="str">
            <v>cherylxyliu</v>
          </cell>
          <cell r="D212" t="str">
            <v>技能点*1000</v>
          </cell>
        </row>
        <row r="213">
          <cell r="A213">
            <v>2065</v>
          </cell>
          <cell r="B213"/>
          <cell r="C213" t="str">
            <v>cherylxyliu</v>
          </cell>
          <cell r="D213" t="str">
            <v>技能点*500</v>
          </cell>
        </row>
        <row r="214">
          <cell r="A214">
            <v>2066</v>
          </cell>
          <cell r="B214"/>
          <cell r="C214" t="str">
            <v>cherylxyliu</v>
          </cell>
          <cell r="D214" t="str">
            <v>技能点*200</v>
          </cell>
        </row>
        <row r="215">
          <cell r="A215">
            <v>2067</v>
          </cell>
          <cell r="B215">
            <v>6007</v>
          </cell>
          <cell r="C215" t="str">
            <v>cherylxyliu</v>
          </cell>
          <cell r="D215" t="str">
            <v>永久解锁队列</v>
          </cell>
        </row>
        <row r="216">
          <cell r="A216">
            <v>3006</v>
          </cell>
          <cell r="C216" t="str">
            <v>stelarzhang</v>
          </cell>
          <cell r="D216" t="str">
            <v>1行动令</v>
          </cell>
        </row>
        <row r="217">
          <cell r="A217">
            <v>3010</v>
          </cell>
          <cell r="C217" t="str">
            <v>swingye</v>
          </cell>
          <cell r="D217" t="str">
            <v>每日免费君主体力（50）</v>
          </cell>
        </row>
        <row r="218">
          <cell r="A218">
            <v>3011</v>
          </cell>
          <cell r="B218">
            <v>6001</v>
          </cell>
          <cell r="C218" t="str">
            <v>swingye</v>
          </cell>
          <cell r="D218" t="str">
            <v>君主体力补给（1）</v>
          </cell>
        </row>
        <row r="219">
          <cell r="A219">
            <v>3012</v>
          </cell>
          <cell r="B219">
            <v>6002</v>
          </cell>
          <cell r="C219" t="str">
            <v>swingye</v>
          </cell>
          <cell r="D219" t="str">
            <v>君主体力补给（5）</v>
          </cell>
        </row>
        <row r="220">
          <cell r="A220">
            <v>3013</v>
          </cell>
          <cell r="B220">
            <v>6003</v>
          </cell>
          <cell r="C220" t="str">
            <v>swingye</v>
          </cell>
          <cell r="D220" t="str">
            <v>君主体力补给（10）</v>
          </cell>
        </row>
        <row r="221">
          <cell r="A221">
            <v>3014</v>
          </cell>
          <cell r="B221">
            <v>6004</v>
          </cell>
          <cell r="C221" t="str">
            <v>swingye</v>
          </cell>
          <cell r="D221" t="str">
            <v>君主体力补给（50）</v>
          </cell>
        </row>
        <row r="222">
          <cell r="A222">
            <v>3015</v>
          </cell>
          <cell r="B222">
            <v>6005</v>
          </cell>
          <cell r="C222" t="str">
            <v>swingye</v>
          </cell>
          <cell r="D222" t="str">
            <v>君主体力补给（100）</v>
          </cell>
        </row>
        <row r="223">
          <cell r="A223">
            <v>3080</v>
          </cell>
          <cell r="B223">
            <v>40</v>
          </cell>
          <cell r="C223" t="str">
            <v>proqin</v>
          </cell>
          <cell r="D223" t="str">
            <v>君主改名券</v>
          </cell>
        </row>
        <row r="224">
          <cell r="A224">
            <v>4000</v>
          </cell>
          <cell r="C224" t="str">
            <v>ryanshen</v>
          </cell>
          <cell r="D224" t="str">
            <v>知识卷轴X1</v>
          </cell>
        </row>
        <row r="225">
          <cell r="A225">
            <v>4001</v>
          </cell>
          <cell r="C225" t="str">
            <v>ryanshen</v>
          </cell>
          <cell r="D225" t="str">
            <v>新手迁城</v>
          </cell>
        </row>
        <row r="226">
          <cell r="A226">
            <v>4002</v>
          </cell>
          <cell r="C226" t="str">
            <v>proqin</v>
          </cell>
          <cell r="D226" t="str">
            <v>知识卷轴X1000</v>
          </cell>
        </row>
        <row r="227">
          <cell r="A227">
            <v>4003</v>
          </cell>
          <cell r="C227" t="str">
            <v>ryanshen</v>
          </cell>
          <cell r="D227" t="str">
            <v>知识卷轴X100（暂时不要使用，无效）</v>
          </cell>
        </row>
        <row r="228">
          <cell r="A228">
            <v>4004</v>
          </cell>
          <cell r="C228" t="str">
            <v>ryanshen</v>
          </cell>
          <cell r="D228" t="str">
            <v>知识卷轴X200（暂时不要使用，无效）</v>
          </cell>
        </row>
        <row r="229">
          <cell r="A229">
            <v>4005</v>
          </cell>
          <cell r="C229" t="str">
            <v>ryanshen</v>
          </cell>
          <cell r="D229" t="str">
            <v>知识卷轴X500（暂时不要使用，无效）</v>
          </cell>
        </row>
        <row r="230">
          <cell r="A230">
            <v>4006</v>
          </cell>
          <cell r="C230" t="str">
            <v>praisegao</v>
          </cell>
          <cell r="D230" t="str">
            <v>民心选票</v>
          </cell>
        </row>
        <row r="231">
          <cell r="A231">
            <v>4007</v>
          </cell>
          <cell r="C231" t="str">
            <v>reniexu</v>
          </cell>
          <cell r="D231" t="str">
            <v>新手迁城（限时）</v>
          </cell>
        </row>
        <row r="232">
          <cell r="A232">
            <v>4008</v>
          </cell>
          <cell r="C232" t="str">
            <v>reniexu</v>
          </cell>
          <cell r="D232" t="str">
            <v>回归迁城（限时）</v>
          </cell>
        </row>
        <row r="233">
          <cell r="A233">
            <v>4009</v>
          </cell>
          <cell r="C233" t="str">
            <v>praisegao</v>
          </cell>
          <cell r="D233" t="str">
            <v>奇迹碎片</v>
          </cell>
        </row>
        <row r="234">
          <cell r="A234">
            <v>4010</v>
          </cell>
          <cell r="C234" t="str">
            <v>praisegao</v>
          </cell>
          <cell r="D234" t="str">
            <v>奇迹建造图纸</v>
          </cell>
        </row>
        <row r="235">
          <cell r="A235">
            <v>4011</v>
          </cell>
          <cell r="C235" t="str">
            <v>praisegao</v>
          </cell>
          <cell r="D235" t="str">
            <v>奇迹升阶图纸</v>
          </cell>
        </row>
        <row r="236">
          <cell r="A236">
            <v>5005</v>
          </cell>
          <cell r="B236">
            <v>44</v>
          </cell>
          <cell r="C236" t="str">
            <v>chuckiecui</v>
          </cell>
          <cell r="D236" t="str">
            <v>随机迁城（有效，但暂不考虑投放）</v>
          </cell>
        </row>
        <row r="237">
          <cell r="A237">
            <v>5006</v>
          </cell>
          <cell r="B237">
            <v>91</v>
          </cell>
          <cell r="C237" t="str">
            <v>wadegu</v>
          </cell>
          <cell r="D237" t="str">
            <v>免战声明</v>
          </cell>
        </row>
        <row r="238">
          <cell r="A238">
            <v>5007</v>
          </cell>
          <cell r="B238">
            <v>91</v>
          </cell>
          <cell r="C238" t="str">
            <v>waaaghwang</v>
          </cell>
          <cell r="D238" t="str">
            <v>3小时紧急免战声明</v>
          </cell>
        </row>
        <row r="239">
          <cell r="A239">
            <v>5008</v>
          </cell>
          <cell r="B239">
            <v>92</v>
          </cell>
          <cell r="C239" t="str">
            <v>waaaghwang</v>
          </cell>
          <cell r="D239" t="str">
            <v>8小时紧急免战声明</v>
          </cell>
        </row>
        <row r="240">
          <cell r="A240">
            <v>5010</v>
          </cell>
          <cell r="B240">
            <v>93</v>
          </cell>
          <cell r="C240" t="str">
            <v>waaaghwang</v>
          </cell>
          <cell r="D240" t="str">
            <v>12小时紧急免战声明</v>
          </cell>
        </row>
        <row r="241">
          <cell r="A241">
            <v>5011</v>
          </cell>
          <cell r="C241" t="str">
            <v>ryanshen</v>
          </cell>
          <cell r="D241" t="str">
            <v>3小时紧急免战声明</v>
          </cell>
        </row>
        <row r="242">
          <cell r="A242">
            <v>5014</v>
          </cell>
          <cell r="B242">
            <v>60</v>
          </cell>
          <cell r="C242" t="str">
            <v>waaaghwang</v>
          </cell>
          <cell r="D242" t="str">
            <v>城内木材24小时增产</v>
          </cell>
        </row>
        <row r="243">
          <cell r="A243">
            <v>5015</v>
          </cell>
          <cell r="B243">
            <v>61</v>
          </cell>
          <cell r="C243" t="str">
            <v>waaaghwang</v>
          </cell>
          <cell r="D243" t="str">
            <v>城内食物24小时增产</v>
          </cell>
        </row>
        <row r="244">
          <cell r="A244">
            <v>5016</v>
          </cell>
          <cell r="B244">
            <v>62</v>
          </cell>
          <cell r="C244" t="str">
            <v>waaaghwang</v>
          </cell>
          <cell r="D244" t="str">
            <v>城内石头24小时增产</v>
          </cell>
        </row>
        <row r="245">
          <cell r="A245">
            <v>5017</v>
          </cell>
          <cell r="B245">
            <v>63</v>
          </cell>
          <cell r="C245" t="str">
            <v>waaaghwang</v>
          </cell>
          <cell r="D245" t="str">
            <v>城内黄金24小时增产</v>
          </cell>
        </row>
        <row r="246">
          <cell r="A246">
            <v>5018</v>
          </cell>
          <cell r="B246">
            <v>64</v>
          </cell>
          <cell r="C246" t="str">
            <v>waaaghwang</v>
          </cell>
          <cell r="D246" t="str">
            <v>城内木材8小时增产</v>
          </cell>
        </row>
        <row r="247">
          <cell r="A247">
            <v>5019</v>
          </cell>
          <cell r="B247">
            <v>65</v>
          </cell>
          <cell r="C247" t="str">
            <v>waaaghwang</v>
          </cell>
          <cell r="D247" t="str">
            <v>城内食物8小时增产</v>
          </cell>
        </row>
        <row r="248">
          <cell r="A248">
            <v>5020</v>
          </cell>
          <cell r="B248">
            <v>66</v>
          </cell>
          <cell r="C248" t="str">
            <v>waaaghwang</v>
          </cell>
          <cell r="D248" t="str">
            <v>城内石头8小时增产</v>
          </cell>
        </row>
        <row r="249">
          <cell r="A249">
            <v>5021</v>
          </cell>
          <cell r="B249">
            <v>67</v>
          </cell>
          <cell r="C249" t="str">
            <v>waaaghwang</v>
          </cell>
          <cell r="D249" t="str">
            <v>城内黄金8小时增产</v>
          </cell>
        </row>
        <row r="250">
          <cell r="A250">
            <v>5031</v>
          </cell>
          <cell r="C250" t="str">
            <v>proqin</v>
          </cell>
          <cell r="D250" t="str">
            <v>屯兵上限（1万）</v>
          </cell>
        </row>
        <row r="251">
          <cell r="A251">
            <v>5032</v>
          </cell>
          <cell r="C251" t="str">
            <v>proqin</v>
          </cell>
          <cell r="D251" t="str">
            <v>屯兵上限（3万）</v>
          </cell>
        </row>
        <row r="252">
          <cell r="A252">
            <v>5033</v>
          </cell>
          <cell r="C252" t="str">
            <v>proqin</v>
          </cell>
          <cell r="D252" t="str">
            <v>屯兵上限（6万）</v>
          </cell>
        </row>
        <row r="253">
          <cell r="A253">
            <v>5034</v>
          </cell>
          <cell r="C253" t="str">
            <v>proqin</v>
          </cell>
          <cell r="D253" t="str">
            <v>屯兵上限（9万）</v>
          </cell>
        </row>
        <row r="254">
          <cell r="A254">
            <v>5035</v>
          </cell>
          <cell r="C254" t="str">
            <v>proqin</v>
          </cell>
          <cell r="D254" t="str">
            <v>屯兵上限（12万）</v>
          </cell>
        </row>
        <row r="255">
          <cell r="A255">
            <v>5036</v>
          </cell>
          <cell r="C255" t="str">
            <v>proqin</v>
          </cell>
          <cell r="D255" t="str">
            <v>屯兵上限（4万）</v>
          </cell>
        </row>
        <row r="256">
          <cell r="A256">
            <v>5037</v>
          </cell>
          <cell r="C256" t="str">
            <v>proqin</v>
          </cell>
          <cell r="D256" t="str">
            <v>屯兵上限（5万）</v>
          </cell>
        </row>
        <row r="257">
          <cell r="A257">
            <v>5038</v>
          </cell>
          <cell r="C257" t="str">
            <v>proqin</v>
          </cell>
          <cell r="D257" t="str">
            <v>屯兵上限（8万）</v>
          </cell>
        </row>
        <row r="258">
          <cell r="A258">
            <v>5041</v>
          </cell>
          <cell r="C258" t="str">
            <v>proqin</v>
          </cell>
          <cell r="D258" t="str">
            <v>英雄体力上限（20）</v>
          </cell>
        </row>
        <row r="259">
          <cell r="A259">
            <v>5042</v>
          </cell>
          <cell r="C259" t="str">
            <v>proqin</v>
          </cell>
          <cell r="D259" t="str">
            <v>英雄体力上限（40）</v>
          </cell>
        </row>
        <row r="260">
          <cell r="A260">
            <v>5043</v>
          </cell>
          <cell r="C260" t="str">
            <v>proqin</v>
          </cell>
          <cell r="D260" t="str">
            <v>英雄体力上限（60）</v>
          </cell>
        </row>
        <row r="261">
          <cell r="A261">
            <v>5044</v>
          </cell>
          <cell r="C261" t="str">
            <v>proqin</v>
          </cell>
          <cell r="D261" t="str">
            <v>英雄体力上限（30）</v>
          </cell>
        </row>
        <row r="262">
          <cell r="A262">
            <v>5045</v>
          </cell>
          <cell r="C262" t="str">
            <v>proqin</v>
          </cell>
          <cell r="D262" t="str">
            <v>英雄体力上限（15）</v>
          </cell>
        </row>
        <row r="263">
          <cell r="A263">
            <v>5046</v>
          </cell>
          <cell r="C263" t="str">
            <v>proqin</v>
          </cell>
          <cell r="D263" t="str">
            <v>英雄体力上限（25）</v>
          </cell>
        </row>
        <row r="264">
          <cell r="A264">
            <v>5101</v>
          </cell>
          <cell r="B264">
            <v>70</v>
          </cell>
          <cell r="C264" t="str">
            <v>halelin</v>
          </cell>
          <cell r="D264" t="str">
            <v>1小时战争扩编（2万）</v>
          </cell>
        </row>
        <row r="265">
          <cell r="A265">
            <v>5102</v>
          </cell>
          <cell r="B265">
            <v>71</v>
          </cell>
          <cell r="C265" t="str">
            <v>halelin</v>
          </cell>
          <cell r="D265" t="str">
            <v>1小时战争扩编（5万）</v>
          </cell>
        </row>
        <row r="266">
          <cell r="A266">
            <v>5103</v>
          </cell>
          <cell r="B266"/>
          <cell r="C266" t="str">
            <v>halelin</v>
          </cell>
          <cell r="D266" t="str">
            <v>1小时战争扩编（8万）</v>
          </cell>
        </row>
        <row r="267">
          <cell r="A267">
            <v>5104</v>
          </cell>
          <cell r="B267"/>
          <cell r="C267" t="str">
            <v>halelin</v>
          </cell>
          <cell r="D267" t="str">
            <v>1小时战争扩编（10万）</v>
          </cell>
        </row>
        <row r="268">
          <cell r="A268">
            <v>5200</v>
          </cell>
          <cell r="B268">
            <v>83</v>
          </cell>
          <cell r="C268" t="str">
            <v>halelin</v>
          </cell>
          <cell r="D268" t="str">
            <v>1小时攻击加成（10%）</v>
          </cell>
        </row>
        <row r="269">
          <cell r="A269">
            <v>5201</v>
          </cell>
          <cell r="B269">
            <v>84</v>
          </cell>
          <cell r="C269" t="str">
            <v>halelin</v>
          </cell>
          <cell r="D269" t="str">
            <v>1小时攻击加成（30%）</v>
          </cell>
        </row>
        <row r="270">
          <cell r="A270">
            <v>5202</v>
          </cell>
          <cell r="B270">
            <v>85</v>
          </cell>
          <cell r="C270" t="str">
            <v>halelin</v>
          </cell>
          <cell r="D270" t="str">
            <v>1小时攻击加成（40%）</v>
          </cell>
        </row>
        <row r="271">
          <cell r="A271">
            <v>5300</v>
          </cell>
          <cell r="B271">
            <v>87</v>
          </cell>
          <cell r="C271" t="str">
            <v>halelin</v>
          </cell>
          <cell r="D271" t="str">
            <v>1小时防御加成（10%）</v>
          </cell>
        </row>
        <row r="272">
          <cell r="A272">
            <v>5301</v>
          </cell>
          <cell r="B272">
            <v>88</v>
          </cell>
          <cell r="C272" t="str">
            <v>halelin</v>
          </cell>
          <cell r="D272" t="str">
            <v>1小时防御加成（30%）</v>
          </cell>
        </row>
        <row r="273">
          <cell r="A273">
            <v>5302</v>
          </cell>
          <cell r="B273">
            <v>89</v>
          </cell>
          <cell r="C273" t="str">
            <v>halelin</v>
          </cell>
          <cell r="D273" t="str">
            <v>1小时防御加成（40%）</v>
          </cell>
        </row>
        <row r="274">
          <cell r="A274">
            <v>6002</v>
          </cell>
          <cell r="B274"/>
          <cell r="C274" t="str">
            <v>teysosui</v>
          </cell>
          <cell r="D274" t="str">
            <v>1分钟科技加速</v>
          </cell>
        </row>
        <row r="275">
          <cell r="A275">
            <v>6003</v>
          </cell>
          <cell r="B275"/>
          <cell r="C275" t="str">
            <v>teysosui</v>
          </cell>
          <cell r="D275" t="str">
            <v>1分钟训练加速</v>
          </cell>
        </row>
        <row r="276">
          <cell r="A276">
            <v>6020</v>
          </cell>
          <cell r="B276">
            <v>3001</v>
          </cell>
          <cell r="C276" t="str">
            <v>teysosui</v>
          </cell>
          <cell r="D276" t="str">
            <v>5分钟建造加速</v>
          </cell>
        </row>
        <row r="277">
          <cell r="A277">
            <v>6021</v>
          </cell>
          <cell r="B277">
            <v>3002</v>
          </cell>
          <cell r="C277" t="str">
            <v>teysosui</v>
          </cell>
          <cell r="D277" t="str">
            <v>1小时建造加速</v>
          </cell>
        </row>
        <row r="278">
          <cell r="A278">
            <v>6022</v>
          </cell>
          <cell r="B278">
            <v>3003</v>
          </cell>
          <cell r="C278" t="str">
            <v>teysosui</v>
          </cell>
          <cell r="D278" t="str">
            <v>2小时建造加速</v>
          </cell>
        </row>
        <row r="279">
          <cell r="A279">
            <v>6023</v>
          </cell>
          <cell r="B279">
            <v>3004</v>
          </cell>
          <cell r="C279" t="str">
            <v>teysosui</v>
          </cell>
          <cell r="D279" t="str">
            <v>8小时建造加速</v>
          </cell>
        </row>
        <row r="280">
          <cell r="A280">
            <v>6024</v>
          </cell>
          <cell r="B280">
            <v>3005</v>
          </cell>
          <cell r="C280" t="str">
            <v>teysosui</v>
          </cell>
          <cell r="D280" t="str">
            <v>12小时建造加速</v>
          </cell>
        </row>
        <row r="281">
          <cell r="A281">
            <v>6025</v>
          </cell>
          <cell r="B281">
            <v>3006</v>
          </cell>
          <cell r="C281" t="str">
            <v>teysosui</v>
          </cell>
          <cell r="D281" t="str">
            <v>24小时建造加速</v>
          </cell>
        </row>
        <row r="282">
          <cell r="A282">
            <v>6030</v>
          </cell>
          <cell r="B282">
            <v>3007</v>
          </cell>
          <cell r="C282" t="str">
            <v>teysosui</v>
          </cell>
          <cell r="D282" t="str">
            <v>5分钟科技加速</v>
          </cell>
        </row>
        <row r="283">
          <cell r="A283">
            <v>6031</v>
          </cell>
          <cell r="B283">
            <v>3008</v>
          </cell>
          <cell r="C283" t="str">
            <v>teysosui</v>
          </cell>
          <cell r="D283" t="str">
            <v>1小时科技加速</v>
          </cell>
        </row>
        <row r="284">
          <cell r="A284">
            <v>6032</v>
          </cell>
          <cell r="B284">
            <v>3009</v>
          </cell>
          <cell r="C284" t="str">
            <v>teysosui</v>
          </cell>
          <cell r="D284" t="str">
            <v>2小时科技加速</v>
          </cell>
        </row>
        <row r="285">
          <cell r="A285">
            <v>6033</v>
          </cell>
          <cell r="B285">
            <v>3010</v>
          </cell>
          <cell r="C285" t="str">
            <v>teysosui</v>
          </cell>
          <cell r="D285" t="str">
            <v>8小时科技加速</v>
          </cell>
        </row>
        <row r="286">
          <cell r="A286">
            <v>6034</v>
          </cell>
          <cell r="B286">
            <v>3011</v>
          </cell>
          <cell r="C286" t="str">
            <v>teysosui</v>
          </cell>
          <cell r="D286" t="str">
            <v>12小时科技加速</v>
          </cell>
        </row>
        <row r="287">
          <cell r="A287">
            <v>6035</v>
          </cell>
          <cell r="B287">
            <v>3012</v>
          </cell>
          <cell r="C287" t="str">
            <v>teysosui</v>
          </cell>
          <cell r="D287" t="str">
            <v>24小时科技加速</v>
          </cell>
        </row>
        <row r="288">
          <cell r="A288">
            <v>6040</v>
          </cell>
          <cell r="B288">
            <v>3013</v>
          </cell>
          <cell r="C288" t="str">
            <v>teysosui</v>
          </cell>
          <cell r="D288" t="str">
            <v>5分钟训练加速</v>
          </cell>
        </row>
        <row r="289">
          <cell r="A289">
            <v>6041</v>
          </cell>
          <cell r="B289">
            <v>3014</v>
          </cell>
          <cell r="C289" t="str">
            <v>teysosui</v>
          </cell>
          <cell r="D289" t="str">
            <v>1小时训练加速</v>
          </cell>
        </row>
        <row r="290">
          <cell r="A290">
            <v>6042</v>
          </cell>
          <cell r="B290">
            <v>3015</v>
          </cell>
          <cell r="C290" t="str">
            <v>teysosui</v>
          </cell>
          <cell r="D290" t="str">
            <v>2小时训练加速</v>
          </cell>
        </row>
        <row r="291">
          <cell r="A291">
            <v>6043</v>
          </cell>
          <cell r="B291">
            <v>3016</v>
          </cell>
          <cell r="C291" t="str">
            <v>teysosui</v>
          </cell>
          <cell r="D291" t="str">
            <v>8小时训练加速</v>
          </cell>
        </row>
        <row r="292">
          <cell r="A292">
            <v>6044</v>
          </cell>
          <cell r="B292">
            <v>3017</v>
          </cell>
          <cell r="C292" t="str">
            <v>teysosui</v>
          </cell>
          <cell r="D292" t="str">
            <v>12小时训练加速</v>
          </cell>
        </row>
        <row r="293">
          <cell r="A293">
            <v>6045</v>
          </cell>
          <cell r="B293">
            <v>3018</v>
          </cell>
          <cell r="C293" t="str">
            <v>teysosui</v>
          </cell>
          <cell r="D293" t="str">
            <v>24小时训练加速</v>
          </cell>
        </row>
        <row r="294">
          <cell r="A294">
            <v>6050</v>
          </cell>
          <cell r="B294"/>
          <cell r="C294" t="str">
            <v>teysosui</v>
          </cell>
          <cell r="D294" t="str">
            <v>5分钟治疗加速</v>
          </cell>
        </row>
        <row r="295">
          <cell r="A295">
            <v>6051</v>
          </cell>
          <cell r="B295"/>
          <cell r="C295" t="str">
            <v>teysosui</v>
          </cell>
          <cell r="D295" t="str">
            <v>1小时治疗加速</v>
          </cell>
        </row>
        <row r="296">
          <cell r="A296">
            <v>6052</v>
          </cell>
          <cell r="B296"/>
          <cell r="C296" t="str">
            <v>teysosui</v>
          </cell>
          <cell r="D296" t="str">
            <v>2小时治疗加速</v>
          </cell>
        </row>
        <row r="297">
          <cell r="A297">
            <v>6053</v>
          </cell>
          <cell r="B297"/>
          <cell r="C297" t="str">
            <v>teysosui</v>
          </cell>
          <cell r="D297" t="str">
            <v>8小时治疗加速</v>
          </cell>
        </row>
        <row r="298">
          <cell r="A298">
            <v>6054</v>
          </cell>
          <cell r="B298"/>
          <cell r="C298" t="str">
            <v>teysosui</v>
          </cell>
          <cell r="D298" t="str">
            <v>12小时治疗加速</v>
          </cell>
        </row>
        <row r="299">
          <cell r="A299">
            <v>6055</v>
          </cell>
          <cell r="B299"/>
          <cell r="C299" t="str">
            <v>teysosui</v>
          </cell>
          <cell r="D299" t="str">
            <v>24小时治疗加速</v>
          </cell>
        </row>
        <row r="300">
          <cell r="A300">
            <v>6100</v>
          </cell>
          <cell r="B300">
            <v>3100</v>
          </cell>
          <cell r="C300" t="str">
            <v>swingye</v>
          </cell>
          <cell r="D300" t="str">
            <v>1分钟通用加速</v>
          </cell>
        </row>
        <row r="301">
          <cell r="A301">
            <v>6101</v>
          </cell>
          <cell r="B301">
            <v>3101</v>
          </cell>
          <cell r="C301" t="str">
            <v>swingye</v>
          </cell>
          <cell r="D301" t="str">
            <v>5分钟通用加速</v>
          </cell>
        </row>
        <row r="302">
          <cell r="A302">
            <v>6102</v>
          </cell>
          <cell r="B302">
            <v>3102</v>
          </cell>
          <cell r="C302" t="str">
            <v>swingye</v>
          </cell>
          <cell r="D302" t="str">
            <v>10分钟通用加速</v>
          </cell>
        </row>
        <row r="303">
          <cell r="A303">
            <v>6103</v>
          </cell>
          <cell r="B303">
            <v>3103</v>
          </cell>
          <cell r="C303" t="str">
            <v>swingye</v>
          </cell>
          <cell r="D303" t="str">
            <v>15分钟通用加速</v>
          </cell>
        </row>
        <row r="304">
          <cell r="A304">
            <v>6104</v>
          </cell>
          <cell r="B304">
            <v>3104</v>
          </cell>
          <cell r="C304" t="str">
            <v>swingye</v>
          </cell>
          <cell r="D304" t="str">
            <v>30分钟通用加速</v>
          </cell>
        </row>
        <row r="305">
          <cell r="A305">
            <v>6105</v>
          </cell>
          <cell r="B305">
            <v>3105</v>
          </cell>
          <cell r="C305" t="str">
            <v>swingye</v>
          </cell>
          <cell r="D305" t="str">
            <v>60分钟通用加速</v>
          </cell>
        </row>
        <row r="306">
          <cell r="A306">
            <v>6106</v>
          </cell>
          <cell r="B306">
            <v>3106</v>
          </cell>
          <cell r="C306" t="str">
            <v>swingye</v>
          </cell>
          <cell r="D306" t="str">
            <v>2小时通用加速</v>
          </cell>
        </row>
        <row r="307">
          <cell r="A307">
            <v>6107</v>
          </cell>
          <cell r="B307">
            <v>3107</v>
          </cell>
          <cell r="C307" t="str">
            <v>swingye</v>
          </cell>
          <cell r="D307" t="str">
            <v>3小时通用加速</v>
          </cell>
        </row>
        <row r="308">
          <cell r="A308">
            <v>6108</v>
          </cell>
          <cell r="B308">
            <v>3108</v>
          </cell>
          <cell r="C308" t="str">
            <v>swingye</v>
          </cell>
          <cell r="D308" t="str">
            <v>8小时通用加速</v>
          </cell>
        </row>
        <row r="309">
          <cell r="A309">
            <v>6109</v>
          </cell>
          <cell r="B309">
            <v>3109</v>
          </cell>
          <cell r="C309" t="str">
            <v>swingye</v>
          </cell>
          <cell r="D309" t="str">
            <v>12小时通用加速</v>
          </cell>
        </row>
        <row r="310">
          <cell r="A310">
            <v>6110</v>
          </cell>
          <cell r="B310">
            <v>3110</v>
          </cell>
          <cell r="C310" t="str">
            <v>swingye</v>
          </cell>
          <cell r="D310" t="str">
            <v>15小时通用加速</v>
          </cell>
        </row>
        <row r="311">
          <cell r="A311">
            <v>6111</v>
          </cell>
          <cell r="B311">
            <v>3111</v>
          </cell>
          <cell r="C311" t="str">
            <v>swingye</v>
          </cell>
          <cell r="D311" t="str">
            <v>24小时通用加速</v>
          </cell>
        </row>
        <row r="312">
          <cell r="A312">
            <v>6112</v>
          </cell>
          <cell r="B312">
            <v>3112</v>
          </cell>
          <cell r="C312" t="str">
            <v>swingye</v>
          </cell>
          <cell r="D312" t="str">
            <v>3天通用加速</v>
          </cell>
        </row>
        <row r="313">
          <cell r="A313">
            <v>6113</v>
          </cell>
          <cell r="B313">
            <v>3113</v>
          </cell>
          <cell r="C313" t="str">
            <v>swingye</v>
          </cell>
          <cell r="D313" t="str">
            <v>7天通用加速</v>
          </cell>
        </row>
        <row r="314">
          <cell r="A314">
            <v>6114</v>
          </cell>
          <cell r="B314">
            <v>3114</v>
          </cell>
          <cell r="C314" t="str">
            <v>swingye</v>
          </cell>
          <cell r="D314" t="str">
            <v>15天通用加速</v>
          </cell>
        </row>
        <row r="315">
          <cell r="A315">
            <v>6115</v>
          </cell>
          <cell r="B315">
            <v>3115</v>
          </cell>
          <cell r="C315" t="str">
            <v>swingye</v>
          </cell>
          <cell r="D315" t="str">
            <v>30天通用加速</v>
          </cell>
        </row>
        <row r="316">
          <cell r="A316">
            <v>6120</v>
          </cell>
          <cell r="B316">
            <v>3120</v>
          </cell>
          <cell r="C316" t="str">
            <v>swingye</v>
          </cell>
          <cell r="D316" t="str">
            <v>1分钟建造加速</v>
          </cell>
        </row>
        <row r="317">
          <cell r="A317">
            <v>6121</v>
          </cell>
          <cell r="B317">
            <v>3121</v>
          </cell>
          <cell r="C317" t="str">
            <v>swingye</v>
          </cell>
          <cell r="D317" t="str">
            <v>5分钟建造加速</v>
          </cell>
        </row>
        <row r="318">
          <cell r="A318">
            <v>6122</v>
          </cell>
          <cell r="B318">
            <v>3122</v>
          </cell>
          <cell r="C318" t="str">
            <v>swingye</v>
          </cell>
          <cell r="D318" t="str">
            <v>10分钟建造加速</v>
          </cell>
        </row>
        <row r="319">
          <cell r="A319">
            <v>6123</v>
          </cell>
          <cell r="B319">
            <v>3123</v>
          </cell>
          <cell r="C319" t="str">
            <v>swingye</v>
          </cell>
          <cell r="D319" t="str">
            <v>15分钟建造加速</v>
          </cell>
        </row>
        <row r="320">
          <cell r="A320">
            <v>6124</v>
          </cell>
          <cell r="B320">
            <v>3124</v>
          </cell>
          <cell r="C320" t="str">
            <v>swingye</v>
          </cell>
          <cell r="D320" t="str">
            <v>30分钟建造加速</v>
          </cell>
        </row>
        <row r="321">
          <cell r="A321">
            <v>6125</v>
          </cell>
          <cell r="B321">
            <v>3125</v>
          </cell>
          <cell r="C321" t="str">
            <v>swingye</v>
          </cell>
          <cell r="D321" t="str">
            <v>60分钟建造加速</v>
          </cell>
        </row>
        <row r="322">
          <cell r="A322">
            <v>6126</v>
          </cell>
          <cell r="B322">
            <v>3126</v>
          </cell>
          <cell r="C322" t="str">
            <v>swingye</v>
          </cell>
          <cell r="D322" t="str">
            <v>2小时建造加速</v>
          </cell>
        </row>
        <row r="323">
          <cell r="A323">
            <v>6127</v>
          </cell>
          <cell r="B323">
            <v>3127</v>
          </cell>
          <cell r="C323" t="str">
            <v>swingye</v>
          </cell>
          <cell r="D323" t="str">
            <v>3小时建造加速</v>
          </cell>
        </row>
        <row r="324">
          <cell r="A324">
            <v>6128</v>
          </cell>
          <cell r="B324">
            <v>3128</v>
          </cell>
          <cell r="C324" t="str">
            <v>swingye</v>
          </cell>
          <cell r="D324" t="str">
            <v>8小时建造加速</v>
          </cell>
        </row>
        <row r="325">
          <cell r="A325">
            <v>6129</v>
          </cell>
          <cell r="B325">
            <v>3129</v>
          </cell>
          <cell r="C325" t="str">
            <v>swingye</v>
          </cell>
          <cell r="D325" t="str">
            <v>12小时建造加速</v>
          </cell>
        </row>
        <row r="326">
          <cell r="A326">
            <v>6130</v>
          </cell>
          <cell r="B326">
            <v>3130</v>
          </cell>
          <cell r="C326" t="str">
            <v>swingye</v>
          </cell>
          <cell r="D326" t="str">
            <v>15小时建造加速</v>
          </cell>
        </row>
        <row r="327">
          <cell r="A327">
            <v>6131</v>
          </cell>
          <cell r="B327">
            <v>3131</v>
          </cell>
          <cell r="C327" t="str">
            <v>swingye</v>
          </cell>
          <cell r="D327" t="str">
            <v>24小时建造加速</v>
          </cell>
        </row>
        <row r="328">
          <cell r="A328">
            <v>6132</v>
          </cell>
          <cell r="B328">
            <v>3132</v>
          </cell>
          <cell r="C328" t="str">
            <v>swingye</v>
          </cell>
          <cell r="D328" t="str">
            <v>3天建造加速</v>
          </cell>
        </row>
        <row r="329">
          <cell r="A329">
            <v>6133</v>
          </cell>
          <cell r="B329">
            <v>3133</v>
          </cell>
          <cell r="C329" t="str">
            <v>swingye</v>
          </cell>
          <cell r="D329" t="str">
            <v>7天建造加速</v>
          </cell>
        </row>
        <row r="330">
          <cell r="A330">
            <v>6134</v>
          </cell>
          <cell r="B330">
            <v>3134</v>
          </cell>
          <cell r="C330" t="str">
            <v>swingye</v>
          </cell>
          <cell r="D330" t="str">
            <v>15天建造加速</v>
          </cell>
        </row>
        <row r="331">
          <cell r="A331">
            <v>6135</v>
          </cell>
          <cell r="B331">
            <v>3135</v>
          </cell>
          <cell r="C331" t="str">
            <v>swingye</v>
          </cell>
          <cell r="D331" t="str">
            <v>30天建造加速</v>
          </cell>
        </row>
        <row r="332">
          <cell r="A332">
            <v>6140</v>
          </cell>
          <cell r="B332">
            <v>3140</v>
          </cell>
          <cell r="C332" t="str">
            <v>swingye</v>
          </cell>
          <cell r="D332" t="str">
            <v>1分钟科技加速</v>
          </cell>
        </row>
        <row r="333">
          <cell r="A333">
            <v>6141</v>
          </cell>
          <cell r="B333">
            <v>3141</v>
          </cell>
          <cell r="C333" t="str">
            <v>swingye</v>
          </cell>
          <cell r="D333" t="str">
            <v>5分钟科技加速</v>
          </cell>
        </row>
        <row r="334">
          <cell r="A334">
            <v>6142</v>
          </cell>
          <cell r="B334">
            <v>3142</v>
          </cell>
          <cell r="C334" t="str">
            <v>swingye</v>
          </cell>
          <cell r="D334" t="str">
            <v>10分钟科技加速</v>
          </cell>
        </row>
        <row r="335">
          <cell r="A335">
            <v>6143</v>
          </cell>
          <cell r="B335">
            <v>3143</v>
          </cell>
          <cell r="C335" t="str">
            <v>swingye</v>
          </cell>
          <cell r="D335" t="str">
            <v>15分钟科技加速</v>
          </cell>
        </row>
        <row r="336">
          <cell r="A336">
            <v>6144</v>
          </cell>
          <cell r="B336">
            <v>3144</v>
          </cell>
          <cell r="C336" t="str">
            <v>swingye</v>
          </cell>
          <cell r="D336" t="str">
            <v>30分钟科技加速</v>
          </cell>
        </row>
        <row r="337">
          <cell r="A337">
            <v>6145</v>
          </cell>
          <cell r="B337">
            <v>3145</v>
          </cell>
          <cell r="C337" t="str">
            <v>swingye</v>
          </cell>
          <cell r="D337" t="str">
            <v>60分钟科技加速</v>
          </cell>
        </row>
        <row r="338">
          <cell r="A338">
            <v>6146</v>
          </cell>
          <cell r="B338">
            <v>3146</v>
          </cell>
          <cell r="C338" t="str">
            <v>swingye</v>
          </cell>
          <cell r="D338" t="str">
            <v>2小时科技加速</v>
          </cell>
        </row>
        <row r="339">
          <cell r="A339">
            <v>6147</v>
          </cell>
          <cell r="B339">
            <v>3147</v>
          </cell>
          <cell r="C339" t="str">
            <v>swingye</v>
          </cell>
          <cell r="D339" t="str">
            <v>3小时科技加速</v>
          </cell>
        </row>
        <row r="340">
          <cell r="A340">
            <v>6148</v>
          </cell>
          <cell r="B340">
            <v>3148</v>
          </cell>
          <cell r="C340" t="str">
            <v>swingye</v>
          </cell>
          <cell r="D340" t="str">
            <v>8小时科技加速</v>
          </cell>
        </row>
        <row r="341">
          <cell r="A341">
            <v>6149</v>
          </cell>
          <cell r="B341">
            <v>3149</v>
          </cell>
          <cell r="C341" t="str">
            <v>swingye</v>
          </cell>
          <cell r="D341" t="str">
            <v>12小时科技加速</v>
          </cell>
        </row>
        <row r="342">
          <cell r="A342">
            <v>6150</v>
          </cell>
          <cell r="B342">
            <v>3150</v>
          </cell>
          <cell r="C342" t="str">
            <v>swingye</v>
          </cell>
          <cell r="D342" t="str">
            <v>15小时科技加速</v>
          </cell>
        </row>
        <row r="343">
          <cell r="A343">
            <v>6151</v>
          </cell>
          <cell r="B343">
            <v>3151</v>
          </cell>
          <cell r="C343" t="str">
            <v>swingye</v>
          </cell>
          <cell r="D343" t="str">
            <v>24小时科技加速</v>
          </cell>
        </row>
        <row r="344">
          <cell r="A344">
            <v>6152</v>
          </cell>
          <cell r="B344">
            <v>3152</v>
          </cell>
          <cell r="C344" t="str">
            <v>swingye</v>
          </cell>
          <cell r="D344" t="str">
            <v>3天科技加速</v>
          </cell>
        </row>
        <row r="345">
          <cell r="A345">
            <v>6153</v>
          </cell>
          <cell r="B345">
            <v>3153</v>
          </cell>
          <cell r="C345" t="str">
            <v>swingye</v>
          </cell>
          <cell r="D345" t="str">
            <v>7天科技加速</v>
          </cell>
        </row>
        <row r="346">
          <cell r="A346">
            <v>6154</v>
          </cell>
          <cell r="B346">
            <v>3154</v>
          </cell>
          <cell r="C346" t="str">
            <v>swingye</v>
          </cell>
          <cell r="D346" t="str">
            <v>15天科技加速</v>
          </cell>
        </row>
        <row r="347">
          <cell r="A347">
            <v>6155</v>
          </cell>
          <cell r="B347">
            <v>3155</v>
          </cell>
          <cell r="C347" t="str">
            <v>swingye</v>
          </cell>
          <cell r="D347" t="str">
            <v>30天科技加速</v>
          </cell>
        </row>
        <row r="348">
          <cell r="A348">
            <v>6160</v>
          </cell>
          <cell r="B348">
            <v>3160</v>
          </cell>
          <cell r="C348" t="str">
            <v>swingye</v>
          </cell>
          <cell r="D348" t="str">
            <v>1分钟训练加速</v>
          </cell>
        </row>
        <row r="349">
          <cell r="A349">
            <v>6161</v>
          </cell>
          <cell r="B349">
            <v>3161</v>
          </cell>
          <cell r="C349" t="str">
            <v>swingye</v>
          </cell>
          <cell r="D349" t="str">
            <v>5分钟训练加速</v>
          </cell>
        </row>
        <row r="350">
          <cell r="A350">
            <v>6162</v>
          </cell>
          <cell r="B350">
            <v>3162</v>
          </cell>
          <cell r="C350" t="str">
            <v>swingye</v>
          </cell>
          <cell r="D350" t="str">
            <v>10分钟训练加速</v>
          </cell>
        </row>
        <row r="351">
          <cell r="A351">
            <v>6163</v>
          </cell>
          <cell r="B351">
            <v>3163</v>
          </cell>
          <cell r="C351" t="str">
            <v>swingye</v>
          </cell>
          <cell r="D351" t="str">
            <v>15分钟训练加速</v>
          </cell>
        </row>
        <row r="352">
          <cell r="A352">
            <v>6164</v>
          </cell>
          <cell r="B352">
            <v>3164</v>
          </cell>
          <cell r="C352" t="str">
            <v>swingye</v>
          </cell>
          <cell r="D352" t="str">
            <v>30分钟训练加速</v>
          </cell>
        </row>
        <row r="353">
          <cell r="A353">
            <v>6165</v>
          </cell>
          <cell r="B353">
            <v>3165</v>
          </cell>
          <cell r="C353" t="str">
            <v>swingye</v>
          </cell>
          <cell r="D353" t="str">
            <v>60分钟训练加速</v>
          </cell>
        </row>
        <row r="354">
          <cell r="A354">
            <v>6166</v>
          </cell>
          <cell r="B354">
            <v>3166</v>
          </cell>
          <cell r="C354" t="str">
            <v>swingye</v>
          </cell>
          <cell r="D354" t="str">
            <v>2小时训练加速</v>
          </cell>
        </row>
        <row r="355">
          <cell r="A355">
            <v>6167</v>
          </cell>
          <cell r="B355">
            <v>3167</v>
          </cell>
          <cell r="C355" t="str">
            <v>swingye</v>
          </cell>
          <cell r="D355" t="str">
            <v>3小时训练加速</v>
          </cell>
        </row>
        <row r="356">
          <cell r="A356">
            <v>6168</v>
          </cell>
          <cell r="B356">
            <v>3168</v>
          </cell>
          <cell r="C356" t="str">
            <v>swingye</v>
          </cell>
          <cell r="D356" t="str">
            <v>8小时训练加速</v>
          </cell>
        </row>
        <row r="357">
          <cell r="A357">
            <v>6169</v>
          </cell>
          <cell r="B357">
            <v>3169</v>
          </cell>
          <cell r="C357" t="str">
            <v>swingye</v>
          </cell>
          <cell r="D357" t="str">
            <v>12小时训练加速</v>
          </cell>
        </row>
        <row r="358">
          <cell r="A358">
            <v>6170</v>
          </cell>
          <cell r="B358">
            <v>3170</v>
          </cell>
          <cell r="C358" t="str">
            <v>swingye</v>
          </cell>
          <cell r="D358" t="str">
            <v>15小时训练加速</v>
          </cell>
        </row>
        <row r="359">
          <cell r="A359">
            <v>6171</v>
          </cell>
          <cell r="B359">
            <v>3171</v>
          </cell>
          <cell r="C359" t="str">
            <v>swingye</v>
          </cell>
          <cell r="D359" t="str">
            <v>24小时训练加速</v>
          </cell>
        </row>
        <row r="360">
          <cell r="A360">
            <v>6172</v>
          </cell>
          <cell r="B360">
            <v>3172</v>
          </cell>
          <cell r="C360" t="str">
            <v>swingye</v>
          </cell>
          <cell r="D360" t="str">
            <v>3天训练加速</v>
          </cell>
        </row>
        <row r="361">
          <cell r="A361">
            <v>6173</v>
          </cell>
          <cell r="B361">
            <v>3173</v>
          </cell>
          <cell r="C361" t="str">
            <v>swingye</v>
          </cell>
          <cell r="D361" t="str">
            <v>7天训练加速</v>
          </cell>
        </row>
        <row r="362">
          <cell r="A362">
            <v>6174</v>
          </cell>
          <cell r="B362">
            <v>3174</v>
          </cell>
          <cell r="C362" t="str">
            <v>swingye</v>
          </cell>
          <cell r="D362" t="str">
            <v>15天训练加速</v>
          </cell>
        </row>
        <row r="363">
          <cell r="A363">
            <v>6175</v>
          </cell>
          <cell r="B363">
            <v>3175</v>
          </cell>
          <cell r="C363" t="str">
            <v>swingye</v>
          </cell>
          <cell r="D363" t="str">
            <v>30天训练加速</v>
          </cell>
        </row>
        <row r="364">
          <cell r="A364">
            <v>6180</v>
          </cell>
          <cell r="B364">
            <v>3180</v>
          </cell>
          <cell r="C364" t="str">
            <v>swingye</v>
          </cell>
          <cell r="D364" t="str">
            <v>1分钟治疗加速</v>
          </cell>
        </row>
        <row r="365">
          <cell r="A365">
            <v>6181</v>
          </cell>
          <cell r="B365">
            <v>3181</v>
          </cell>
          <cell r="C365" t="str">
            <v>swingye</v>
          </cell>
          <cell r="D365" t="str">
            <v>5分钟治疗加速</v>
          </cell>
        </row>
        <row r="366">
          <cell r="A366">
            <v>6182</v>
          </cell>
          <cell r="B366">
            <v>3182</v>
          </cell>
          <cell r="C366" t="str">
            <v>swingye</v>
          </cell>
          <cell r="D366" t="str">
            <v>10分钟治疗加速</v>
          </cell>
        </row>
        <row r="367">
          <cell r="A367">
            <v>6183</v>
          </cell>
          <cell r="B367">
            <v>3183</v>
          </cell>
          <cell r="C367" t="str">
            <v>swingye</v>
          </cell>
          <cell r="D367" t="str">
            <v>15分钟治疗加速</v>
          </cell>
        </row>
        <row r="368">
          <cell r="A368">
            <v>6184</v>
          </cell>
          <cell r="B368">
            <v>3184</v>
          </cell>
          <cell r="C368" t="str">
            <v>swingye</v>
          </cell>
          <cell r="D368" t="str">
            <v>30分钟治疗加速</v>
          </cell>
        </row>
        <row r="369">
          <cell r="A369">
            <v>6185</v>
          </cell>
          <cell r="B369">
            <v>3185</v>
          </cell>
          <cell r="C369" t="str">
            <v>swingye</v>
          </cell>
          <cell r="D369" t="str">
            <v>60分钟治疗加速</v>
          </cell>
        </row>
        <row r="370">
          <cell r="A370">
            <v>6186</v>
          </cell>
          <cell r="B370">
            <v>3186</v>
          </cell>
          <cell r="C370" t="str">
            <v>swingye</v>
          </cell>
          <cell r="D370" t="str">
            <v>2小时治疗加速</v>
          </cell>
        </row>
        <row r="371">
          <cell r="A371">
            <v>6187</v>
          </cell>
          <cell r="B371">
            <v>3187</v>
          </cell>
          <cell r="C371" t="str">
            <v>swingye</v>
          </cell>
          <cell r="D371" t="str">
            <v>3小时治疗加速</v>
          </cell>
        </row>
        <row r="372">
          <cell r="A372">
            <v>6188</v>
          </cell>
          <cell r="B372">
            <v>3188</v>
          </cell>
          <cell r="C372" t="str">
            <v>swingye</v>
          </cell>
          <cell r="D372" t="str">
            <v>8小时治疗加速</v>
          </cell>
        </row>
        <row r="373">
          <cell r="A373">
            <v>6189</v>
          </cell>
          <cell r="B373">
            <v>3189</v>
          </cell>
          <cell r="C373" t="str">
            <v>swingye</v>
          </cell>
          <cell r="D373" t="str">
            <v>12小时治疗加速</v>
          </cell>
        </row>
        <row r="374">
          <cell r="A374">
            <v>6190</v>
          </cell>
          <cell r="B374">
            <v>3190</v>
          </cell>
          <cell r="C374" t="str">
            <v>swingye</v>
          </cell>
          <cell r="D374" t="str">
            <v>15小时治疗加速</v>
          </cell>
        </row>
        <row r="375">
          <cell r="A375">
            <v>6191</v>
          </cell>
          <cell r="B375">
            <v>3191</v>
          </cell>
          <cell r="C375" t="str">
            <v>swingye</v>
          </cell>
          <cell r="D375" t="str">
            <v>24小时治疗加速</v>
          </cell>
        </row>
        <row r="376">
          <cell r="A376">
            <v>6192</v>
          </cell>
          <cell r="B376">
            <v>3192</v>
          </cell>
          <cell r="C376" t="str">
            <v>swingye</v>
          </cell>
          <cell r="D376" t="str">
            <v>3天治疗加速</v>
          </cell>
        </row>
        <row r="377">
          <cell r="A377">
            <v>6193</v>
          </cell>
          <cell r="B377">
            <v>3193</v>
          </cell>
          <cell r="C377" t="str">
            <v>swingye</v>
          </cell>
          <cell r="D377" t="str">
            <v>7天治疗加速</v>
          </cell>
        </row>
        <row r="378">
          <cell r="A378">
            <v>6194</v>
          </cell>
          <cell r="B378">
            <v>3194</v>
          </cell>
          <cell r="C378" t="str">
            <v>swingye</v>
          </cell>
          <cell r="D378" t="str">
            <v>15天治疗加速</v>
          </cell>
        </row>
        <row r="379">
          <cell r="A379">
            <v>6195</v>
          </cell>
          <cell r="B379">
            <v>3195</v>
          </cell>
          <cell r="C379" t="str">
            <v>swingye</v>
          </cell>
          <cell r="D379" t="str">
            <v>30天治疗加速</v>
          </cell>
        </row>
        <row r="380">
          <cell r="A380">
            <v>6501</v>
          </cell>
          <cell r="B380">
            <v>74</v>
          </cell>
          <cell r="C380" t="str">
            <v>ryanshen</v>
          </cell>
          <cell r="D380" t="str">
            <v>号角聊天喇叭</v>
          </cell>
        </row>
        <row r="381">
          <cell r="A381">
            <v>6502</v>
          </cell>
          <cell r="C381" t="str">
            <v>ryanshen</v>
          </cell>
          <cell r="D381" t="str">
            <v>一方英主之旗</v>
          </cell>
        </row>
        <row r="382">
          <cell r="A382">
            <v>6503</v>
          </cell>
          <cell r="C382" t="str">
            <v>ryanshen</v>
          </cell>
          <cell r="D382" t="str">
            <v>乱世雄主之旗</v>
          </cell>
        </row>
        <row r="383">
          <cell r="A383">
            <v>6504</v>
          </cell>
          <cell r="C383" t="str">
            <v>ryanshen</v>
          </cell>
          <cell r="D383" t="str">
            <v>天下霸主之旗</v>
          </cell>
        </row>
        <row r="384">
          <cell r="A384">
            <v>6505</v>
          </cell>
          <cell r="C384" t="str">
            <v>ryanshen</v>
          </cell>
          <cell r="D384" t="str">
            <v>威武将军军旗</v>
          </cell>
        </row>
        <row r="385">
          <cell r="A385">
            <v>6506</v>
          </cell>
          <cell r="C385" t="str">
            <v>ryanshen</v>
          </cell>
          <cell r="D385" t="str">
            <v>皇家骑士团之旗</v>
          </cell>
        </row>
        <row r="386">
          <cell r="A386">
            <v>6507</v>
          </cell>
          <cell r="C386" t="str">
            <v>ryanshen</v>
          </cell>
          <cell r="D386" t="str">
            <v>沙漠雄鹰战旗</v>
          </cell>
        </row>
        <row r="387">
          <cell r="A387">
            <v>6508</v>
          </cell>
          <cell r="C387" t="str">
            <v>ryanshen</v>
          </cell>
          <cell r="D387" t="str">
            <v>兵马大元帅帅旗</v>
          </cell>
        </row>
        <row r="388">
          <cell r="A388">
            <v>6509</v>
          </cell>
          <cell r="C388" t="str">
            <v>ryanshen</v>
          </cell>
          <cell r="D388" t="str">
            <v>镶金骑士团之旗</v>
          </cell>
        </row>
        <row r="389">
          <cell r="A389">
            <v>6510</v>
          </cell>
          <cell r="C389" t="str">
            <v>ryanshen</v>
          </cell>
          <cell r="D389" t="str">
            <v>金色庭卫战旗</v>
          </cell>
        </row>
        <row r="390">
          <cell r="A390">
            <v>6511</v>
          </cell>
          <cell r="C390" t="str">
            <v>ryanshen</v>
          </cell>
          <cell r="D390" t="str">
            <v>登峰之旗</v>
          </cell>
        </row>
        <row r="391">
          <cell r="A391">
            <v>6512</v>
          </cell>
          <cell r="C391" t="str">
            <v>ryanshen</v>
          </cell>
          <cell r="D391" t="str">
            <v>登峰问鼎之旗 </v>
          </cell>
        </row>
        <row r="392">
          <cell r="A392">
            <v>6513</v>
          </cell>
          <cell r="C392" t="str">
            <v>ryanshen</v>
          </cell>
          <cell r="D392" t="str">
            <v>金色庭卫战旗</v>
          </cell>
        </row>
        <row r="393">
          <cell r="A393">
            <v>6514</v>
          </cell>
          <cell r="C393" t="str">
            <v>ryanshen</v>
          </cell>
          <cell r="D393" t="str">
            <v>奇迹英杰之旗</v>
          </cell>
        </row>
        <row r="394">
          <cell r="A394">
            <v>6515</v>
          </cell>
          <cell r="C394" t="str">
            <v>ryanshen</v>
          </cell>
          <cell r="D394" t="str">
            <v>奇迹霸主之旗</v>
          </cell>
        </row>
        <row r="395">
          <cell r="A395">
            <v>6516</v>
          </cell>
          <cell r="C395" t="str">
            <v>ryanshen</v>
          </cell>
          <cell r="D395" t="str">
            <v>奇迹王者之旗</v>
          </cell>
        </row>
        <row r="396">
          <cell r="A396">
            <v>6520</v>
          </cell>
          <cell r="B396"/>
          <cell r="C396" t="str">
            <v>ryanshen</v>
          </cell>
          <cell r="D396" t="str">
            <v>博物馆测试藏品碎片</v>
          </cell>
        </row>
        <row r="397">
          <cell r="A397">
            <v>6667</v>
          </cell>
          <cell r="B397"/>
          <cell r="C397" t="str">
            <v>louieshen</v>
          </cell>
          <cell r="D397" t="str">
            <v>奇迹勋章</v>
          </cell>
        </row>
        <row r="398">
          <cell r="A398">
            <v>6668</v>
          </cell>
          <cell r="B398"/>
          <cell r="C398" t="str">
            <v>louieshen</v>
          </cell>
          <cell r="D398" t="str">
            <v>奇迹之星</v>
          </cell>
        </row>
        <row r="399">
          <cell r="A399">
            <v>6669</v>
          </cell>
          <cell r="B399"/>
          <cell r="C399" t="str">
            <v>louieshen</v>
          </cell>
          <cell r="D399" t="str">
            <v>帝国探索之书</v>
          </cell>
        </row>
        <row r="400">
          <cell r="A400">
            <v>6670</v>
          </cell>
          <cell r="B400"/>
          <cell r="C400" t="str">
            <v>louieshen</v>
          </cell>
          <cell r="D400" t="str">
            <v>帝国奇迹之书</v>
          </cell>
        </row>
        <row r="401">
          <cell r="A401">
            <v>6671</v>
          </cell>
          <cell r="B401"/>
          <cell r="C401" t="str">
            <v>algao</v>
          </cell>
          <cell r="D401" t="str">
            <v>荣耀勋章</v>
          </cell>
        </row>
        <row r="402">
          <cell r="A402">
            <v>6672</v>
          </cell>
          <cell r="B402"/>
          <cell r="C402" t="str">
            <v>algao</v>
          </cell>
          <cell r="D402" t="str">
            <v>帝国之星</v>
          </cell>
        </row>
        <row r="403">
          <cell r="A403">
            <v>6673</v>
          </cell>
          <cell r="C403" t="str">
            <v>algao</v>
          </cell>
          <cell r="D403" t="str">
            <v>更多更多(不会获得的道具,仅用来表示还有更多奖励)</v>
          </cell>
        </row>
        <row r="404">
          <cell r="A404">
            <v>6674</v>
          </cell>
          <cell r="B404"/>
          <cell r="C404" t="str">
            <v>louieshen</v>
          </cell>
          <cell r="D404" t="str">
            <v>兵法残卷</v>
          </cell>
        </row>
        <row r="405">
          <cell r="A405">
            <v>6675</v>
          </cell>
          <cell r="B405"/>
          <cell r="C405" t="str">
            <v>louieshen</v>
          </cell>
          <cell r="D405" t="str">
            <v>荣耀积分</v>
          </cell>
        </row>
        <row r="406">
          <cell r="A406">
            <v>6676</v>
          </cell>
          <cell r="B406"/>
          <cell r="C406" t="str">
            <v>louieshen</v>
          </cell>
          <cell r="D406" t="str">
            <v>随机英雄宝箱兑换券</v>
          </cell>
        </row>
        <row r="407">
          <cell r="A407">
            <v>6677</v>
          </cell>
          <cell r="B407"/>
          <cell r="C407" t="str">
            <v>louieshen</v>
          </cell>
          <cell r="D407" t="str">
            <v>天启密令</v>
          </cell>
        </row>
        <row r="408">
          <cell r="A408">
            <v>6678</v>
          </cell>
          <cell r="B408"/>
          <cell r="C408" t="str">
            <v>louieshen</v>
          </cell>
          <cell r="D408" t="str">
            <v>奇迹火光</v>
          </cell>
        </row>
        <row r="409">
          <cell r="A409">
            <v>6679</v>
          </cell>
          <cell r="B409"/>
          <cell r="C409" t="str">
            <v>louieshen</v>
          </cell>
          <cell r="D409" t="str">
            <v>奇迹权杖</v>
          </cell>
        </row>
        <row r="410">
          <cell r="A410">
            <v>6680</v>
          </cell>
          <cell r="C410" t="str">
            <v>jianzili</v>
          </cell>
          <cell r="D410" t="str">
            <v>城市风格切换券</v>
          </cell>
        </row>
        <row r="411">
          <cell r="A411">
            <v>6681</v>
          </cell>
          <cell r="C411" t="str">
            <v>lotxu</v>
          </cell>
          <cell r="D411" t="str">
            <v>1铜币（进背包）</v>
          </cell>
        </row>
        <row r="412">
          <cell r="A412">
            <v>6682</v>
          </cell>
          <cell r="C412" t="str">
            <v>lotxu</v>
          </cell>
          <cell r="D412" t="str">
            <v>1铜币（立即使用，不进背包）</v>
          </cell>
        </row>
        <row r="413">
          <cell r="A413">
            <v>7000</v>
          </cell>
          <cell r="C413" t="str">
            <v>lotxu</v>
          </cell>
          <cell r="D413" t="str">
            <v>1钻石（进背包）</v>
          </cell>
        </row>
        <row r="414">
          <cell r="A414">
            <v>7001</v>
          </cell>
          <cell r="C414" t="str">
            <v>lotxu</v>
          </cell>
          <cell r="D414" t="str">
            <v>1钻石（立即使用，不进背包）</v>
          </cell>
        </row>
        <row r="415">
          <cell r="A415">
            <v>7002</v>
          </cell>
          <cell r="C415" t="str">
            <v>lotxu</v>
          </cell>
          <cell r="D415" t="str">
            <v>1银币（进背包）</v>
          </cell>
        </row>
        <row r="416">
          <cell r="A416">
            <v>7003</v>
          </cell>
          <cell r="C416" t="str">
            <v>lotxu</v>
          </cell>
          <cell r="D416" t="str">
            <v>1银币（立即使用，不进背包）</v>
          </cell>
        </row>
        <row r="417">
          <cell r="A417">
            <v>7004</v>
          </cell>
          <cell r="C417" t="str">
            <v>lotxu</v>
          </cell>
          <cell r="D417" t="str">
            <v>10银币（立即使用，不进背包）</v>
          </cell>
        </row>
        <row r="418">
          <cell r="A418">
            <v>7005</v>
          </cell>
          <cell r="C418" t="str">
            <v>lotxu</v>
          </cell>
          <cell r="D418" t="str">
            <v>50银币（立即使用，不进背包）</v>
          </cell>
        </row>
        <row r="419">
          <cell r="A419">
            <v>7006</v>
          </cell>
          <cell r="B419"/>
          <cell r="C419" t="str">
            <v>lotxu</v>
          </cell>
          <cell r="D419" t="str">
            <v>100银币（立即使用，不进背包）</v>
          </cell>
        </row>
        <row r="420">
          <cell r="A420">
            <v>7007</v>
          </cell>
          <cell r="B420"/>
          <cell r="C420" t="str">
            <v>lotxu</v>
          </cell>
          <cell r="D420" t="str">
            <v>100铜币（立即使用，不进背包）</v>
          </cell>
        </row>
        <row r="421">
          <cell r="A421">
            <v>7008</v>
          </cell>
          <cell r="B421"/>
          <cell r="C421" t="str">
            <v>lotxu</v>
          </cell>
          <cell r="D421" t="str">
            <v>1000铜币（立即使用，不进背包）</v>
          </cell>
        </row>
        <row r="422">
          <cell r="A422">
            <v>7009</v>
          </cell>
          <cell r="B422"/>
          <cell r="C422" t="str">
            <v>lotxu</v>
          </cell>
          <cell r="D422" t="str">
            <v>10000铜币（立即使用，不进背包）</v>
          </cell>
        </row>
        <row r="423">
          <cell r="A423">
            <v>7010</v>
          </cell>
          <cell r="C423" t="str">
            <v>yanhaoyhli</v>
          </cell>
          <cell r="D423" t="str">
            <v>军演币</v>
          </cell>
        </row>
        <row r="424">
          <cell r="A424">
            <v>7011</v>
          </cell>
          <cell r="C424" t="str">
            <v>waaaghwang</v>
          </cell>
          <cell r="D424" t="str">
            <v>委托经验</v>
          </cell>
        </row>
        <row r="425">
          <cell r="A425">
            <v>7100</v>
          </cell>
          <cell r="C425" t="str">
            <v>tychewang</v>
          </cell>
          <cell r="D425" t="str">
            <v>联盟币</v>
          </cell>
        </row>
        <row r="426">
          <cell r="A426">
            <v>7101</v>
          </cell>
          <cell r="C426" t="str">
            <v>lizhenchen</v>
          </cell>
          <cell r="D426" t="str">
            <v>奇迹积分</v>
          </cell>
        </row>
        <row r="427">
          <cell r="A427">
            <v>7102</v>
          </cell>
          <cell r="B427"/>
          <cell r="C427" t="str">
            <v>yuweitu</v>
          </cell>
          <cell r="D427" t="str">
            <v>天赋点</v>
          </cell>
        </row>
        <row r="428">
          <cell r="A428">
            <v>7200</v>
          </cell>
          <cell r="B428"/>
          <cell r="C428" t="str">
            <v>yuweitu</v>
          </cell>
          <cell r="D428" t="str">
            <v>帝国币</v>
          </cell>
        </row>
        <row r="429">
          <cell r="A429">
            <v>7201</v>
          </cell>
          <cell r="B429"/>
          <cell r="C429" t="str">
            <v>yuweitu</v>
          </cell>
          <cell r="D429" t="str">
            <v>技能点*2500</v>
          </cell>
        </row>
        <row r="430">
          <cell r="A430">
            <v>7202</v>
          </cell>
          <cell r="B430"/>
          <cell r="C430" t="str">
            <v>yuweitu</v>
          </cell>
          <cell r="D430" t="str">
            <v>技能点*1000</v>
          </cell>
        </row>
        <row r="431">
          <cell r="A431">
            <v>7203</v>
          </cell>
          <cell r="B431"/>
          <cell r="C431" t="str">
            <v>yuweitu</v>
          </cell>
          <cell r="D431" t="str">
            <v>技能点*500</v>
          </cell>
        </row>
        <row r="432">
          <cell r="A432">
            <v>7204</v>
          </cell>
          <cell r="B432"/>
          <cell r="C432" t="str">
            <v>yuweitu</v>
          </cell>
          <cell r="D432" t="str">
            <v>技能点*200</v>
          </cell>
        </row>
        <row r="433">
          <cell r="A433">
            <v>7205</v>
          </cell>
          <cell r="B433"/>
          <cell r="C433" t="str">
            <v>yuweitu</v>
          </cell>
          <cell r="D433" t="str">
            <v>铜币*20000</v>
          </cell>
        </row>
        <row r="434">
          <cell r="A434">
            <v>7206</v>
          </cell>
          <cell r="B434"/>
          <cell r="C434" t="str">
            <v>yuweitu</v>
          </cell>
          <cell r="D434" t="str">
            <v>铜币*5000</v>
          </cell>
        </row>
        <row r="435">
          <cell r="A435">
            <v>7207</v>
          </cell>
          <cell r="B435"/>
          <cell r="C435" t="str">
            <v>yuweitu</v>
          </cell>
          <cell r="D435" t="str">
            <v>建筑加速-6小时</v>
          </cell>
        </row>
        <row r="436">
          <cell r="A436">
            <v>7208</v>
          </cell>
          <cell r="B436"/>
          <cell r="C436" t="str">
            <v>yuweitu</v>
          </cell>
          <cell r="D436" t="str">
            <v>科技加速-6小时</v>
          </cell>
        </row>
        <row r="437">
          <cell r="A437">
            <v>7209</v>
          </cell>
          <cell r="B437"/>
          <cell r="C437" t="str">
            <v>yuweitu</v>
          </cell>
          <cell r="D437" t="str">
            <v>训练加速-6小时</v>
          </cell>
        </row>
        <row r="438">
          <cell r="A438">
            <v>7210</v>
          </cell>
          <cell r="B438"/>
          <cell r="C438" t="str">
            <v>yuweitu</v>
          </cell>
          <cell r="D438" t="str">
            <v>10本经验书*50000</v>
          </cell>
        </row>
        <row r="439">
          <cell r="A439">
            <v>7211</v>
          </cell>
          <cell r="B439"/>
          <cell r="C439" t="str">
            <v>yuweitu</v>
          </cell>
          <cell r="D439" t="str">
            <v>20本经验书*10000</v>
          </cell>
        </row>
        <row r="440">
          <cell r="A440">
            <v>7212</v>
          </cell>
          <cell r="B440"/>
          <cell r="C440" t="str">
            <v>yuweitu</v>
          </cell>
          <cell r="D440" t="str">
            <v>100本经验书*1000</v>
          </cell>
        </row>
        <row r="441">
          <cell r="A441">
            <v>7213</v>
          </cell>
          <cell r="B441"/>
          <cell r="C441" t="str">
            <v>yuweitu</v>
          </cell>
          <cell r="D441" t="str">
            <v>100本经验书*500</v>
          </cell>
        </row>
        <row r="442">
          <cell r="A442">
            <v>7220</v>
          </cell>
          <cell r="B442"/>
          <cell r="C442" t="str">
            <v>yuweitu</v>
          </cell>
          <cell r="D442" t="str">
            <v>英雄碎片安德莉娅、贞德、哈拉尔3随1</v>
          </cell>
        </row>
        <row r="443">
          <cell r="A443">
            <v>7221</v>
          </cell>
          <cell r="B443"/>
          <cell r="C443" t="str">
            <v>yuweitu</v>
          </cell>
          <cell r="D443" t="str">
            <v>贞德碎片*5</v>
          </cell>
        </row>
        <row r="444">
          <cell r="A444">
            <v>7222</v>
          </cell>
          <cell r="B444"/>
          <cell r="C444" t="str">
            <v>yuweitu</v>
          </cell>
          <cell r="D444" t="str">
            <v>随机技能4选1</v>
          </cell>
        </row>
        <row r="445">
          <cell r="A445">
            <v>7225</v>
          </cell>
          <cell r="B445"/>
          <cell r="C445" t="str">
            <v>yuweitu</v>
          </cell>
          <cell r="D445" t="str">
            <v>经验书*100</v>
          </cell>
        </row>
        <row r="446">
          <cell r="A446">
            <v>7226</v>
          </cell>
          <cell r="B446"/>
          <cell r="C446" t="str">
            <v>yuweitu</v>
          </cell>
          <cell r="D446" t="str">
            <v>经验书*500</v>
          </cell>
        </row>
        <row r="447">
          <cell r="A447">
            <v>7227</v>
          </cell>
          <cell r="B447"/>
          <cell r="C447" t="str">
            <v>yuweitu</v>
          </cell>
          <cell r="D447" t="str">
            <v>经验书*1000</v>
          </cell>
        </row>
        <row r="448">
          <cell r="A448">
            <v>7228</v>
          </cell>
          <cell r="B448"/>
          <cell r="C448" t="str">
            <v>yuweitu</v>
          </cell>
          <cell r="D448" t="str">
            <v>经验书*10000</v>
          </cell>
        </row>
        <row r="449">
          <cell r="A449">
            <v>7229</v>
          </cell>
          <cell r="B449"/>
          <cell r="C449" t="str">
            <v>yuweitu</v>
          </cell>
          <cell r="D449" t="str">
            <v>经验书*50000</v>
          </cell>
        </row>
        <row r="450">
          <cell r="A450">
            <v>7230</v>
          </cell>
          <cell r="B450"/>
          <cell r="C450" t="str">
            <v>yuweitu</v>
          </cell>
          <cell r="D450" t="str">
            <v>经验书*100000</v>
          </cell>
        </row>
        <row r="451">
          <cell r="A451">
            <v>8001</v>
          </cell>
          <cell r="C451" t="str">
            <v>tychewang</v>
          </cell>
          <cell r="D451" t="str">
            <v>100联盟资金</v>
          </cell>
        </row>
        <row r="452">
          <cell r="A452">
            <v>8002</v>
          </cell>
          <cell r="C452" t="str">
            <v>ryanshen</v>
          </cell>
          <cell r="D452" t="str">
            <v>技术点数(仅展示不要使用不要使用）</v>
          </cell>
        </row>
        <row r="453">
          <cell r="A453">
            <v>8003</v>
          </cell>
          <cell r="C453" t="str">
            <v>ryanshen</v>
          </cell>
          <cell r="D453" t="str">
            <v>文化点数(仅展示不要使用）</v>
          </cell>
        </row>
        <row r="454">
          <cell r="A454">
            <v>8004</v>
          </cell>
          <cell r="B454"/>
          <cell r="C454" t="str">
            <v>ryanshen</v>
          </cell>
          <cell r="D454" t="str">
            <v>木材(仅展示不要使用）</v>
          </cell>
        </row>
        <row r="455">
          <cell r="A455">
            <v>8005</v>
          </cell>
          <cell r="C455" t="str">
            <v>ryanshen</v>
          </cell>
          <cell r="D455" t="str">
            <v>食物(仅展示不要使用）</v>
          </cell>
        </row>
        <row r="456">
          <cell r="A456">
            <v>8006</v>
          </cell>
          <cell r="B456"/>
          <cell r="C456" t="str">
            <v>ryanshen</v>
          </cell>
          <cell r="D456" t="str">
            <v>石头(仅展示不要使用）</v>
          </cell>
        </row>
        <row r="457">
          <cell r="A457">
            <v>8007</v>
          </cell>
          <cell r="C457" t="str">
            <v>ryanshen</v>
          </cell>
          <cell r="D457" t="str">
            <v>黄金(仅展示不要使用）</v>
          </cell>
        </row>
        <row r="458">
          <cell r="A458">
            <v>8008</v>
          </cell>
          <cell r="C458" t="str">
            <v>ryanshen</v>
          </cell>
          <cell r="D458" t="str">
            <v>知识卷轴(仅展示不要使用）</v>
          </cell>
        </row>
        <row r="459">
          <cell r="A459">
            <v>8009</v>
          </cell>
          <cell r="C459" t="str">
            <v>ryanshen</v>
          </cell>
          <cell r="D459" t="str">
            <v>铜币(仅展示不要使用）</v>
          </cell>
        </row>
        <row r="460">
          <cell r="A460">
            <v>8010</v>
          </cell>
          <cell r="C460" t="str">
            <v>ryanshen</v>
          </cell>
          <cell r="D460" t="str">
            <v>银币(仅展示不要使用）</v>
          </cell>
        </row>
        <row r="461">
          <cell r="A461">
            <v>8011</v>
          </cell>
          <cell r="C461" t="str">
            <v>praisegao</v>
          </cell>
          <cell r="D461" t="str">
            <v>1联盟资金</v>
          </cell>
        </row>
        <row r="462">
          <cell r="A462">
            <v>8012</v>
          </cell>
          <cell r="C462" t="str">
            <v>supajoeyxue</v>
          </cell>
          <cell r="D462" t="str">
            <v>奇迹攻击符文(1级）(仅展示不要使用）</v>
          </cell>
        </row>
        <row r="463">
          <cell r="A463">
            <v>8013</v>
          </cell>
          <cell r="C463" t="str">
            <v>supajoeyxue</v>
          </cell>
          <cell r="D463" t="str">
            <v>奇迹攻击符文(2级）(仅展示不要使用）</v>
          </cell>
        </row>
        <row r="464">
          <cell r="A464">
            <v>8014</v>
          </cell>
          <cell r="C464" t="str">
            <v>supajoeyxue</v>
          </cell>
          <cell r="D464" t="str">
            <v>奇迹攻击符文(3级）(仅展示不要使用）</v>
          </cell>
        </row>
        <row r="465">
          <cell r="A465">
            <v>8015</v>
          </cell>
          <cell r="C465" t="str">
            <v>supajoeyxue</v>
          </cell>
          <cell r="D465" t="str">
            <v>奇迹守护符文(1级）(仅展示不要使用）</v>
          </cell>
        </row>
        <row r="466">
          <cell r="A466">
            <v>8016</v>
          </cell>
          <cell r="C466" t="str">
            <v>supajoeyxue</v>
          </cell>
          <cell r="D466" t="str">
            <v>奇迹守护符文(2级）(仅展示不要使用）</v>
          </cell>
        </row>
        <row r="467">
          <cell r="A467">
            <v>8017</v>
          </cell>
          <cell r="C467" t="str">
            <v>supajoeyxue</v>
          </cell>
          <cell r="D467" t="str">
            <v>奇迹守护符文(3级）(仅展示不要使用）</v>
          </cell>
        </row>
        <row r="468">
          <cell r="A468">
            <v>8018</v>
          </cell>
          <cell r="C468" t="str">
            <v>supajoeyxue</v>
          </cell>
          <cell r="D468" t="str">
            <v>奇迹敏捷符文(1级）(仅展示不要使用）</v>
          </cell>
        </row>
        <row r="469">
          <cell r="A469">
            <v>8019</v>
          </cell>
          <cell r="C469" t="str">
            <v>supajoeyxue</v>
          </cell>
          <cell r="D469" t="str">
            <v>奇迹敏捷符文(2级）(仅展示不要使用）</v>
          </cell>
        </row>
        <row r="470">
          <cell r="A470">
            <v>8020</v>
          </cell>
          <cell r="C470" t="str">
            <v>supajoeyxue</v>
          </cell>
          <cell r="D470" t="str">
            <v>奇迹敏捷符文(3级）(仅展示不要使用）</v>
          </cell>
        </row>
        <row r="471">
          <cell r="A471">
            <v>8021</v>
          </cell>
          <cell r="C471" t="str">
            <v>supajoeyxue</v>
          </cell>
          <cell r="D471" t="str">
            <v>奇迹狂暴符文(1级）(仅展示不要使用）</v>
          </cell>
        </row>
        <row r="472">
          <cell r="A472">
            <v>8022</v>
          </cell>
          <cell r="C472" t="str">
            <v>supajoeyxue</v>
          </cell>
          <cell r="D472" t="str">
            <v>奇迹狂暴符文(2级）(仅展示不要使用）</v>
          </cell>
        </row>
        <row r="473">
          <cell r="A473">
            <v>8023</v>
          </cell>
          <cell r="C473" t="str">
            <v>supajoeyxue</v>
          </cell>
          <cell r="D473" t="str">
            <v>奇迹狂暴符文(3级）(仅展示不要使用）</v>
          </cell>
        </row>
        <row r="474">
          <cell r="A474">
            <v>8024</v>
          </cell>
          <cell r="C474" t="str">
            <v>supajoeyxue</v>
          </cell>
          <cell r="D474" t="str">
            <v>奇迹沉默符文(仅展示不要使用）</v>
          </cell>
        </row>
        <row r="475">
          <cell r="A475">
            <v>8025</v>
          </cell>
          <cell r="C475" t="str">
            <v>supajoeyxue</v>
          </cell>
          <cell r="D475" t="str">
            <v>个人积分(仅展示不要使用）</v>
          </cell>
        </row>
        <row r="476">
          <cell r="A476">
            <v>8026</v>
          </cell>
          <cell r="C476" t="str">
            <v>supajoeyxue</v>
          </cell>
          <cell r="D476" t="str">
            <v>联盟积分(仅展示不要使用）</v>
          </cell>
        </row>
        <row r="477">
          <cell r="A477">
            <v>8027</v>
          </cell>
          <cell r="C477" t="str">
            <v>swingye</v>
          </cell>
          <cell r="D477" t="str">
            <v>经验书（仅展示不要使用）</v>
          </cell>
        </row>
        <row r="478">
          <cell r="A478">
            <v>8028</v>
          </cell>
          <cell r="C478" t="str">
            <v>swingye</v>
          </cell>
          <cell r="D478" t="str">
            <v>技能点（仅展示不要使用）</v>
          </cell>
        </row>
        <row r="479">
          <cell r="A479">
            <v>8029</v>
          </cell>
          <cell r="C479" t="str">
            <v>swingye</v>
          </cell>
          <cell r="D479" t="str">
            <v>加速道具（仅展示不要使用）</v>
          </cell>
        </row>
        <row r="480">
          <cell r="A480">
            <v>9001</v>
          </cell>
          <cell r="C480" t="str">
            <v>lotxu</v>
          </cell>
          <cell r="D480" t="str">
            <v>村民进背包</v>
          </cell>
        </row>
        <row r="481">
          <cell r="A481">
            <v>9035</v>
          </cell>
          <cell r="C481" t="str">
            <v>ryanshen</v>
          </cell>
          <cell r="D481" t="str">
            <v>最高等级剑士直接使用X1</v>
          </cell>
        </row>
        <row r="482">
          <cell r="A482">
            <v>9036</v>
          </cell>
          <cell r="C482" t="str">
            <v>ryanshen</v>
          </cell>
          <cell r="D482" t="str">
            <v>最高等级枪兵直接使用X1</v>
          </cell>
        </row>
        <row r="483">
          <cell r="A483">
            <v>9037</v>
          </cell>
          <cell r="C483" t="str">
            <v>ryanshen</v>
          </cell>
          <cell r="D483" t="str">
            <v>最高等级骑兵直接使用X1</v>
          </cell>
        </row>
        <row r="484">
          <cell r="A484">
            <v>9038</v>
          </cell>
          <cell r="C484" t="str">
            <v>ryanshen</v>
          </cell>
          <cell r="D484" t="str">
            <v>最高等级弓兵直接使用X1</v>
          </cell>
        </row>
        <row r="485">
          <cell r="A485">
            <v>9039</v>
          </cell>
          <cell r="C485" t="str">
            <v>ryanshen</v>
          </cell>
          <cell r="D485" t="str">
            <v>最高等级剑士进背包X1</v>
          </cell>
        </row>
        <row r="486">
          <cell r="A486">
            <v>9040</v>
          </cell>
          <cell r="C486" t="str">
            <v>ryanshen</v>
          </cell>
          <cell r="D486" t="str">
            <v>最高等级枪兵进背包X1</v>
          </cell>
        </row>
        <row r="487">
          <cell r="A487">
            <v>9041</v>
          </cell>
          <cell r="C487" t="str">
            <v>ryanshen</v>
          </cell>
          <cell r="D487" t="str">
            <v>最高等级骑兵进背包X1</v>
          </cell>
        </row>
        <row r="488">
          <cell r="A488">
            <v>9042</v>
          </cell>
          <cell r="C488" t="str">
            <v>ryanshen</v>
          </cell>
          <cell r="D488" t="str">
            <v>最高等级弓兵进背包X1</v>
          </cell>
        </row>
        <row r="489">
          <cell r="A489">
            <v>9043</v>
          </cell>
          <cell r="C489" t="str">
            <v>ryanshen</v>
          </cell>
          <cell r="D489" t="str">
            <v>最高等级剑士直接使用X100</v>
          </cell>
        </row>
        <row r="490">
          <cell r="A490">
            <v>9044</v>
          </cell>
          <cell r="C490" t="str">
            <v>ryanshen</v>
          </cell>
          <cell r="D490" t="str">
            <v>最高等级枪兵直接使用X100</v>
          </cell>
        </row>
        <row r="491">
          <cell r="A491">
            <v>9045</v>
          </cell>
          <cell r="C491" t="str">
            <v>ryanshen</v>
          </cell>
          <cell r="D491" t="str">
            <v>最高等级骑兵直接使用X100</v>
          </cell>
        </row>
        <row r="492">
          <cell r="A492">
            <v>9046</v>
          </cell>
          <cell r="C492" t="str">
            <v>ryanshen</v>
          </cell>
          <cell r="D492" t="str">
            <v>最高等级弓兵直接使用X100</v>
          </cell>
        </row>
        <row r="493">
          <cell r="A493">
            <v>9047</v>
          </cell>
          <cell r="C493" t="str">
            <v>ryanshen</v>
          </cell>
          <cell r="D493" t="str">
            <v>最高等级剑士直接使用X1000</v>
          </cell>
        </row>
        <row r="494">
          <cell r="A494">
            <v>9048</v>
          </cell>
          <cell r="C494" t="str">
            <v>ryanshen</v>
          </cell>
          <cell r="D494" t="str">
            <v>最高等级枪兵直接使用X1000</v>
          </cell>
        </row>
        <row r="495">
          <cell r="A495">
            <v>9049</v>
          </cell>
          <cell r="C495" t="str">
            <v>ryanshen</v>
          </cell>
          <cell r="D495" t="str">
            <v>最高等级骑兵直接使用X1000</v>
          </cell>
        </row>
        <row r="496">
          <cell r="A496">
            <v>9050</v>
          </cell>
          <cell r="C496" t="str">
            <v>ryanshen</v>
          </cell>
          <cell r="D496" t="str">
            <v>最高等级弓兵直接使用X1000</v>
          </cell>
        </row>
        <row r="497">
          <cell r="A497">
            <v>14011</v>
          </cell>
          <cell r="C497" t="str">
            <v>kakiwang</v>
          </cell>
          <cell r="D497" t="str">
            <v>100点酒馆人气值</v>
          </cell>
        </row>
        <row r="498">
          <cell r="A498">
            <v>14012</v>
          </cell>
          <cell r="C498" t="str">
            <v>kakiwang</v>
          </cell>
          <cell r="D498" t="str">
            <v>300点酒馆人气值</v>
          </cell>
        </row>
        <row r="499">
          <cell r="A499">
            <v>14013</v>
          </cell>
          <cell r="C499" t="str">
            <v>kakiwang</v>
          </cell>
          <cell r="D499" t="str">
            <v>500点酒馆人气值</v>
          </cell>
        </row>
        <row r="500">
          <cell r="A500">
            <v>14014</v>
          </cell>
          <cell r="C500" t="str">
            <v>kakiwang</v>
          </cell>
          <cell r="D500" t="str">
            <v>1000点酒馆人气值</v>
          </cell>
        </row>
        <row r="501">
          <cell r="A501">
            <v>14016</v>
          </cell>
          <cell r="C501" t="str">
            <v>kakiwang</v>
          </cell>
          <cell r="D501" t="str">
            <v>2000点酒馆人气值</v>
          </cell>
        </row>
        <row r="502">
          <cell r="A502">
            <v>14017</v>
          </cell>
          <cell r="C502" t="str">
            <v>kakiwang</v>
          </cell>
          <cell r="D502" t="str">
            <v>3000点酒馆人气值</v>
          </cell>
        </row>
        <row r="503">
          <cell r="A503">
            <v>14018</v>
          </cell>
          <cell r="C503" t="str">
            <v>kakiwang</v>
          </cell>
          <cell r="D503" t="str">
            <v>5000点酒馆人气值</v>
          </cell>
        </row>
        <row r="504">
          <cell r="A504">
            <v>14101</v>
          </cell>
          <cell r="C504" t="str">
            <v>kakiwang</v>
          </cell>
          <cell r="D504" t="str">
            <v>李芊岚</v>
          </cell>
        </row>
        <row r="505">
          <cell r="A505">
            <v>14105</v>
          </cell>
          <cell r="C505" t="str">
            <v>kakiwang</v>
          </cell>
          <cell r="D505" t="str">
            <v>顾烟</v>
          </cell>
        </row>
        <row r="506">
          <cell r="A506">
            <v>14106</v>
          </cell>
          <cell r="C506" t="str">
            <v>kakiwang</v>
          </cell>
          <cell r="D506" t="str">
            <v>翟黎</v>
          </cell>
        </row>
        <row r="507">
          <cell r="A507">
            <v>14107</v>
          </cell>
          <cell r="C507" t="str">
            <v>kakiwang</v>
          </cell>
          <cell r="D507" t="str">
            <v>伊丽莎白</v>
          </cell>
        </row>
        <row r="508">
          <cell r="A508">
            <v>14108</v>
          </cell>
          <cell r="C508" t="str">
            <v>kakiwang</v>
          </cell>
          <cell r="D508" t="str">
            <v>娜娜丽</v>
          </cell>
        </row>
        <row r="509">
          <cell r="A509">
            <v>14109</v>
          </cell>
          <cell r="C509" t="str">
            <v>kakiwang</v>
          </cell>
          <cell r="D509" t="str">
            <v>亚基</v>
          </cell>
        </row>
        <row r="510">
          <cell r="A510">
            <v>14201</v>
          </cell>
          <cell r="C510" t="str">
            <v>kakiwang</v>
          </cell>
          <cell r="D510" t="str">
            <v>密克安哲</v>
          </cell>
        </row>
        <row r="511">
          <cell r="A511">
            <v>14202</v>
          </cell>
          <cell r="C511" t="str">
            <v>kakiwang</v>
          </cell>
          <cell r="D511" t="str">
            <v>方选</v>
          </cell>
        </row>
        <row r="512">
          <cell r="A512">
            <v>14203</v>
          </cell>
          <cell r="C512" t="str">
            <v>kakiwang</v>
          </cell>
          <cell r="D512" t="str">
            <v>任行之</v>
          </cell>
        </row>
        <row r="513">
          <cell r="A513">
            <v>14204</v>
          </cell>
          <cell r="C513" t="str">
            <v>kakiwang</v>
          </cell>
          <cell r="D513" t="str">
            <v>列奥那</v>
          </cell>
        </row>
        <row r="514">
          <cell r="A514">
            <v>14206</v>
          </cell>
          <cell r="C514" t="str">
            <v>kakiwang</v>
          </cell>
          <cell r="D514" t="str">
            <v>秦粤</v>
          </cell>
        </row>
        <row r="515">
          <cell r="A515">
            <v>14207</v>
          </cell>
          <cell r="C515" t="str">
            <v>kakiwang</v>
          </cell>
          <cell r="D515" t="str">
            <v>莎芙</v>
          </cell>
        </row>
        <row r="516">
          <cell r="A516">
            <v>14301</v>
          </cell>
          <cell r="C516" t="str">
            <v>kakiwang</v>
          </cell>
          <cell r="D516" t="str">
            <v>梅芙</v>
          </cell>
        </row>
        <row r="517">
          <cell r="A517">
            <v>14302</v>
          </cell>
          <cell r="C517" t="str">
            <v>kakiwang</v>
          </cell>
          <cell r="D517" t="str">
            <v>尼古劳斯</v>
          </cell>
        </row>
        <row r="518">
          <cell r="A518">
            <v>14303</v>
          </cell>
          <cell r="C518" t="str">
            <v>kakiwang</v>
          </cell>
          <cell r="D518" t="str">
            <v>拉格纳</v>
          </cell>
        </row>
        <row r="519">
          <cell r="A519">
            <v>14304</v>
          </cell>
          <cell r="C519" t="str">
            <v>kakiwang</v>
          </cell>
          <cell r="D519" t="str">
            <v>公孙</v>
          </cell>
        </row>
        <row r="520">
          <cell r="A520">
            <v>14305</v>
          </cell>
          <cell r="C520" t="str">
            <v>kakiwang</v>
          </cell>
          <cell r="D520" t="str">
            <v>德罗茜</v>
          </cell>
        </row>
        <row r="521">
          <cell r="A521">
            <v>14306</v>
          </cell>
          <cell r="C521" t="str">
            <v>kakiwang</v>
          </cell>
          <cell r="D521" t="str">
            <v>佩里克勒斯</v>
          </cell>
        </row>
        <row r="522">
          <cell r="A522">
            <v>14307</v>
          </cell>
          <cell r="C522" t="str">
            <v>kakiwang</v>
          </cell>
          <cell r="D522" t="str">
            <v>元元公主</v>
          </cell>
        </row>
        <row r="523">
          <cell r="A523">
            <v>14308</v>
          </cell>
          <cell r="C523" t="str">
            <v>kakiwang</v>
          </cell>
          <cell r="D523" t="str">
            <v>倪克罗</v>
          </cell>
        </row>
        <row r="524">
          <cell r="A524">
            <v>14309</v>
          </cell>
          <cell r="C524" t="str">
            <v>kakiwang</v>
          </cell>
          <cell r="D524" t="str">
            <v>瓦斯克</v>
          </cell>
        </row>
        <row r="525">
          <cell r="A525">
            <v>14312</v>
          </cell>
          <cell r="C525" t="str">
            <v>kakiwang</v>
          </cell>
          <cell r="D525" t="str">
            <v>施浣</v>
          </cell>
        </row>
        <row r="526">
          <cell r="A526">
            <v>14313</v>
          </cell>
          <cell r="C526" t="str">
            <v>kakiwang</v>
          </cell>
          <cell r="D526" t="str">
            <v>玛丽夫人</v>
          </cell>
        </row>
        <row r="527">
          <cell r="A527">
            <v>14314</v>
          </cell>
          <cell r="C527" t="str">
            <v>kakiwang</v>
          </cell>
          <cell r="D527" t="str">
            <v>琼鸣玉</v>
          </cell>
        </row>
        <row r="528">
          <cell r="A528">
            <v>14315</v>
          </cell>
          <cell r="C528" t="str">
            <v>kakiwang</v>
          </cell>
          <cell r="D528" t="str">
            <v>易清玦</v>
          </cell>
        </row>
        <row r="529">
          <cell r="A529">
            <v>14316</v>
          </cell>
          <cell r="C529" t="str">
            <v>kakiwang</v>
          </cell>
          <cell r="D529" t="str">
            <v>姬敬</v>
          </cell>
        </row>
        <row r="530">
          <cell r="A530">
            <v>14317</v>
          </cell>
          <cell r="C530" t="str">
            <v>ryanshen</v>
          </cell>
          <cell r="D530" t="str">
            <v>莱兹</v>
          </cell>
        </row>
        <row r="531">
          <cell r="A531">
            <v>14318</v>
          </cell>
          <cell r="C531" t="str">
            <v>ryanshen</v>
          </cell>
          <cell r="D531" t="str">
            <v>贾比尔辛</v>
          </cell>
        </row>
        <row r="532">
          <cell r="A532">
            <v>14319</v>
          </cell>
          <cell r="C532" t="str">
            <v>ryanshen</v>
          </cell>
          <cell r="D532" t="str">
            <v>约恩</v>
          </cell>
        </row>
        <row r="533">
          <cell r="A533">
            <v>15000</v>
          </cell>
          <cell r="C533" t="str">
            <v>jianzili</v>
          </cell>
          <cell r="D533" t="str">
            <v>寻访令</v>
          </cell>
        </row>
        <row r="534">
          <cell r="A534">
            <v>15001</v>
          </cell>
          <cell r="C534" t="str">
            <v>ryanshen</v>
          </cell>
          <cell r="D534" t="str">
            <v>寻访令(商业化）300</v>
          </cell>
        </row>
        <row r="535">
          <cell r="A535">
            <v>15002</v>
          </cell>
          <cell r="C535" t="str">
            <v>ryanshen</v>
          </cell>
          <cell r="D535" t="str">
            <v>寻访令(商业化）500</v>
          </cell>
        </row>
        <row r="536">
          <cell r="A536">
            <v>15003</v>
          </cell>
          <cell r="C536" t="str">
            <v>ryanshen</v>
          </cell>
          <cell r="D536" t="str">
            <v>寻访令(商业化）1000</v>
          </cell>
        </row>
        <row r="537">
          <cell r="A537">
            <v>15004</v>
          </cell>
          <cell r="C537" t="str">
            <v>ryanshen</v>
          </cell>
          <cell r="D537" t="str">
            <v>寻访令(商业化）2000</v>
          </cell>
        </row>
        <row r="538">
          <cell r="A538">
            <v>15005</v>
          </cell>
          <cell r="C538" t="str">
            <v>ryanshen</v>
          </cell>
          <cell r="D538" t="str">
            <v>寻访令(商业化）3000</v>
          </cell>
        </row>
        <row r="539">
          <cell r="A539">
            <v>15006</v>
          </cell>
          <cell r="C539" t="str">
            <v>ryanshen</v>
          </cell>
          <cell r="D539" t="str">
            <v>寻访令(商业化）5000</v>
          </cell>
        </row>
        <row r="540">
          <cell r="A540">
            <v>16000</v>
          </cell>
          <cell r="C540" t="str">
            <v>Richwthuang</v>
          </cell>
          <cell r="D540" t="str">
            <v>马可波罗的笔记王国地图</v>
          </cell>
        </row>
        <row r="541">
          <cell r="A541">
            <v>16101</v>
          </cell>
          <cell r="C541" t="str">
            <v>ryanshen</v>
          </cell>
          <cell r="D541" t="str">
            <v>[徽记]李芊岚</v>
          </cell>
        </row>
        <row r="542">
          <cell r="A542">
            <v>16105</v>
          </cell>
          <cell r="C542" t="str">
            <v>ryanshen</v>
          </cell>
          <cell r="D542" t="str">
            <v>[徽记]顾烟</v>
          </cell>
        </row>
        <row r="543">
          <cell r="A543">
            <v>16106</v>
          </cell>
          <cell r="C543" t="str">
            <v>ryanshen</v>
          </cell>
          <cell r="D543" t="str">
            <v>[徽记]翟黎</v>
          </cell>
        </row>
        <row r="544">
          <cell r="A544">
            <v>16107</v>
          </cell>
          <cell r="C544" t="str">
            <v>ryanshen</v>
          </cell>
          <cell r="D544" t="str">
            <v>[徽记]伊丽莎白</v>
          </cell>
        </row>
        <row r="545">
          <cell r="A545">
            <v>16201</v>
          </cell>
          <cell r="C545" t="str">
            <v>ryanshen</v>
          </cell>
          <cell r="D545" t="str">
            <v>[徽记]密克安哲</v>
          </cell>
        </row>
        <row r="546">
          <cell r="A546">
            <v>16203</v>
          </cell>
          <cell r="C546" t="str">
            <v>ryanshen</v>
          </cell>
          <cell r="D546" t="str">
            <v>[徽记]任行之</v>
          </cell>
        </row>
        <row r="547">
          <cell r="A547">
            <v>16204</v>
          </cell>
          <cell r="C547" t="str">
            <v>ryanshen</v>
          </cell>
          <cell r="D547" t="str">
            <v>[徽记]列奥那</v>
          </cell>
        </row>
        <row r="548">
          <cell r="A548">
            <v>16206</v>
          </cell>
          <cell r="C548" t="str">
            <v>ryanshen</v>
          </cell>
          <cell r="D548" t="str">
            <v>[徽记]秦粤</v>
          </cell>
        </row>
        <row r="549">
          <cell r="A549">
            <v>16312</v>
          </cell>
          <cell r="C549" t="str">
            <v>ryanshen</v>
          </cell>
          <cell r="D549" t="str">
            <v>[徽记]施浣</v>
          </cell>
        </row>
        <row r="550">
          <cell r="A550">
            <v>16315</v>
          </cell>
          <cell r="C550" t="str">
            <v>ryanshen</v>
          </cell>
          <cell r="D550" t="str">
            <v>[徽记]易清玦</v>
          </cell>
        </row>
        <row r="551">
          <cell r="A551">
            <v>16317</v>
          </cell>
          <cell r="C551" t="str">
            <v>ryanshen</v>
          </cell>
          <cell r="D551" t="str">
            <v>[徽记]莱兹</v>
          </cell>
        </row>
        <row r="552">
          <cell r="A552">
            <v>16318</v>
          </cell>
          <cell r="C552" t="str">
            <v>ryanshen</v>
          </cell>
          <cell r="D552" t="str">
            <v>[徽记]贾比尔辛</v>
          </cell>
        </row>
        <row r="553">
          <cell r="A553">
            <v>17000</v>
          </cell>
          <cell r="C553" t="str">
            <v>Jensencheng</v>
          </cell>
          <cell r="D553" t="str">
            <v>冒险经验+1</v>
          </cell>
        </row>
        <row r="554">
          <cell r="A554">
            <v>17001</v>
          </cell>
          <cell r="C554" t="str">
            <v>Jensencheng</v>
          </cell>
          <cell r="D554" t="str">
            <v>冒险经验+10</v>
          </cell>
        </row>
        <row r="555">
          <cell r="A555">
            <v>17002</v>
          </cell>
          <cell r="C555" t="str">
            <v>Jensencheng</v>
          </cell>
          <cell r="D555" t="str">
            <v>冒险经验+50</v>
          </cell>
        </row>
        <row r="556">
          <cell r="A556">
            <v>17003</v>
          </cell>
          <cell r="C556" t="str">
            <v>Jensencheng</v>
          </cell>
          <cell r="D556" t="str">
            <v>冒险经验+100</v>
          </cell>
        </row>
        <row r="557">
          <cell r="A557">
            <v>17100</v>
          </cell>
          <cell r="C557" t="str">
            <v>Jensencheng</v>
          </cell>
          <cell r="D557" t="str">
            <v>冒险冒险次数+1</v>
          </cell>
        </row>
        <row r="558">
          <cell r="A558">
            <v>17200</v>
          </cell>
          <cell r="C558" t="str">
            <v>Jensencheng</v>
          </cell>
          <cell r="D558" t="str">
            <v>名人博学值+100</v>
          </cell>
        </row>
        <row r="559">
          <cell r="A559">
            <v>17201</v>
          </cell>
          <cell r="C559" t="str">
            <v>Jensencheng</v>
          </cell>
          <cell r="D559" t="str">
            <v>名人博学值+200</v>
          </cell>
        </row>
        <row r="560">
          <cell r="A560">
            <v>17202</v>
          </cell>
          <cell r="C560" t="str">
            <v>Jensencheng</v>
          </cell>
          <cell r="D560" t="str">
            <v>名人博学值+500</v>
          </cell>
        </row>
        <row r="561">
          <cell r="A561">
            <v>17203</v>
          </cell>
          <cell r="C561" t="str">
            <v>Jensencheng</v>
          </cell>
          <cell r="D561" t="str">
            <v>名人博学值+1000</v>
          </cell>
        </row>
        <row r="562">
          <cell r="A562">
            <v>17204</v>
          </cell>
          <cell r="C562" t="str">
            <v>Jensencheng</v>
          </cell>
          <cell r="D562" t="str">
            <v>名人博学值+1</v>
          </cell>
        </row>
        <row r="563">
          <cell r="A563">
            <v>17300</v>
          </cell>
          <cell r="C563" t="str">
            <v>ryanshen</v>
          </cell>
          <cell r="D563" t="str">
            <v>名人冒险宝箱（蓝）</v>
          </cell>
        </row>
        <row r="564">
          <cell r="A564">
            <v>17301</v>
          </cell>
          <cell r="C564" t="str">
            <v>ryanshen</v>
          </cell>
          <cell r="D564" t="str">
            <v>名人冒险宝箱（紫）</v>
          </cell>
        </row>
        <row r="565">
          <cell r="A565">
            <v>17302</v>
          </cell>
          <cell r="C565" t="str">
            <v>ryanshen</v>
          </cell>
          <cell r="D565" t="str">
            <v>名人冒险宝箱（橙）</v>
          </cell>
        </row>
        <row r="566">
          <cell r="A566">
            <v>19001</v>
          </cell>
          <cell r="C566" t="str">
            <v>waaaghwang</v>
          </cell>
          <cell r="D566" t="str">
            <v>贞德</v>
          </cell>
        </row>
        <row r="567">
          <cell r="A567">
            <v>19002</v>
          </cell>
          <cell r="C567" t="str">
            <v>waaaghwang</v>
          </cell>
          <cell r="D567" t="str">
            <v>织田信长</v>
          </cell>
        </row>
        <row r="568">
          <cell r="A568">
            <v>19003</v>
          </cell>
          <cell r="C568" t="str">
            <v>waaaghwang</v>
          </cell>
          <cell r="D568" t="str">
            <v>凯撒</v>
          </cell>
        </row>
        <row r="569">
          <cell r="A569">
            <v>19004</v>
          </cell>
          <cell r="C569" t="str">
            <v>waaaghwang</v>
          </cell>
          <cell r="D569" t="str">
            <v>克里奥帕特拉</v>
          </cell>
        </row>
        <row r="570">
          <cell r="A570">
            <v>19005</v>
          </cell>
          <cell r="C570" t="str">
            <v>waaaghwang</v>
          </cell>
          <cell r="D570" t="str">
            <v>关羽</v>
          </cell>
        </row>
        <row r="571">
          <cell r="A571">
            <v>19006</v>
          </cell>
          <cell r="C571" t="str">
            <v>waaaghwang</v>
          </cell>
          <cell r="D571" t="str">
            <v>亨利五世</v>
          </cell>
        </row>
        <row r="572">
          <cell r="A572">
            <v>19007</v>
          </cell>
          <cell r="C572" t="str">
            <v>waaaghwang</v>
          </cell>
          <cell r="D572" t="str">
            <v>项羽</v>
          </cell>
        </row>
        <row r="573">
          <cell r="A573">
            <v>19008</v>
          </cell>
          <cell r="C573" t="str">
            <v>waaaghwang</v>
          </cell>
          <cell r="D573" t="str">
            <v>君士坦丁大帝</v>
          </cell>
        </row>
        <row r="574">
          <cell r="A574">
            <v>19009</v>
          </cell>
          <cell r="C574" t="str">
            <v>waaaghwang</v>
          </cell>
          <cell r="D574" t="str">
            <v>花木兰</v>
          </cell>
        </row>
        <row r="575">
          <cell r="A575">
            <v>19010</v>
          </cell>
          <cell r="C575" t="str">
            <v>doublehwang</v>
          </cell>
          <cell r="D575" t="str">
            <v>查士丁尼一世</v>
          </cell>
        </row>
        <row r="576">
          <cell r="A576">
            <v>19011</v>
          </cell>
          <cell r="C576" t="str">
            <v>waaaghwang</v>
          </cell>
          <cell r="D576" t="str">
            <v>布狄卡</v>
          </cell>
        </row>
        <row r="577">
          <cell r="A577">
            <v>19012</v>
          </cell>
          <cell r="C577" t="str">
            <v>waaaghwang</v>
          </cell>
          <cell r="D577" t="str">
            <v>萨拉丁</v>
          </cell>
        </row>
        <row r="578">
          <cell r="A578">
            <v>19013</v>
          </cell>
          <cell r="C578" t="str">
            <v>waaaghwang</v>
          </cell>
          <cell r="D578" t="str">
            <v>列奥尼达一世</v>
          </cell>
        </row>
        <row r="579">
          <cell r="A579">
            <v>19014</v>
          </cell>
          <cell r="C579" t="str">
            <v>waaaghwang</v>
          </cell>
          <cell r="D579" t="str">
            <v>孙武</v>
          </cell>
        </row>
        <row r="580">
          <cell r="A580">
            <v>19015</v>
          </cell>
          <cell r="C580" t="str">
            <v>waaaghwang</v>
          </cell>
          <cell r="D580" t="str">
            <v>武则天</v>
          </cell>
        </row>
        <row r="581">
          <cell r="A581">
            <v>19016</v>
          </cell>
          <cell r="C581" t="str">
            <v>waaaghwang</v>
          </cell>
          <cell r="D581" t="str">
            <v>腓力四世</v>
          </cell>
        </row>
        <row r="582">
          <cell r="A582">
            <v>19017</v>
          </cell>
          <cell r="C582" t="str">
            <v>waaaghwang</v>
          </cell>
          <cell r="D582" t="str">
            <v>巴巴罗萨</v>
          </cell>
        </row>
        <row r="583">
          <cell r="A583">
            <v>19018</v>
          </cell>
          <cell r="C583" t="str">
            <v>waaaghwang</v>
          </cell>
          <cell r="D583" t="str">
            <v>曹操</v>
          </cell>
        </row>
        <row r="584">
          <cell r="A584">
            <v>19019</v>
          </cell>
          <cell r="C584" t="str">
            <v>waaaghwang</v>
          </cell>
          <cell r="D584" t="str">
            <v>大流士一世</v>
          </cell>
        </row>
        <row r="585">
          <cell r="A585">
            <v>19020</v>
          </cell>
          <cell r="C585" t="str">
            <v>waaaghwang</v>
          </cell>
          <cell r="D585" t="str">
            <v>李舜臣</v>
          </cell>
        </row>
        <row r="586">
          <cell r="A586">
            <v>19021</v>
          </cell>
          <cell r="C586" t="str">
            <v>waaaghwang</v>
          </cell>
          <cell r="D586" t="str">
            <v>亚瑟王</v>
          </cell>
        </row>
        <row r="587">
          <cell r="A587">
            <v>19022</v>
          </cell>
          <cell r="C587" t="str">
            <v>waaaghwang</v>
          </cell>
          <cell r="D587" t="str">
            <v>亚历山大大帝</v>
          </cell>
        </row>
        <row r="588">
          <cell r="A588">
            <v>19023</v>
          </cell>
          <cell r="C588" t="str">
            <v>doublehwang</v>
          </cell>
          <cell r="D588" t="str">
            <v>汉尼拔</v>
          </cell>
        </row>
        <row r="589">
          <cell r="A589">
            <v>19024</v>
          </cell>
          <cell r="C589" t="str">
            <v>waaaghwang</v>
          </cell>
          <cell r="D589" t="str">
            <v>黄月英</v>
          </cell>
        </row>
        <row r="590">
          <cell r="A590">
            <v>19025</v>
          </cell>
          <cell r="C590" t="str">
            <v>waaaghwang</v>
          </cell>
          <cell r="D590" t="str">
            <v>穆桂英</v>
          </cell>
        </row>
        <row r="591">
          <cell r="A591">
            <v>19026</v>
          </cell>
          <cell r="C591" t="str">
            <v>waaaghwang</v>
          </cell>
          <cell r="D591" t="str">
            <v>赵云</v>
          </cell>
        </row>
        <row r="592">
          <cell r="A592">
            <v>19027</v>
          </cell>
          <cell r="C592" t="str">
            <v>waaaghwang</v>
          </cell>
          <cell r="D592" t="str">
            <v>兰陵王</v>
          </cell>
        </row>
        <row r="593">
          <cell r="A593">
            <v>19028</v>
          </cell>
          <cell r="C593" t="str">
            <v>waaaghwang</v>
          </cell>
          <cell r="D593" t="str">
            <v>虞姬</v>
          </cell>
        </row>
        <row r="594">
          <cell r="A594">
            <v>19029</v>
          </cell>
          <cell r="C594" t="str">
            <v>doublehwang</v>
          </cell>
          <cell r="D594" t="str">
            <v>白起</v>
          </cell>
        </row>
        <row r="595">
          <cell r="A595">
            <v>19030</v>
          </cell>
          <cell r="C595" t="str">
            <v>waaaghwang</v>
          </cell>
          <cell r="D595" t="str">
            <v>秦琼</v>
          </cell>
        </row>
        <row r="596">
          <cell r="A596">
            <v>19031</v>
          </cell>
          <cell r="C596" t="str">
            <v>waaaghwang</v>
          </cell>
          <cell r="D596" t="str">
            <v>尉迟恭</v>
          </cell>
        </row>
        <row r="597">
          <cell r="A597">
            <v>19032</v>
          </cell>
          <cell r="C597" t="str">
            <v>waaaghwang</v>
          </cell>
          <cell r="D597" t="str">
            <v>阿提拉</v>
          </cell>
        </row>
        <row r="598">
          <cell r="A598">
            <v>19033</v>
          </cell>
          <cell r="C598" t="str">
            <v>waaaghwang</v>
          </cell>
          <cell r="D598" t="str">
            <v>诸葛亮</v>
          </cell>
        </row>
        <row r="599">
          <cell r="A599">
            <v>19034</v>
          </cell>
          <cell r="C599" t="str">
            <v>waaaghwang</v>
          </cell>
          <cell r="D599" t="str">
            <v>屋大维</v>
          </cell>
        </row>
        <row r="600">
          <cell r="A600">
            <v>19035</v>
          </cell>
          <cell r="C600" t="str">
            <v>doublehwang</v>
          </cell>
          <cell r="D600" t="str">
            <v>韩信</v>
          </cell>
        </row>
        <row r="601">
          <cell r="A601">
            <v>19036</v>
          </cell>
          <cell r="C601" t="str">
            <v>jackjxzhang</v>
          </cell>
          <cell r="D601" t="str">
            <v>安德莉娅</v>
          </cell>
        </row>
        <row r="602">
          <cell r="A602">
            <v>19037</v>
          </cell>
          <cell r="C602" t="str">
            <v>doublehwang</v>
          </cell>
          <cell r="D602" t="str">
            <v>吕布</v>
          </cell>
        </row>
        <row r="603">
          <cell r="A603">
            <v>19038</v>
          </cell>
          <cell r="C603" t="str">
            <v>aldenqiu</v>
          </cell>
          <cell r="D603" t="str">
            <v>貂蝉</v>
          </cell>
        </row>
        <row r="604">
          <cell r="A604">
            <v>19039</v>
          </cell>
          <cell r="C604" t="str">
            <v>aldenqiu</v>
          </cell>
          <cell r="D604" t="str">
            <v>李白</v>
          </cell>
        </row>
        <row r="605">
          <cell r="A605">
            <v>19040</v>
          </cell>
          <cell r="C605" t="str">
            <v>doublehwang</v>
          </cell>
          <cell r="D605" t="str">
            <v>孙尚香</v>
          </cell>
        </row>
        <row r="606">
          <cell r="A606">
            <v>19041</v>
          </cell>
          <cell r="C606" t="str">
            <v>doublehwang</v>
          </cell>
          <cell r="D606" t="str">
            <v>查理曼大帝</v>
          </cell>
        </row>
        <row r="607">
          <cell r="A607">
            <v>19042</v>
          </cell>
          <cell r="C607" t="str">
            <v>aldenqiu</v>
          </cell>
          <cell r="D607" t="str">
            <v>理查一世</v>
          </cell>
        </row>
        <row r="608">
          <cell r="A608">
            <v>19043</v>
          </cell>
          <cell r="C608" t="str">
            <v>doublehwang</v>
          </cell>
          <cell r="D608" t="str">
            <v>樊梨花</v>
          </cell>
        </row>
        <row r="609">
          <cell r="A609">
            <v>19044</v>
          </cell>
          <cell r="C609" t="str">
            <v>doublehwang</v>
          </cell>
          <cell r="D609" t="str">
            <v>左慈</v>
          </cell>
        </row>
        <row r="610">
          <cell r="A610">
            <v>19045</v>
          </cell>
          <cell r="C610" t="str">
            <v>doublehwang</v>
          </cell>
          <cell r="D610" t="str">
            <v>马超</v>
          </cell>
        </row>
        <row r="611">
          <cell r="A611">
            <v>19046</v>
          </cell>
          <cell r="C611" t="str">
            <v>aldenqiu</v>
          </cell>
          <cell r="D611" t="str">
            <v>妇好</v>
          </cell>
        </row>
        <row r="612">
          <cell r="A612">
            <v>19047</v>
          </cell>
          <cell r="C612" t="str">
            <v>doublehwang</v>
          </cell>
          <cell r="D612" t="str">
            <v>熙德</v>
          </cell>
        </row>
        <row r="613">
          <cell r="A613">
            <v>19048</v>
          </cell>
          <cell r="C613" t="str">
            <v>aldenqiu</v>
          </cell>
          <cell r="D613" t="str">
            <v>李广</v>
          </cell>
        </row>
        <row r="614">
          <cell r="A614">
            <v>19049</v>
          </cell>
          <cell r="C614" t="str">
            <v>aldenqiu</v>
          </cell>
          <cell r="D614" t="str">
            <v>蒙特祖玛一世</v>
          </cell>
        </row>
        <row r="615">
          <cell r="A615">
            <v>19050</v>
          </cell>
          <cell r="C615" t="str">
            <v>aldenqiu</v>
          </cell>
          <cell r="D615" t="str">
            <v>李元霸</v>
          </cell>
        </row>
        <row r="616">
          <cell r="A616">
            <v>19051</v>
          </cell>
          <cell r="C616" t="str">
            <v>doublehwang</v>
          </cell>
          <cell r="D616" t="str">
            <v>司马懿</v>
          </cell>
        </row>
        <row r="617">
          <cell r="A617">
            <v>19052</v>
          </cell>
          <cell r="C617" t="str">
            <v>doublehwang</v>
          </cell>
          <cell r="D617" t="str">
            <v>芈月</v>
          </cell>
        </row>
        <row r="618">
          <cell r="A618">
            <v>19053</v>
          </cell>
          <cell r="C618" t="str">
            <v>aldenqiu</v>
          </cell>
          <cell r="D618" t="str">
            <v>张飞</v>
          </cell>
        </row>
        <row r="619">
          <cell r="A619">
            <v>19054</v>
          </cell>
          <cell r="C619" t="str">
            <v>doublehwang</v>
          </cell>
          <cell r="D619" t="str">
            <v>鬼谷子</v>
          </cell>
        </row>
        <row r="620">
          <cell r="A620">
            <v>19055</v>
          </cell>
          <cell r="C620" t="str">
            <v>aldenqiu</v>
          </cell>
          <cell r="D620" t="str">
            <v>大卫王</v>
          </cell>
        </row>
        <row r="621">
          <cell r="A621">
            <v>19056</v>
          </cell>
          <cell r="C621" t="str">
            <v>aldenqiu</v>
          </cell>
          <cell r="D621" t="str">
            <v>哈拉尔</v>
          </cell>
        </row>
        <row r="622">
          <cell r="A622">
            <v>19057</v>
          </cell>
          <cell r="C622" t="str">
            <v>doublehwang</v>
          </cell>
          <cell r="D622" t="str">
            <v>SP赵云</v>
          </cell>
        </row>
        <row r="623">
          <cell r="A623">
            <v>19058</v>
          </cell>
          <cell r="C623" t="str">
            <v>aldenqiu</v>
          </cell>
          <cell r="D623" t="str">
            <v>廉颇</v>
          </cell>
        </row>
        <row r="624">
          <cell r="A624">
            <v>19059</v>
          </cell>
          <cell r="C624" t="str">
            <v>doublehwang</v>
          </cell>
          <cell r="D624" t="str">
            <v>张良</v>
          </cell>
        </row>
        <row r="625">
          <cell r="A625">
            <v>19060</v>
          </cell>
          <cell r="C625" t="str">
            <v>doublehwang</v>
          </cell>
          <cell r="D625" t="str">
            <v>秦良玉</v>
          </cell>
        </row>
        <row r="626">
          <cell r="A626">
            <v>19061</v>
          </cell>
          <cell r="C626" t="str">
            <v>yanhaoyhli</v>
          </cell>
          <cell r="D626" t="str">
            <v>汉谟拉比</v>
          </cell>
        </row>
        <row r="627">
          <cell r="A627">
            <v>19062</v>
          </cell>
          <cell r="C627" t="str">
            <v>aldenqiu</v>
          </cell>
          <cell r="D627" t="str">
            <v>狄奥多拉</v>
          </cell>
        </row>
        <row r="628">
          <cell r="A628">
            <v>19063</v>
          </cell>
          <cell r="C628" t="str">
            <v>yanhaoyhli</v>
          </cell>
          <cell r="D628" t="str">
            <v>哈立德</v>
          </cell>
        </row>
        <row r="629">
          <cell r="A629">
            <v>19064</v>
          </cell>
          <cell r="C629" t="str">
            <v>yanhaoyhli</v>
          </cell>
          <cell r="D629" t="str">
            <v>示巴女王</v>
          </cell>
        </row>
        <row r="630">
          <cell r="A630">
            <v>19075</v>
          </cell>
          <cell r="C630" t="str">
            <v>yanhaoyhli</v>
          </cell>
          <cell r="D630" t="str">
            <v>阿育王</v>
          </cell>
        </row>
        <row r="631">
          <cell r="A631">
            <v>19076</v>
          </cell>
          <cell r="C631" t="str">
            <v>yanhaoyhli</v>
          </cell>
          <cell r="D631" t="str">
            <v>杜加瓦蒂</v>
          </cell>
        </row>
        <row r="632">
          <cell r="A632">
            <v>19201</v>
          </cell>
          <cell r="C632" t="str">
            <v>waaaghwang</v>
          </cell>
          <cell r="D632" t="str">
            <v>李道玄信物</v>
          </cell>
        </row>
        <row r="633">
          <cell r="A633">
            <v>19202</v>
          </cell>
          <cell r="C633" t="str">
            <v>waaaghwang</v>
          </cell>
          <cell r="D633" t="str">
            <v>纳尔西斯信物</v>
          </cell>
        </row>
        <row r="634">
          <cell r="A634">
            <v>19203</v>
          </cell>
          <cell r="C634" t="str">
            <v>waaaghwang</v>
          </cell>
          <cell r="D634" t="str">
            <v>雷欧信物</v>
          </cell>
        </row>
        <row r="635">
          <cell r="A635">
            <v>19204</v>
          </cell>
          <cell r="C635" t="str">
            <v>waaaghwang</v>
          </cell>
          <cell r="D635" t="str">
            <v>莱昂信物</v>
          </cell>
        </row>
        <row r="636">
          <cell r="A636">
            <v>19205</v>
          </cell>
          <cell r="C636" t="str">
            <v>waaaghwang</v>
          </cell>
          <cell r="D636" t="str">
            <v>巴尔达斯信物</v>
          </cell>
        </row>
        <row r="637">
          <cell r="A637">
            <v>19206</v>
          </cell>
          <cell r="C637" t="str">
            <v>waaaghwang</v>
          </cell>
          <cell r="D637" t="str">
            <v>阿克塞尔信物</v>
          </cell>
        </row>
        <row r="638">
          <cell r="A638">
            <v>19207</v>
          </cell>
          <cell r="C638" t="str">
            <v>waaaghwang</v>
          </cell>
          <cell r="D638" t="str">
            <v>武威信物</v>
          </cell>
        </row>
        <row r="639">
          <cell r="A639">
            <v>19208</v>
          </cell>
          <cell r="C639" t="str">
            <v>waaaghwang</v>
          </cell>
          <cell r="D639" t="str">
            <v>崔如意信物</v>
          </cell>
        </row>
        <row r="640">
          <cell r="A640">
            <v>19209</v>
          </cell>
          <cell r="C640" t="str">
            <v>waaaghwang</v>
          </cell>
          <cell r="D640" t="str">
            <v>尼诺信物</v>
          </cell>
        </row>
        <row r="641">
          <cell r="A641">
            <v>19210</v>
          </cell>
          <cell r="C641" t="str">
            <v>doublehwang</v>
          </cell>
          <cell r="D641" t="str">
            <v>克洛特信物</v>
          </cell>
        </row>
        <row r="642">
          <cell r="A642">
            <v>19211</v>
          </cell>
          <cell r="C642" t="str">
            <v>doublehwang</v>
          </cell>
          <cell r="D642" t="str">
            <v>高猛信物</v>
          </cell>
        </row>
        <row r="643">
          <cell r="A643">
            <v>19212</v>
          </cell>
          <cell r="C643" t="str">
            <v>joestarzhao</v>
          </cell>
          <cell r="D643" t="str">
            <v>袁夏信物</v>
          </cell>
        </row>
        <row r="644">
          <cell r="A644">
            <v>19213</v>
          </cell>
          <cell r="C644" t="str">
            <v>doublehwang</v>
          </cell>
          <cell r="D644" t="str">
            <v>泰尼乌斯</v>
          </cell>
        </row>
        <row r="645">
          <cell r="A645">
            <v>19214</v>
          </cell>
          <cell r="C645" t="str">
            <v>doublehwang</v>
          </cell>
          <cell r="D645" t="str">
            <v>加图斯</v>
          </cell>
        </row>
        <row r="646">
          <cell r="A646">
            <v>19215</v>
          </cell>
          <cell r="C646" t="str">
            <v>aldenqiu</v>
          </cell>
          <cell r="D646" t="str">
            <v>凯索</v>
          </cell>
        </row>
        <row r="647">
          <cell r="A647">
            <v>19216</v>
          </cell>
          <cell r="C647" t="str">
            <v>aldenqiu</v>
          </cell>
          <cell r="D647" t="str">
            <v>卢基</v>
          </cell>
        </row>
        <row r="648">
          <cell r="A648">
            <v>119001</v>
          </cell>
          <cell r="C648" t="str">
            <v>yanhaoyhli</v>
          </cell>
          <cell r="D648" t="str">
            <v>贞德</v>
          </cell>
        </row>
        <row r="649">
          <cell r="A649">
            <v>119002</v>
          </cell>
          <cell r="C649" t="str">
            <v>yanhaoyhli</v>
          </cell>
          <cell r="D649" t="str">
            <v>织田信长</v>
          </cell>
        </row>
        <row r="650">
          <cell r="A650">
            <v>119003</v>
          </cell>
          <cell r="C650" t="str">
            <v>yanhaoyhli</v>
          </cell>
          <cell r="D650" t="str">
            <v>凯撒</v>
          </cell>
        </row>
        <row r="651">
          <cell r="A651">
            <v>119004</v>
          </cell>
          <cell r="C651" t="str">
            <v>yanhaoyhli</v>
          </cell>
          <cell r="D651" t="str">
            <v>克里奥帕特拉</v>
          </cell>
        </row>
        <row r="652">
          <cell r="A652">
            <v>119005</v>
          </cell>
          <cell r="C652" t="str">
            <v>yanhaoyhli</v>
          </cell>
          <cell r="D652" t="str">
            <v>关羽</v>
          </cell>
        </row>
        <row r="653">
          <cell r="A653">
            <v>119006</v>
          </cell>
          <cell r="C653" t="str">
            <v>yanhaoyhli</v>
          </cell>
          <cell r="D653" t="str">
            <v>亨利五世</v>
          </cell>
        </row>
        <row r="654">
          <cell r="A654">
            <v>119007</v>
          </cell>
          <cell r="C654" t="str">
            <v>yanhaoyhli</v>
          </cell>
          <cell r="D654" t="str">
            <v>项羽</v>
          </cell>
        </row>
        <row r="655">
          <cell r="A655">
            <v>119008</v>
          </cell>
          <cell r="C655" t="str">
            <v>yanhaoyhli</v>
          </cell>
          <cell r="D655" t="str">
            <v>君士坦丁大帝</v>
          </cell>
        </row>
        <row r="656">
          <cell r="A656">
            <v>119009</v>
          </cell>
          <cell r="C656" t="str">
            <v>yanhaoyhli</v>
          </cell>
          <cell r="D656" t="str">
            <v>花木兰</v>
          </cell>
        </row>
        <row r="657">
          <cell r="A657">
            <v>119010</v>
          </cell>
          <cell r="C657" t="str">
            <v>yanhaoyhli</v>
          </cell>
          <cell r="D657" t="str">
            <v>查士丁尼一世</v>
          </cell>
        </row>
        <row r="658">
          <cell r="A658">
            <v>119011</v>
          </cell>
          <cell r="C658" t="str">
            <v>yanhaoyhli</v>
          </cell>
          <cell r="D658" t="str">
            <v>布狄卡</v>
          </cell>
        </row>
        <row r="659">
          <cell r="A659">
            <v>119012</v>
          </cell>
          <cell r="C659" t="str">
            <v>yanhaoyhli</v>
          </cell>
          <cell r="D659" t="str">
            <v>萨拉丁</v>
          </cell>
        </row>
        <row r="660">
          <cell r="A660">
            <v>119013</v>
          </cell>
          <cell r="C660" t="str">
            <v>yanhaoyhli</v>
          </cell>
          <cell r="D660" t="str">
            <v>列奥尼达一世</v>
          </cell>
        </row>
        <row r="661">
          <cell r="A661">
            <v>119014</v>
          </cell>
          <cell r="C661" t="str">
            <v>yanhaoyhli</v>
          </cell>
          <cell r="D661" t="str">
            <v>孙武</v>
          </cell>
        </row>
        <row r="662">
          <cell r="A662">
            <v>119015</v>
          </cell>
          <cell r="C662" t="str">
            <v>yanhaoyhli</v>
          </cell>
          <cell r="D662" t="str">
            <v>武则天</v>
          </cell>
        </row>
        <row r="663">
          <cell r="A663">
            <v>119016</v>
          </cell>
          <cell r="C663" t="str">
            <v>yanhaoyhli</v>
          </cell>
          <cell r="D663" t="str">
            <v>腓力四世</v>
          </cell>
        </row>
        <row r="664">
          <cell r="A664">
            <v>119017</v>
          </cell>
          <cell r="C664" t="str">
            <v>yanhaoyhli</v>
          </cell>
          <cell r="D664" t="str">
            <v>巴巴罗萨</v>
          </cell>
        </row>
        <row r="665">
          <cell r="A665">
            <v>119018</v>
          </cell>
          <cell r="C665" t="str">
            <v>yanhaoyhli</v>
          </cell>
          <cell r="D665" t="str">
            <v>曹操</v>
          </cell>
        </row>
        <row r="666">
          <cell r="A666">
            <v>119019</v>
          </cell>
          <cell r="C666" t="str">
            <v>yanhaoyhli</v>
          </cell>
          <cell r="D666" t="str">
            <v>大流士一世</v>
          </cell>
        </row>
        <row r="667">
          <cell r="A667">
            <v>119020</v>
          </cell>
          <cell r="C667" t="str">
            <v>yanhaoyhli</v>
          </cell>
          <cell r="D667" t="str">
            <v>李舜臣</v>
          </cell>
        </row>
        <row r="668">
          <cell r="A668">
            <v>119021</v>
          </cell>
          <cell r="C668" t="str">
            <v>yanhaoyhli</v>
          </cell>
          <cell r="D668" t="str">
            <v>亚瑟王</v>
          </cell>
        </row>
        <row r="669">
          <cell r="A669">
            <v>119022</v>
          </cell>
          <cell r="C669" t="str">
            <v>yanhaoyhli</v>
          </cell>
          <cell r="D669" t="str">
            <v>亚历山大大帝</v>
          </cell>
        </row>
        <row r="670">
          <cell r="A670">
            <v>119023</v>
          </cell>
          <cell r="C670" t="str">
            <v>yanhaoyhli</v>
          </cell>
          <cell r="D670" t="str">
            <v>汉尼拔</v>
          </cell>
        </row>
        <row r="671">
          <cell r="A671">
            <v>119024</v>
          </cell>
          <cell r="C671" t="str">
            <v>yanhaoyhli</v>
          </cell>
          <cell r="D671" t="str">
            <v>黄月英</v>
          </cell>
        </row>
        <row r="672">
          <cell r="A672">
            <v>119025</v>
          </cell>
          <cell r="C672" t="str">
            <v>yanhaoyhli</v>
          </cell>
          <cell r="D672" t="str">
            <v>穆桂英</v>
          </cell>
        </row>
        <row r="673">
          <cell r="A673">
            <v>119026</v>
          </cell>
          <cell r="C673" t="str">
            <v>yanhaoyhli</v>
          </cell>
          <cell r="D673" t="str">
            <v>赵云</v>
          </cell>
        </row>
        <row r="674">
          <cell r="A674">
            <v>119027</v>
          </cell>
          <cell r="C674" t="str">
            <v>yanhaoyhli</v>
          </cell>
          <cell r="D674" t="str">
            <v>兰陵王</v>
          </cell>
        </row>
        <row r="675">
          <cell r="A675">
            <v>119028</v>
          </cell>
          <cell r="C675" t="str">
            <v>yanhaoyhli</v>
          </cell>
          <cell r="D675" t="str">
            <v>虞姬</v>
          </cell>
        </row>
        <row r="676">
          <cell r="A676">
            <v>119029</v>
          </cell>
          <cell r="C676" t="str">
            <v>yanhaoyhli</v>
          </cell>
          <cell r="D676" t="str">
            <v>白起</v>
          </cell>
        </row>
        <row r="677">
          <cell r="A677">
            <v>119030</v>
          </cell>
          <cell r="C677" t="str">
            <v>yanhaoyhli</v>
          </cell>
          <cell r="D677" t="str">
            <v>秦琼</v>
          </cell>
        </row>
        <row r="678">
          <cell r="A678">
            <v>119031</v>
          </cell>
          <cell r="C678" t="str">
            <v>yanhaoyhli</v>
          </cell>
          <cell r="D678" t="str">
            <v>尉迟恭</v>
          </cell>
        </row>
        <row r="679">
          <cell r="A679">
            <v>119032</v>
          </cell>
          <cell r="C679" t="str">
            <v>yanhaoyhli</v>
          </cell>
          <cell r="D679" t="str">
            <v>阿提拉</v>
          </cell>
        </row>
        <row r="680">
          <cell r="A680">
            <v>119033</v>
          </cell>
          <cell r="C680" t="str">
            <v>yanhaoyhli</v>
          </cell>
          <cell r="D680" t="str">
            <v>诸葛亮</v>
          </cell>
        </row>
        <row r="681">
          <cell r="A681">
            <v>119034</v>
          </cell>
          <cell r="C681" t="str">
            <v>yanhaoyhli</v>
          </cell>
          <cell r="D681" t="str">
            <v>屋大维</v>
          </cell>
        </row>
        <row r="682">
          <cell r="A682">
            <v>119035</v>
          </cell>
          <cell r="C682" t="str">
            <v>yanhaoyhli</v>
          </cell>
          <cell r="D682" t="str">
            <v>韩信</v>
          </cell>
        </row>
        <row r="683">
          <cell r="A683">
            <v>119036</v>
          </cell>
          <cell r="C683" t="str">
            <v>yanhaoyhli</v>
          </cell>
          <cell r="D683" t="str">
            <v>安德莉娅</v>
          </cell>
        </row>
        <row r="684">
          <cell r="A684">
            <v>119037</v>
          </cell>
          <cell r="C684" t="str">
            <v>yanhaoyhli</v>
          </cell>
          <cell r="D684" t="str">
            <v>吕布</v>
          </cell>
        </row>
        <row r="685">
          <cell r="A685">
            <v>119038</v>
          </cell>
          <cell r="C685" t="str">
            <v>yanhaoyhli</v>
          </cell>
          <cell r="D685" t="str">
            <v>貂蝉</v>
          </cell>
        </row>
        <row r="686">
          <cell r="A686">
            <v>119039</v>
          </cell>
          <cell r="C686" t="str">
            <v>yanhaoyhli</v>
          </cell>
          <cell r="D686" t="str">
            <v>李白</v>
          </cell>
        </row>
        <row r="687">
          <cell r="A687">
            <v>119040</v>
          </cell>
          <cell r="C687" t="str">
            <v>yanhaoyhli</v>
          </cell>
          <cell r="D687" t="str">
            <v>孙尚香</v>
          </cell>
        </row>
        <row r="688">
          <cell r="A688">
            <v>119041</v>
          </cell>
          <cell r="C688" t="str">
            <v>yanhaoyhli</v>
          </cell>
          <cell r="D688" t="str">
            <v>查理曼大帝</v>
          </cell>
        </row>
        <row r="689">
          <cell r="A689">
            <v>119042</v>
          </cell>
          <cell r="C689" t="str">
            <v>yanhaoyhli</v>
          </cell>
          <cell r="D689" t="str">
            <v>理查一世</v>
          </cell>
        </row>
        <row r="690">
          <cell r="A690">
            <v>119043</v>
          </cell>
          <cell r="C690" t="str">
            <v>yanhaoyhli</v>
          </cell>
          <cell r="D690" t="str">
            <v>樊梨花</v>
          </cell>
        </row>
        <row r="691">
          <cell r="A691">
            <v>119044</v>
          </cell>
          <cell r="C691" t="str">
            <v>yanhaoyhli</v>
          </cell>
          <cell r="D691" t="str">
            <v>左慈</v>
          </cell>
        </row>
        <row r="692">
          <cell r="A692">
            <v>119045</v>
          </cell>
          <cell r="C692" t="str">
            <v>yanhaoyhli</v>
          </cell>
          <cell r="D692" t="str">
            <v>马超</v>
          </cell>
        </row>
        <row r="693">
          <cell r="A693">
            <v>119046</v>
          </cell>
          <cell r="C693" t="str">
            <v>yanhaoyhli</v>
          </cell>
          <cell r="D693" t="str">
            <v>妇好</v>
          </cell>
        </row>
        <row r="694">
          <cell r="A694">
            <v>119047</v>
          </cell>
          <cell r="C694" t="str">
            <v>yanhaoyhli</v>
          </cell>
          <cell r="D694" t="str">
            <v>熙德</v>
          </cell>
        </row>
        <row r="695">
          <cell r="A695">
            <v>119048</v>
          </cell>
          <cell r="C695" t="str">
            <v>yanhaoyhli</v>
          </cell>
          <cell r="D695" t="str">
            <v>李广</v>
          </cell>
        </row>
        <row r="696">
          <cell r="A696">
            <v>119049</v>
          </cell>
          <cell r="C696" t="str">
            <v>yanhaoyhli</v>
          </cell>
          <cell r="D696" t="str">
            <v>蒙特祖玛一世</v>
          </cell>
        </row>
        <row r="697">
          <cell r="A697">
            <v>119050</v>
          </cell>
          <cell r="C697" t="str">
            <v>yanhaoyhli</v>
          </cell>
          <cell r="D697" t="str">
            <v>李元霸</v>
          </cell>
        </row>
        <row r="698">
          <cell r="A698">
            <v>119051</v>
          </cell>
          <cell r="C698" t="str">
            <v>yanhaoyhli</v>
          </cell>
          <cell r="D698" t="str">
            <v>司马懿</v>
          </cell>
        </row>
        <row r="699">
          <cell r="A699">
            <v>119052</v>
          </cell>
          <cell r="C699" t="str">
            <v>yanhaoyhli</v>
          </cell>
          <cell r="D699" t="str">
            <v>芈月</v>
          </cell>
        </row>
        <row r="700">
          <cell r="A700">
            <v>119053</v>
          </cell>
          <cell r="C700" t="str">
            <v>yanhaoyhli</v>
          </cell>
          <cell r="D700" t="str">
            <v>张飞</v>
          </cell>
        </row>
        <row r="701">
          <cell r="A701">
            <v>119054</v>
          </cell>
          <cell r="C701" t="str">
            <v>yanhaoyhli</v>
          </cell>
          <cell r="D701" t="str">
            <v>鬼谷子</v>
          </cell>
        </row>
        <row r="702">
          <cell r="A702">
            <v>119055</v>
          </cell>
          <cell r="C702" t="str">
            <v>yanhaoyhli</v>
          </cell>
          <cell r="D702" t="str">
            <v>大卫王</v>
          </cell>
        </row>
        <row r="703">
          <cell r="A703">
            <v>119056</v>
          </cell>
          <cell r="C703" t="str">
            <v>yanhaoyhli</v>
          </cell>
          <cell r="D703" t="str">
            <v>哈拉尔</v>
          </cell>
        </row>
        <row r="704">
          <cell r="A704">
            <v>119057</v>
          </cell>
          <cell r="C704" t="str">
            <v>yanhaoyhli</v>
          </cell>
          <cell r="D704" t="str">
            <v>SP赵云</v>
          </cell>
        </row>
        <row r="705">
          <cell r="A705">
            <v>119058</v>
          </cell>
          <cell r="C705" t="str">
            <v>yanhaoyhli</v>
          </cell>
          <cell r="D705" t="str">
            <v>廉颇</v>
          </cell>
        </row>
        <row r="706">
          <cell r="A706">
            <v>119059</v>
          </cell>
          <cell r="C706" t="str">
            <v>yanhaoyhli</v>
          </cell>
          <cell r="D706" t="str">
            <v>张良</v>
          </cell>
        </row>
        <row r="707">
          <cell r="A707">
            <v>119060</v>
          </cell>
          <cell r="C707" t="str">
            <v>yanhaoyhli</v>
          </cell>
          <cell r="D707" t="str">
            <v>秦良玉</v>
          </cell>
        </row>
        <row r="708">
          <cell r="A708">
            <v>119061</v>
          </cell>
          <cell r="C708" t="str">
            <v>yanhaoyhli</v>
          </cell>
          <cell r="D708" t="str">
            <v>汉谟拉比</v>
          </cell>
        </row>
        <row r="709">
          <cell r="A709">
            <v>119062</v>
          </cell>
          <cell r="C709" t="str">
            <v>yanhaoyhli</v>
          </cell>
          <cell r="D709" t="str">
            <v>狄奥多拉</v>
          </cell>
        </row>
        <row r="710">
          <cell r="A710">
            <v>119063</v>
          </cell>
          <cell r="C710" t="str">
            <v>yanhaoyhli</v>
          </cell>
          <cell r="D710" t="str">
            <v>哈立德</v>
          </cell>
        </row>
        <row r="711">
          <cell r="A711">
            <v>119064</v>
          </cell>
          <cell r="C711" t="str">
            <v>yanhaoyhli</v>
          </cell>
          <cell r="D711" t="str">
            <v>示巴女王</v>
          </cell>
        </row>
        <row r="712">
          <cell r="A712">
            <v>119075</v>
          </cell>
          <cell r="C712" t="str">
            <v>yanhaoyhli</v>
          </cell>
          <cell r="D712" t="str">
            <v>阿育王</v>
          </cell>
        </row>
        <row r="713">
          <cell r="A713">
            <v>119076</v>
          </cell>
          <cell r="C713" t="str">
            <v>yanhaoyhli</v>
          </cell>
          <cell r="D713" t="str">
            <v>杜加瓦蒂</v>
          </cell>
        </row>
        <row r="714">
          <cell r="A714">
            <v>119201</v>
          </cell>
          <cell r="C714" t="str">
            <v>yanhaoyhli</v>
          </cell>
          <cell r="D714" t="str">
            <v>李道玄信物</v>
          </cell>
        </row>
        <row r="715">
          <cell r="A715">
            <v>119202</v>
          </cell>
          <cell r="C715" t="str">
            <v>yanhaoyhli</v>
          </cell>
          <cell r="D715" t="str">
            <v>纳尔西斯信物</v>
          </cell>
        </row>
        <row r="716">
          <cell r="A716">
            <v>119203</v>
          </cell>
          <cell r="C716" t="str">
            <v>yanhaoyhli</v>
          </cell>
          <cell r="D716" t="str">
            <v>雷欧信物</v>
          </cell>
        </row>
        <row r="717">
          <cell r="A717">
            <v>119204</v>
          </cell>
          <cell r="C717" t="str">
            <v>yanhaoyhli</v>
          </cell>
          <cell r="D717" t="str">
            <v>莱昂信物</v>
          </cell>
        </row>
        <row r="718">
          <cell r="A718">
            <v>119205</v>
          </cell>
          <cell r="C718" t="str">
            <v>yanhaoyhli</v>
          </cell>
          <cell r="D718" t="str">
            <v>巴尔达斯信物</v>
          </cell>
        </row>
        <row r="719">
          <cell r="A719">
            <v>119206</v>
          </cell>
          <cell r="C719" t="str">
            <v>yanhaoyhli</v>
          </cell>
          <cell r="D719" t="str">
            <v>阿克塞尔信物</v>
          </cell>
        </row>
        <row r="720">
          <cell r="A720">
            <v>119207</v>
          </cell>
          <cell r="C720" t="str">
            <v>yanhaoyhli</v>
          </cell>
          <cell r="D720" t="str">
            <v>武威信物</v>
          </cell>
        </row>
        <row r="721">
          <cell r="A721">
            <v>119208</v>
          </cell>
          <cell r="C721" t="str">
            <v>yanhaoyhli</v>
          </cell>
          <cell r="D721" t="str">
            <v>崔如意信物</v>
          </cell>
        </row>
        <row r="722">
          <cell r="A722">
            <v>119209</v>
          </cell>
          <cell r="C722" t="str">
            <v>yanhaoyhli</v>
          </cell>
          <cell r="D722" t="str">
            <v>尼诺信物</v>
          </cell>
        </row>
        <row r="723">
          <cell r="A723">
            <v>119210</v>
          </cell>
          <cell r="C723" t="str">
            <v>yanhaoyhli</v>
          </cell>
          <cell r="D723" t="str">
            <v>克洛特信物</v>
          </cell>
        </row>
        <row r="724">
          <cell r="A724">
            <v>119211</v>
          </cell>
          <cell r="C724" t="str">
            <v>yanhaoyhli</v>
          </cell>
          <cell r="D724" t="str">
            <v>高猛信物</v>
          </cell>
        </row>
        <row r="725">
          <cell r="A725">
            <v>119212</v>
          </cell>
          <cell r="C725" t="str">
            <v>yanhaoyhli</v>
          </cell>
          <cell r="D725" t="str">
            <v>袁夏信物</v>
          </cell>
        </row>
        <row r="726">
          <cell r="A726">
            <v>119213</v>
          </cell>
          <cell r="C726" t="str">
            <v>yanhaoyhli</v>
          </cell>
          <cell r="D726" t="str">
            <v>泰尼乌斯</v>
          </cell>
        </row>
        <row r="727">
          <cell r="A727">
            <v>119214</v>
          </cell>
          <cell r="C727" t="str">
            <v>yanhaoyhli</v>
          </cell>
          <cell r="D727" t="str">
            <v>加图斯</v>
          </cell>
        </row>
        <row r="728">
          <cell r="A728">
            <v>119215</v>
          </cell>
          <cell r="C728" t="str">
            <v>yanhaoyhli</v>
          </cell>
          <cell r="D728" t="str">
            <v>凯索</v>
          </cell>
        </row>
        <row r="729">
          <cell r="A729">
            <v>119216</v>
          </cell>
          <cell r="C729" t="str">
            <v>yanhaoyhli</v>
          </cell>
          <cell r="D729" t="str">
            <v>卢基</v>
          </cell>
        </row>
        <row r="730">
          <cell r="A730">
            <v>20000</v>
          </cell>
          <cell r="C730" t="str">
            <v>waaaghwang</v>
          </cell>
          <cell r="D730" t="str">
            <v>技能点1</v>
          </cell>
        </row>
        <row r="731">
          <cell r="A731">
            <v>20001</v>
          </cell>
          <cell r="C731" t="str">
            <v>waaaghwang</v>
          </cell>
          <cell r="D731" t="str">
            <v>火球轰击</v>
          </cell>
        </row>
        <row r="732">
          <cell r="A732">
            <v>20002</v>
          </cell>
          <cell r="C732" t="str">
            <v>waaaghwang</v>
          </cell>
          <cell r="D732" t="str">
            <v>巨石冲击</v>
          </cell>
        </row>
        <row r="733">
          <cell r="A733">
            <v>20003</v>
          </cell>
          <cell r="C733" t="str">
            <v>waaaghwang</v>
          </cell>
          <cell r="D733" t="str">
            <v>攻城大师</v>
          </cell>
        </row>
        <row r="734">
          <cell r="A734">
            <v>20004</v>
          </cell>
          <cell r="C734" t="str">
            <v>waaaghwang</v>
          </cell>
          <cell r="D734" t="str">
            <v>迸裂</v>
          </cell>
        </row>
        <row r="735">
          <cell r="A735">
            <v>20005</v>
          </cell>
          <cell r="C735" t="str">
            <v>waaaghwang</v>
          </cell>
          <cell r="D735" t="str">
            <v>怒火猛攻</v>
          </cell>
        </row>
        <row r="736">
          <cell r="A736">
            <v>20006</v>
          </cell>
          <cell r="C736" t="str">
            <v>waaaghwang</v>
          </cell>
          <cell r="D736" t="str">
            <v>风卷残云</v>
          </cell>
        </row>
        <row r="737">
          <cell r="A737">
            <v>20007</v>
          </cell>
          <cell r="C737" t="str">
            <v>waaaghwang</v>
          </cell>
          <cell r="D737" t="str">
            <v>天地无双斩</v>
          </cell>
        </row>
        <row r="738">
          <cell r="A738">
            <v>20008</v>
          </cell>
          <cell r="C738" t="str">
            <v>waaaghwang</v>
          </cell>
          <cell r="D738" t="str">
            <v>毁灭的预示</v>
          </cell>
        </row>
        <row r="739">
          <cell r="A739">
            <v>20009</v>
          </cell>
          <cell r="C739" t="str">
            <v>waaaghwang</v>
          </cell>
          <cell r="D739" t="str">
            <v>正义裁决</v>
          </cell>
        </row>
        <row r="740">
          <cell r="A740">
            <v>20010</v>
          </cell>
          <cell r="C740" t="str">
            <v>waaaghwang</v>
          </cell>
          <cell r="D740" t="str">
            <v>恩泽庇护</v>
          </cell>
        </row>
        <row r="741">
          <cell r="A741">
            <v>20011</v>
          </cell>
          <cell r="C741" t="str">
            <v>waaaghwang</v>
          </cell>
          <cell r="D741" t="str">
            <v>光明护佑</v>
          </cell>
        </row>
        <row r="742">
          <cell r="A742">
            <v>20012</v>
          </cell>
          <cell r="C742" t="str">
            <v>waaaghwang</v>
          </cell>
          <cell r="D742" t="str">
            <v>沉默誓言</v>
          </cell>
        </row>
        <row r="743">
          <cell r="A743">
            <v>20013</v>
          </cell>
          <cell r="C743" t="str">
            <v>waaaghwang</v>
          </cell>
          <cell r="D743" t="str">
            <v>三重攻势</v>
          </cell>
        </row>
        <row r="744">
          <cell r="A744">
            <v>20014</v>
          </cell>
          <cell r="C744" t="str">
            <v>waaaghwang</v>
          </cell>
          <cell r="D744" t="str">
            <v>命运操弄</v>
          </cell>
        </row>
        <row r="745">
          <cell r="A745">
            <v>20015</v>
          </cell>
          <cell r="C745" t="str">
            <v>waaaghwang</v>
          </cell>
          <cell r="D745" t="str">
            <v>战争祝福</v>
          </cell>
        </row>
        <row r="746">
          <cell r="A746">
            <v>20016</v>
          </cell>
          <cell r="C746" t="str">
            <v>waaaghwang</v>
          </cell>
          <cell r="D746" t="str">
            <v>军神赠礼</v>
          </cell>
        </row>
        <row r="747">
          <cell r="A747">
            <v>20017</v>
          </cell>
          <cell r="C747" t="str">
            <v>waaaghwang</v>
          </cell>
          <cell r="D747" t="str">
            <v>名门之后</v>
          </cell>
        </row>
        <row r="748">
          <cell r="A748">
            <v>20018</v>
          </cell>
          <cell r="C748" t="str">
            <v>waaaghwang</v>
          </cell>
          <cell r="D748" t="str">
            <v>战术冲锋</v>
          </cell>
        </row>
        <row r="749">
          <cell r="A749">
            <v>20019</v>
          </cell>
          <cell r="C749" t="str">
            <v>waaaghwang</v>
          </cell>
          <cell r="D749" t="str">
            <v>冲锋的极意</v>
          </cell>
        </row>
        <row r="750">
          <cell r="A750">
            <v>20020</v>
          </cell>
          <cell r="C750" t="str">
            <v>waaaghwang</v>
          </cell>
          <cell r="D750" t="str">
            <v>连击</v>
          </cell>
        </row>
        <row r="751">
          <cell r="A751">
            <v>20021</v>
          </cell>
          <cell r="C751" t="str">
            <v>waaaghwang</v>
          </cell>
          <cell r="D751" t="str">
            <v>丰收祝福</v>
          </cell>
        </row>
        <row r="752">
          <cell r="A752">
            <v>20022</v>
          </cell>
          <cell r="C752" t="str">
            <v>waaaghwang</v>
          </cell>
          <cell r="D752" t="str">
            <v>孤注一掷</v>
          </cell>
        </row>
        <row r="753">
          <cell r="A753">
            <v>20023</v>
          </cell>
          <cell r="C753" t="str">
            <v>waaaghwang</v>
          </cell>
          <cell r="D753" t="str">
            <v>狂怒血脉</v>
          </cell>
        </row>
        <row r="754">
          <cell r="A754">
            <v>20024</v>
          </cell>
          <cell r="C754" t="str">
            <v>waaaghwang</v>
          </cell>
          <cell r="D754" t="str">
            <v>怒不可遏</v>
          </cell>
        </row>
        <row r="755">
          <cell r="A755">
            <v>20025</v>
          </cell>
          <cell r="C755" t="str">
            <v>waaaghwang</v>
          </cell>
          <cell r="D755" t="str">
            <v>钢铁之躯</v>
          </cell>
        </row>
        <row r="756">
          <cell r="A756">
            <v>20026</v>
          </cell>
          <cell r="C756" t="str">
            <v>waaaghwang</v>
          </cell>
          <cell r="D756" t="str">
            <v>破怒斩</v>
          </cell>
        </row>
        <row r="757">
          <cell r="A757">
            <v>20027</v>
          </cell>
          <cell r="C757" t="str">
            <v>waaaghwang</v>
          </cell>
          <cell r="D757" t="str">
            <v>战争狂热</v>
          </cell>
        </row>
        <row r="758">
          <cell r="A758">
            <v>20028</v>
          </cell>
          <cell r="C758" t="str">
            <v>waaaghwang</v>
          </cell>
          <cell r="D758" t="str">
            <v>致命一击</v>
          </cell>
        </row>
        <row r="759">
          <cell r="A759">
            <v>20029</v>
          </cell>
          <cell r="C759" t="str">
            <v>waaaghwang</v>
          </cell>
          <cell r="D759" t="str">
            <v>胜利军规</v>
          </cell>
        </row>
        <row r="760">
          <cell r="A760">
            <v>20030</v>
          </cell>
          <cell r="C760" t="str">
            <v>waaaghwang</v>
          </cell>
          <cell r="D760" t="str">
            <v>怒涛之击</v>
          </cell>
        </row>
        <row r="761">
          <cell r="A761">
            <v>20031</v>
          </cell>
          <cell r="C761" t="str">
            <v>waaaghwang</v>
          </cell>
          <cell r="D761" t="str">
            <v>慈悲终结</v>
          </cell>
        </row>
        <row r="762">
          <cell r="A762">
            <v>20032</v>
          </cell>
          <cell r="C762" t="str">
            <v>waaaghwang</v>
          </cell>
          <cell r="D762" t="str">
            <v>撕裂</v>
          </cell>
        </row>
        <row r="763">
          <cell r="A763">
            <v>20034</v>
          </cell>
          <cell r="C763" t="str">
            <v>waaaghwang</v>
          </cell>
          <cell r="D763" t="str">
            <v>持久战</v>
          </cell>
        </row>
        <row r="764">
          <cell r="A764">
            <v>20035</v>
          </cell>
          <cell r="C764" t="str">
            <v>waaaghwang</v>
          </cell>
          <cell r="D764" t="str">
            <v>惩戒者</v>
          </cell>
        </row>
        <row r="765">
          <cell r="A765">
            <v>20036</v>
          </cell>
          <cell r="C765" t="str">
            <v>waaaghwang</v>
          </cell>
          <cell r="D765" t="str">
            <v>破敌之眼</v>
          </cell>
        </row>
        <row r="766">
          <cell r="A766">
            <v>20037</v>
          </cell>
          <cell r="C766" t="str">
            <v>waaaghwang</v>
          </cell>
          <cell r="D766" t="str">
            <v>反戈一击</v>
          </cell>
        </row>
        <row r="767">
          <cell r="A767">
            <v>20039</v>
          </cell>
          <cell r="C767" t="str">
            <v>waaaghwang</v>
          </cell>
          <cell r="D767" t="str">
            <v>文武双全</v>
          </cell>
        </row>
        <row r="768">
          <cell r="A768">
            <v>20040</v>
          </cell>
          <cell r="C768" t="str">
            <v>waaaghwang</v>
          </cell>
          <cell r="D768" t="str">
            <v>反击</v>
          </cell>
        </row>
        <row r="769">
          <cell r="A769">
            <v>20041</v>
          </cell>
          <cell r="C769" t="str">
            <v>waaaghwang</v>
          </cell>
          <cell r="D769" t="str">
            <v>饥渴之刃</v>
          </cell>
        </row>
        <row r="770">
          <cell r="A770">
            <v>20042</v>
          </cell>
          <cell r="C770" t="str">
            <v>waaaghwang</v>
          </cell>
          <cell r="D770" t="str">
            <v>百战之体</v>
          </cell>
        </row>
        <row r="771">
          <cell r="A771">
            <v>20043</v>
          </cell>
          <cell r="C771" t="str">
            <v>waaaghwang</v>
          </cell>
          <cell r="D771" t="str">
            <v>剑盾突击</v>
          </cell>
        </row>
        <row r="772">
          <cell r="A772">
            <v>20044</v>
          </cell>
          <cell r="C772" t="str">
            <v>waaaghwang</v>
          </cell>
          <cell r="D772" t="str">
            <v>震慑猛击</v>
          </cell>
        </row>
        <row r="773">
          <cell r="A773">
            <v>20045</v>
          </cell>
          <cell r="C773" t="str">
            <v>waaaghwang</v>
          </cell>
          <cell r="D773" t="str">
            <v>不屈信念</v>
          </cell>
        </row>
        <row r="774">
          <cell r="A774">
            <v>20046</v>
          </cell>
          <cell r="C774" t="str">
            <v>waaaghwang</v>
          </cell>
          <cell r="D774" t="str">
            <v>敏锐洞察</v>
          </cell>
        </row>
        <row r="775">
          <cell r="A775">
            <v>20047</v>
          </cell>
          <cell r="C775" t="str">
            <v>waaaghwang</v>
          </cell>
          <cell r="D775" t="str">
            <v>以战养战</v>
          </cell>
        </row>
        <row r="776">
          <cell r="A776">
            <v>20048</v>
          </cell>
          <cell r="C776" t="str">
            <v>waaaghwang</v>
          </cell>
          <cell r="D776" t="str">
            <v>冲击</v>
          </cell>
        </row>
        <row r="777">
          <cell r="A777">
            <v>20049</v>
          </cell>
          <cell r="C777" t="str">
            <v>waaaghwang</v>
          </cell>
          <cell r="D777" t="str">
            <v>休整</v>
          </cell>
        </row>
        <row r="778">
          <cell r="A778">
            <v>20050</v>
          </cell>
          <cell r="C778" t="str">
            <v>waaaghwang</v>
          </cell>
          <cell r="D778" t="str">
            <v>奇袭</v>
          </cell>
        </row>
        <row r="779">
          <cell r="A779">
            <v>20051</v>
          </cell>
          <cell r="C779" t="str">
            <v>waaaghwang</v>
          </cell>
          <cell r="D779" t="str">
            <v>二连斩</v>
          </cell>
        </row>
        <row r="780">
          <cell r="A780">
            <v>20052</v>
          </cell>
          <cell r="B780"/>
          <cell r="C780" t="str">
            <v>waaaghwang</v>
          </cell>
          <cell r="D780" t="str">
            <v>攻城战术</v>
          </cell>
        </row>
        <row r="781">
          <cell r="A781">
            <v>20053</v>
          </cell>
          <cell r="B781"/>
          <cell r="C781" t="str">
            <v>waaaghwang</v>
          </cell>
          <cell r="D781" t="str">
            <v>锐锋</v>
          </cell>
        </row>
        <row r="782">
          <cell r="A782">
            <v>20054</v>
          </cell>
          <cell r="B782"/>
          <cell r="C782" t="str">
            <v>waaaghwang</v>
          </cell>
          <cell r="D782" t="str">
            <v>激怒</v>
          </cell>
        </row>
        <row r="783">
          <cell r="A783">
            <v>20055</v>
          </cell>
          <cell r="B783"/>
          <cell r="C783" t="str">
            <v>waaaghwang</v>
          </cell>
          <cell r="D783" t="str">
            <v>战斗训练</v>
          </cell>
        </row>
        <row r="784">
          <cell r="A784">
            <v>20056</v>
          </cell>
          <cell r="B784"/>
          <cell r="C784" t="str">
            <v>waaaghwang</v>
          </cell>
          <cell r="D784" t="str">
            <v>防守训练</v>
          </cell>
        </row>
        <row r="785">
          <cell r="A785">
            <v>20057</v>
          </cell>
          <cell r="B785"/>
          <cell r="C785" t="str">
            <v>waaaghwang</v>
          </cell>
          <cell r="D785" t="str">
            <v>谋略训练</v>
          </cell>
        </row>
        <row r="786">
          <cell r="A786">
            <v>20058</v>
          </cell>
          <cell r="B786"/>
          <cell r="C786" t="str">
            <v>waaaghwang</v>
          </cell>
          <cell r="D786" t="str">
            <v>攻城训练</v>
          </cell>
        </row>
        <row r="787">
          <cell r="A787">
            <v>20059</v>
          </cell>
          <cell r="B787"/>
          <cell r="C787" t="str">
            <v>waaaghwang</v>
          </cell>
          <cell r="D787" t="str">
            <v>铁壁</v>
          </cell>
        </row>
        <row r="788">
          <cell r="A788">
            <v>20060</v>
          </cell>
          <cell r="B788"/>
          <cell r="C788" t="str">
            <v>waaaghwang</v>
          </cell>
          <cell r="D788" t="str">
            <v>燎天之火</v>
          </cell>
        </row>
        <row r="789">
          <cell r="A789">
            <v>20061</v>
          </cell>
          <cell r="B789"/>
          <cell r="C789" t="str">
            <v>waaaghwang</v>
          </cell>
          <cell r="D789" t="str">
            <v>泰山压顶</v>
          </cell>
        </row>
        <row r="790">
          <cell r="A790">
            <v>20062</v>
          </cell>
          <cell r="B790"/>
          <cell r="C790" t="str">
            <v>waaaghwang</v>
          </cell>
          <cell r="D790" t="str">
            <v>明心静气</v>
          </cell>
        </row>
        <row r="791">
          <cell r="A791">
            <v>20063</v>
          </cell>
          <cell r="C791" t="str">
            <v>waaaghwang</v>
          </cell>
          <cell r="D791" t="str">
            <v>灵光乍现</v>
          </cell>
        </row>
        <row r="792">
          <cell r="A792">
            <v>20064</v>
          </cell>
          <cell r="C792" t="str">
            <v>waaaghwang</v>
          </cell>
          <cell r="D792" t="str">
            <v>胜利的代价</v>
          </cell>
        </row>
        <row r="793">
          <cell r="A793">
            <v>20065</v>
          </cell>
          <cell r="C793" t="str">
            <v>waaaghwang</v>
          </cell>
          <cell r="D793" t="str">
            <v>避芒击惰</v>
          </cell>
        </row>
        <row r="794">
          <cell r="A794">
            <v>20066</v>
          </cell>
          <cell r="C794" t="str">
            <v>waaaghwang</v>
          </cell>
          <cell r="D794" t="str">
            <v>怒击扬智</v>
          </cell>
        </row>
        <row r="795">
          <cell r="A795">
            <v>20068</v>
          </cell>
          <cell r="C795" t="str">
            <v>waaaghwang</v>
          </cell>
          <cell r="D795" t="str">
            <v>王者之剑</v>
          </cell>
        </row>
        <row r="796">
          <cell r="A796">
            <v>20069</v>
          </cell>
          <cell r="C796" t="str">
            <v>waaaghwang</v>
          </cell>
          <cell r="D796" t="str">
            <v>列阵御敌</v>
          </cell>
        </row>
        <row r="797">
          <cell r="A797">
            <v>20070</v>
          </cell>
          <cell r="C797" t="str">
            <v>waaaghwang</v>
          </cell>
          <cell r="D797" t="str">
            <v>冲冠一怒</v>
          </cell>
        </row>
        <row r="798">
          <cell r="A798">
            <v>20072</v>
          </cell>
          <cell r="C798" t="str">
            <v>waaaghwang</v>
          </cell>
          <cell r="D798" t="str">
            <v>弱点进攻</v>
          </cell>
        </row>
        <row r="799">
          <cell r="A799">
            <v>20073</v>
          </cell>
          <cell r="C799" t="str">
            <v>waaaghwang</v>
          </cell>
          <cell r="D799" t="str">
            <v>侵蚀之焰</v>
          </cell>
        </row>
        <row r="800">
          <cell r="A800">
            <v>20074</v>
          </cell>
          <cell r="C800" t="str">
            <v>jialuoqian</v>
          </cell>
          <cell r="D800" t="str">
            <v>压迫之袭</v>
          </cell>
        </row>
        <row r="801">
          <cell r="A801">
            <v>20076</v>
          </cell>
          <cell r="C801" t="str">
            <v>jialuoqian</v>
          </cell>
          <cell r="D801" t="str">
            <v>英勇时刻</v>
          </cell>
        </row>
        <row r="802">
          <cell r="A802">
            <v>20077</v>
          </cell>
          <cell r="C802" t="str">
            <v>jialuoqian</v>
          </cell>
          <cell r="D802" t="str">
            <v>暴烈勇猛</v>
          </cell>
        </row>
        <row r="803">
          <cell r="A803">
            <v>20078</v>
          </cell>
          <cell r="C803" t="str">
            <v>waaaghwang</v>
          </cell>
          <cell r="D803" t="str">
            <v>胜利怒吼</v>
          </cell>
        </row>
        <row r="804">
          <cell r="A804">
            <v>20079</v>
          </cell>
          <cell r="C804" t="str">
            <v>waaaghwang</v>
          </cell>
          <cell r="D804" t="str">
            <v>波澜攻势</v>
          </cell>
        </row>
        <row r="805">
          <cell r="A805">
            <v>20080</v>
          </cell>
          <cell r="C805" t="str">
            <v>waaaghwang</v>
          </cell>
          <cell r="D805" t="str">
            <v>蛮勇侵袭</v>
          </cell>
        </row>
        <row r="806">
          <cell r="A806">
            <v>20083</v>
          </cell>
          <cell r="C806" t="str">
            <v>waaaghwang</v>
          </cell>
          <cell r="D806" t="str">
            <v>决意强袭</v>
          </cell>
        </row>
        <row r="807">
          <cell r="A807">
            <v>20084</v>
          </cell>
          <cell r="C807" t="str">
            <v>doublehwang</v>
          </cell>
          <cell r="D807" t="str">
            <v>灭却军锋</v>
          </cell>
        </row>
        <row r="808">
          <cell r="A808">
            <v>20085</v>
          </cell>
          <cell r="C808" t="str">
            <v>aldenqiu</v>
          </cell>
          <cell r="D808" t="str">
            <v>命运恩宠</v>
          </cell>
        </row>
        <row r="809">
          <cell r="A809">
            <v>20086</v>
          </cell>
          <cell r="C809" t="str">
            <v>doublehwang</v>
          </cell>
          <cell r="D809" t="str">
            <v>绝对权力</v>
          </cell>
        </row>
        <row r="810">
          <cell r="A810">
            <v>20087</v>
          </cell>
          <cell r="C810" t="str">
            <v>aldenqiu</v>
          </cell>
          <cell r="D810" t="str">
            <v>欺天之谋</v>
          </cell>
        </row>
        <row r="811">
          <cell r="A811">
            <v>20092</v>
          </cell>
          <cell r="C811" t="str">
            <v>doublehwang</v>
          </cell>
          <cell r="D811" t="str">
            <v>以下克上</v>
          </cell>
        </row>
        <row r="812">
          <cell r="A812">
            <v>20095</v>
          </cell>
          <cell r="C812" t="str">
            <v>aldenqiu</v>
          </cell>
          <cell r="D812" t="str">
            <v>历战之枪</v>
          </cell>
        </row>
        <row r="813">
          <cell r="A813">
            <v>20096</v>
          </cell>
          <cell r="C813" t="str">
            <v>doublehwang</v>
          </cell>
          <cell r="D813" t="str">
            <v>压制强攻</v>
          </cell>
        </row>
        <row r="814">
          <cell r="A814">
            <v>20098</v>
          </cell>
          <cell r="C814" t="str">
            <v>aldenqiu</v>
          </cell>
          <cell r="D814" t="str">
            <v>长生军团</v>
          </cell>
        </row>
        <row r="815">
          <cell r="A815">
            <v>20099</v>
          </cell>
          <cell r="C815" t="str">
            <v>doublehwang</v>
          </cell>
          <cell r="D815" t="str">
            <v>万里平戎策</v>
          </cell>
        </row>
        <row r="816">
          <cell r="A816">
            <v>20100</v>
          </cell>
          <cell r="C816" t="str">
            <v>aldenqiu</v>
          </cell>
          <cell r="D816" t="str">
            <v>不屈反击</v>
          </cell>
        </row>
        <row r="817">
          <cell r="A817">
            <v>20101</v>
          </cell>
          <cell r="C817" t="str">
            <v>aldenqiu</v>
          </cell>
          <cell r="D817" t="str">
            <v>黑沼之刃</v>
          </cell>
        </row>
        <row r="818">
          <cell r="A818">
            <v>20102</v>
          </cell>
          <cell r="C818" t="str">
            <v>doublehwang</v>
          </cell>
          <cell r="D818" t="str">
            <v>狂烈之骑</v>
          </cell>
        </row>
        <row r="819">
          <cell r="A819">
            <v>20103</v>
          </cell>
          <cell r="C819" t="str">
            <v>doublehwang</v>
          </cell>
          <cell r="D819" t="str">
            <v>侵彻之弓</v>
          </cell>
        </row>
        <row r="820">
          <cell r="A820">
            <v>20105</v>
          </cell>
          <cell r="C820" t="str">
            <v>aldenqiu</v>
          </cell>
          <cell r="D820" t="str">
            <v>王命谕令</v>
          </cell>
        </row>
        <row r="821">
          <cell r="A821">
            <v>20107</v>
          </cell>
          <cell r="C821" t="str">
            <v>doublehwang</v>
          </cell>
          <cell r="D821" t="str">
            <v>绿洲之佑</v>
          </cell>
        </row>
        <row r="822">
          <cell r="A822">
            <v>20108</v>
          </cell>
          <cell r="C822" t="str">
            <v>aldenqiu</v>
          </cell>
          <cell r="D822" t="str">
            <v>制伏</v>
          </cell>
        </row>
        <row r="823">
          <cell r="A823">
            <v>20109</v>
          </cell>
          <cell r="C823" t="str">
            <v>doublehwang</v>
          </cell>
          <cell r="D823" t="str">
            <v>借势威吓</v>
          </cell>
        </row>
        <row r="824">
          <cell r="A824">
            <v>20110</v>
          </cell>
          <cell r="C824" t="str">
            <v>aldenqiu</v>
          </cell>
          <cell r="D824" t="str">
            <v>神圣之剑</v>
          </cell>
        </row>
        <row r="825">
          <cell r="A825">
            <v>20111</v>
          </cell>
          <cell r="C825" t="str">
            <v>doublehwang</v>
          </cell>
          <cell r="D825" t="str">
            <v>会心加护</v>
          </cell>
        </row>
        <row r="826">
          <cell r="A826">
            <v>20112</v>
          </cell>
          <cell r="C826" t="str">
            <v>南藩</v>
          </cell>
          <cell r="D826" t="str">
            <v>燃身战意</v>
          </cell>
        </row>
        <row r="827">
          <cell r="A827">
            <v>20113</v>
          </cell>
          <cell r="C827" t="str">
            <v>南藩</v>
          </cell>
          <cell r="D827" t="str">
            <v>激昂</v>
          </cell>
        </row>
        <row r="828">
          <cell r="A828">
            <v>20114</v>
          </cell>
          <cell r="C828" t="str">
            <v>南藩</v>
          </cell>
          <cell r="D828" t="str">
            <v>阳谋</v>
          </cell>
        </row>
        <row r="829">
          <cell r="A829">
            <v>20115</v>
          </cell>
          <cell r="C829" t="str">
            <v>海峰</v>
          </cell>
          <cell r="D829" t="str">
            <v>反间</v>
          </cell>
        </row>
        <row r="830">
          <cell r="A830">
            <v>20116</v>
          </cell>
          <cell r="C830" t="str">
            <v>海峰</v>
          </cell>
          <cell r="D830" t="str">
            <v>机变</v>
          </cell>
        </row>
        <row r="831">
          <cell r="A831">
            <v>20117</v>
          </cell>
          <cell r="C831" t="str">
            <v>南藩</v>
          </cell>
          <cell r="D831" t="str">
            <v>苦肉</v>
          </cell>
        </row>
        <row r="832">
          <cell r="A832">
            <v>20118</v>
          </cell>
          <cell r="C832" t="str">
            <v>海峰</v>
          </cell>
          <cell r="D832" t="str">
            <v>余烬之灼</v>
          </cell>
        </row>
        <row r="833">
          <cell r="A833">
            <v>20119</v>
          </cell>
          <cell r="C833" t="str">
            <v>南藩</v>
          </cell>
          <cell r="D833" t="str">
            <v>戒备</v>
          </cell>
        </row>
        <row r="834">
          <cell r="A834">
            <v>20120</v>
          </cell>
          <cell r="C834" t="str">
            <v>南藩</v>
          </cell>
          <cell r="D834" t="str">
            <v>阵鼓</v>
          </cell>
        </row>
        <row r="835">
          <cell r="A835">
            <v>20121</v>
          </cell>
          <cell r="C835" t="str">
            <v>海峰</v>
          </cell>
          <cell r="D835" t="str">
            <v>掌军</v>
          </cell>
        </row>
        <row r="836">
          <cell r="A836">
            <v>20122</v>
          </cell>
          <cell r="C836" t="str">
            <v>海峰</v>
          </cell>
          <cell r="D836" t="str">
            <v>变阵</v>
          </cell>
        </row>
        <row r="837">
          <cell r="A837">
            <v>20123</v>
          </cell>
          <cell r="C837" t="str">
            <v>海峰</v>
          </cell>
          <cell r="D837" t="str">
            <v>裸衣</v>
          </cell>
        </row>
        <row r="838">
          <cell r="A838">
            <v>20124</v>
          </cell>
          <cell r="C838" t="str">
            <v>南藩</v>
          </cell>
          <cell r="D838" t="str">
            <v>伏击</v>
          </cell>
        </row>
        <row r="839">
          <cell r="A839">
            <v>20125</v>
          </cell>
          <cell r="C839" t="str">
            <v>南方</v>
          </cell>
          <cell r="D839" t="str">
            <v>入阵曲</v>
          </cell>
        </row>
        <row r="840">
          <cell r="A840">
            <v>20126</v>
          </cell>
          <cell r="C840" t="str">
            <v>海峰</v>
          </cell>
          <cell r="D840" t="str">
            <v>固本</v>
          </cell>
        </row>
        <row r="841">
          <cell r="A841">
            <v>21001</v>
          </cell>
          <cell r="C841" t="str">
            <v>joestarzhao</v>
          </cell>
          <cell r="D841" t="str">
            <v>城池耐久回复加速200%(测试)</v>
          </cell>
        </row>
        <row r="842">
          <cell r="A842">
            <v>22001</v>
          </cell>
          <cell r="C842" t="str">
            <v>waaaghwang</v>
          </cell>
          <cell r="D842" t="str">
            <v>火球轰击信物</v>
          </cell>
        </row>
        <row r="843">
          <cell r="A843">
            <v>22002</v>
          </cell>
          <cell r="C843" t="str">
            <v>waaaghwang</v>
          </cell>
          <cell r="D843" t="str">
            <v>巨石冲击信物</v>
          </cell>
        </row>
        <row r="844">
          <cell r="A844">
            <v>22003</v>
          </cell>
          <cell r="C844" t="str">
            <v>waaaghwang</v>
          </cell>
          <cell r="D844" t="str">
            <v>攻城大师信物</v>
          </cell>
        </row>
        <row r="845">
          <cell r="A845">
            <v>22004</v>
          </cell>
          <cell r="C845" t="str">
            <v>waaaghwang</v>
          </cell>
          <cell r="D845" t="str">
            <v>迸裂信物</v>
          </cell>
        </row>
        <row r="846">
          <cell r="A846">
            <v>22005</v>
          </cell>
          <cell r="C846" t="str">
            <v>waaaghwang</v>
          </cell>
          <cell r="D846" t="str">
            <v>怒火猛攻信物</v>
          </cell>
        </row>
        <row r="847">
          <cell r="A847">
            <v>22006</v>
          </cell>
          <cell r="C847" t="str">
            <v>waaaghwang</v>
          </cell>
          <cell r="D847" t="str">
            <v>风卷残云信物</v>
          </cell>
        </row>
        <row r="848">
          <cell r="A848">
            <v>22007</v>
          </cell>
          <cell r="C848" t="str">
            <v>waaaghwang</v>
          </cell>
          <cell r="D848" t="str">
            <v>天地无双斩信物</v>
          </cell>
        </row>
        <row r="849">
          <cell r="A849">
            <v>22008</v>
          </cell>
          <cell r="C849" t="str">
            <v>waaaghwang</v>
          </cell>
          <cell r="D849" t="str">
            <v>毁灭的预示信物</v>
          </cell>
        </row>
        <row r="850">
          <cell r="A850">
            <v>22009</v>
          </cell>
          <cell r="C850" t="str">
            <v>waaaghwang</v>
          </cell>
          <cell r="D850" t="str">
            <v>正义裁决信物</v>
          </cell>
        </row>
        <row r="851">
          <cell r="A851">
            <v>22010</v>
          </cell>
          <cell r="C851" t="str">
            <v>waaaghwang</v>
          </cell>
          <cell r="D851" t="str">
            <v>恩泽庇护信物</v>
          </cell>
        </row>
        <row r="852">
          <cell r="A852">
            <v>22011</v>
          </cell>
          <cell r="C852" t="str">
            <v>waaaghwang</v>
          </cell>
          <cell r="D852" t="str">
            <v>光明护佑信物</v>
          </cell>
        </row>
        <row r="853">
          <cell r="A853">
            <v>22012</v>
          </cell>
          <cell r="C853" t="str">
            <v>waaaghwang</v>
          </cell>
          <cell r="D853" t="str">
            <v>沉默誓言信物</v>
          </cell>
        </row>
        <row r="854">
          <cell r="A854">
            <v>22013</v>
          </cell>
          <cell r="C854" t="str">
            <v>waaaghwang</v>
          </cell>
          <cell r="D854" t="str">
            <v>三重攻势信物</v>
          </cell>
        </row>
        <row r="855">
          <cell r="A855">
            <v>22014</v>
          </cell>
          <cell r="C855" t="str">
            <v>waaaghwang</v>
          </cell>
          <cell r="D855" t="str">
            <v>命运操弄信物</v>
          </cell>
        </row>
        <row r="856">
          <cell r="A856">
            <v>22015</v>
          </cell>
          <cell r="C856" t="str">
            <v>waaaghwang</v>
          </cell>
          <cell r="D856" t="str">
            <v>战争祝福信物</v>
          </cell>
        </row>
        <row r="857">
          <cell r="A857">
            <v>22016</v>
          </cell>
          <cell r="C857" t="str">
            <v>waaaghwang</v>
          </cell>
          <cell r="D857" t="str">
            <v>军神赠礼信物</v>
          </cell>
        </row>
        <row r="858">
          <cell r="A858">
            <v>22017</v>
          </cell>
          <cell r="C858" t="str">
            <v>waaaghwang</v>
          </cell>
          <cell r="D858" t="str">
            <v>名门之后信物</v>
          </cell>
        </row>
        <row r="859">
          <cell r="A859">
            <v>22018</v>
          </cell>
          <cell r="C859" t="str">
            <v>waaaghwang</v>
          </cell>
          <cell r="D859" t="str">
            <v>战术冲锋信物</v>
          </cell>
        </row>
        <row r="860">
          <cell r="A860">
            <v>22019</v>
          </cell>
          <cell r="C860" t="str">
            <v>waaaghwang</v>
          </cell>
          <cell r="D860" t="str">
            <v>冲锋的极意信物</v>
          </cell>
        </row>
        <row r="861">
          <cell r="A861">
            <v>22020</v>
          </cell>
          <cell r="C861" t="str">
            <v>waaaghwang</v>
          </cell>
          <cell r="D861" t="str">
            <v>连击信物</v>
          </cell>
        </row>
        <row r="862">
          <cell r="A862">
            <v>22021</v>
          </cell>
          <cell r="C862" t="str">
            <v>waaaghwang</v>
          </cell>
          <cell r="D862" t="str">
            <v>丰收祝福信物</v>
          </cell>
        </row>
        <row r="863">
          <cell r="A863">
            <v>22022</v>
          </cell>
          <cell r="C863" t="str">
            <v>waaaghwang</v>
          </cell>
          <cell r="D863" t="str">
            <v>孤注一掷信物</v>
          </cell>
        </row>
        <row r="864">
          <cell r="A864">
            <v>22023</v>
          </cell>
          <cell r="C864" t="str">
            <v>waaaghwang</v>
          </cell>
          <cell r="D864" t="str">
            <v>狂怒血脉信物</v>
          </cell>
        </row>
        <row r="865">
          <cell r="A865">
            <v>22024</v>
          </cell>
          <cell r="C865" t="str">
            <v>waaaghwang</v>
          </cell>
          <cell r="D865" t="str">
            <v>怒不可遏信物</v>
          </cell>
        </row>
        <row r="866">
          <cell r="A866">
            <v>22025</v>
          </cell>
          <cell r="C866" t="str">
            <v>waaaghwang</v>
          </cell>
          <cell r="D866" t="str">
            <v>钢铁之躯信物</v>
          </cell>
        </row>
        <row r="867">
          <cell r="A867">
            <v>22026</v>
          </cell>
          <cell r="C867" t="str">
            <v>waaaghwang</v>
          </cell>
          <cell r="D867" t="str">
            <v>破怒斩信物</v>
          </cell>
        </row>
        <row r="868">
          <cell r="A868">
            <v>22027</v>
          </cell>
          <cell r="C868" t="str">
            <v>waaaghwang</v>
          </cell>
          <cell r="D868" t="str">
            <v>战争狂热信物</v>
          </cell>
        </row>
        <row r="869">
          <cell r="A869">
            <v>22028</v>
          </cell>
          <cell r="C869" t="str">
            <v>waaaghwang</v>
          </cell>
          <cell r="D869" t="str">
            <v>致命一击信物</v>
          </cell>
        </row>
        <row r="870">
          <cell r="A870">
            <v>22029</v>
          </cell>
          <cell r="C870" t="str">
            <v>waaaghwang</v>
          </cell>
          <cell r="D870" t="str">
            <v>胜利军规信物</v>
          </cell>
        </row>
        <row r="871">
          <cell r="A871">
            <v>22030</v>
          </cell>
          <cell r="C871" t="str">
            <v>waaaghwang</v>
          </cell>
          <cell r="D871" t="str">
            <v>怒涛之击信物</v>
          </cell>
        </row>
        <row r="872">
          <cell r="A872">
            <v>22031</v>
          </cell>
          <cell r="C872" t="str">
            <v>waaaghwang</v>
          </cell>
          <cell r="D872" t="str">
            <v>慈悲终结信物</v>
          </cell>
        </row>
        <row r="873">
          <cell r="A873">
            <v>22032</v>
          </cell>
          <cell r="C873" t="str">
            <v>waaaghwang</v>
          </cell>
          <cell r="D873" t="str">
            <v>撕裂信物</v>
          </cell>
        </row>
        <row r="874">
          <cell r="A874">
            <v>22034</v>
          </cell>
          <cell r="C874" t="str">
            <v>waaaghwang</v>
          </cell>
          <cell r="D874" t="str">
            <v>持久战信物</v>
          </cell>
        </row>
        <row r="875">
          <cell r="A875">
            <v>22035</v>
          </cell>
          <cell r="C875" t="str">
            <v>waaaghwang</v>
          </cell>
          <cell r="D875" t="str">
            <v>惩戒者信物</v>
          </cell>
        </row>
        <row r="876">
          <cell r="A876">
            <v>22036</v>
          </cell>
          <cell r="C876" t="str">
            <v>waaaghwang</v>
          </cell>
          <cell r="D876" t="str">
            <v>破敌之眼信物</v>
          </cell>
        </row>
        <row r="877">
          <cell r="A877">
            <v>22037</v>
          </cell>
          <cell r="C877" t="str">
            <v>waaaghwang</v>
          </cell>
          <cell r="D877" t="str">
            <v>反戈一击信物</v>
          </cell>
        </row>
        <row r="878">
          <cell r="A878">
            <v>22039</v>
          </cell>
          <cell r="C878" t="str">
            <v>waaaghwang</v>
          </cell>
          <cell r="D878" t="str">
            <v>文武双全信物</v>
          </cell>
        </row>
        <row r="879">
          <cell r="A879">
            <v>22040</v>
          </cell>
          <cell r="C879" t="str">
            <v>waaaghwang</v>
          </cell>
          <cell r="D879" t="str">
            <v>反击信物</v>
          </cell>
        </row>
        <row r="880">
          <cell r="A880">
            <v>22041</v>
          </cell>
          <cell r="C880" t="str">
            <v>waaaghwang</v>
          </cell>
          <cell r="D880" t="str">
            <v>饥渴之刃信物</v>
          </cell>
        </row>
        <row r="881">
          <cell r="A881">
            <v>22042</v>
          </cell>
          <cell r="C881" t="str">
            <v>waaaghwang</v>
          </cell>
          <cell r="D881" t="str">
            <v>百战之体信物</v>
          </cell>
        </row>
        <row r="882">
          <cell r="A882">
            <v>22043</v>
          </cell>
          <cell r="C882" t="str">
            <v>waaaghwang</v>
          </cell>
          <cell r="D882" t="str">
            <v>剑盾突击信物</v>
          </cell>
        </row>
        <row r="883">
          <cell r="A883">
            <v>22044</v>
          </cell>
          <cell r="C883" t="str">
            <v>waaaghwang</v>
          </cell>
          <cell r="D883" t="str">
            <v>震慑猛击信物</v>
          </cell>
        </row>
        <row r="884">
          <cell r="A884">
            <v>22045</v>
          </cell>
          <cell r="B884"/>
          <cell r="C884" t="str">
            <v>waaaghwang</v>
          </cell>
          <cell r="D884" t="str">
            <v>不屈信念信物</v>
          </cell>
        </row>
        <row r="885">
          <cell r="A885">
            <v>22046</v>
          </cell>
          <cell r="B885"/>
          <cell r="C885" t="str">
            <v>waaaghwang</v>
          </cell>
          <cell r="D885" t="str">
            <v>敏锐洞察信物</v>
          </cell>
        </row>
        <row r="886">
          <cell r="A886">
            <v>22047</v>
          </cell>
          <cell r="B886"/>
          <cell r="C886" t="str">
            <v>waaaghwang</v>
          </cell>
          <cell r="D886" t="str">
            <v>以战养战信物</v>
          </cell>
        </row>
        <row r="887">
          <cell r="A887">
            <v>22048</v>
          </cell>
          <cell r="B887"/>
          <cell r="C887" t="str">
            <v>waaaghwang</v>
          </cell>
          <cell r="D887" t="str">
            <v>冲击信物</v>
          </cell>
        </row>
        <row r="888">
          <cell r="A888">
            <v>22049</v>
          </cell>
          <cell r="B888"/>
          <cell r="C888" t="str">
            <v>waaaghwang</v>
          </cell>
          <cell r="D888" t="str">
            <v>休整信物</v>
          </cell>
        </row>
        <row r="889">
          <cell r="A889">
            <v>22050</v>
          </cell>
          <cell r="B889"/>
          <cell r="C889" t="str">
            <v>waaaghwang</v>
          </cell>
          <cell r="D889" t="str">
            <v>奇袭信物</v>
          </cell>
        </row>
        <row r="890">
          <cell r="A890">
            <v>22051</v>
          </cell>
          <cell r="C890" t="str">
            <v>waaaghwang</v>
          </cell>
          <cell r="D890" t="str">
            <v>二连斩信物</v>
          </cell>
        </row>
        <row r="891">
          <cell r="A891">
            <v>22052</v>
          </cell>
          <cell r="C891" t="str">
            <v>waaaghwang</v>
          </cell>
          <cell r="D891" t="str">
            <v>攻城战术信物</v>
          </cell>
        </row>
        <row r="892">
          <cell r="A892">
            <v>22053</v>
          </cell>
          <cell r="C892" t="str">
            <v>waaaghwang</v>
          </cell>
          <cell r="D892" t="str">
            <v>锐锋信物</v>
          </cell>
        </row>
        <row r="893">
          <cell r="A893">
            <v>22054</v>
          </cell>
          <cell r="C893" t="str">
            <v>waaaghwang</v>
          </cell>
          <cell r="D893" t="str">
            <v>激怒信物</v>
          </cell>
        </row>
        <row r="894">
          <cell r="A894">
            <v>22055</v>
          </cell>
          <cell r="C894" t="str">
            <v>waaaghwang</v>
          </cell>
          <cell r="D894" t="str">
            <v>战斗训练信物</v>
          </cell>
        </row>
        <row r="895">
          <cell r="A895">
            <v>22056</v>
          </cell>
          <cell r="C895" t="str">
            <v>waaaghwang</v>
          </cell>
          <cell r="D895" t="str">
            <v>防守训练信物</v>
          </cell>
        </row>
        <row r="896">
          <cell r="A896">
            <v>22057</v>
          </cell>
          <cell r="C896" t="str">
            <v>waaaghwang</v>
          </cell>
          <cell r="D896" t="str">
            <v>谋略训练信物</v>
          </cell>
        </row>
        <row r="897">
          <cell r="A897">
            <v>22058</v>
          </cell>
          <cell r="C897" t="str">
            <v>waaaghwang</v>
          </cell>
          <cell r="D897" t="str">
            <v>攻城训练信物</v>
          </cell>
        </row>
        <row r="898">
          <cell r="A898">
            <v>22059</v>
          </cell>
          <cell r="C898" t="str">
            <v>waaaghwang</v>
          </cell>
          <cell r="D898" t="str">
            <v>铁壁信物</v>
          </cell>
        </row>
        <row r="899">
          <cell r="A899">
            <v>22060</v>
          </cell>
          <cell r="C899" t="str">
            <v>waaaghwang</v>
          </cell>
          <cell r="D899" t="str">
            <v>燎天之火信物</v>
          </cell>
        </row>
        <row r="900">
          <cell r="A900">
            <v>22061</v>
          </cell>
          <cell r="C900" t="str">
            <v>waaaghwang</v>
          </cell>
          <cell r="D900" t="str">
            <v>泰山压顶信物</v>
          </cell>
        </row>
        <row r="901">
          <cell r="A901">
            <v>22062</v>
          </cell>
          <cell r="B901"/>
          <cell r="C901" t="str">
            <v>waaaghwang</v>
          </cell>
          <cell r="D901" t="str">
            <v>明心静气信物</v>
          </cell>
        </row>
        <row r="902">
          <cell r="A902">
            <v>22063</v>
          </cell>
          <cell r="B902"/>
          <cell r="C902" t="str">
            <v>waaaghwang</v>
          </cell>
          <cell r="D902" t="str">
            <v>灵光乍现信物</v>
          </cell>
        </row>
        <row r="903">
          <cell r="A903">
            <v>22064</v>
          </cell>
          <cell r="B903"/>
          <cell r="C903" t="str">
            <v>waaaghwang</v>
          </cell>
          <cell r="D903" t="str">
            <v>胜利的代价信物</v>
          </cell>
        </row>
        <row r="904">
          <cell r="A904">
            <v>22065</v>
          </cell>
          <cell r="B904"/>
          <cell r="C904" t="str">
            <v>waaaghwang</v>
          </cell>
          <cell r="D904" t="str">
            <v>避芒击惰信物</v>
          </cell>
        </row>
        <row r="905">
          <cell r="A905">
            <v>22066</v>
          </cell>
          <cell r="B905"/>
          <cell r="C905" t="str">
            <v>waaaghwang</v>
          </cell>
          <cell r="D905" t="str">
            <v>怒击扬智信物</v>
          </cell>
        </row>
        <row r="906">
          <cell r="A906">
            <v>22068</v>
          </cell>
          <cell r="C906" t="str">
            <v>waaaghwang</v>
          </cell>
          <cell r="D906" t="str">
            <v>王者之剑信物</v>
          </cell>
        </row>
        <row r="907">
          <cell r="A907">
            <v>22069</v>
          </cell>
          <cell r="C907" t="str">
            <v>waaaghwang</v>
          </cell>
          <cell r="D907" t="str">
            <v>列阵御敌信物</v>
          </cell>
        </row>
        <row r="908">
          <cell r="A908">
            <v>22070</v>
          </cell>
          <cell r="C908" t="str">
            <v>waaaghwang</v>
          </cell>
          <cell r="D908" t="str">
            <v>冲冠一怒信物</v>
          </cell>
        </row>
        <row r="909">
          <cell r="A909">
            <v>22072</v>
          </cell>
          <cell r="C909" t="str">
            <v>waaaghwang</v>
          </cell>
          <cell r="D909" t="str">
            <v>弱点进攻信物</v>
          </cell>
        </row>
        <row r="910">
          <cell r="A910">
            <v>22073</v>
          </cell>
          <cell r="C910" t="str">
            <v>waaaghwang</v>
          </cell>
          <cell r="D910" t="str">
            <v>侵蚀之焰信物</v>
          </cell>
        </row>
        <row r="911">
          <cell r="A911">
            <v>22074</v>
          </cell>
          <cell r="C911" t="str">
            <v>jialuoqian</v>
          </cell>
          <cell r="D911" t="str">
            <v>压迫之袭信物</v>
          </cell>
        </row>
        <row r="912">
          <cell r="A912">
            <v>22076</v>
          </cell>
          <cell r="C912" t="str">
            <v>jialuoqian</v>
          </cell>
          <cell r="D912" t="str">
            <v>英勇时刻信物</v>
          </cell>
        </row>
        <row r="913">
          <cell r="A913">
            <v>22078</v>
          </cell>
          <cell r="C913" t="str">
            <v>jialuoqian</v>
          </cell>
          <cell r="D913" t="str">
            <v>胜利怒吼信物</v>
          </cell>
        </row>
        <row r="914">
          <cell r="A914">
            <v>22079</v>
          </cell>
          <cell r="C914" t="str">
            <v>jialuoqian</v>
          </cell>
          <cell r="D914" t="str">
            <v>波澜攻势信物</v>
          </cell>
        </row>
        <row r="915">
          <cell r="A915">
            <v>22080</v>
          </cell>
          <cell r="C915" t="str">
            <v>jialuoqian</v>
          </cell>
          <cell r="D915" t="str">
            <v>蛮勇侵袭信物</v>
          </cell>
        </row>
        <row r="916">
          <cell r="A916">
            <v>22083</v>
          </cell>
          <cell r="C916" t="str">
            <v>jialuoqian</v>
          </cell>
          <cell r="D916" t="str">
            <v>决意强袭信物</v>
          </cell>
        </row>
        <row r="917">
          <cell r="A917">
            <v>22084</v>
          </cell>
          <cell r="C917" t="str">
            <v>doublehwang</v>
          </cell>
          <cell r="D917" t="str">
            <v>灭却军锋</v>
          </cell>
        </row>
        <row r="918">
          <cell r="A918">
            <v>22085</v>
          </cell>
          <cell r="C918" t="str">
            <v>aldenqiu</v>
          </cell>
          <cell r="D918" t="str">
            <v>命运恩宠</v>
          </cell>
        </row>
        <row r="919">
          <cell r="A919">
            <v>22086</v>
          </cell>
          <cell r="B919"/>
          <cell r="C919" t="str">
            <v>doublehwang</v>
          </cell>
          <cell r="D919" t="str">
            <v>绝对权力</v>
          </cell>
        </row>
        <row r="920">
          <cell r="A920">
            <v>22087</v>
          </cell>
          <cell r="B920"/>
          <cell r="C920" t="str">
            <v>aldenqiu</v>
          </cell>
          <cell r="D920" t="str">
            <v>欺天之谋</v>
          </cell>
        </row>
        <row r="921">
          <cell r="A921">
            <v>22092</v>
          </cell>
          <cell r="B921"/>
          <cell r="C921" t="str">
            <v>doublehwang</v>
          </cell>
          <cell r="D921" t="str">
            <v>以下克上</v>
          </cell>
        </row>
        <row r="922">
          <cell r="A922">
            <v>22095</v>
          </cell>
          <cell r="B922"/>
          <cell r="C922" t="str">
            <v>aldenqiu</v>
          </cell>
          <cell r="D922" t="str">
            <v>历战之枪</v>
          </cell>
        </row>
        <row r="923">
          <cell r="A923">
            <v>22096</v>
          </cell>
          <cell r="B923"/>
          <cell r="C923" t="str">
            <v>doublehwang</v>
          </cell>
          <cell r="D923" t="str">
            <v>压制强攻</v>
          </cell>
        </row>
        <row r="924">
          <cell r="A924">
            <v>22098</v>
          </cell>
          <cell r="C924" t="str">
            <v>aldenqiu</v>
          </cell>
          <cell r="D924" t="str">
            <v>长生军团</v>
          </cell>
        </row>
        <row r="925">
          <cell r="A925">
            <v>22099</v>
          </cell>
          <cell r="C925" t="str">
            <v>doublehwang</v>
          </cell>
          <cell r="D925" t="str">
            <v>万里平戎策</v>
          </cell>
        </row>
        <row r="926">
          <cell r="A926">
            <v>22100</v>
          </cell>
          <cell r="C926" t="str">
            <v>aldenqiu</v>
          </cell>
          <cell r="D926" t="str">
            <v>不屈反击</v>
          </cell>
        </row>
        <row r="927">
          <cell r="A927">
            <v>22101</v>
          </cell>
          <cell r="C927" t="str">
            <v>aldenqiu</v>
          </cell>
          <cell r="D927" t="str">
            <v>黑沼之刃</v>
          </cell>
        </row>
        <row r="928">
          <cell r="A928">
            <v>22102</v>
          </cell>
          <cell r="C928" t="str">
            <v>doublehwang</v>
          </cell>
          <cell r="D928" t="str">
            <v>狂烈之骑</v>
          </cell>
        </row>
        <row r="929">
          <cell r="A929">
            <v>22103</v>
          </cell>
          <cell r="C929" t="str">
            <v>doublehwang</v>
          </cell>
          <cell r="D929" t="str">
            <v>侵彻之弓</v>
          </cell>
        </row>
        <row r="930">
          <cell r="A930">
            <v>22105</v>
          </cell>
          <cell r="C930" t="str">
            <v>aldenqiu</v>
          </cell>
          <cell r="D930" t="str">
            <v>王命谕令</v>
          </cell>
        </row>
        <row r="931">
          <cell r="A931">
            <v>22107</v>
          </cell>
          <cell r="C931" t="str">
            <v>doublehwang</v>
          </cell>
          <cell r="D931" t="str">
            <v>绿洲之佑</v>
          </cell>
        </row>
        <row r="932">
          <cell r="A932">
            <v>22108</v>
          </cell>
          <cell r="C932" t="str">
            <v>aldenqiu</v>
          </cell>
          <cell r="D932" t="str">
            <v>制伏</v>
          </cell>
        </row>
        <row r="933">
          <cell r="A933">
            <v>22109</v>
          </cell>
          <cell r="C933" t="str">
            <v>doublehwang</v>
          </cell>
          <cell r="D933" t="str">
            <v>借势威吓</v>
          </cell>
        </row>
        <row r="934">
          <cell r="A934">
            <v>22110</v>
          </cell>
          <cell r="C934" t="str">
            <v>aldenqiu</v>
          </cell>
          <cell r="D934" t="str">
            <v>神圣之剑</v>
          </cell>
        </row>
        <row r="935">
          <cell r="A935">
            <v>22111</v>
          </cell>
          <cell r="C935" t="str">
            <v>aldenqiu</v>
          </cell>
          <cell r="D935" t="str">
            <v>会心加护</v>
          </cell>
        </row>
        <row r="936">
          <cell r="A936">
            <v>22112</v>
          </cell>
          <cell r="B936"/>
          <cell r="C936" t="str">
            <v>doublehwang</v>
          </cell>
          <cell r="D936" t="str">
            <v>燃身战意</v>
          </cell>
        </row>
        <row r="937">
          <cell r="A937">
            <v>22113</v>
          </cell>
          <cell r="C937" t="str">
            <v>aldenqiu</v>
          </cell>
          <cell r="D937" t="str">
            <v>激昂</v>
          </cell>
        </row>
        <row r="938">
          <cell r="A938">
            <v>22114</v>
          </cell>
          <cell r="C938" t="str">
            <v>doublehwang</v>
          </cell>
          <cell r="D938" t="str">
            <v>阳谋</v>
          </cell>
        </row>
        <row r="939">
          <cell r="A939">
            <v>22115</v>
          </cell>
          <cell r="C939" t="str">
            <v>aldenqiu</v>
          </cell>
          <cell r="D939" t="str">
            <v>反间</v>
          </cell>
        </row>
        <row r="940">
          <cell r="A940">
            <v>22116</v>
          </cell>
          <cell r="C940" t="str">
            <v>aldenqiu</v>
          </cell>
          <cell r="D940" t="str">
            <v>机变</v>
          </cell>
        </row>
        <row r="941">
          <cell r="A941">
            <v>22117</v>
          </cell>
          <cell r="C941" t="str">
            <v>doublehwang</v>
          </cell>
          <cell r="D941" t="str">
            <v>苦肉</v>
          </cell>
        </row>
        <row r="942">
          <cell r="A942">
            <v>22118</v>
          </cell>
          <cell r="C942" t="str">
            <v>doublehwang</v>
          </cell>
          <cell r="D942" t="str">
            <v>余烬之灼</v>
          </cell>
        </row>
        <row r="943">
          <cell r="A943">
            <v>22119</v>
          </cell>
          <cell r="C943" t="str">
            <v>aldenqiu</v>
          </cell>
          <cell r="D943" t="str">
            <v>戒备</v>
          </cell>
        </row>
        <row r="944">
          <cell r="A944">
            <v>22120</v>
          </cell>
          <cell r="C944" t="str">
            <v>aldenqiu</v>
          </cell>
          <cell r="D944" t="str">
            <v>阵鼓</v>
          </cell>
        </row>
        <row r="945">
          <cell r="A945">
            <v>22121</v>
          </cell>
          <cell r="C945" t="str">
            <v>doublehwang</v>
          </cell>
          <cell r="D945" t="str">
            <v>掌军</v>
          </cell>
        </row>
        <row r="946">
          <cell r="A946">
            <v>22122</v>
          </cell>
          <cell r="C946" t="str">
            <v>doublehwang</v>
          </cell>
          <cell r="D946" t="str">
            <v>变阵</v>
          </cell>
        </row>
        <row r="947">
          <cell r="A947">
            <v>22123</v>
          </cell>
          <cell r="C947" t="str">
            <v>aldenqiu</v>
          </cell>
          <cell r="D947" t="str">
            <v>裸衣</v>
          </cell>
        </row>
        <row r="948">
          <cell r="A948">
            <v>22124</v>
          </cell>
          <cell r="C948" t="str">
            <v>aldenqiu</v>
          </cell>
          <cell r="D948" t="str">
            <v>伏击</v>
          </cell>
        </row>
        <row r="949">
          <cell r="A949">
            <v>22125</v>
          </cell>
          <cell r="C949" t="str">
            <v>doublehwang</v>
          </cell>
          <cell r="D949" t="str">
            <v>入阵曲</v>
          </cell>
        </row>
        <row r="950">
          <cell r="A950">
            <v>22126</v>
          </cell>
          <cell r="C950" t="str">
            <v>aldenqiu</v>
          </cell>
          <cell r="D950" t="str">
            <v>固本</v>
          </cell>
        </row>
        <row r="951">
          <cell r="A951">
            <v>122001</v>
          </cell>
          <cell r="C951" t="str">
            <v>yanhaoyhli</v>
          </cell>
          <cell r="D951" t="str">
            <v>火球轰击信物</v>
          </cell>
        </row>
        <row r="952">
          <cell r="A952">
            <v>122002</v>
          </cell>
          <cell r="C952" t="str">
            <v>yanhaoyhli</v>
          </cell>
          <cell r="D952" t="str">
            <v>巨石冲击信物</v>
          </cell>
        </row>
        <row r="953">
          <cell r="A953">
            <v>122003</v>
          </cell>
          <cell r="C953" t="str">
            <v>yanhaoyhli</v>
          </cell>
          <cell r="D953" t="str">
            <v>攻城大师信物</v>
          </cell>
        </row>
        <row r="954">
          <cell r="A954">
            <v>122004</v>
          </cell>
          <cell r="C954" t="str">
            <v>yanhaoyhli</v>
          </cell>
          <cell r="D954" t="str">
            <v>迸裂信物</v>
          </cell>
        </row>
        <row r="955">
          <cell r="A955">
            <v>122005</v>
          </cell>
          <cell r="C955" t="str">
            <v>yanhaoyhli</v>
          </cell>
          <cell r="D955" t="str">
            <v>怒火猛攻信物</v>
          </cell>
        </row>
        <row r="956">
          <cell r="A956">
            <v>122006</v>
          </cell>
          <cell r="C956" t="str">
            <v>yanhaoyhli</v>
          </cell>
          <cell r="D956" t="str">
            <v>风卷残云信物</v>
          </cell>
        </row>
        <row r="957">
          <cell r="A957">
            <v>122007</v>
          </cell>
          <cell r="C957" t="str">
            <v>yanhaoyhli</v>
          </cell>
          <cell r="D957" t="str">
            <v>天地无双斩信物</v>
          </cell>
        </row>
        <row r="958">
          <cell r="A958">
            <v>122008</v>
          </cell>
          <cell r="C958" t="str">
            <v>yanhaoyhli</v>
          </cell>
          <cell r="D958" t="str">
            <v>毁灭的预示信物</v>
          </cell>
        </row>
        <row r="959">
          <cell r="A959">
            <v>122009</v>
          </cell>
          <cell r="C959" t="str">
            <v>yanhaoyhli</v>
          </cell>
          <cell r="D959" t="str">
            <v>正义裁决信物</v>
          </cell>
        </row>
        <row r="960">
          <cell r="A960">
            <v>122010</v>
          </cell>
          <cell r="C960" t="str">
            <v>yanhaoyhli</v>
          </cell>
          <cell r="D960" t="str">
            <v>恩泽庇护信物</v>
          </cell>
        </row>
        <row r="961">
          <cell r="A961">
            <v>122011</v>
          </cell>
          <cell r="C961" t="str">
            <v>yanhaoyhli</v>
          </cell>
          <cell r="D961" t="str">
            <v>光明护佑信物</v>
          </cell>
        </row>
        <row r="962">
          <cell r="A962">
            <v>122012</v>
          </cell>
          <cell r="C962" t="str">
            <v>yanhaoyhli</v>
          </cell>
          <cell r="D962" t="str">
            <v>沉默誓言信物</v>
          </cell>
        </row>
        <row r="963">
          <cell r="A963">
            <v>122013</v>
          </cell>
          <cell r="C963" t="str">
            <v>yanhaoyhli</v>
          </cell>
          <cell r="D963" t="str">
            <v>三重攻势信物</v>
          </cell>
        </row>
        <row r="964">
          <cell r="A964">
            <v>122014</v>
          </cell>
          <cell r="C964" t="str">
            <v>yanhaoyhli</v>
          </cell>
          <cell r="D964" t="str">
            <v>命运操弄信物</v>
          </cell>
        </row>
        <row r="965">
          <cell r="A965">
            <v>122015</v>
          </cell>
          <cell r="C965" t="str">
            <v>yanhaoyhli</v>
          </cell>
          <cell r="D965" t="str">
            <v>战争祝福信物</v>
          </cell>
        </row>
        <row r="966">
          <cell r="A966">
            <v>122016</v>
          </cell>
          <cell r="C966" t="str">
            <v>yanhaoyhli</v>
          </cell>
          <cell r="D966" t="str">
            <v>军神赠礼信物</v>
          </cell>
        </row>
        <row r="967">
          <cell r="A967">
            <v>122017</v>
          </cell>
          <cell r="C967" t="str">
            <v>yanhaoyhli</v>
          </cell>
          <cell r="D967" t="str">
            <v>名门之后信物</v>
          </cell>
        </row>
        <row r="968">
          <cell r="A968">
            <v>122018</v>
          </cell>
          <cell r="C968" t="str">
            <v>yanhaoyhli</v>
          </cell>
          <cell r="D968" t="str">
            <v>战术冲锋信物</v>
          </cell>
        </row>
        <row r="969">
          <cell r="A969">
            <v>122019</v>
          </cell>
          <cell r="C969" t="str">
            <v>yanhaoyhli</v>
          </cell>
          <cell r="D969" t="str">
            <v>冲锋的极意信物</v>
          </cell>
        </row>
        <row r="970">
          <cell r="A970">
            <v>122020</v>
          </cell>
          <cell r="C970" t="str">
            <v>yanhaoyhli</v>
          </cell>
          <cell r="D970" t="str">
            <v>连击信物</v>
          </cell>
        </row>
        <row r="971">
          <cell r="A971">
            <v>122021</v>
          </cell>
          <cell r="C971" t="str">
            <v>yanhaoyhli</v>
          </cell>
          <cell r="D971" t="str">
            <v>丰收祝福信物</v>
          </cell>
        </row>
        <row r="972">
          <cell r="A972">
            <v>122022</v>
          </cell>
          <cell r="C972" t="str">
            <v>yanhaoyhli</v>
          </cell>
          <cell r="D972" t="str">
            <v>孤注一掷信物</v>
          </cell>
        </row>
        <row r="973">
          <cell r="A973">
            <v>122023</v>
          </cell>
          <cell r="C973" t="str">
            <v>yanhaoyhli</v>
          </cell>
          <cell r="D973" t="str">
            <v>狂怒血脉信物</v>
          </cell>
        </row>
        <row r="974">
          <cell r="A974">
            <v>122024</v>
          </cell>
          <cell r="C974" t="str">
            <v>yanhaoyhli</v>
          </cell>
          <cell r="D974" t="str">
            <v>怒不可遏信物</v>
          </cell>
        </row>
        <row r="975">
          <cell r="A975">
            <v>122025</v>
          </cell>
          <cell r="C975" t="str">
            <v>yanhaoyhli</v>
          </cell>
          <cell r="D975" t="str">
            <v>钢铁之躯信物</v>
          </cell>
        </row>
        <row r="976">
          <cell r="A976">
            <v>122026</v>
          </cell>
          <cell r="C976" t="str">
            <v>yanhaoyhli</v>
          </cell>
          <cell r="D976" t="str">
            <v>破怒斩信物</v>
          </cell>
        </row>
        <row r="977">
          <cell r="A977">
            <v>122027</v>
          </cell>
          <cell r="C977" t="str">
            <v>yanhaoyhli</v>
          </cell>
          <cell r="D977" t="str">
            <v>战争狂热信物</v>
          </cell>
        </row>
        <row r="978">
          <cell r="A978">
            <v>122028</v>
          </cell>
          <cell r="C978" t="str">
            <v>yanhaoyhli</v>
          </cell>
          <cell r="D978" t="str">
            <v>致命一击信物</v>
          </cell>
        </row>
        <row r="979">
          <cell r="A979">
            <v>122029</v>
          </cell>
          <cell r="C979" t="str">
            <v>yanhaoyhli</v>
          </cell>
          <cell r="D979" t="str">
            <v>胜利军规信物</v>
          </cell>
        </row>
        <row r="980">
          <cell r="A980">
            <v>122030</v>
          </cell>
          <cell r="C980" t="str">
            <v>yanhaoyhli</v>
          </cell>
          <cell r="D980" t="str">
            <v>怒涛之击信物</v>
          </cell>
        </row>
        <row r="981">
          <cell r="A981">
            <v>122031</v>
          </cell>
          <cell r="C981" t="str">
            <v>yanhaoyhli</v>
          </cell>
          <cell r="D981" t="str">
            <v>慈悲终结信物</v>
          </cell>
        </row>
        <row r="982">
          <cell r="A982">
            <v>122032</v>
          </cell>
          <cell r="C982" t="str">
            <v>yanhaoyhli</v>
          </cell>
          <cell r="D982" t="str">
            <v>撕裂信物</v>
          </cell>
        </row>
        <row r="983">
          <cell r="A983">
            <v>122034</v>
          </cell>
          <cell r="C983" t="str">
            <v>yanhaoyhli</v>
          </cell>
          <cell r="D983" t="str">
            <v>持久战信物</v>
          </cell>
        </row>
        <row r="984">
          <cell r="A984">
            <v>122035</v>
          </cell>
          <cell r="C984" t="str">
            <v>yanhaoyhli</v>
          </cell>
          <cell r="D984" t="str">
            <v>惩戒者信物</v>
          </cell>
        </row>
        <row r="985">
          <cell r="A985">
            <v>122036</v>
          </cell>
          <cell r="C985" t="str">
            <v>yanhaoyhli</v>
          </cell>
          <cell r="D985" t="str">
            <v>破敌之眼信物</v>
          </cell>
        </row>
        <row r="986">
          <cell r="A986">
            <v>122037</v>
          </cell>
          <cell r="C986" t="str">
            <v>yanhaoyhli</v>
          </cell>
          <cell r="D986" t="str">
            <v>反戈一击信物</v>
          </cell>
        </row>
        <row r="987">
          <cell r="A987">
            <v>122039</v>
          </cell>
          <cell r="C987" t="str">
            <v>yanhaoyhli</v>
          </cell>
          <cell r="D987" t="str">
            <v>文武双全信物</v>
          </cell>
        </row>
        <row r="988">
          <cell r="A988">
            <v>122040</v>
          </cell>
          <cell r="C988" t="str">
            <v>yanhaoyhli</v>
          </cell>
          <cell r="D988" t="str">
            <v>反击信物</v>
          </cell>
        </row>
        <row r="989">
          <cell r="A989">
            <v>122041</v>
          </cell>
          <cell r="C989" t="str">
            <v>yanhaoyhli</v>
          </cell>
          <cell r="D989" t="str">
            <v>饥渴之刃信物</v>
          </cell>
        </row>
        <row r="990">
          <cell r="A990">
            <v>122042</v>
          </cell>
          <cell r="C990" t="str">
            <v>yanhaoyhli</v>
          </cell>
          <cell r="D990" t="str">
            <v>百战之体信物</v>
          </cell>
        </row>
        <row r="991">
          <cell r="A991">
            <v>122043</v>
          </cell>
          <cell r="C991" t="str">
            <v>yanhaoyhli</v>
          </cell>
          <cell r="D991" t="str">
            <v>剑盾突击信物</v>
          </cell>
        </row>
        <row r="992">
          <cell r="A992">
            <v>122044</v>
          </cell>
          <cell r="C992" t="str">
            <v>yanhaoyhli</v>
          </cell>
          <cell r="D992" t="str">
            <v>震慑猛击信物</v>
          </cell>
        </row>
        <row r="993">
          <cell r="A993">
            <v>122045</v>
          </cell>
          <cell r="C993" t="str">
            <v>yanhaoyhli</v>
          </cell>
          <cell r="D993" t="str">
            <v>不屈信念信物</v>
          </cell>
        </row>
        <row r="994">
          <cell r="A994">
            <v>122046</v>
          </cell>
          <cell r="C994" t="str">
            <v>yanhaoyhli</v>
          </cell>
          <cell r="D994" t="str">
            <v>敏锐洞察信物</v>
          </cell>
        </row>
        <row r="995">
          <cell r="A995">
            <v>122047</v>
          </cell>
          <cell r="C995" t="str">
            <v>yanhaoyhli</v>
          </cell>
          <cell r="D995" t="str">
            <v>以战养战信物</v>
          </cell>
        </row>
        <row r="996">
          <cell r="A996">
            <v>122048</v>
          </cell>
          <cell r="C996" t="str">
            <v>yanhaoyhli</v>
          </cell>
          <cell r="D996" t="str">
            <v>冲击信物</v>
          </cell>
        </row>
        <row r="997">
          <cell r="A997">
            <v>122049</v>
          </cell>
          <cell r="C997" t="str">
            <v>yanhaoyhli</v>
          </cell>
          <cell r="D997" t="str">
            <v>休整信物</v>
          </cell>
        </row>
        <row r="998">
          <cell r="A998">
            <v>122050</v>
          </cell>
          <cell r="C998" t="str">
            <v>yanhaoyhli</v>
          </cell>
          <cell r="D998" t="str">
            <v>奇袭信物</v>
          </cell>
        </row>
        <row r="999">
          <cell r="A999">
            <v>122051</v>
          </cell>
          <cell r="C999" t="str">
            <v>yanhaoyhli</v>
          </cell>
          <cell r="D999" t="str">
            <v>二连斩信物</v>
          </cell>
        </row>
        <row r="1000">
          <cell r="A1000">
            <v>122052</v>
          </cell>
          <cell r="C1000" t="str">
            <v>yanhaoyhli</v>
          </cell>
          <cell r="D1000" t="str">
            <v>攻城战术信物</v>
          </cell>
        </row>
        <row r="1001">
          <cell r="A1001">
            <v>122053</v>
          </cell>
          <cell r="C1001" t="str">
            <v>yanhaoyhli</v>
          </cell>
          <cell r="D1001" t="str">
            <v>锐锋信物</v>
          </cell>
        </row>
        <row r="1002">
          <cell r="A1002">
            <v>122054</v>
          </cell>
          <cell r="C1002" t="str">
            <v>yanhaoyhli</v>
          </cell>
          <cell r="D1002" t="str">
            <v>激怒信物</v>
          </cell>
        </row>
        <row r="1003">
          <cell r="A1003">
            <v>122055</v>
          </cell>
          <cell r="C1003" t="str">
            <v>yanhaoyhli</v>
          </cell>
          <cell r="D1003" t="str">
            <v>战斗训练信物</v>
          </cell>
        </row>
        <row r="1004">
          <cell r="A1004">
            <v>122056</v>
          </cell>
          <cell r="C1004" t="str">
            <v>yanhaoyhli</v>
          </cell>
          <cell r="D1004" t="str">
            <v>防守训练信物</v>
          </cell>
        </row>
        <row r="1005">
          <cell r="A1005">
            <v>122057</v>
          </cell>
          <cell r="C1005" t="str">
            <v>yanhaoyhli</v>
          </cell>
          <cell r="D1005" t="str">
            <v>谋略训练信物</v>
          </cell>
        </row>
        <row r="1006">
          <cell r="A1006">
            <v>122058</v>
          </cell>
          <cell r="C1006" t="str">
            <v>yanhaoyhli</v>
          </cell>
          <cell r="D1006" t="str">
            <v>攻城训练信物</v>
          </cell>
        </row>
        <row r="1007">
          <cell r="A1007">
            <v>122059</v>
          </cell>
          <cell r="C1007" t="str">
            <v>yanhaoyhli</v>
          </cell>
          <cell r="D1007" t="str">
            <v>铁壁信物</v>
          </cell>
        </row>
        <row r="1008">
          <cell r="A1008">
            <v>122060</v>
          </cell>
          <cell r="C1008" t="str">
            <v>yanhaoyhli</v>
          </cell>
          <cell r="D1008" t="str">
            <v>燎天之火信物</v>
          </cell>
        </row>
        <row r="1009">
          <cell r="A1009">
            <v>122061</v>
          </cell>
          <cell r="C1009" t="str">
            <v>yanhaoyhli</v>
          </cell>
          <cell r="D1009" t="str">
            <v>泰山压顶信物</v>
          </cell>
        </row>
        <row r="1010">
          <cell r="A1010">
            <v>122062</v>
          </cell>
          <cell r="C1010" t="str">
            <v>yanhaoyhli</v>
          </cell>
          <cell r="D1010" t="str">
            <v>明心静气信物</v>
          </cell>
        </row>
        <row r="1011">
          <cell r="A1011">
            <v>122063</v>
          </cell>
          <cell r="C1011" t="str">
            <v>yanhaoyhli</v>
          </cell>
          <cell r="D1011" t="str">
            <v>灵光乍现信物</v>
          </cell>
        </row>
        <row r="1012">
          <cell r="A1012">
            <v>122064</v>
          </cell>
          <cell r="C1012" t="str">
            <v>yanhaoyhli</v>
          </cell>
          <cell r="D1012" t="str">
            <v>胜利的代价信物</v>
          </cell>
        </row>
        <row r="1013">
          <cell r="A1013">
            <v>122065</v>
          </cell>
          <cell r="C1013" t="str">
            <v>yanhaoyhli</v>
          </cell>
          <cell r="D1013" t="str">
            <v>避芒击惰信物</v>
          </cell>
        </row>
        <row r="1014">
          <cell r="A1014">
            <v>122066</v>
          </cell>
          <cell r="C1014" t="str">
            <v>yanhaoyhli</v>
          </cell>
          <cell r="D1014" t="str">
            <v>怒击扬智信物</v>
          </cell>
        </row>
        <row r="1015">
          <cell r="A1015">
            <v>122068</v>
          </cell>
          <cell r="C1015" t="str">
            <v>yanhaoyhli</v>
          </cell>
          <cell r="D1015" t="str">
            <v>王者之剑信物</v>
          </cell>
        </row>
        <row r="1016">
          <cell r="A1016">
            <v>122069</v>
          </cell>
          <cell r="C1016" t="str">
            <v>yanhaoyhli</v>
          </cell>
          <cell r="D1016" t="str">
            <v>列阵御敌信物</v>
          </cell>
        </row>
        <row r="1017">
          <cell r="A1017">
            <v>122070</v>
          </cell>
          <cell r="C1017" t="str">
            <v>yanhaoyhli</v>
          </cell>
          <cell r="D1017" t="str">
            <v>冲冠一怒信物</v>
          </cell>
        </row>
        <row r="1018">
          <cell r="A1018">
            <v>122072</v>
          </cell>
          <cell r="C1018" t="str">
            <v>yanhaoyhli</v>
          </cell>
          <cell r="D1018" t="str">
            <v>弱点进攻信物</v>
          </cell>
        </row>
        <row r="1019">
          <cell r="A1019">
            <v>122073</v>
          </cell>
          <cell r="C1019" t="str">
            <v>yanhaoyhli</v>
          </cell>
          <cell r="D1019" t="str">
            <v>侵蚀之焰信物</v>
          </cell>
        </row>
        <row r="1020">
          <cell r="A1020">
            <v>122074</v>
          </cell>
          <cell r="C1020" t="str">
            <v>yanhaoyhli</v>
          </cell>
          <cell r="D1020" t="str">
            <v>压迫之袭信物</v>
          </cell>
        </row>
        <row r="1021">
          <cell r="A1021">
            <v>122076</v>
          </cell>
          <cell r="C1021" t="str">
            <v>yanhaoyhli</v>
          </cell>
          <cell r="D1021" t="str">
            <v>英勇时刻信物</v>
          </cell>
        </row>
        <row r="1022">
          <cell r="A1022">
            <v>122078</v>
          </cell>
          <cell r="C1022" t="str">
            <v>yanhaoyhli</v>
          </cell>
          <cell r="D1022" t="str">
            <v>胜利怒吼信物</v>
          </cell>
        </row>
        <row r="1023">
          <cell r="A1023">
            <v>122079</v>
          </cell>
          <cell r="C1023" t="str">
            <v>yanhaoyhli</v>
          </cell>
          <cell r="D1023" t="str">
            <v>波澜攻势信物</v>
          </cell>
        </row>
        <row r="1024">
          <cell r="A1024">
            <v>122080</v>
          </cell>
          <cell r="C1024" t="str">
            <v>yanhaoyhli</v>
          </cell>
          <cell r="D1024" t="str">
            <v>蛮勇侵袭信物</v>
          </cell>
        </row>
        <row r="1025">
          <cell r="A1025">
            <v>122083</v>
          </cell>
          <cell r="C1025" t="str">
            <v>yanhaoyhli</v>
          </cell>
          <cell r="D1025" t="str">
            <v>决意强袭信物</v>
          </cell>
        </row>
        <row r="1026">
          <cell r="A1026">
            <v>122084</v>
          </cell>
          <cell r="C1026" t="str">
            <v>yanhaoyhli</v>
          </cell>
          <cell r="D1026" t="str">
            <v>灭却军锋</v>
          </cell>
        </row>
        <row r="1027">
          <cell r="A1027">
            <v>122085</v>
          </cell>
          <cell r="C1027" t="str">
            <v>yanhaoyhli</v>
          </cell>
          <cell r="D1027" t="str">
            <v>命运恩宠</v>
          </cell>
        </row>
        <row r="1028">
          <cell r="A1028">
            <v>122086</v>
          </cell>
          <cell r="C1028" t="str">
            <v>yanhaoyhli</v>
          </cell>
          <cell r="D1028" t="str">
            <v>绝对权力</v>
          </cell>
        </row>
        <row r="1029">
          <cell r="A1029">
            <v>122087</v>
          </cell>
          <cell r="C1029" t="str">
            <v>yanhaoyhli</v>
          </cell>
          <cell r="D1029" t="str">
            <v>欺天之谋</v>
          </cell>
        </row>
        <row r="1030">
          <cell r="A1030">
            <v>122092</v>
          </cell>
          <cell r="C1030" t="str">
            <v>yanhaoyhli</v>
          </cell>
          <cell r="D1030" t="str">
            <v>以下克上</v>
          </cell>
        </row>
        <row r="1031">
          <cell r="A1031">
            <v>122095</v>
          </cell>
          <cell r="C1031" t="str">
            <v>yanhaoyhli</v>
          </cell>
          <cell r="D1031" t="str">
            <v>历战之枪</v>
          </cell>
        </row>
        <row r="1032">
          <cell r="A1032">
            <v>122096</v>
          </cell>
          <cell r="C1032" t="str">
            <v>yanhaoyhli</v>
          </cell>
          <cell r="D1032" t="str">
            <v>压制强攻</v>
          </cell>
        </row>
        <row r="1033">
          <cell r="A1033">
            <v>122098</v>
          </cell>
          <cell r="C1033" t="str">
            <v>yanhaoyhli</v>
          </cell>
          <cell r="D1033" t="str">
            <v>长生军团</v>
          </cell>
        </row>
        <row r="1034">
          <cell r="A1034">
            <v>122099</v>
          </cell>
          <cell r="C1034" t="str">
            <v>yanhaoyhli</v>
          </cell>
          <cell r="D1034" t="str">
            <v>万里平戎策</v>
          </cell>
        </row>
        <row r="1035">
          <cell r="A1035">
            <v>122100</v>
          </cell>
          <cell r="C1035" t="str">
            <v>yanhaoyhli</v>
          </cell>
          <cell r="D1035" t="str">
            <v>不屈反击</v>
          </cell>
        </row>
        <row r="1036">
          <cell r="A1036">
            <v>122101</v>
          </cell>
          <cell r="C1036" t="str">
            <v>yanhaoyhli</v>
          </cell>
          <cell r="D1036" t="str">
            <v>黑沼之刃</v>
          </cell>
        </row>
        <row r="1037">
          <cell r="A1037">
            <v>122102</v>
          </cell>
          <cell r="C1037" t="str">
            <v>yanhaoyhli</v>
          </cell>
          <cell r="D1037" t="str">
            <v>狂烈之骑</v>
          </cell>
        </row>
        <row r="1038">
          <cell r="A1038">
            <v>122103</v>
          </cell>
          <cell r="C1038" t="str">
            <v>yanhaoyhli</v>
          </cell>
          <cell r="D1038" t="str">
            <v>侵彻之弓</v>
          </cell>
        </row>
        <row r="1039">
          <cell r="A1039">
            <v>122105</v>
          </cell>
          <cell r="C1039" t="str">
            <v>yanhaoyhli</v>
          </cell>
          <cell r="D1039" t="str">
            <v>王命谕令</v>
          </cell>
        </row>
        <row r="1040">
          <cell r="A1040">
            <v>122107</v>
          </cell>
          <cell r="C1040" t="str">
            <v>yanhaoyhli</v>
          </cell>
          <cell r="D1040" t="str">
            <v>绿洲之佑</v>
          </cell>
        </row>
        <row r="1041">
          <cell r="A1041">
            <v>122108</v>
          </cell>
          <cell r="C1041" t="str">
            <v>yanhaoyhli</v>
          </cell>
          <cell r="D1041" t="str">
            <v>制伏</v>
          </cell>
        </row>
        <row r="1042">
          <cell r="A1042">
            <v>122109</v>
          </cell>
          <cell r="C1042" t="str">
            <v>yanhaoyhli</v>
          </cell>
          <cell r="D1042" t="str">
            <v>借势威吓</v>
          </cell>
        </row>
        <row r="1043">
          <cell r="A1043">
            <v>122110</v>
          </cell>
          <cell r="C1043" t="str">
            <v>yanhaoyhli</v>
          </cell>
          <cell r="D1043" t="str">
            <v>神圣之剑</v>
          </cell>
        </row>
        <row r="1044">
          <cell r="A1044">
            <v>122111</v>
          </cell>
          <cell r="C1044" t="str">
            <v>yanhaoyhli</v>
          </cell>
          <cell r="D1044" t="str">
            <v>会心加护</v>
          </cell>
        </row>
        <row r="1045">
          <cell r="A1045">
            <v>122112</v>
          </cell>
          <cell r="C1045" t="str">
            <v>yanhaoyhli</v>
          </cell>
          <cell r="D1045" t="str">
            <v>燃身战意</v>
          </cell>
        </row>
        <row r="1046">
          <cell r="A1046">
            <v>122113</v>
          </cell>
          <cell r="C1046" t="str">
            <v>yanhaoyhli</v>
          </cell>
          <cell r="D1046" t="str">
            <v>激昂</v>
          </cell>
        </row>
        <row r="1047">
          <cell r="A1047">
            <v>122114</v>
          </cell>
          <cell r="C1047" t="str">
            <v>yanhaoyhli</v>
          </cell>
          <cell r="D1047" t="str">
            <v>阳谋</v>
          </cell>
        </row>
        <row r="1048">
          <cell r="A1048">
            <v>122115</v>
          </cell>
          <cell r="C1048" t="str">
            <v>yanhaoyhli</v>
          </cell>
          <cell r="D1048" t="str">
            <v>反间</v>
          </cell>
        </row>
        <row r="1049">
          <cell r="A1049">
            <v>122116</v>
          </cell>
          <cell r="C1049" t="str">
            <v>yanhaoyhli</v>
          </cell>
          <cell r="D1049" t="str">
            <v>机变</v>
          </cell>
        </row>
        <row r="1050">
          <cell r="A1050">
            <v>122117</v>
          </cell>
          <cell r="C1050" t="str">
            <v>yanhaoyhli</v>
          </cell>
          <cell r="D1050" t="str">
            <v>苦肉</v>
          </cell>
        </row>
        <row r="1051">
          <cell r="A1051">
            <v>122118</v>
          </cell>
          <cell r="C1051" t="str">
            <v>yanhaoyhli</v>
          </cell>
          <cell r="D1051" t="str">
            <v>余烬之灼</v>
          </cell>
        </row>
        <row r="1052">
          <cell r="A1052">
            <v>122119</v>
          </cell>
          <cell r="C1052" t="str">
            <v>yanhaoyhli</v>
          </cell>
          <cell r="D1052" t="str">
            <v>戒备</v>
          </cell>
        </row>
        <row r="1053">
          <cell r="A1053">
            <v>122120</v>
          </cell>
          <cell r="C1053" t="str">
            <v>yanhaoyhli</v>
          </cell>
          <cell r="D1053" t="str">
            <v>阵鼓</v>
          </cell>
        </row>
        <row r="1054">
          <cell r="A1054">
            <v>122121</v>
          </cell>
          <cell r="C1054" t="str">
            <v>yanhaoyhli</v>
          </cell>
          <cell r="D1054" t="str">
            <v>掌军</v>
          </cell>
        </row>
        <row r="1055">
          <cell r="A1055">
            <v>122122</v>
          </cell>
          <cell r="C1055" t="str">
            <v>yanhaoyhli</v>
          </cell>
          <cell r="D1055" t="str">
            <v>变阵</v>
          </cell>
        </row>
        <row r="1056">
          <cell r="A1056">
            <v>122123</v>
          </cell>
          <cell r="C1056" t="str">
            <v>yanhaoyhli</v>
          </cell>
          <cell r="D1056" t="str">
            <v>裸衣</v>
          </cell>
        </row>
        <row r="1057">
          <cell r="A1057">
            <v>122124</v>
          </cell>
          <cell r="C1057" t="str">
            <v>yanhaoyhli</v>
          </cell>
          <cell r="D1057" t="str">
            <v>伏击</v>
          </cell>
        </row>
        <row r="1058">
          <cell r="A1058">
            <v>122125</v>
          </cell>
          <cell r="C1058" t="str">
            <v>yanhaoyhli</v>
          </cell>
          <cell r="D1058" t="str">
            <v>入阵曲</v>
          </cell>
        </row>
        <row r="1059">
          <cell r="A1059">
            <v>122126</v>
          </cell>
          <cell r="C1059" t="str">
            <v>yanhaoyhli</v>
          </cell>
          <cell r="D1059" t="str">
            <v>固本</v>
          </cell>
        </row>
        <row r="1060">
          <cell r="A1060">
            <v>23001</v>
          </cell>
          <cell r="C1060" t="str">
            <v>waaaghwang</v>
          </cell>
          <cell r="D1060" t="str">
            <v>紫色信物</v>
          </cell>
        </row>
        <row r="1061">
          <cell r="A1061">
            <v>23002</v>
          </cell>
          <cell r="C1061" t="str">
            <v>waaaghwang</v>
          </cell>
          <cell r="D1061" t="str">
            <v>橙色信物</v>
          </cell>
        </row>
        <row r="1062">
          <cell r="A1062">
            <v>23003</v>
          </cell>
          <cell r="C1062" t="str">
            <v>ryanshen</v>
          </cell>
          <cell r="D1062" t="str">
            <v>橙色信物碎片</v>
          </cell>
        </row>
        <row r="1063">
          <cell r="A1063">
            <v>23004</v>
          </cell>
          <cell r="C1063" t="str">
            <v>reniexu</v>
          </cell>
          <cell r="D1063" t="str">
            <v>反戈一击碎片（测试合成道具）</v>
          </cell>
        </row>
        <row r="1064">
          <cell r="A1064">
            <v>123001</v>
          </cell>
          <cell r="C1064" t="str">
            <v>yanhaoyhli</v>
          </cell>
          <cell r="D1064" t="str">
            <v>通用紫色碎片</v>
          </cell>
        </row>
        <row r="1065">
          <cell r="A1065">
            <v>123002</v>
          </cell>
          <cell r="C1065" t="str">
            <v>yanhaoyhli</v>
          </cell>
          <cell r="D1065" t="str">
            <v>通用橙色碎片</v>
          </cell>
        </row>
        <row r="1066">
          <cell r="A1066">
            <v>24001</v>
          </cell>
          <cell r="C1066" t="str">
            <v>richwthuang</v>
          </cell>
          <cell r="D1066" t="str">
            <v>云龙骧·骁骑</v>
          </cell>
        </row>
        <row r="1067">
          <cell r="A1067">
            <v>24002</v>
          </cell>
          <cell r="C1067" t="str">
            <v>richwthuang</v>
          </cell>
          <cell r="D1067" t="str">
            <v>丹虬·骁骑</v>
          </cell>
        </row>
        <row r="1068">
          <cell r="A1068">
            <v>24003</v>
          </cell>
          <cell r="C1068" t="str">
            <v>richwthuang</v>
          </cell>
          <cell r="D1068" t="str">
            <v>搏浪舟·骁骑</v>
          </cell>
        </row>
        <row r="1069">
          <cell r="A1069">
            <v>24004</v>
          </cell>
          <cell r="C1069" t="str">
            <v>richwthuang</v>
          </cell>
          <cell r="D1069" t="str">
            <v>镇岳雷·骁骑</v>
          </cell>
        </row>
        <row r="1070">
          <cell r="A1070">
            <v>24005</v>
          </cell>
          <cell r="C1070" t="str">
            <v>richwthuang</v>
          </cell>
          <cell r="D1070" t="str">
            <v>雷云·骁骑</v>
          </cell>
        </row>
        <row r="1071">
          <cell r="A1071">
            <v>24006</v>
          </cell>
          <cell r="C1071" t="str">
            <v>richwthuang</v>
          </cell>
          <cell r="D1071" t="str">
            <v>诺里斯·骁骑</v>
          </cell>
        </row>
        <row r="1072">
          <cell r="A1072">
            <v>24007</v>
          </cell>
          <cell r="C1072" t="str">
            <v>richwthuang</v>
          </cell>
          <cell r="D1072" t="str">
            <v>卷云驹·骁骑</v>
          </cell>
        </row>
        <row r="1073">
          <cell r="A1073">
            <v>24008</v>
          </cell>
          <cell r="C1073" t="str">
            <v>richwthuang</v>
          </cell>
          <cell r="D1073" t="str">
            <v>燎原·骁骑</v>
          </cell>
        </row>
        <row r="1074">
          <cell r="A1074">
            <v>24009</v>
          </cell>
          <cell r="C1074" t="str">
            <v>richwthuang</v>
          </cell>
          <cell r="D1074" t="str">
            <v>达尔克·骁骑</v>
          </cell>
        </row>
        <row r="1075">
          <cell r="A1075">
            <v>24010</v>
          </cell>
          <cell r="C1075" t="str">
            <v>richwthuang</v>
          </cell>
          <cell r="D1075" t="str">
            <v>洗月·骁骑</v>
          </cell>
        </row>
        <row r="1076">
          <cell r="A1076">
            <v>24011</v>
          </cell>
          <cell r="C1076" t="str">
            <v>richwthuang</v>
          </cell>
          <cell r="D1076" t="str">
            <v>乌星·枪魂</v>
          </cell>
        </row>
        <row r="1077">
          <cell r="A1077">
            <v>24012</v>
          </cell>
          <cell r="C1077" t="str">
            <v>richwthuang</v>
          </cell>
          <cell r="D1077" t="str">
            <v>镇岳雷·枪魂</v>
          </cell>
        </row>
        <row r="1078">
          <cell r="A1078">
            <v>24013</v>
          </cell>
          <cell r="C1078" t="str">
            <v>richwthuang</v>
          </cell>
          <cell r="D1078" t="str">
            <v>佩萨斯·枪魂</v>
          </cell>
        </row>
        <row r="1079">
          <cell r="A1079">
            <v>24014</v>
          </cell>
          <cell r="C1079" t="str">
            <v>richwthuang</v>
          </cell>
          <cell r="D1079" t="str">
            <v>诺里斯·枪魂</v>
          </cell>
        </row>
        <row r="1080">
          <cell r="A1080">
            <v>24015</v>
          </cell>
          <cell r="C1080" t="str">
            <v>richwthuang</v>
          </cell>
          <cell r="D1080" t="str">
            <v>卷云驹·枪魂</v>
          </cell>
        </row>
        <row r="1081">
          <cell r="A1081">
            <v>24016</v>
          </cell>
          <cell r="C1081" t="str">
            <v>richwthuang</v>
          </cell>
          <cell r="D1081" t="str">
            <v>燎原·枪魂</v>
          </cell>
        </row>
        <row r="1082">
          <cell r="A1082">
            <v>24017</v>
          </cell>
          <cell r="C1082" t="str">
            <v>richwthuang</v>
          </cell>
          <cell r="D1082" t="str">
            <v>达尔克·枪魂</v>
          </cell>
        </row>
        <row r="1083">
          <cell r="A1083">
            <v>24018</v>
          </cell>
          <cell r="C1083" t="str">
            <v>richwthuang</v>
          </cell>
          <cell r="D1083" t="str">
            <v>洗月·枪魂</v>
          </cell>
        </row>
        <row r="1084">
          <cell r="A1084">
            <v>24019</v>
          </cell>
          <cell r="C1084" t="str">
            <v>richwthuang</v>
          </cell>
          <cell r="D1084" t="str">
            <v>佩萨斯·剑心</v>
          </cell>
        </row>
        <row r="1085">
          <cell r="A1085">
            <v>24020</v>
          </cell>
          <cell r="C1085" t="str">
            <v>richwthuang</v>
          </cell>
          <cell r="D1085" t="str">
            <v>逐电·剑心</v>
          </cell>
        </row>
        <row r="1086">
          <cell r="A1086">
            <v>24021</v>
          </cell>
          <cell r="C1086" t="str">
            <v>richwthuang</v>
          </cell>
          <cell r="D1086" t="str">
            <v>玄明·剑心</v>
          </cell>
        </row>
        <row r="1087">
          <cell r="A1087">
            <v>24022</v>
          </cell>
          <cell r="C1087" t="str">
            <v>richwthuang</v>
          </cell>
          <cell r="D1087" t="str">
            <v>镇岳雷·剑心</v>
          </cell>
        </row>
        <row r="1088">
          <cell r="A1088">
            <v>24023</v>
          </cell>
          <cell r="C1088" t="str">
            <v>richwthuang</v>
          </cell>
          <cell r="D1088" t="str">
            <v>云龙骧·剑心</v>
          </cell>
        </row>
        <row r="1089">
          <cell r="A1089">
            <v>24024</v>
          </cell>
          <cell r="C1089" t="str">
            <v>richwthuang</v>
          </cell>
          <cell r="D1089" t="str">
            <v>诺里斯·剑心</v>
          </cell>
        </row>
        <row r="1090">
          <cell r="A1090">
            <v>24025</v>
          </cell>
          <cell r="C1090" t="str">
            <v>richwthuang</v>
          </cell>
          <cell r="D1090" t="str">
            <v>卷云驹·剑心</v>
          </cell>
        </row>
        <row r="1091">
          <cell r="A1091">
            <v>24026</v>
          </cell>
          <cell r="C1091" t="str">
            <v>richwthuang</v>
          </cell>
          <cell r="D1091" t="str">
            <v>燎原·剑心</v>
          </cell>
        </row>
        <row r="1092">
          <cell r="A1092">
            <v>24027</v>
          </cell>
          <cell r="C1092" t="str">
            <v>richwthuang</v>
          </cell>
          <cell r="D1092" t="str">
            <v>达尔克·剑心</v>
          </cell>
        </row>
        <row r="1093">
          <cell r="A1093">
            <v>24028</v>
          </cell>
          <cell r="C1093" t="str">
            <v>richwthuang</v>
          </cell>
          <cell r="D1093" t="str">
            <v>洗月·剑心</v>
          </cell>
        </row>
        <row r="1094">
          <cell r="A1094">
            <v>24029</v>
          </cell>
          <cell r="C1094" t="str">
            <v>richwthuang</v>
          </cell>
          <cell r="D1094" t="str">
            <v>白玉猊·弓首</v>
          </cell>
        </row>
        <row r="1095">
          <cell r="A1095">
            <v>24030</v>
          </cell>
          <cell r="C1095" t="str">
            <v>richwthuang</v>
          </cell>
          <cell r="D1095" t="str">
            <v>逐电·弓首</v>
          </cell>
        </row>
        <row r="1096">
          <cell r="A1096">
            <v>24031</v>
          </cell>
          <cell r="C1096" t="str">
            <v>richwthuang</v>
          </cell>
          <cell r="D1096" t="str">
            <v>诺里斯·弓首</v>
          </cell>
        </row>
        <row r="1097">
          <cell r="A1097">
            <v>24032</v>
          </cell>
          <cell r="C1097" t="str">
            <v>richwthuang</v>
          </cell>
          <cell r="D1097" t="str">
            <v>卷云驹·弓首</v>
          </cell>
        </row>
        <row r="1098">
          <cell r="A1098">
            <v>24033</v>
          </cell>
          <cell r="C1098" t="str">
            <v>richwthuang</v>
          </cell>
          <cell r="D1098" t="str">
            <v>燎原·弓首</v>
          </cell>
        </row>
        <row r="1099">
          <cell r="A1099">
            <v>24034</v>
          </cell>
          <cell r="C1099" t="str">
            <v>richwthuang</v>
          </cell>
          <cell r="D1099" t="str">
            <v>达尔克·弓首</v>
          </cell>
        </row>
        <row r="1100">
          <cell r="A1100">
            <v>24035</v>
          </cell>
          <cell r="C1100" t="str">
            <v>richwthuang</v>
          </cell>
          <cell r="D1100" t="str">
            <v>洗月·弓首</v>
          </cell>
        </row>
        <row r="1101">
          <cell r="A1101">
            <v>24036</v>
          </cell>
          <cell r="C1101" t="str">
            <v>richwthuang</v>
          </cell>
          <cell r="D1101" t="str">
            <v>赤兔马·骁骑</v>
          </cell>
        </row>
        <row r="1102">
          <cell r="A1102">
            <v>24037</v>
          </cell>
          <cell r="C1102" t="str">
            <v>richwthuang</v>
          </cell>
          <cell r="D1102" t="str">
            <v>帕拉丁·剑心</v>
          </cell>
        </row>
        <row r="1103">
          <cell r="A1103">
            <v>24038</v>
          </cell>
          <cell r="C1103" t="str">
            <v>richwthuang</v>
          </cell>
          <cell r="D1103" t="str">
            <v>搏浪舟·弓首</v>
          </cell>
        </row>
        <row r="1104">
          <cell r="A1104">
            <v>24039</v>
          </cell>
          <cell r="C1104" t="str">
            <v>richwthuang</v>
          </cell>
          <cell r="D1104" t="str">
            <v>云龙骧·弓首</v>
          </cell>
        </row>
        <row r="1105">
          <cell r="A1105">
            <v>24040</v>
          </cell>
          <cell r="C1105" t="str">
            <v>richwthuang</v>
          </cell>
          <cell r="D1105" t="str">
            <v>特勒骠·枪魂</v>
          </cell>
        </row>
        <row r="1106">
          <cell r="A1106">
            <v>24201</v>
          </cell>
          <cell r="C1106" t="str">
            <v>richwthuang</v>
          </cell>
          <cell r="D1106" t="str">
            <v>高地马</v>
          </cell>
        </row>
        <row r="1107">
          <cell r="A1107">
            <v>24202</v>
          </cell>
          <cell r="C1107" t="str">
            <v>richwthuang</v>
          </cell>
          <cell r="D1107" t="str">
            <v>草原马</v>
          </cell>
        </row>
        <row r="1108">
          <cell r="A1108">
            <v>25001</v>
          </cell>
          <cell r="C1108" t="str">
            <v>richwthuang</v>
          </cell>
          <cell r="D1108" t="str">
            <v>战马粮草</v>
          </cell>
        </row>
        <row r="1109">
          <cell r="A1109">
            <v>25002</v>
          </cell>
          <cell r="C1109" t="str">
            <v>richwthuang</v>
          </cell>
          <cell r="D1109" t="str">
            <v>驯马手记</v>
          </cell>
        </row>
        <row r="1110">
          <cell r="A1110">
            <v>25003</v>
          </cell>
          <cell r="C1110" t="str">
            <v>richwthuang</v>
          </cell>
          <cell r="D1110" t="str">
            <v>驯马典籍</v>
          </cell>
        </row>
        <row r="1111">
          <cell r="A1111">
            <v>25004</v>
          </cell>
          <cell r="C1111" t="str">
            <v>richwthuang</v>
          </cell>
          <cell r="D1111" t="str">
            <v>马铠精铁</v>
          </cell>
        </row>
        <row r="1112">
          <cell r="A1112">
            <v>25005</v>
          </cell>
          <cell r="C1112" t="str">
            <v>lotxu</v>
          </cell>
          <cell r="D1112" t="str">
            <v>马胚宝箱*剑</v>
          </cell>
        </row>
        <row r="1113">
          <cell r="A1113">
            <v>25006</v>
          </cell>
          <cell r="C1113" t="str">
            <v>lotxu</v>
          </cell>
          <cell r="D1113" t="str">
            <v>马胚宝箱*枪</v>
          </cell>
        </row>
        <row r="1114">
          <cell r="A1114">
            <v>25007</v>
          </cell>
          <cell r="C1114" t="str">
            <v>lotxu</v>
          </cell>
          <cell r="D1114" t="str">
            <v>马胚宝箱*骑</v>
          </cell>
        </row>
        <row r="1115">
          <cell r="A1115">
            <v>25008</v>
          </cell>
          <cell r="C1115" t="str">
            <v>lotxu</v>
          </cell>
          <cell r="D1115" t="str">
            <v>马胚宝箱*弓</v>
          </cell>
        </row>
        <row r="1116">
          <cell r="A1116">
            <v>25101</v>
          </cell>
          <cell r="C1116" t="str">
            <v>richwthuang</v>
          </cell>
          <cell r="D1116" t="str">
            <v>生铁</v>
          </cell>
        </row>
        <row r="1117">
          <cell r="A1117">
            <v>25102</v>
          </cell>
          <cell r="C1117" t="str">
            <v>richwthuang</v>
          </cell>
          <cell r="D1117" t="str">
            <v>琉璃</v>
          </cell>
        </row>
        <row r="1118">
          <cell r="A1118">
            <v>25103</v>
          </cell>
          <cell r="C1118" t="str">
            <v>richwthuang</v>
          </cell>
          <cell r="D1118" t="str">
            <v>紫铜</v>
          </cell>
        </row>
        <row r="1119">
          <cell r="A1119">
            <v>25104</v>
          </cell>
          <cell r="C1119" t="str">
            <v>richwthuang</v>
          </cell>
          <cell r="D1119" t="str">
            <v>玉髓</v>
          </cell>
        </row>
        <row r="1120">
          <cell r="A1120">
            <v>25105</v>
          </cell>
          <cell r="C1120" t="str">
            <v>richwthuang</v>
          </cell>
          <cell r="D1120" t="str">
            <v>赤金</v>
          </cell>
        </row>
        <row r="1121">
          <cell r="A1121">
            <v>25106</v>
          </cell>
          <cell r="C1121" t="str">
            <v>richwthuang</v>
          </cell>
          <cell r="D1121" t="str">
            <v>陨钢</v>
          </cell>
        </row>
        <row r="1122">
          <cell r="A1122">
            <v>25501</v>
          </cell>
          <cell r="C1122" t="str">
            <v>richwthuang</v>
          </cell>
          <cell r="D1122" t="str">
            <v>预设挂饰疾锋剑刃（紫色）</v>
          </cell>
        </row>
        <row r="1123">
          <cell r="A1123">
            <v>25502</v>
          </cell>
          <cell r="C1123" t="str">
            <v>richwthuang</v>
          </cell>
          <cell r="D1123" t="str">
            <v>预设挂饰灵明圆镜（紫色）</v>
          </cell>
        </row>
        <row r="1124">
          <cell r="A1124">
            <v>25503</v>
          </cell>
          <cell r="C1124" t="str">
            <v>richwthuang</v>
          </cell>
          <cell r="D1124" t="str">
            <v>预设挂饰锐芒矢镝（橙色）</v>
          </cell>
        </row>
        <row r="1125">
          <cell r="A1125">
            <v>25504</v>
          </cell>
          <cell r="C1125" t="str">
            <v>richwthuang</v>
          </cell>
          <cell r="D1125" t="str">
            <v>预设挂饰启迪晨星（橙色）</v>
          </cell>
        </row>
        <row r="1126">
          <cell r="A1126">
            <v>25601</v>
          </cell>
          <cell r="C1126" t="str">
            <v>richwthuang</v>
          </cell>
          <cell r="D1126" t="str">
            <v>精工图纸（铁骨）</v>
          </cell>
        </row>
        <row r="1127">
          <cell r="A1127">
            <v>25602</v>
          </cell>
          <cell r="C1127" t="str">
            <v>richwthuang</v>
          </cell>
          <cell r="D1127" t="str">
            <v>精工图纸（征天）</v>
          </cell>
        </row>
        <row r="1128">
          <cell r="A1128">
            <v>25603</v>
          </cell>
          <cell r="C1128" t="str">
            <v>richwthuang</v>
          </cell>
          <cell r="D1128" t="str">
            <v>精工图纸（炽炎）</v>
          </cell>
        </row>
        <row r="1129">
          <cell r="A1129">
            <v>25604</v>
          </cell>
          <cell r="C1129" t="str">
            <v>richwthuang</v>
          </cell>
          <cell r="D1129" t="str">
            <v>精工图纸（旗魂）</v>
          </cell>
        </row>
        <row r="1130">
          <cell r="A1130">
            <v>25605</v>
          </cell>
          <cell r="C1130" t="str">
            <v>richwthuang</v>
          </cell>
          <cell r="D1130" t="str">
            <v>精工图纸（玉麟）</v>
          </cell>
        </row>
        <row r="1131">
          <cell r="A1131">
            <v>25701</v>
          </cell>
          <cell r="C1131" t="str">
            <v>richwthuang</v>
          </cell>
          <cell r="D1131" t="str">
            <v>高级精工图纸（霸王）</v>
          </cell>
        </row>
        <row r="1132">
          <cell r="A1132">
            <v>25702</v>
          </cell>
          <cell r="C1132" t="str">
            <v>richwthuang</v>
          </cell>
          <cell r="D1132" t="str">
            <v>高级精工图纸（神意）</v>
          </cell>
        </row>
        <row r="1133">
          <cell r="A1133">
            <v>25703</v>
          </cell>
          <cell r="C1133" t="str">
            <v>richwthuang</v>
          </cell>
          <cell r="D1133" t="str">
            <v>高级精工图纸（普化）</v>
          </cell>
        </row>
        <row r="1134">
          <cell r="A1134">
            <v>25704</v>
          </cell>
          <cell r="C1134" t="str">
            <v>richwthuang</v>
          </cell>
          <cell r="D1134" t="str">
            <v>高级精工图纸（驰霄）</v>
          </cell>
        </row>
        <row r="1135">
          <cell r="A1135">
            <v>25705</v>
          </cell>
          <cell r="C1135" t="str">
            <v>richwthuang</v>
          </cell>
          <cell r="D1135" t="str">
            <v>高级精工图纸（飞渡）</v>
          </cell>
        </row>
        <row r="1136">
          <cell r="A1136">
            <v>26001</v>
          </cell>
          <cell r="C1136" t="str">
            <v>waaaghwang</v>
          </cell>
          <cell r="D1136" t="str">
            <v>琼恩</v>
          </cell>
        </row>
        <row r="1137">
          <cell r="A1137">
            <v>26002</v>
          </cell>
          <cell r="C1137" t="str">
            <v>waaaghwang</v>
          </cell>
          <cell r="D1137" t="str">
            <v>影武者</v>
          </cell>
        </row>
        <row r="1138">
          <cell r="A1138">
            <v>26003</v>
          </cell>
          <cell r="C1138" t="str">
            <v>waaaghwang</v>
          </cell>
          <cell r="D1138" t="str">
            <v>尤里乌斯</v>
          </cell>
        </row>
        <row r="1139">
          <cell r="A1139">
            <v>26004</v>
          </cell>
          <cell r="C1139" t="str">
            <v>waaaghwang</v>
          </cell>
          <cell r="D1139" t="str">
            <v>艳后</v>
          </cell>
        </row>
        <row r="1140">
          <cell r="A1140">
            <v>26005</v>
          </cell>
          <cell r="C1140" t="str">
            <v>waaaghwang</v>
          </cell>
          <cell r="D1140" t="str">
            <v>关羽</v>
          </cell>
        </row>
        <row r="1141">
          <cell r="A1141">
            <v>26006</v>
          </cell>
          <cell r="C1141" t="str">
            <v>waaaghwang</v>
          </cell>
          <cell r="D1141" t="str">
            <v>亨利</v>
          </cell>
        </row>
        <row r="1142">
          <cell r="A1142">
            <v>26007</v>
          </cell>
          <cell r="C1142" t="str">
            <v>waaaghwang</v>
          </cell>
          <cell r="D1142" t="str">
            <v>项楚</v>
          </cell>
        </row>
        <row r="1143">
          <cell r="A1143">
            <v>26009</v>
          </cell>
          <cell r="C1143" t="str">
            <v>waaaghwang</v>
          </cell>
          <cell r="D1143" t="str">
            <v>魏兰</v>
          </cell>
        </row>
        <row r="1144">
          <cell r="A1144">
            <v>26010</v>
          </cell>
          <cell r="C1144" t="str">
            <v>doublehwang</v>
          </cell>
          <cell r="D1144" t="str">
            <v>查士丁尼</v>
          </cell>
        </row>
        <row r="1145">
          <cell r="A1145">
            <v>26013</v>
          </cell>
          <cell r="C1145" t="str">
            <v>waaaghwang</v>
          </cell>
          <cell r="D1145" t="str">
            <v>列奥尼达</v>
          </cell>
        </row>
        <row r="1146">
          <cell r="A1146">
            <v>26014</v>
          </cell>
          <cell r="C1146" t="str">
            <v>waaaghwang</v>
          </cell>
          <cell r="D1146" t="str">
            <v>孙武</v>
          </cell>
        </row>
        <row r="1147">
          <cell r="A1147">
            <v>26015</v>
          </cell>
          <cell r="C1147" t="str">
            <v>waaaghwang</v>
          </cell>
          <cell r="D1147" t="str">
            <v>女帝</v>
          </cell>
        </row>
        <row r="1148">
          <cell r="A1148">
            <v>26017</v>
          </cell>
          <cell r="C1148" t="str">
            <v>waaaghwang</v>
          </cell>
          <cell r="D1148" t="str">
            <v>弗德里希</v>
          </cell>
        </row>
        <row r="1149">
          <cell r="A1149">
            <v>26019</v>
          </cell>
          <cell r="C1149" t="str">
            <v>waaaghwang</v>
          </cell>
          <cell r="D1149" t="str">
            <v>大流士一世</v>
          </cell>
        </row>
        <row r="1150">
          <cell r="A1150">
            <v>26021</v>
          </cell>
          <cell r="C1150" t="str">
            <v>waaaghwang</v>
          </cell>
          <cell r="D1150" t="str">
            <v>亚瑟王</v>
          </cell>
        </row>
        <row r="1151">
          <cell r="A1151">
            <v>26022</v>
          </cell>
          <cell r="C1151" t="str">
            <v>waaaghwang</v>
          </cell>
          <cell r="D1151" t="str">
            <v>亚历山大</v>
          </cell>
        </row>
        <row r="1152">
          <cell r="A1152">
            <v>26023</v>
          </cell>
          <cell r="C1152" t="str">
            <v>doublehwang</v>
          </cell>
          <cell r="D1152" t="str">
            <v>汉尼拔</v>
          </cell>
        </row>
        <row r="1153">
          <cell r="A1153">
            <v>26026</v>
          </cell>
          <cell r="C1153" t="str">
            <v>waaaghwang</v>
          </cell>
          <cell r="D1153" t="str">
            <v>赵云</v>
          </cell>
        </row>
        <row r="1154">
          <cell r="A1154">
            <v>26027</v>
          </cell>
          <cell r="C1154" t="str">
            <v>waaaghwang</v>
          </cell>
          <cell r="D1154" t="str">
            <v>兰陵王</v>
          </cell>
        </row>
        <row r="1155">
          <cell r="A1155">
            <v>26028</v>
          </cell>
          <cell r="C1155" t="str">
            <v>waaaghwang</v>
          </cell>
          <cell r="D1155" t="str">
            <v>虞姬</v>
          </cell>
        </row>
        <row r="1156">
          <cell r="A1156">
            <v>26029</v>
          </cell>
          <cell r="C1156" t="str">
            <v>doublehwang</v>
          </cell>
          <cell r="D1156" t="str">
            <v>白起</v>
          </cell>
        </row>
        <row r="1157">
          <cell r="A1157">
            <v>26030</v>
          </cell>
          <cell r="C1157" t="str">
            <v>waaaghwang</v>
          </cell>
          <cell r="D1157" t="str">
            <v>秦叔宝</v>
          </cell>
        </row>
        <row r="1158">
          <cell r="A1158">
            <v>26031</v>
          </cell>
          <cell r="C1158" t="str">
            <v>waaaghwang</v>
          </cell>
          <cell r="D1158" t="str">
            <v>尉迟恭</v>
          </cell>
        </row>
        <row r="1159">
          <cell r="A1159">
            <v>26033</v>
          </cell>
          <cell r="C1159" t="str">
            <v>waaaghwang</v>
          </cell>
          <cell r="D1159" t="str">
            <v>诸葛亮</v>
          </cell>
        </row>
        <row r="1160">
          <cell r="A1160">
            <v>26036</v>
          </cell>
          <cell r="C1160" t="str">
            <v>jackjxzhang</v>
          </cell>
          <cell r="D1160" t="str">
            <v>安德莉娅</v>
          </cell>
        </row>
        <row r="1161">
          <cell r="A1161">
            <v>30001</v>
          </cell>
          <cell r="C1161" t="str">
            <v>lotxu</v>
          </cell>
        </row>
        <row r="1162">
          <cell r="A1162">
            <v>30002</v>
          </cell>
          <cell r="C1162" t="str">
            <v>lotxu</v>
          </cell>
        </row>
        <row r="1163">
          <cell r="A1163">
            <v>30003</v>
          </cell>
          <cell r="C1163" t="str">
            <v>reniexu</v>
          </cell>
          <cell r="D1163" t="str">
            <v>【仅测试用】可预览随机宝箱-直接打开
（必得：木材*5；随机：木材*4、食物*3、石头*2、黄金*1）</v>
          </cell>
        </row>
        <row r="1164">
          <cell r="A1164">
            <v>30004</v>
          </cell>
          <cell r="C1164" t="str">
            <v>reniexu</v>
          </cell>
          <cell r="D1164" t="str">
            <v>【仅测试用】可预览随机宝箱-进背包 ，不限时
（必得：木材*5；随机：木材*4、食物*3、石头*2、黄金*1）</v>
          </cell>
        </row>
        <row r="1165">
          <cell r="A1165">
            <v>30005</v>
          </cell>
          <cell r="C1165" t="str">
            <v>reniexu</v>
          </cell>
          <cell r="D1165" t="str">
            <v>【仅测试用】可预览随机宝箱-进背包 ，限时
（必得：木材*5；随机：木材*4、食物*3、石头*2、黄金*1）</v>
          </cell>
        </row>
        <row r="1166">
          <cell r="A1166">
            <v>30006</v>
          </cell>
          <cell r="C1166" t="str">
            <v>reniexu</v>
          </cell>
          <cell r="D1166" t="str">
            <v>【仅测试用】可预览随机宝箱-进背包 ，含限时道具
（必得：帝国之星-限时、木材*5）</v>
          </cell>
        </row>
        <row r="1167">
          <cell r="A1167">
            <v>30007</v>
          </cell>
          <cell r="C1167" t="str">
            <v>reniexu</v>
          </cell>
          <cell r="D1167" t="str">
            <v>可预览随机宝箱-直接打开
（必得：木材*5；随机：木材*4、食物*3、石头*2、黄金*1）</v>
          </cell>
        </row>
        <row r="1168">
          <cell r="A1168">
            <v>30008</v>
          </cell>
          <cell r="C1168" t="str">
            <v>reniexu</v>
          </cell>
          <cell r="D1168" t="str">
            <v>至强技能宝箱（商业化投放）</v>
          </cell>
        </row>
        <row r="1169">
          <cell r="A1169">
            <v>30009</v>
          </cell>
          <cell r="C1169" t="str">
            <v>reniexu</v>
          </cell>
          <cell r="D1169" t="str">
            <v>至强技能宝箱（商业化投放-必得饥渴之刃）</v>
          </cell>
        </row>
        <row r="1170">
          <cell r="A1170">
            <v>30010</v>
          </cell>
          <cell r="C1170" t="str">
            <v>reniexu</v>
          </cell>
          <cell r="D1170" t="str">
            <v>无双技能宝箱（商业化投放）</v>
          </cell>
        </row>
        <row r="1171">
          <cell r="A1171">
            <v>30011</v>
          </cell>
          <cell r="C1171" t="str">
            <v>reniexu</v>
          </cell>
          <cell r="D1171" t="str">
            <v>无双技能宝箱（商业化投放-大概率获得慈悲终结）</v>
          </cell>
        </row>
        <row r="1172">
          <cell r="A1172">
            <v>30012</v>
          </cell>
          <cell r="B1172"/>
          <cell r="C1172" t="str">
            <v>louieshen</v>
          </cell>
          <cell r="D1172" t="str">
            <v>联盟开服同庆红包</v>
          </cell>
        </row>
        <row r="1173">
          <cell r="A1173">
            <v>30013</v>
          </cell>
          <cell r="C1173" t="str">
            <v>reniexu</v>
          </cell>
          <cell r="D1173" t="str">
            <v>超值资源宝箱</v>
          </cell>
        </row>
        <row r="1174">
          <cell r="A1174">
            <v>30014</v>
          </cell>
          <cell r="B1174"/>
          <cell r="C1174" t="str">
            <v>reniexu</v>
          </cell>
          <cell r="D1174" t="str">
            <v>预约专属礼盒</v>
          </cell>
        </row>
        <row r="1175">
          <cell r="A1175">
            <v>30018</v>
          </cell>
          <cell r="B1175"/>
          <cell r="C1175" t="str">
            <v>louieshen</v>
          </cell>
          <cell r="D1175" t="str">
            <v>州频开服同庆红包</v>
          </cell>
        </row>
        <row r="1176">
          <cell r="A1176">
            <v>30019</v>
          </cell>
          <cell r="B1176"/>
          <cell r="C1176" t="str">
            <v>louieshen</v>
          </cell>
          <cell r="D1176" t="str">
            <v>世界开服同庆红包</v>
          </cell>
        </row>
        <row r="1177">
          <cell r="A1177">
            <v>30020</v>
          </cell>
          <cell r="C1177" t="str">
            <v>pinoyao</v>
          </cell>
          <cell r="D1177" t="str">
            <v>帝国秘卷</v>
          </cell>
        </row>
        <row r="1178">
          <cell r="A1178">
            <v>30021</v>
          </cell>
          <cell r="B1178"/>
          <cell r="C1178" t="str">
            <v>reniexu</v>
          </cell>
          <cell r="D1178" t="str">
            <v>帝国之星（测试合成道具用）</v>
          </cell>
        </row>
        <row r="1179">
          <cell r="A1179">
            <v>30022</v>
          </cell>
          <cell r="B1179"/>
          <cell r="C1179" t="str">
            <v>reniexu</v>
          </cell>
          <cell r="D1179" t="str">
            <v>自选宝箱（测试合成道具用）</v>
          </cell>
        </row>
        <row r="1180">
          <cell r="A1180">
            <v>30023</v>
          </cell>
          <cell r="B1180"/>
          <cell r="C1180" t="str">
            <v>reniexu</v>
          </cell>
          <cell r="D1180" t="str">
            <v>自选资源宝箱（测试用）</v>
          </cell>
        </row>
        <row r="1181">
          <cell r="A1181">
            <v>30024</v>
          </cell>
          <cell r="B1181"/>
          <cell r="C1181" t="str">
            <v>greececheng</v>
          </cell>
          <cell r="D1181" t="str">
            <v>庆典卷轴</v>
          </cell>
        </row>
        <row r="1182">
          <cell r="A1182">
            <v>30025</v>
          </cell>
          <cell r="B1182"/>
          <cell r="C1182" t="str">
            <v>greececheng</v>
          </cell>
          <cell r="D1182" t="str">
            <v>东方照月礼券</v>
          </cell>
        </row>
        <row r="1183">
          <cell r="A1183">
            <v>30026</v>
          </cell>
          <cell r="B1183"/>
          <cell r="C1183" t="str">
            <v>greececheng</v>
          </cell>
          <cell r="D1183" t="str">
            <v>东方照月礼</v>
          </cell>
        </row>
        <row r="1184">
          <cell r="A1184">
            <v>30027</v>
          </cell>
          <cell r="B1184"/>
          <cell r="C1184" t="str">
            <v>louieshen</v>
          </cell>
          <cell r="D1184" t="str">
            <v>盛宴分享红包</v>
          </cell>
        </row>
        <row r="1185">
          <cell r="A1185">
            <v>30028</v>
          </cell>
          <cell r="B1185"/>
          <cell r="C1185" t="str">
            <v>greececheng</v>
          </cell>
          <cell r="D1185" t="str">
            <v>凤鸣宝玉</v>
          </cell>
        </row>
        <row r="1186">
          <cell r="A1186">
            <v>30029</v>
          </cell>
          <cell r="B1186"/>
          <cell r="C1186" t="str">
            <v>greececheng</v>
          </cell>
          <cell r="D1186" t="str">
            <v>凤翎箭</v>
          </cell>
        </row>
        <row r="1187">
          <cell r="A1187">
            <v>30030</v>
          </cell>
          <cell r="B1187"/>
          <cell r="C1187" t="str">
            <v>louieshen</v>
          </cell>
          <cell r="D1187" t="str">
            <v>孙子兵法（自选宝箱）</v>
          </cell>
        </row>
        <row r="1188">
          <cell r="A1188">
            <v>30031</v>
          </cell>
          <cell r="B1188"/>
          <cell r="C1188" t="str">
            <v>reniexu</v>
          </cell>
          <cell r="D1188" t="str">
            <v>外显随机宝箱</v>
          </cell>
        </row>
        <row r="1189">
          <cell r="A1189">
            <v>30032</v>
          </cell>
          <cell r="B1189"/>
          <cell r="C1189" t="str">
            <v>reniexu</v>
          </cell>
          <cell r="D1189" t="str">
            <v>传说英雄自选宝箱</v>
          </cell>
        </row>
        <row r="1190">
          <cell r="A1190">
            <v>30033</v>
          </cell>
          <cell r="B1190"/>
          <cell r="C1190" t="str">
            <v>reniexu</v>
          </cell>
          <cell r="D1190" t="str">
            <v>城池装扮碎片</v>
          </cell>
        </row>
        <row r="1191">
          <cell r="A1191">
            <v>30034</v>
          </cell>
          <cell r="B1191"/>
          <cell r="C1191" t="str">
            <v>louieshen</v>
          </cell>
          <cell r="D1191" t="str">
            <v>军演名马自选宝箱</v>
          </cell>
        </row>
        <row r="1192">
          <cell r="A1192">
            <v>30035</v>
          </cell>
          <cell r="B1192"/>
          <cell r="C1192" t="str">
            <v>louieshen</v>
          </cell>
          <cell r="D1192" t="str">
            <v>通用活动红包</v>
          </cell>
        </row>
        <row r="1193">
          <cell r="A1193">
            <v>30036</v>
          </cell>
          <cell r="B1193"/>
          <cell r="C1193" t="str">
            <v>greececheng</v>
          </cell>
          <cell r="D1193" t="str">
            <v>赛季特权自选宝箱1（测试）</v>
          </cell>
        </row>
        <row r="1194">
          <cell r="A1194">
            <v>30037</v>
          </cell>
          <cell r="B1194"/>
          <cell r="C1194" t="str">
            <v>greececheng</v>
          </cell>
          <cell r="D1194" t="str">
            <v>赛季特权自选宝箱2（测试）</v>
          </cell>
        </row>
        <row r="1195">
          <cell r="A1195">
            <v>30038</v>
          </cell>
          <cell r="B1195"/>
          <cell r="C1195" t="str">
            <v>greececheng</v>
          </cell>
          <cell r="D1195" t="str">
            <v>招募礼-强军宝箱-350</v>
          </cell>
        </row>
        <row r="1196">
          <cell r="A1196">
            <v>30039</v>
          </cell>
          <cell r="B1196"/>
          <cell r="C1196" t="str">
            <v>greececheng</v>
          </cell>
          <cell r="D1196" t="str">
            <v>招募礼-强军宝箱-450</v>
          </cell>
        </row>
        <row r="1197">
          <cell r="A1197">
            <v>30040</v>
          </cell>
          <cell r="B1197"/>
          <cell r="C1197" t="str">
            <v>greececheng</v>
          </cell>
          <cell r="D1197" t="str">
            <v>招募礼-强军宝箱-550</v>
          </cell>
        </row>
        <row r="1198">
          <cell r="A1198">
            <v>30041</v>
          </cell>
          <cell r="B1198"/>
          <cell r="C1198" t="str">
            <v>greececheng</v>
          </cell>
          <cell r="D1198" t="str">
            <v>招募礼-强军宝箱-650</v>
          </cell>
        </row>
        <row r="1199">
          <cell r="A1199">
            <v>30042</v>
          </cell>
          <cell r="B1199"/>
          <cell r="C1199" t="str">
            <v>greececheng</v>
          </cell>
          <cell r="D1199" t="str">
            <v>招募礼-强军宝箱-850</v>
          </cell>
        </row>
        <row r="1200">
          <cell r="A1200">
            <v>30043</v>
          </cell>
          <cell r="B1200"/>
          <cell r="C1200" t="str">
            <v>greececheng</v>
          </cell>
          <cell r="D1200" t="str">
            <v>招募礼-坚韧宝箱-450</v>
          </cell>
        </row>
        <row r="1201">
          <cell r="A1201">
            <v>30044</v>
          </cell>
          <cell r="B1201"/>
          <cell r="C1201" t="str">
            <v>greececheng</v>
          </cell>
          <cell r="D1201" t="str">
            <v>招募礼-坚韧宝箱-550</v>
          </cell>
        </row>
        <row r="1202">
          <cell r="A1202">
            <v>30045</v>
          </cell>
          <cell r="B1202"/>
          <cell r="C1202" t="str">
            <v>greececheng</v>
          </cell>
          <cell r="D1202" t="str">
            <v>招募礼-坚韧宝箱-650</v>
          </cell>
        </row>
        <row r="1203">
          <cell r="A1203">
            <v>30046</v>
          </cell>
          <cell r="B1203"/>
          <cell r="C1203" t="str">
            <v>greececheng</v>
          </cell>
          <cell r="D1203" t="str">
            <v>招募礼-坚韧宝箱-850</v>
          </cell>
        </row>
        <row r="1204">
          <cell r="A1204">
            <v>30047</v>
          </cell>
          <cell r="B1204"/>
          <cell r="C1204" t="str">
            <v>greececheng</v>
          </cell>
          <cell r="D1204" t="str">
            <v>英雄碎片宝箱</v>
          </cell>
        </row>
        <row r="1205">
          <cell r="A1205">
            <v>30048</v>
          </cell>
          <cell r="B1205"/>
          <cell r="C1205" t="str">
            <v>greececheng</v>
          </cell>
          <cell r="D1205" t="str">
            <v>每日幸运宝箱</v>
          </cell>
        </row>
        <row r="1206">
          <cell r="A1206">
            <v>30049</v>
          </cell>
          <cell r="C1206" t="str">
            <v>greececheng</v>
          </cell>
          <cell r="D1206" t="str">
            <v>尊享成长宝箱</v>
          </cell>
        </row>
        <row r="1207">
          <cell r="A1207">
            <v>30050</v>
          </cell>
          <cell r="C1207" t="str">
            <v>greececheng</v>
          </cell>
          <cell r="D1207" t="str">
            <v>巅峰成长宝箱</v>
          </cell>
        </row>
        <row r="1208">
          <cell r="A1208">
            <v>30051</v>
          </cell>
          <cell r="C1208" t="str">
            <v>greececheng</v>
          </cell>
          <cell r="D1208" t="str">
            <v>至尊成长宝箱</v>
          </cell>
        </row>
        <row r="1209">
          <cell r="A1209">
            <v>30052</v>
          </cell>
          <cell r="B1209"/>
          <cell r="C1209" t="str">
            <v>greececheng</v>
          </cell>
          <cell r="D1209" t="str">
            <v>霸业宝箱</v>
          </cell>
        </row>
        <row r="1210">
          <cell r="A1210">
            <v>30053</v>
          </cell>
          <cell r="B1210"/>
          <cell r="C1210" t="str">
            <v>louieshen</v>
          </cell>
          <cell r="D1210" t="str">
            <v>帝国荣耀幸运宝箱</v>
          </cell>
        </row>
        <row r="1211">
          <cell r="A1211">
            <v>30054</v>
          </cell>
          <cell r="B1211"/>
          <cell r="C1211" t="str">
            <v>yanhaoyhli</v>
          </cell>
          <cell r="D1211" t="str">
            <v>军演名马自选宝箱</v>
          </cell>
        </row>
        <row r="1212">
          <cell r="A1212">
            <v>30055</v>
          </cell>
          <cell r="B1212"/>
          <cell r="C1212" t="str">
            <v>greececheng</v>
          </cell>
          <cell r="D1212" t="str">
            <v>地图碎片</v>
          </cell>
        </row>
        <row r="1213">
          <cell r="A1213">
            <v>30056</v>
          </cell>
          <cell r="B1213"/>
          <cell r="C1213" t="str">
            <v>greececheng</v>
          </cell>
          <cell r="D1213" t="str">
            <v>传奇降世宝箱</v>
          </cell>
        </row>
        <row r="1214">
          <cell r="A1214">
            <v>30057</v>
          </cell>
          <cell r="B1214"/>
          <cell r="C1214" t="str">
            <v>greececheng</v>
          </cell>
          <cell r="D1214" t="str">
            <v>传奇惊世宝箱</v>
          </cell>
        </row>
        <row r="1215">
          <cell r="A1215">
            <v>30058</v>
          </cell>
          <cell r="B1215"/>
          <cell r="C1215" t="str">
            <v>greececheng</v>
          </cell>
          <cell r="D1215" t="str">
            <v>传奇耀世宝箱</v>
          </cell>
        </row>
        <row r="1216">
          <cell r="A1216">
            <v>30059</v>
          </cell>
          <cell r="B1216"/>
          <cell r="C1216" t="str">
            <v>greececheng</v>
          </cell>
          <cell r="D1216" t="str">
            <v>传奇现世英雄宝箱</v>
          </cell>
        </row>
        <row r="1217">
          <cell r="A1217">
            <v>30060</v>
          </cell>
          <cell r="B1217"/>
          <cell r="C1217" t="str">
            <v>greececheng</v>
          </cell>
          <cell r="D1217" t="str">
            <v>传奇谋略宝箱</v>
          </cell>
        </row>
        <row r="1218">
          <cell r="A1218">
            <v>30061</v>
          </cell>
          <cell r="B1218"/>
          <cell r="C1218" t="str">
            <v>greececheng</v>
          </cell>
          <cell r="D1218" t="str">
            <v>传奇勇武宝箱</v>
          </cell>
        </row>
        <row r="1219">
          <cell r="A1219">
            <v>30062</v>
          </cell>
          <cell r="B1219"/>
          <cell r="C1219" t="str">
            <v>greececheng</v>
          </cell>
          <cell r="D1219" t="str">
            <v>传奇现世技能宝箱</v>
          </cell>
        </row>
        <row r="1220">
          <cell r="A1220">
            <v>30063</v>
          </cell>
          <cell r="B1220"/>
          <cell r="C1220" t="str">
            <v>greececheng</v>
          </cell>
          <cell r="D1220" t="str">
            <v>帝国探索宝箱</v>
          </cell>
        </row>
        <row r="1221">
          <cell r="A1221">
            <v>30064</v>
          </cell>
          <cell r="B1221"/>
          <cell r="C1221" t="str">
            <v>greececheng</v>
          </cell>
          <cell r="D1221" t="str">
            <v>帝国奇迹宝箱</v>
          </cell>
        </row>
        <row r="1222">
          <cell r="A1222">
            <v>30065</v>
          </cell>
          <cell r="B1222"/>
          <cell r="C1222" t="str">
            <v>reniexu</v>
          </cell>
          <cell r="D1222" t="str">
            <v>联盟分享红包</v>
          </cell>
        </row>
        <row r="1223">
          <cell r="A1223">
            <v>30066</v>
          </cell>
          <cell r="B1223"/>
          <cell r="C1223" t="str">
            <v>louieshen</v>
          </cell>
          <cell r="D1223" t="str">
            <v>公测同庆红包</v>
          </cell>
        </row>
        <row r="1224">
          <cell r="A1224">
            <v>30067</v>
          </cell>
          <cell r="B1224"/>
          <cell r="C1224" t="str">
            <v>reniexu</v>
          </cell>
          <cell r="D1224" t="str">
            <v>邀请好友积分</v>
          </cell>
        </row>
        <row r="1225">
          <cell r="A1225">
            <v>30068</v>
          </cell>
          <cell r="B1225"/>
          <cell r="C1225" t="str">
            <v>pinoyao</v>
          </cell>
          <cell r="D1225" t="str">
            <v>坐骑宝箱占位1</v>
          </cell>
        </row>
        <row r="1226">
          <cell r="A1226">
            <v>30069</v>
          </cell>
          <cell r="B1226"/>
          <cell r="C1226" t="str">
            <v>pinoyao</v>
          </cell>
          <cell r="D1226" t="str">
            <v>坐骑宝箱占位2</v>
          </cell>
        </row>
        <row r="1227">
          <cell r="A1227">
            <v>30070</v>
          </cell>
          <cell r="B1227"/>
          <cell r="C1227" t="str">
            <v>pinoyao</v>
          </cell>
          <cell r="D1227" t="str">
            <v>坐骑宝箱占位3</v>
          </cell>
        </row>
        <row r="1228">
          <cell r="A1228">
            <v>30071</v>
          </cell>
          <cell r="B1228"/>
          <cell r="C1228" t="str">
            <v>louieshen</v>
          </cell>
          <cell r="D1228" t="str">
            <v>限时登录幸运宝箱</v>
          </cell>
        </row>
        <row r="1229">
          <cell r="A1229">
            <v>30072</v>
          </cell>
          <cell r="B1229"/>
          <cell r="C1229" t="str">
            <v>lotxu</v>
          </cell>
          <cell r="D1229" t="str">
            <v>奇迹英雄碎片宝箱</v>
          </cell>
        </row>
        <row r="1230">
          <cell r="A1230">
            <v>30073</v>
          </cell>
          <cell r="B1230"/>
          <cell r="C1230" t="str">
            <v>yanhaoyhli</v>
          </cell>
          <cell r="D1230" t="str">
            <v>自选紫色技能宝箱1</v>
          </cell>
        </row>
        <row r="1231">
          <cell r="A1231">
            <v>30074</v>
          </cell>
          <cell r="B1231"/>
          <cell r="C1231" t="str">
            <v>yanhaoyhli</v>
          </cell>
          <cell r="D1231" t="str">
            <v>自选紫色技能宝箱2</v>
          </cell>
        </row>
        <row r="1232">
          <cell r="A1232">
            <v>30125</v>
          </cell>
          <cell r="C1232" t="str">
            <v>kaiyucheng</v>
          </cell>
          <cell r="D1232" t="str">
            <v>黑色军旗1周</v>
          </cell>
        </row>
        <row r="1233">
          <cell r="A1233">
            <v>30126</v>
          </cell>
          <cell r="C1233" t="str">
            <v>kaiyucheng</v>
          </cell>
          <cell r="D1233" t="str">
            <v>巨人的铜矛1周</v>
          </cell>
        </row>
        <row r="1234">
          <cell r="A1234">
            <v>30127</v>
          </cell>
          <cell r="C1234" t="str">
            <v>kaiyucheng</v>
          </cell>
          <cell r="D1234" t="str">
            <v>黑色军旗2周</v>
          </cell>
        </row>
        <row r="1235">
          <cell r="A1235">
            <v>30128</v>
          </cell>
          <cell r="C1235" t="str">
            <v>kaiyucheng</v>
          </cell>
          <cell r="D1235" t="str">
            <v>巨人的铜矛2周</v>
          </cell>
        </row>
        <row r="1236">
          <cell r="A1236">
            <v>30129</v>
          </cell>
          <cell r="C1236" t="str">
            <v>kaiyucheng</v>
          </cell>
          <cell r="D1236" t="str">
            <v>黑色军旗3周</v>
          </cell>
        </row>
        <row r="1237">
          <cell r="A1237">
            <v>30130</v>
          </cell>
          <cell r="C1237" t="str">
            <v>kaiyucheng</v>
          </cell>
          <cell r="D1237" t="str">
            <v>巨人的铜矛3周</v>
          </cell>
        </row>
        <row r="1238">
          <cell r="A1238">
            <v>30131</v>
          </cell>
          <cell r="C1238" t="str">
            <v>kaiyucheng</v>
          </cell>
          <cell r="D1238" t="str">
            <v>黑色军旗4周</v>
          </cell>
        </row>
        <row r="1239">
          <cell r="A1239">
            <v>30132</v>
          </cell>
          <cell r="C1239" t="str">
            <v>kaiyucheng</v>
          </cell>
          <cell r="D1239" t="str">
            <v>巨人的铜矛4周</v>
          </cell>
        </row>
        <row r="1240">
          <cell r="A1240">
            <v>30133</v>
          </cell>
          <cell r="C1240" t="str">
            <v>kaiyucheng</v>
          </cell>
          <cell r="D1240" t="str">
            <v>黑色军旗5周</v>
          </cell>
        </row>
        <row r="1241">
          <cell r="A1241">
            <v>30134</v>
          </cell>
          <cell r="C1241" t="str">
            <v>kaiyucheng</v>
          </cell>
          <cell r="D1241" t="str">
            <v>巨人的铜矛5周</v>
          </cell>
        </row>
        <row r="1242">
          <cell r="A1242">
            <v>30135</v>
          </cell>
          <cell r="C1242" t="str">
            <v>kaiyucheng</v>
          </cell>
          <cell r="D1242" t="str">
            <v>巨人的咆哮掉落1</v>
          </cell>
        </row>
        <row r="1243">
          <cell r="A1243">
            <v>30136</v>
          </cell>
          <cell r="C1243" t="str">
            <v>kaiyucheng</v>
          </cell>
          <cell r="D1243" t="str">
            <v>巨人的咆哮掉落2</v>
          </cell>
        </row>
        <row r="1244">
          <cell r="A1244">
            <v>30137</v>
          </cell>
          <cell r="C1244" t="str">
            <v>kaiyucheng</v>
          </cell>
          <cell r="D1244" t="str">
            <v>巨人的咆哮掉落3</v>
          </cell>
        </row>
        <row r="1245">
          <cell r="A1245">
            <v>30138</v>
          </cell>
          <cell r="C1245" t="str">
            <v>kaiyucheng</v>
          </cell>
          <cell r="D1245" t="str">
            <v>巨人的咆哮掉落4</v>
          </cell>
        </row>
        <row r="1246">
          <cell r="A1246">
            <v>30139</v>
          </cell>
          <cell r="C1246" t="str">
            <v>kaiyucheng</v>
          </cell>
          <cell r="D1246" t="str">
            <v>巨人的咆哮掉落5</v>
          </cell>
        </row>
        <row r="1247">
          <cell r="A1247">
            <v>32000</v>
          </cell>
          <cell r="C1247" t="str">
            <v>greececheng</v>
          </cell>
          <cell r="D1247" t="str">
            <v>魏兰碎片</v>
          </cell>
        </row>
        <row r="1248">
          <cell r="A1248">
            <v>32001</v>
          </cell>
          <cell r="C1248" t="str">
            <v>greececheng</v>
          </cell>
          <cell r="D1248" t="str">
            <v>布狄卡碎片</v>
          </cell>
        </row>
        <row r="1249">
          <cell r="A1249">
            <v>32002</v>
          </cell>
          <cell r="C1249" t="str">
            <v>greececheng</v>
          </cell>
          <cell r="D1249" t="str">
            <v>大流士一世碎片</v>
          </cell>
        </row>
        <row r="1250">
          <cell r="A1250">
            <v>32003</v>
          </cell>
          <cell r="C1250" t="str">
            <v>greececheng</v>
          </cell>
          <cell r="D1250" t="str">
            <v>尉迟恭碎片</v>
          </cell>
        </row>
        <row r="1251">
          <cell r="A1251">
            <v>32004</v>
          </cell>
          <cell r="C1251" t="str">
            <v>greececheng</v>
          </cell>
          <cell r="D1251" t="str">
            <v>安德莉娅碎片</v>
          </cell>
        </row>
        <row r="1252">
          <cell r="A1252">
            <v>32005</v>
          </cell>
          <cell r="C1252" t="str">
            <v>greececheng</v>
          </cell>
          <cell r="D1252" t="str">
            <v>艳后碎片</v>
          </cell>
        </row>
        <row r="1253">
          <cell r="A1253">
            <v>32006</v>
          </cell>
          <cell r="C1253" t="str">
            <v>lotxu</v>
          </cell>
          <cell r="D1253" t="str">
            <v>琼恩碎片</v>
          </cell>
        </row>
        <row r="1254">
          <cell r="A1254">
            <v>32007</v>
          </cell>
          <cell r="C1254" t="str">
            <v>lotxu</v>
          </cell>
          <cell r="D1254" t="str">
            <v>影舞者碎片</v>
          </cell>
        </row>
        <row r="1255">
          <cell r="A1255">
            <v>32008</v>
          </cell>
          <cell r="C1255" t="str">
            <v>lotxu</v>
          </cell>
          <cell r="D1255" t="str">
            <v>亨利碎片</v>
          </cell>
        </row>
        <row r="1256">
          <cell r="A1256">
            <v>32009</v>
          </cell>
          <cell r="C1256" t="str">
            <v>lotxu</v>
          </cell>
          <cell r="D1256" t="str">
            <v>康斯坦丁碎片</v>
          </cell>
        </row>
        <row r="1257">
          <cell r="A1257">
            <v>32010</v>
          </cell>
          <cell r="C1257" t="str">
            <v>lotxu</v>
          </cell>
          <cell r="D1257" t="str">
            <v>理查一世碎片</v>
          </cell>
        </row>
        <row r="1258">
          <cell r="A1258">
            <v>40001</v>
          </cell>
          <cell r="B1258"/>
          <cell r="C1258" t="str">
            <v>juniusshen</v>
          </cell>
          <cell r="D1258" t="str">
            <v>头像</v>
          </cell>
        </row>
        <row r="1259">
          <cell r="A1259">
            <v>42000</v>
          </cell>
          <cell r="B1259"/>
          <cell r="C1259" t="str">
            <v>greececheng</v>
          </cell>
          <cell r="D1259" t="str">
            <v>赛季问鼎</v>
          </cell>
        </row>
        <row r="1260">
          <cell r="A1260">
            <v>42001</v>
          </cell>
          <cell r="B1260"/>
          <cell r="C1260" t="str">
            <v>greececheng</v>
          </cell>
          <cell r="D1260" t="str">
            <v>赛季割据</v>
          </cell>
        </row>
        <row r="1261">
          <cell r="A1261">
            <v>42002</v>
          </cell>
          <cell r="B1261"/>
          <cell r="C1261" t="str">
            <v>greececheng</v>
          </cell>
          <cell r="D1261" t="str">
            <v>点将官</v>
          </cell>
        </row>
        <row r="1262">
          <cell r="A1262">
            <v>42003</v>
          </cell>
          <cell r="B1262"/>
          <cell r="C1262" t="str">
            <v>greececheng</v>
          </cell>
          <cell r="D1262" t="str">
            <v>手Q88节专属（限时30天）</v>
          </cell>
        </row>
        <row r="1263">
          <cell r="A1263">
            <v>42004</v>
          </cell>
          <cell r="B1263"/>
          <cell r="C1263" t="str">
            <v>greececheng</v>
          </cell>
          <cell r="D1263" t="str">
            <v>手Q钱包专属（限时30天）</v>
          </cell>
        </row>
        <row r="1264">
          <cell r="A1264">
            <v>42005</v>
          </cell>
          <cell r="B1264"/>
          <cell r="C1264" t="str">
            <v>greececheng</v>
          </cell>
          <cell r="D1264" t="str">
            <v>手Q专属 （限时30天）</v>
          </cell>
        </row>
        <row r="1265">
          <cell r="A1265">
            <v>42006</v>
          </cell>
          <cell r="B1265"/>
          <cell r="C1265" t="str">
            <v>greececheng</v>
          </cell>
          <cell r="D1265" t="str">
            <v>超核专属（限时30天）</v>
          </cell>
        </row>
        <row r="1266">
          <cell r="A1266">
            <v>42007</v>
          </cell>
          <cell r="B1266"/>
          <cell r="C1266" t="str">
            <v>greececheng</v>
          </cell>
          <cell r="D1266" t="str">
            <v>微信专属 （限时30天）</v>
          </cell>
        </row>
        <row r="1267">
          <cell r="A1267">
            <v>42008</v>
          </cell>
          <cell r="B1267"/>
          <cell r="C1267" t="str">
            <v>greececheng</v>
          </cell>
          <cell r="D1267" t="str">
            <v>应用宝专属（限时30天）</v>
          </cell>
        </row>
        <row r="1268">
          <cell r="A1268">
            <v>42009</v>
          </cell>
          <cell r="B1268"/>
          <cell r="C1268" t="str">
            <v>greececheng</v>
          </cell>
          <cell r="D1268" t="str">
            <v>二级渠道专属（限时30天）</v>
          </cell>
        </row>
        <row r="1269">
          <cell r="A1269">
            <v>42010</v>
          </cell>
          <cell r="B1269"/>
          <cell r="C1269" t="str">
            <v>greececheng</v>
          </cell>
          <cell r="D1269" t="str">
            <v>官网专属（限时30天）</v>
          </cell>
        </row>
        <row r="1270">
          <cell r="A1270">
            <v>42011</v>
          </cell>
          <cell r="B1270"/>
          <cell r="C1270" t="str">
            <v>greececheng</v>
          </cell>
          <cell r="D1270" t="str">
            <v>预创角专属（限时30天）</v>
          </cell>
        </row>
        <row r="1271">
          <cell r="A1271">
            <v>42012</v>
          </cell>
          <cell r="B1271"/>
          <cell r="C1271" t="str">
            <v>greececheng</v>
          </cell>
          <cell r="D1271" t="str">
            <v>心悦专属（限时30天）</v>
          </cell>
        </row>
        <row r="1272">
          <cell r="A1272">
            <v>42013</v>
          </cell>
          <cell r="B1272"/>
          <cell r="C1272" t="str">
            <v>greececheng</v>
          </cell>
          <cell r="D1272" t="str">
            <v>腾讯视频专属（限时30天）</v>
          </cell>
        </row>
        <row r="1273">
          <cell r="A1273">
            <v>42014</v>
          </cell>
          <cell r="B1273"/>
          <cell r="C1273" t="str">
            <v>greececheng</v>
          </cell>
          <cell r="D1273" t="str">
            <v>华为专属（限时30天）</v>
          </cell>
        </row>
        <row r="1274">
          <cell r="A1274">
            <v>42015</v>
          </cell>
          <cell r="B1274"/>
          <cell r="C1274" t="str">
            <v>greececheng</v>
          </cell>
          <cell r="D1274" t="str">
            <v>OPPO专属（限时30天）</v>
          </cell>
        </row>
        <row r="1275">
          <cell r="A1275">
            <v>42016</v>
          </cell>
          <cell r="B1275"/>
          <cell r="C1275" t="str">
            <v>greececheng</v>
          </cell>
          <cell r="D1275" t="str">
            <v>小米专属（限时30天）</v>
          </cell>
        </row>
        <row r="1276">
          <cell r="A1276">
            <v>42017</v>
          </cell>
          <cell r="B1276"/>
          <cell r="C1276" t="str">
            <v>greececheng</v>
          </cell>
          <cell r="D1276" t="str">
            <v>VIVO专属（限时30天）</v>
          </cell>
        </row>
        <row r="1277">
          <cell r="A1277">
            <v>42018</v>
          </cell>
          <cell r="B1277"/>
          <cell r="C1277" t="str">
            <v>greececheng</v>
          </cell>
          <cell r="D1277" t="str">
            <v>B站专属（限时30天）</v>
          </cell>
        </row>
        <row r="1278">
          <cell r="A1278">
            <v>42019</v>
          </cell>
          <cell r="B1278"/>
          <cell r="C1278" t="str">
            <v>greececheng</v>
          </cell>
          <cell r="D1278" t="str">
            <v>渠道预约（限时30天）</v>
          </cell>
        </row>
        <row r="1279">
          <cell r="A1279">
            <v>42020</v>
          </cell>
          <cell r="B1279"/>
          <cell r="C1279" t="str">
            <v>greececheng</v>
          </cell>
          <cell r="D1279" t="str">
            <v>中式（限时14天）</v>
          </cell>
        </row>
        <row r="1280">
          <cell r="A1280">
            <v>42021</v>
          </cell>
          <cell r="B1280"/>
          <cell r="C1280" t="str">
            <v>greececheng</v>
          </cell>
          <cell r="D1280" t="str">
            <v>法兰克式（限时14天）</v>
          </cell>
        </row>
        <row r="1281">
          <cell r="A1281">
            <v>42022</v>
          </cell>
          <cell r="B1281"/>
          <cell r="C1281" t="str">
            <v>greececheng</v>
          </cell>
          <cell r="D1281" t="str">
            <v>拜占庭式（限时14天）</v>
          </cell>
        </row>
        <row r="1282">
          <cell r="A1282">
            <v>42023</v>
          </cell>
          <cell r="B1282"/>
          <cell r="C1282" t="str">
            <v>greececheng</v>
          </cell>
          <cell r="D1282" t="str">
            <v>罗马式（限时14天）</v>
          </cell>
        </row>
        <row r="1283">
          <cell r="A1283">
            <v>42024</v>
          </cell>
          <cell r="B1283"/>
          <cell r="C1283" t="str">
            <v>greececheng</v>
          </cell>
          <cell r="D1283" t="str">
            <v>活跃签到</v>
          </cell>
        </row>
        <row r="1284">
          <cell r="A1284">
            <v>42025</v>
          </cell>
          <cell r="B1284"/>
          <cell r="C1284" t="str">
            <v>greececheng</v>
          </cell>
          <cell r="D1284" t="str">
            <v>个性限定</v>
          </cell>
        </row>
        <row r="1285">
          <cell r="A1285">
            <v>42026</v>
          </cell>
          <cell r="B1285"/>
          <cell r="C1285" t="str">
            <v>greececheng</v>
          </cell>
          <cell r="D1285" t="str">
            <v>个性限定</v>
          </cell>
        </row>
        <row r="1286">
          <cell r="A1286">
            <v>42027</v>
          </cell>
          <cell r="B1286"/>
          <cell r="C1286" t="str">
            <v>greececheng</v>
          </cell>
          <cell r="D1286" t="str">
            <v>开服庆典</v>
          </cell>
        </row>
        <row r="1287">
          <cell r="A1287">
            <v>42028</v>
          </cell>
          <cell r="B1287"/>
          <cell r="C1287" t="str">
            <v>greececheng</v>
          </cell>
          <cell r="D1287" t="str">
            <v>应用宝指挥官专属</v>
          </cell>
        </row>
        <row r="1288">
          <cell r="A1288">
            <v>42029</v>
          </cell>
          <cell r="B1288"/>
          <cell r="C1288" t="str">
            <v>greececheng</v>
          </cell>
          <cell r="D1288" t="str">
            <v>手Q88节专属</v>
          </cell>
        </row>
        <row r="1289">
          <cell r="A1289">
            <v>42030</v>
          </cell>
          <cell r="B1289"/>
          <cell r="C1289" t="str">
            <v>greececheng</v>
          </cell>
          <cell r="D1289" t="str">
            <v>手Q钱包专属</v>
          </cell>
        </row>
        <row r="1290">
          <cell r="A1290">
            <v>42031</v>
          </cell>
          <cell r="B1290"/>
          <cell r="C1290" t="str">
            <v>greececheng</v>
          </cell>
          <cell r="D1290" t="str">
            <v xml:space="preserve">手Q专属 </v>
          </cell>
        </row>
        <row r="1291">
          <cell r="A1291">
            <v>42032</v>
          </cell>
          <cell r="B1291"/>
          <cell r="C1291" t="str">
            <v>greececheng</v>
          </cell>
          <cell r="D1291" t="str">
            <v>超核专属</v>
          </cell>
        </row>
        <row r="1292">
          <cell r="A1292">
            <v>42033</v>
          </cell>
          <cell r="B1292"/>
          <cell r="C1292" t="str">
            <v>greececheng</v>
          </cell>
          <cell r="D1292" t="str">
            <v xml:space="preserve">微信专属 </v>
          </cell>
        </row>
        <row r="1293">
          <cell r="A1293">
            <v>42034</v>
          </cell>
          <cell r="B1293"/>
          <cell r="C1293" t="str">
            <v>greececheng</v>
          </cell>
          <cell r="D1293" t="str">
            <v>应用宝专属</v>
          </cell>
        </row>
        <row r="1294">
          <cell r="A1294">
            <v>42035</v>
          </cell>
          <cell r="B1294"/>
          <cell r="C1294" t="str">
            <v>greececheng</v>
          </cell>
          <cell r="D1294" t="str">
            <v>二级渠道专属</v>
          </cell>
        </row>
        <row r="1295">
          <cell r="A1295">
            <v>42036</v>
          </cell>
          <cell r="B1295"/>
          <cell r="C1295" t="str">
            <v>greececheng</v>
          </cell>
          <cell r="D1295" t="str">
            <v>官网专属</v>
          </cell>
        </row>
        <row r="1296">
          <cell r="A1296">
            <v>42037</v>
          </cell>
          <cell r="B1296"/>
          <cell r="C1296" t="str">
            <v>greececheng</v>
          </cell>
          <cell r="D1296" t="str">
            <v>预创角专属</v>
          </cell>
        </row>
        <row r="1297">
          <cell r="A1297">
            <v>42038</v>
          </cell>
          <cell r="B1297"/>
          <cell r="C1297" t="str">
            <v>greececheng</v>
          </cell>
          <cell r="D1297" t="str">
            <v>心悦专属</v>
          </cell>
        </row>
        <row r="1298">
          <cell r="A1298">
            <v>42039</v>
          </cell>
          <cell r="B1298"/>
          <cell r="C1298" t="str">
            <v>greececheng</v>
          </cell>
          <cell r="D1298" t="str">
            <v>腾讯视频专属</v>
          </cell>
        </row>
        <row r="1299">
          <cell r="A1299">
            <v>42040</v>
          </cell>
          <cell r="B1299"/>
          <cell r="C1299" t="str">
            <v>greececheng</v>
          </cell>
          <cell r="D1299" t="str">
            <v>华为专属</v>
          </cell>
        </row>
        <row r="1300">
          <cell r="A1300">
            <v>42041</v>
          </cell>
          <cell r="B1300"/>
          <cell r="C1300" t="str">
            <v>greececheng</v>
          </cell>
          <cell r="D1300" t="str">
            <v>OPPO专属</v>
          </cell>
        </row>
        <row r="1301">
          <cell r="A1301">
            <v>42042</v>
          </cell>
          <cell r="B1301"/>
          <cell r="C1301" t="str">
            <v>greececheng</v>
          </cell>
          <cell r="D1301" t="str">
            <v>小米专属</v>
          </cell>
        </row>
        <row r="1302">
          <cell r="A1302">
            <v>42043</v>
          </cell>
          <cell r="B1302"/>
          <cell r="C1302" t="str">
            <v>greececheng</v>
          </cell>
          <cell r="D1302" t="str">
            <v>VIVO专属</v>
          </cell>
        </row>
        <row r="1303">
          <cell r="A1303">
            <v>42044</v>
          </cell>
          <cell r="B1303"/>
          <cell r="C1303" t="str">
            <v>greececheng</v>
          </cell>
          <cell r="D1303" t="str">
            <v>B站专属</v>
          </cell>
        </row>
        <row r="1304">
          <cell r="A1304">
            <v>42045</v>
          </cell>
          <cell r="B1304"/>
          <cell r="C1304" t="str">
            <v>greececheng</v>
          </cell>
          <cell r="D1304" t="str">
            <v>渠道预约</v>
          </cell>
        </row>
        <row r="1305">
          <cell r="A1305">
            <v>42046</v>
          </cell>
          <cell r="B1305"/>
          <cell r="C1305" t="str">
            <v>greececheng</v>
          </cell>
          <cell r="D1305" t="str">
            <v>中式</v>
          </cell>
        </row>
        <row r="1306">
          <cell r="A1306">
            <v>42047</v>
          </cell>
          <cell r="B1306"/>
          <cell r="C1306" t="str">
            <v>greececheng</v>
          </cell>
          <cell r="D1306" t="str">
            <v>法兰克式</v>
          </cell>
        </row>
        <row r="1307">
          <cell r="A1307">
            <v>42048</v>
          </cell>
          <cell r="B1307"/>
          <cell r="C1307" t="str">
            <v>greececheng</v>
          </cell>
          <cell r="D1307" t="str">
            <v>拜占庭式</v>
          </cell>
        </row>
        <row r="1308">
          <cell r="A1308">
            <v>42049</v>
          </cell>
          <cell r="B1308"/>
          <cell r="C1308" t="str">
            <v>greececheng</v>
          </cell>
          <cell r="D1308" t="str">
            <v>罗马式</v>
          </cell>
        </row>
        <row r="1309">
          <cell r="A1309">
            <v>42050</v>
          </cell>
          <cell r="B1309"/>
          <cell r="C1309" t="str">
            <v>greececheng</v>
          </cell>
          <cell r="D1309" t="str">
            <v>心悦专属（限时7天）</v>
          </cell>
        </row>
        <row r="1310">
          <cell r="A1310">
            <v>42051</v>
          </cell>
          <cell r="B1310"/>
          <cell r="C1310" t="str">
            <v>greececheng</v>
          </cell>
          <cell r="D1310" t="str">
            <v>心悦专属（限时15天）</v>
          </cell>
        </row>
        <row r="1311">
          <cell r="A1311">
            <v>42052</v>
          </cell>
          <cell r="B1311"/>
          <cell r="C1311" t="str">
            <v>greececheng</v>
          </cell>
          <cell r="D1311" t="str">
            <v>手Q88节专属</v>
          </cell>
        </row>
        <row r="1312">
          <cell r="A1312">
            <v>42053</v>
          </cell>
          <cell r="B1312"/>
          <cell r="C1312" t="str">
            <v>greececheng</v>
          </cell>
          <cell r="D1312" t="str">
            <v>手Q钱包专属</v>
          </cell>
        </row>
        <row r="1313">
          <cell r="A1313">
            <v>42054</v>
          </cell>
          <cell r="B1313"/>
          <cell r="C1313" t="str">
            <v>greececheng</v>
          </cell>
          <cell r="D1313" t="str">
            <v xml:space="preserve">手Q专属 </v>
          </cell>
        </row>
        <row r="1314">
          <cell r="A1314">
            <v>42055</v>
          </cell>
          <cell r="B1314"/>
          <cell r="C1314" t="str">
            <v>greececheng</v>
          </cell>
          <cell r="D1314" t="str">
            <v>超核专属</v>
          </cell>
        </row>
        <row r="1315">
          <cell r="A1315">
            <v>42056</v>
          </cell>
          <cell r="B1315"/>
          <cell r="C1315" t="str">
            <v>greececheng</v>
          </cell>
          <cell r="D1315" t="str">
            <v xml:space="preserve">微信专属 </v>
          </cell>
        </row>
        <row r="1316">
          <cell r="A1316">
            <v>42057</v>
          </cell>
          <cell r="B1316"/>
          <cell r="C1316" t="str">
            <v>greececheng</v>
          </cell>
          <cell r="D1316" t="str">
            <v>应用宝专属</v>
          </cell>
        </row>
        <row r="1317">
          <cell r="A1317">
            <v>42058</v>
          </cell>
          <cell r="B1317"/>
          <cell r="C1317" t="str">
            <v>greececheng</v>
          </cell>
          <cell r="D1317" t="str">
            <v>二级渠道专属</v>
          </cell>
        </row>
        <row r="1318">
          <cell r="A1318">
            <v>42059</v>
          </cell>
          <cell r="B1318"/>
          <cell r="C1318" t="str">
            <v>greececheng</v>
          </cell>
          <cell r="D1318" t="str">
            <v>官网专属</v>
          </cell>
        </row>
        <row r="1319">
          <cell r="A1319">
            <v>42060</v>
          </cell>
          <cell r="B1319"/>
          <cell r="C1319" t="str">
            <v>greececheng</v>
          </cell>
          <cell r="D1319" t="str">
            <v>预创角专属</v>
          </cell>
        </row>
        <row r="1320">
          <cell r="A1320">
            <v>42061</v>
          </cell>
          <cell r="B1320"/>
          <cell r="C1320" t="str">
            <v>greececheng</v>
          </cell>
          <cell r="D1320" t="str">
            <v>腾讯视频专属</v>
          </cell>
        </row>
        <row r="1321">
          <cell r="A1321">
            <v>42062</v>
          </cell>
          <cell r="B1321"/>
          <cell r="C1321" t="str">
            <v>greececheng</v>
          </cell>
          <cell r="D1321" t="str">
            <v>华为专属</v>
          </cell>
        </row>
        <row r="1322">
          <cell r="A1322">
            <v>42063</v>
          </cell>
          <cell r="B1322"/>
          <cell r="C1322" t="str">
            <v>greececheng</v>
          </cell>
          <cell r="D1322" t="str">
            <v>OPPO专属</v>
          </cell>
        </row>
        <row r="1323">
          <cell r="A1323">
            <v>42064</v>
          </cell>
          <cell r="B1323"/>
          <cell r="C1323" t="str">
            <v>greececheng</v>
          </cell>
          <cell r="D1323" t="str">
            <v>小米专属</v>
          </cell>
        </row>
        <row r="1324">
          <cell r="A1324">
            <v>42065</v>
          </cell>
          <cell r="B1324"/>
          <cell r="C1324" t="str">
            <v>greececheng</v>
          </cell>
          <cell r="D1324" t="str">
            <v>VIVO专属</v>
          </cell>
        </row>
        <row r="1325">
          <cell r="A1325">
            <v>42066</v>
          </cell>
          <cell r="B1325"/>
          <cell r="C1325" t="str">
            <v>greececheng</v>
          </cell>
          <cell r="D1325" t="str">
            <v>B站专属</v>
          </cell>
        </row>
        <row r="1326">
          <cell r="A1326">
            <v>42067</v>
          </cell>
          <cell r="B1326"/>
          <cell r="C1326" t="str">
            <v>greececheng</v>
          </cell>
          <cell r="D1326" t="str">
            <v>渠道预约</v>
          </cell>
        </row>
        <row r="1327">
          <cell r="A1327">
            <v>42068</v>
          </cell>
          <cell r="B1327"/>
          <cell r="C1327" t="str">
            <v>greececheng</v>
          </cell>
          <cell r="D1327" t="str">
            <v>手Q88节专属</v>
          </cell>
        </row>
        <row r="1328">
          <cell r="A1328">
            <v>42069</v>
          </cell>
          <cell r="B1328"/>
          <cell r="C1328" t="str">
            <v>greececheng</v>
          </cell>
          <cell r="D1328" t="str">
            <v>手Q钱包专属</v>
          </cell>
        </row>
        <row r="1329">
          <cell r="A1329">
            <v>42070</v>
          </cell>
          <cell r="B1329"/>
          <cell r="C1329" t="str">
            <v>greececheng</v>
          </cell>
          <cell r="D1329" t="str">
            <v xml:space="preserve">手Q专属 </v>
          </cell>
        </row>
        <row r="1330">
          <cell r="A1330">
            <v>42071</v>
          </cell>
          <cell r="B1330"/>
          <cell r="C1330" t="str">
            <v>greececheng</v>
          </cell>
          <cell r="D1330" t="str">
            <v>超核专属</v>
          </cell>
        </row>
        <row r="1331">
          <cell r="A1331">
            <v>42072</v>
          </cell>
          <cell r="B1331"/>
          <cell r="C1331" t="str">
            <v>greececheng</v>
          </cell>
          <cell r="D1331" t="str">
            <v xml:space="preserve">微信专属 </v>
          </cell>
        </row>
        <row r="1332">
          <cell r="A1332">
            <v>42073</v>
          </cell>
          <cell r="B1332"/>
          <cell r="C1332" t="str">
            <v>greececheng</v>
          </cell>
          <cell r="D1332" t="str">
            <v>应用宝专属</v>
          </cell>
        </row>
        <row r="1333">
          <cell r="A1333">
            <v>42074</v>
          </cell>
          <cell r="B1333"/>
          <cell r="C1333" t="str">
            <v>greececheng</v>
          </cell>
          <cell r="D1333" t="str">
            <v>二级渠道专属</v>
          </cell>
        </row>
        <row r="1334">
          <cell r="A1334">
            <v>42075</v>
          </cell>
          <cell r="B1334"/>
          <cell r="C1334" t="str">
            <v>greececheng</v>
          </cell>
          <cell r="D1334" t="str">
            <v>官网专属</v>
          </cell>
        </row>
        <row r="1335">
          <cell r="A1335">
            <v>42076</v>
          </cell>
          <cell r="B1335"/>
          <cell r="C1335" t="str">
            <v>greececheng</v>
          </cell>
          <cell r="D1335" t="str">
            <v>预创角专属</v>
          </cell>
        </row>
        <row r="1336">
          <cell r="A1336">
            <v>42077</v>
          </cell>
          <cell r="B1336"/>
          <cell r="C1336" t="str">
            <v>greececheng</v>
          </cell>
          <cell r="D1336" t="str">
            <v>腾讯视频专属</v>
          </cell>
        </row>
        <row r="1337">
          <cell r="A1337">
            <v>42078</v>
          </cell>
          <cell r="B1337"/>
          <cell r="C1337" t="str">
            <v>greececheng</v>
          </cell>
          <cell r="D1337" t="str">
            <v>华为专属</v>
          </cell>
        </row>
        <row r="1338">
          <cell r="A1338">
            <v>42079</v>
          </cell>
          <cell r="B1338"/>
          <cell r="C1338" t="str">
            <v>greececheng</v>
          </cell>
          <cell r="D1338" t="str">
            <v>OPPO专属</v>
          </cell>
        </row>
        <row r="1339">
          <cell r="A1339">
            <v>42080</v>
          </cell>
          <cell r="B1339"/>
          <cell r="C1339" t="str">
            <v>greececheng</v>
          </cell>
          <cell r="D1339" t="str">
            <v>小米专属</v>
          </cell>
        </row>
        <row r="1340">
          <cell r="A1340">
            <v>42081</v>
          </cell>
          <cell r="B1340"/>
          <cell r="C1340" t="str">
            <v>greececheng</v>
          </cell>
          <cell r="D1340" t="str">
            <v>VIVO专属</v>
          </cell>
        </row>
        <row r="1341">
          <cell r="A1341">
            <v>42082</v>
          </cell>
          <cell r="B1341"/>
          <cell r="C1341" t="str">
            <v>greececheng</v>
          </cell>
          <cell r="D1341" t="str">
            <v>B站专属</v>
          </cell>
        </row>
        <row r="1342">
          <cell r="A1342">
            <v>42083</v>
          </cell>
          <cell r="B1342"/>
          <cell r="C1342" t="str">
            <v>greececheng</v>
          </cell>
          <cell r="D1342" t="str">
            <v>渠道预约</v>
          </cell>
        </row>
        <row r="1343">
          <cell r="A1343">
            <v>42084</v>
          </cell>
          <cell r="B1343"/>
          <cell r="C1343" t="str">
            <v>greececheng</v>
          </cell>
          <cell r="D1343" t="str">
            <v>应用宝指挥官专属</v>
          </cell>
        </row>
        <row r="1344">
          <cell r="A1344">
            <v>42085</v>
          </cell>
          <cell r="B1344"/>
          <cell r="C1344" t="str">
            <v>greececheng</v>
          </cell>
          <cell r="D1344" t="str">
            <v>应用宝指挥官专属</v>
          </cell>
        </row>
        <row r="1345">
          <cell r="A1345">
            <v>42086</v>
          </cell>
          <cell r="B1345"/>
          <cell r="C1345" t="str">
            <v>greececheng</v>
          </cell>
          <cell r="D1345" t="str">
            <v>应用宝指挥官专属</v>
          </cell>
        </row>
        <row r="1346">
          <cell r="A1346">
            <v>42087</v>
          </cell>
          <cell r="B1346"/>
          <cell r="C1346" t="str">
            <v>greececheng</v>
          </cell>
          <cell r="D1346" t="str">
            <v>中式（限时7天）</v>
          </cell>
        </row>
        <row r="1347">
          <cell r="A1347">
            <v>42088</v>
          </cell>
          <cell r="B1347"/>
          <cell r="C1347" t="str">
            <v>greececheng</v>
          </cell>
          <cell r="D1347" t="str">
            <v>法兰克式（限时7天）</v>
          </cell>
        </row>
        <row r="1348">
          <cell r="A1348">
            <v>42089</v>
          </cell>
          <cell r="B1348"/>
          <cell r="C1348" t="str">
            <v>greececheng</v>
          </cell>
          <cell r="D1348" t="str">
            <v>孙子兵法</v>
          </cell>
        </row>
        <row r="1349">
          <cell r="A1349">
            <v>42090</v>
          </cell>
          <cell r="B1349"/>
          <cell r="C1349" t="str">
            <v>greececheng</v>
          </cell>
          <cell r="D1349" t="str">
            <v>7日限定皇冠头像框</v>
          </cell>
        </row>
        <row r="1350">
          <cell r="A1350">
            <v>42091</v>
          </cell>
          <cell r="B1350"/>
          <cell r="C1350" t="str">
            <v>greececheng</v>
          </cell>
          <cell r="D1350" t="str">
            <v>拜占庭式（限时7天）</v>
          </cell>
        </row>
        <row r="1351">
          <cell r="A1351">
            <v>42092</v>
          </cell>
          <cell r="B1351"/>
          <cell r="C1351" t="str">
            <v>greececheng</v>
          </cell>
          <cell r="D1351" t="str">
            <v xml:space="preserve">手Q专属 </v>
          </cell>
        </row>
        <row r="1352">
          <cell r="A1352">
            <v>42093</v>
          </cell>
          <cell r="B1352"/>
          <cell r="C1352" t="str">
            <v>greececheng</v>
          </cell>
          <cell r="D1352" t="str">
            <v>社区达人</v>
          </cell>
        </row>
        <row r="1353">
          <cell r="A1353">
            <v>42094</v>
          </cell>
          <cell r="B1353"/>
          <cell r="C1353" t="str">
            <v>greececheng</v>
          </cell>
          <cell r="D1353" t="str">
            <v>竹书纪年</v>
          </cell>
        </row>
        <row r="1354">
          <cell r="A1354">
            <v>42095</v>
          </cell>
          <cell r="B1354"/>
          <cell r="C1354" t="str">
            <v>greececheng</v>
          </cell>
          <cell r="D1354" t="str">
            <v>君临重逢</v>
          </cell>
        </row>
        <row r="1355">
          <cell r="A1355">
            <v>42096</v>
          </cell>
          <cell r="B1355"/>
          <cell r="C1355" t="str">
            <v>greececheng</v>
          </cell>
          <cell r="D1355" t="str">
            <v>有福同享</v>
          </cell>
        </row>
        <row r="1356">
          <cell r="A1356">
            <v>42097</v>
          </cell>
          <cell r="B1356"/>
          <cell r="C1356" t="str">
            <v>greececheng</v>
          </cell>
          <cell r="D1356" t="str">
            <v>有福同享</v>
          </cell>
        </row>
        <row r="1357">
          <cell r="A1357">
            <v>42098</v>
          </cell>
          <cell r="B1357"/>
          <cell r="C1357" t="str">
            <v>greececheng</v>
          </cell>
          <cell r="D1357" t="str">
            <v>有福同享</v>
          </cell>
        </row>
        <row r="1358">
          <cell r="A1358">
            <v>42099</v>
          </cell>
          <cell r="B1358"/>
          <cell r="C1358" t="str">
            <v>greececheng</v>
          </cell>
          <cell r="D1358" t="str">
            <v>有福同享</v>
          </cell>
        </row>
        <row r="1359">
          <cell r="A1359">
            <v>42100</v>
          </cell>
          <cell r="B1359"/>
          <cell r="C1359" t="str">
            <v>greececheng</v>
          </cell>
          <cell r="D1359" t="str">
            <v>有福同享</v>
          </cell>
        </row>
        <row r="1360">
          <cell r="A1360">
            <v>42101</v>
          </cell>
          <cell r="B1360"/>
          <cell r="C1360" t="str">
            <v>greececheng</v>
          </cell>
          <cell r="D1360" t="str">
            <v>待定-夏日</v>
          </cell>
        </row>
        <row r="1361">
          <cell r="A1361">
            <v>42102</v>
          </cell>
          <cell r="B1361"/>
          <cell r="C1361" t="str">
            <v>greececheng</v>
          </cell>
          <cell r="D1361" t="str">
            <v>待定-秋日</v>
          </cell>
        </row>
        <row r="1362">
          <cell r="A1362">
            <v>44000</v>
          </cell>
          <cell r="B1362"/>
          <cell r="C1362" t="str">
            <v>greececheng</v>
          </cell>
          <cell r="D1362" t="str">
            <v>财富自由</v>
          </cell>
        </row>
        <row r="1363">
          <cell r="A1363">
            <v>44001</v>
          </cell>
          <cell r="B1363"/>
          <cell r="C1363" t="str">
            <v>greececheng</v>
          </cell>
          <cell r="D1363" t="str">
            <v>超核体验官</v>
          </cell>
        </row>
        <row r="1364">
          <cell r="A1364">
            <v>44002</v>
          </cell>
          <cell r="B1364"/>
          <cell r="C1364" t="str">
            <v>greececheng</v>
          </cell>
          <cell r="D1364" t="str">
            <v>帝国战略家</v>
          </cell>
        </row>
        <row r="1365">
          <cell r="A1365">
            <v>44003</v>
          </cell>
          <cell r="B1365"/>
          <cell r="C1365" t="str">
            <v>greececheng</v>
          </cell>
          <cell r="D1365" t="str">
            <v>百战百胜</v>
          </cell>
        </row>
        <row r="1366">
          <cell r="A1366">
            <v>44004</v>
          </cell>
          <cell r="B1366"/>
          <cell r="C1366" t="str">
            <v>greececheng</v>
          </cell>
          <cell r="D1366" t="str">
            <v>先驱者</v>
          </cell>
        </row>
        <row r="1367">
          <cell r="A1367">
            <v>44005</v>
          </cell>
          <cell r="B1367"/>
          <cell r="C1367" t="str">
            <v>greececheng</v>
          </cell>
          <cell r="D1367" t="str">
            <v>征服者</v>
          </cell>
        </row>
        <row r="1368">
          <cell r="A1368">
            <v>44006</v>
          </cell>
          <cell r="B1368"/>
          <cell r="C1368" t="str">
            <v>greececheng</v>
          </cell>
          <cell r="D1368" t="str">
            <v>登峰造极</v>
          </cell>
        </row>
        <row r="1369">
          <cell r="A1369">
            <v>44007</v>
          </cell>
          <cell r="B1369"/>
          <cell r="C1369" t="str">
            <v>greececheng</v>
          </cell>
          <cell r="D1369" t="str">
            <v>勇闯天涯</v>
          </cell>
        </row>
        <row r="1370">
          <cell r="A1370">
            <v>44008</v>
          </cell>
          <cell r="B1370"/>
          <cell r="C1370" t="str">
            <v>greececheng</v>
          </cell>
          <cell r="D1370" t="str">
            <v>天下至尊</v>
          </cell>
        </row>
        <row r="1371">
          <cell r="A1371">
            <v>44009</v>
          </cell>
          <cell r="B1371"/>
          <cell r="C1371" t="str">
            <v>greececheng</v>
          </cell>
          <cell r="D1371" t="str">
            <v>问鼎中原</v>
          </cell>
        </row>
        <row r="1372">
          <cell r="A1372">
            <v>44010</v>
          </cell>
          <cell r="B1372"/>
          <cell r="C1372" t="str">
            <v>greececheng</v>
          </cell>
          <cell r="D1372" t="str">
            <v>名震一时</v>
          </cell>
        </row>
        <row r="1373">
          <cell r="A1373">
            <v>44011</v>
          </cell>
          <cell r="B1373"/>
          <cell r="C1373" t="str">
            <v>greececheng</v>
          </cell>
          <cell r="D1373" t="str">
            <v>名将如云</v>
          </cell>
        </row>
        <row r="1374">
          <cell r="A1374">
            <v>44012</v>
          </cell>
          <cell r="B1374"/>
          <cell r="C1374" t="str">
            <v>greececheng</v>
          </cell>
          <cell r="D1374" t="str">
            <v>联盟宝贝</v>
          </cell>
        </row>
        <row r="1375">
          <cell r="A1375">
            <v>44013</v>
          </cell>
          <cell r="B1375"/>
          <cell r="C1375" t="str">
            <v>greececheng</v>
          </cell>
          <cell r="D1375" t="str">
            <v>纵横四野</v>
          </cell>
        </row>
        <row r="1376">
          <cell r="A1376">
            <v>44014</v>
          </cell>
          <cell r="B1376"/>
          <cell r="C1376" t="str">
            <v>greececheng</v>
          </cell>
          <cell r="D1376" t="str">
            <v>决胜千里</v>
          </cell>
        </row>
        <row r="1377">
          <cell r="A1377">
            <v>44015</v>
          </cell>
          <cell r="B1377"/>
          <cell r="C1377" t="str">
            <v>greececheng</v>
          </cell>
          <cell r="D1377" t="str">
            <v>登高能赋</v>
          </cell>
        </row>
        <row r="1378">
          <cell r="A1378">
            <v>44016</v>
          </cell>
          <cell r="B1378"/>
          <cell r="C1378" t="str">
            <v>greececheng</v>
          </cell>
          <cell r="D1378" t="str">
            <v>帝国启明星</v>
          </cell>
        </row>
        <row r="1379">
          <cell r="A1379">
            <v>44017</v>
          </cell>
          <cell r="B1379"/>
          <cell r="C1379" t="str">
            <v>greececheng</v>
          </cell>
          <cell r="D1379" t="str">
            <v>财富自由</v>
          </cell>
        </row>
        <row r="1380">
          <cell r="A1380">
            <v>44018</v>
          </cell>
          <cell r="B1380"/>
          <cell r="C1380" t="str">
            <v>greececheng</v>
          </cell>
          <cell r="D1380" t="str">
            <v>超核体验官</v>
          </cell>
        </row>
        <row r="1381">
          <cell r="A1381">
            <v>44019</v>
          </cell>
          <cell r="B1381"/>
          <cell r="C1381" t="str">
            <v>greececheng</v>
          </cell>
          <cell r="D1381" t="str">
            <v>帝国战略家</v>
          </cell>
        </row>
        <row r="1382">
          <cell r="A1382">
            <v>44020</v>
          </cell>
          <cell r="B1382"/>
          <cell r="C1382" t="str">
            <v>greececheng</v>
          </cell>
          <cell r="D1382" t="str">
            <v>百战百胜</v>
          </cell>
        </row>
        <row r="1383">
          <cell r="A1383">
            <v>44021</v>
          </cell>
          <cell r="B1383"/>
          <cell r="C1383" t="str">
            <v>greececheng</v>
          </cell>
          <cell r="D1383" t="str">
            <v>先驱者</v>
          </cell>
        </row>
        <row r="1384">
          <cell r="A1384">
            <v>44022</v>
          </cell>
          <cell r="B1384"/>
          <cell r="C1384" t="str">
            <v>greececheng</v>
          </cell>
          <cell r="D1384" t="str">
            <v>征服者</v>
          </cell>
        </row>
        <row r="1385">
          <cell r="A1385">
            <v>44023</v>
          </cell>
          <cell r="B1385"/>
          <cell r="C1385" t="str">
            <v>greececheng</v>
          </cell>
          <cell r="D1385" t="str">
            <v>登峰造极</v>
          </cell>
        </row>
        <row r="1386">
          <cell r="A1386">
            <v>44024</v>
          </cell>
          <cell r="B1386"/>
          <cell r="C1386" t="str">
            <v>greececheng</v>
          </cell>
          <cell r="D1386" t="str">
            <v>勇闯天涯</v>
          </cell>
        </row>
        <row r="1387">
          <cell r="A1387">
            <v>44025</v>
          </cell>
          <cell r="B1387"/>
          <cell r="C1387" t="str">
            <v>greececheng</v>
          </cell>
          <cell r="D1387" t="str">
            <v>天下至尊</v>
          </cell>
        </row>
        <row r="1388">
          <cell r="A1388">
            <v>44026</v>
          </cell>
          <cell r="B1388"/>
          <cell r="C1388" t="str">
            <v>greececheng</v>
          </cell>
          <cell r="D1388" t="str">
            <v>问鼎中原</v>
          </cell>
        </row>
        <row r="1389">
          <cell r="A1389">
            <v>44027</v>
          </cell>
          <cell r="B1389"/>
          <cell r="C1389" t="str">
            <v>greececheng</v>
          </cell>
          <cell r="D1389" t="str">
            <v>名震一时</v>
          </cell>
        </row>
        <row r="1390">
          <cell r="A1390">
            <v>44028</v>
          </cell>
          <cell r="B1390"/>
          <cell r="C1390" t="str">
            <v>greececheng</v>
          </cell>
          <cell r="D1390" t="str">
            <v>名将如云</v>
          </cell>
        </row>
        <row r="1391">
          <cell r="A1391">
            <v>44029</v>
          </cell>
          <cell r="B1391"/>
          <cell r="C1391" t="str">
            <v>greececheng</v>
          </cell>
          <cell r="D1391" t="str">
            <v>联盟宝贝</v>
          </cell>
        </row>
        <row r="1392">
          <cell r="A1392">
            <v>44030</v>
          </cell>
          <cell r="B1392"/>
          <cell r="C1392" t="str">
            <v>greececheng</v>
          </cell>
          <cell r="D1392" t="str">
            <v>纵横四野</v>
          </cell>
        </row>
        <row r="1393">
          <cell r="A1393">
            <v>44031</v>
          </cell>
          <cell r="B1393"/>
          <cell r="C1393" t="str">
            <v>greececheng</v>
          </cell>
          <cell r="D1393" t="str">
            <v>决胜千里</v>
          </cell>
        </row>
        <row r="1394">
          <cell r="A1394">
            <v>44032</v>
          </cell>
          <cell r="B1394"/>
          <cell r="C1394" t="str">
            <v>greececheng</v>
          </cell>
          <cell r="D1394" t="str">
            <v>登高能赋</v>
          </cell>
        </row>
        <row r="1395">
          <cell r="A1395">
            <v>44033</v>
          </cell>
          <cell r="B1395"/>
          <cell r="C1395" t="str">
            <v>greececheng</v>
          </cell>
          <cell r="D1395" t="str">
            <v>帝国启明星</v>
          </cell>
        </row>
        <row r="1396">
          <cell r="A1396">
            <v>44034</v>
          </cell>
          <cell r="B1396"/>
          <cell r="C1396" t="str">
            <v>greececheng</v>
          </cell>
          <cell r="D1396" t="str">
            <v>财富自由</v>
          </cell>
        </row>
        <row r="1397">
          <cell r="A1397">
            <v>44035</v>
          </cell>
          <cell r="B1397"/>
          <cell r="C1397" t="str">
            <v>greececheng</v>
          </cell>
          <cell r="D1397" t="str">
            <v>超核体验官</v>
          </cell>
        </row>
        <row r="1398">
          <cell r="A1398">
            <v>44036</v>
          </cell>
          <cell r="B1398"/>
          <cell r="C1398" t="str">
            <v>greececheng</v>
          </cell>
          <cell r="D1398" t="str">
            <v>帝国战略家</v>
          </cell>
        </row>
        <row r="1399">
          <cell r="A1399">
            <v>44037</v>
          </cell>
          <cell r="B1399"/>
          <cell r="C1399" t="str">
            <v>greececheng</v>
          </cell>
          <cell r="D1399" t="str">
            <v>百战百胜</v>
          </cell>
        </row>
        <row r="1400">
          <cell r="A1400">
            <v>44038</v>
          </cell>
          <cell r="B1400"/>
          <cell r="C1400" t="str">
            <v>greececheng</v>
          </cell>
          <cell r="D1400" t="str">
            <v>先驱者</v>
          </cell>
        </row>
        <row r="1401">
          <cell r="A1401">
            <v>44039</v>
          </cell>
          <cell r="B1401"/>
          <cell r="C1401" t="str">
            <v>greececheng</v>
          </cell>
          <cell r="D1401" t="str">
            <v>征服者</v>
          </cell>
        </row>
        <row r="1402">
          <cell r="A1402">
            <v>44040</v>
          </cell>
          <cell r="B1402"/>
          <cell r="C1402" t="str">
            <v>greececheng</v>
          </cell>
          <cell r="D1402" t="str">
            <v>登峰造极</v>
          </cell>
        </row>
        <row r="1403">
          <cell r="A1403">
            <v>44041</v>
          </cell>
          <cell r="B1403"/>
          <cell r="C1403" t="str">
            <v>greececheng</v>
          </cell>
          <cell r="D1403" t="str">
            <v>勇闯天涯</v>
          </cell>
        </row>
        <row r="1404">
          <cell r="A1404">
            <v>44042</v>
          </cell>
          <cell r="B1404"/>
          <cell r="C1404" t="str">
            <v>greececheng</v>
          </cell>
          <cell r="D1404" t="str">
            <v>天下至尊</v>
          </cell>
        </row>
        <row r="1405">
          <cell r="A1405">
            <v>44043</v>
          </cell>
          <cell r="B1405"/>
          <cell r="C1405" t="str">
            <v>greececheng</v>
          </cell>
          <cell r="D1405" t="str">
            <v>问鼎中原</v>
          </cell>
        </row>
        <row r="1406">
          <cell r="A1406">
            <v>44044</v>
          </cell>
          <cell r="B1406"/>
          <cell r="C1406" t="str">
            <v>greececheng</v>
          </cell>
          <cell r="D1406" t="str">
            <v>名震一时</v>
          </cell>
        </row>
        <row r="1407">
          <cell r="A1407">
            <v>44045</v>
          </cell>
          <cell r="B1407"/>
          <cell r="C1407" t="str">
            <v>greececheng</v>
          </cell>
          <cell r="D1407" t="str">
            <v>名将如云</v>
          </cell>
        </row>
        <row r="1408">
          <cell r="A1408">
            <v>44046</v>
          </cell>
          <cell r="B1408"/>
          <cell r="C1408" t="str">
            <v>greececheng</v>
          </cell>
          <cell r="D1408" t="str">
            <v>联盟宝贝</v>
          </cell>
        </row>
        <row r="1409">
          <cell r="A1409">
            <v>44047</v>
          </cell>
          <cell r="B1409"/>
          <cell r="C1409" t="str">
            <v>greececheng</v>
          </cell>
          <cell r="D1409" t="str">
            <v>纵横四野</v>
          </cell>
        </row>
        <row r="1410">
          <cell r="A1410">
            <v>44048</v>
          </cell>
          <cell r="B1410"/>
          <cell r="C1410" t="str">
            <v>greececheng</v>
          </cell>
          <cell r="D1410" t="str">
            <v>决胜千里</v>
          </cell>
        </row>
        <row r="1411">
          <cell r="A1411">
            <v>44049</v>
          </cell>
          <cell r="B1411"/>
          <cell r="C1411" t="str">
            <v>greececheng</v>
          </cell>
          <cell r="D1411" t="str">
            <v>登高能赋</v>
          </cell>
        </row>
        <row r="1412">
          <cell r="A1412">
            <v>44050</v>
          </cell>
          <cell r="B1412"/>
          <cell r="C1412" t="str">
            <v>greececheng</v>
          </cell>
          <cell r="D1412" t="str">
            <v>帝国启明星</v>
          </cell>
        </row>
        <row r="1413">
          <cell r="A1413">
            <v>44051</v>
          </cell>
          <cell r="B1413"/>
          <cell r="C1413" t="str">
            <v>greececheng</v>
          </cell>
          <cell r="D1413" t="str">
            <v>财富自由</v>
          </cell>
        </row>
        <row r="1414">
          <cell r="A1414">
            <v>44052</v>
          </cell>
          <cell r="B1414"/>
          <cell r="C1414" t="str">
            <v>greececheng</v>
          </cell>
          <cell r="D1414" t="str">
            <v>超核体验官</v>
          </cell>
        </row>
        <row r="1415">
          <cell r="A1415">
            <v>44053</v>
          </cell>
          <cell r="B1415"/>
          <cell r="C1415" t="str">
            <v>greececheng</v>
          </cell>
          <cell r="D1415" t="str">
            <v>帝国战略家</v>
          </cell>
        </row>
        <row r="1416">
          <cell r="A1416">
            <v>44054</v>
          </cell>
          <cell r="B1416"/>
          <cell r="C1416" t="str">
            <v>greececheng</v>
          </cell>
          <cell r="D1416" t="str">
            <v>百战百胜</v>
          </cell>
        </row>
        <row r="1417">
          <cell r="A1417">
            <v>44055</v>
          </cell>
          <cell r="B1417"/>
          <cell r="C1417" t="str">
            <v>greececheng</v>
          </cell>
          <cell r="D1417" t="str">
            <v>先驱者</v>
          </cell>
        </row>
        <row r="1418">
          <cell r="A1418">
            <v>44056</v>
          </cell>
          <cell r="B1418"/>
          <cell r="C1418" t="str">
            <v>greececheng</v>
          </cell>
          <cell r="D1418" t="str">
            <v>征服者</v>
          </cell>
        </row>
        <row r="1419">
          <cell r="A1419">
            <v>44057</v>
          </cell>
          <cell r="B1419"/>
          <cell r="C1419" t="str">
            <v>greececheng</v>
          </cell>
          <cell r="D1419" t="str">
            <v>登峰造极</v>
          </cell>
        </row>
        <row r="1420">
          <cell r="A1420">
            <v>44058</v>
          </cell>
          <cell r="B1420"/>
          <cell r="C1420" t="str">
            <v>greececheng</v>
          </cell>
          <cell r="D1420" t="str">
            <v>勇闯天涯</v>
          </cell>
        </row>
        <row r="1421">
          <cell r="A1421">
            <v>44059</v>
          </cell>
          <cell r="B1421"/>
          <cell r="C1421" t="str">
            <v>greececheng</v>
          </cell>
          <cell r="D1421" t="str">
            <v>天下至尊</v>
          </cell>
        </row>
        <row r="1422">
          <cell r="A1422">
            <v>44060</v>
          </cell>
          <cell r="B1422"/>
          <cell r="C1422" t="str">
            <v>greececheng</v>
          </cell>
          <cell r="D1422" t="str">
            <v>问鼎中原</v>
          </cell>
        </row>
        <row r="1423">
          <cell r="A1423">
            <v>44061</v>
          </cell>
          <cell r="B1423"/>
          <cell r="C1423" t="str">
            <v>greececheng</v>
          </cell>
          <cell r="D1423" t="str">
            <v>名震一时</v>
          </cell>
        </row>
        <row r="1424">
          <cell r="A1424">
            <v>44062</v>
          </cell>
          <cell r="B1424"/>
          <cell r="C1424" t="str">
            <v>greececheng</v>
          </cell>
          <cell r="D1424" t="str">
            <v>名将如云</v>
          </cell>
        </row>
        <row r="1425">
          <cell r="A1425">
            <v>44063</v>
          </cell>
          <cell r="B1425"/>
          <cell r="C1425" t="str">
            <v>greececheng</v>
          </cell>
          <cell r="D1425" t="str">
            <v>联盟宝贝</v>
          </cell>
        </row>
        <row r="1426">
          <cell r="A1426">
            <v>44064</v>
          </cell>
          <cell r="B1426"/>
          <cell r="C1426" t="str">
            <v>greececheng</v>
          </cell>
          <cell r="D1426" t="str">
            <v>纵横四野</v>
          </cell>
        </row>
        <row r="1427">
          <cell r="A1427">
            <v>44065</v>
          </cell>
          <cell r="B1427"/>
          <cell r="C1427" t="str">
            <v>greececheng</v>
          </cell>
          <cell r="D1427" t="str">
            <v>决胜千里</v>
          </cell>
        </row>
        <row r="1428">
          <cell r="A1428">
            <v>44066</v>
          </cell>
          <cell r="B1428"/>
          <cell r="C1428" t="str">
            <v>greececheng</v>
          </cell>
          <cell r="D1428" t="str">
            <v>登高能赋</v>
          </cell>
        </row>
        <row r="1429">
          <cell r="A1429">
            <v>44067</v>
          </cell>
          <cell r="B1429"/>
          <cell r="C1429" t="str">
            <v>greececheng</v>
          </cell>
          <cell r="D1429" t="str">
            <v>帝国启明星</v>
          </cell>
        </row>
        <row r="1430">
          <cell r="A1430">
            <v>44068</v>
          </cell>
          <cell r="B1430"/>
          <cell r="C1430" t="str">
            <v>greececheng</v>
          </cell>
          <cell r="D1430" t="str">
            <v>剑指天下</v>
          </cell>
        </row>
        <row r="1431">
          <cell r="A1431">
            <v>44069</v>
          </cell>
          <cell r="B1431"/>
          <cell r="C1431" t="str">
            <v>greececheng</v>
          </cell>
          <cell r="D1431" t="str">
            <v>鹰击长空</v>
          </cell>
        </row>
        <row r="1432">
          <cell r="A1432">
            <v>44070</v>
          </cell>
          <cell r="B1432"/>
          <cell r="C1432" t="str">
            <v>greececheng</v>
          </cell>
          <cell r="D1432" t="str">
            <v>谋定九州</v>
          </cell>
        </row>
        <row r="1433">
          <cell r="A1433">
            <v>44071</v>
          </cell>
          <cell r="B1433"/>
          <cell r="C1433" t="str">
            <v>greececheng</v>
          </cell>
          <cell r="D1433" t="str">
            <v>鹰击长空</v>
          </cell>
        </row>
        <row r="1434">
          <cell r="A1434">
            <v>44072</v>
          </cell>
          <cell r="B1434"/>
          <cell r="C1434" t="str">
            <v>greececheng</v>
          </cell>
          <cell r="D1434" t="str">
            <v>鹰击长空</v>
          </cell>
        </row>
        <row r="1435">
          <cell r="A1435">
            <v>44073</v>
          </cell>
          <cell r="B1435"/>
          <cell r="C1435" t="str">
            <v>pinoyao</v>
          </cell>
          <cell r="D1435" t="str">
            <v>剑指天下</v>
          </cell>
        </row>
        <row r="1436">
          <cell r="A1436">
            <v>44074</v>
          </cell>
          <cell r="B1436"/>
          <cell r="C1436" t="str">
            <v>pinoyao</v>
          </cell>
          <cell r="D1436" t="str">
            <v>剑指天下</v>
          </cell>
        </row>
        <row r="1437">
          <cell r="A1437">
            <v>46000</v>
          </cell>
          <cell r="B1437"/>
          <cell r="C1437" t="str">
            <v>greececheng</v>
          </cell>
          <cell r="D1437" t="str">
            <v>蓬莱仙境</v>
          </cell>
        </row>
        <row r="1438">
          <cell r="A1438">
            <v>46001</v>
          </cell>
          <cell r="B1438"/>
          <cell r="C1438" t="str">
            <v>greececheng</v>
          </cell>
          <cell r="D1438" t="str">
            <v>圣剑冠冕</v>
          </cell>
        </row>
        <row r="1439">
          <cell r="A1439">
            <v>46002</v>
          </cell>
          <cell r="B1439"/>
          <cell r="C1439" t="str">
            <v>greececheng</v>
          </cell>
          <cell r="D1439" t="str">
            <v>不灭熔炉</v>
          </cell>
        </row>
        <row r="1440">
          <cell r="A1440">
            <v>46003</v>
          </cell>
          <cell r="B1440"/>
          <cell r="C1440" t="str">
            <v>greececheng</v>
          </cell>
          <cell r="D1440" t="str">
            <v>九重御殿</v>
          </cell>
        </row>
        <row r="1441">
          <cell r="A1441">
            <v>46004</v>
          </cell>
          <cell r="B1441"/>
          <cell r="C1441" t="str">
            <v>greececheng</v>
          </cell>
          <cell r="D1441" t="str">
            <v>温德斯托利</v>
          </cell>
        </row>
        <row r="1442">
          <cell r="A1442">
            <v>46005</v>
          </cell>
          <cell r="B1442"/>
          <cell r="C1442" t="str">
            <v>greececheng</v>
          </cell>
          <cell r="D1442" t="str">
            <v>蓬莱仙境</v>
          </cell>
        </row>
        <row r="1443">
          <cell r="A1443">
            <v>46006</v>
          </cell>
          <cell r="B1443"/>
          <cell r="C1443" t="str">
            <v>greececheng</v>
          </cell>
          <cell r="D1443" t="str">
            <v>圣剑冠冕</v>
          </cell>
        </row>
        <row r="1444">
          <cell r="A1444">
            <v>46007</v>
          </cell>
          <cell r="B1444"/>
          <cell r="C1444" t="str">
            <v>greececheng</v>
          </cell>
          <cell r="D1444" t="str">
            <v>不灭熔炉</v>
          </cell>
        </row>
        <row r="1445">
          <cell r="A1445">
            <v>46008</v>
          </cell>
          <cell r="B1445"/>
          <cell r="C1445" t="str">
            <v>greececheng</v>
          </cell>
          <cell r="D1445" t="str">
            <v>九重御殿</v>
          </cell>
        </row>
        <row r="1446">
          <cell r="A1446">
            <v>46009</v>
          </cell>
          <cell r="B1446"/>
          <cell r="C1446" t="str">
            <v>greececheng</v>
          </cell>
          <cell r="D1446" t="str">
            <v>温德斯托利</v>
          </cell>
        </row>
        <row r="1447">
          <cell r="A1447">
            <v>46010</v>
          </cell>
          <cell r="B1447"/>
          <cell r="C1447" t="str">
            <v>greececheng</v>
          </cell>
          <cell r="D1447" t="str">
            <v>蓬莱仙境</v>
          </cell>
        </row>
        <row r="1448">
          <cell r="A1448">
            <v>46011</v>
          </cell>
          <cell r="B1448"/>
          <cell r="C1448" t="str">
            <v>greececheng</v>
          </cell>
          <cell r="D1448" t="str">
            <v>圣剑冠冕</v>
          </cell>
        </row>
        <row r="1449">
          <cell r="A1449">
            <v>46012</v>
          </cell>
          <cell r="B1449"/>
          <cell r="C1449" t="str">
            <v>greececheng</v>
          </cell>
          <cell r="D1449" t="str">
            <v>不灭熔炉</v>
          </cell>
        </row>
        <row r="1450">
          <cell r="A1450">
            <v>46013</v>
          </cell>
          <cell r="B1450"/>
          <cell r="C1450" t="str">
            <v>greececheng</v>
          </cell>
          <cell r="D1450" t="str">
            <v>九重御殿</v>
          </cell>
        </row>
        <row r="1451">
          <cell r="A1451">
            <v>46014</v>
          </cell>
          <cell r="B1451"/>
          <cell r="C1451" t="str">
            <v>greececheng</v>
          </cell>
          <cell r="D1451" t="str">
            <v>温德斯托利</v>
          </cell>
        </row>
        <row r="1452">
          <cell r="A1452">
            <v>46015</v>
          </cell>
          <cell r="B1452"/>
          <cell r="C1452" t="str">
            <v>greececheng</v>
          </cell>
          <cell r="D1452" t="str">
            <v>蓬莱仙境</v>
          </cell>
        </row>
        <row r="1453">
          <cell r="A1453">
            <v>46016</v>
          </cell>
          <cell r="B1453"/>
          <cell r="C1453" t="str">
            <v>greececheng</v>
          </cell>
          <cell r="D1453" t="str">
            <v>圣剑冠冕</v>
          </cell>
        </row>
        <row r="1454">
          <cell r="A1454">
            <v>46017</v>
          </cell>
          <cell r="B1454"/>
          <cell r="C1454" t="str">
            <v>greececheng</v>
          </cell>
          <cell r="D1454" t="str">
            <v>不灭熔炉</v>
          </cell>
        </row>
        <row r="1455">
          <cell r="A1455">
            <v>46018</v>
          </cell>
          <cell r="B1455"/>
          <cell r="C1455" t="str">
            <v>greececheng</v>
          </cell>
          <cell r="D1455" t="str">
            <v>九重御殿</v>
          </cell>
        </row>
        <row r="1456">
          <cell r="A1456">
            <v>46019</v>
          </cell>
          <cell r="B1456"/>
          <cell r="C1456" t="str">
            <v>greececheng</v>
          </cell>
          <cell r="D1456" t="str">
            <v>温德斯托利</v>
          </cell>
        </row>
        <row r="1457">
          <cell r="A1457">
            <v>46020</v>
          </cell>
          <cell r="B1457"/>
          <cell r="C1457" t="str">
            <v>greececheng</v>
          </cell>
          <cell r="D1457" t="str">
            <v>御照东方</v>
          </cell>
        </row>
        <row r="1458">
          <cell r="A1458">
            <v>46021</v>
          </cell>
          <cell r="B1458"/>
          <cell r="C1458" t="str">
            <v>greececheng</v>
          </cell>
          <cell r="D1458" t="str">
            <v>御照东方</v>
          </cell>
        </row>
        <row r="1459">
          <cell r="A1459">
            <v>46022</v>
          </cell>
          <cell r="B1459"/>
          <cell r="C1459" t="str">
            <v>greececheng</v>
          </cell>
          <cell r="D1459" t="str">
            <v>御照东方</v>
          </cell>
        </row>
        <row r="1460">
          <cell r="A1460">
            <v>46023</v>
          </cell>
          <cell r="B1460"/>
          <cell r="C1460" t="str">
            <v>greececheng</v>
          </cell>
          <cell r="D1460" t="str">
            <v>御照东方</v>
          </cell>
        </row>
        <row r="1461">
          <cell r="A1461">
            <v>46024</v>
          </cell>
          <cell r="B1461"/>
          <cell r="C1461" t="str">
            <v>greececheng</v>
          </cell>
          <cell r="D1461" t="str">
            <v>千里江枫</v>
          </cell>
        </row>
        <row r="1462">
          <cell r="A1462">
            <v>46025</v>
          </cell>
          <cell r="B1462"/>
          <cell r="C1462" t="str">
            <v>greececheng</v>
          </cell>
          <cell r="D1462" t="str">
            <v>千里江枫</v>
          </cell>
        </row>
        <row r="1463">
          <cell r="A1463">
            <v>46026</v>
          </cell>
          <cell r="B1463"/>
          <cell r="C1463" t="str">
            <v>greececheng</v>
          </cell>
          <cell r="D1463" t="str">
            <v>千里江枫</v>
          </cell>
        </row>
        <row r="1464">
          <cell r="A1464">
            <v>46027</v>
          </cell>
          <cell r="B1464"/>
          <cell r="C1464" t="str">
            <v>greececheng</v>
          </cell>
          <cell r="D1464" t="str">
            <v>千里江枫</v>
          </cell>
        </row>
        <row r="1465">
          <cell r="A1465">
            <v>46028</v>
          </cell>
          <cell r="B1465"/>
          <cell r="C1465" t="str">
            <v>greececheng</v>
          </cell>
          <cell r="D1465" t="str">
            <v>御照东方</v>
          </cell>
        </row>
        <row r="1466">
          <cell r="A1466">
            <v>46029</v>
          </cell>
          <cell r="B1466"/>
          <cell r="C1466" t="str">
            <v>greececheng</v>
          </cell>
          <cell r="D1466" t="str">
            <v>鹰堡</v>
          </cell>
        </row>
        <row r="1467">
          <cell r="A1467">
            <v>46030</v>
          </cell>
          <cell r="B1467"/>
          <cell r="C1467" t="str">
            <v>greececheng</v>
          </cell>
          <cell r="D1467" t="str">
            <v>鹰堡</v>
          </cell>
        </row>
        <row r="1468">
          <cell r="A1468">
            <v>46031</v>
          </cell>
          <cell r="B1468"/>
          <cell r="C1468" t="str">
            <v>greececheng</v>
          </cell>
          <cell r="D1468" t="str">
            <v>鹰堡</v>
          </cell>
        </row>
        <row r="1469">
          <cell r="A1469">
            <v>46032</v>
          </cell>
          <cell r="B1469"/>
          <cell r="C1469" t="str">
            <v>greececheng</v>
          </cell>
          <cell r="D1469" t="str">
            <v>鹰堡</v>
          </cell>
        </row>
        <row r="1470">
          <cell r="A1470">
            <v>46033</v>
          </cell>
          <cell r="B1470"/>
          <cell r="C1470" t="str">
            <v>greececheng</v>
          </cell>
          <cell r="D1470" t="str">
            <v>鹰堡</v>
          </cell>
        </row>
        <row r="1471">
          <cell r="A1471">
            <v>46034</v>
          </cell>
          <cell r="B1471"/>
          <cell r="C1471" t="str">
            <v>pinoyao</v>
          </cell>
          <cell r="D1471" t="str">
            <v>剑堡</v>
          </cell>
        </row>
        <row r="1472">
          <cell r="A1472">
            <v>46035</v>
          </cell>
          <cell r="B1472"/>
          <cell r="C1472" t="str">
            <v>pinoyao</v>
          </cell>
          <cell r="D1472" t="str">
            <v>剑堡</v>
          </cell>
        </row>
        <row r="1473">
          <cell r="A1473">
            <v>46036</v>
          </cell>
          <cell r="B1473"/>
          <cell r="C1473" t="str">
            <v>pinoyao</v>
          </cell>
          <cell r="D1473" t="str">
            <v>剑堡</v>
          </cell>
        </row>
        <row r="1474">
          <cell r="A1474">
            <v>46037</v>
          </cell>
          <cell r="B1474"/>
          <cell r="C1474" t="str">
            <v>pinoyao</v>
          </cell>
          <cell r="D1474" t="str">
            <v>剑堡</v>
          </cell>
        </row>
        <row r="1475">
          <cell r="A1475">
            <v>46038</v>
          </cell>
          <cell r="B1475"/>
          <cell r="C1475" t="str">
            <v>pinoyao</v>
          </cell>
          <cell r="D1475" t="str">
            <v>剑堡</v>
          </cell>
        </row>
        <row r="1476">
          <cell r="A1476">
            <v>47000</v>
          </cell>
          <cell r="C1476" t="str">
            <v>karriesxu</v>
          </cell>
          <cell r="D1476" t="str">
            <v>超核卡信物1天</v>
          </cell>
        </row>
        <row r="1477">
          <cell r="A1477">
            <v>47001</v>
          </cell>
          <cell r="C1477" t="str">
            <v>karriesxu</v>
          </cell>
          <cell r="D1477" t="str">
            <v>超核周卡信物7天</v>
          </cell>
        </row>
        <row r="1478">
          <cell r="A1478">
            <v>47002</v>
          </cell>
          <cell r="C1478" t="str">
            <v>karriesxu</v>
          </cell>
          <cell r="D1478" t="str">
            <v>超核月卡信物30天</v>
          </cell>
        </row>
        <row r="1479">
          <cell r="A1479">
            <v>48001</v>
          </cell>
          <cell r="B1479"/>
          <cell r="C1479" t="str">
            <v>petercxhu</v>
          </cell>
          <cell r="D1479" t="str">
            <v>帝国里程碑</v>
          </cell>
        </row>
        <row r="1480">
          <cell r="A1480">
            <v>49001</v>
          </cell>
          <cell r="C1480" t="str">
            <v>junkaili</v>
          </cell>
          <cell r="D1480" t="str">
            <v>赛季卡包抽取上限</v>
          </cell>
        </row>
        <row r="1481">
          <cell r="A1481">
            <v>49011</v>
          </cell>
          <cell r="C1481" t="str">
            <v>junkaili</v>
          </cell>
          <cell r="D1481" t="str">
            <v>探索笔记</v>
          </cell>
        </row>
        <row r="1482">
          <cell r="A1482">
            <v>49012</v>
          </cell>
          <cell r="C1482" t="str">
            <v>junkaili</v>
          </cell>
          <cell r="D1482" t="str">
            <v>奇迹印象点数</v>
          </cell>
        </row>
        <row r="1483">
          <cell r="A1483">
            <v>49013</v>
          </cell>
          <cell r="B1483"/>
          <cell r="C1483" t="str">
            <v>boomwu</v>
          </cell>
          <cell r="D1483" t="str">
            <v>传说英雄自选宝箱</v>
          </cell>
        </row>
        <row r="1484">
          <cell r="A1484">
            <v>49014</v>
          </cell>
          <cell r="C1484" t="str">
            <v>boomwu</v>
          </cell>
          <cell r="D1484" t="str">
            <v>稀有技能自选宝箱</v>
          </cell>
        </row>
        <row r="1485">
          <cell r="A1485">
            <v>49015</v>
          </cell>
          <cell r="C1485" t="str">
            <v>boomwu</v>
          </cell>
          <cell r="D1485" t="str">
            <v>史诗技能自选宝箱</v>
          </cell>
        </row>
        <row r="1486">
          <cell r="A1486">
            <v>49016</v>
          </cell>
          <cell r="C1486" t="str">
            <v>boomwu</v>
          </cell>
          <cell r="D1486" t="str">
            <v>传奇技能自选宝箱</v>
          </cell>
        </row>
        <row r="1487">
          <cell r="A1487">
            <v>49017</v>
          </cell>
          <cell r="C1487" t="str">
            <v>boomwu</v>
          </cell>
          <cell r="D1487" t="str">
            <v>帝国宝箱</v>
          </cell>
        </row>
        <row r="1488">
          <cell r="A1488">
            <v>49018</v>
          </cell>
          <cell r="C1488" t="str">
            <v>yanhaoyhli</v>
          </cell>
          <cell r="D1488" t="str">
            <v>测试用碎片宝箱</v>
          </cell>
        </row>
        <row r="1489">
          <cell r="A1489">
            <v>49019</v>
          </cell>
          <cell r="C1489" t="str">
            <v>yanhaoyhli</v>
          </cell>
          <cell r="D1489" t="str">
            <v>模拟抽英雄宝箱</v>
          </cell>
        </row>
        <row r="1490">
          <cell r="A1490">
            <v>49020</v>
          </cell>
          <cell r="C1490" t="str">
            <v>yanhaoyhli</v>
          </cell>
          <cell r="D1490" t="str">
            <v>模拟抽技能宝箱</v>
          </cell>
        </row>
        <row r="1491">
          <cell r="A1491">
            <v>49021</v>
          </cell>
          <cell r="B1491">
            <v>5001</v>
          </cell>
          <cell r="C1491" t="str">
            <v>grantxue</v>
          </cell>
          <cell r="D1491" t="str">
            <v>vip经验10</v>
          </cell>
        </row>
        <row r="1492">
          <cell r="A1492">
            <v>49022</v>
          </cell>
          <cell r="B1492">
            <v>5002</v>
          </cell>
          <cell r="C1492" t="str">
            <v>grantxue</v>
          </cell>
          <cell r="D1492" t="str">
            <v>vip经验50</v>
          </cell>
        </row>
        <row r="1493">
          <cell r="A1493">
            <v>49023</v>
          </cell>
          <cell r="B1493">
            <v>5003</v>
          </cell>
          <cell r="C1493" t="str">
            <v>grantxue</v>
          </cell>
          <cell r="D1493" t="str">
            <v>vip经验100</v>
          </cell>
        </row>
        <row r="1494">
          <cell r="A1494">
            <v>49024</v>
          </cell>
          <cell r="B1494">
            <v>5004</v>
          </cell>
          <cell r="C1494" t="str">
            <v>grantxue</v>
          </cell>
          <cell r="D1494" t="str">
            <v>vip经验500</v>
          </cell>
        </row>
        <row r="1495">
          <cell r="A1495">
            <v>49025</v>
          </cell>
          <cell r="B1495">
            <v>5005</v>
          </cell>
          <cell r="C1495" t="str">
            <v>grantxue</v>
          </cell>
          <cell r="D1495" t="str">
            <v>vip经验1000</v>
          </cell>
        </row>
        <row r="1496">
          <cell r="A1496">
            <v>49026</v>
          </cell>
          <cell r="B1496">
            <v>5006</v>
          </cell>
          <cell r="C1496" t="str">
            <v>grantxue</v>
          </cell>
          <cell r="D1496" t="str">
            <v>vip经验5000</v>
          </cell>
        </row>
        <row r="1497">
          <cell r="A1497">
            <v>49027</v>
          </cell>
          <cell r="B1497"/>
          <cell r="C1497" t="str">
            <v>boomwu</v>
          </cell>
          <cell r="D1497" t="str">
            <v>帝国水晶</v>
          </cell>
        </row>
        <row r="1498">
          <cell r="A1498">
            <v>49028</v>
          </cell>
          <cell r="B1498"/>
          <cell r="C1498" t="str">
            <v>boomwu</v>
          </cell>
          <cell r="D1498" t="str">
            <v>荣耀印记</v>
          </cell>
        </row>
        <row r="1499">
          <cell r="A1499">
            <v>49029</v>
          </cell>
          <cell r="C1499" t="str">
            <v>boomwu</v>
          </cell>
          <cell r="D1499" t="str">
            <v>战备加速宝箱</v>
          </cell>
        </row>
        <row r="1500">
          <cell r="A1500">
            <v>49030</v>
          </cell>
          <cell r="C1500" t="str">
            <v>boomwu</v>
          </cell>
          <cell r="D1500" t="str">
            <v>战备资源宝箱</v>
          </cell>
        </row>
        <row r="1501">
          <cell r="A1501">
            <v>49031</v>
          </cell>
          <cell r="B1501"/>
          <cell r="C1501" t="str">
            <v>boomwu</v>
          </cell>
          <cell r="D1501" t="str">
            <v>占卜石</v>
          </cell>
        </row>
        <row r="1502">
          <cell r="A1502">
            <v>49032</v>
          </cell>
          <cell r="C1502" t="str">
            <v>boomwu</v>
          </cell>
          <cell r="D1502" t="str">
            <v>枪兵英雄礼包</v>
          </cell>
        </row>
        <row r="1503">
          <cell r="A1503">
            <v>49033</v>
          </cell>
          <cell r="C1503" t="str">
            <v>boomwu</v>
          </cell>
          <cell r="D1503" t="str">
            <v>弓兵英雄礼包</v>
          </cell>
        </row>
        <row r="1504">
          <cell r="A1504">
            <v>49034</v>
          </cell>
          <cell r="C1504" t="str">
            <v>boomwu</v>
          </cell>
          <cell r="D1504" t="str">
            <v>剑士英雄礼包</v>
          </cell>
        </row>
        <row r="1505">
          <cell r="A1505">
            <v>49035</v>
          </cell>
          <cell r="C1505" t="str">
            <v>boomwu</v>
          </cell>
          <cell r="D1505" t="str">
            <v>骑兵英雄礼包</v>
          </cell>
        </row>
        <row r="1506">
          <cell r="A1506">
            <v>49036</v>
          </cell>
          <cell r="C1506" t="str">
            <v>boomwu</v>
          </cell>
          <cell r="D1506" t="str">
            <v>枪兵技能礼包</v>
          </cell>
        </row>
        <row r="1507">
          <cell r="A1507">
            <v>49037</v>
          </cell>
          <cell r="C1507" t="str">
            <v>boomwu</v>
          </cell>
          <cell r="D1507" t="str">
            <v>弓兵技能礼包</v>
          </cell>
        </row>
        <row r="1508">
          <cell r="A1508">
            <v>49038</v>
          </cell>
          <cell r="C1508" t="str">
            <v>boomwu</v>
          </cell>
          <cell r="D1508" t="str">
            <v>剑士技能礼包</v>
          </cell>
        </row>
        <row r="1509">
          <cell r="A1509">
            <v>49039</v>
          </cell>
          <cell r="C1509" t="str">
            <v>boomwu</v>
          </cell>
          <cell r="D1509" t="str">
            <v>骑兵技能礼包</v>
          </cell>
        </row>
        <row r="1510">
          <cell r="A1510">
            <v>49040</v>
          </cell>
          <cell r="B1510"/>
          <cell r="C1510" t="str">
            <v>boomwu</v>
          </cell>
          <cell r="D1510" t="str">
            <v>画幅残卷</v>
          </cell>
        </row>
        <row r="1511">
          <cell r="A1511">
            <v>49041</v>
          </cell>
          <cell r="C1511" t="str">
            <v>boomwu</v>
          </cell>
          <cell r="D1511" t="str">
            <v>枪兵英雄礼包1</v>
          </cell>
        </row>
        <row r="1512">
          <cell r="A1512">
            <v>49042</v>
          </cell>
          <cell r="C1512" t="str">
            <v>boomwu</v>
          </cell>
          <cell r="D1512" t="str">
            <v>弓兵英雄礼包1</v>
          </cell>
        </row>
        <row r="1513">
          <cell r="A1513">
            <v>49043</v>
          </cell>
          <cell r="C1513" t="str">
            <v>boomwu</v>
          </cell>
          <cell r="D1513" t="str">
            <v>剑士英雄礼包1</v>
          </cell>
        </row>
        <row r="1514">
          <cell r="A1514">
            <v>49044</v>
          </cell>
          <cell r="C1514" t="str">
            <v>boomwu</v>
          </cell>
          <cell r="D1514" t="str">
            <v>骑兵英雄礼包1</v>
          </cell>
        </row>
        <row r="1515">
          <cell r="A1515">
            <v>49045</v>
          </cell>
          <cell r="C1515" t="str">
            <v>boomwu</v>
          </cell>
          <cell r="D1515" t="str">
            <v>枪兵技能礼包1</v>
          </cell>
        </row>
        <row r="1516">
          <cell r="A1516">
            <v>49046</v>
          </cell>
          <cell r="C1516" t="str">
            <v>boomwu</v>
          </cell>
          <cell r="D1516" t="str">
            <v>弓兵技能礼包1</v>
          </cell>
        </row>
        <row r="1517">
          <cell r="A1517">
            <v>49047</v>
          </cell>
          <cell r="C1517" t="str">
            <v>boomwu</v>
          </cell>
          <cell r="D1517" t="str">
            <v>剑士技能礼包1</v>
          </cell>
        </row>
        <row r="1518">
          <cell r="A1518">
            <v>49048</v>
          </cell>
          <cell r="C1518" t="str">
            <v>boomwu</v>
          </cell>
          <cell r="D1518" t="str">
            <v>骑兵技能礼包1</v>
          </cell>
        </row>
        <row r="1519">
          <cell r="A1519">
            <v>49049</v>
          </cell>
          <cell r="C1519" t="str">
            <v>boomwu</v>
          </cell>
          <cell r="D1519" t="str">
            <v>枪兵英雄礼包2</v>
          </cell>
        </row>
        <row r="1520">
          <cell r="A1520">
            <v>49050</v>
          </cell>
          <cell r="C1520" t="str">
            <v>boomwu</v>
          </cell>
          <cell r="D1520" t="str">
            <v>弓兵英雄礼包2</v>
          </cell>
        </row>
        <row r="1521">
          <cell r="A1521">
            <v>49051</v>
          </cell>
          <cell r="C1521" t="str">
            <v>boomwu</v>
          </cell>
          <cell r="D1521" t="str">
            <v>剑士英雄礼包2</v>
          </cell>
        </row>
        <row r="1522">
          <cell r="A1522">
            <v>49052</v>
          </cell>
          <cell r="C1522" t="str">
            <v>boomwu</v>
          </cell>
          <cell r="D1522" t="str">
            <v>骑兵英雄礼包2</v>
          </cell>
        </row>
        <row r="1523">
          <cell r="A1523">
            <v>49053</v>
          </cell>
          <cell r="C1523" t="str">
            <v>boomwu</v>
          </cell>
          <cell r="D1523" t="str">
            <v>剑士英雄礼包3</v>
          </cell>
        </row>
        <row r="1524">
          <cell r="A1524">
            <v>49054</v>
          </cell>
          <cell r="C1524" t="str">
            <v>boomwu</v>
          </cell>
          <cell r="D1524" t="str">
            <v>骑兵英雄礼包3</v>
          </cell>
        </row>
        <row r="1525">
          <cell r="A1525">
            <v>49055</v>
          </cell>
          <cell r="C1525" t="str">
            <v>boomwu</v>
          </cell>
          <cell r="D1525" t="str">
            <v>枪兵技能礼包2</v>
          </cell>
        </row>
        <row r="1526">
          <cell r="A1526">
            <v>49056</v>
          </cell>
          <cell r="C1526" t="str">
            <v>boomwu</v>
          </cell>
          <cell r="D1526" t="str">
            <v>弓兵技能礼包2</v>
          </cell>
        </row>
        <row r="1527">
          <cell r="A1527">
            <v>49057</v>
          </cell>
          <cell r="C1527" t="str">
            <v>boomwu</v>
          </cell>
          <cell r="D1527" t="str">
            <v>剑士技能礼包2</v>
          </cell>
        </row>
        <row r="1528">
          <cell r="A1528">
            <v>49058</v>
          </cell>
          <cell r="C1528" t="str">
            <v>boomwu</v>
          </cell>
          <cell r="D1528" t="str">
            <v>骑兵技能礼包2</v>
          </cell>
        </row>
        <row r="1529">
          <cell r="A1529">
            <v>49059</v>
          </cell>
          <cell r="C1529" t="str">
            <v>boomwu</v>
          </cell>
          <cell r="D1529" t="str">
            <v>弓兵技能礼包3</v>
          </cell>
        </row>
        <row r="1530">
          <cell r="A1530">
            <v>49060</v>
          </cell>
          <cell r="C1530" t="str">
            <v>boomwu</v>
          </cell>
          <cell r="D1530" t="str">
            <v>剑士技能礼包3</v>
          </cell>
        </row>
        <row r="1531">
          <cell r="A1531">
            <v>49061</v>
          </cell>
          <cell r="C1531" t="str">
            <v>boomwu</v>
          </cell>
          <cell r="D1531" t="str">
            <v>骑兵技能礼包3</v>
          </cell>
        </row>
        <row r="1532">
          <cell r="A1532">
            <v>49062</v>
          </cell>
          <cell r="B1532"/>
          <cell r="C1532" t="str">
            <v>boomwu</v>
          </cell>
          <cell r="D1532" t="str">
            <v>世界之树-丰收季用抽奖道具</v>
          </cell>
        </row>
        <row r="1533">
          <cell r="A1533">
            <v>49063</v>
          </cell>
          <cell r="B1533"/>
          <cell r="C1533" t="str">
            <v>boomwu</v>
          </cell>
          <cell r="D1533" t="str">
            <v>世界之树-培育用道具</v>
          </cell>
        </row>
        <row r="1534">
          <cell r="A1534">
            <v>49064</v>
          </cell>
          <cell r="B1534"/>
          <cell r="C1534" t="str">
            <v>boomwu</v>
          </cell>
          <cell r="D1534" t="str">
            <v>丰收佳节-葡萄</v>
          </cell>
        </row>
        <row r="1535">
          <cell r="A1535">
            <v>49065</v>
          </cell>
          <cell r="B1535"/>
          <cell r="C1535" t="str">
            <v>boomwu</v>
          </cell>
          <cell r="D1535" t="str">
            <v>丰收佳节-高级奖励</v>
          </cell>
        </row>
        <row r="1536">
          <cell r="A1536">
            <v>49066</v>
          </cell>
          <cell r="C1536" t="str">
            <v>grantxue</v>
          </cell>
          <cell r="D1536" t="str">
            <v>剑士技能礼包1</v>
          </cell>
        </row>
        <row r="1537">
          <cell r="A1537">
            <v>49067</v>
          </cell>
          <cell r="B1537"/>
          <cell r="C1537" t="str">
            <v>grantxue</v>
          </cell>
          <cell r="D1537" t="str">
            <v>传说英雄自选宝箱</v>
          </cell>
        </row>
        <row r="1538">
          <cell r="A1538">
            <v>49068</v>
          </cell>
          <cell r="C1538" t="str">
            <v>grantxue</v>
          </cell>
          <cell r="D1538" t="str">
            <v>传奇技能自选宝箱</v>
          </cell>
        </row>
        <row r="1539">
          <cell r="A1539">
            <v>49069</v>
          </cell>
          <cell r="B1539"/>
          <cell r="C1539" t="str">
            <v>grantxue</v>
          </cell>
          <cell r="D1539" t="str">
            <v>传说英雄自选宝箱</v>
          </cell>
        </row>
        <row r="1540">
          <cell r="A1540">
            <v>49070</v>
          </cell>
          <cell r="B1540"/>
          <cell r="C1540" t="str">
            <v>grantxue</v>
          </cell>
          <cell r="D1540" t="str">
            <v>传说英雄自选宝箱</v>
          </cell>
        </row>
        <row r="1541">
          <cell r="A1541">
            <v>49071</v>
          </cell>
          <cell r="C1541" t="str">
            <v>grantxue</v>
          </cell>
          <cell r="D1541" t="str">
            <v>传奇技能自选宝箱</v>
          </cell>
        </row>
        <row r="1542">
          <cell r="A1542">
            <v>2000001</v>
          </cell>
          <cell r="C1542" t="str">
            <v>wentaopian</v>
          </cell>
          <cell r="D1542" t="str">
            <v>通用技能升星道具-蓝</v>
          </cell>
        </row>
        <row r="1543">
          <cell r="A1543">
            <v>2000002</v>
          </cell>
          <cell r="C1543" t="str">
            <v>wentaopian</v>
          </cell>
          <cell r="D1543" t="str">
            <v>通用技能升星道具-紫</v>
          </cell>
        </row>
        <row r="1544">
          <cell r="A1544">
            <v>2000003</v>
          </cell>
          <cell r="C1544" t="str">
            <v>wentaopian</v>
          </cell>
          <cell r="D1544" t="str">
            <v>通用技能升星道具-橙1-3星</v>
          </cell>
        </row>
        <row r="1545">
          <cell r="A1545">
            <v>2000004</v>
          </cell>
          <cell r="C1545" t="str">
            <v>wentaopian</v>
          </cell>
          <cell r="D1545" t="str">
            <v>通用技能升星道具-橙4-5星</v>
          </cell>
        </row>
        <row r="1546">
          <cell r="A1546">
            <v>2001000</v>
          </cell>
          <cell r="C1546" t="str">
            <v>wentaopian</v>
          </cell>
          <cell r="D1546" t="str">
            <v>技能解锁道具-不屈反击</v>
          </cell>
        </row>
        <row r="1547">
          <cell r="A1547">
            <v>2001001</v>
          </cell>
          <cell r="C1547" t="str">
            <v>wentaopian</v>
          </cell>
          <cell r="D1547" t="str">
            <v>技能解锁道具-反戈一击</v>
          </cell>
        </row>
        <row r="1548">
          <cell r="A1548">
            <v>2001002</v>
          </cell>
          <cell r="C1548" t="str">
            <v>wentaopian</v>
          </cell>
          <cell r="D1548" t="str">
            <v>技能解锁道具-军神赠礼</v>
          </cell>
        </row>
        <row r="1549">
          <cell r="A1549">
            <v>2001003</v>
          </cell>
          <cell r="C1549" t="str">
            <v>wentaopian</v>
          </cell>
          <cell r="D1549" t="str">
            <v>技能解锁道具-灵光乍现</v>
          </cell>
        </row>
        <row r="1550">
          <cell r="A1550">
            <v>2001004</v>
          </cell>
          <cell r="C1550" t="str">
            <v>wentaopian</v>
          </cell>
          <cell r="D1550" t="str">
            <v>技能解锁道具-怒火猛攻</v>
          </cell>
        </row>
        <row r="1551">
          <cell r="A1551">
            <v>2001005</v>
          </cell>
          <cell r="C1551" t="str">
            <v>wentaopian</v>
          </cell>
          <cell r="D1551" t="str">
            <v>技能解锁道具-破敌之眼</v>
          </cell>
        </row>
        <row r="1552">
          <cell r="A1552">
            <v>2001006</v>
          </cell>
          <cell r="C1552" t="str">
            <v>wentaopian</v>
          </cell>
          <cell r="D1552" t="str">
            <v>技能解锁道具-风卷残云</v>
          </cell>
        </row>
        <row r="1553">
          <cell r="A1553">
            <v>2001007</v>
          </cell>
          <cell r="C1553" t="str">
            <v>wentaopian</v>
          </cell>
          <cell r="D1553" t="str">
            <v>技能解锁道具-三重攻势</v>
          </cell>
        </row>
        <row r="1554">
          <cell r="A1554">
            <v>2001008</v>
          </cell>
          <cell r="C1554" t="str">
            <v>wentaopian</v>
          </cell>
          <cell r="D1554" t="str">
            <v>技能解锁道具-王者之剑</v>
          </cell>
        </row>
        <row r="1555">
          <cell r="A1555">
            <v>2001009</v>
          </cell>
          <cell r="C1555" t="str">
            <v>wentaopian</v>
          </cell>
          <cell r="D1555" t="str">
            <v>技能解锁道具-弱点进攻</v>
          </cell>
        </row>
        <row r="1556">
          <cell r="A1556">
            <v>2001010</v>
          </cell>
          <cell r="C1556" t="str">
            <v>wentaopian</v>
          </cell>
          <cell r="D1556" t="str">
            <v>技能解锁道具-压迫之袭</v>
          </cell>
        </row>
        <row r="1557">
          <cell r="A1557">
            <v>2001011</v>
          </cell>
          <cell r="C1557" t="str">
            <v>wentaopian</v>
          </cell>
          <cell r="D1557" t="str">
            <v>技能解锁道具-黑沼之刃</v>
          </cell>
        </row>
        <row r="1558">
          <cell r="A1558">
            <v>2001012</v>
          </cell>
          <cell r="C1558" t="str">
            <v>wentaopian</v>
          </cell>
          <cell r="D1558" t="str">
            <v>技能解锁道具-万里平戎策</v>
          </cell>
        </row>
        <row r="1559">
          <cell r="A1559">
            <v>2001013</v>
          </cell>
          <cell r="C1559" t="str">
            <v>wentaopian</v>
          </cell>
          <cell r="D1559" t="str">
            <v>技能解锁道具-长生军团</v>
          </cell>
        </row>
        <row r="1560">
          <cell r="A1560">
            <v>2001014</v>
          </cell>
          <cell r="C1560" t="str">
            <v>wentaopian</v>
          </cell>
          <cell r="D1560" t="str">
            <v>技能解锁道具-饥渴之刃</v>
          </cell>
        </row>
        <row r="1561">
          <cell r="A1561">
            <v>2001015</v>
          </cell>
          <cell r="C1561" t="str">
            <v>wentaopian</v>
          </cell>
          <cell r="D1561" t="str">
            <v>技能解锁道具-天地无双斩</v>
          </cell>
        </row>
        <row r="1562">
          <cell r="A1562">
            <v>2001016</v>
          </cell>
          <cell r="C1562" t="str">
            <v>wentaopian</v>
          </cell>
          <cell r="D1562" t="str">
            <v>技能解锁道具-战术冲锋</v>
          </cell>
        </row>
        <row r="1563">
          <cell r="A1563">
            <v>2001017</v>
          </cell>
          <cell r="C1563" t="str">
            <v>wentaopian</v>
          </cell>
          <cell r="D1563" t="str">
            <v>技能解锁道具-燎天之火</v>
          </cell>
        </row>
        <row r="1564">
          <cell r="A1564">
            <v>2001018</v>
          </cell>
          <cell r="C1564" t="str">
            <v>wentaopian</v>
          </cell>
          <cell r="D1564" t="str">
            <v>技能解锁道具-泰山压顶</v>
          </cell>
        </row>
        <row r="1565">
          <cell r="A1565">
            <v>2001019</v>
          </cell>
          <cell r="C1565" t="str">
            <v>wentaopian</v>
          </cell>
          <cell r="D1565" t="str">
            <v>技能解锁道具-以战养战</v>
          </cell>
        </row>
        <row r="1566">
          <cell r="A1566">
            <v>2001020</v>
          </cell>
          <cell r="C1566" t="str">
            <v>wentaopian</v>
          </cell>
          <cell r="D1566" t="str">
            <v>技能解锁道具-正义裁决</v>
          </cell>
        </row>
        <row r="1567">
          <cell r="A1567">
            <v>2001021</v>
          </cell>
          <cell r="C1567" t="str">
            <v>wentaopian</v>
          </cell>
          <cell r="D1567" t="str">
            <v>技能解锁道具-恩泽庇护</v>
          </cell>
        </row>
        <row r="1568">
          <cell r="A1568">
            <v>2001022</v>
          </cell>
          <cell r="C1568" t="str">
            <v>wentaopian</v>
          </cell>
          <cell r="D1568" t="str">
            <v>技能解锁道具-百战之体</v>
          </cell>
        </row>
        <row r="1569">
          <cell r="A1569">
            <v>2001023</v>
          </cell>
          <cell r="C1569" t="str">
            <v>wentaopian</v>
          </cell>
          <cell r="D1569" t="str">
            <v>技能解锁道具-蛮勇侵袭</v>
          </cell>
        </row>
        <row r="1570">
          <cell r="A1570">
            <v>2001024</v>
          </cell>
          <cell r="C1570" t="str">
            <v>wentaopian</v>
          </cell>
          <cell r="D1570" t="str">
            <v>技能解锁道具-冲锋的极意</v>
          </cell>
        </row>
        <row r="1571">
          <cell r="A1571">
            <v>2001025</v>
          </cell>
          <cell r="C1571" t="str">
            <v>wentaopian</v>
          </cell>
          <cell r="D1571" t="str">
            <v>技能解锁道具-慈悲终结</v>
          </cell>
        </row>
        <row r="1572">
          <cell r="A1572">
            <v>2001026</v>
          </cell>
          <cell r="C1572" t="str">
            <v>wentaopian</v>
          </cell>
          <cell r="D1572" t="str">
            <v>技能解锁道具-胜利怒吼</v>
          </cell>
        </row>
        <row r="1573">
          <cell r="A1573">
            <v>2001027</v>
          </cell>
          <cell r="C1573" t="str">
            <v>wentaopian</v>
          </cell>
          <cell r="D1573" t="str">
            <v>技能解锁道具-致命一击</v>
          </cell>
        </row>
        <row r="1574">
          <cell r="A1574">
            <v>2002000</v>
          </cell>
          <cell r="C1574" t="str">
            <v>wentaopian</v>
          </cell>
          <cell r="D1574" t="str">
            <v>技能解锁道具-剑盾突击</v>
          </cell>
        </row>
        <row r="1575">
          <cell r="A1575">
            <v>2002001</v>
          </cell>
          <cell r="C1575" t="str">
            <v>wentaopian</v>
          </cell>
          <cell r="D1575" t="str">
            <v>技能解锁道具-伏击</v>
          </cell>
        </row>
        <row r="1576">
          <cell r="A1576">
            <v>2002002</v>
          </cell>
          <cell r="C1576" t="str">
            <v>wentaopian</v>
          </cell>
          <cell r="D1576" t="str">
            <v>技能解锁道具-阳谋</v>
          </cell>
        </row>
        <row r="1577">
          <cell r="A1577">
            <v>2002003</v>
          </cell>
          <cell r="C1577" t="str">
            <v>wentaopian</v>
          </cell>
          <cell r="D1577" t="str">
            <v>技能解锁道具-戒备</v>
          </cell>
        </row>
        <row r="1578">
          <cell r="A1578">
            <v>2002004</v>
          </cell>
          <cell r="C1578" t="str">
            <v>wentaopian</v>
          </cell>
          <cell r="D1578" t="str">
            <v>技能解锁道具-反击</v>
          </cell>
        </row>
        <row r="1579">
          <cell r="A1579">
            <v>2002005</v>
          </cell>
          <cell r="C1579" t="str">
            <v>wentaopian</v>
          </cell>
          <cell r="D1579" t="str">
            <v>技能解锁道具-固本</v>
          </cell>
        </row>
        <row r="1580">
          <cell r="A1580">
            <v>2002006</v>
          </cell>
          <cell r="C1580" t="str">
            <v>wentaopian</v>
          </cell>
          <cell r="D1580" t="str">
            <v>技能解锁道具-战争狂热</v>
          </cell>
        </row>
        <row r="1581">
          <cell r="A1581">
            <v>2002007</v>
          </cell>
          <cell r="C1581" t="str">
            <v>wentaopian</v>
          </cell>
          <cell r="D1581" t="str">
            <v>技能解锁道具-变阵</v>
          </cell>
        </row>
        <row r="1582">
          <cell r="A1582">
            <v>2002008</v>
          </cell>
          <cell r="C1582" t="str">
            <v>wentaopian</v>
          </cell>
          <cell r="D1582" t="str">
            <v>技能解锁道具-列阵御敌</v>
          </cell>
        </row>
        <row r="1583">
          <cell r="A1583">
            <v>2002009</v>
          </cell>
          <cell r="C1583" t="str">
            <v>wentaopian</v>
          </cell>
          <cell r="D1583" t="str">
            <v>技能解锁道具-阵鼓</v>
          </cell>
        </row>
        <row r="1584">
          <cell r="A1584">
            <v>2002010</v>
          </cell>
          <cell r="C1584" t="str">
            <v>wentaopian</v>
          </cell>
          <cell r="D1584" t="str">
            <v>技能解锁道具-反间</v>
          </cell>
        </row>
        <row r="1585">
          <cell r="A1585">
            <v>2002011</v>
          </cell>
          <cell r="C1585" t="str">
            <v>wentaopian</v>
          </cell>
          <cell r="D1585" t="str">
            <v>技能解锁道具-火球轰击</v>
          </cell>
        </row>
        <row r="1586">
          <cell r="A1586">
            <v>2002012</v>
          </cell>
          <cell r="C1586" t="str">
            <v>wentaopian</v>
          </cell>
          <cell r="D1586" t="str">
            <v>技能解锁道具-巨石冲击</v>
          </cell>
        </row>
        <row r="1587">
          <cell r="A1587">
            <v>2002013</v>
          </cell>
          <cell r="C1587" t="str">
            <v>wentaopian</v>
          </cell>
          <cell r="D1587" t="str">
            <v>技能解锁道具-冲冠一怒</v>
          </cell>
        </row>
        <row r="1588">
          <cell r="A1588">
            <v>2002014</v>
          </cell>
          <cell r="C1588" t="str">
            <v>wentaopian</v>
          </cell>
          <cell r="D1588" t="str">
            <v>技能解锁道具-丰收祝福</v>
          </cell>
        </row>
        <row r="1589">
          <cell r="A1589">
            <v>2002015</v>
          </cell>
          <cell r="C1589" t="str">
            <v>wentaopian</v>
          </cell>
          <cell r="D1589" t="str">
            <v>技能解锁道具-苦肉</v>
          </cell>
        </row>
        <row r="1590">
          <cell r="A1590">
            <v>2002016</v>
          </cell>
          <cell r="C1590" t="str">
            <v>wentaopian</v>
          </cell>
          <cell r="D1590" t="str">
            <v>技能解锁道具-明心静气</v>
          </cell>
        </row>
        <row r="1591">
          <cell r="A1591">
            <v>2002017</v>
          </cell>
          <cell r="C1591" t="str">
            <v>wentaopian</v>
          </cell>
          <cell r="D1591" t="str">
            <v>技能解锁道具-怒涛之击</v>
          </cell>
        </row>
        <row r="1592">
          <cell r="A1592">
            <v>2002018</v>
          </cell>
          <cell r="C1592" t="str">
            <v>wentaopian</v>
          </cell>
          <cell r="D1592" t="str">
            <v>技能解锁道具-破怒斩</v>
          </cell>
        </row>
        <row r="1593">
          <cell r="A1593">
            <v>2002019</v>
          </cell>
          <cell r="C1593" t="str">
            <v>wentaopian</v>
          </cell>
          <cell r="D1593" t="str">
            <v>技能解锁道具-撕裂</v>
          </cell>
        </row>
        <row r="1594">
          <cell r="A1594">
            <v>2002020</v>
          </cell>
          <cell r="C1594" t="str">
            <v>wentaopian</v>
          </cell>
          <cell r="D1594" t="str">
            <v>技能解锁道具-连击</v>
          </cell>
        </row>
        <row r="1595">
          <cell r="A1595">
            <v>2002021</v>
          </cell>
          <cell r="C1595" t="str">
            <v>wentaopian</v>
          </cell>
          <cell r="D1595" t="str">
            <v>技能解锁道具-入阵曲</v>
          </cell>
        </row>
        <row r="1596">
          <cell r="A1596">
            <v>2002022</v>
          </cell>
          <cell r="C1596" t="str">
            <v>wentaopian</v>
          </cell>
          <cell r="D1596" t="str">
            <v>技能解锁道具-持久战</v>
          </cell>
        </row>
        <row r="1597">
          <cell r="A1597">
            <v>2002023</v>
          </cell>
          <cell r="C1597" t="str">
            <v>wentaopian</v>
          </cell>
          <cell r="D1597" t="str">
            <v>技能解锁道具-机变</v>
          </cell>
        </row>
        <row r="1598">
          <cell r="A1598">
            <v>2002024</v>
          </cell>
          <cell r="C1598" t="str">
            <v>wentaopian</v>
          </cell>
          <cell r="D1598" t="str">
            <v>技能解锁道具-怒不可遏</v>
          </cell>
        </row>
        <row r="1599">
          <cell r="A1599">
            <v>2002025</v>
          </cell>
          <cell r="C1599" t="str">
            <v>wentaopian</v>
          </cell>
          <cell r="D1599" t="str">
            <v>技能解锁道具-战争祝福</v>
          </cell>
        </row>
        <row r="1600">
          <cell r="A1600">
            <v>2002026</v>
          </cell>
          <cell r="C1600" t="str">
            <v>wentaopian</v>
          </cell>
          <cell r="D1600" t="str">
            <v>技能解锁道具-掌军</v>
          </cell>
        </row>
        <row r="1601">
          <cell r="A1601">
            <v>2002027</v>
          </cell>
          <cell r="C1601" t="str">
            <v>wentaopian</v>
          </cell>
          <cell r="D1601" t="str">
            <v>技能解锁道具-激昂</v>
          </cell>
        </row>
        <row r="1602">
          <cell r="A1602">
            <v>2002028</v>
          </cell>
          <cell r="C1602" t="str">
            <v>wentaopian</v>
          </cell>
          <cell r="D1602" t="str">
            <v>技能解锁道具-制伏</v>
          </cell>
        </row>
        <row r="1603">
          <cell r="A1603">
            <v>2003000</v>
          </cell>
          <cell r="C1603" t="str">
            <v>wentaopian</v>
          </cell>
          <cell r="D1603" t="str">
            <v>技能解锁道具-冲击</v>
          </cell>
        </row>
        <row r="1604">
          <cell r="A1604">
            <v>2003001</v>
          </cell>
          <cell r="C1604" t="str">
            <v>wentaopian</v>
          </cell>
          <cell r="D1604" t="str">
            <v>技能解锁道具-奇袭</v>
          </cell>
        </row>
        <row r="1605">
          <cell r="A1605">
            <v>2003002</v>
          </cell>
          <cell r="C1605" t="str">
            <v>wentaopian</v>
          </cell>
          <cell r="D1605" t="str">
            <v>技能解锁道具-休整</v>
          </cell>
        </row>
        <row r="1606">
          <cell r="A1606">
            <v>2003003</v>
          </cell>
          <cell r="C1606" t="str">
            <v>wentaopian</v>
          </cell>
          <cell r="D1606" t="str">
            <v>技能解锁道具-锐锋</v>
          </cell>
        </row>
        <row r="1607">
          <cell r="A1607">
            <v>2003004</v>
          </cell>
          <cell r="C1607" t="str">
            <v>wentaopian</v>
          </cell>
          <cell r="D1607" t="str">
            <v>技能解锁道具-二连斩</v>
          </cell>
        </row>
        <row r="1608">
          <cell r="A1608">
            <v>2003005</v>
          </cell>
          <cell r="B1608"/>
          <cell r="C1608" t="str">
            <v>boomwu</v>
          </cell>
          <cell r="D1608" t="str">
            <v>荣耀启程-船舵</v>
          </cell>
        </row>
        <row r="1609">
          <cell r="A1609">
            <v>2004000</v>
          </cell>
          <cell r="C1609" t="str">
            <v>wentaopian</v>
          </cell>
          <cell r="D1609" t="str">
            <v>技能解锁道具-攻城略地</v>
          </cell>
        </row>
        <row r="1610">
          <cell r="A1610">
            <v>2004001</v>
          </cell>
          <cell r="C1610" t="str">
            <v>wentaopian</v>
          </cell>
          <cell r="D1610" t="str">
            <v>技能解锁道具-无畏先登</v>
          </cell>
        </row>
        <row r="1611">
          <cell r="A1611">
            <v>2004002</v>
          </cell>
          <cell r="C1611" t="str">
            <v>wentaopian</v>
          </cell>
          <cell r="D1611" t="str">
            <v>技能解锁道具-先登破城</v>
          </cell>
        </row>
        <row r="1612">
          <cell r="A1612">
            <v>2004003</v>
          </cell>
          <cell r="C1612" t="str">
            <v>wentaopian</v>
          </cell>
          <cell r="D1612" t="str">
            <v>技能解锁道具-积草囤粮</v>
          </cell>
        </row>
        <row r="1613">
          <cell r="A1613">
            <v>2004004</v>
          </cell>
          <cell r="C1613" t="str">
            <v>wentaopian</v>
          </cell>
          <cell r="D1613" t="str">
            <v>技能解锁道具-盈车嘉穗</v>
          </cell>
        </row>
        <row r="1614">
          <cell r="A1614">
            <v>2004005</v>
          </cell>
          <cell r="C1614" t="str">
            <v>wentaopian</v>
          </cell>
          <cell r="D1614" t="str">
            <v>技能解锁道具-辎重运输</v>
          </cell>
        </row>
        <row r="1615">
          <cell r="A1615">
            <v>2004006</v>
          </cell>
          <cell r="C1615" t="str">
            <v>wentaopian</v>
          </cell>
          <cell r="D1615" t="str">
            <v>技能解锁道具-退亦有章</v>
          </cell>
        </row>
        <row r="1616">
          <cell r="A1616">
            <v>2004007</v>
          </cell>
          <cell r="C1616" t="str">
            <v>wentaopian</v>
          </cell>
          <cell r="D1616" t="str">
            <v>技能解锁道具-快速采集</v>
          </cell>
        </row>
        <row r="1617">
          <cell r="A1617">
            <v>2004008</v>
          </cell>
          <cell r="C1617" t="str">
            <v>wentaopian</v>
          </cell>
          <cell r="D1617" t="str">
            <v>技能解锁道具-精细处理</v>
          </cell>
        </row>
        <row r="1618">
          <cell r="A1618">
            <v>2004009</v>
          </cell>
          <cell r="C1618" t="str">
            <v>wentaopian</v>
          </cell>
          <cell r="D1618" t="str">
            <v>技能解锁道具-临危不乱</v>
          </cell>
        </row>
        <row r="1619">
          <cell r="A1619">
            <v>2004010</v>
          </cell>
          <cell r="C1619" t="str">
            <v>wentaopian</v>
          </cell>
          <cell r="D1619" t="str">
            <v>技能解锁道具-弃田速退</v>
          </cell>
        </row>
        <row r="1620">
          <cell r="A1620">
            <v>2004011</v>
          </cell>
          <cell r="C1620" t="str">
            <v>wentaopian</v>
          </cell>
          <cell r="D1620" t="str">
            <v>技能解锁道具-负载强化</v>
          </cell>
        </row>
        <row r="1621">
          <cell r="A1621">
            <v>49072</v>
          </cell>
          <cell r="B1621"/>
          <cell r="C1621" t="str">
            <v>grantxue</v>
          </cell>
          <cell r="D1621" t="str">
            <v>传说英雄自选宝箱</v>
          </cell>
        </row>
        <row r="1622">
          <cell r="A1622">
            <v>49073</v>
          </cell>
          <cell r="B1622"/>
          <cell r="C1622" t="str">
            <v>grantxue</v>
          </cell>
          <cell r="D1622" t="str">
            <v>传说英雄自选宝箱</v>
          </cell>
        </row>
        <row r="1623">
          <cell r="A1623">
            <v>49074</v>
          </cell>
          <cell r="B1623"/>
          <cell r="C1623" t="str">
            <v>grantxue</v>
          </cell>
          <cell r="D1623" t="str">
            <v>传说英雄自选宝箱</v>
          </cell>
        </row>
        <row r="1624">
          <cell r="A1624">
            <v>49075</v>
          </cell>
          <cell r="C1624" t="str">
            <v>grantxue</v>
          </cell>
          <cell r="D1624" t="str">
            <v>亚瑟查理曼箱子</v>
          </cell>
        </row>
        <row r="1625">
          <cell r="A1625">
            <v>49076</v>
          </cell>
          <cell r="C1625" t="str">
            <v>grantxue</v>
          </cell>
          <cell r="D1625" t="str">
            <v>列奥尼达屋大维箱子</v>
          </cell>
        </row>
        <row r="1626">
          <cell r="A1626">
            <v>49077</v>
          </cell>
          <cell r="B1626"/>
          <cell r="C1626" t="str">
            <v>grantxue</v>
          </cell>
          <cell r="D1626" t="str">
            <v>传说英雄自选宝箱</v>
          </cell>
        </row>
        <row r="1627">
          <cell r="A1627">
            <v>49078</v>
          </cell>
          <cell r="C1627" t="str">
            <v>wentaopian</v>
          </cell>
          <cell r="D1627" t="str">
            <v>装备升级道具-传说</v>
          </cell>
        </row>
        <row r="1628">
          <cell r="A1628">
            <v>49079</v>
          </cell>
          <cell r="C1628" t="str">
            <v>wentaopian</v>
          </cell>
          <cell r="D1628" t="str">
            <v>装备升级道具-史诗</v>
          </cell>
        </row>
        <row r="1629">
          <cell r="A1629">
            <v>49080</v>
          </cell>
          <cell r="C1629" t="str">
            <v>wentaopian</v>
          </cell>
          <cell r="D1629" t="str">
            <v>装备升级道具-稀有</v>
          </cell>
        </row>
        <row r="1630">
          <cell r="A1630">
            <v>49081</v>
          </cell>
          <cell r="C1630" t="str">
            <v>wentaopian</v>
          </cell>
          <cell r="D1630" t="str">
            <v>永燃之翼</v>
          </cell>
        </row>
        <row r="1631">
          <cell r="A1631">
            <v>49082</v>
          </cell>
          <cell r="C1631" t="str">
            <v>wentaopian</v>
          </cell>
          <cell r="D1631" t="str">
            <v>圣选贤哲</v>
          </cell>
        </row>
        <row r="1632">
          <cell r="A1632">
            <v>49083</v>
          </cell>
          <cell r="C1632" t="str">
            <v>wentaopian</v>
          </cell>
          <cell r="D1632" t="str">
            <v>天灾暴君</v>
          </cell>
        </row>
        <row r="1633">
          <cell r="A1633">
            <v>49084</v>
          </cell>
          <cell r="C1633" t="str">
            <v>wentaopian</v>
          </cell>
          <cell r="D1633" t="str">
            <v>慈悲主宰</v>
          </cell>
        </row>
        <row r="1634">
          <cell r="A1634">
            <v>49085</v>
          </cell>
          <cell r="C1634" t="str">
            <v>wentaopian</v>
          </cell>
          <cell r="D1634" t="str">
            <v>毁灭信使</v>
          </cell>
        </row>
        <row r="1635">
          <cell r="A1635">
            <v>49086</v>
          </cell>
          <cell r="C1635" t="str">
            <v>wentaopian</v>
          </cell>
          <cell r="D1635" t="str">
            <v>天行骑士</v>
          </cell>
        </row>
        <row r="1636">
          <cell r="A1636">
            <v>49087</v>
          </cell>
          <cell r="C1636" t="str">
            <v>wentaopian</v>
          </cell>
          <cell r="D1636" t="str">
            <v>东天尊主</v>
          </cell>
        </row>
        <row r="1637">
          <cell r="A1637">
            <v>49088</v>
          </cell>
          <cell r="C1637" t="str">
            <v>wentaopian</v>
          </cell>
          <cell r="D1637" t="str">
            <v>闪耀守卫</v>
          </cell>
        </row>
        <row r="1638">
          <cell r="A1638">
            <v>49089</v>
          </cell>
          <cell r="C1638" t="str">
            <v>wentaopian</v>
          </cell>
          <cell r="D1638" t="str">
            <v>苍蓝之月</v>
          </cell>
        </row>
        <row r="1639">
          <cell r="A1639">
            <v>49090</v>
          </cell>
          <cell r="C1639" t="str">
            <v>wentaopian</v>
          </cell>
          <cell r="D1639" t="str">
            <v>赤金之日</v>
          </cell>
        </row>
        <row r="1640">
          <cell r="A1640">
            <v>49091</v>
          </cell>
          <cell r="C1640" t="str">
            <v>wentaopian</v>
          </cell>
          <cell r="D1640" t="str">
            <v>不动之山</v>
          </cell>
        </row>
        <row r="1641">
          <cell r="A1641">
            <v>49092</v>
          </cell>
          <cell r="C1641" t="str">
            <v>wentaopian</v>
          </cell>
          <cell r="D1641" t="str">
            <v>灼热之火</v>
          </cell>
        </row>
        <row r="1642">
          <cell r="A1642">
            <v>49093</v>
          </cell>
          <cell r="C1642" t="str">
            <v>wentaopian</v>
          </cell>
          <cell r="D1642" t="str">
            <v>静谧之水</v>
          </cell>
        </row>
        <row r="1643">
          <cell r="A1643">
            <v>49094</v>
          </cell>
          <cell r="C1643" t="str">
            <v>wentaopian</v>
          </cell>
          <cell r="D1643" t="str">
            <v>遮天之云</v>
          </cell>
        </row>
        <row r="1644">
          <cell r="A1644">
            <v>49095</v>
          </cell>
          <cell r="C1644" t="str">
            <v>wentaopian</v>
          </cell>
          <cell r="D1644" t="str">
            <v>暴熊之戒</v>
          </cell>
        </row>
        <row r="1645">
          <cell r="A1645">
            <v>49096</v>
          </cell>
          <cell r="C1645" t="str">
            <v>wentaopian</v>
          </cell>
          <cell r="D1645" t="str">
            <v>石犀之戒</v>
          </cell>
        </row>
        <row r="1646">
          <cell r="A1646">
            <v>49097</v>
          </cell>
          <cell r="C1646" t="str">
            <v>wentaopian</v>
          </cell>
          <cell r="D1646" t="str">
            <v>乌鸦之戒</v>
          </cell>
        </row>
        <row r="1647">
          <cell r="A1647">
            <v>49098</v>
          </cell>
          <cell r="C1647" t="str">
            <v>wentaopian</v>
          </cell>
          <cell r="D1647" t="str">
            <v>海马之戒</v>
          </cell>
        </row>
        <row r="1648">
          <cell r="A1648">
            <v>49099</v>
          </cell>
          <cell r="C1648" t="str">
            <v>wentaopian</v>
          </cell>
          <cell r="D1648" t="str">
            <v>狂鲨之戒</v>
          </cell>
        </row>
        <row r="1649">
          <cell r="A1649">
            <v>49100</v>
          </cell>
          <cell r="C1649" t="str">
            <v>wentaopian</v>
          </cell>
          <cell r="D1649" t="str">
            <v>灵獾之戒</v>
          </cell>
        </row>
        <row r="1650">
          <cell r="A1650">
            <v>49101</v>
          </cell>
          <cell r="C1650" t="str">
            <v>wentaopian</v>
          </cell>
          <cell r="D1650" t="str">
            <v>巨象之戒</v>
          </cell>
        </row>
        <row r="1651">
          <cell r="A1651">
            <v>49102</v>
          </cell>
          <cell r="C1651" t="str">
            <v>wentaopian</v>
          </cell>
          <cell r="D1651" t="str">
            <v>怒狮之戒</v>
          </cell>
        </row>
        <row r="1652">
          <cell r="A1652">
            <v>49103</v>
          </cell>
          <cell r="C1652" t="str">
            <v>wentaopian</v>
          </cell>
          <cell r="D1652" t="str">
            <v>黑蛇之戒</v>
          </cell>
        </row>
        <row r="1653">
          <cell r="A1653">
            <v>49104</v>
          </cell>
          <cell r="C1653" t="str">
            <v>wentaopian</v>
          </cell>
          <cell r="D1653" t="str">
            <v>迅鹿之戒</v>
          </cell>
        </row>
        <row r="1654">
          <cell r="A1654">
            <v>49105</v>
          </cell>
          <cell r="C1654" t="str">
            <v>wentaopian</v>
          </cell>
          <cell r="D1654" t="str">
            <v>天鹰之戒</v>
          </cell>
        </row>
        <row r="1655">
          <cell r="A1655">
            <v>49106</v>
          </cell>
          <cell r="C1655" t="str">
            <v>wentaopian</v>
          </cell>
          <cell r="D1655" t="str">
            <v>夜狼之戒</v>
          </cell>
        </row>
        <row r="1656">
          <cell r="A1656">
            <v>49107</v>
          </cell>
          <cell r="C1656" t="str">
            <v>wentaopian</v>
          </cell>
          <cell r="D1656" t="str">
            <v>野猪之戒</v>
          </cell>
        </row>
        <row r="1657">
          <cell r="A1657">
            <v>49108</v>
          </cell>
          <cell r="C1657" t="str">
            <v>wentaopian</v>
          </cell>
          <cell r="D1657" t="str">
            <v>　郁金香之戒</v>
          </cell>
        </row>
        <row r="1658">
          <cell r="A1658">
            <v>49109</v>
          </cell>
          <cell r="C1658" t="str">
            <v>wentaopian</v>
          </cell>
          <cell r="D1658" t="str">
            <v>雏菊之戒</v>
          </cell>
        </row>
        <row r="1659">
          <cell r="A1659">
            <v>49110</v>
          </cell>
          <cell r="C1659" t="str">
            <v>wentaopian</v>
          </cell>
          <cell r="D1659" t="str">
            <v>鸢尾花之戒</v>
          </cell>
        </row>
        <row r="1660">
          <cell r="A1660">
            <v>49111</v>
          </cell>
          <cell r="C1660" t="str">
            <v>wentaopian</v>
          </cell>
          <cell r="D1660" t="str">
            <v>玫瑰之戒</v>
          </cell>
        </row>
        <row r="1661">
          <cell r="A1661">
            <v>49112</v>
          </cell>
          <cell r="C1661" t="str">
            <v>wentaopian</v>
          </cell>
          <cell r="D1661" t="str">
            <v>三叶草之戒</v>
          </cell>
        </row>
        <row r="1662">
          <cell r="A1662">
            <v>49113</v>
          </cell>
          <cell r="C1662" t="str">
            <v>wentaopian</v>
          </cell>
          <cell r="D1662" t="str">
            <v>风信子之戒</v>
          </cell>
        </row>
        <row r="1663">
          <cell r="A1663">
            <v>49114</v>
          </cell>
          <cell r="C1663" t="str">
            <v>wentaopian</v>
          </cell>
          <cell r="D1663" t="str">
            <v>铃兰之戒</v>
          </cell>
        </row>
        <row r="1664">
          <cell r="A1664">
            <v>49115</v>
          </cell>
          <cell r="C1664" t="str">
            <v>wentaopian</v>
          </cell>
          <cell r="D1664" t="str">
            <v>月桂之戒</v>
          </cell>
        </row>
        <row r="1665">
          <cell r="A1665">
            <v>49116</v>
          </cell>
          <cell r="C1665" t="str">
            <v>wentaopian</v>
          </cell>
          <cell r="D1665" t="str">
            <v>紫罗兰之戒</v>
          </cell>
        </row>
        <row r="1666">
          <cell r="A1666">
            <v>49117</v>
          </cell>
          <cell r="C1666" t="str">
            <v>wentaopian</v>
          </cell>
          <cell r="D1666" t="str">
            <v>向日葵之戒</v>
          </cell>
        </row>
        <row r="1667">
          <cell r="A1667">
            <v>49118</v>
          </cell>
          <cell r="C1667" t="str">
            <v>wentaopian</v>
          </cell>
          <cell r="D1667" t="str">
            <v>装备升级道具-传说（用于卡点位置升级）</v>
          </cell>
        </row>
        <row r="1668">
          <cell r="A1668">
            <v>50000</v>
          </cell>
          <cell r="C1668" t="str">
            <v>kaiyucheng</v>
          </cell>
          <cell r="D1668" t="str">
            <v>竞技场道具</v>
          </cell>
        </row>
        <row r="1669">
          <cell r="A1669">
            <v>49500</v>
          </cell>
          <cell r="B1669"/>
          <cell r="C1669" t="str">
            <v>grantxue</v>
          </cell>
          <cell r="D1669" t="str">
            <v>通用替换道具-测试</v>
          </cell>
        </row>
        <row r="1670">
          <cell r="A1670">
            <v>49501</v>
          </cell>
          <cell r="B1670"/>
          <cell r="C1670" t="str">
            <v>grantxue</v>
          </cell>
          <cell r="D1670" t="str">
            <v>可替换道具宝箱-测试</v>
          </cell>
        </row>
        <row r="1671">
          <cell r="A1671">
            <v>49119</v>
          </cell>
          <cell r="C1671" t="str">
            <v>wentaopian</v>
          </cell>
          <cell r="D1671" t="str">
            <v>装备兑换道具-传说</v>
          </cell>
        </row>
        <row r="1672">
          <cell r="A1672">
            <v>49120</v>
          </cell>
          <cell r="C1672" t="str">
            <v>wentaopian</v>
          </cell>
          <cell r="D1672" t="str">
            <v>装备兑换道具-史诗</v>
          </cell>
        </row>
        <row r="1673">
          <cell r="A1673">
            <v>49121</v>
          </cell>
          <cell r="C1673" t="str">
            <v>wentaopian</v>
          </cell>
          <cell r="D1673" t="str">
            <v>装备兑换道具-稀有</v>
          </cell>
        </row>
        <row r="1674">
          <cell r="A1674">
            <v>50060</v>
          </cell>
          <cell r="B1674">
            <v>910</v>
          </cell>
          <cell r="C1674" t="str">
            <v>dylanzclin</v>
          </cell>
          <cell r="D1674" t="str">
            <v>和平护盾</v>
          </cell>
        </row>
        <row r="1675">
          <cell r="A1675">
            <v>50070</v>
          </cell>
          <cell r="B1675">
            <v>910</v>
          </cell>
          <cell r="C1675" t="str">
            <v>dylanzclin</v>
          </cell>
          <cell r="D1675" t="str">
            <v>8小时紧急和平护盾</v>
          </cell>
        </row>
        <row r="1676">
          <cell r="A1676">
            <v>50080</v>
          </cell>
          <cell r="B1676">
            <v>920</v>
          </cell>
          <cell r="C1676" t="str">
            <v>dylanzclin</v>
          </cell>
          <cell r="D1676" t="str">
            <v>24小时紧急和平护盾</v>
          </cell>
        </row>
        <row r="1677">
          <cell r="A1677">
            <v>50090</v>
          </cell>
          <cell r="B1677">
            <v>940</v>
          </cell>
          <cell r="C1677" t="str">
            <v>dylanzclin</v>
          </cell>
          <cell r="D1677" t="str">
            <v>3天紧急和平护盾</v>
          </cell>
        </row>
        <row r="1678">
          <cell r="A1678">
            <v>50100</v>
          </cell>
          <cell r="B1678">
            <v>930</v>
          </cell>
          <cell r="C1678" t="str">
            <v>dylanzclin</v>
          </cell>
          <cell r="D1678" t="str">
            <v>30天紧急和平护盾</v>
          </cell>
        </row>
        <row r="1679">
          <cell r="A1679">
            <v>50110</v>
          </cell>
          <cell r="B1679"/>
          <cell r="C1679" t="str">
            <v>dylanzclin</v>
          </cell>
          <cell r="D1679" t="str">
            <v>8小时紧急和平护盾（限时）</v>
          </cell>
        </row>
        <row r="1680">
          <cell r="A1680">
            <v>49502</v>
          </cell>
          <cell r="B1680"/>
          <cell r="C1680" t="str">
            <v>grantxue</v>
          </cell>
          <cell r="D1680" t="str">
            <v>成长基金进阶版</v>
          </cell>
        </row>
        <row r="1681">
          <cell r="A1681">
            <v>50111</v>
          </cell>
          <cell r="C1681" t="str">
            <v>kaiyucheng</v>
          </cell>
          <cell r="D1681" t="str">
            <v>遗失的军需</v>
          </cell>
        </row>
        <row r="1682">
          <cell r="A1682">
            <v>49601</v>
          </cell>
          <cell r="B1682">
            <v>8001</v>
          </cell>
          <cell r="C1682" t="str">
            <v>grantxue</v>
          </cell>
          <cell r="D1682" t="str">
            <v>vip经验1</v>
          </cell>
        </row>
        <row r="1683">
          <cell r="A1683">
            <v>49602</v>
          </cell>
          <cell r="B1683">
            <v>8002</v>
          </cell>
          <cell r="C1683" t="str">
            <v>grantxue</v>
          </cell>
          <cell r="D1683" t="str">
            <v>vip经验10</v>
          </cell>
        </row>
        <row r="1684">
          <cell r="A1684">
            <v>49603</v>
          </cell>
          <cell r="B1684">
            <v>8003</v>
          </cell>
          <cell r="C1684" t="str">
            <v>grantxue</v>
          </cell>
          <cell r="D1684" t="str">
            <v>vip经验50</v>
          </cell>
        </row>
        <row r="1685">
          <cell r="A1685">
            <v>49604</v>
          </cell>
          <cell r="B1685">
            <v>8004</v>
          </cell>
          <cell r="C1685" t="str">
            <v>grantxue</v>
          </cell>
          <cell r="D1685" t="str">
            <v>vip经验100</v>
          </cell>
        </row>
        <row r="1686">
          <cell r="A1686">
            <v>49605</v>
          </cell>
          <cell r="B1686">
            <v>8005</v>
          </cell>
          <cell r="C1686" t="str">
            <v>grantxue</v>
          </cell>
          <cell r="D1686" t="str">
            <v>vip经验500</v>
          </cell>
        </row>
        <row r="1687">
          <cell r="A1687">
            <v>49606</v>
          </cell>
          <cell r="B1687">
            <v>8006</v>
          </cell>
          <cell r="C1687" t="str">
            <v>grantxue</v>
          </cell>
          <cell r="D1687" t="str">
            <v>vip经验1000</v>
          </cell>
        </row>
        <row r="1688">
          <cell r="A1688">
            <v>49607</v>
          </cell>
          <cell r="B1688">
            <v>8007</v>
          </cell>
          <cell r="C1688" t="str">
            <v>grantxue</v>
          </cell>
          <cell r="D1688" t="str">
            <v>vip经验5000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53"/>
  <sheetViews>
    <sheetView tabSelected="1" zoomScale="85" zoomScaleNormal="85" workbookViewId="0">
      <pane xSplit="1" ySplit="3" topLeftCell="B2985" activePane="bottomRight" state="frozen"/>
      <selection pane="topRight" activeCell="B1" sqref="B1"/>
      <selection pane="bottomLeft" activeCell="A5" sqref="A5"/>
      <selection pane="bottomRight" activeCell="D3030" sqref="D3030"/>
    </sheetView>
  </sheetViews>
  <sheetFormatPr defaultColWidth="9" defaultRowHeight="14.5" outlineLevelRow="1" x14ac:dyDescent="0.25"/>
  <cols>
    <col min="1" max="1" width="25.7265625" style="16" customWidth="1"/>
    <col min="2" max="2" width="52.90625" style="16" bestFit="1" customWidth="1"/>
    <col min="3" max="5" width="25.7265625" style="16" customWidth="1"/>
    <col min="6" max="7" width="19.7265625" style="16" bestFit="1" customWidth="1"/>
    <col min="8" max="8" width="19.7265625" style="16" customWidth="1"/>
    <col min="9" max="9" width="24.26953125" style="16" bestFit="1" customWidth="1"/>
    <col min="10" max="10" width="30" style="16" bestFit="1" customWidth="1"/>
    <col min="11" max="11" width="14.26953125" style="16" bestFit="1" customWidth="1"/>
    <col min="12" max="12" width="21.26953125" style="16" bestFit="1" customWidth="1"/>
    <col min="13" max="21" width="18.7265625" style="16" customWidth="1"/>
    <col min="22" max="30" width="15.7265625" style="16" customWidth="1"/>
    <col min="31" max="31" width="9" style="16" customWidth="1"/>
    <col min="32" max="16384" width="9" style="16"/>
  </cols>
  <sheetData>
    <row r="1" spans="1:30" x14ac:dyDescent="0.25">
      <c r="A1" s="16" t="s">
        <v>0</v>
      </c>
      <c r="F1" s="41" t="s">
        <v>1</v>
      </c>
      <c r="G1" s="42"/>
      <c r="H1" s="42"/>
      <c r="I1" s="43"/>
    </row>
    <row r="2" spans="1:30" s="4" customFormat="1" ht="14.9" customHeight="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3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V2" s="5"/>
      <c r="W2" s="5"/>
      <c r="X2" s="5"/>
      <c r="Y2" s="5"/>
      <c r="Z2" s="5"/>
      <c r="AA2" s="5"/>
      <c r="AB2" s="5"/>
      <c r="AC2" s="5"/>
      <c r="AD2" s="5"/>
    </row>
    <row r="3" spans="1:30" s="4" customFormat="1" ht="14.9" customHeight="1" x14ac:dyDescent="0.25">
      <c r="A3" s="4" t="s">
        <v>14</v>
      </c>
      <c r="C3" s="4" t="s">
        <v>15</v>
      </c>
      <c r="E3" s="4" t="s">
        <v>16</v>
      </c>
      <c r="F3" s="4" t="s">
        <v>17</v>
      </c>
      <c r="G3" s="4" t="s">
        <v>18</v>
      </c>
      <c r="H3" s="3" t="s">
        <v>19</v>
      </c>
      <c r="I3" s="4" t="s">
        <v>20</v>
      </c>
      <c r="J3" s="4" t="s">
        <v>21</v>
      </c>
      <c r="K3" s="4" t="s">
        <v>22</v>
      </c>
      <c r="L3" s="4" t="s">
        <v>23</v>
      </c>
      <c r="V3" s="5"/>
      <c r="W3" s="5"/>
      <c r="X3" s="5"/>
      <c r="Y3" s="5"/>
      <c r="Z3" s="5"/>
      <c r="AA3" s="5"/>
      <c r="AB3" s="5"/>
      <c r="AC3" s="5"/>
      <c r="AD3" s="5"/>
    </row>
    <row r="4" spans="1:30" x14ac:dyDescent="0.25">
      <c r="A4" s="16">
        <v>1900001</v>
      </c>
      <c r="B4" s="16" t="s">
        <v>24</v>
      </c>
      <c r="C4" s="16">
        <v>17204</v>
      </c>
      <c r="D4" s="16" t="str">
        <f>VLOOKUP(C4,[1]道具配置表!$A:$D,4,FALSE)</f>
        <v>名人博学值+1</v>
      </c>
      <c r="E4" s="16">
        <v>100</v>
      </c>
      <c r="F4" s="16">
        <v>1</v>
      </c>
      <c r="G4" s="16">
        <v>1</v>
      </c>
      <c r="J4" s="16">
        <v>1</v>
      </c>
      <c r="L4" s="16" t="b">
        <v>1</v>
      </c>
    </row>
    <row r="5" spans="1:30" x14ac:dyDescent="0.25">
      <c r="C5" s="16">
        <v>14108</v>
      </c>
      <c r="D5" s="16" t="str">
        <f>VLOOKUP(C5,[1]道具配置表!$A:$D,4,FALSE)</f>
        <v>娜娜丽</v>
      </c>
      <c r="E5" s="16">
        <v>1</v>
      </c>
      <c r="I5" s="16">
        <v>10</v>
      </c>
      <c r="L5" s="16" t="b">
        <v>1</v>
      </c>
    </row>
    <row r="6" spans="1:30" x14ac:dyDescent="0.25">
      <c r="C6" s="16">
        <v>14207</v>
      </c>
      <c r="D6" s="16" t="str">
        <f>VLOOKUP(C6,[1]道具配置表!$A:$D,4,FALSE)</f>
        <v>莎芙</v>
      </c>
      <c r="E6" s="16">
        <v>1</v>
      </c>
      <c r="I6" s="16">
        <v>10</v>
      </c>
      <c r="L6" s="16" t="b">
        <v>1</v>
      </c>
    </row>
    <row r="7" spans="1:30" x14ac:dyDescent="0.25">
      <c r="C7" s="16">
        <v>14301</v>
      </c>
      <c r="D7" s="16" t="str">
        <f>VLOOKUP(C7,[1]道具配置表!$A:$D,4,FALSE)</f>
        <v>梅芙</v>
      </c>
      <c r="E7" s="16">
        <v>1</v>
      </c>
      <c r="I7" s="16">
        <v>10</v>
      </c>
      <c r="L7" s="16" t="b">
        <v>1</v>
      </c>
    </row>
    <row r="8" spans="1:30" x14ac:dyDescent="0.25">
      <c r="C8" s="16">
        <v>14314</v>
      </c>
      <c r="D8" s="16" t="str">
        <f>VLOOKUP(C8,[1]道具配置表!$A:$D,4,FALSE)</f>
        <v>琼鸣玉</v>
      </c>
      <c r="E8" s="16">
        <v>1</v>
      </c>
      <c r="I8" s="16">
        <v>10</v>
      </c>
      <c r="L8" s="16" t="b">
        <v>1</v>
      </c>
    </row>
    <row r="9" spans="1:30" x14ac:dyDescent="0.25">
      <c r="C9" s="16">
        <v>14319</v>
      </c>
      <c r="D9" s="16" t="str">
        <f>VLOOKUP(C9,[1]道具配置表!$A:$D,4,FALSE)</f>
        <v>约恩</v>
      </c>
      <c r="E9" s="16">
        <v>1</v>
      </c>
      <c r="I9" s="16">
        <v>10</v>
      </c>
      <c r="L9" s="16" t="b">
        <v>1</v>
      </c>
    </row>
    <row r="10" spans="1:30" x14ac:dyDescent="0.25">
      <c r="A10" s="16">
        <v>1900002</v>
      </c>
      <c r="B10" s="16" t="s">
        <v>25</v>
      </c>
      <c r="C10" s="16">
        <v>17204</v>
      </c>
      <c r="D10" s="16" t="str">
        <f>VLOOKUP(C10,[1]道具配置表!$A:$D,4,FALSE)</f>
        <v>名人博学值+1</v>
      </c>
      <c r="E10" s="16">
        <v>200</v>
      </c>
      <c r="F10" s="16">
        <v>1</v>
      </c>
      <c r="G10" s="16">
        <v>1</v>
      </c>
      <c r="J10" s="16">
        <v>1</v>
      </c>
      <c r="L10" s="16" t="b">
        <v>1</v>
      </c>
    </row>
    <row r="11" spans="1:30" x14ac:dyDescent="0.25">
      <c r="C11" s="16">
        <v>14109</v>
      </c>
      <c r="D11" s="16" t="str">
        <f>VLOOKUP(C11,[1]道具配置表!$A:$D,4,FALSE)</f>
        <v>亚基</v>
      </c>
      <c r="E11" s="16">
        <v>1</v>
      </c>
      <c r="I11" s="16">
        <v>10</v>
      </c>
      <c r="L11" s="16" t="b">
        <v>1</v>
      </c>
    </row>
    <row r="12" spans="1:30" x14ac:dyDescent="0.25">
      <c r="C12" s="16">
        <v>14202</v>
      </c>
      <c r="D12" s="16" t="str">
        <f>VLOOKUP(C12,[1]道具配置表!$A:$D,4,FALSE)</f>
        <v>方选</v>
      </c>
      <c r="E12" s="16">
        <v>1</v>
      </c>
      <c r="I12" s="16">
        <v>10</v>
      </c>
      <c r="L12" s="16" t="b">
        <v>1</v>
      </c>
    </row>
    <row r="13" spans="1:30" x14ac:dyDescent="0.25">
      <c r="C13" s="16">
        <v>14302</v>
      </c>
      <c r="D13" s="16" t="str">
        <f>VLOOKUP(C13,[1]道具配置表!$A:$D,4,FALSE)</f>
        <v>尼古劳斯</v>
      </c>
      <c r="E13" s="16">
        <v>1</v>
      </c>
      <c r="I13" s="16">
        <v>10</v>
      </c>
      <c r="L13" s="16" t="b">
        <v>1</v>
      </c>
    </row>
    <row r="14" spans="1:30" x14ac:dyDescent="0.25">
      <c r="C14" s="16">
        <v>14303</v>
      </c>
      <c r="D14" s="16" t="str">
        <f>VLOOKUP(C14,[1]道具配置表!$A:$D,4,FALSE)</f>
        <v>拉格纳</v>
      </c>
      <c r="E14" s="16">
        <v>1</v>
      </c>
      <c r="I14" s="16">
        <v>10</v>
      </c>
      <c r="L14" s="16" t="b">
        <v>1</v>
      </c>
    </row>
    <row r="15" spans="1:30" x14ac:dyDescent="0.25">
      <c r="C15" s="16">
        <v>14304</v>
      </c>
      <c r="D15" s="16" t="str">
        <f>VLOOKUP(C15,[1]道具配置表!$A:$D,4,FALSE)</f>
        <v>公孙</v>
      </c>
      <c r="E15" s="16">
        <v>1</v>
      </c>
      <c r="I15" s="16">
        <v>10</v>
      </c>
      <c r="L15" s="16" t="b">
        <v>1</v>
      </c>
    </row>
    <row r="16" spans="1:30" x14ac:dyDescent="0.25">
      <c r="C16" s="16">
        <v>14305</v>
      </c>
      <c r="D16" s="16" t="str">
        <f>VLOOKUP(C16,[1]道具配置表!$A:$D,4,FALSE)</f>
        <v>德罗茜</v>
      </c>
      <c r="E16" s="16">
        <v>1</v>
      </c>
      <c r="I16" s="16">
        <v>10</v>
      </c>
      <c r="L16" s="16" t="b">
        <v>1</v>
      </c>
    </row>
    <row r="17" spans="1:12" x14ac:dyDescent="0.25">
      <c r="C17" s="16">
        <v>14306</v>
      </c>
      <c r="D17" s="16" t="str">
        <f>VLOOKUP(C17,[1]道具配置表!$A:$D,4,FALSE)</f>
        <v>佩里克勒斯</v>
      </c>
      <c r="E17" s="16">
        <v>1</v>
      </c>
      <c r="I17" s="16">
        <v>10</v>
      </c>
      <c r="L17" s="16" t="b">
        <v>1</v>
      </c>
    </row>
    <row r="18" spans="1:12" x14ac:dyDescent="0.25">
      <c r="C18" s="16">
        <v>14307</v>
      </c>
      <c r="D18" s="16" t="str">
        <f>VLOOKUP(C18,[1]道具配置表!$A:$D,4,FALSE)</f>
        <v>元元公主</v>
      </c>
      <c r="E18" s="16">
        <v>1</v>
      </c>
      <c r="I18" s="16">
        <v>10</v>
      </c>
      <c r="L18" s="16" t="b">
        <v>1</v>
      </c>
    </row>
    <row r="19" spans="1:12" x14ac:dyDescent="0.25">
      <c r="C19" s="16">
        <v>14308</v>
      </c>
      <c r="D19" s="16" t="str">
        <f>VLOOKUP(C19,[1]道具配置表!$A:$D,4,FALSE)</f>
        <v>倪克罗</v>
      </c>
      <c r="E19" s="16">
        <v>1</v>
      </c>
      <c r="I19" s="16">
        <v>10</v>
      </c>
      <c r="L19" s="16" t="b">
        <v>1</v>
      </c>
    </row>
    <row r="20" spans="1:12" x14ac:dyDescent="0.25">
      <c r="C20" s="16">
        <v>14309</v>
      </c>
      <c r="D20" s="16" t="str">
        <f>VLOOKUP(C20,[1]道具配置表!$A:$D,4,FALSE)</f>
        <v>瓦斯克</v>
      </c>
      <c r="E20" s="16">
        <v>1</v>
      </c>
      <c r="I20" s="16">
        <v>10</v>
      </c>
      <c r="L20" s="16" t="b">
        <v>1</v>
      </c>
    </row>
    <row r="21" spans="1:12" x14ac:dyDescent="0.25">
      <c r="C21" s="16">
        <v>14313</v>
      </c>
      <c r="D21" s="16" t="str">
        <f>VLOOKUP(C21,[1]道具配置表!$A:$D,4,FALSE)</f>
        <v>玛丽夫人</v>
      </c>
      <c r="E21" s="16">
        <v>1</v>
      </c>
      <c r="I21" s="16">
        <v>10</v>
      </c>
      <c r="L21" s="16" t="b">
        <v>1</v>
      </c>
    </row>
    <row r="22" spans="1:12" x14ac:dyDescent="0.25">
      <c r="C22" s="16">
        <v>14316</v>
      </c>
      <c r="D22" s="16" t="str">
        <f>VLOOKUP(C22,[1]道具配置表!$A:$D,4,FALSE)</f>
        <v>姬敬</v>
      </c>
      <c r="E22" s="16">
        <v>1</v>
      </c>
      <c r="I22" s="16">
        <v>10</v>
      </c>
      <c r="L22" s="16" t="b">
        <v>1</v>
      </c>
    </row>
    <row r="23" spans="1:12" x14ac:dyDescent="0.25">
      <c r="A23" s="16">
        <v>1900003</v>
      </c>
      <c r="B23" s="16" t="s">
        <v>26</v>
      </c>
      <c r="C23" s="16">
        <v>17204</v>
      </c>
      <c r="D23" s="16" t="str">
        <f>VLOOKUP(C23,[1]道具配置表!$A:$D,4,FALSE)</f>
        <v>名人博学值+1</v>
      </c>
      <c r="E23" s="16">
        <v>400</v>
      </c>
      <c r="F23" s="16">
        <v>1</v>
      </c>
      <c r="G23" s="16">
        <v>1</v>
      </c>
      <c r="J23" s="16">
        <v>1</v>
      </c>
      <c r="L23" s="16" t="b">
        <v>1</v>
      </c>
    </row>
    <row r="24" spans="1:12" x14ac:dyDescent="0.25">
      <c r="C24" s="16">
        <v>14101</v>
      </c>
      <c r="D24" s="16" t="str">
        <f>VLOOKUP(C24,[1]道具配置表!$A:$D,4,FALSE)</f>
        <v>李芊岚</v>
      </c>
      <c r="E24" s="16">
        <v>1</v>
      </c>
      <c r="I24" s="16">
        <v>10</v>
      </c>
      <c r="L24" s="16" t="b">
        <v>1</v>
      </c>
    </row>
    <row r="25" spans="1:12" x14ac:dyDescent="0.25">
      <c r="C25" s="16">
        <v>14105</v>
      </c>
      <c r="D25" s="16" t="str">
        <f>VLOOKUP(C25,[1]道具配置表!$A:$D,4,FALSE)</f>
        <v>顾烟</v>
      </c>
      <c r="E25" s="16">
        <v>1</v>
      </c>
      <c r="I25" s="16">
        <v>10</v>
      </c>
      <c r="L25" s="16" t="b">
        <v>1</v>
      </c>
    </row>
    <row r="26" spans="1:12" x14ac:dyDescent="0.25">
      <c r="C26" s="16">
        <v>14106</v>
      </c>
      <c r="D26" s="16" t="str">
        <f>VLOOKUP(C26,[1]道具配置表!$A:$D,4,FALSE)</f>
        <v>翟黎</v>
      </c>
      <c r="E26" s="16">
        <v>1</v>
      </c>
      <c r="I26" s="16">
        <v>10</v>
      </c>
      <c r="L26" s="16" t="b">
        <v>1</v>
      </c>
    </row>
    <row r="27" spans="1:12" x14ac:dyDescent="0.25">
      <c r="C27" s="16">
        <v>14107</v>
      </c>
      <c r="D27" s="16" t="str">
        <f>VLOOKUP(C27,[1]道具配置表!$A:$D,4,FALSE)</f>
        <v>伊丽莎白</v>
      </c>
      <c r="E27" s="16">
        <v>1</v>
      </c>
      <c r="I27" s="16">
        <v>10</v>
      </c>
      <c r="L27" s="16" t="b">
        <v>1</v>
      </c>
    </row>
    <row r="28" spans="1:12" x14ac:dyDescent="0.25">
      <c r="C28" s="16">
        <v>14201</v>
      </c>
      <c r="D28" s="16" t="str">
        <f>VLOOKUP(C28,[1]道具配置表!$A:$D,4,FALSE)</f>
        <v>密克安哲</v>
      </c>
      <c r="E28" s="16">
        <v>1</v>
      </c>
      <c r="I28" s="16">
        <v>10</v>
      </c>
      <c r="L28" s="16" t="b">
        <v>1</v>
      </c>
    </row>
    <row r="29" spans="1:12" x14ac:dyDescent="0.25">
      <c r="C29" s="16">
        <v>14312</v>
      </c>
      <c r="D29" s="16" t="str">
        <f>VLOOKUP(C29,[1]道具配置表!$A:$D,4,FALSE)</f>
        <v>施浣</v>
      </c>
      <c r="E29" s="16">
        <v>1</v>
      </c>
      <c r="I29" s="16">
        <v>10</v>
      </c>
      <c r="L29" s="16" t="b">
        <v>1</v>
      </c>
    </row>
    <row r="30" spans="1:12" x14ac:dyDescent="0.25">
      <c r="A30" s="16">
        <v>1900005</v>
      </c>
      <c r="B30" s="16" t="s">
        <v>27</v>
      </c>
      <c r="C30" s="16">
        <v>17001</v>
      </c>
      <c r="D30" s="16" t="str">
        <f>VLOOKUP(C30,[1]道具配置表!$A:$D,4,FALSE)</f>
        <v>冒险经验+10</v>
      </c>
      <c r="E30" s="16">
        <v>1</v>
      </c>
      <c r="J30" s="16">
        <v>1</v>
      </c>
      <c r="L30" s="16" t="b">
        <v>1</v>
      </c>
    </row>
    <row r="31" spans="1:12" x14ac:dyDescent="0.25">
      <c r="C31" s="16">
        <v>17201</v>
      </c>
      <c r="D31" s="16" t="str">
        <f>VLOOKUP(C31,[1]道具配置表!$A:$D,4,FALSE)</f>
        <v>名人博学值+200</v>
      </c>
      <c r="E31" s="16">
        <v>1</v>
      </c>
      <c r="J31" s="16">
        <v>1</v>
      </c>
      <c r="L31" s="16" t="b">
        <v>1</v>
      </c>
    </row>
    <row r="32" spans="1:12" x14ac:dyDescent="0.25">
      <c r="A32" s="16">
        <v>1900006</v>
      </c>
      <c r="B32" s="16" t="s">
        <v>27</v>
      </c>
      <c r="C32" s="16">
        <v>101</v>
      </c>
      <c r="D32" s="16" t="str">
        <f>VLOOKUP(C32,[1]道具配置表!$A:$D,4,FALSE)</f>
        <v>1木材</v>
      </c>
      <c r="E32" s="16">
        <v>1</v>
      </c>
      <c r="J32" s="16">
        <v>1</v>
      </c>
      <c r="L32" s="16" t="b">
        <v>1</v>
      </c>
    </row>
    <row r="33" spans="1:12" x14ac:dyDescent="0.25">
      <c r="A33" s="16">
        <v>1900007</v>
      </c>
      <c r="B33" s="16" t="s">
        <v>27</v>
      </c>
      <c r="C33" s="16">
        <v>102</v>
      </c>
      <c r="D33" s="16" t="str">
        <f>VLOOKUP(C33,[1]道具配置表!$A:$D,4,FALSE)</f>
        <v>1食物</v>
      </c>
      <c r="E33" s="16">
        <v>1</v>
      </c>
      <c r="J33" s="16">
        <v>1</v>
      </c>
      <c r="L33" s="16" t="b">
        <v>1</v>
      </c>
    </row>
    <row r="34" spans="1:12" x14ac:dyDescent="0.25">
      <c r="A34" s="16">
        <v>1900008</v>
      </c>
      <c r="B34" s="16" t="s">
        <v>27</v>
      </c>
      <c r="C34" s="16">
        <v>103</v>
      </c>
      <c r="D34" s="16" t="str">
        <f>VLOOKUP(C34,[1]道具配置表!$A:$D,4,FALSE)</f>
        <v>1石头</v>
      </c>
      <c r="E34" s="16">
        <v>1</v>
      </c>
      <c r="J34" s="16">
        <v>1</v>
      </c>
      <c r="L34" s="16" t="b">
        <v>1</v>
      </c>
    </row>
    <row r="35" spans="1:12" x14ac:dyDescent="0.25">
      <c r="A35" s="16">
        <v>1900009</v>
      </c>
      <c r="B35" s="16" t="s">
        <v>27</v>
      </c>
      <c r="C35" s="16">
        <v>104</v>
      </c>
      <c r="D35" s="16" t="str">
        <f>VLOOKUP(C35,[1]道具配置表!$A:$D,4,FALSE)</f>
        <v>1黄金</v>
      </c>
      <c r="E35" s="16">
        <v>1</v>
      </c>
      <c r="J35" s="16">
        <v>1</v>
      </c>
      <c r="L35" s="16" t="b">
        <v>1</v>
      </c>
    </row>
    <row r="36" spans="1:12" x14ac:dyDescent="0.25">
      <c r="A36" s="16">
        <v>1900010</v>
      </c>
      <c r="B36" s="16" t="s">
        <v>27</v>
      </c>
      <c r="C36" s="16">
        <v>14303</v>
      </c>
      <c r="D36" s="16" t="str">
        <f>VLOOKUP(C36,[1]道具配置表!$A:$D,4,FALSE)</f>
        <v>拉格纳</v>
      </c>
      <c r="E36" s="16">
        <v>10</v>
      </c>
      <c r="J36" s="16">
        <v>1</v>
      </c>
      <c r="L36" s="16" t="b">
        <v>1</v>
      </c>
    </row>
    <row r="37" spans="1:12" x14ac:dyDescent="0.25">
      <c r="A37" s="16">
        <v>1900011</v>
      </c>
      <c r="B37" s="16" t="s">
        <v>27</v>
      </c>
      <c r="C37" s="16">
        <v>14109</v>
      </c>
      <c r="D37" s="16" t="str">
        <f>VLOOKUP(C37,[1]道具配置表!$A:$D,4,FALSE)</f>
        <v>亚基</v>
      </c>
      <c r="E37" s="16">
        <v>10</v>
      </c>
      <c r="J37" s="16">
        <v>1</v>
      </c>
      <c r="L37" s="16" t="b">
        <v>1</v>
      </c>
    </row>
    <row r="38" spans="1:12" x14ac:dyDescent="0.25">
      <c r="A38" s="16">
        <v>1900012</v>
      </c>
      <c r="B38" s="16" t="s">
        <v>27</v>
      </c>
      <c r="C38" s="16">
        <v>14101</v>
      </c>
      <c r="D38" s="16" t="str">
        <f>VLOOKUP(C38,[1]道具配置表!$A:$D,4,FALSE)</f>
        <v>李芊岚</v>
      </c>
      <c r="E38" s="16">
        <v>10</v>
      </c>
      <c r="J38" s="16">
        <v>1</v>
      </c>
      <c r="L38" s="16" t="b">
        <v>1</v>
      </c>
    </row>
    <row r="39" spans="1:12" x14ac:dyDescent="0.25">
      <c r="A39" s="16">
        <v>1900013</v>
      </c>
      <c r="B39" s="16" t="s">
        <v>27</v>
      </c>
      <c r="C39" s="16">
        <v>7001</v>
      </c>
      <c r="D39" s="16" t="str">
        <f>VLOOKUP(C39,[1]道具配置表!$A:$D,4,FALSE)</f>
        <v>1钻石（立即使用，不进背包）</v>
      </c>
      <c r="E39" s="16">
        <v>10</v>
      </c>
      <c r="J39" s="16">
        <v>1</v>
      </c>
      <c r="L39" s="16" t="b">
        <v>1</v>
      </c>
    </row>
    <row r="40" spans="1:12" x14ac:dyDescent="0.25">
      <c r="A40" s="16">
        <v>1900014</v>
      </c>
      <c r="B40" s="16" t="s">
        <v>27</v>
      </c>
      <c r="C40" s="16">
        <v>7000</v>
      </c>
      <c r="D40" s="16" t="str">
        <f>VLOOKUP(C40,[1]道具配置表!$A:$D,4,FALSE)</f>
        <v>1钻石（进背包）</v>
      </c>
      <c r="E40" s="16">
        <v>10</v>
      </c>
      <c r="J40" s="16">
        <v>1</v>
      </c>
      <c r="L40" s="16" t="b">
        <v>1</v>
      </c>
    </row>
    <row r="41" spans="1:12" x14ac:dyDescent="0.25">
      <c r="A41" s="16">
        <v>1900015</v>
      </c>
      <c r="B41" s="16" t="s">
        <v>28</v>
      </c>
      <c r="C41" s="16">
        <v>101</v>
      </c>
      <c r="D41" s="16" t="str">
        <f>VLOOKUP(C41,[1]道具配置表!$A:$D,4,FALSE)</f>
        <v>1木材</v>
      </c>
      <c r="E41" s="16">
        <v>1</v>
      </c>
      <c r="J41" s="16">
        <v>1</v>
      </c>
      <c r="L41" s="16" t="b">
        <v>1</v>
      </c>
    </row>
    <row r="42" spans="1:12" x14ac:dyDescent="0.25">
      <c r="C42" s="16">
        <v>102</v>
      </c>
      <c r="D42" s="16" t="str">
        <f>VLOOKUP(C42,[1]道具配置表!$A:$D,4,FALSE)</f>
        <v>1食物</v>
      </c>
      <c r="E42" s="16">
        <v>1</v>
      </c>
      <c r="J42" s="16">
        <v>1</v>
      </c>
      <c r="L42" s="16" t="b">
        <v>1</v>
      </c>
    </row>
    <row r="43" spans="1:12" x14ac:dyDescent="0.25">
      <c r="C43" s="16">
        <v>103</v>
      </c>
      <c r="D43" s="16" t="str">
        <f>VLOOKUP(C43,[1]道具配置表!$A:$D,4,FALSE)</f>
        <v>1石头</v>
      </c>
      <c r="E43" s="16">
        <v>1</v>
      </c>
      <c r="J43" s="16">
        <v>1</v>
      </c>
      <c r="L43" s="16" t="b">
        <v>1</v>
      </c>
    </row>
    <row r="44" spans="1:12" x14ac:dyDescent="0.25">
      <c r="C44" s="16">
        <v>14303</v>
      </c>
      <c r="D44" s="16" t="str">
        <f>VLOOKUP(C44,[1]道具配置表!$A:$D,4,FALSE)</f>
        <v>拉格纳</v>
      </c>
      <c r="E44" s="16">
        <v>10</v>
      </c>
      <c r="J44" s="16">
        <v>1</v>
      </c>
      <c r="L44" s="16" t="b">
        <v>1</v>
      </c>
    </row>
    <row r="45" spans="1:12" x14ac:dyDescent="0.25">
      <c r="C45" s="16">
        <v>14109</v>
      </c>
      <c r="D45" s="16" t="str">
        <f>VLOOKUP(C45,[1]道具配置表!$A:$D,4,FALSE)</f>
        <v>亚基</v>
      </c>
      <c r="E45" s="16">
        <v>10</v>
      </c>
      <c r="J45" s="16">
        <v>1</v>
      </c>
      <c r="L45" s="16" t="b">
        <v>1</v>
      </c>
    </row>
    <row r="46" spans="1:12" x14ac:dyDescent="0.25">
      <c r="C46" s="16">
        <v>14101</v>
      </c>
      <c r="D46" s="16" t="str">
        <f>VLOOKUP(C46,[1]道具配置表!$A:$D,4,FALSE)</f>
        <v>李芊岚</v>
      </c>
      <c r="E46" s="16">
        <v>10</v>
      </c>
      <c r="J46" s="16">
        <v>1</v>
      </c>
      <c r="L46" s="16" t="b">
        <v>1</v>
      </c>
    </row>
    <row r="47" spans="1:12" x14ac:dyDescent="0.25">
      <c r="A47" s="16">
        <v>1900101</v>
      </c>
      <c r="B47" s="16" t="s">
        <v>29</v>
      </c>
      <c r="C47" s="16">
        <v>17204</v>
      </c>
      <c r="D47" s="16" t="str">
        <f>VLOOKUP(C47,[1]道具配置表!$A:$D,4,FALSE)</f>
        <v>名人博学值+1</v>
      </c>
      <c r="E47" s="16">
        <v>200</v>
      </c>
      <c r="J47" s="16">
        <v>1</v>
      </c>
      <c r="L47" s="16" t="b">
        <v>1</v>
      </c>
    </row>
    <row r="48" spans="1:12" x14ac:dyDescent="0.25">
      <c r="C48" s="16">
        <v>17000</v>
      </c>
      <c r="D48" s="16" t="str">
        <f>VLOOKUP(C48,[1]道具配置表!$A:$D,4,FALSE)</f>
        <v>冒险经验+1</v>
      </c>
      <c r="E48" s="16">
        <v>50</v>
      </c>
      <c r="J48" s="16">
        <v>1</v>
      </c>
      <c r="L48" s="16" t="b">
        <v>1</v>
      </c>
    </row>
    <row r="49" spans="1:12" x14ac:dyDescent="0.25">
      <c r="A49" s="16">
        <v>1900102</v>
      </c>
      <c r="B49" s="16" t="s">
        <v>30</v>
      </c>
      <c r="C49" s="16">
        <v>17204</v>
      </c>
      <c r="D49" s="16" t="str">
        <f>VLOOKUP(C49,[1]道具配置表!$A:$D,4,FALSE)</f>
        <v>名人博学值+1</v>
      </c>
      <c r="E49" s="16">
        <v>250</v>
      </c>
      <c r="J49" s="16">
        <v>1</v>
      </c>
      <c r="L49" s="16" t="b">
        <v>1</v>
      </c>
    </row>
    <row r="50" spans="1:12" x14ac:dyDescent="0.25">
      <c r="C50" s="16">
        <v>17000</v>
      </c>
      <c r="D50" s="16" t="str">
        <f>VLOOKUP(C50,[1]道具配置表!$A:$D,4,FALSE)</f>
        <v>冒险经验+1</v>
      </c>
      <c r="E50" s="16">
        <v>50</v>
      </c>
      <c r="J50" s="16">
        <v>1</v>
      </c>
      <c r="L50" s="16" t="b">
        <v>1</v>
      </c>
    </row>
    <row r="51" spans="1:12" x14ac:dyDescent="0.25">
      <c r="A51" s="16">
        <v>1900103</v>
      </c>
      <c r="B51" s="16" t="s">
        <v>31</v>
      </c>
      <c r="C51" s="16">
        <v>17204</v>
      </c>
      <c r="D51" s="16" t="str">
        <f>VLOOKUP(C51,[1]道具配置表!$A:$D,4,FALSE)</f>
        <v>名人博学值+1</v>
      </c>
      <c r="E51" s="16">
        <v>300</v>
      </c>
      <c r="J51" s="16">
        <v>1</v>
      </c>
      <c r="L51" s="16" t="b">
        <v>1</v>
      </c>
    </row>
    <row r="52" spans="1:12" x14ac:dyDescent="0.25">
      <c r="C52" s="16">
        <v>17000</v>
      </c>
      <c r="D52" s="16" t="str">
        <f>VLOOKUP(C52,[1]道具配置表!$A:$D,4,FALSE)</f>
        <v>冒险经验+1</v>
      </c>
      <c r="E52" s="16">
        <v>50</v>
      </c>
      <c r="J52" s="16">
        <v>1</v>
      </c>
      <c r="L52" s="16" t="b">
        <v>1</v>
      </c>
    </row>
    <row r="53" spans="1:12" x14ac:dyDescent="0.25">
      <c r="A53" s="16">
        <v>1900104</v>
      </c>
      <c r="B53" s="16" t="s">
        <v>32</v>
      </c>
      <c r="C53" s="16">
        <v>17204</v>
      </c>
      <c r="D53" s="16" t="str">
        <f>VLOOKUP(C53,[1]道具配置表!$A:$D,4,FALSE)</f>
        <v>名人博学值+1</v>
      </c>
      <c r="E53" s="16">
        <v>350</v>
      </c>
      <c r="J53" s="16">
        <v>1</v>
      </c>
      <c r="L53" s="16" t="b">
        <v>1</v>
      </c>
    </row>
    <row r="54" spans="1:12" x14ac:dyDescent="0.25">
      <c r="C54" s="16">
        <v>17000</v>
      </c>
      <c r="D54" s="16" t="str">
        <f>VLOOKUP(C54,[1]道具配置表!$A:$D,4,FALSE)</f>
        <v>冒险经验+1</v>
      </c>
      <c r="E54" s="16">
        <v>50</v>
      </c>
      <c r="J54" s="16">
        <v>1</v>
      </c>
      <c r="L54" s="16" t="b">
        <v>1</v>
      </c>
    </row>
    <row r="55" spans="1:12" x14ac:dyDescent="0.25">
      <c r="A55" s="16">
        <v>1900105</v>
      </c>
      <c r="B55" s="16" t="s">
        <v>33</v>
      </c>
      <c r="C55" s="16">
        <v>17204</v>
      </c>
      <c r="D55" s="16" t="str">
        <f>VLOOKUP(C55,[1]道具配置表!$A:$D,4,FALSE)</f>
        <v>名人博学值+1</v>
      </c>
      <c r="E55" s="16">
        <v>400</v>
      </c>
      <c r="J55" s="16">
        <v>1</v>
      </c>
      <c r="L55" s="16" t="b">
        <v>1</v>
      </c>
    </row>
    <row r="56" spans="1:12" x14ac:dyDescent="0.25">
      <c r="C56" s="16">
        <v>17000</v>
      </c>
      <c r="D56" s="16" t="str">
        <f>VLOOKUP(C56,[1]道具配置表!$A:$D,4,FALSE)</f>
        <v>冒险经验+1</v>
      </c>
      <c r="E56" s="16">
        <v>50</v>
      </c>
      <c r="J56" s="16">
        <v>1</v>
      </c>
      <c r="L56" s="16" t="b">
        <v>1</v>
      </c>
    </row>
    <row r="57" spans="1:12" x14ac:dyDescent="0.25">
      <c r="A57" s="16">
        <v>1900106</v>
      </c>
      <c r="B57" s="16" t="s">
        <v>34</v>
      </c>
      <c r="C57" s="16">
        <v>17204</v>
      </c>
      <c r="D57" s="16" t="str">
        <f>VLOOKUP(C57,[1]道具配置表!$A:$D,4,FALSE)</f>
        <v>名人博学值+1</v>
      </c>
      <c r="E57" s="16">
        <v>450</v>
      </c>
      <c r="J57" s="16">
        <v>1</v>
      </c>
      <c r="L57" s="16" t="b">
        <v>1</v>
      </c>
    </row>
    <row r="58" spans="1:12" x14ac:dyDescent="0.25">
      <c r="C58" s="16">
        <v>17000</v>
      </c>
      <c r="D58" s="16" t="str">
        <f>VLOOKUP(C58,[1]道具配置表!$A:$D,4,FALSE)</f>
        <v>冒险经验+1</v>
      </c>
      <c r="E58" s="16">
        <v>50</v>
      </c>
      <c r="J58" s="16">
        <v>1</v>
      </c>
      <c r="L58" s="16" t="b">
        <v>1</v>
      </c>
    </row>
    <row r="59" spans="1:12" x14ac:dyDescent="0.25">
      <c r="A59" s="16">
        <v>1900107</v>
      </c>
      <c r="B59" s="16" t="s">
        <v>35</v>
      </c>
      <c r="C59" s="16">
        <v>17204</v>
      </c>
      <c r="D59" s="16" t="str">
        <f>VLOOKUP(C59,[1]道具配置表!$A:$D,4,FALSE)</f>
        <v>名人博学值+1</v>
      </c>
      <c r="E59" s="16">
        <v>500</v>
      </c>
      <c r="J59" s="16">
        <v>1</v>
      </c>
      <c r="L59" s="16" t="b">
        <v>1</v>
      </c>
    </row>
    <row r="60" spans="1:12" x14ac:dyDescent="0.25">
      <c r="C60" s="16">
        <v>17000</v>
      </c>
      <c r="D60" s="16" t="str">
        <f>VLOOKUP(C60,[1]道具配置表!$A:$D,4,FALSE)</f>
        <v>冒险经验+1</v>
      </c>
      <c r="E60" s="16">
        <v>50</v>
      </c>
      <c r="J60" s="16">
        <v>1</v>
      </c>
      <c r="L60" s="16" t="b">
        <v>1</v>
      </c>
    </row>
    <row r="61" spans="1:12" x14ac:dyDescent="0.25">
      <c r="A61" s="16">
        <v>1900108</v>
      </c>
      <c r="B61" s="16" t="s">
        <v>36</v>
      </c>
      <c r="C61" s="16">
        <v>17204</v>
      </c>
      <c r="D61" s="16" t="str">
        <f>VLOOKUP(C61,[1]道具配置表!$A:$D,4,FALSE)</f>
        <v>名人博学值+1</v>
      </c>
      <c r="E61" s="16">
        <v>550</v>
      </c>
      <c r="J61" s="16">
        <v>1</v>
      </c>
      <c r="L61" s="16" t="b">
        <v>1</v>
      </c>
    </row>
    <row r="62" spans="1:12" x14ac:dyDescent="0.25">
      <c r="C62" s="16">
        <v>17000</v>
      </c>
      <c r="D62" s="16" t="str">
        <f>VLOOKUP(C62,[1]道具配置表!$A:$D,4,FALSE)</f>
        <v>冒险经验+1</v>
      </c>
      <c r="E62" s="16">
        <v>50</v>
      </c>
      <c r="J62" s="16">
        <v>1</v>
      </c>
      <c r="L62" s="16" t="b">
        <v>1</v>
      </c>
    </row>
    <row r="63" spans="1:12" x14ac:dyDescent="0.25">
      <c r="A63" s="16">
        <v>1900109</v>
      </c>
      <c r="B63" s="16" t="s">
        <v>37</v>
      </c>
      <c r="C63" s="16">
        <v>17204</v>
      </c>
      <c r="D63" s="16" t="str">
        <f>VLOOKUP(C63,[1]道具配置表!$A:$D,4,FALSE)</f>
        <v>名人博学值+1</v>
      </c>
      <c r="E63" s="16">
        <v>600</v>
      </c>
      <c r="J63" s="16">
        <v>1</v>
      </c>
      <c r="L63" s="16" t="b">
        <v>1</v>
      </c>
    </row>
    <row r="64" spans="1:12" x14ac:dyDescent="0.25">
      <c r="C64" s="16">
        <v>17000</v>
      </c>
      <c r="D64" s="16" t="str">
        <f>VLOOKUP(C64,[1]道具配置表!$A:$D,4,FALSE)</f>
        <v>冒险经验+1</v>
      </c>
      <c r="E64" s="16">
        <v>50</v>
      </c>
      <c r="J64" s="16">
        <v>1</v>
      </c>
      <c r="L64" s="16" t="b">
        <v>1</v>
      </c>
    </row>
    <row r="65" spans="1:12" x14ac:dyDescent="0.25">
      <c r="A65" s="16">
        <v>1900110</v>
      </c>
      <c r="B65" s="16" t="s">
        <v>38</v>
      </c>
      <c r="C65" s="16">
        <v>17204</v>
      </c>
      <c r="D65" s="16" t="str">
        <f>VLOOKUP(C65,[1]道具配置表!$A:$D,4,FALSE)</f>
        <v>名人博学值+1</v>
      </c>
      <c r="E65" s="16">
        <v>650</v>
      </c>
      <c r="J65" s="16">
        <v>1</v>
      </c>
      <c r="L65" s="16" t="b">
        <v>1</v>
      </c>
    </row>
    <row r="66" spans="1:12" x14ac:dyDescent="0.25">
      <c r="C66" s="16">
        <v>17000</v>
      </c>
      <c r="D66" s="16" t="str">
        <f>VLOOKUP(C66,[1]道具配置表!$A:$D,4,FALSE)</f>
        <v>冒险经验+1</v>
      </c>
      <c r="E66" s="16">
        <v>50</v>
      </c>
      <c r="J66" s="16">
        <v>1</v>
      </c>
      <c r="L66" s="16" t="b">
        <v>1</v>
      </c>
    </row>
    <row r="67" spans="1:12" x14ac:dyDescent="0.25">
      <c r="A67" s="16">
        <v>1900111</v>
      </c>
      <c r="B67" s="16" t="s">
        <v>39</v>
      </c>
      <c r="C67" s="16">
        <v>17204</v>
      </c>
      <c r="D67" s="16" t="str">
        <f>VLOOKUP(C67,[1]道具配置表!$A:$D,4,FALSE)</f>
        <v>名人博学值+1</v>
      </c>
      <c r="E67" s="16">
        <v>700</v>
      </c>
      <c r="J67" s="16">
        <v>1</v>
      </c>
      <c r="L67" s="16" t="b">
        <v>1</v>
      </c>
    </row>
    <row r="68" spans="1:12" x14ac:dyDescent="0.25">
      <c r="C68" s="16">
        <v>17000</v>
      </c>
      <c r="D68" s="16" t="str">
        <f>VLOOKUP(C68,[1]道具配置表!$A:$D,4,FALSE)</f>
        <v>冒险经验+1</v>
      </c>
      <c r="E68" s="16">
        <v>50</v>
      </c>
      <c r="J68" s="16">
        <v>1</v>
      </c>
      <c r="L68" s="16" t="b">
        <v>1</v>
      </c>
    </row>
    <row r="69" spans="1:12" x14ac:dyDescent="0.25">
      <c r="A69" s="16">
        <v>1900112</v>
      </c>
      <c r="B69" s="16" t="s">
        <v>40</v>
      </c>
      <c r="C69" s="16">
        <v>17204</v>
      </c>
      <c r="D69" s="16" t="str">
        <f>VLOOKUP(C69,[1]道具配置表!$A:$D,4,FALSE)</f>
        <v>名人博学值+1</v>
      </c>
      <c r="E69" s="16">
        <v>750</v>
      </c>
      <c r="J69" s="16">
        <v>1</v>
      </c>
      <c r="L69" s="16" t="b">
        <v>1</v>
      </c>
    </row>
    <row r="70" spans="1:12" x14ac:dyDescent="0.25">
      <c r="C70" s="16">
        <v>17000</v>
      </c>
      <c r="D70" s="16" t="str">
        <f>VLOOKUP(C70,[1]道具配置表!$A:$D,4,FALSE)</f>
        <v>冒险经验+1</v>
      </c>
      <c r="E70" s="16">
        <v>50</v>
      </c>
      <c r="J70" s="16">
        <v>1</v>
      </c>
      <c r="L70" s="16" t="b">
        <v>1</v>
      </c>
    </row>
    <row r="71" spans="1:12" x14ac:dyDescent="0.25">
      <c r="A71" s="16">
        <v>1900113</v>
      </c>
      <c r="B71" s="16" t="s">
        <v>41</v>
      </c>
      <c r="C71" s="16">
        <v>17204</v>
      </c>
      <c r="D71" s="16" t="str">
        <f>VLOOKUP(C71,[1]道具配置表!$A:$D,4,FALSE)</f>
        <v>名人博学值+1</v>
      </c>
      <c r="E71" s="16">
        <v>800</v>
      </c>
      <c r="J71" s="16">
        <v>1</v>
      </c>
      <c r="L71" s="16" t="b">
        <v>1</v>
      </c>
    </row>
    <row r="72" spans="1:12" x14ac:dyDescent="0.25">
      <c r="C72" s="16">
        <v>17000</v>
      </c>
      <c r="D72" s="16" t="str">
        <f>VLOOKUP(C72,[1]道具配置表!$A:$D,4,FALSE)</f>
        <v>冒险经验+1</v>
      </c>
      <c r="E72" s="16">
        <v>50</v>
      </c>
      <c r="J72" s="16">
        <v>1</v>
      </c>
      <c r="L72" s="16" t="b">
        <v>1</v>
      </c>
    </row>
    <row r="73" spans="1:12" x14ac:dyDescent="0.25">
      <c r="A73" s="16">
        <v>1900114</v>
      </c>
      <c r="B73" s="16" t="s">
        <v>42</v>
      </c>
      <c r="C73" s="16">
        <v>17204</v>
      </c>
      <c r="D73" s="16" t="str">
        <f>VLOOKUP(C73,[1]道具配置表!$A:$D,4,FALSE)</f>
        <v>名人博学值+1</v>
      </c>
      <c r="E73" s="16">
        <v>850</v>
      </c>
      <c r="J73" s="16">
        <v>1</v>
      </c>
      <c r="L73" s="16" t="b">
        <v>1</v>
      </c>
    </row>
    <row r="74" spans="1:12" x14ac:dyDescent="0.25">
      <c r="C74" s="16">
        <v>17000</v>
      </c>
      <c r="D74" s="16" t="str">
        <f>VLOOKUP(C74,[1]道具配置表!$A:$D,4,FALSE)</f>
        <v>冒险经验+1</v>
      </c>
      <c r="E74" s="16">
        <v>50</v>
      </c>
      <c r="J74" s="16">
        <v>1</v>
      </c>
      <c r="L74" s="16" t="b">
        <v>1</v>
      </c>
    </row>
    <row r="75" spans="1:12" x14ac:dyDescent="0.25">
      <c r="A75" s="16">
        <v>1900115</v>
      </c>
      <c r="B75" s="16" t="s">
        <v>43</v>
      </c>
      <c r="C75" s="16">
        <v>17204</v>
      </c>
      <c r="D75" s="16" t="str">
        <f>VLOOKUP(C75,[1]道具配置表!$A:$D,4,FALSE)</f>
        <v>名人博学值+1</v>
      </c>
      <c r="E75" s="16">
        <v>900</v>
      </c>
      <c r="J75" s="16">
        <v>1</v>
      </c>
      <c r="L75" s="16" t="b">
        <v>1</v>
      </c>
    </row>
    <row r="76" spans="1:12" x14ac:dyDescent="0.25">
      <c r="C76" s="16">
        <v>17000</v>
      </c>
      <c r="D76" s="16" t="str">
        <f>VLOOKUP(C76,[1]道具配置表!$A:$D,4,FALSE)</f>
        <v>冒险经验+1</v>
      </c>
      <c r="E76" s="16">
        <v>50</v>
      </c>
      <c r="J76" s="16">
        <v>1</v>
      </c>
      <c r="L76" s="16" t="b">
        <v>1</v>
      </c>
    </row>
    <row r="77" spans="1:12" x14ac:dyDescent="0.25">
      <c r="A77" s="16">
        <v>1900116</v>
      </c>
      <c r="B77" s="16" t="s">
        <v>44</v>
      </c>
      <c r="C77" s="16">
        <v>17204</v>
      </c>
      <c r="D77" s="16" t="str">
        <f>VLOOKUP(C77,[1]道具配置表!$A:$D,4,FALSE)</f>
        <v>名人博学值+1</v>
      </c>
      <c r="E77" s="16">
        <v>950</v>
      </c>
      <c r="J77" s="16">
        <v>1</v>
      </c>
      <c r="L77" s="16" t="b">
        <v>1</v>
      </c>
    </row>
    <row r="78" spans="1:12" x14ac:dyDescent="0.25">
      <c r="C78" s="16">
        <v>17000</v>
      </c>
      <c r="D78" s="16" t="str">
        <f>VLOOKUP(C78,[1]道具配置表!$A:$D,4,FALSE)</f>
        <v>冒险经验+1</v>
      </c>
      <c r="E78" s="16">
        <v>50</v>
      </c>
      <c r="J78" s="16">
        <v>1</v>
      </c>
      <c r="L78" s="16" t="b">
        <v>1</v>
      </c>
    </row>
    <row r="79" spans="1:12" x14ac:dyDescent="0.25">
      <c r="A79" s="16">
        <v>1900117</v>
      </c>
      <c r="B79" s="16" t="s">
        <v>45</v>
      </c>
      <c r="C79" s="16">
        <v>17204</v>
      </c>
      <c r="D79" s="16" t="str">
        <f>VLOOKUP(C79,[1]道具配置表!$A:$D,4,FALSE)</f>
        <v>名人博学值+1</v>
      </c>
      <c r="E79" s="16">
        <v>1000</v>
      </c>
      <c r="J79" s="16">
        <v>1</v>
      </c>
      <c r="L79" s="16" t="b">
        <v>1</v>
      </c>
    </row>
    <row r="80" spans="1:12" x14ac:dyDescent="0.25">
      <c r="C80" s="16">
        <v>17000</v>
      </c>
      <c r="D80" s="16" t="str">
        <f>VLOOKUP(C80,[1]道具配置表!$A:$D,4,FALSE)</f>
        <v>冒险经验+1</v>
      </c>
      <c r="E80" s="16">
        <v>50</v>
      </c>
      <c r="J80" s="16">
        <v>1</v>
      </c>
      <c r="L80" s="16" t="b">
        <v>1</v>
      </c>
    </row>
    <row r="81" spans="1:12" x14ac:dyDescent="0.25">
      <c r="A81" s="16">
        <v>1900118</v>
      </c>
      <c r="B81" s="16" t="s">
        <v>46</v>
      </c>
      <c r="C81" s="16">
        <v>17204</v>
      </c>
      <c r="D81" s="16" t="str">
        <f>VLOOKUP(C81,[1]道具配置表!$A:$D,4,FALSE)</f>
        <v>名人博学值+1</v>
      </c>
      <c r="E81" s="16">
        <v>1050</v>
      </c>
      <c r="J81" s="16">
        <v>1</v>
      </c>
      <c r="L81" s="16" t="b">
        <v>1</v>
      </c>
    </row>
    <row r="82" spans="1:12" x14ac:dyDescent="0.25">
      <c r="C82" s="16">
        <v>17000</v>
      </c>
      <c r="D82" s="16" t="str">
        <f>VLOOKUP(C82,[1]道具配置表!$A:$D,4,FALSE)</f>
        <v>冒险经验+1</v>
      </c>
      <c r="E82" s="16">
        <v>50</v>
      </c>
      <c r="J82" s="16">
        <v>1</v>
      </c>
      <c r="L82" s="16" t="b">
        <v>1</v>
      </c>
    </row>
    <row r="83" spans="1:12" x14ac:dyDescent="0.25">
      <c r="A83" s="16">
        <v>1900119</v>
      </c>
      <c r="B83" s="16" t="s">
        <v>47</v>
      </c>
      <c r="C83" s="16">
        <v>17204</v>
      </c>
      <c r="D83" s="16" t="str">
        <f>VLOOKUP(C83,[1]道具配置表!$A:$D,4,FALSE)</f>
        <v>名人博学值+1</v>
      </c>
      <c r="E83" s="16">
        <v>1100</v>
      </c>
      <c r="J83" s="16">
        <v>1</v>
      </c>
      <c r="L83" s="16" t="b">
        <v>1</v>
      </c>
    </row>
    <row r="84" spans="1:12" x14ac:dyDescent="0.25">
      <c r="C84" s="16">
        <v>17000</v>
      </c>
      <c r="D84" s="16" t="str">
        <f>VLOOKUP(C84,[1]道具配置表!$A:$D,4,FALSE)</f>
        <v>冒险经验+1</v>
      </c>
      <c r="E84" s="16">
        <v>50</v>
      </c>
      <c r="J84" s="16">
        <v>1</v>
      </c>
      <c r="L84" s="16" t="b">
        <v>1</v>
      </c>
    </row>
    <row r="85" spans="1:12" x14ac:dyDescent="0.25">
      <c r="A85" s="16">
        <v>1900120</v>
      </c>
      <c r="B85" s="16" t="s">
        <v>48</v>
      </c>
      <c r="C85" s="16">
        <v>17204</v>
      </c>
      <c r="D85" s="16" t="str">
        <f>VLOOKUP(C85,[1]道具配置表!$A:$D,4,FALSE)</f>
        <v>名人博学值+1</v>
      </c>
      <c r="E85" s="16">
        <v>1150</v>
      </c>
      <c r="J85" s="16">
        <v>1</v>
      </c>
      <c r="L85" s="16" t="b">
        <v>1</v>
      </c>
    </row>
    <row r="86" spans="1:12" x14ac:dyDescent="0.25">
      <c r="C86" s="16">
        <v>17000</v>
      </c>
      <c r="D86" s="16" t="str">
        <f>VLOOKUP(C86,[1]道具配置表!$A:$D,4,FALSE)</f>
        <v>冒险经验+1</v>
      </c>
      <c r="E86" s="16">
        <v>50</v>
      </c>
      <c r="J86" s="16">
        <v>1</v>
      </c>
      <c r="L86" s="16" t="b">
        <v>1</v>
      </c>
    </row>
    <row r="87" spans="1:12" x14ac:dyDescent="0.25">
      <c r="A87" s="16">
        <v>1900121</v>
      </c>
      <c r="B87" s="16" t="s">
        <v>49</v>
      </c>
      <c r="C87" s="16">
        <v>17204</v>
      </c>
      <c r="D87" s="16" t="str">
        <f>VLOOKUP(C87,[1]道具配置表!$A:$D,4,FALSE)</f>
        <v>名人博学值+1</v>
      </c>
      <c r="E87" s="16">
        <v>1200</v>
      </c>
      <c r="J87" s="16">
        <v>1</v>
      </c>
      <c r="L87" s="16" t="b">
        <v>1</v>
      </c>
    </row>
    <row r="88" spans="1:12" x14ac:dyDescent="0.25">
      <c r="C88" s="16">
        <v>17000</v>
      </c>
      <c r="D88" s="16" t="str">
        <f>VLOOKUP(C88,[1]道具配置表!$A:$D,4,FALSE)</f>
        <v>冒险经验+1</v>
      </c>
      <c r="E88" s="16">
        <v>50</v>
      </c>
      <c r="J88" s="16">
        <v>1</v>
      </c>
      <c r="L88" s="16" t="b">
        <v>1</v>
      </c>
    </row>
    <row r="89" spans="1:12" x14ac:dyDescent="0.25">
      <c r="A89" s="16">
        <v>1900122</v>
      </c>
      <c r="B89" s="16" t="s">
        <v>50</v>
      </c>
      <c r="C89" s="16">
        <v>17204</v>
      </c>
      <c r="D89" s="16" t="str">
        <f>VLOOKUP(C89,[1]道具配置表!$A:$D,4,FALSE)</f>
        <v>名人博学值+1</v>
      </c>
      <c r="E89" s="16">
        <v>1250</v>
      </c>
      <c r="J89" s="16">
        <v>1</v>
      </c>
      <c r="L89" s="16" t="b">
        <v>1</v>
      </c>
    </row>
    <row r="90" spans="1:12" x14ac:dyDescent="0.25">
      <c r="C90" s="16">
        <v>17000</v>
      </c>
      <c r="D90" s="16" t="str">
        <f>VLOOKUP(C90,[1]道具配置表!$A:$D,4,FALSE)</f>
        <v>冒险经验+1</v>
      </c>
      <c r="E90" s="16">
        <v>50</v>
      </c>
      <c r="J90" s="16">
        <v>1</v>
      </c>
      <c r="L90" s="16" t="b">
        <v>1</v>
      </c>
    </row>
    <row r="91" spans="1:12" x14ac:dyDescent="0.25">
      <c r="A91" s="16">
        <v>1900123</v>
      </c>
      <c r="B91" s="16" t="s">
        <v>51</v>
      </c>
      <c r="C91" s="16">
        <v>17204</v>
      </c>
      <c r="D91" s="16" t="str">
        <f>VLOOKUP(C91,[1]道具配置表!$A:$D,4,FALSE)</f>
        <v>名人博学值+1</v>
      </c>
      <c r="E91" s="16">
        <v>1300</v>
      </c>
      <c r="J91" s="16">
        <v>1</v>
      </c>
      <c r="L91" s="16" t="b">
        <v>1</v>
      </c>
    </row>
    <row r="92" spans="1:12" x14ac:dyDescent="0.25">
      <c r="C92" s="16">
        <v>17000</v>
      </c>
      <c r="D92" s="16" t="str">
        <f>VLOOKUP(C92,[1]道具配置表!$A:$D,4,FALSE)</f>
        <v>冒险经验+1</v>
      </c>
      <c r="E92" s="16">
        <v>50</v>
      </c>
      <c r="J92" s="16">
        <v>1</v>
      </c>
      <c r="L92" s="16" t="b">
        <v>1</v>
      </c>
    </row>
    <row r="93" spans="1:12" x14ac:dyDescent="0.25">
      <c r="A93" s="16">
        <v>1900124</v>
      </c>
      <c r="B93" s="16" t="s">
        <v>52</v>
      </c>
      <c r="C93" s="16">
        <v>17204</v>
      </c>
      <c r="D93" s="16" t="str">
        <f>VLOOKUP(C93,[1]道具配置表!$A:$D,4,FALSE)</f>
        <v>名人博学值+1</v>
      </c>
      <c r="E93" s="16">
        <v>1400</v>
      </c>
      <c r="J93" s="16">
        <v>1</v>
      </c>
      <c r="L93" s="16" t="b">
        <v>1</v>
      </c>
    </row>
    <row r="94" spans="1:12" x14ac:dyDescent="0.25">
      <c r="C94" s="16">
        <v>17000</v>
      </c>
      <c r="D94" s="16" t="str">
        <f>VLOOKUP(C94,[1]道具配置表!$A:$D,4,FALSE)</f>
        <v>冒险经验+1</v>
      </c>
      <c r="E94" s="16">
        <v>50</v>
      </c>
      <c r="J94" s="16">
        <v>1</v>
      </c>
      <c r="L94" s="16" t="b">
        <v>1</v>
      </c>
    </row>
    <row r="95" spans="1:12" x14ac:dyDescent="0.25">
      <c r="A95" s="16">
        <v>1900125</v>
      </c>
      <c r="B95" s="16" t="s">
        <v>53</v>
      </c>
      <c r="C95" s="16">
        <v>17204</v>
      </c>
      <c r="D95" s="16" t="str">
        <f>VLOOKUP(C95,[1]道具配置表!$A:$D,4,FALSE)</f>
        <v>名人博学值+1</v>
      </c>
      <c r="E95" s="16">
        <v>1500</v>
      </c>
      <c r="J95" s="16">
        <v>1</v>
      </c>
      <c r="L95" s="16" t="b">
        <v>1</v>
      </c>
    </row>
    <row r="96" spans="1:12" x14ac:dyDescent="0.25">
      <c r="C96" s="16">
        <v>17000</v>
      </c>
      <c r="D96" s="16" t="str">
        <f>VLOOKUP(C96,[1]道具配置表!$A:$D,4,FALSE)</f>
        <v>冒险经验+1</v>
      </c>
      <c r="E96" s="16">
        <v>50</v>
      </c>
      <c r="J96" s="16">
        <v>1</v>
      </c>
      <c r="L96" s="16" t="b">
        <v>1</v>
      </c>
    </row>
    <row r="97" spans="1:12" x14ac:dyDescent="0.25">
      <c r="A97" s="16">
        <v>1900126</v>
      </c>
      <c r="B97" s="16" t="s">
        <v>54</v>
      </c>
      <c r="C97" s="16">
        <v>17204</v>
      </c>
      <c r="D97" s="16" t="str">
        <f>VLOOKUP(C97,[1]道具配置表!$A:$D,4,FALSE)</f>
        <v>名人博学值+1</v>
      </c>
      <c r="E97" s="16">
        <v>1600</v>
      </c>
      <c r="J97" s="16">
        <v>1</v>
      </c>
      <c r="L97" s="16" t="b">
        <v>1</v>
      </c>
    </row>
    <row r="98" spans="1:12" x14ac:dyDescent="0.25">
      <c r="C98" s="16">
        <v>17000</v>
      </c>
      <c r="D98" s="16" t="str">
        <f>VLOOKUP(C98,[1]道具配置表!$A:$D,4,FALSE)</f>
        <v>冒险经验+1</v>
      </c>
      <c r="E98" s="16">
        <v>50</v>
      </c>
      <c r="J98" s="16">
        <v>1</v>
      </c>
      <c r="L98" s="16" t="b">
        <v>1</v>
      </c>
    </row>
    <row r="99" spans="1:12" x14ac:dyDescent="0.25">
      <c r="A99" s="16">
        <v>1900127</v>
      </c>
      <c r="B99" s="16" t="s">
        <v>55</v>
      </c>
      <c r="C99" s="16">
        <v>17204</v>
      </c>
      <c r="D99" s="16" t="str">
        <f>VLOOKUP(C99,[1]道具配置表!$A:$D,4,FALSE)</f>
        <v>名人博学值+1</v>
      </c>
      <c r="E99" s="16">
        <v>1700</v>
      </c>
      <c r="J99" s="16">
        <v>1</v>
      </c>
      <c r="L99" s="16" t="b">
        <v>1</v>
      </c>
    </row>
    <row r="100" spans="1:12" x14ac:dyDescent="0.25">
      <c r="C100" s="16">
        <v>17000</v>
      </c>
      <c r="D100" s="16" t="str">
        <f>VLOOKUP(C100,[1]道具配置表!$A:$D,4,FALSE)</f>
        <v>冒险经验+1</v>
      </c>
      <c r="E100" s="16">
        <v>50</v>
      </c>
      <c r="J100" s="16">
        <v>1</v>
      </c>
      <c r="L100" s="16" t="b">
        <v>1</v>
      </c>
    </row>
    <row r="101" spans="1:12" x14ac:dyDescent="0.25">
      <c r="A101" s="16">
        <v>1900128</v>
      </c>
      <c r="B101" s="16" t="s">
        <v>56</v>
      </c>
      <c r="C101" s="16">
        <v>17204</v>
      </c>
      <c r="D101" s="16" t="str">
        <f>VLOOKUP(C101,[1]道具配置表!$A:$D,4,FALSE)</f>
        <v>名人博学值+1</v>
      </c>
      <c r="E101" s="16">
        <v>1800</v>
      </c>
      <c r="J101" s="16">
        <v>1</v>
      </c>
      <c r="L101" s="16" t="b">
        <v>1</v>
      </c>
    </row>
    <row r="102" spans="1:12" x14ac:dyDescent="0.25">
      <c r="C102" s="16">
        <v>17000</v>
      </c>
      <c r="D102" s="16" t="str">
        <f>VLOOKUP(C102,[1]道具配置表!$A:$D,4,FALSE)</f>
        <v>冒险经验+1</v>
      </c>
      <c r="E102" s="16">
        <v>50</v>
      </c>
      <c r="J102" s="16">
        <v>1</v>
      </c>
      <c r="L102" s="16" t="b">
        <v>1</v>
      </c>
    </row>
    <row r="103" spans="1:12" x14ac:dyDescent="0.25">
      <c r="A103" s="16">
        <v>1900129</v>
      </c>
      <c r="B103" s="16" t="s">
        <v>57</v>
      </c>
      <c r="C103" s="16">
        <v>17204</v>
      </c>
      <c r="D103" s="16" t="str">
        <f>VLOOKUP(C103,[1]道具配置表!$A:$D,4,FALSE)</f>
        <v>名人博学值+1</v>
      </c>
      <c r="E103" s="16">
        <v>1900</v>
      </c>
      <c r="J103" s="16">
        <v>1</v>
      </c>
      <c r="L103" s="16" t="b">
        <v>1</v>
      </c>
    </row>
    <row r="104" spans="1:12" x14ac:dyDescent="0.25">
      <c r="C104" s="16">
        <v>17000</v>
      </c>
      <c r="D104" s="16" t="str">
        <f>VLOOKUP(C104,[1]道具配置表!$A:$D,4,FALSE)</f>
        <v>冒险经验+1</v>
      </c>
      <c r="E104" s="16">
        <v>50</v>
      </c>
      <c r="J104" s="16">
        <v>1</v>
      </c>
      <c r="L104" s="16" t="b">
        <v>1</v>
      </c>
    </row>
    <row r="105" spans="1:12" x14ac:dyDescent="0.25">
      <c r="A105" s="16">
        <v>1900130</v>
      </c>
      <c r="B105" s="16" t="s">
        <v>58</v>
      </c>
      <c r="C105" s="16">
        <v>17204</v>
      </c>
      <c r="D105" s="16" t="str">
        <f>VLOOKUP(C105,[1]道具配置表!$A:$D,4,FALSE)</f>
        <v>名人博学值+1</v>
      </c>
      <c r="E105" s="16">
        <v>2000</v>
      </c>
      <c r="J105" s="16">
        <v>1</v>
      </c>
      <c r="L105" s="16" t="b">
        <v>1</v>
      </c>
    </row>
    <row r="106" spans="1:12" x14ac:dyDescent="0.25">
      <c r="C106" s="16">
        <v>17000</v>
      </c>
      <c r="D106" s="16" t="str">
        <f>VLOOKUP(C106,[1]道具配置表!$A:$D,4,FALSE)</f>
        <v>冒险经验+1</v>
      </c>
      <c r="E106" s="16">
        <v>50</v>
      </c>
      <c r="J106" s="16">
        <v>1</v>
      </c>
      <c r="L106" s="16" t="b">
        <v>1</v>
      </c>
    </row>
    <row r="107" spans="1:12" x14ac:dyDescent="0.25">
      <c r="A107" s="16">
        <v>1900201</v>
      </c>
      <c r="B107" s="16" t="s">
        <v>59</v>
      </c>
      <c r="C107" s="16">
        <v>101</v>
      </c>
      <c r="D107" s="16" t="str">
        <f>VLOOKUP(C107,[1]道具配置表!$A:$D,4,FALSE)</f>
        <v>1木材</v>
      </c>
      <c r="E107" s="16">
        <v>1000</v>
      </c>
      <c r="J107" s="16">
        <v>1</v>
      </c>
      <c r="L107" s="16" t="b">
        <v>1</v>
      </c>
    </row>
    <row r="108" spans="1:12" x14ac:dyDescent="0.25">
      <c r="A108" s="16">
        <v>1900202</v>
      </c>
      <c r="B108" s="16" t="s">
        <v>60</v>
      </c>
      <c r="C108" s="16">
        <v>102</v>
      </c>
      <c r="D108" s="16" t="str">
        <f>VLOOKUP(C108,[1]道具配置表!$A:$D,4,FALSE)</f>
        <v>1食物</v>
      </c>
      <c r="E108" s="16">
        <v>1000</v>
      </c>
      <c r="J108" s="16">
        <v>1</v>
      </c>
      <c r="L108" s="16" t="b">
        <v>1</v>
      </c>
    </row>
    <row r="109" spans="1:12" x14ac:dyDescent="0.25">
      <c r="A109" s="16">
        <v>1900203</v>
      </c>
      <c r="B109" s="16" t="s">
        <v>61</v>
      </c>
      <c r="C109" s="16">
        <v>103</v>
      </c>
      <c r="D109" s="16" t="str">
        <f>VLOOKUP(C109,[1]道具配置表!$A:$D,4,FALSE)</f>
        <v>1石头</v>
      </c>
      <c r="E109" s="16">
        <v>1000</v>
      </c>
      <c r="J109" s="16">
        <v>1</v>
      </c>
      <c r="L109" s="16" t="b">
        <v>1</v>
      </c>
    </row>
    <row r="110" spans="1:12" x14ac:dyDescent="0.25">
      <c r="A110" s="16">
        <v>1900204</v>
      </c>
      <c r="B110" s="16" t="s">
        <v>62</v>
      </c>
      <c r="C110" s="16">
        <v>104</v>
      </c>
      <c r="D110" s="16" t="str">
        <f>VLOOKUP(C110,[1]道具配置表!$A:$D,4,FALSE)</f>
        <v>1黄金</v>
      </c>
      <c r="E110" s="16">
        <v>1000</v>
      </c>
      <c r="J110" s="16">
        <v>1</v>
      </c>
      <c r="L110" s="16" t="b">
        <v>1</v>
      </c>
    </row>
    <row r="111" spans="1:12" x14ac:dyDescent="0.25">
      <c r="A111" s="16">
        <v>1900205</v>
      </c>
      <c r="B111" s="16" t="s">
        <v>63</v>
      </c>
      <c r="C111" s="16">
        <f t="shared" ref="C111:C142" si="0">C107</f>
        <v>101</v>
      </c>
      <c r="D111" s="16" t="str">
        <f>VLOOKUP(C111,[1]道具配置表!$A:$D,4,FALSE)</f>
        <v>1木材</v>
      </c>
      <c r="E111" s="16">
        <v>2000</v>
      </c>
      <c r="J111" s="16">
        <v>1</v>
      </c>
      <c r="L111" s="16" t="b">
        <v>1</v>
      </c>
    </row>
    <row r="112" spans="1:12" x14ac:dyDescent="0.25">
      <c r="A112" s="16">
        <v>1900206</v>
      </c>
      <c r="B112" s="16" t="s">
        <v>64</v>
      </c>
      <c r="C112" s="16">
        <f t="shared" si="0"/>
        <v>102</v>
      </c>
      <c r="D112" s="16" t="str">
        <f>VLOOKUP(C112,[1]道具配置表!$A:$D,4,FALSE)</f>
        <v>1食物</v>
      </c>
      <c r="E112" s="16">
        <v>2000</v>
      </c>
      <c r="J112" s="16">
        <v>1</v>
      </c>
      <c r="L112" s="16" t="b">
        <v>1</v>
      </c>
    </row>
    <row r="113" spans="1:12" x14ac:dyDescent="0.25">
      <c r="A113" s="16">
        <v>1900207</v>
      </c>
      <c r="B113" s="16" t="s">
        <v>65</v>
      </c>
      <c r="C113" s="16">
        <f t="shared" si="0"/>
        <v>103</v>
      </c>
      <c r="D113" s="16" t="str">
        <f>VLOOKUP(C113,[1]道具配置表!$A:$D,4,FALSE)</f>
        <v>1石头</v>
      </c>
      <c r="E113" s="16">
        <v>2000</v>
      </c>
      <c r="J113" s="16">
        <v>1</v>
      </c>
      <c r="L113" s="16" t="b">
        <v>1</v>
      </c>
    </row>
    <row r="114" spans="1:12" x14ac:dyDescent="0.25">
      <c r="A114" s="16">
        <v>1900208</v>
      </c>
      <c r="B114" s="16" t="s">
        <v>66</v>
      </c>
      <c r="C114" s="16">
        <f t="shared" si="0"/>
        <v>104</v>
      </c>
      <c r="D114" s="16" t="str">
        <f>VLOOKUP(C114,[1]道具配置表!$A:$D,4,FALSE)</f>
        <v>1黄金</v>
      </c>
      <c r="E114" s="16">
        <v>2000</v>
      </c>
      <c r="J114" s="16">
        <v>1</v>
      </c>
      <c r="L114" s="16" t="b">
        <v>1</v>
      </c>
    </row>
    <row r="115" spans="1:12" x14ac:dyDescent="0.25">
      <c r="A115" s="16">
        <v>1900209</v>
      </c>
      <c r="B115" s="16" t="s">
        <v>67</v>
      </c>
      <c r="C115" s="16">
        <f t="shared" si="0"/>
        <v>101</v>
      </c>
      <c r="D115" s="16" t="str">
        <f>VLOOKUP(C115,[1]道具配置表!$A:$D,4,FALSE)</f>
        <v>1木材</v>
      </c>
      <c r="E115" s="16">
        <v>3000</v>
      </c>
      <c r="J115" s="16">
        <v>1</v>
      </c>
      <c r="L115" s="16" t="b">
        <v>1</v>
      </c>
    </row>
    <row r="116" spans="1:12" x14ac:dyDescent="0.25">
      <c r="A116" s="16">
        <v>1900210</v>
      </c>
      <c r="B116" s="16" t="s">
        <v>68</v>
      </c>
      <c r="C116" s="16">
        <f t="shared" si="0"/>
        <v>102</v>
      </c>
      <c r="D116" s="16" t="str">
        <f>VLOOKUP(C116,[1]道具配置表!$A:$D,4,FALSE)</f>
        <v>1食物</v>
      </c>
      <c r="E116" s="16">
        <v>3000</v>
      </c>
      <c r="J116" s="16">
        <v>1</v>
      </c>
      <c r="L116" s="16" t="b">
        <v>1</v>
      </c>
    </row>
    <row r="117" spans="1:12" x14ac:dyDescent="0.25">
      <c r="A117" s="16">
        <v>1900211</v>
      </c>
      <c r="B117" s="16" t="s">
        <v>69</v>
      </c>
      <c r="C117" s="16">
        <f t="shared" si="0"/>
        <v>103</v>
      </c>
      <c r="D117" s="16" t="str">
        <f>VLOOKUP(C117,[1]道具配置表!$A:$D,4,FALSE)</f>
        <v>1石头</v>
      </c>
      <c r="E117" s="16">
        <v>3000</v>
      </c>
      <c r="J117" s="16">
        <v>1</v>
      </c>
      <c r="L117" s="16" t="b">
        <v>1</v>
      </c>
    </row>
    <row r="118" spans="1:12" x14ac:dyDescent="0.25">
      <c r="A118" s="16">
        <v>1900212</v>
      </c>
      <c r="B118" s="16" t="s">
        <v>70</v>
      </c>
      <c r="C118" s="16">
        <f t="shared" si="0"/>
        <v>104</v>
      </c>
      <c r="D118" s="16" t="str">
        <f>VLOOKUP(C118,[1]道具配置表!$A:$D,4,FALSE)</f>
        <v>1黄金</v>
      </c>
      <c r="E118" s="16">
        <v>3000</v>
      </c>
      <c r="J118" s="16">
        <v>1</v>
      </c>
      <c r="L118" s="16" t="b">
        <v>1</v>
      </c>
    </row>
    <row r="119" spans="1:12" x14ac:dyDescent="0.25">
      <c r="A119" s="16">
        <v>1900213</v>
      </c>
      <c r="B119" s="16" t="s">
        <v>71</v>
      </c>
      <c r="C119" s="16">
        <f t="shared" si="0"/>
        <v>101</v>
      </c>
      <c r="D119" s="16" t="str">
        <f>VLOOKUP(C119,[1]道具配置表!$A:$D,4,FALSE)</f>
        <v>1木材</v>
      </c>
      <c r="E119" s="16">
        <v>4000</v>
      </c>
      <c r="J119" s="16">
        <v>1</v>
      </c>
      <c r="L119" s="16" t="b">
        <v>1</v>
      </c>
    </row>
    <row r="120" spans="1:12" x14ac:dyDescent="0.25">
      <c r="A120" s="16">
        <v>1900214</v>
      </c>
      <c r="B120" s="16" t="s">
        <v>72</v>
      </c>
      <c r="C120" s="16">
        <f t="shared" si="0"/>
        <v>102</v>
      </c>
      <c r="D120" s="16" t="str">
        <f>VLOOKUP(C120,[1]道具配置表!$A:$D,4,FALSE)</f>
        <v>1食物</v>
      </c>
      <c r="E120" s="16">
        <v>4000</v>
      </c>
      <c r="J120" s="16">
        <v>1</v>
      </c>
      <c r="L120" s="16" t="b">
        <v>1</v>
      </c>
    </row>
    <row r="121" spans="1:12" x14ac:dyDescent="0.25">
      <c r="A121" s="16">
        <v>1900215</v>
      </c>
      <c r="B121" s="16" t="s">
        <v>73</v>
      </c>
      <c r="C121" s="16">
        <f t="shared" si="0"/>
        <v>103</v>
      </c>
      <c r="D121" s="16" t="str">
        <f>VLOOKUP(C121,[1]道具配置表!$A:$D,4,FALSE)</f>
        <v>1石头</v>
      </c>
      <c r="E121" s="16">
        <v>4000</v>
      </c>
      <c r="J121" s="16">
        <v>1</v>
      </c>
      <c r="L121" s="16" t="b">
        <v>1</v>
      </c>
    </row>
    <row r="122" spans="1:12" x14ac:dyDescent="0.25">
      <c r="A122" s="16">
        <v>1900216</v>
      </c>
      <c r="B122" s="16" t="s">
        <v>74</v>
      </c>
      <c r="C122" s="16">
        <f t="shared" si="0"/>
        <v>104</v>
      </c>
      <c r="D122" s="16" t="str">
        <f>VLOOKUP(C122,[1]道具配置表!$A:$D,4,FALSE)</f>
        <v>1黄金</v>
      </c>
      <c r="E122" s="16">
        <v>4000</v>
      </c>
      <c r="J122" s="16">
        <v>1</v>
      </c>
      <c r="L122" s="16" t="b">
        <v>1</v>
      </c>
    </row>
    <row r="123" spans="1:12" x14ac:dyDescent="0.25">
      <c r="A123" s="16">
        <v>1900217</v>
      </c>
      <c r="B123" s="16" t="s">
        <v>75</v>
      </c>
      <c r="C123" s="16">
        <f t="shared" si="0"/>
        <v>101</v>
      </c>
      <c r="D123" s="16" t="str">
        <f>VLOOKUP(C123,[1]道具配置表!$A:$D,4,FALSE)</f>
        <v>1木材</v>
      </c>
      <c r="E123" s="16">
        <v>5000</v>
      </c>
      <c r="J123" s="16">
        <v>1</v>
      </c>
      <c r="L123" s="16" t="b">
        <v>1</v>
      </c>
    </row>
    <row r="124" spans="1:12" x14ac:dyDescent="0.25">
      <c r="A124" s="16">
        <v>1900218</v>
      </c>
      <c r="B124" s="16" t="s">
        <v>76</v>
      </c>
      <c r="C124" s="16">
        <f t="shared" si="0"/>
        <v>102</v>
      </c>
      <c r="D124" s="16" t="str">
        <f>VLOOKUP(C124,[1]道具配置表!$A:$D,4,FALSE)</f>
        <v>1食物</v>
      </c>
      <c r="E124" s="16">
        <v>5000</v>
      </c>
      <c r="J124" s="16">
        <v>1</v>
      </c>
      <c r="L124" s="16" t="b">
        <v>1</v>
      </c>
    </row>
    <row r="125" spans="1:12" x14ac:dyDescent="0.25">
      <c r="A125" s="16">
        <v>1900219</v>
      </c>
      <c r="B125" s="16" t="s">
        <v>77</v>
      </c>
      <c r="C125" s="16">
        <f t="shared" si="0"/>
        <v>103</v>
      </c>
      <c r="D125" s="16" t="str">
        <f>VLOOKUP(C125,[1]道具配置表!$A:$D,4,FALSE)</f>
        <v>1石头</v>
      </c>
      <c r="E125" s="16">
        <v>5000</v>
      </c>
      <c r="J125" s="16">
        <v>1</v>
      </c>
      <c r="L125" s="16" t="b">
        <v>1</v>
      </c>
    </row>
    <row r="126" spans="1:12" x14ac:dyDescent="0.25">
      <c r="A126" s="16">
        <v>1900220</v>
      </c>
      <c r="B126" s="16" t="s">
        <v>78</v>
      </c>
      <c r="C126" s="16">
        <f t="shared" si="0"/>
        <v>104</v>
      </c>
      <c r="D126" s="16" t="str">
        <f>VLOOKUP(C126,[1]道具配置表!$A:$D,4,FALSE)</f>
        <v>1黄金</v>
      </c>
      <c r="E126" s="16">
        <v>5000</v>
      </c>
      <c r="J126" s="16">
        <v>1</v>
      </c>
      <c r="L126" s="16" t="b">
        <v>1</v>
      </c>
    </row>
    <row r="127" spans="1:12" x14ac:dyDescent="0.25">
      <c r="A127" s="16">
        <v>1900221</v>
      </c>
      <c r="B127" s="16" t="s">
        <v>79</v>
      </c>
      <c r="C127" s="16">
        <f t="shared" si="0"/>
        <v>101</v>
      </c>
      <c r="D127" s="16" t="str">
        <f>VLOOKUP(C127,[1]道具配置表!$A:$D,4,FALSE)</f>
        <v>1木材</v>
      </c>
      <c r="E127" s="16">
        <v>6000</v>
      </c>
      <c r="J127" s="16">
        <v>1</v>
      </c>
      <c r="L127" s="16" t="b">
        <v>1</v>
      </c>
    </row>
    <row r="128" spans="1:12" x14ac:dyDescent="0.25">
      <c r="A128" s="16">
        <v>1900222</v>
      </c>
      <c r="B128" s="16" t="s">
        <v>80</v>
      </c>
      <c r="C128" s="16">
        <f t="shared" si="0"/>
        <v>102</v>
      </c>
      <c r="D128" s="16" t="str">
        <f>VLOOKUP(C128,[1]道具配置表!$A:$D,4,FALSE)</f>
        <v>1食物</v>
      </c>
      <c r="E128" s="16">
        <v>6000</v>
      </c>
      <c r="J128" s="16">
        <v>1</v>
      </c>
      <c r="L128" s="16" t="b">
        <v>1</v>
      </c>
    </row>
    <row r="129" spans="1:12" x14ac:dyDescent="0.25">
      <c r="A129" s="16">
        <v>1900223</v>
      </c>
      <c r="B129" s="16" t="s">
        <v>81</v>
      </c>
      <c r="C129" s="16">
        <f t="shared" si="0"/>
        <v>103</v>
      </c>
      <c r="D129" s="16" t="str">
        <f>VLOOKUP(C129,[1]道具配置表!$A:$D,4,FALSE)</f>
        <v>1石头</v>
      </c>
      <c r="E129" s="16">
        <v>6000</v>
      </c>
      <c r="J129" s="16">
        <v>1</v>
      </c>
      <c r="L129" s="16" t="b">
        <v>1</v>
      </c>
    </row>
    <row r="130" spans="1:12" x14ac:dyDescent="0.25">
      <c r="A130" s="16">
        <v>1900224</v>
      </c>
      <c r="B130" s="16" t="s">
        <v>82</v>
      </c>
      <c r="C130" s="16">
        <f t="shared" si="0"/>
        <v>104</v>
      </c>
      <c r="D130" s="16" t="str">
        <f>VLOOKUP(C130,[1]道具配置表!$A:$D,4,FALSE)</f>
        <v>1黄金</v>
      </c>
      <c r="E130" s="16">
        <v>6000</v>
      </c>
      <c r="J130" s="16">
        <v>1</v>
      </c>
      <c r="L130" s="16" t="b">
        <v>1</v>
      </c>
    </row>
    <row r="131" spans="1:12" x14ac:dyDescent="0.25">
      <c r="A131" s="16">
        <v>1900225</v>
      </c>
      <c r="B131" s="16" t="s">
        <v>83</v>
      </c>
      <c r="C131" s="16">
        <f t="shared" si="0"/>
        <v>101</v>
      </c>
      <c r="D131" s="16" t="str">
        <f>VLOOKUP(C131,[1]道具配置表!$A:$D,4,FALSE)</f>
        <v>1木材</v>
      </c>
      <c r="E131" s="16">
        <v>7000</v>
      </c>
      <c r="J131" s="16">
        <v>1</v>
      </c>
      <c r="L131" s="16" t="b">
        <v>1</v>
      </c>
    </row>
    <row r="132" spans="1:12" x14ac:dyDescent="0.25">
      <c r="A132" s="16">
        <v>1900226</v>
      </c>
      <c r="B132" s="16" t="s">
        <v>84</v>
      </c>
      <c r="C132" s="16">
        <f t="shared" si="0"/>
        <v>102</v>
      </c>
      <c r="D132" s="16" t="str">
        <f>VLOOKUP(C132,[1]道具配置表!$A:$D,4,FALSE)</f>
        <v>1食物</v>
      </c>
      <c r="E132" s="16">
        <v>7000</v>
      </c>
      <c r="J132" s="16">
        <v>1</v>
      </c>
      <c r="L132" s="16" t="b">
        <v>1</v>
      </c>
    </row>
    <row r="133" spans="1:12" x14ac:dyDescent="0.25">
      <c r="A133" s="16">
        <v>1900227</v>
      </c>
      <c r="B133" s="16" t="s">
        <v>85</v>
      </c>
      <c r="C133" s="16">
        <f t="shared" si="0"/>
        <v>103</v>
      </c>
      <c r="D133" s="16" t="str">
        <f>VLOOKUP(C133,[1]道具配置表!$A:$D,4,FALSE)</f>
        <v>1石头</v>
      </c>
      <c r="E133" s="16">
        <v>7000</v>
      </c>
      <c r="J133" s="16">
        <v>1</v>
      </c>
      <c r="L133" s="16" t="b">
        <v>1</v>
      </c>
    </row>
    <row r="134" spans="1:12" x14ac:dyDescent="0.25">
      <c r="A134" s="16">
        <v>1900228</v>
      </c>
      <c r="B134" s="16" t="s">
        <v>86</v>
      </c>
      <c r="C134" s="16">
        <f t="shared" si="0"/>
        <v>104</v>
      </c>
      <c r="D134" s="16" t="str">
        <f>VLOOKUP(C134,[1]道具配置表!$A:$D,4,FALSE)</f>
        <v>1黄金</v>
      </c>
      <c r="E134" s="16">
        <v>7000</v>
      </c>
      <c r="J134" s="16">
        <v>1</v>
      </c>
      <c r="L134" s="16" t="b">
        <v>1</v>
      </c>
    </row>
    <row r="135" spans="1:12" x14ac:dyDescent="0.25">
      <c r="A135" s="16">
        <v>1900229</v>
      </c>
      <c r="B135" s="16" t="s">
        <v>87</v>
      </c>
      <c r="C135" s="16">
        <f t="shared" si="0"/>
        <v>101</v>
      </c>
      <c r="D135" s="16" t="str">
        <f>VLOOKUP(C135,[1]道具配置表!$A:$D,4,FALSE)</f>
        <v>1木材</v>
      </c>
      <c r="E135" s="16">
        <v>8000</v>
      </c>
      <c r="J135" s="16">
        <v>1</v>
      </c>
      <c r="L135" s="16" t="b">
        <v>1</v>
      </c>
    </row>
    <row r="136" spans="1:12" x14ac:dyDescent="0.25">
      <c r="A136" s="16">
        <v>1900230</v>
      </c>
      <c r="B136" s="16" t="s">
        <v>88</v>
      </c>
      <c r="C136" s="16">
        <f t="shared" si="0"/>
        <v>102</v>
      </c>
      <c r="D136" s="16" t="str">
        <f>VLOOKUP(C136,[1]道具配置表!$A:$D,4,FALSE)</f>
        <v>1食物</v>
      </c>
      <c r="E136" s="16">
        <v>8000</v>
      </c>
      <c r="J136" s="16">
        <v>1</v>
      </c>
      <c r="L136" s="16" t="b">
        <v>1</v>
      </c>
    </row>
    <row r="137" spans="1:12" x14ac:dyDescent="0.25">
      <c r="A137" s="16">
        <v>1900231</v>
      </c>
      <c r="B137" s="16" t="s">
        <v>89</v>
      </c>
      <c r="C137" s="16">
        <f t="shared" si="0"/>
        <v>103</v>
      </c>
      <c r="D137" s="16" t="str">
        <f>VLOOKUP(C137,[1]道具配置表!$A:$D,4,FALSE)</f>
        <v>1石头</v>
      </c>
      <c r="E137" s="16">
        <v>8000</v>
      </c>
      <c r="J137" s="16">
        <v>1</v>
      </c>
      <c r="L137" s="16" t="b">
        <v>1</v>
      </c>
    </row>
    <row r="138" spans="1:12" x14ac:dyDescent="0.25">
      <c r="A138" s="16">
        <v>1900232</v>
      </c>
      <c r="B138" s="16" t="s">
        <v>90</v>
      </c>
      <c r="C138" s="16">
        <f t="shared" si="0"/>
        <v>104</v>
      </c>
      <c r="D138" s="16" t="str">
        <f>VLOOKUP(C138,[1]道具配置表!$A:$D,4,FALSE)</f>
        <v>1黄金</v>
      </c>
      <c r="E138" s="16">
        <v>8000</v>
      </c>
      <c r="J138" s="16">
        <v>1</v>
      </c>
      <c r="L138" s="16" t="b">
        <v>1</v>
      </c>
    </row>
    <row r="139" spans="1:12" x14ac:dyDescent="0.25">
      <c r="A139" s="16">
        <v>1900233</v>
      </c>
      <c r="B139" s="16" t="s">
        <v>91</v>
      </c>
      <c r="C139" s="16">
        <f t="shared" si="0"/>
        <v>101</v>
      </c>
      <c r="D139" s="16" t="str">
        <f>VLOOKUP(C139,[1]道具配置表!$A:$D,4,FALSE)</f>
        <v>1木材</v>
      </c>
      <c r="E139" s="16">
        <v>9000</v>
      </c>
      <c r="J139" s="16">
        <v>1</v>
      </c>
      <c r="L139" s="16" t="b">
        <v>1</v>
      </c>
    </row>
    <row r="140" spans="1:12" x14ac:dyDescent="0.25">
      <c r="A140" s="16">
        <v>1900234</v>
      </c>
      <c r="B140" s="16" t="s">
        <v>92</v>
      </c>
      <c r="C140" s="16">
        <f t="shared" si="0"/>
        <v>102</v>
      </c>
      <c r="D140" s="16" t="str">
        <f>VLOOKUP(C140,[1]道具配置表!$A:$D,4,FALSE)</f>
        <v>1食物</v>
      </c>
      <c r="E140" s="16">
        <v>9000</v>
      </c>
      <c r="J140" s="16">
        <v>1</v>
      </c>
      <c r="L140" s="16" t="b">
        <v>1</v>
      </c>
    </row>
    <row r="141" spans="1:12" x14ac:dyDescent="0.25">
      <c r="A141" s="16">
        <v>1900235</v>
      </c>
      <c r="B141" s="16" t="s">
        <v>93</v>
      </c>
      <c r="C141" s="16">
        <f t="shared" si="0"/>
        <v>103</v>
      </c>
      <c r="D141" s="16" t="str">
        <f>VLOOKUP(C141,[1]道具配置表!$A:$D,4,FALSE)</f>
        <v>1石头</v>
      </c>
      <c r="E141" s="16">
        <v>9000</v>
      </c>
      <c r="J141" s="16">
        <v>1</v>
      </c>
      <c r="L141" s="16" t="b">
        <v>1</v>
      </c>
    </row>
    <row r="142" spans="1:12" x14ac:dyDescent="0.25">
      <c r="A142" s="16">
        <v>1900236</v>
      </c>
      <c r="B142" s="16" t="s">
        <v>94</v>
      </c>
      <c r="C142" s="16">
        <f t="shared" si="0"/>
        <v>104</v>
      </c>
      <c r="D142" s="16" t="str">
        <f>VLOOKUP(C142,[1]道具配置表!$A:$D,4,FALSE)</f>
        <v>1黄金</v>
      </c>
      <c r="E142" s="16">
        <v>9000</v>
      </c>
      <c r="J142" s="16">
        <v>1</v>
      </c>
      <c r="L142" s="16" t="b">
        <v>1</v>
      </c>
    </row>
    <row r="143" spans="1:12" x14ac:dyDescent="0.25">
      <c r="A143" s="16">
        <v>1900237</v>
      </c>
      <c r="B143" s="16" t="s">
        <v>95</v>
      </c>
      <c r="C143" s="16">
        <f t="shared" ref="C143:C174" si="1">C139</f>
        <v>101</v>
      </c>
      <c r="D143" s="16" t="str">
        <f>VLOOKUP(C143,[1]道具配置表!$A:$D,4,FALSE)</f>
        <v>1木材</v>
      </c>
      <c r="E143" s="16">
        <v>10000</v>
      </c>
      <c r="J143" s="16">
        <v>1</v>
      </c>
      <c r="L143" s="16" t="b">
        <v>1</v>
      </c>
    </row>
    <row r="144" spans="1:12" x14ac:dyDescent="0.25">
      <c r="A144" s="16">
        <v>1900238</v>
      </c>
      <c r="B144" s="16" t="s">
        <v>96</v>
      </c>
      <c r="C144" s="16">
        <f t="shared" si="1"/>
        <v>102</v>
      </c>
      <c r="D144" s="16" t="str">
        <f>VLOOKUP(C144,[1]道具配置表!$A:$D,4,FALSE)</f>
        <v>1食物</v>
      </c>
      <c r="E144" s="16">
        <v>10000</v>
      </c>
      <c r="J144" s="16">
        <v>1</v>
      </c>
      <c r="L144" s="16" t="b">
        <v>1</v>
      </c>
    </row>
    <row r="145" spans="1:12" x14ac:dyDescent="0.25">
      <c r="A145" s="16">
        <v>1900239</v>
      </c>
      <c r="B145" s="16" t="s">
        <v>97</v>
      </c>
      <c r="C145" s="16">
        <f t="shared" si="1"/>
        <v>103</v>
      </c>
      <c r="D145" s="16" t="str">
        <f>VLOOKUP(C145,[1]道具配置表!$A:$D,4,FALSE)</f>
        <v>1石头</v>
      </c>
      <c r="E145" s="16">
        <v>10000</v>
      </c>
      <c r="J145" s="16">
        <v>1</v>
      </c>
      <c r="L145" s="16" t="b">
        <v>1</v>
      </c>
    </row>
    <row r="146" spans="1:12" x14ac:dyDescent="0.25">
      <c r="A146" s="16">
        <v>1900240</v>
      </c>
      <c r="B146" s="16" t="s">
        <v>98</v>
      </c>
      <c r="C146" s="16">
        <f t="shared" si="1"/>
        <v>104</v>
      </c>
      <c r="D146" s="16" t="str">
        <f>VLOOKUP(C146,[1]道具配置表!$A:$D,4,FALSE)</f>
        <v>1黄金</v>
      </c>
      <c r="E146" s="16">
        <v>10000</v>
      </c>
      <c r="J146" s="16">
        <v>1</v>
      </c>
      <c r="L146" s="16" t="b">
        <v>1</v>
      </c>
    </row>
    <row r="147" spans="1:12" x14ac:dyDescent="0.25">
      <c r="A147" s="16">
        <v>1900241</v>
      </c>
      <c r="B147" s="16" t="s">
        <v>99</v>
      </c>
      <c r="C147" s="16">
        <f t="shared" si="1"/>
        <v>101</v>
      </c>
      <c r="D147" s="16" t="str">
        <f>VLOOKUP(C147,[1]道具配置表!$A:$D,4,FALSE)</f>
        <v>1木材</v>
      </c>
      <c r="E147" s="16">
        <v>11000</v>
      </c>
      <c r="J147" s="16">
        <v>1</v>
      </c>
      <c r="L147" s="16" t="b">
        <v>1</v>
      </c>
    </row>
    <row r="148" spans="1:12" x14ac:dyDescent="0.25">
      <c r="A148" s="16">
        <v>1900242</v>
      </c>
      <c r="B148" s="16" t="s">
        <v>100</v>
      </c>
      <c r="C148" s="16">
        <f t="shared" si="1"/>
        <v>102</v>
      </c>
      <c r="D148" s="16" t="str">
        <f>VLOOKUP(C148,[1]道具配置表!$A:$D,4,FALSE)</f>
        <v>1食物</v>
      </c>
      <c r="E148" s="16">
        <v>11000</v>
      </c>
      <c r="J148" s="16">
        <v>1</v>
      </c>
      <c r="L148" s="16" t="b">
        <v>1</v>
      </c>
    </row>
    <row r="149" spans="1:12" x14ac:dyDescent="0.25">
      <c r="A149" s="16">
        <v>1900243</v>
      </c>
      <c r="B149" s="16" t="s">
        <v>101</v>
      </c>
      <c r="C149" s="16">
        <f t="shared" si="1"/>
        <v>103</v>
      </c>
      <c r="D149" s="16" t="str">
        <f>VLOOKUP(C149,[1]道具配置表!$A:$D,4,FALSE)</f>
        <v>1石头</v>
      </c>
      <c r="E149" s="16">
        <v>11000</v>
      </c>
      <c r="J149" s="16">
        <v>1</v>
      </c>
      <c r="L149" s="16" t="b">
        <v>1</v>
      </c>
    </row>
    <row r="150" spans="1:12" x14ac:dyDescent="0.25">
      <c r="A150" s="16">
        <v>1900244</v>
      </c>
      <c r="B150" s="16" t="s">
        <v>102</v>
      </c>
      <c r="C150" s="16">
        <f t="shared" si="1"/>
        <v>104</v>
      </c>
      <c r="D150" s="16" t="str">
        <f>VLOOKUP(C150,[1]道具配置表!$A:$D,4,FALSE)</f>
        <v>1黄金</v>
      </c>
      <c r="E150" s="16">
        <v>11000</v>
      </c>
      <c r="J150" s="16">
        <v>1</v>
      </c>
      <c r="L150" s="16" t="b">
        <v>1</v>
      </c>
    </row>
    <row r="151" spans="1:12" x14ac:dyDescent="0.25">
      <c r="A151" s="16">
        <v>1900245</v>
      </c>
      <c r="B151" s="16" t="s">
        <v>103</v>
      </c>
      <c r="C151" s="16">
        <f t="shared" si="1"/>
        <v>101</v>
      </c>
      <c r="D151" s="16" t="str">
        <f>VLOOKUP(C151,[1]道具配置表!$A:$D,4,FALSE)</f>
        <v>1木材</v>
      </c>
      <c r="E151" s="16">
        <v>12000</v>
      </c>
      <c r="J151" s="16">
        <v>1</v>
      </c>
      <c r="L151" s="16" t="b">
        <v>1</v>
      </c>
    </row>
    <row r="152" spans="1:12" x14ac:dyDescent="0.25">
      <c r="A152" s="16">
        <v>1900246</v>
      </c>
      <c r="B152" s="16" t="s">
        <v>104</v>
      </c>
      <c r="C152" s="16">
        <f t="shared" si="1"/>
        <v>102</v>
      </c>
      <c r="D152" s="16" t="str">
        <f>VLOOKUP(C152,[1]道具配置表!$A:$D,4,FALSE)</f>
        <v>1食物</v>
      </c>
      <c r="E152" s="16">
        <v>12000</v>
      </c>
      <c r="J152" s="16">
        <v>1</v>
      </c>
      <c r="L152" s="16" t="b">
        <v>1</v>
      </c>
    </row>
    <row r="153" spans="1:12" x14ac:dyDescent="0.25">
      <c r="A153" s="16">
        <v>1900247</v>
      </c>
      <c r="B153" s="16" t="s">
        <v>105</v>
      </c>
      <c r="C153" s="16">
        <f t="shared" si="1"/>
        <v>103</v>
      </c>
      <c r="D153" s="16" t="str">
        <f>VLOOKUP(C153,[1]道具配置表!$A:$D,4,FALSE)</f>
        <v>1石头</v>
      </c>
      <c r="E153" s="16">
        <v>12000</v>
      </c>
      <c r="J153" s="16">
        <v>1</v>
      </c>
      <c r="L153" s="16" t="b">
        <v>1</v>
      </c>
    </row>
    <row r="154" spans="1:12" x14ac:dyDescent="0.25">
      <c r="A154" s="16">
        <v>1900248</v>
      </c>
      <c r="B154" s="16" t="s">
        <v>106</v>
      </c>
      <c r="C154" s="16">
        <f t="shared" si="1"/>
        <v>104</v>
      </c>
      <c r="D154" s="16" t="str">
        <f>VLOOKUP(C154,[1]道具配置表!$A:$D,4,FALSE)</f>
        <v>1黄金</v>
      </c>
      <c r="E154" s="16">
        <v>12000</v>
      </c>
      <c r="J154" s="16">
        <v>1</v>
      </c>
      <c r="L154" s="16" t="b">
        <v>1</v>
      </c>
    </row>
    <row r="155" spans="1:12" x14ac:dyDescent="0.25">
      <c r="A155" s="16">
        <v>1900249</v>
      </c>
      <c r="B155" s="16" t="s">
        <v>107</v>
      </c>
      <c r="C155" s="16">
        <f t="shared" si="1"/>
        <v>101</v>
      </c>
      <c r="D155" s="16" t="str">
        <f>VLOOKUP(C155,[1]道具配置表!$A:$D,4,FALSE)</f>
        <v>1木材</v>
      </c>
      <c r="E155" s="16">
        <v>13000</v>
      </c>
      <c r="J155" s="16">
        <v>1</v>
      </c>
      <c r="L155" s="16" t="b">
        <v>1</v>
      </c>
    </row>
    <row r="156" spans="1:12" x14ac:dyDescent="0.25">
      <c r="A156" s="16">
        <v>1900250</v>
      </c>
      <c r="B156" s="16" t="s">
        <v>108</v>
      </c>
      <c r="C156" s="16">
        <f t="shared" si="1"/>
        <v>102</v>
      </c>
      <c r="D156" s="16" t="str">
        <f>VLOOKUP(C156,[1]道具配置表!$A:$D,4,FALSE)</f>
        <v>1食物</v>
      </c>
      <c r="E156" s="16">
        <v>13000</v>
      </c>
      <c r="J156" s="16">
        <v>1</v>
      </c>
      <c r="L156" s="16" t="b">
        <v>1</v>
      </c>
    </row>
    <row r="157" spans="1:12" x14ac:dyDescent="0.25">
      <c r="A157" s="16">
        <v>1900251</v>
      </c>
      <c r="B157" s="16" t="s">
        <v>109</v>
      </c>
      <c r="C157" s="16">
        <f t="shared" si="1"/>
        <v>103</v>
      </c>
      <c r="D157" s="16" t="str">
        <f>VLOOKUP(C157,[1]道具配置表!$A:$D,4,FALSE)</f>
        <v>1石头</v>
      </c>
      <c r="E157" s="16">
        <v>13000</v>
      </c>
      <c r="J157" s="16">
        <v>1</v>
      </c>
      <c r="L157" s="16" t="b">
        <v>1</v>
      </c>
    </row>
    <row r="158" spans="1:12" x14ac:dyDescent="0.25">
      <c r="A158" s="16">
        <v>1900252</v>
      </c>
      <c r="B158" s="16" t="s">
        <v>110</v>
      </c>
      <c r="C158" s="16">
        <f t="shared" si="1"/>
        <v>104</v>
      </c>
      <c r="D158" s="16" t="str">
        <f>VLOOKUP(C158,[1]道具配置表!$A:$D,4,FALSE)</f>
        <v>1黄金</v>
      </c>
      <c r="E158" s="16">
        <v>13000</v>
      </c>
      <c r="J158" s="16">
        <v>1</v>
      </c>
      <c r="L158" s="16" t="b">
        <v>1</v>
      </c>
    </row>
    <row r="159" spans="1:12" x14ac:dyDescent="0.25">
      <c r="A159" s="16">
        <v>1900253</v>
      </c>
      <c r="B159" s="16" t="s">
        <v>111</v>
      </c>
      <c r="C159" s="16">
        <f t="shared" si="1"/>
        <v>101</v>
      </c>
      <c r="D159" s="16" t="str">
        <f>VLOOKUP(C159,[1]道具配置表!$A:$D,4,FALSE)</f>
        <v>1木材</v>
      </c>
      <c r="E159" s="16">
        <v>14000</v>
      </c>
      <c r="J159" s="16">
        <v>1</v>
      </c>
      <c r="L159" s="16" t="b">
        <v>1</v>
      </c>
    </row>
    <row r="160" spans="1:12" x14ac:dyDescent="0.25">
      <c r="A160" s="16">
        <v>1900254</v>
      </c>
      <c r="B160" s="16" t="s">
        <v>112</v>
      </c>
      <c r="C160" s="16">
        <f t="shared" si="1"/>
        <v>102</v>
      </c>
      <c r="D160" s="16" t="str">
        <f>VLOOKUP(C160,[1]道具配置表!$A:$D,4,FALSE)</f>
        <v>1食物</v>
      </c>
      <c r="E160" s="16">
        <v>14000</v>
      </c>
      <c r="J160" s="16">
        <v>1</v>
      </c>
      <c r="L160" s="16" t="b">
        <v>1</v>
      </c>
    </row>
    <row r="161" spans="1:12" x14ac:dyDescent="0.25">
      <c r="A161" s="16">
        <v>1900255</v>
      </c>
      <c r="B161" s="16" t="s">
        <v>113</v>
      </c>
      <c r="C161" s="16">
        <f t="shared" si="1"/>
        <v>103</v>
      </c>
      <c r="D161" s="16" t="str">
        <f>VLOOKUP(C161,[1]道具配置表!$A:$D,4,FALSE)</f>
        <v>1石头</v>
      </c>
      <c r="E161" s="16">
        <v>14000</v>
      </c>
      <c r="J161" s="16">
        <v>1</v>
      </c>
      <c r="L161" s="16" t="b">
        <v>1</v>
      </c>
    </row>
    <row r="162" spans="1:12" x14ac:dyDescent="0.25">
      <c r="A162" s="16">
        <v>1900256</v>
      </c>
      <c r="B162" s="16" t="s">
        <v>114</v>
      </c>
      <c r="C162" s="16">
        <f t="shared" si="1"/>
        <v>104</v>
      </c>
      <c r="D162" s="16" t="str">
        <f>VLOOKUP(C162,[1]道具配置表!$A:$D,4,FALSE)</f>
        <v>1黄金</v>
      </c>
      <c r="E162" s="16">
        <v>14000</v>
      </c>
      <c r="J162" s="16">
        <v>1</v>
      </c>
      <c r="L162" s="16" t="b">
        <v>1</v>
      </c>
    </row>
    <row r="163" spans="1:12" x14ac:dyDescent="0.25">
      <c r="A163" s="16">
        <v>1900257</v>
      </c>
      <c r="B163" s="16" t="s">
        <v>115</v>
      </c>
      <c r="C163" s="16">
        <f t="shared" si="1"/>
        <v>101</v>
      </c>
      <c r="D163" s="16" t="str">
        <f>VLOOKUP(C163,[1]道具配置表!$A:$D,4,FALSE)</f>
        <v>1木材</v>
      </c>
      <c r="E163" s="16">
        <v>15000</v>
      </c>
      <c r="J163" s="16">
        <v>1</v>
      </c>
      <c r="L163" s="16" t="b">
        <v>1</v>
      </c>
    </row>
    <row r="164" spans="1:12" x14ac:dyDescent="0.25">
      <c r="A164" s="16">
        <v>1900258</v>
      </c>
      <c r="B164" s="16" t="s">
        <v>116</v>
      </c>
      <c r="C164" s="16">
        <f t="shared" si="1"/>
        <v>102</v>
      </c>
      <c r="D164" s="16" t="str">
        <f>VLOOKUP(C164,[1]道具配置表!$A:$D,4,FALSE)</f>
        <v>1食物</v>
      </c>
      <c r="E164" s="16">
        <v>15000</v>
      </c>
      <c r="J164" s="16">
        <v>1</v>
      </c>
      <c r="L164" s="16" t="b">
        <v>1</v>
      </c>
    </row>
    <row r="165" spans="1:12" x14ac:dyDescent="0.25">
      <c r="A165" s="16">
        <v>1900259</v>
      </c>
      <c r="B165" s="16" t="s">
        <v>117</v>
      </c>
      <c r="C165" s="16">
        <f t="shared" si="1"/>
        <v>103</v>
      </c>
      <c r="D165" s="16" t="str">
        <f>VLOOKUP(C165,[1]道具配置表!$A:$D,4,FALSE)</f>
        <v>1石头</v>
      </c>
      <c r="E165" s="16">
        <v>15000</v>
      </c>
      <c r="J165" s="16">
        <v>1</v>
      </c>
      <c r="L165" s="16" t="b">
        <v>1</v>
      </c>
    </row>
    <row r="166" spans="1:12" x14ac:dyDescent="0.25">
      <c r="A166" s="16">
        <v>1900260</v>
      </c>
      <c r="B166" s="16" t="s">
        <v>118</v>
      </c>
      <c r="C166" s="16">
        <f t="shared" si="1"/>
        <v>104</v>
      </c>
      <c r="D166" s="16" t="str">
        <f>VLOOKUP(C166,[1]道具配置表!$A:$D,4,FALSE)</f>
        <v>1黄金</v>
      </c>
      <c r="E166" s="16">
        <v>15000</v>
      </c>
      <c r="J166" s="16">
        <v>1</v>
      </c>
      <c r="L166" s="16" t="b">
        <v>1</v>
      </c>
    </row>
    <row r="167" spans="1:12" x14ac:dyDescent="0.25">
      <c r="A167" s="16">
        <v>1900261</v>
      </c>
      <c r="B167" s="16" t="s">
        <v>119</v>
      </c>
      <c r="C167" s="16">
        <f t="shared" si="1"/>
        <v>101</v>
      </c>
      <c r="D167" s="16" t="str">
        <f>VLOOKUP(C167,[1]道具配置表!$A:$D,4,FALSE)</f>
        <v>1木材</v>
      </c>
      <c r="E167" s="16">
        <v>16000</v>
      </c>
      <c r="J167" s="16">
        <v>1</v>
      </c>
      <c r="L167" s="16" t="b">
        <v>1</v>
      </c>
    </row>
    <row r="168" spans="1:12" x14ac:dyDescent="0.25">
      <c r="A168" s="16">
        <v>1900262</v>
      </c>
      <c r="B168" s="16" t="s">
        <v>120</v>
      </c>
      <c r="C168" s="16">
        <f t="shared" si="1"/>
        <v>102</v>
      </c>
      <c r="D168" s="16" t="str">
        <f>VLOOKUP(C168,[1]道具配置表!$A:$D,4,FALSE)</f>
        <v>1食物</v>
      </c>
      <c r="E168" s="16">
        <v>16000</v>
      </c>
      <c r="J168" s="16">
        <v>1</v>
      </c>
      <c r="L168" s="16" t="b">
        <v>1</v>
      </c>
    </row>
    <row r="169" spans="1:12" x14ac:dyDescent="0.25">
      <c r="A169" s="16">
        <v>1900263</v>
      </c>
      <c r="B169" s="16" t="s">
        <v>121</v>
      </c>
      <c r="C169" s="16">
        <f t="shared" si="1"/>
        <v>103</v>
      </c>
      <c r="D169" s="16" t="str">
        <f>VLOOKUP(C169,[1]道具配置表!$A:$D,4,FALSE)</f>
        <v>1石头</v>
      </c>
      <c r="E169" s="16">
        <v>16000</v>
      </c>
      <c r="J169" s="16">
        <v>1</v>
      </c>
      <c r="L169" s="16" t="b">
        <v>1</v>
      </c>
    </row>
    <row r="170" spans="1:12" x14ac:dyDescent="0.25">
      <c r="A170" s="16">
        <v>1900264</v>
      </c>
      <c r="B170" s="16" t="s">
        <v>122</v>
      </c>
      <c r="C170" s="16">
        <f t="shared" si="1"/>
        <v>104</v>
      </c>
      <c r="D170" s="16" t="str">
        <f>VLOOKUP(C170,[1]道具配置表!$A:$D,4,FALSE)</f>
        <v>1黄金</v>
      </c>
      <c r="E170" s="16">
        <v>16000</v>
      </c>
      <c r="J170" s="16">
        <v>1</v>
      </c>
      <c r="L170" s="16" t="b">
        <v>1</v>
      </c>
    </row>
    <row r="171" spans="1:12" x14ac:dyDescent="0.25">
      <c r="A171" s="16">
        <v>1900265</v>
      </c>
      <c r="B171" s="16" t="s">
        <v>123</v>
      </c>
      <c r="C171" s="16">
        <f t="shared" si="1"/>
        <v>101</v>
      </c>
      <c r="D171" s="16" t="str">
        <f>VLOOKUP(C171,[1]道具配置表!$A:$D,4,FALSE)</f>
        <v>1木材</v>
      </c>
      <c r="E171" s="16">
        <v>17000</v>
      </c>
      <c r="J171" s="16">
        <v>1</v>
      </c>
      <c r="L171" s="16" t="b">
        <v>1</v>
      </c>
    </row>
    <row r="172" spans="1:12" x14ac:dyDescent="0.25">
      <c r="A172" s="16">
        <v>1900266</v>
      </c>
      <c r="B172" s="16" t="s">
        <v>124</v>
      </c>
      <c r="C172" s="16">
        <f t="shared" si="1"/>
        <v>102</v>
      </c>
      <c r="D172" s="16" t="str">
        <f>VLOOKUP(C172,[1]道具配置表!$A:$D,4,FALSE)</f>
        <v>1食物</v>
      </c>
      <c r="E172" s="16">
        <v>17000</v>
      </c>
      <c r="J172" s="16">
        <v>1</v>
      </c>
      <c r="L172" s="16" t="b">
        <v>1</v>
      </c>
    </row>
    <row r="173" spans="1:12" x14ac:dyDescent="0.25">
      <c r="A173" s="16">
        <v>1900267</v>
      </c>
      <c r="B173" s="16" t="s">
        <v>125</v>
      </c>
      <c r="C173" s="16">
        <f t="shared" si="1"/>
        <v>103</v>
      </c>
      <c r="D173" s="16" t="str">
        <f>VLOOKUP(C173,[1]道具配置表!$A:$D,4,FALSE)</f>
        <v>1石头</v>
      </c>
      <c r="E173" s="16">
        <v>17000</v>
      </c>
      <c r="J173" s="16">
        <v>1</v>
      </c>
      <c r="L173" s="16" t="b">
        <v>1</v>
      </c>
    </row>
    <row r="174" spans="1:12" x14ac:dyDescent="0.25">
      <c r="A174" s="16">
        <v>1900268</v>
      </c>
      <c r="B174" s="16" t="s">
        <v>126</v>
      </c>
      <c r="C174" s="16">
        <f t="shared" si="1"/>
        <v>104</v>
      </c>
      <c r="D174" s="16" t="str">
        <f>VLOOKUP(C174,[1]道具配置表!$A:$D,4,FALSE)</f>
        <v>1黄金</v>
      </c>
      <c r="E174" s="16">
        <v>17000</v>
      </c>
      <c r="J174" s="16">
        <v>1</v>
      </c>
      <c r="L174" s="16" t="b">
        <v>1</v>
      </c>
    </row>
    <row r="175" spans="1:12" x14ac:dyDescent="0.25">
      <c r="A175" s="16">
        <v>1900269</v>
      </c>
      <c r="B175" s="16" t="s">
        <v>127</v>
      </c>
      <c r="C175" s="16">
        <f t="shared" ref="C175:C206" si="2">C171</f>
        <v>101</v>
      </c>
      <c r="D175" s="16" t="str">
        <f>VLOOKUP(C175,[1]道具配置表!$A:$D,4,FALSE)</f>
        <v>1木材</v>
      </c>
      <c r="E175" s="16">
        <v>18000</v>
      </c>
      <c r="J175" s="16">
        <v>1</v>
      </c>
      <c r="L175" s="16" t="b">
        <v>1</v>
      </c>
    </row>
    <row r="176" spans="1:12" x14ac:dyDescent="0.25">
      <c r="A176" s="16">
        <v>1900270</v>
      </c>
      <c r="B176" s="16" t="s">
        <v>128</v>
      </c>
      <c r="C176" s="16">
        <f t="shared" si="2"/>
        <v>102</v>
      </c>
      <c r="D176" s="16" t="str">
        <f>VLOOKUP(C176,[1]道具配置表!$A:$D,4,FALSE)</f>
        <v>1食物</v>
      </c>
      <c r="E176" s="16">
        <v>18000</v>
      </c>
      <c r="J176" s="16">
        <v>1</v>
      </c>
      <c r="L176" s="16" t="b">
        <v>1</v>
      </c>
    </row>
    <row r="177" spans="1:12" x14ac:dyDescent="0.25">
      <c r="A177" s="16">
        <v>1900271</v>
      </c>
      <c r="B177" s="16" t="s">
        <v>129</v>
      </c>
      <c r="C177" s="16">
        <f t="shared" si="2"/>
        <v>103</v>
      </c>
      <c r="D177" s="16" t="str">
        <f>VLOOKUP(C177,[1]道具配置表!$A:$D,4,FALSE)</f>
        <v>1石头</v>
      </c>
      <c r="E177" s="16">
        <v>18000</v>
      </c>
      <c r="J177" s="16">
        <v>1</v>
      </c>
      <c r="L177" s="16" t="b">
        <v>1</v>
      </c>
    </row>
    <row r="178" spans="1:12" x14ac:dyDescent="0.25">
      <c r="A178" s="16">
        <v>1900272</v>
      </c>
      <c r="B178" s="16" t="s">
        <v>130</v>
      </c>
      <c r="C178" s="16">
        <f t="shared" si="2"/>
        <v>104</v>
      </c>
      <c r="D178" s="16" t="str">
        <f>VLOOKUP(C178,[1]道具配置表!$A:$D,4,FALSE)</f>
        <v>1黄金</v>
      </c>
      <c r="E178" s="16">
        <v>18000</v>
      </c>
      <c r="J178" s="16">
        <v>1</v>
      </c>
      <c r="L178" s="16" t="b">
        <v>1</v>
      </c>
    </row>
    <row r="179" spans="1:12" x14ac:dyDescent="0.25">
      <c r="A179" s="16">
        <v>1900273</v>
      </c>
      <c r="B179" s="16" t="s">
        <v>131</v>
      </c>
      <c r="C179" s="16">
        <f t="shared" si="2"/>
        <v>101</v>
      </c>
      <c r="D179" s="16" t="str">
        <f>VLOOKUP(C179,[1]道具配置表!$A:$D,4,FALSE)</f>
        <v>1木材</v>
      </c>
      <c r="E179" s="16">
        <v>19000</v>
      </c>
      <c r="J179" s="16">
        <v>1</v>
      </c>
      <c r="L179" s="16" t="b">
        <v>1</v>
      </c>
    </row>
    <row r="180" spans="1:12" x14ac:dyDescent="0.25">
      <c r="A180" s="16">
        <v>1900274</v>
      </c>
      <c r="B180" s="16" t="s">
        <v>132</v>
      </c>
      <c r="C180" s="16">
        <f t="shared" si="2"/>
        <v>102</v>
      </c>
      <c r="D180" s="16" t="str">
        <f>VLOOKUP(C180,[1]道具配置表!$A:$D,4,FALSE)</f>
        <v>1食物</v>
      </c>
      <c r="E180" s="16">
        <v>19000</v>
      </c>
      <c r="J180" s="16">
        <v>1</v>
      </c>
      <c r="L180" s="16" t="b">
        <v>1</v>
      </c>
    </row>
    <row r="181" spans="1:12" x14ac:dyDescent="0.25">
      <c r="A181" s="16">
        <v>1900275</v>
      </c>
      <c r="B181" s="16" t="s">
        <v>133</v>
      </c>
      <c r="C181" s="16">
        <f t="shared" si="2"/>
        <v>103</v>
      </c>
      <c r="D181" s="16" t="str">
        <f>VLOOKUP(C181,[1]道具配置表!$A:$D,4,FALSE)</f>
        <v>1石头</v>
      </c>
      <c r="E181" s="16">
        <v>19000</v>
      </c>
      <c r="J181" s="16">
        <v>1</v>
      </c>
      <c r="L181" s="16" t="b">
        <v>1</v>
      </c>
    </row>
    <row r="182" spans="1:12" x14ac:dyDescent="0.25">
      <c r="A182" s="16">
        <v>1900276</v>
      </c>
      <c r="B182" s="16" t="s">
        <v>134</v>
      </c>
      <c r="C182" s="16">
        <f t="shared" si="2"/>
        <v>104</v>
      </c>
      <c r="D182" s="16" t="str">
        <f>VLOOKUP(C182,[1]道具配置表!$A:$D,4,FALSE)</f>
        <v>1黄金</v>
      </c>
      <c r="E182" s="16">
        <v>19000</v>
      </c>
      <c r="J182" s="16">
        <v>1</v>
      </c>
      <c r="L182" s="16" t="b">
        <v>1</v>
      </c>
    </row>
    <row r="183" spans="1:12" x14ac:dyDescent="0.25">
      <c r="A183" s="16">
        <v>1900277</v>
      </c>
      <c r="B183" s="16" t="s">
        <v>135</v>
      </c>
      <c r="C183" s="16">
        <f t="shared" si="2"/>
        <v>101</v>
      </c>
      <c r="D183" s="16" t="str">
        <f>VLOOKUP(C183,[1]道具配置表!$A:$D,4,FALSE)</f>
        <v>1木材</v>
      </c>
      <c r="E183" s="16">
        <v>20000</v>
      </c>
      <c r="J183" s="16">
        <v>1</v>
      </c>
      <c r="L183" s="16" t="b">
        <v>1</v>
      </c>
    </row>
    <row r="184" spans="1:12" x14ac:dyDescent="0.25">
      <c r="A184" s="16">
        <v>1900278</v>
      </c>
      <c r="B184" s="16" t="s">
        <v>136</v>
      </c>
      <c r="C184" s="16">
        <f t="shared" si="2"/>
        <v>102</v>
      </c>
      <c r="D184" s="16" t="str">
        <f>VLOOKUP(C184,[1]道具配置表!$A:$D,4,FALSE)</f>
        <v>1食物</v>
      </c>
      <c r="E184" s="16">
        <v>20000</v>
      </c>
      <c r="J184" s="16">
        <v>1</v>
      </c>
      <c r="L184" s="16" t="b">
        <v>1</v>
      </c>
    </row>
    <row r="185" spans="1:12" x14ac:dyDescent="0.25">
      <c r="A185" s="16">
        <v>1900279</v>
      </c>
      <c r="B185" s="16" t="s">
        <v>137</v>
      </c>
      <c r="C185" s="16">
        <f t="shared" si="2"/>
        <v>103</v>
      </c>
      <c r="D185" s="16" t="str">
        <f>VLOOKUP(C185,[1]道具配置表!$A:$D,4,FALSE)</f>
        <v>1石头</v>
      </c>
      <c r="E185" s="16">
        <v>20000</v>
      </c>
      <c r="J185" s="16">
        <v>1</v>
      </c>
      <c r="L185" s="16" t="b">
        <v>1</v>
      </c>
    </row>
    <row r="186" spans="1:12" x14ac:dyDescent="0.25">
      <c r="A186" s="16">
        <v>1900280</v>
      </c>
      <c r="B186" s="16" t="s">
        <v>138</v>
      </c>
      <c r="C186" s="16">
        <f t="shared" si="2"/>
        <v>104</v>
      </c>
      <c r="D186" s="16" t="str">
        <f>VLOOKUP(C186,[1]道具配置表!$A:$D,4,FALSE)</f>
        <v>1黄金</v>
      </c>
      <c r="E186" s="16">
        <v>20000</v>
      </c>
      <c r="J186" s="16">
        <v>1</v>
      </c>
      <c r="L186" s="16" t="b">
        <v>1</v>
      </c>
    </row>
    <row r="187" spans="1:12" x14ac:dyDescent="0.25">
      <c r="A187" s="16">
        <v>1900281</v>
      </c>
      <c r="B187" s="16" t="s">
        <v>139</v>
      </c>
      <c r="C187" s="16">
        <f t="shared" si="2"/>
        <v>101</v>
      </c>
      <c r="D187" s="16" t="str">
        <f>VLOOKUP(C187,[1]道具配置表!$A:$D,4,FALSE)</f>
        <v>1木材</v>
      </c>
      <c r="E187" s="16">
        <v>21000</v>
      </c>
      <c r="J187" s="16">
        <v>1</v>
      </c>
      <c r="L187" s="16" t="b">
        <v>1</v>
      </c>
    </row>
    <row r="188" spans="1:12" x14ac:dyDescent="0.25">
      <c r="A188" s="16">
        <v>1900282</v>
      </c>
      <c r="B188" s="16" t="s">
        <v>140</v>
      </c>
      <c r="C188" s="16">
        <f t="shared" si="2"/>
        <v>102</v>
      </c>
      <c r="D188" s="16" t="str">
        <f>VLOOKUP(C188,[1]道具配置表!$A:$D,4,FALSE)</f>
        <v>1食物</v>
      </c>
      <c r="E188" s="16">
        <v>21000</v>
      </c>
      <c r="J188" s="16">
        <v>1</v>
      </c>
      <c r="L188" s="16" t="b">
        <v>1</v>
      </c>
    </row>
    <row r="189" spans="1:12" x14ac:dyDescent="0.25">
      <c r="A189" s="16">
        <v>1900283</v>
      </c>
      <c r="B189" s="16" t="s">
        <v>141</v>
      </c>
      <c r="C189" s="16">
        <f t="shared" si="2"/>
        <v>103</v>
      </c>
      <c r="D189" s="16" t="str">
        <f>VLOOKUP(C189,[1]道具配置表!$A:$D,4,FALSE)</f>
        <v>1石头</v>
      </c>
      <c r="E189" s="16">
        <v>21000</v>
      </c>
      <c r="J189" s="16">
        <v>1</v>
      </c>
      <c r="L189" s="16" t="b">
        <v>1</v>
      </c>
    </row>
    <row r="190" spans="1:12" x14ac:dyDescent="0.25">
      <c r="A190" s="16">
        <v>1900284</v>
      </c>
      <c r="B190" s="16" t="s">
        <v>142</v>
      </c>
      <c r="C190" s="16">
        <f t="shared" si="2"/>
        <v>104</v>
      </c>
      <c r="D190" s="16" t="str">
        <f>VLOOKUP(C190,[1]道具配置表!$A:$D,4,FALSE)</f>
        <v>1黄金</v>
      </c>
      <c r="E190" s="16">
        <v>21000</v>
      </c>
      <c r="J190" s="16">
        <v>1</v>
      </c>
      <c r="L190" s="16" t="b">
        <v>1</v>
      </c>
    </row>
    <row r="191" spans="1:12" x14ac:dyDescent="0.25">
      <c r="A191" s="16">
        <v>1900285</v>
      </c>
      <c r="B191" s="16" t="s">
        <v>143</v>
      </c>
      <c r="C191" s="16">
        <f t="shared" si="2"/>
        <v>101</v>
      </c>
      <c r="D191" s="16" t="str">
        <f>VLOOKUP(C191,[1]道具配置表!$A:$D,4,FALSE)</f>
        <v>1木材</v>
      </c>
      <c r="E191" s="16">
        <v>22000</v>
      </c>
      <c r="J191" s="16">
        <v>1</v>
      </c>
      <c r="L191" s="16" t="b">
        <v>1</v>
      </c>
    </row>
    <row r="192" spans="1:12" x14ac:dyDescent="0.25">
      <c r="A192" s="16">
        <v>1900286</v>
      </c>
      <c r="B192" s="16" t="s">
        <v>144</v>
      </c>
      <c r="C192" s="16">
        <f t="shared" si="2"/>
        <v>102</v>
      </c>
      <c r="D192" s="16" t="str">
        <f>VLOOKUP(C192,[1]道具配置表!$A:$D,4,FALSE)</f>
        <v>1食物</v>
      </c>
      <c r="E192" s="16">
        <v>22000</v>
      </c>
      <c r="J192" s="16">
        <v>1</v>
      </c>
      <c r="L192" s="16" t="b">
        <v>1</v>
      </c>
    </row>
    <row r="193" spans="1:12" x14ac:dyDescent="0.25">
      <c r="A193" s="16">
        <v>1900287</v>
      </c>
      <c r="B193" s="16" t="s">
        <v>145</v>
      </c>
      <c r="C193" s="16">
        <f t="shared" si="2"/>
        <v>103</v>
      </c>
      <c r="D193" s="16" t="str">
        <f>VLOOKUP(C193,[1]道具配置表!$A:$D,4,FALSE)</f>
        <v>1石头</v>
      </c>
      <c r="E193" s="16">
        <v>22000</v>
      </c>
      <c r="J193" s="16">
        <v>1</v>
      </c>
      <c r="L193" s="16" t="b">
        <v>1</v>
      </c>
    </row>
    <row r="194" spans="1:12" x14ac:dyDescent="0.25">
      <c r="A194" s="16">
        <v>1900288</v>
      </c>
      <c r="B194" s="16" t="s">
        <v>146</v>
      </c>
      <c r="C194" s="16">
        <f t="shared" si="2"/>
        <v>104</v>
      </c>
      <c r="D194" s="16" t="str">
        <f>VLOOKUP(C194,[1]道具配置表!$A:$D,4,FALSE)</f>
        <v>1黄金</v>
      </c>
      <c r="E194" s="16">
        <v>22000</v>
      </c>
      <c r="J194" s="16">
        <v>1</v>
      </c>
      <c r="L194" s="16" t="b">
        <v>1</v>
      </c>
    </row>
    <row r="195" spans="1:12" x14ac:dyDescent="0.25">
      <c r="A195" s="16">
        <v>1900289</v>
      </c>
      <c r="B195" s="16" t="s">
        <v>147</v>
      </c>
      <c r="C195" s="16">
        <f t="shared" si="2"/>
        <v>101</v>
      </c>
      <c r="D195" s="16" t="str">
        <f>VLOOKUP(C195,[1]道具配置表!$A:$D,4,FALSE)</f>
        <v>1木材</v>
      </c>
      <c r="E195" s="16">
        <v>23000</v>
      </c>
      <c r="J195" s="16">
        <v>1</v>
      </c>
      <c r="L195" s="16" t="b">
        <v>1</v>
      </c>
    </row>
    <row r="196" spans="1:12" x14ac:dyDescent="0.25">
      <c r="A196" s="16">
        <v>1900290</v>
      </c>
      <c r="B196" s="16" t="s">
        <v>148</v>
      </c>
      <c r="C196" s="16">
        <f t="shared" si="2"/>
        <v>102</v>
      </c>
      <c r="D196" s="16" t="str">
        <f>VLOOKUP(C196,[1]道具配置表!$A:$D,4,FALSE)</f>
        <v>1食物</v>
      </c>
      <c r="E196" s="16">
        <v>23000</v>
      </c>
      <c r="J196" s="16">
        <v>1</v>
      </c>
      <c r="L196" s="16" t="b">
        <v>1</v>
      </c>
    </row>
    <row r="197" spans="1:12" x14ac:dyDescent="0.25">
      <c r="A197" s="16">
        <v>1900291</v>
      </c>
      <c r="B197" s="16" t="s">
        <v>149</v>
      </c>
      <c r="C197" s="16">
        <f t="shared" si="2"/>
        <v>103</v>
      </c>
      <c r="D197" s="16" t="str">
        <f>VLOOKUP(C197,[1]道具配置表!$A:$D,4,FALSE)</f>
        <v>1石头</v>
      </c>
      <c r="E197" s="16">
        <v>23000</v>
      </c>
      <c r="J197" s="16">
        <v>1</v>
      </c>
      <c r="L197" s="16" t="b">
        <v>1</v>
      </c>
    </row>
    <row r="198" spans="1:12" x14ac:dyDescent="0.25">
      <c r="A198" s="16">
        <v>1900292</v>
      </c>
      <c r="B198" s="16" t="s">
        <v>150</v>
      </c>
      <c r="C198" s="16">
        <f t="shared" si="2"/>
        <v>104</v>
      </c>
      <c r="D198" s="16" t="str">
        <f>VLOOKUP(C198,[1]道具配置表!$A:$D,4,FALSE)</f>
        <v>1黄金</v>
      </c>
      <c r="E198" s="16">
        <v>23000</v>
      </c>
      <c r="J198" s="16">
        <v>1</v>
      </c>
      <c r="L198" s="16" t="b">
        <v>1</v>
      </c>
    </row>
    <row r="199" spans="1:12" x14ac:dyDescent="0.25">
      <c r="A199" s="16">
        <v>1900293</v>
      </c>
      <c r="B199" s="16" t="s">
        <v>151</v>
      </c>
      <c r="C199" s="16">
        <f t="shared" si="2"/>
        <v>101</v>
      </c>
      <c r="D199" s="16" t="str">
        <f>VLOOKUP(C199,[1]道具配置表!$A:$D,4,FALSE)</f>
        <v>1木材</v>
      </c>
      <c r="E199" s="16">
        <v>24000</v>
      </c>
      <c r="J199" s="16">
        <v>1</v>
      </c>
      <c r="L199" s="16" t="b">
        <v>1</v>
      </c>
    </row>
    <row r="200" spans="1:12" x14ac:dyDescent="0.25">
      <c r="A200" s="16">
        <v>1900294</v>
      </c>
      <c r="B200" s="16" t="s">
        <v>152</v>
      </c>
      <c r="C200" s="16">
        <f t="shared" si="2"/>
        <v>102</v>
      </c>
      <c r="D200" s="16" t="str">
        <f>VLOOKUP(C200,[1]道具配置表!$A:$D,4,FALSE)</f>
        <v>1食物</v>
      </c>
      <c r="E200" s="16">
        <v>24000</v>
      </c>
      <c r="J200" s="16">
        <v>1</v>
      </c>
      <c r="L200" s="16" t="b">
        <v>1</v>
      </c>
    </row>
    <row r="201" spans="1:12" x14ac:dyDescent="0.25">
      <c r="A201" s="16">
        <v>1900295</v>
      </c>
      <c r="B201" s="16" t="s">
        <v>153</v>
      </c>
      <c r="C201" s="16">
        <f t="shared" si="2"/>
        <v>103</v>
      </c>
      <c r="D201" s="16" t="str">
        <f>VLOOKUP(C201,[1]道具配置表!$A:$D,4,FALSE)</f>
        <v>1石头</v>
      </c>
      <c r="E201" s="16">
        <v>24000</v>
      </c>
      <c r="J201" s="16">
        <v>1</v>
      </c>
      <c r="L201" s="16" t="b">
        <v>1</v>
      </c>
    </row>
    <row r="202" spans="1:12" x14ac:dyDescent="0.25">
      <c r="A202" s="16">
        <v>1900296</v>
      </c>
      <c r="B202" s="16" t="s">
        <v>154</v>
      </c>
      <c r="C202" s="16">
        <f t="shared" si="2"/>
        <v>104</v>
      </c>
      <c r="D202" s="16" t="str">
        <f>VLOOKUP(C202,[1]道具配置表!$A:$D,4,FALSE)</f>
        <v>1黄金</v>
      </c>
      <c r="E202" s="16">
        <v>24000</v>
      </c>
      <c r="J202" s="16">
        <v>1</v>
      </c>
      <c r="L202" s="16" t="b">
        <v>1</v>
      </c>
    </row>
    <row r="203" spans="1:12" x14ac:dyDescent="0.25">
      <c r="A203" s="16">
        <v>1900297</v>
      </c>
      <c r="B203" s="16" t="s">
        <v>155</v>
      </c>
      <c r="C203" s="16">
        <f t="shared" si="2"/>
        <v>101</v>
      </c>
      <c r="D203" s="16" t="str">
        <f>VLOOKUP(C203,[1]道具配置表!$A:$D,4,FALSE)</f>
        <v>1木材</v>
      </c>
      <c r="E203" s="16">
        <v>25000</v>
      </c>
      <c r="J203" s="16">
        <v>1</v>
      </c>
      <c r="L203" s="16" t="b">
        <v>1</v>
      </c>
    </row>
    <row r="204" spans="1:12" x14ac:dyDescent="0.25">
      <c r="A204" s="16">
        <v>1900298</v>
      </c>
      <c r="B204" s="16" t="s">
        <v>156</v>
      </c>
      <c r="C204" s="16">
        <f t="shared" si="2"/>
        <v>102</v>
      </c>
      <c r="D204" s="16" t="str">
        <f>VLOOKUP(C204,[1]道具配置表!$A:$D,4,FALSE)</f>
        <v>1食物</v>
      </c>
      <c r="E204" s="16">
        <v>25000</v>
      </c>
      <c r="J204" s="16">
        <v>1</v>
      </c>
      <c r="L204" s="16" t="b">
        <v>1</v>
      </c>
    </row>
    <row r="205" spans="1:12" x14ac:dyDescent="0.25">
      <c r="A205" s="16">
        <v>1900299</v>
      </c>
      <c r="B205" s="16" t="s">
        <v>157</v>
      </c>
      <c r="C205" s="16">
        <f t="shared" si="2"/>
        <v>103</v>
      </c>
      <c r="D205" s="16" t="str">
        <f>VLOOKUP(C205,[1]道具配置表!$A:$D,4,FALSE)</f>
        <v>1石头</v>
      </c>
      <c r="E205" s="16">
        <v>25000</v>
      </c>
      <c r="J205" s="16">
        <v>1</v>
      </c>
      <c r="L205" s="16" t="b">
        <v>1</v>
      </c>
    </row>
    <row r="206" spans="1:12" x14ac:dyDescent="0.25">
      <c r="A206" s="16">
        <v>1900300</v>
      </c>
      <c r="B206" s="16" t="s">
        <v>158</v>
      </c>
      <c r="C206" s="16">
        <f t="shared" si="2"/>
        <v>104</v>
      </c>
      <c r="D206" s="16" t="str">
        <f>VLOOKUP(C206,[1]道具配置表!$A:$D,4,FALSE)</f>
        <v>1黄金</v>
      </c>
      <c r="E206" s="16">
        <v>25000</v>
      </c>
      <c r="J206" s="16">
        <v>1</v>
      </c>
      <c r="L206" s="16" t="b">
        <v>1</v>
      </c>
    </row>
    <row r="207" spans="1:12" x14ac:dyDescent="0.25">
      <c r="A207" s="16">
        <v>1900301</v>
      </c>
      <c r="B207" s="16" t="s">
        <v>159</v>
      </c>
      <c r="C207" s="16">
        <f t="shared" ref="C207:C226" si="3">C203</f>
        <v>101</v>
      </c>
      <c r="D207" s="16" t="str">
        <f>VLOOKUP(C207,[1]道具配置表!$A:$D,4,FALSE)</f>
        <v>1木材</v>
      </c>
      <c r="E207" s="16">
        <v>26000</v>
      </c>
      <c r="J207" s="16">
        <v>1</v>
      </c>
      <c r="L207" s="16" t="b">
        <v>1</v>
      </c>
    </row>
    <row r="208" spans="1:12" x14ac:dyDescent="0.25">
      <c r="A208" s="16">
        <v>1900302</v>
      </c>
      <c r="B208" s="16" t="s">
        <v>160</v>
      </c>
      <c r="C208" s="16">
        <f t="shared" si="3"/>
        <v>102</v>
      </c>
      <c r="D208" s="16" t="str">
        <f>VLOOKUP(C208,[1]道具配置表!$A:$D,4,FALSE)</f>
        <v>1食物</v>
      </c>
      <c r="E208" s="16">
        <v>26000</v>
      </c>
      <c r="J208" s="16">
        <v>1</v>
      </c>
      <c r="L208" s="16" t="b">
        <v>1</v>
      </c>
    </row>
    <row r="209" spans="1:12" x14ac:dyDescent="0.25">
      <c r="A209" s="16">
        <v>1900303</v>
      </c>
      <c r="B209" s="16" t="s">
        <v>161</v>
      </c>
      <c r="C209" s="16">
        <f t="shared" si="3"/>
        <v>103</v>
      </c>
      <c r="D209" s="16" t="str">
        <f>VLOOKUP(C209,[1]道具配置表!$A:$D,4,FALSE)</f>
        <v>1石头</v>
      </c>
      <c r="E209" s="16">
        <v>26000</v>
      </c>
      <c r="J209" s="16">
        <v>1</v>
      </c>
      <c r="L209" s="16" t="b">
        <v>1</v>
      </c>
    </row>
    <row r="210" spans="1:12" x14ac:dyDescent="0.25">
      <c r="A210" s="16">
        <v>1900304</v>
      </c>
      <c r="B210" s="16" t="s">
        <v>162</v>
      </c>
      <c r="C210" s="16">
        <f t="shared" si="3"/>
        <v>104</v>
      </c>
      <c r="D210" s="16" t="str">
        <f>VLOOKUP(C210,[1]道具配置表!$A:$D,4,FALSE)</f>
        <v>1黄金</v>
      </c>
      <c r="E210" s="16">
        <v>26000</v>
      </c>
      <c r="J210" s="16">
        <v>1</v>
      </c>
      <c r="L210" s="16" t="b">
        <v>1</v>
      </c>
    </row>
    <row r="211" spans="1:12" x14ac:dyDescent="0.25">
      <c r="A211" s="16">
        <v>1900305</v>
      </c>
      <c r="B211" s="16" t="s">
        <v>163</v>
      </c>
      <c r="C211" s="16">
        <f t="shared" si="3"/>
        <v>101</v>
      </c>
      <c r="D211" s="16" t="str">
        <f>VLOOKUP(C211,[1]道具配置表!$A:$D,4,FALSE)</f>
        <v>1木材</v>
      </c>
      <c r="E211" s="16">
        <v>27000</v>
      </c>
      <c r="J211" s="16">
        <v>1</v>
      </c>
      <c r="L211" s="16" t="b">
        <v>1</v>
      </c>
    </row>
    <row r="212" spans="1:12" x14ac:dyDescent="0.25">
      <c r="A212" s="16">
        <v>1900306</v>
      </c>
      <c r="B212" s="16" t="s">
        <v>164</v>
      </c>
      <c r="C212" s="16">
        <f t="shared" si="3"/>
        <v>102</v>
      </c>
      <c r="D212" s="16" t="str">
        <f>VLOOKUP(C212,[1]道具配置表!$A:$D,4,FALSE)</f>
        <v>1食物</v>
      </c>
      <c r="E212" s="16">
        <v>27000</v>
      </c>
      <c r="J212" s="16">
        <v>1</v>
      </c>
      <c r="L212" s="16" t="b">
        <v>1</v>
      </c>
    </row>
    <row r="213" spans="1:12" x14ac:dyDescent="0.25">
      <c r="A213" s="16">
        <v>1900307</v>
      </c>
      <c r="B213" s="16" t="s">
        <v>165</v>
      </c>
      <c r="C213" s="16">
        <f t="shared" si="3"/>
        <v>103</v>
      </c>
      <c r="D213" s="16" t="str">
        <f>VLOOKUP(C213,[1]道具配置表!$A:$D,4,FALSE)</f>
        <v>1石头</v>
      </c>
      <c r="E213" s="16">
        <v>27000</v>
      </c>
      <c r="J213" s="16">
        <v>1</v>
      </c>
      <c r="L213" s="16" t="b">
        <v>1</v>
      </c>
    </row>
    <row r="214" spans="1:12" x14ac:dyDescent="0.25">
      <c r="A214" s="16">
        <v>1900308</v>
      </c>
      <c r="B214" s="16" t="s">
        <v>166</v>
      </c>
      <c r="C214" s="16">
        <f t="shared" si="3"/>
        <v>104</v>
      </c>
      <c r="D214" s="16" t="str">
        <f>VLOOKUP(C214,[1]道具配置表!$A:$D,4,FALSE)</f>
        <v>1黄金</v>
      </c>
      <c r="E214" s="16">
        <v>27000</v>
      </c>
      <c r="J214" s="16">
        <v>1</v>
      </c>
      <c r="L214" s="16" t="b">
        <v>1</v>
      </c>
    </row>
    <row r="215" spans="1:12" x14ac:dyDescent="0.25">
      <c r="A215" s="16">
        <v>1900309</v>
      </c>
      <c r="B215" s="16" t="s">
        <v>167</v>
      </c>
      <c r="C215" s="16">
        <f t="shared" si="3"/>
        <v>101</v>
      </c>
      <c r="D215" s="16" t="str">
        <f>VLOOKUP(C215,[1]道具配置表!$A:$D,4,FALSE)</f>
        <v>1木材</v>
      </c>
      <c r="E215" s="16">
        <v>28000</v>
      </c>
      <c r="J215" s="16">
        <v>1</v>
      </c>
      <c r="L215" s="16" t="b">
        <v>1</v>
      </c>
    </row>
    <row r="216" spans="1:12" x14ac:dyDescent="0.25">
      <c r="A216" s="16">
        <v>1900310</v>
      </c>
      <c r="B216" s="16" t="s">
        <v>168</v>
      </c>
      <c r="C216" s="16">
        <f t="shared" si="3"/>
        <v>102</v>
      </c>
      <c r="D216" s="16" t="str">
        <f>VLOOKUP(C216,[1]道具配置表!$A:$D,4,FALSE)</f>
        <v>1食物</v>
      </c>
      <c r="E216" s="16">
        <v>28000</v>
      </c>
      <c r="J216" s="16">
        <v>1</v>
      </c>
      <c r="L216" s="16" t="b">
        <v>1</v>
      </c>
    </row>
    <row r="217" spans="1:12" x14ac:dyDescent="0.25">
      <c r="A217" s="16">
        <v>1900311</v>
      </c>
      <c r="B217" s="16" t="s">
        <v>169</v>
      </c>
      <c r="C217" s="16">
        <f t="shared" si="3"/>
        <v>103</v>
      </c>
      <c r="D217" s="16" t="str">
        <f>VLOOKUP(C217,[1]道具配置表!$A:$D,4,FALSE)</f>
        <v>1石头</v>
      </c>
      <c r="E217" s="16">
        <v>28000</v>
      </c>
      <c r="J217" s="16">
        <v>1</v>
      </c>
      <c r="L217" s="16" t="b">
        <v>1</v>
      </c>
    </row>
    <row r="218" spans="1:12" x14ac:dyDescent="0.25">
      <c r="A218" s="16">
        <v>1900312</v>
      </c>
      <c r="B218" s="16" t="s">
        <v>170</v>
      </c>
      <c r="C218" s="16">
        <f t="shared" si="3"/>
        <v>104</v>
      </c>
      <c r="D218" s="16" t="str">
        <f>VLOOKUP(C218,[1]道具配置表!$A:$D,4,FALSE)</f>
        <v>1黄金</v>
      </c>
      <c r="E218" s="16">
        <v>28000</v>
      </c>
      <c r="J218" s="16">
        <v>1</v>
      </c>
      <c r="L218" s="16" t="b">
        <v>1</v>
      </c>
    </row>
    <row r="219" spans="1:12" x14ac:dyDescent="0.25">
      <c r="A219" s="16">
        <v>1900313</v>
      </c>
      <c r="B219" s="16" t="s">
        <v>171</v>
      </c>
      <c r="C219" s="16">
        <f t="shared" si="3"/>
        <v>101</v>
      </c>
      <c r="D219" s="16" t="str">
        <f>VLOOKUP(C219,[1]道具配置表!$A:$D,4,FALSE)</f>
        <v>1木材</v>
      </c>
      <c r="E219" s="16">
        <v>29000</v>
      </c>
      <c r="J219" s="16">
        <v>1</v>
      </c>
      <c r="L219" s="16" t="b">
        <v>1</v>
      </c>
    </row>
    <row r="220" spans="1:12" x14ac:dyDescent="0.25">
      <c r="A220" s="16">
        <v>1900314</v>
      </c>
      <c r="B220" s="16" t="s">
        <v>172</v>
      </c>
      <c r="C220" s="16">
        <f t="shared" si="3"/>
        <v>102</v>
      </c>
      <c r="D220" s="16" t="str">
        <f>VLOOKUP(C220,[1]道具配置表!$A:$D,4,FALSE)</f>
        <v>1食物</v>
      </c>
      <c r="E220" s="16">
        <v>29000</v>
      </c>
      <c r="J220" s="16">
        <v>1</v>
      </c>
      <c r="L220" s="16" t="b">
        <v>1</v>
      </c>
    </row>
    <row r="221" spans="1:12" x14ac:dyDescent="0.25">
      <c r="A221" s="16">
        <v>1900315</v>
      </c>
      <c r="B221" s="16" t="s">
        <v>173</v>
      </c>
      <c r="C221" s="16">
        <f t="shared" si="3"/>
        <v>103</v>
      </c>
      <c r="D221" s="16" t="str">
        <f>VLOOKUP(C221,[1]道具配置表!$A:$D,4,FALSE)</f>
        <v>1石头</v>
      </c>
      <c r="E221" s="16">
        <v>29000</v>
      </c>
      <c r="J221" s="16">
        <v>1</v>
      </c>
      <c r="L221" s="16" t="b">
        <v>1</v>
      </c>
    </row>
    <row r="222" spans="1:12" x14ac:dyDescent="0.25">
      <c r="A222" s="16">
        <v>1900316</v>
      </c>
      <c r="B222" s="16" t="s">
        <v>174</v>
      </c>
      <c r="C222" s="16">
        <f t="shared" si="3"/>
        <v>104</v>
      </c>
      <c r="D222" s="16" t="str">
        <f>VLOOKUP(C222,[1]道具配置表!$A:$D,4,FALSE)</f>
        <v>1黄金</v>
      </c>
      <c r="E222" s="16">
        <v>29000</v>
      </c>
      <c r="J222" s="16">
        <v>1</v>
      </c>
      <c r="L222" s="16" t="b">
        <v>1</v>
      </c>
    </row>
    <row r="223" spans="1:12" x14ac:dyDescent="0.25">
      <c r="A223" s="16">
        <v>1900317</v>
      </c>
      <c r="B223" s="16" t="s">
        <v>175</v>
      </c>
      <c r="C223" s="16">
        <f t="shared" si="3"/>
        <v>101</v>
      </c>
      <c r="D223" s="16" t="str">
        <f>VLOOKUP(C223,[1]道具配置表!$A:$D,4,FALSE)</f>
        <v>1木材</v>
      </c>
      <c r="E223" s="16">
        <v>30000</v>
      </c>
      <c r="J223" s="16">
        <v>1</v>
      </c>
      <c r="L223" s="16" t="b">
        <v>1</v>
      </c>
    </row>
    <row r="224" spans="1:12" x14ac:dyDescent="0.25">
      <c r="A224" s="16">
        <v>1900318</v>
      </c>
      <c r="B224" s="16" t="s">
        <v>176</v>
      </c>
      <c r="C224" s="16">
        <f t="shared" si="3"/>
        <v>102</v>
      </c>
      <c r="D224" s="16" t="str">
        <f>VLOOKUP(C224,[1]道具配置表!$A:$D,4,FALSE)</f>
        <v>1食物</v>
      </c>
      <c r="E224" s="16">
        <v>30000</v>
      </c>
      <c r="J224" s="16">
        <v>1</v>
      </c>
      <c r="L224" s="16" t="b">
        <v>1</v>
      </c>
    </row>
    <row r="225" spans="1:12" x14ac:dyDescent="0.25">
      <c r="A225" s="16">
        <v>1900319</v>
      </c>
      <c r="B225" s="16" t="s">
        <v>177</v>
      </c>
      <c r="C225" s="16">
        <f t="shared" si="3"/>
        <v>103</v>
      </c>
      <c r="D225" s="16" t="str">
        <f>VLOOKUP(C225,[1]道具配置表!$A:$D,4,FALSE)</f>
        <v>1石头</v>
      </c>
      <c r="E225" s="16">
        <v>30000</v>
      </c>
      <c r="J225" s="16">
        <v>1</v>
      </c>
      <c r="L225" s="16" t="b">
        <v>1</v>
      </c>
    </row>
    <row r="226" spans="1:12" x14ac:dyDescent="0.25">
      <c r="A226" s="16">
        <v>1900320</v>
      </c>
      <c r="B226" s="16" t="s">
        <v>178</v>
      </c>
      <c r="C226" s="16">
        <f t="shared" si="3"/>
        <v>104</v>
      </c>
      <c r="D226" s="16" t="str">
        <f>VLOOKUP(C226,[1]道具配置表!$A:$D,4,FALSE)</f>
        <v>1黄金</v>
      </c>
      <c r="E226" s="16">
        <v>30000</v>
      </c>
      <c r="J226" s="16">
        <v>1</v>
      </c>
      <c r="L226" s="16" t="b">
        <v>1</v>
      </c>
    </row>
    <row r="227" spans="1:12" x14ac:dyDescent="0.25">
      <c r="A227" s="16">
        <v>1900401</v>
      </c>
      <c r="B227" s="16" t="s">
        <v>179</v>
      </c>
      <c r="C227" s="16">
        <v>17300</v>
      </c>
      <c r="D227" s="16" t="str">
        <f>VLOOKUP(C227,[1]道具配置表!$A:$D,4,FALSE)</f>
        <v>名人冒险宝箱（蓝）</v>
      </c>
      <c r="E227" s="16">
        <v>1</v>
      </c>
      <c r="J227" s="16">
        <v>1</v>
      </c>
      <c r="L227" s="16" t="b">
        <v>1</v>
      </c>
    </row>
    <row r="228" spans="1:12" x14ac:dyDescent="0.25">
      <c r="A228" s="16">
        <v>1900402</v>
      </c>
      <c r="B228" s="16" t="s">
        <v>180</v>
      </c>
      <c r="C228" s="16">
        <v>17301</v>
      </c>
      <c r="D228" s="16" t="str">
        <f>VLOOKUP(C228,[1]道具配置表!$A:$D,4,FALSE)</f>
        <v>名人冒险宝箱（紫）</v>
      </c>
      <c r="E228" s="16">
        <v>1</v>
      </c>
      <c r="J228" s="16">
        <v>1</v>
      </c>
      <c r="L228" s="16" t="b">
        <v>1</v>
      </c>
    </row>
    <row r="229" spans="1:12" x14ac:dyDescent="0.25">
      <c r="A229" s="16">
        <v>1900403</v>
      </c>
      <c r="B229" s="16" t="s">
        <v>181</v>
      </c>
      <c r="C229" s="16">
        <v>17302</v>
      </c>
      <c r="D229" s="16" t="str">
        <f>VLOOKUP(C229,[1]道具配置表!$A:$D,4,FALSE)</f>
        <v>名人冒险宝箱（橙）</v>
      </c>
      <c r="E229" s="16">
        <v>1</v>
      </c>
      <c r="J229" s="16">
        <v>1</v>
      </c>
      <c r="L229" s="16" t="b">
        <v>1</v>
      </c>
    </row>
    <row r="230" spans="1:12" x14ac:dyDescent="0.25">
      <c r="A230" s="16">
        <v>1900404</v>
      </c>
      <c r="B230" s="16" t="s">
        <v>182</v>
      </c>
      <c r="C230" s="16">
        <v>14109</v>
      </c>
      <c r="D230" s="16" t="str">
        <f>VLOOKUP(C230,[1]道具配置表!$A:$D,4,FALSE)</f>
        <v>亚基</v>
      </c>
      <c r="E230" s="16">
        <v>1</v>
      </c>
      <c r="J230" s="16">
        <v>1</v>
      </c>
      <c r="L230" s="16" t="b">
        <v>1</v>
      </c>
    </row>
    <row r="231" spans="1:12" x14ac:dyDescent="0.25">
      <c r="A231" s="16">
        <v>1900405</v>
      </c>
      <c r="B231" s="16" t="s">
        <v>183</v>
      </c>
      <c r="C231" s="16">
        <v>14202</v>
      </c>
      <c r="D231" s="16" t="str">
        <f>VLOOKUP(C231,[1]道具配置表!$A:$D,4,FALSE)</f>
        <v>方选</v>
      </c>
      <c r="E231" s="16">
        <v>1</v>
      </c>
      <c r="J231" s="16">
        <v>1</v>
      </c>
      <c r="L231" s="16" t="b">
        <v>1</v>
      </c>
    </row>
    <row r="232" spans="1:12" x14ac:dyDescent="0.25">
      <c r="A232" s="16">
        <v>1900406</v>
      </c>
      <c r="B232" s="16" t="s">
        <v>184</v>
      </c>
      <c r="C232" s="16">
        <v>14302</v>
      </c>
      <c r="D232" s="16" t="str">
        <f>VLOOKUP(C232,[1]道具配置表!$A:$D,4,FALSE)</f>
        <v>尼古劳斯</v>
      </c>
      <c r="E232" s="16">
        <v>1</v>
      </c>
      <c r="J232" s="16">
        <v>1</v>
      </c>
      <c r="L232" s="16" t="b">
        <v>1</v>
      </c>
    </row>
    <row r="233" spans="1:12" x14ac:dyDescent="0.25">
      <c r="A233" s="16">
        <v>1900407</v>
      </c>
      <c r="B233" s="16" t="s">
        <v>185</v>
      </c>
      <c r="C233" s="16">
        <v>14303</v>
      </c>
      <c r="D233" s="16" t="str">
        <f>VLOOKUP(C233,[1]道具配置表!$A:$D,4,FALSE)</f>
        <v>拉格纳</v>
      </c>
      <c r="E233" s="16">
        <v>1</v>
      </c>
      <c r="J233" s="16">
        <v>1</v>
      </c>
      <c r="L233" s="16" t="b">
        <v>1</v>
      </c>
    </row>
    <row r="234" spans="1:12" x14ac:dyDescent="0.25">
      <c r="A234" s="16">
        <v>1900408</v>
      </c>
      <c r="B234" s="16" t="s">
        <v>186</v>
      </c>
      <c r="C234" s="16">
        <v>14304</v>
      </c>
      <c r="D234" s="16" t="str">
        <f>VLOOKUP(C234,[1]道具配置表!$A:$D,4,FALSE)</f>
        <v>公孙</v>
      </c>
      <c r="E234" s="16">
        <v>1</v>
      </c>
      <c r="J234" s="16">
        <v>1</v>
      </c>
      <c r="L234" s="16" t="b">
        <v>1</v>
      </c>
    </row>
    <row r="235" spans="1:12" x14ac:dyDescent="0.25">
      <c r="A235" s="16">
        <v>1900409</v>
      </c>
      <c r="B235" s="16" t="s">
        <v>187</v>
      </c>
      <c r="C235" s="16">
        <v>14305</v>
      </c>
      <c r="D235" s="16" t="str">
        <f>VLOOKUP(C235,[1]道具配置表!$A:$D,4,FALSE)</f>
        <v>德罗茜</v>
      </c>
      <c r="E235" s="16">
        <v>1</v>
      </c>
      <c r="J235" s="16">
        <v>1</v>
      </c>
      <c r="L235" s="16" t="b">
        <v>1</v>
      </c>
    </row>
    <row r="236" spans="1:12" x14ac:dyDescent="0.25">
      <c r="A236" s="16">
        <v>1900410</v>
      </c>
      <c r="B236" s="16" t="s">
        <v>188</v>
      </c>
      <c r="C236" s="16">
        <v>14306</v>
      </c>
      <c r="D236" s="16" t="str">
        <f>VLOOKUP(C236,[1]道具配置表!$A:$D,4,FALSE)</f>
        <v>佩里克勒斯</v>
      </c>
      <c r="E236" s="16">
        <v>1</v>
      </c>
      <c r="J236" s="16">
        <v>1</v>
      </c>
      <c r="L236" s="16" t="b">
        <v>1</v>
      </c>
    </row>
    <row r="237" spans="1:12" x14ac:dyDescent="0.25">
      <c r="A237" s="16">
        <v>1900411</v>
      </c>
      <c r="B237" s="16" t="s">
        <v>189</v>
      </c>
      <c r="C237" s="16">
        <v>14307</v>
      </c>
      <c r="D237" s="16" t="str">
        <f>VLOOKUP(C237,[1]道具配置表!$A:$D,4,FALSE)</f>
        <v>元元公主</v>
      </c>
      <c r="E237" s="16">
        <v>1</v>
      </c>
      <c r="J237" s="16">
        <v>1</v>
      </c>
      <c r="L237" s="16" t="b">
        <v>1</v>
      </c>
    </row>
    <row r="238" spans="1:12" x14ac:dyDescent="0.25">
      <c r="A238" s="16">
        <v>1900412</v>
      </c>
      <c r="B238" s="16" t="s">
        <v>190</v>
      </c>
      <c r="C238" s="16">
        <v>14308</v>
      </c>
      <c r="D238" s="16" t="str">
        <f>VLOOKUP(C238,[1]道具配置表!$A:$D,4,FALSE)</f>
        <v>倪克罗</v>
      </c>
      <c r="E238" s="16">
        <v>1</v>
      </c>
      <c r="J238" s="16">
        <v>1</v>
      </c>
      <c r="L238" s="16" t="b">
        <v>1</v>
      </c>
    </row>
    <row r="239" spans="1:12" x14ac:dyDescent="0.25">
      <c r="A239" s="16">
        <v>1900413</v>
      </c>
      <c r="B239" s="16" t="s">
        <v>191</v>
      </c>
      <c r="C239" s="16">
        <v>14309</v>
      </c>
      <c r="D239" s="16" t="str">
        <f>VLOOKUP(C239,[1]道具配置表!$A:$D,4,FALSE)</f>
        <v>瓦斯克</v>
      </c>
      <c r="E239" s="16">
        <v>1</v>
      </c>
      <c r="J239" s="16">
        <v>1</v>
      </c>
      <c r="L239" s="16" t="b">
        <v>1</v>
      </c>
    </row>
    <row r="240" spans="1:12" x14ac:dyDescent="0.25">
      <c r="A240" s="16">
        <v>1900414</v>
      </c>
      <c r="B240" s="16" t="s">
        <v>192</v>
      </c>
      <c r="C240" s="16">
        <v>102</v>
      </c>
      <c r="D240" s="16" t="str">
        <f>VLOOKUP(C240,[1]道具配置表!$A:$D,4,FALSE)</f>
        <v>1食物</v>
      </c>
      <c r="E240" s="16">
        <v>4000</v>
      </c>
      <c r="J240" s="16">
        <v>1</v>
      </c>
      <c r="L240" s="16" t="b">
        <v>1</v>
      </c>
    </row>
    <row r="241" spans="1:12" x14ac:dyDescent="0.25">
      <c r="A241" s="16">
        <v>1900415</v>
      </c>
      <c r="B241" s="16" t="s">
        <v>193</v>
      </c>
      <c r="C241" s="16">
        <v>7003</v>
      </c>
      <c r="D241" s="16" t="str">
        <f>VLOOKUP(C241,[1]道具配置表!$A:$D,4,FALSE)</f>
        <v>1银币（立即使用，不进背包）</v>
      </c>
      <c r="E241" s="16">
        <v>100</v>
      </c>
      <c r="J241" s="16">
        <v>1</v>
      </c>
      <c r="L241" s="16" t="b">
        <v>1</v>
      </c>
    </row>
    <row r="242" spans="1:12" x14ac:dyDescent="0.25">
      <c r="A242" s="16">
        <v>1900416</v>
      </c>
      <c r="B242" s="16" t="s">
        <v>194</v>
      </c>
      <c r="C242" s="16">
        <v>17300</v>
      </c>
      <c r="D242" s="16" t="str">
        <f>VLOOKUP(C242,[1]道具配置表!$A:$D,4,FALSE)</f>
        <v>名人冒险宝箱（蓝）</v>
      </c>
      <c r="E242" s="16">
        <f t="shared" ref="E242:E254" si="4">E227+1</f>
        <v>2</v>
      </c>
      <c r="J242" s="16">
        <v>1</v>
      </c>
      <c r="L242" s="16" t="b">
        <v>1</v>
      </c>
    </row>
    <row r="243" spans="1:12" x14ac:dyDescent="0.25">
      <c r="A243" s="16">
        <v>1900417</v>
      </c>
      <c r="B243" s="16" t="s">
        <v>195</v>
      </c>
      <c r="C243" s="16">
        <v>17301</v>
      </c>
      <c r="D243" s="16" t="str">
        <f>VLOOKUP(C243,[1]道具配置表!$A:$D,4,FALSE)</f>
        <v>名人冒险宝箱（紫）</v>
      </c>
      <c r="E243" s="16">
        <f t="shared" si="4"/>
        <v>2</v>
      </c>
      <c r="J243" s="16">
        <v>1</v>
      </c>
      <c r="L243" s="16" t="b">
        <v>1</v>
      </c>
    </row>
    <row r="244" spans="1:12" x14ac:dyDescent="0.25">
      <c r="A244" s="16">
        <v>1900418</v>
      </c>
      <c r="B244" s="16" t="s">
        <v>196</v>
      </c>
      <c r="C244" s="16">
        <v>17302</v>
      </c>
      <c r="D244" s="16" t="str">
        <f>VLOOKUP(C244,[1]道具配置表!$A:$D,4,FALSE)</f>
        <v>名人冒险宝箱（橙）</v>
      </c>
      <c r="E244" s="16">
        <f t="shared" si="4"/>
        <v>2</v>
      </c>
      <c r="J244" s="16">
        <v>1</v>
      </c>
      <c r="L244" s="16" t="b">
        <v>1</v>
      </c>
    </row>
    <row r="245" spans="1:12" x14ac:dyDescent="0.25">
      <c r="A245" s="16">
        <v>1900419</v>
      </c>
      <c r="B245" s="16" t="s">
        <v>197</v>
      </c>
      <c r="C245" s="16">
        <v>14109</v>
      </c>
      <c r="D245" s="16" t="str">
        <f>VLOOKUP(C245,[1]道具配置表!$A:$D,4,FALSE)</f>
        <v>亚基</v>
      </c>
      <c r="E245" s="16">
        <f t="shared" si="4"/>
        <v>2</v>
      </c>
      <c r="J245" s="16">
        <v>1</v>
      </c>
      <c r="L245" s="16" t="b">
        <v>1</v>
      </c>
    </row>
    <row r="246" spans="1:12" x14ac:dyDescent="0.25">
      <c r="A246" s="16">
        <v>1900420</v>
      </c>
      <c r="B246" s="16" t="s">
        <v>198</v>
      </c>
      <c r="C246" s="16">
        <v>14202</v>
      </c>
      <c r="D246" s="16" t="str">
        <f>VLOOKUP(C246,[1]道具配置表!$A:$D,4,FALSE)</f>
        <v>方选</v>
      </c>
      <c r="E246" s="16">
        <f t="shared" si="4"/>
        <v>2</v>
      </c>
      <c r="J246" s="16">
        <v>1</v>
      </c>
      <c r="L246" s="16" t="b">
        <v>1</v>
      </c>
    </row>
    <row r="247" spans="1:12" x14ac:dyDescent="0.25">
      <c r="A247" s="16">
        <v>1900421</v>
      </c>
      <c r="B247" s="16" t="s">
        <v>199</v>
      </c>
      <c r="C247" s="16">
        <v>14302</v>
      </c>
      <c r="D247" s="16" t="str">
        <f>VLOOKUP(C247,[1]道具配置表!$A:$D,4,FALSE)</f>
        <v>尼古劳斯</v>
      </c>
      <c r="E247" s="16">
        <f t="shared" si="4"/>
        <v>2</v>
      </c>
      <c r="J247" s="16">
        <v>1</v>
      </c>
      <c r="L247" s="16" t="b">
        <v>1</v>
      </c>
    </row>
    <row r="248" spans="1:12" x14ac:dyDescent="0.25">
      <c r="A248" s="16">
        <v>1900422</v>
      </c>
      <c r="B248" s="16" t="s">
        <v>200</v>
      </c>
      <c r="C248" s="16">
        <v>14303</v>
      </c>
      <c r="D248" s="16" t="str">
        <f>VLOOKUP(C248,[1]道具配置表!$A:$D,4,FALSE)</f>
        <v>拉格纳</v>
      </c>
      <c r="E248" s="16">
        <f t="shared" si="4"/>
        <v>2</v>
      </c>
      <c r="J248" s="16">
        <v>1</v>
      </c>
      <c r="L248" s="16" t="b">
        <v>1</v>
      </c>
    </row>
    <row r="249" spans="1:12" x14ac:dyDescent="0.25">
      <c r="A249" s="16">
        <v>1900423</v>
      </c>
      <c r="B249" s="16" t="s">
        <v>201</v>
      </c>
      <c r="C249" s="16">
        <v>14304</v>
      </c>
      <c r="D249" s="16" t="str">
        <f>VLOOKUP(C249,[1]道具配置表!$A:$D,4,FALSE)</f>
        <v>公孙</v>
      </c>
      <c r="E249" s="16">
        <f t="shared" si="4"/>
        <v>2</v>
      </c>
      <c r="J249" s="16">
        <v>1</v>
      </c>
      <c r="L249" s="16" t="b">
        <v>1</v>
      </c>
    </row>
    <row r="250" spans="1:12" x14ac:dyDescent="0.25">
      <c r="A250" s="16">
        <v>1900424</v>
      </c>
      <c r="B250" s="16" t="s">
        <v>202</v>
      </c>
      <c r="C250" s="16">
        <v>14305</v>
      </c>
      <c r="D250" s="16" t="str">
        <f>VLOOKUP(C250,[1]道具配置表!$A:$D,4,FALSE)</f>
        <v>德罗茜</v>
      </c>
      <c r="E250" s="16">
        <f t="shared" si="4"/>
        <v>2</v>
      </c>
      <c r="J250" s="16">
        <v>1</v>
      </c>
      <c r="L250" s="16" t="b">
        <v>1</v>
      </c>
    </row>
    <row r="251" spans="1:12" x14ac:dyDescent="0.25">
      <c r="A251" s="16">
        <v>1900425</v>
      </c>
      <c r="B251" s="16" t="s">
        <v>203</v>
      </c>
      <c r="C251" s="16">
        <v>14306</v>
      </c>
      <c r="D251" s="16" t="str">
        <f>VLOOKUP(C251,[1]道具配置表!$A:$D,4,FALSE)</f>
        <v>佩里克勒斯</v>
      </c>
      <c r="E251" s="16">
        <f t="shared" si="4"/>
        <v>2</v>
      </c>
      <c r="J251" s="16">
        <v>1</v>
      </c>
      <c r="L251" s="16" t="b">
        <v>1</v>
      </c>
    </row>
    <row r="252" spans="1:12" x14ac:dyDescent="0.25">
      <c r="A252" s="16">
        <v>1900426</v>
      </c>
      <c r="B252" s="16" t="s">
        <v>204</v>
      </c>
      <c r="C252" s="16">
        <v>14307</v>
      </c>
      <c r="D252" s="16" t="str">
        <f>VLOOKUP(C252,[1]道具配置表!$A:$D,4,FALSE)</f>
        <v>元元公主</v>
      </c>
      <c r="E252" s="16">
        <f t="shared" si="4"/>
        <v>2</v>
      </c>
      <c r="J252" s="16">
        <v>1</v>
      </c>
      <c r="L252" s="16" t="b">
        <v>1</v>
      </c>
    </row>
    <row r="253" spans="1:12" x14ac:dyDescent="0.25">
      <c r="A253" s="16">
        <v>1900427</v>
      </c>
      <c r="B253" s="16" t="s">
        <v>205</v>
      </c>
      <c r="C253" s="16">
        <v>14308</v>
      </c>
      <c r="D253" s="16" t="str">
        <f>VLOOKUP(C253,[1]道具配置表!$A:$D,4,FALSE)</f>
        <v>倪克罗</v>
      </c>
      <c r="E253" s="16">
        <f t="shared" si="4"/>
        <v>2</v>
      </c>
      <c r="J253" s="16">
        <v>1</v>
      </c>
      <c r="L253" s="16" t="b">
        <v>1</v>
      </c>
    </row>
    <row r="254" spans="1:12" x14ac:dyDescent="0.25">
      <c r="A254" s="16">
        <v>1900428</v>
      </c>
      <c r="B254" s="16" t="s">
        <v>206</v>
      </c>
      <c r="C254" s="16">
        <v>14309</v>
      </c>
      <c r="D254" s="16" t="str">
        <f>VLOOKUP(C254,[1]道具配置表!$A:$D,4,FALSE)</f>
        <v>瓦斯克</v>
      </c>
      <c r="E254" s="16">
        <f t="shared" si="4"/>
        <v>2</v>
      </c>
      <c r="J254" s="16">
        <v>1</v>
      </c>
      <c r="L254" s="16" t="b">
        <v>1</v>
      </c>
    </row>
    <row r="255" spans="1:12" x14ac:dyDescent="0.25">
      <c r="A255" s="16">
        <v>1900429</v>
      </c>
      <c r="B255" s="16" t="s">
        <v>207</v>
      </c>
      <c r="C255" s="16">
        <v>102</v>
      </c>
      <c r="D255" s="16" t="str">
        <f>VLOOKUP(C255,[1]道具配置表!$A:$D,4,FALSE)</f>
        <v>1食物</v>
      </c>
      <c r="E255" s="16">
        <v>5000</v>
      </c>
      <c r="J255" s="16">
        <v>1</v>
      </c>
      <c r="L255" s="16" t="b">
        <v>1</v>
      </c>
    </row>
    <row r="256" spans="1:12" x14ac:dyDescent="0.25">
      <c r="A256" s="16">
        <v>1900430</v>
      </c>
      <c r="B256" s="16" t="s">
        <v>208</v>
      </c>
      <c r="C256" s="16">
        <v>7003</v>
      </c>
      <c r="D256" s="16" t="str">
        <f>VLOOKUP(C256,[1]道具配置表!$A:$D,4,FALSE)</f>
        <v>1银币（立即使用，不进背包）</v>
      </c>
      <c r="E256" s="16">
        <v>100</v>
      </c>
      <c r="J256" s="16">
        <v>1</v>
      </c>
      <c r="L256" s="16" t="b">
        <v>1</v>
      </c>
    </row>
    <row r="257" spans="1:12" x14ac:dyDescent="0.25">
      <c r="A257" s="16">
        <v>1900431</v>
      </c>
      <c r="B257" s="16" t="s">
        <v>209</v>
      </c>
      <c r="C257" s="16">
        <v>17300</v>
      </c>
      <c r="D257" s="16" t="str">
        <f>VLOOKUP(C257,[1]道具配置表!$A:$D,4,FALSE)</f>
        <v>名人冒险宝箱（蓝）</v>
      </c>
      <c r="E257" s="16">
        <f t="shared" ref="E257:E269" si="5">E242+1</f>
        <v>3</v>
      </c>
      <c r="J257" s="16">
        <v>1</v>
      </c>
      <c r="L257" s="16" t="b">
        <v>1</v>
      </c>
    </row>
    <row r="258" spans="1:12" x14ac:dyDescent="0.25">
      <c r="A258" s="16">
        <v>1900432</v>
      </c>
      <c r="B258" s="16" t="s">
        <v>210</v>
      </c>
      <c r="C258" s="16">
        <v>17301</v>
      </c>
      <c r="D258" s="16" t="str">
        <f>VLOOKUP(C258,[1]道具配置表!$A:$D,4,FALSE)</f>
        <v>名人冒险宝箱（紫）</v>
      </c>
      <c r="E258" s="16">
        <f t="shared" si="5"/>
        <v>3</v>
      </c>
      <c r="J258" s="16">
        <v>1</v>
      </c>
      <c r="L258" s="16" t="b">
        <v>1</v>
      </c>
    </row>
    <row r="259" spans="1:12" x14ac:dyDescent="0.25">
      <c r="A259" s="16">
        <v>1900433</v>
      </c>
      <c r="B259" s="16" t="s">
        <v>211</v>
      </c>
      <c r="C259" s="16">
        <v>17302</v>
      </c>
      <c r="D259" s="16" t="str">
        <f>VLOOKUP(C259,[1]道具配置表!$A:$D,4,FALSE)</f>
        <v>名人冒险宝箱（橙）</v>
      </c>
      <c r="E259" s="16">
        <f t="shared" si="5"/>
        <v>3</v>
      </c>
      <c r="J259" s="16">
        <v>1</v>
      </c>
      <c r="L259" s="16" t="b">
        <v>1</v>
      </c>
    </row>
    <row r="260" spans="1:12" x14ac:dyDescent="0.25">
      <c r="A260" s="16">
        <v>1900434</v>
      </c>
      <c r="B260" s="16" t="s">
        <v>212</v>
      </c>
      <c r="C260" s="16">
        <v>14109</v>
      </c>
      <c r="D260" s="16" t="str">
        <f>VLOOKUP(C260,[1]道具配置表!$A:$D,4,FALSE)</f>
        <v>亚基</v>
      </c>
      <c r="E260" s="16">
        <f t="shared" si="5"/>
        <v>3</v>
      </c>
      <c r="J260" s="16">
        <v>1</v>
      </c>
      <c r="L260" s="16" t="b">
        <v>1</v>
      </c>
    </row>
    <row r="261" spans="1:12" x14ac:dyDescent="0.25">
      <c r="A261" s="16">
        <v>1900435</v>
      </c>
      <c r="B261" s="16" t="s">
        <v>213</v>
      </c>
      <c r="C261" s="16">
        <v>14202</v>
      </c>
      <c r="D261" s="16" t="str">
        <f>VLOOKUP(C261,[1]道具配置表!$A:$D,4,FALSE)</f>
        <v>方选</v>
      </c>
      <c r="E261" s="16">
        <f t="shared" si="5"/>
        <v>3</v>
      </c>
      <c r="J261" s="16">
        <v>1</v>
      </c>
      <c r="L261" s="16" t="b">
        <v>1</v>
      </c>
    </row>
    <row r="262" spans="1:12" x14ac:dyDescent="0.25">
      <c r="A262" s="16">
        <v>1900436</v>
      </c>
      <c r="B262" s="16" t="s">
        <v>214</v>
      </c>
      <c r="C262" s="16">
        <v>14302</v>
      </c>
      <c r="D262" s="16" t="str">
        <f>VLOOKUP(C262,[1]道具配置表!$A:$D,4,FALSE)</f>
        <v>尼古劳斯</v>
      </c>
      <c r="E262" s="16">
        <f t="shared" si="5"/>
        <v>3</v>
      </c>
      <c r="J262" s="16">
        <v>1</v>
      </c>
      <c r="L262" s="16" t="b">
        <v>1</v>
      </c>
    </row>
    <row r="263" spans="1:12" x14ac:dyDescent="0.25">
      <c r="A263" s="16">
        <v>1900437</v>
      </c>
      <c r="B263" s="16" t="s">
        <v>215</v>
      </c>
      <c r="C263" s="16">
        <v>14303</v>
      </c>
      <c r="D263" s="16" t="str">
        <f>VLOOKUP(C263,[1]道具配置表!$A:$D,4,FALSE)</f>
        <v>拉格纳</v>
      </c>
      <c r="E263" s="16">
        <f t="shared" si="5"/>
        <v>3</v>
      </c>
      <c r="J263" s="16">
        <v>1</v>
      </c>
      <c r="L263" s="16" t="b">
        <v>1</v>
      </c>
    </row>
    <row r="264" spans="1:12" x14ac:dyDescent="0.25">
      <c r="A264" s="16">
        <v>1900438</v>
      </c>
      <c r="B264" s="16" t="s">
        <v>216</v>
      </c>
      <c r="C264" s="16">
        <v>14304</v>
      </c>
      <c r="D264" s="16" t="str">
        <f>VLOOKUP(C264,[1]道具配置表!$A:$D,4,FALSE)</f>
        <v>公孙</v>
      </c>
      <c r="E264" s="16">
        <f t="shared" si="5"/>
        <v>3</v>
      </c>
      <c r="J264" s="16">
        <v>1</v>
      </c>
      <c r="L264" s="16" t="b">
        <v>1</v>
      </c>
    </row>
    <row r="265" spans="1:12" x14ac:dyDescent="0.25">
      <c r="A265" s="16">
        <v>1900439</v>
      </c>
      <c r="B265" s="16" t="s">
        <v>217</v>
      </c>
      <c r="C265" s="16">
        <v>14305</v>
      </c>
      <c r="D265" s="16" t="str">
        <f>VLOOKUP(C265,[1]道具配置表!$A:$D,4,FALSE)</f>
        <v>德罗茜</v>
      </c>
      <c r="E265" s="16">
        <f t="shared" si="5"/>
        <v>3</v>
      </c>
      <c r="J265" s="16">
        <v>1</v>
      </c>
      <c r="L265" s="16" t="b">
        <v>1</v>
      </c>
    </row>
    <row r="266" spans="1:12" x14ac:dyDescent="0.25">
      <c r="A266" s="16">
        <v>1900440</v>
      </c>
      <c r="B266" s="16" t="s">
        <v>218</v>
      </c>
      <c r="C266" s="16">
        <v>14306</v>
      </c>
      <c r="D266" s="16" t="str">
        <f>VLOOKUP(C266,[1]道具配置表!$A:$D,4,FALSE)</f>
        <v>佩里克勒斯</v>
      </c>
      <c r="E266" s="16">
        <f t="shared" si="5"/>
        <v>3</v>
      </c>
      <c r="J266" s="16">
        <v>1</v>
      </c>
      <c r="L266" s="16" t="b">
        <v>1</v>
      </c>
    </row>
    <row r="267" spans="1:12" x14ac:dyDescent="0.25">
      <c r="A267" s="16">
        <v>1900441</v>
      </c>
      <c r="B267" s="16" t="s">
        <v>219</v>
      </c>
      <c r="C267" s="16">
        <v>14307</v>
      </c>
      <c r="D267" s="16" t="str">
        <f>VLOOKUP(C267,[1]道具配置表!$A:$D,4,FALSE)</f>
        <v>元元公主</v>
      </c>
      <c r="E267" s="16">
        <f t="shared" si="5"/>
        <v>3</v>
      </c>
      <c r="J267" s="16">
        <v>1</v>
      </c>
      <c r="L267" s="16" t="b">
        <v>1</v>
      </c>
    </row>
    <row r="268" spans="1:12" x14ac:dyDescent="0.25">
      <c r="A268" s="16">
        <v>1900442</v>
      </c>
      <c r="B268" s="16" t="s">
        <v>220</v>
      </c>
      <c r="C268" s="16">
        <v>14308</v>
      </c>
      <c r="D268" s="16" t="str">
        <f>VLOOKUP(C268,[1]道具配置表!$A:$D,4,FALSE)</f>
        <v>倪克罗</v>
      </c>
      <c r="E268" s="16">
        <f t="shared" si="5"/>
        <v>3</v>
      </c>
      <c r="J268" s="16">
        <v>1</v>
      </c>
      <c r="L268" s="16" t="b">
        <v>1</v>
      </c>
    </row>
    <row r="269" spans="1:12" x14ac:dyDescent="0.25">
      <c r="A269" s="16">
        <v>1900443</v>
      </c>
      <c r="B269" s="16" t="s">
        <v>221</v>
      </c>
      <c r="C269" s="16">
        <v>14309</v>
      </c>
      <c r="D269" s="16" t="str">
        <f>VLOOKUP(C269,[1]道具配置表!$A:$D,4,FALSE)</f>
        <v>瓦斯克</v>
      </c>
      <c r="E269" s="16">
        <f t="shared" si="5"/>
        <v>3</v>
      </c>
      <c r="J269" s="16">
        <v>1</v>
      </c>
      <c r="L269" s="16" t="b">
        <v>1</v>
      </c>
    </row>
    <row r="270" spans="1:12" x14ac:dyDescent="0.25">
      <c r="A270" s="16">
        <v>1900444</v>
      </c>
      <c r="B270" s="16" t="s">
        <v>222</v>
      </c>
      <c r="C270" s="16">
        <v>102</v>
      </c>
      <c r="D270" s="16" t="str">
        <f>VLOOKUP(C270,[1]道具配置表!$A:$D,4,FALSE)</f>
        <v>1食物</v>
      </c>
      <c r="E270" s="16">
        <v>6000</v>
      </c>
      <c r="J270" s="16">
        <v>1</v>
      </c>
      <c r="L270" s="16" t="b">
        <v>1</v>
      </c>
    </row>
    <row r="271" spans="1:12" x14ac:dyDescent="0.25">
      <c r="A271" s="16">
        <v>1900445</v>
      </c>
      <c r="B271" s="16" t="s">
        <v>223</v>
      </c>
      <c r="C271" s="16">
        <v>7003</v>
      </c>
      <c r="D271" s="16" t="str">
        <f>VLOOKUP(C271,[1]道具配置表!$A:$D,4,FALSE)</f>
        <v>1银币（立即使用，不进背包）</v>
      </c>
      <c r="E271" s="16">
        <v>100</v>
      </c>
      <c r="J271" s="16">
        <v>1</v>
      </c>
      <c r="L271" s="16" t="b">
        <v>1</v>
      </c>
    </row>
    <row r="272" spans="1:12" x14ac:dyDescent="0.25">
      <c r="A272" s="16">
        <v>1900446</v>
      </c>
      <c r="B272" s="16" t="s">
        <v>224</v>
      </c>
      <c r="C272" s="16">
        <v>17300</v>
      </c>
      <c r="D272" s="16" t="str">
        <f>VLOOKUP(C272,[1]道具配置表!$A:$D,4,FALSE)</f>
        <v>名人冒险宝箱（蓝）</v>
      </c>
      <c r="E272" s="16">
        <f t="shared" ref="E272:E284" si="6">E257+1</f>
        <v>4</v>
      </c>
      <c r="J272" s="16">
        <v>1</v>
      </c>
      <c r="L272" s="16" t="b">
        <v>1</v>
      </c>
    </row>
    <row r="273" spans="1:12" x14ac:dyDescent="0.25">
      <c r="A273" s="16">
        <v>1900447</v>
      </c>
      <c r="B273" s="16" t="s">
        <v>225</v>
      </c>
      <c r="C273" s="16">
        <v>17301</v>
      </c>
      <c r="D273" s="16" t="str">
        <f>VLOOKUP(C273,[1]道具配置表!$A:$D,4,FALSE)</f>
        <v>名人冒险宝箱（紫）</v>
      </c>
      <c r="E273" s="16">
        <f t="shared" si="6"/>
        <v>4</v>
      </c>
      <c r="J273" s="16">
        <v>1</v>
      </c>
      <c r="L273" s="16" t="b">
        <v>1</v>
      </c>
    </row>
    <row r="274" spans="1:12" x14ac:dyDescent="0.25">
      <c r="A274" s="16">
        <v>1900448</v>
      </c>
      <c r="B274" s="16" t="s">
        <v>226</v>
      </c>
      <c r="C274" s="16">
        <v>17302</v>
      </c>
      <c r="D274" s="16" t="str">
        <f>VLOOKUP(C274,[1]道具配置表!$A:$D,4,FALSE)</f>
        <v>名人冒险宝箱（橙）</v>
      </c>
      <c r="E274" s="16">
        <f t="shared" si="6"/>
        <v>4</v>
      </c>
      <c r="J274" s="16">
        <v>1</v>
      </c>
      <c r="L274" s="16" t="b">
        <v>1</v>
      </c>
    </row>
    <row r="275" spans="1:12" x14ac:dyDescent="0.25">
      <c r="A275" s="16">
        <v>1900449</v>
      </c>
      <c r="B275" s="16" t="s">
        <v>227</v>
      </c>
      <c r="C275" s="16">
        <v>14109</v>
      </c>
      <c r="D275" s="16" t="str">
        <f>VLOOKUP(C275,[1]道具配置表!$A:$D,4,FALSE)</f>
        <v>亚基</v>
      </c>
      <c r="E275" s="16">
        <f t="shared" si="6"/>
        <v>4</v>
      </c>
      <c r="J275" s="16">
        <v>1</v>
      </c>
      <c r="L275" s="16" t="b">
        <v>1</v>
      </c>
    </row>
    <row r="276" spans="1:12" x14ac:dyDescent="0.25">
      <c r="A276" s="16">
        <v>1900450</v>
      </c>
      <c r="B276" s="16" t="s">
        <v>228</v>
      </c>
      <c r="C276" s="16">
        <v>14202</v>
      </c>
      <c r="D276" s="16" t="str">
        <f>VLOOKUP(C276,[1]道具配置表!$A:$D,4,FALSE)</f>
        <v>方选</v>
      </c>
      <c r="E276" s="16">
        <f t="shared" si="6"/>
        <v>4</v>
      </c>
      <c r="J276" s="16">
        <v>1</v>
      </c>
      <c r="L276" s="16" t="b">
        <v>1</v>
      </c>
    </row>
    <row r="277" spans="1:12" x14ac:dyDescent="0.25">
      <c r="A277" s="16">
        <v>1900451</v>
      </c>
      <c r="B277" s="16" t="s">
        <v>229</v>
      </c>
      <c r="C277" s="16">
        <v>14302</v>
      </c>
      <c r="D277" s="16" t="str">
        <f>VLOOKUP(C277,[1]道具配置表!$A:$D,4,FALSE)</f>
        <v>尼古劳斯</v>
      </c>
      <c r="E277" s="16">
        <f t="shared" si="6"/>
        <v>4</v>
      </c>
      <c r="J277" s="16">
        <v>1</v>
      </c>
      <c r="L277" s="16" t="b">
        <v>1</v>
      </c>
    </row>
    <row r="278" spans="1:12" x14ac:dyDescent="0.25">
      <c r="A278" s="16">
        <v>1900452</v>
      </c>
      <c r="B278" s="16" t="s">
        <v>230</v>
      </c>
      <c r="C278" s="16">
        <v>14303</v>
      </c>
      <c r="D278" s="16" t="str">
        <f>VLOOKUP(C278,[1]道具配置表!$A:$D,4,FALSE)</f>
        <v>拉格纳</v>
      </c>
      <c r="E278" s="16">
        <f t="shared" si="6"/>
        <v>4</v>
      </c>
      <c r="J278" s="16">
        <v>1</v>
      </c>
      <c r="L278" s="16" t="b">
        <v>1</v>
      </c>
    </row>
    <row r="279" spans="1:12" x14ac:dyDescent="0.25">
      <c r="A279" s="16">
        <v>1900453</v>
      </c>
      <c r="B279" s="16" t="s">
        <v>231</v>
      </c>
      <c r="C279" s="16">
        <v>14304</v>
      </c>
      <c r="D279" s="16" t="str">
        <f>VLOOKUP(C279,[1]道具配置表!$A:$D,4,FALSE)</f>
        <v>公孙</v>
      </c>
      <c r="E279" s="16">
        <f t="shared" si="6"/>
        <v>4</v>
      </c>
      <c r="J279" s="16">
        <v>1</v>
      </c>
      <c r="L279" s="16" t="b">
        <v>1</v>
      </c>
    </row>
    <row r="280" spans="1:12" x14ac:dyDescent="0.25">
      <c r="A280" s="16">
        <v>1900454</v>
      </c>
      <c r="B280" s="16" t="s">
        <v>232</v>
      </c>
      <c r="C280" s="16">
        <v>14305</v>
      </c>
      <c r="D280" s="16" t="str">
        <f>VLOOKUP(C280,[1]道具配置表!$A:$D,4,FALSE)</f>
        <v>德罗茜</v>
      </c>
      <c r="E280" s="16">
        <f t="shared" si="6"/>
        <v>4</v>
      </c>
      <c r="J280" s="16">
        <v>1</v>
      </c>
      <c r="L280" s="16" t="b">
        <v>1</v>
      </c>
    </row>
    <row r="281" spans="1:12" x14ac:dyDescent="0.25">
      <c r="A281" s="16">
        <v>1900455</v>
      </c>
      <c r="B281" s="16" t="s">
        <v>233</v>
      </c>
      <c r="C281" s="16">
        <v>14306</v>
      </c>
      <c r="D281" s="16" t="str">
        <f>VLOOKUP(C281,[1]道具配置表!$A:$D,4,FALSE)</f>
        <v>佩里克勒斯</v>
      </c>
      <c r="E281" s="16">
        <f t="shared" si="6"/>
        <v>4</v>
      </c>
      <c r="J281" s="16">
        <v>1</v>
      </c>
      <c r="L281" s="16" t="b">
        <v>1</v>
      </c>
    </row>
    <row r="282" spans="1:12" x14ac:dyDescent="0.25">
      <c r="A282" s="16">
        <v>1900456</v>
      </c>
      <c r="B282" s="16" t="s">
        <v>234</v>
      </c>
      <c r="C282" s="16">
        <v>14307</v>
      </c>
      <c r="D282" s="16" t="str">
        <f>VLOOKUP(C282,[1]道具配置表!$A:$D,4,FALSE)</f>
        <v>元元公主</v>
      </c>
      <c r="E282" s="16">
        <f t="shared" si="6"/>
        <v>4</v>
      </c>
      <c r="J282" s="16">
        <v>1</v>
      </c>
      <c r="L282" s="16" t="b">
        <v>1</v>
      </c>
    </row>
    <row r="283" spans="1:12" x14ac:dyDescent="0.25">
      <c r="A283" s="16">
        <v>1900457</v>
      </c>
      <c r="B283" s="16" t="s">
        <v>235</v>
      </c>
      <c r="C283" s="16">
        <v>14308</v>
      </c>
      <c r="D283" s="16" t="str">
        <f>VLOOKUP(C283,[1]道具配置表!$A:$D,4,FALSE)</f>
        <v>倪克罗</v>
      </c>
      <c r="E283" s="16">
        <f t="shared" si="6"/>
        <v>4</v>
      </c>
      <c r="J283" s="16">
        <v>1</v>
      </c>
      <c r="L283" s="16" t="b">
        <v>1</v>
      </c>
    </row>
    <row r="284" spans="1:12" x14ac:dyDescent="0.25">
      <c r="A284" s="16">
        <v>1900458</v>
      </c>
      <c r="B284" s="16" t="s">
        <v>236</v>
      </c>
      <c r="C284" s="16">
        <v>14309</v>
      </c>
      <c r="D284" s="16" t="str">
        <f>VLOOKUP(C284,[1]道具配置表!$A:$D,4,FALSE)</f>
        <v>瓦斯克</v>
      </c>
      <c r="E284" s="16">
        <f t="shared" si="6"/>
        <v>4</v>
      </c>
      <c r="J284" s="16">
        <v>1</v>
      </c>
      <c r="L284" s="16" t="b">
        <v>1</v>
      </c>
    </row>
    <row r="285" spans="1:12" x14ac:dyDescent="0.25">
      <c r="A285" s="16">
        <v>1900459</v>
      </c>
      <c r="B285" s="16" t="s">
        <v>237</v>
      </c>
      <c r="C285" s="16">
        <v>102</v>
      </c>
      <c r="D285" s="16" t="str">
        <f>VLOOKUP(C285,[1]道具配置表!$A:$D,4,FALSE)</f>
        <v>1食物</v>
      </c>
      <c r="E285" s="16">
        <v>7000</v>
      </c>
      <c r="J285" s="16">
        <v>1</v>
      </c>
      <c r="L285" s="16" t="b">
        <v>1</v>
      </c>
    </row>
    <row r="286" spans="1:12" x14ac:dyDescent="0.25">
      <c r="A286" s="16">
        <v>1900460</v>
      </c>
      <c r="B286" s="16" t="s">
        <v>238</v>
      </c>
      <c r="C286" s="16">
        <v>7003</v>
      </c>
      <c r="D286" s="16" t="str">
        <f>VLOOKUP(C286,[1]道具配置表!$A:$D,4,FALSE)</f>
        <v>1银币（立即使用，不进背包）</v>
      </c>
      <c r="E286" s="16">
        <v>100</v>
      </c>
      <c r="J286" s="16">
        <v>1</v>
      </c>
      <c r="L286" s="16" t="b">
        <v>1</v>
      </c>
    </row>
    <row r="287" spans="1:12" x14ac:dyDescent="0.25">
      <c r="A287" s="16">
        <v>1900461</v>
      </c>
      <c r="B287" s="16" t="s">
        <v>239</v>
      </c>
      <c r="C287" s="16">
        <v>17300</v>
      </c>
      <c r="D287" s="16" t="str">
        <f>VLOOKUP(C287,[1]道具配置表!$A:$D,4,FALSE)</f>
        <v>名人冒险宝箱（蓝）</v>
      </c>
      <c r="E287" s="16">
        <f t="shared" ref="E287:E299" si="7">E272+1</f>
        <v>5</v>
      </c>
      <c r="J287" s="16">
        <v>1</v>
      </c>
      <c r="L287" s="16" t="b">
        <v>1</v>
      </c>
    </row>
    <row r="288" spans="1:12" x14ac:dyDescent="0.25">
      <c r="A288" s="16">
        <v>1900462</v>
      </c>
      <c r="B288" s="16" t="s">
        <v>240</v>
      </c>
      <c r="C288" s="16">
        <v>17301</v>
      </c>
      <c r="D288" s="16" t="str">
        <f>VLOOKUP(C288,[1]道具配置表!$A:$D,4,FALSE)</f>
        <v>名人冒险宝箱（紫）</v>
      </c>
      <c r="E288" s="16">
        <f t="shared" si="7"/>
        <v>5</v>
      </c>
      <c r="J288" s="16">
        <v>1</v>
      </c>
      <c r="L288" s="16" t="b">
        <v>1</v>
      </c>
    </row>
    <row r="289" spans="1:12" x14ac:dyDescent="0.25">
      <c r="A289" s="16">
        <v>1900463</v>
      </c>
      <c r="B289" s="16" t="s">
        <v>241</v>
      </c>
      <c r="C289" s="16">
        <v>17302</v>
      </c>
      <c r="D289" s="16" t="str">
        <f>VLOOKUP(C289,[1]道具配置表!$A:$D,4,FALSE)</f>
        <v>名人冒险宝箱（橙）</v>
      </c>
      <c r="E289" s="16">
        <f t="shared" si="7"/>
        <v>5</v>
      </c>
      <c r="J289" s="16">
        <v>1</v>
      </c>
      <c r="L289" s="16" t="b">
        <v>1</v>
      </c>
    </row>
    <row r="290" spans="1:12" x14ac:dyDescent="0.25">
      <c r="A290" s="16">
        <v>1900464</v>
      </c>
      <c r="B290" s="16" t="s">
        <v>242</v>
      </c>
      <c r="C290" s="16">
        <v>14109</v>
      </c>
      <c r="D290" s="16" t="str">
        <f>VLOOKUP(C290,[1]道具配置表!$A:$D,4,FALSE)</f>
        <v>亚基</v>
      </c>
      <c r="E290" s="16">
        <f t="shared" si="7"/>
        <v>5</v>
      </c>
      <c r="J290" s="16">
        <v>1</v>
      </c>
      <c r="L290" s="16" t="b">
        <v>1</v>
      </c>
    </row>
    <row r="291" spans="1:12" x14ac:dyDescent="0.25">
      <c r="A291" s="16">
        <v>1900465</v>
      </c>
      <c r="B291" s="16" t="s">
        <v>243</v>
      </c>
      <c r="C291" s="16">
        <v>14202</v>
      </c>
      <c r="D291" s="16" t="str">
        <f>VLOOKUP(C291,[1]道具配置表!$A:$D,4,FALSE)</f>
        <v>方选</v>
      </c>
      <c r="E291" s="16">
        <f t="shared" si="7"/>
        <v>5</v>
      </c>
      <c r="J291" s="16">
        <v>1</v>
      </c>
      <c r="L291" s="16" t="b">
        <v>1</v>
      </c>
    </row>
    <row r="292" spans="1:12" x14ac:dyDescent="0.25">
      <c r="A292" s="16">
        <v>1900466</v>
      </c>
      <c r="B292" s="16" t="s">
        <v>244</v>
      </c>
      <c r="C292" s="16">
        <v>14302</v>
      </c>
      <c r="D292" s="16" t="str">
        <f>VLOOKUP(C292,[1]道具配置表!$A:$D,4,FALSE)</f>
        <v>尼古劳斯</v>
      </c>
      <c r="E292" s="16">
        <f t="shared" si="7"/>
        <v>5</v>
      </c>
      <c r="J292" s="16">
        <v>1</v>
      </c>
      <c r="L292" s="16" t="b">
        <v>1</v>
      </c>
    </row>
    <row r="293" spans="1:12" x14ac:dyDescent="0.25">
      <c r="A293" s="16">
        <v>1900467</v>
      </c>
      <c r="B293" s="16" t="s">
        <v>245</v>
      </c>
      <c r="C293" s="16">
        <v>14303</v>
      </c>
      <c r="D293" s="16" t="str">
        <f>VLOOKUP(C293,[1]道具配置表!$A:$D,4,FALSE)</f>
        <v>拉格纳</v>
      </c>
      <c r="E293" s="16">
        <f t="shared" si="7"/>
        <v>5</v>
      </c>
      <c r="J293" s="16">
        <v>1</v>
      </c>
      <c r="L293" s="16" t="b">
        <v>1</v>
      </c>
    </row>
    <row r="294" spans="1:12" x14ac:dyDescent="0.25">
      <c r="A294" s="16">
        <v>1900468</v>
      </c>
      <c r="B294" s="16" t="s">
        <v>246</v>
      </c>
      <c r="C294" s="16">
        <v>14304</v>
      </c>
      <c r="D294" s="16" t="str">
        <f>VLOOKUP(C294,[1]道具配置表!$A:$D,4,FALSE)</f>
        <v>公孙</v>
      </c>
      <c r="E294" s="16">
        <f t="shared" si="7"/>
        <v>5</v>
      </c>
      <c r="J294" s="16">
        <v>1</v>
      </c>
      <c r="L294" s="16" t="b">
        <v>1</v>
      </c>
    </row>
    <row r="295" spans="1:12" x14ac:dyDescent="0.25">
      <c r="A295" s="16">
        <v>1900469</v>
      </c>
      <c r="B295" s="16" t="s">
        <v>247</v>
      </c>
      <c r="C295" s="16">
        <v>14305</v>
      </c>
      <c r="D295" s="16" t="str">
        <f>VLOOKUP(C295,[1]道具配置表!$A:$D,4,FALSE)</f>
        <v>德罗茜</v>
      </c>
      <c r="E295" s="16">
        <f t="shared" si="7"/>
        <v>5</v>
      </c>
      <c r="J295" s="16">
        <v>1</v>
      </c>
      <c r="L295" s="16" t="b">
        <v>1</v>
      </c>
    </row>
    <row r="296" spans="1:12" x14ac:dyDescent="0.25">
      <c r="A296" s="16">
        <v>1900470</v>
      </c>
      <c r="B296" s="16" t="s">
        <v>248</v>
      </c>
      <c r="C296" s="16">
        <v>14306</v>
      </c>
      <c r="D296" s="16" t="str">
        <f>VLOOKUP(C296,[1]道具配置表!$A:$D,4,FALSE)</f>
        <v>佩里克勒斯</v>
      </c>
      <c r="E296" s="16">
        <f t="shared" si="7"/>
        <v>5</v>
      </c>
      <c r="J296" s="16">
        <v>1</v>
      </c>
      <c r="L296" s="16" t="b">
        <v>1</v>
      </c>
    </row>
    <row r="297" spans="1:12" x14ac:dyDescent="0.25">
      <c r="A297" s="16">
        <v>1900471</v>
      </c>
      <c r="B297" s="16" t="s">
        <v>249</v>
      </c>
      <c r="C297" s="16">
        <v>14307</v>
      </c>
      <c r="D297" s="16" t="str">
        <f>VLOOKUP(C297,[1]道具配置表!$A:$D,4,FALSE)</f>
        <v>元元公主</v>
      </c>
      <c r="E297" s="16">
        <f t="shared" si="7"/>
        <v>5</v>
      </c>
      <c r="J297" s="16">
        <v>1</v>
      </c>
      <c r="L297" s="16" t="b">
        <v>1</v>
      </c>
    </row>
    <row r="298" spans="1:12" x14ac:dyDescent="0.25">
      <c r="A298" s="16">
        <v>1900472</v>
      </c>
      <c r="B298" s="16" t="s">
        <v>250</v>
      </c>
      <c r="C298" s="16">
        <v>14308</v>
      </c>
      <c r="D298" s="16" t="str">
        <f>VLOOKUP(C298,[1]道具配置表!$A:$D,4,FALSE)</f>
        <v>倪克罗</v>
      </c>
      <c r="E298" s="16">
        <f t="shared" si="7"/>
        <v>5</v>
      </c>
      <c r="J298" s="16">
        <v>1</v>
      </c>
      <c r="L298" s="16" t="b">
        <v>1</v>
      </c>
    </row>
    <row r="299" spans="1:12" x14ac:dyDescent="0.25">
      <c r="A299" s="16">
        <v>1900473</v>
      </c>
      <c r="B299" s="16" t="s">
        <v>251</v>
      </c>
      <c r="C299" s="16">
        <v>14309</v>
      </c>
      <c r="D299" s="16" t="str">
        <f>VLOOKUP(C299,[1]道具配置表!$A:$D,4,FALSE)</f>
        <v>瓦斯克</v>
      </c>
      <c r="E299" s="16">
        <f t="shared" si="7"/>
        <v>5</v>
      </c>
      <c r="J299" s="16">
        <v>1</v>
      </c>
      <c r="L299" s="16" t="b">
        <v>1</v>
      </c>
    </row>
    <row r="300" spans="1:12" x14ac:dyDescent="0.25">
      <c r="A300" s="16">
        <v>1900474</v>
      </c>
      <c r="B300" s="16" t="s">
        <v>252</v>
      </c>
      <c r="C300" s="16">
        <v>102</v>
      </c>
      <c r="D300" s="16" t="str">
        <f>VLOOKUP(C300,[1]道具配置表!$A:$D,4,FALSE)</f>
        <v>1食物</v>
      </c>
      <c r="E300" s="16">
        <v>8000</v>
      </c>
      <c r="J300" s="16">
        <v>1</v>
      </c>
      <c r="L300" s="16" t="b">
        <v>1</v>
      </c>
    </row>
    <row r="301" spans="1:12" x14ac:dyDescent="0.25">
      <c r="A301" s="16">
        <v>1900475</v>
      </c>
      <c r="B301" s="16" t="s">
        <v>253</v>
      </c>
      <c r="C301" s="16">
        <v>7003</v>
      </c>
      <c r="D301" s="16" t="str">
        <f>VLOOKUP(C301,[1]道具配置表!$A:$D,4,FALSE)</f>
        <v>1银币（立即使用，不进背包）</v>
      </c>
      <c r="E301" s="16">
        <v>100</v>
      </c>
      <c r="J301" s="16">
        <v>1</v>
      </c>
      <c r="L301" s="16" t="b">
        <v>1</v>
      </c>
    </row>
    <row r="302" spans="1:12" x14ac:dyDescent="0.25">
      <c r="A302" s="16">
        <v>1900476</v>
      </c>
      <c r="B302" s="16" t="s">
        <v>254</v>
      </c>
      <c r="C302" s="16">
        <v>17300</v>
      </c>
      <c r="D302" s="16" t="str">
        <f>VLOOKUP(C302,[1]道具配置表!$A:$D,4,FALSE)</f>
        <v>名人冒险宝箱（蓝）</v>
      </c>
      <c r="E302" s="16">
        <v>5</v>
      </c>
      <c r="J302" s="16">
        <v>1</v>
      </c>
      <c r="L302" s="16" t="b">
        <v>1</v>
      </c>
    </row>
    <row r="303" spans="1:12" x14ac:dyDescent="0.25">
      <c r="A303" s="16">
        <v>1900477</v>
      </c>
      <c r="B303" s="16" t="s">
        <v>255</v>
      </c>
      <c r="C303" s="16">
        <v>17301</v>
      </c>
      <c r="D303" s="16" t="str">
        <f>VLOOKUP(C303,[1]道具配置表!$A:$D,4,FALSE)</f>
        <v>名人冒险宝箱（紫）</v>
      </c>
      <c r="E303" s="16">
        <v>5</v>
      </c>
      <c r="J303" s="16">
        <v>1</v>
      </c>
      <c r="L303" s="16" t="b">
        <v>1</v>
      </c>
    </row>
    <row r="304" spans="1:12" x14ac:dyDescent="0.25">
      <c r="A304" s="16">
        <v>1900478</v>
      </c>
      <c r="B304" s="16" t="s">
        <v>256</v>
      </c>
      <c r="C304" s="16">
        <v>17302</v>
      </c>
      <c r="D304" s="16" t="str">
        <f>VLOOKUP(C304,[1]道具配置表!$A:$D,4,FALSE)</f>
        <v>名人冒险宝箱（橙）</v>
      </c>
      <c r="E304" s="16">
        <v>5</v>
      </c>
      <c r="J304" s="16">
        <v>1</v>
      </c>
      <c r="L304" s="16" t="b">
        <v>1</v>
      </c>
    </row>
    <row r="305" spans="1:12" x14ac:dyDescent="0.25">
      <c r="A305" s="16">
        <v>1900479</v>
      </c>
      <c r="B305" s="16" t="s">
        <v>257</v>
      </c>
      <c r="C305" s="16">
        <v>14109</v>
      </c>
      <c r="D305" s="16" t="str">
        <f>VLOOKUP(C305,[1]道具配置表!$A:$D,4,FALSE)</f>
        <v>亚基</v>
      </c>
      <c r="E305" s="16">
        <v>5</v>
      </c>
      <c r="J305" s="16">
        <v>1</v>
      </c>
      <c r="L305" s="16" t="b">
        <v>1</v>
      </c>
    </row>
    <row r="306" spans="1:12" x14ac:dyDescent="0.25">
      <c r="A306" s="16">
        <v>1900480</v>
      </c>
      <c r="B306" s="16" t="s">
        <v>258</v>
      </c>
      <c r="C306" s="16">
        <v>14202</v>
      </c>
      <c r="D306" s="16" t="str">
        <f>VLOOKUP(C306,[1]道具配置表!$A:$D,4,FALSE)</f>
        <v>方选</v>
      </c>
      <c r="E306" s="16">
        <v>5</v>
      </c>
      <c r="J306" s="16">
        <v>1</v>
      </c>
      <c r="L306" s="16" t="b">
        <v>1</v>
      </c>
    </row>
    <row r="307" spans="1:12" x14ac:dyDescent="0.25">
      <c r="A307" s="16">
        <v>1900481</v>
      </c>
      <c r="B307" s="16" t="s">
        <v>259</v>
      </c>
      <c r="C307" s="16">
        <v>14302</v>
      </c>
      <c r="D307" s="16" t="str">
        <f>VLOOKUP(C307,[1]道具配置表!$A:$D,4,FALSE)</f>
        <v>尼古劳斯</v>
      </c>
      <c r="E307" s="16">
        <v>5</v>
      </c>
      <c r="J307" s="16">
        <v>1</v>
      </c>
      <c r="L307" s="16" t="b">
        <v>1</v>
      </c>
    </row>
    <row r="308" spans="1:12" x14ac:dyDescent="0.25">
      <c r="A308" s="16">
        <v>1900482</v>
      </c>
      <c r="B308" s="16" t="s">
        <v>260</v>
      </c>
      <c r="C308" s="16">
        <v>14303</v>
      </c>
      <c r="D308" s="16" t="str">
        <f>VLOOKUP(C308,[1]道具配置表!$A:$D,4,FALSE)</f>
        <v>拉格纳</v>
      </c>
      <c r="E308" s="16">
        <v>5</v>
      </c>
      <c r="J308" s="16">
        <v>1</v>
      </c>
      <c r="L308" s="16" t="b">
        <v>1</v>
      </c>
    </row>
    <row r="309" spans="1:12" x14ac:dyDescent="0.25">
      <c r="A309" s="16">
        <v>1900483</v>
      </c>
      <c r="B309" s="16" t="s">
        <v>261</v>
      </c>
      <c r="C309" s="16">
        <v>14304</v>
      </c>
      <c r="D309" s="16" t="str">
        <f>VLOOKUP(C309,[1]道具配置表!$A:$D,4,FALSE)</f>
        <v>公孙</v>
      </c>
      <c r="E309" s="16">
        <v>5</v>
      </c>
      <c r="J309" s="16">
        <v>1</v>
      </c>
      <c r="L309" s="16" t="b">
        <v>1</v>
      </c>
    </row>
    <row r="310" spans="1:12" x14ac:dyDescent="0.25">
      <c r="A310" s="16">
        <v>1900484</v>
      </c>
      <c r="B310" s="16" t="s">
        <v>262</v>
      </c>
      <c r="C310" s="16">
        <v>14305</v>
      </c>
      <c r="D310" s="16" t="str">
        <f>VLOOKUP(C310,[1]道具配置表!$A:$D,4,FALSE)</f>
        <v>德罗茜</v>
      </c>
      <c r="E310" s="16">
        <v>5</v>
      </c>
      <c r="J310" s="16">
        <v>1</v>
      </c>
      <c r="L310" s="16" t="b">
        <v>1</v>
      </c>
    </row>
    <row r="311" spans="1:12" x14ac:dyDescent="0.25">
      <c r="A311" s="16">
        <v>1900485</v>
      </c>
      <c r="B311" s="16" t="s">
        <v>263</v>
      </c>
      <c r="C311" s="16">
        <v>14306</v>
      </c>
      <c r="D311" s="16" t="str">
        <f>VLOOKUP(C311,[1]道具配置表!$A:$D,4,FALSE)</f>
        <v>佩里克勒斯</v>
      </c>
      <c r="E311" s="16">
        <v>5</v>
      </c>
      <c r="J311" s="16">
        <v>1</v>
      </c>
      <c r="L311" s="16" t="b">
        <v>1</v>
      </c>
    </row>
    <row r="312" spans="1:12" x14ac:dyDescent="0.25">
      <c r="A312" s="16">
        <v>1900486</v>
      </c>
      <c r="B312" s="16" t="s">
        <v>264</v>
      </c>
      <c r="C312" s="16">
        <v>14307</v>
      </c>
      <c r="D312" s="16" t="str">
        <f>VLOOKUP(C312,[1]道具配置表!$A:$D,4,FALSE)</f>
        <v>元元公主</v>
      </c>
      <c r="E312" s="16">
        <v>5</v>
      </c>
      <c r="J312" s="16">
        <v>1</v>
      </c>
      <c r="L312" s="16" t="b">
        <v>1</v>
      </c>
    </row>
    <row r="313" spans="1:12" x14ac:dyDescent="0.25">
      <c r="A313" s="16">
        <v>1900487</v>
      </c>
      <c r="B313" s="16" t="s">
        <v>265</v>
      </c>
      <c r="C313" s="16">
        <v>14308</v>
      </c>
      <c r="D313" s="16" t="str">
        <f>VLOOKUP(C313,[1]道具配置表!$A:$D,4,FALSE)</f>
        <v>倪克罗</v>
      </c>
      <c r="E313" s="16">
        <v>5</v>
      </c>
      <c r="J313" s="16">
        <v>1</v>
      </c>
      <c r="L313" s="16" t="b">
        <v>1</v>
      </c>
    </row>
    <row r="314" spans="1:12" x14ac:dyDescent="0.25">
      <c r="A314" s="16">
        <v>1900488</v>
      </c>
      <c r="B314" s="16" t="s">
        <v>266</v>
      </c>
      <c r="C314" s="16">
        <v>14309</v>
      </c>
      <c r="D314" s="16" t="str">
        <f>VLOOKUP(C314,[1]道具配置表!$A:$D,4,FALSE)</f>
        <v>瓦斯克</v>
      </c>
      <c r="E314" s="16">
        <v>5</v>
      </c>
      <c r="J314" s="16">
        <v>1</v>
      </c>
      <c r="L314" s="16" t="b">
        <v>1</v>
      </c>
    </row>
    <row r="315" spans="1:12" x14ac:dyDescent="0.25">
      <c r="A315" s="16">
        <v>1900489</v>
      </c>
      <c r="B315" s="16" t="s">
        <v>267</v>
      </c>
      <c r="C315" s="16">
        <v>102</v>
      </c>
      <c r="D315" s="16" t="str">
        <f>VLOOKUP(C315,[1]道具配置表!$A:$D,4,FALSE)</f>
        <v>1食物</v>
      </c>
      <c r="E315" s="16">
        <v>9000</v>
      </c>
      <c r="J315" s="16">
        <v>1</v>
      </c>
      <c r="L315" s="16" t="b">
        <v>1</v>
      </c>
    </row>
    <row r="316" spans="1:12" x14ac:dyDescent="0.25">
      <c r="A316" s="16">
        <v>1900490</v>
      </c>
      <c r="B316" s="16" t="s">
        <v>268</v>
      </c>
      <c r="C316" s="16">
        <v>7003</v>
      </c>
      <c r="D316" s="16" t="str">
        <f>VLOOKUP(C316,[1]道具配置表!$A:$D,4,FALSE)</f>
        <v>1银币（立即使用，不进背包）</v>
      </c>
      <c r="E316" s="16">
        <v>100</v>
      </c>
      <c r="J316" s="16">
        <v>1</v>
      </c>
      <c r="L316" s="16" t="b">
        <v>1</v>
      </c>
    </row>
    <row r="317" spans="1:12" x14ac:dyDescent="0.25">
      <c r="A317" s="16">
        <v>1900491</v>
      </c>
      <c r="B317" s="16" t="s">
        <v>269</v>
      </c>
      <c r="C317" s="16">
        <v>17300</v>
      </c>
      <c r="D317" s="16" t="str">
        <f>VLOOKUP(C317,[1]道具配置表!$A:$D,4,FALSE)</f>
        <v>名人冒险宝箱（蓝）</v>
      </c>
      <c r="E317" s="16">
        <v>5</v>
      </c>
      <c r="J317" s="16">
        <v>1</v>
      </c>
      <c r="L317" s="16" t="b">
        <v>1</v>
      </c>
    </row>
    <row r="318" spans="1:12" x14ac:dyDescent="0.25">
      <c r="A318" s="16">
        <v>1900492</v>
      </c>
      <c r="B318" s="16" t="s">
        <v>270</v>
      </c>
      <c r="C318" s="16">
        <v>17301</v>
      </c>
      <c r="D318" s="16" t="str">
        <f>VLOOKUP(C318,[1]道具配置表!$A:$D,4,FALSE)</f>
        <v>名人冒险宝箱（紫）</v>
      </c>
      <c r="E318" s="16">
        <v>5</v>
      </c>
      <c r="J318" s="16">
        <v>1</v>
      </c>
      <c r="L318" s="16" t="b">
        <v>1</v>
      </c>
    </row>
    <row r="319" spans="1:12" x14ac:dyDescent="0.25">
      <c r="A319" s="16">
        <v>1900493</v>
      </c>
      <c r="B319" s="16" t="s">
        <v>271</v>
      </c>
      <c r="C319" s="16">
        <v>17302</v>
      </c>
      <c r="D319" s="16" t="str">
        <f>VLOOKUP(C319,[1]道具配置表!$A:$D,4,FALSE)</f>
        <v>名人冒险宝箱（橙）</v>
      </c>
      <c r="E319" s="16">
        <v>5</v>
      </c>
      <c r="J319" s="16">
        <v>1</v>
      </c>
      <c r="L319" s="16" t="b">
        <v>1</v>
      </c>
    </row>
    <row r="320" spans="1:12" x14ac:dyDescent="0.25">
      <c r="A320" s="16">
        <v>1900494</v>
      </c>
      <c r="B320" s="16" t="s">
        <v>272</v>
      </c>
      <c r="C320" s="16">
        <v>14109</v>
      </c>
      <c r="D320" s="16" t="str">
        <f>VLOOKUP(C320,[1]道具配置表!$A:$D,4,FALSE)</f>
        <v>亚基</v>
      </c>
      <c r="E320" s="16">
        <v>5</v>
      </c>
      <c r="J320" s="16">
        <v>1</v>
      </c>
      <c r="L320" s="16" t="b">
        <v>1</v>
      </c>
    </row>
    <row r="321" spans="1:12" x14ac:dyDescent="0.25">
      <c r="A321" s="16">
        <v>1900495</v>
      </c>
      <c r="B321" s="16" t="s">
        <v>273</v>
      </c>
      <c r="C321" s="16">
        <v>14202</v>
      </c>
      <c r="D321" s="16" t="str">
        <f>VLOOKUP(C321,[1]道具配置表!$A:$D,4,FALSE)</f>
        <v>方选</v>
      </c>
      <c r="E321" s="16">
        <v>5</v>
      </c>
      <c r="J321" s="16">
        <v>1</v>
      </c>
      <c r="L321" s="16" t="b">
        <v>1</v>
      </c>
    </row>
    <row r="322" spans="1:12" x14ac:dyDescent="0.25">
      <c r="A322" s="16">
        <v>1900496</v>
      </c>
      <c r="B322" s="16" t="s">
        <v>274</v>
      </c>
      <c r="C322" s="16">
        <v>14302</v>
      </c>
      <c r="D322" s="16" t="str">
        <f>VLOOKUP(C322,[1]道具配置表!$A:$D,4,FALSE)</f>
        <v>尼古劳斯</v>
      </c>
      <c r="E322" s="16">
        <v>5</v>
      </c>
      <c r="J322" s="16">
        <v>1</v>
      </c>
      <c r="L322" s="16" t="b">
        <v>1</v>
      </c>
    </row>
    <row r="323" spans="1:12" x14ac:dyDescent="0.25">
      <c r="A323" s="16">
        <v>1900497</v>
      </c>
      <c r="B323" s="16" t="s">
        <v>275</v>
      </c>
      <c r="C323" s="16">
        <v>14303</v>
      </c>
      <c r="D323" s="16" t="str">
        <f>VLOOKUP(C323,[1]道具配置表!$A:$D,4,FALSE)</f>
        <v>拉格纳</v>
      </c>
      <c r="E323" s="16">
        <v>5</v>
      </c>
      <c r="J323" s="16">
        <v>1</v>
      </c>
      <c r="L323" s="16" t="b">
        <v>1</v>
      </c>
    </row>
    <row r="324" spans="1:12" x14ac:dyDescent="0.25">
      <c r="A324" s="16">
        <v>1900498</v>
      </c>
      <c r="B324" s="16" t="s">
        <v>276</v>
      </c>
      <c r="C324" s="16">
        <v>14304</v>
      </c>
      <c r="D324" s="16" t="str">
        <f>VLOOKUP(C324,[1]道具配置表!$A:$D,4,FALSE)</f>
        <v>公孙</v>
      </c>
      <c r="E324" s="16">
        <v>5</v>
      </c>
      <c r="J324" s="16">
        <v>1</v>
      </c>
      <c r="L324" s="16" t="b">
        <v>1</v>
      </c>
    </row>
    <row r="325" spans="1:12" x14ac:dyDescent="0.25">
      <c r="A325" s="16">
        <v>1900499</v>
      </c>
      <c r="B325" s="16" t="s">
        <v>277</v>
      </c>
      <c r="C325" s="16">
        <v>14305</v>
      </c>
      <c r="D325" s="16" t="str">
        <f>VLOOKUP(C325,[1]道具配置表!$A:$D,4,FALSE)</f>
        <v>德罗茜</v>
      </c>
      <c r="E325" s="16">
        <v>5</v>
      </c>
      <c r="J325" s="16">
        <v>1</v>
      </c>
      <c r="L325" s="16" t="b">
        <v>1</v>
      </c>
    </row>
    <row r="326" spans="1:12" x14ac:dyDescent="0.25">
      <c r="A326" s="16">
        <v>1900500</v>
      </c>
      <c r="B326" s="16" t="s">
        <v>278</v>
      </c>
      <c r="C326" s="16">
        <v>14306</v>
      </c>
      <c r="D326" s="16" t="str">
        <f>VLOOKUP(C326,[1]道具配置表!$A:$D,4,FALSE)</f>
        <v>佩里克勒斯</v>
      </c>
      <c r="E326" s="16">
        <v>5</v>
      </c>
      <c r="J326" s="16">
        <v>1</v>
      </c>
      <c r="L326" s="16" t="b">
        <v>1</v>
      </c>
    </row>
    <row r="327" spans="1:12" x14ac:dyDescent="0.25">
      <c r="A327" s="16">
        <v>1900501</v>
      </c>
      <c r="B327" s="16" t="s">
        <v>279</v>
      </c>
      <c r="C327" s="16">
        <v>14307</v>
      </c>
      <c r="D327" s="16" t="str">
        <f>VLOOKUP(C327,[1]道具配置表!$A:$D,4,FALSE)</f>
        <v>元元公主</v>
      </c>
      <c r="E327" s="16">
        <v>5</v>
      </c>
      <c r="J327" s="16">
        <v>1</v>
      </c>
      <c r="L327" s="16" t="b">
        <v>1</v>
      </c>
    </row>
    <row r="328" spans="1:12" x14ac:dyDescent="0.25">
      <c r="A328" s="16">
        <v>1900502</v>
      </c>
      <c r="B328" s="16" t="s">
        <v>280</v>
      </c>
      <c r="C328" s="16">
        <v>14308</v>
      </c>
      <c r="D328" s="16" t="str">
        <f>VLOOKUP(C328,[1]道具配置表!$A:$D,4,FALSE)</f>
        <v>倪克罗</v>
      </c>
      <c r="E328" s="16">
        <v>5</v>
      </c>
      <c r="J328" s="16">
        <v>1</v>
      </c>
      <c r="L328" s="16" t="b">
        <v>1</v>
      </c>
    </row>
    <row r="329" spans="1:12" x14ac:dyDescent="0.25">
      <c r="A329" s="16">
        <v>1900503</v>
      </c>
      <c r="B329" s="16" t="s">
        <v>281</v>
      </c>
      <c r="C329" s="16">
        <v>14309</v>
      </c>
      <c r="D329" s="16" t="str">
        <f>VLOOKUP(C329,[1]道具配置表!$A:$D,4,FALSE)</f>
        <v>瓦斯克</v>
      </c>
      <c r="E329" s="16">
        <v>5</v>
      </c>
      <c r="J329" s="16">
        <v>1</v>
      </c>
      <c r="L329" s="16" t="b">
        <v>1</v>
      </c>
    </row>
    <row r="330" spans="1:12" x14ac:dyDescent="0.25">
      <c r="A330" s="16">
        <v>1900504</v>
      </c>
      <c r="B330" s="16" t="s">
        <v>282</v>
      </c>
      <c r="C330" s="16">
        <v>102</v>
      </c>
      <c r="D330" s="16" t="str">
        <f>VLOOKUP(C330,[1]道具配置表!$A:$D,4,FALSE)</f>
        <v>1食物</v>
      </c>
      <c r="E330" s="16">
        <v>10000</v>
      </c>
      <c r="J330" s="16">
        <v>1</v>
      </c>
      <c r="L330" s="16" t="b">
        <v>1</v>
      </c>
    </row>
    <row r="331" spans="1:12" x14ac:dyDescent="0.25">
      <c r="A331" s="16">
        <v>1900505</v>
      </c>
      <c r="B331" s="16" t="s">
        <v>283</v>
      </c>
      <c r="C331" s="16">
        <v>7003</v>
      </c>
      <c r="D331" s="16" t="str">
        <f>VLOOKUP(C331,[1]道具配置表!$A:$D,4,FALSE)</f>
        <v>1银币（立即使用，不进背包）</v>
      </c>
      <c r="E331" s="16">
        <v>100</v>
      </c>
      <c r="J331" s="16">
        <v>1</v>
      </c>
      <c r="L331" s="16" t="b">
        <v>1</v>
      </c>
    </row>
    <row r="332" spans="1:12" x14ac:dyDescent="0.25">
      <c r="A332" s="16">
        <v>1900506</v>
      </c>
      <c r="B332" s="16" t="s">
        <v>284</v>
      </c>
      <c r="C332" s="16">
        <v>17300</v>
      </c>
      <c r="D332" s="16" t="str">
        <f>VLOOKUP(C332,[1]道具配置表!$A:$D,4,FALSE)</f>
        <v>名人冒险宝箱（蓝）</v>
      </c>
      <c r="E332" s="16">
        <v>5</v>
      </c>
      <c r="J332" s="16">
        <v>1</v>
      </c>
      <c r="L332" s="16" t="b">
        <v>1</v>
      </c>
    </row>
    <row r="333" spans="1:12" x14ac:dyDescent="0.25">
      <c r="A333" s="16">
        <v>1900507</v>
      </c>
      <c r="B333" s="16" t="s">
        <v>285</v>
      </c>
      <c r="C333" s="16">
        <v>17301</v>
      </c>
      <c r="D333" s="16" t="str">
        <f>VLOOKUP(C333,[1]道具配置表!$A:$D,4,FALSE)</f>
        <v>名人冒险宝箱（紫）</v>
      </c>
      <c r="E333" s="16">
        <v>5</v>
      </c>
      <c r="J333" s="16">
        <v>1</v>
      </c>
      <c r="L333" s="16" t="b">
        <v>1</v>
      </c>
    </row>
    <row r="334" spans="1:12" x14ac:dyDescent="0.25">
      <c r="A334" s="16">
        <v>1900508</v>
      </c>
      <c r="B334" s="16" t="s">
        <v>286</v>
      </c>
      <c r="C334" s="16">
        <v>17302</v>
      </c>
      <c r="D334" s="16" t="str">
        <f>VLOOKUP(C334,[1]道具配置表!$A:$D,4,FALSE)</f>
        <v>名人冒险宝箱（橙）</v>
      </c>
      <c r="E334" s="16">
        <v>5</v>
      </c>
      <c r="J334" s="16">
        <v>1</v>
      </c>
      <c r="L334" s="16" t="b">
        <v>1</v>
      </c>
    </row>
    <row r="335" spans="1:12" x14ac:dyDescent="0.25">
      <c r="A335" s="16">
        <v>1900509</v>
      </c>
      <c r="B335" s="16" t="s">
        <v>287</v>
      </c>
      <c r="C335" s="16">
        <v>14109</v>
      </c>
      <c r="D335" s="16" t="str">
        <f>VLOOKUP(C335,[1]道具配置表!$A:$D,4,FALSE)</f>
        <v>亚基</v>
      </c>
      <c r="E335" s="16">
        <v>5</v>
      </c>
      <c r="J335" s="16">
        <v>1</v>
      </c>
      <c r="L335" s="16" t="b">
        <v>1</v>
      </c>
    </row>
    <row r="336" spans="1:12" x14ac:dyDescent="0.25">
      <c r="A336" s="16">
        <v>1900510</v>
      </c>
      <c r="B336" s="16" t="s">
        <v>288</v>
      </c>
      <c r="C336" s="16">
        <v>14202</v>
      </c>
      <c r="D336" s="16" t="str">
        <f>VLOOKUP(C336,[1]道具配置表!$A:$D,4,FALSE)</f>
        <v>方选</v>
      </c>
      <c r="E336" s="16">
        <v>5</v>
      </c>
      <c r="J336" s="16">
        <v>1</v>
      </c>
      <c r="L336" s="16" t="b">
        <v>1</v>
      </c>
    </row>
    <row r="337" spans="1:12" x14ac:dyDescent="0.25">
      <c r="A337" s="16">
        <v>1900511</v>
      </c>
      <c r="B337" s="16" t="s">
        <v>289</v>
      </c>
      <c r="C337" s="16">
        <v>14302</v>
      </c>
      <c r="D337" s="16" t="str">
        <f>VLOOKUP(C337,[1]道具配置表!$A:$D,4,FALSE)</f>
        <v>尼古劳斯</v>
      </c>
      <c r="E337" s="16">
        <v>5</v>
      </c>
      <c r="J337" s="16">
        <v>1</v>
      </c>
      <c r="L337" s="16" t="b">
        <v>1</v>
      </c>
    </row>
    <row r="338" spans="1:12" x14ac:dyDescent="0.25">
      <c r="A338" s="16">
        <v>1900512</v>
      </c>
      <c r="B338" s="16" t="s">
        <v>290</v>
      </c>
      <c r="C338" s="16">
        <v>14303</v>
      </c>
      <c r="D338" s="16" t="str">
        <f>VLOOKUP(C338,[1]道具配置表!$A:$D,4,FALSE)</f>
        <v>拉格纳</v>
      </c>
      <c r="E338" s="16">
        <v>5</v>
      </c>
      <c r="J338" s="16">
        <v>1</v>
      </c>
      <c r="L338" s="16" t="b">
        <v>1</v>
      </c>
    </row>
    <row r="339" spans="1:12" x14ac:dyDescent="0.25">
      <c r="A339" s="16">
        <v>1900513</v>
      </c>
      <c r="B339" s="16" t="s">
        <v>291</v>
      </c>
      <c r="C339" s="16">
        <v>14304</v>
      </c>
      <c r="D339" s="16" t="str">
        <f>VLOOKUP(C339,[1]道具配置表!$A:$D,4,FALSE)</f>
        <v>公孙</v>
      </c>
      <c r="E339" s="16">
        <v>5</v>
      </c>
      <c r="J339" s="16">
        <v>1</v>
      </c>
      <c r="L339" s="16" t="b">
        <v>1</v>
      </c>
    </row>
    <row r="340" spans="1:12" x14ac:dyDescent="0.25">
      <c r="A340" s="16">
        <v>1900514</v>
      </c>
      <c r="B340" s="16" t="s">
        <v>292</v>
      </c>
      <c r="C340" s="16">
        <v>14305</v>
      </c>
      <c r="D340" s="16" t="str">
        <f>VLOOKUP(C340,[1]道具配置表!$A:$D,4,FALSE)</f>
        <v>德罗茜</v>
      </c>
      <c r="E340" s="16">
        <v>5</v>
      </c>
      <c r="J340" s="16">
        <v>1</v>
      </c>
      <c r="L340" s="16" t="b">
        <v>1</v>
      </c>
    </row>
    <row r="341" spans="1:12" x14ac:dyDescent="0.25">
      <c r="A341" s="16">
        <v>1900515</v>
      </c>
      <c r="B341" s="16" t="s">
        <v>293</v>
      </c>
      <c r="C341" s="16">
        <v>14306</v>
      </c>
      <c r="D341" s="16" t="str">
        <f>VLOOKUP(C341,[1]道具配置表!$A:$D,4,FALSE)</f>
        <v>佩里克勒斯</v>
      </c>
      <c r="E341" s="16">
        <v>5</v>
      </c>
      <c r="J341" s="16">
        <v>1</v>
      </c>
      <c r="L341" s="16" t="b">
        <v>1</v>
      </c>
    </row>
    <row r="342" spans="1:12" x14ac:dyDescent="0.25">
      <c r="A342" s="16">
        <v>1900516</v>
      </c>
      <c r="B342" s="16" t="s">
        <v>294</v>
      </c>
      <c r="C342" s="16">
        <v>14307</v>
      </c>
      <c r="D342" s="16" t="str">
        <f>VLOOKUP(C342,[1]道具配置表!$A:$D,4,FALSE)</f>
        <v>元元公主</v>
      </c>
      <c r="E342" s="16">
        <v>5</v>
      </c>
      <c r="J342" s="16">
        <v>1</v>
      </c>
      <c r="L342" s="16" t="b">
        <v>1</v>
      </c>
    </row>
    <row r="343" spans="1:12" x14ac:dyDescent="0.25">
      <c r="A343" s="16">
        <v>1900517</v>
      </c>
      <c r="B343" s="16" t="s">
        <v>295</v>
      </c>
      <c r="C343" s="16">
        <v>14308</v>
      </c>
      <c r="D343" s="16" t="str">
        <f>VLOOKUP(C343,[1]道具配置表!$A:$D,4,FALSE)</f>
        <v>倪克罗</v>
      </c>
      <c r="E343" s="16">
        <v>5</v>
      </c>
      <c r="J343" s="16">
        <v>1</v>
      </c>
      <c r="L343" s="16" t="b">
        <v>1</v>
      </c>
    </row>
    <row r="344" spans="1:12" x14ac:dyDescent="0.25">
      <c r="A344" s="16">
        <v>1900518</v>
      </c>
      <c r="B344" s="16" t="s">
        <v>296</v>
      </c>
      <c r="C344" s="16">
        <v>14309</v>
      </c>
      <c r="D344" s="16" t="str">
        <f>VLOOKUP(C344,[1]道具配置表!$A:$D,4,FALSE)</f>
        <v>瓦斯克</v>
      </c>
      <c r="E344" s="16">
        <v>5</v>
      </c>
      <c r="J344" s="16">
        <v>1</v>
      </c>
      <c r="L344" s="16" t="b">
        <v>1</v>
      </c>
    </row>
    <row r="345" spans="1:12" x14ac:dyDescent="0.25">
      <c r="A345" s="16">
        <v>1900519</v>
      </c>
      <c r="B345" s="16" t="s">
        <v>297</v>
      </c>
      <c r="C345" s="16">
        <v>102</v>
      </c>
      <c r="D345" s="16" t="str">
        <f>VLOOKUP(C345,[1]道具配置表!$A:$D,4,FALSE)</f>
        <v>1食物</v>
      </c>
      <c r="E345" s="16">
        <v>11000</v>
      </c>
      <c r="J345" s="16">
        <v>1</v>
      </c>
      <c r="L345" s="16" t="b">
        <v>1</v>
      </c>
    </row>
    <row r="346" spans="1:12" x14ac:dyDescent="0.25">
      <c r="A346" s="16">
        <v>1900520</v>
      </c>
      <c r="B346" s="16" t="s">
        <v>298</v>
      </c>
      <c r="C346" s="16">
        <v>7003</v>
      </c>
      <c r="D346" s="16" t="str">
        <f>VLOOKUP(C346,[1]道具配置表!$A:$D,4,FALSE)</f>
        <v>1银币（立即使用，不进背包）</v>
      </c>
      <c r="E346" s="16">
        <v>100</v>
      </c>
      <c r="J346" s="16">
        <v>1</v>
      </c>
      <c r="L346" s="16" t="b">
        <v>1</v>
      </c>
    </row>
    <row r="347" spans="1:12" x14ac:dyDescent="0.25">
      <c r="A347" s="16">
        <v>1900601</v>
      </c>
      <c r="B347" s="16" t="s">
        <v>299</v>
      </c>
      <c r="C347" s="16">
        <v>101</v>
      </c>
      <c r="D347" s="16" t="str">
        <f>VLOOKUP(C347,[1]道具配置表!$A:$D,4,FALSE)</f>
        <v>1木材</v>
      </c>
      <c r="E347" s="16">
        <v>5000</v>
      </c>
      <c r="J347" s="16">
        <v>1</v>
      </c>
      <c r="L347" s="16" t="b">
        <v>1</v>
      </c>
    </row>
    <row r="348" spans="1:12" x14ac:dyDescent="0.25">
      <c r="A348" s="16">
        <v>1900602</v>
      </c>
      <c r="B348" s="16" t="s">
        <v>300</v>
      </c>
      <c r="C348" s="16">
        <v>103</v>
      </c>
      <c r="D348" s="16" t="str">
        <f>VLOOKUP(C348,[1]道具配置表!$A:$D,4,FALSE)</f>
        <v>1石头</v>
      </c>
      <c r="E348" s="16">
        <v>5000</v>
      </c>
      <c r="J348" s="16">
        <v>1</v>
      </c>
      <c r="L348" s="16" t="b">
        <v>1</v>
      </c>
    </row>
    <row r="349" spans="1:12" x14ac:dyDescent="0.25">
      <c r="A349" s="16">
        <v>1900603</v>
      </c>
      <c r="B349" s="16" t="s">
        <v>301</v>
      </c>
      <c r="C349" s="16">
        <v>104</v>
      </c>
      <c r="D349" s="16" t="str">
        <f>VLOOKUP(C349,[1]道具配置表!$A:$D,4,FALSE)</f>
        <v>1黄金</v>
      </c>
      <c r="E349" s="16">
        <v>5000</v>
      </c>
      <c r="J349" s="16">
        <v>1</v>
      </c>
      <c r="L349" s="16" t="b">
        <v>1</v>
      </c>
    </row>
    <row r="350" spans="1:12" x14ac:dyDescent="0.25">
      <c r="A350" s="16">
        <v>1900604</v>
      </c>
      <c r="B350" s="16" t="s">
        <v>302</v>
      </c>
      <c r="C350" s="16">
        <f t="shared" ref="C350:C381" si="8">C347</f>
        <v>101</v>
      </c>
      <c r="D350" s="16" t="str">
        <f>VLOOKUP(C350,[1]道具配置表!$A:$D,4,FALSE)</f>
        <v>1木材</v>
      </c>
      <c r="E350" s="16">
        <f>E347*2</f>
        <v>10000</v>
      </c>
      <c r="J350" s="16">
        <v>1</v>
      </c>
      <c r="L350" s="16" t="b">
        <v>1</v>
      </c>
    </row>
    <row r="351" spans="1:12" x14ac:dyDescent="0.25">
      <c r="A351" s="16">
        <v>1900605</v>
      </c>
      <c r="B351" s="16" t="s">
        <v>303</v>
      </c>
      <c r="C351" s="16">
        <f t="shared" si="8"/>
        <v>103</v>
      </c>
      <c r="D351" s="16" t="str">
        <f>VLOOKUP(C351,[1]道具配置表!$A:$D,4,FALSE)</f>
        <v>1石头</v>
      </c>
      <c r="E351" s="16">
        <f>E348*2</f>
        <v>10000</v>
      </c>
      <c r="J351" s="16">
        <v>1</v>
      </c>
      <c r="L351" s="16" t="b">
        <v>1</v>
      </c>
    </row>
    <row r="352" spans="1:12" x14ac:dyDescent="0.25">
      <c r="A352" s="16">
        <v>1900606</v>
      </c>
      <c r="B352" s="16" t="s">
        <v>304</v>
      </c>
      <c r="C352" s="16">
        <f t="shared" si="8"/>
        <v>104</v>
      </c>
      <c r="D352" s="16" t="str">
        <f>VLOOKUP(C352,[1]道具配置表!$A:$D,4,FALSE)</f>
        <v>1黄金</v>
      </c>
      <c r="E352" s="16">
        <f>E349*2</f>
        <v>10000</v>
      </c>
      <c r="J352" s="16">
        <v>1</v>
      </c>
      <c r="L352" s="16" t="b">
        <v>1</v>
      </c>
    </row>
    <row r="353" spans="1:12" x14ac:dyDescent="0.25">
      <c r="A353" s="16">
        <v>1900607</v>
      </c>
      <c r="B353" s="16" t="s">
        <v>305</v>
      </c>
      <c r="C353" s="16">
        <f t="shared" si="8"/>
        <v>101</v>
      </c>
      <c r="D353" s="16" t="str">
        <f>VLOOKUP(C353,[1]道具配置表!$A:$D,4,FALSE)</f>
        <v>1木材</v>
      </c>
      <c r="E353" s="16">
        <f>E347+2000</f>
        <v>7000</v>
      </c>
      <c r="J353" s="16">
        <v>1</v>
      </c>
      <c r="L353" s="16" t="b">
        <v>1</v>
      </c>
    </row>
    <row r="354" spans="1:12" x14ac:dyDescent="0.25">
      <c r="A354" s="16">
        <v>1900608</v>
      </c>
      <c r="B354" s="16" t="s">
        <v>306</v>
      </c>
      <c r="C354" s="16">
        <f t="shared" si="8"/>
        <v>103</v>
      </c>
      <c r="D354" s="16" t="str">
        <f>VLOOKUP(C354,[1]道具配置表!$A:$D,4,FALSE)</f>
        <v>1石头</v>
      </c>
      <c r="E354" s="16">
        <f>E348+2000</f>
        <v>7000</v>
      </c>
      <c r="J354" s="16">
        <v>1</v>
      </c>
      <c r="L354" s="16" t="b">
        <v>1</v>
      </c>
    </row>
    <row r="355" spans="1:12" x14ac:dyDescent="0.25">
      <c r="A355" s="16">
        <v>1900609</v>
      </c>
      <c r="B355" s="16" t="s">
        <v>307</v>
      </c>
      <c r="C355" s="16">
        <f t="shared" si="8"/>
        <v>104</v>
      </c>
      <c r="D355" s="16" t="str">
        <f>VLOOKUP(C355,[1]道具配置表!$A:$D,4,FALSE)</f>
        <v>1黄金</v>
      </c>
      <c r="E355" s="16">
        <f>E349+2000</f>
        <v>7000</v>
      </c>
      <c r="J355" s="16">
        <v>1</v>
      </c>
      <c r="L355" s="16" t="b">
        <v>1</v>
      </c>
    </row>
    <row r="356" spans="1:12" x14ac:dyDescent="0.25">
      <c r="A356" s="16">
        <v>1900610</v>
      </c>
      <c r="B356" s="16" t="s">
        <v>305</v>
      </c>
      <c r="C356" s="16">
        <f t="shared" si="8"/>
        <v>101</v>
      </c>
      <c r="D356" s="16" t="str">
        <f>VLOOKUP(C356,[1]道具配置表!$A:$D,4,FALSE)</f>
        <v>1木材</v>
      </c>
      <c r="E356" s="16">
        <f>E353*2</f>
        <v>14000</v>
      </c>
      <c r="J356" s="16">
        <v>1</v>
      </c>
      <c r="L356" s="16" t="b">
        <v>1</v>
      </c>
    </row>
    <row r="357" spans="1:12" x14ac:dyDescent="0.25">
      <c r="A357" s="16">
        <v>1900611</v>
      </c>
      <c r="B357" s="16" t="s">
        <v>306</v>
      </c>
      <c r="C357" s="16">
        <f t="shared" si="8"/>
        <v>103</v>
      </c>
      <c r="D357" s="16" t="str">
        <f>VLOOKUP(C357,[1]道具配置表!$A:$D,4,FALSE)</f>
        <v>1石头</v>
      </c>
      <c r="E357" s="16">
        <f>E354*2</f>
        <v>14000</v>
      </c>
      <c r="J357" s="16">
        <v>1</v>
      </c>
      <c r="L357" s="16" t="b">
        <v>1</v>
      </c>
    </row>
    <row r="358" spans="1:12" x14ac:dyDescent="0.25">
      <c r="A358" s="16">
        <v>1900612</v>
      </c>
      <c r="B358" s="16" t="s">
        <v>307</v>
      </c>
      <c r="C358" s="16">
        <f t="shared" si="8"/>
        <v>104</v>
      </c>
      <c r="D358" s="16" t="str">
        <f>VLOOKUP(C358,[1]道具配置表!$A:$D,4,FALSE)</f>
        <v>1黄金</v>
      </c>
      <c r="E358" s="16">
        <f>E355*2</f>
        <v>14000</v>
      </c>
      <c r="J358" s="16">
        <v>1</v>
      </c>
      <c r="L358" s="16" t="b">
        <v>1</v>
      </c>
    </row>
    <row r="359" spans="1:12" x14ac:dyDescent="0.25">
      <c r="A359" s="16">
        <v>1900613</v>
      </c>
      <c r="B359" s="16" t="s">
        <v>308</v>
      </c>
      <c r="C359" s="16">
        <f t="shared" si="8"/>
        <v>101</v>
      </c>
      <c r="D359" s="16" t="str">
        <f>VLOOKUP(C359,[1]道具配置表!$A:$D,4,FALSE)</f>
        <v>1木材</v>
      </c>
      <c r="E359" s="16">
        <f>E353+2000</f>
        <v>9000</v>
      </c>
      <c r="J359" s="16">
        <v>1</v>
      </c>
      <c r="L359" s="16" t="b">
        <v>1</v>
      </c>
    </row>
    <row r="360" spans="1:12" x14ac:dyDescent="0.25">
      <c r="A360" s="16">
        <v>1900614</v>
      </c>
      <c r="B360" s="16" t="s">
        <v>309</v>
      </c>
      <c r="C360" s="16">
        <f t="shared" si="8"/>
        <v>103</v>
      </c>
      <c r="D360" s="16" t="str">
        <f>VLOOKUP(C360,[1]道具配置表!$A:$D,4,FALSE)</f>
        <v>1石头</v>
      </c>
      <c r="E360" s="16">
        <f>E354+2000</f>
        <v>9000</v>
      </c>
      <c r="J360" s="16">
        <v>1</v>
      </c>
      <c r="L360" s="16" t="b">
        <v>1</v>
      </c>
    </row>
    <row r="361" spans="1:12" x14ac:dyDescent="0.25">
      <c r="A361" s="16">
        <v>1900615</v>
      </c>
      <c r="B361" s="16" t="s">
        <v>310</v>
      </c>
      <c r="C361" s="16">
        <f t="shared" si="8"/>
        <v>104</v>
      </c>
      <c r="D361" s="16" t="str">
        <f>VLOOKUP(C361,[1]道具配置表!$A:$D,4,FALSE)</f>
        <v>1黄金</v>
      </c>
      <c r="E361" s="16">
        <f>E355+2000</f>
        <v>9000</v>
      </c>
      <c r="J361" s="16">
        <v>1</v>
      </c>
      <c r="L361" s="16" t="b">
        <v>1</v>
      </c>
    </row>
    <row r="362" spans="1:12" x14ac:dyDescent="0.25">
      <c r="A362" s="16">
        <v>1900616</v>
      </c>
      <c r="B362" s="16" t="s">
        <v>308</v>
      </c>
      <c r="C362" s="16">
        <f t="shared" si="8"/>
        <v>101</v>
      </c>
      <c r="D362" s="16" t="str">
        <f>VLOOKUP(C362,[1]道具配置表!$A:$D,4,FALSE)</f>
        <v>1木材</v>
      </c>
      <c r="E362" s="16">
        <f>E359*2</f>
        <v>18000</v>
      </c>
      <c r="J362" s="16">
        <v>1</v>
      </c>
      <c r="L362" s="16" t="b">
        <v>1</v>
      </c>
    </row>
    <row r="363" spans="1:12" x14ac:dyDescent="0.25">
      <c r="A363" s="16">
        <v>1900617</v>
      </c>
      <c r="B363" s="16" t="s">
        <v>309</v>
      </c>
      <c r="C363" s="16">
        <f t="shared" si="8"/>
        <v>103</v>
      </c>
      <c r="D363" s="16" t="str">
        <f>VLOOKUP(C363,[1]道具配置表!$A:$D,4,FALSE)</f>
        <v>1石头</v>
      </c>
      <c r="E363" s="16">
        <f>E360*2</f>
        <v>18000</v>
      </c>
      <c r="J363" s="16">
        <v>1</v>
      </c>
      <c r="L363" s="16" t="b">
        <v>1</v>
      </c>
    </row>
    <row r="364" spans="1:12" x14ac:dyDescent="0.25">
      <c r="A364" s="16">
        <v>1900618</v>
      </c>
      <c r="B364" s="16" t="s">
        <v>310</v>
      </c>
      <c r="C364" s="16">
        <f t="shared" si="8"/>
        <v>104</v>
      </c>
      <c r="D364" s="16" t="str">
        <f>VLOOKUP(C364,[1]道具配置表!$A:$D,4,FALSE)</f>
        <v>1黄金</v>
      </c>
      <c r="E364" s="16">
        <f>E361*2</f>
        <v>18000</v>
      </c>
      <c r="J364" s="16">
        <v>1</v>
      </c>
      <c r="L364" s="16" t="b">
        <v>1</v>
      </c>
    </row>
    <row r="365" spans="1:12" x14ac:dyDescent="0.25">
      <c r="A365" s="16">
        <v>1900619</v>
      </c>
      <c r="B365" s="16" t="s">
        <v>311</v>
      </c>
      <c r="C365" s="16">
        <f t="shared" si="8"/>
        <v>101</v>
      </c>
      <c r="D365" s="16" t="str">
        <f>VLOOKUP(C365,[1]道具配置表!$A:$D,4,FALSE)</f>
        <v>1木材</v>
      </c>
      <c r="E365" s="16">
        <f>E359+2000</f>
        <v>11000</v>
      </c>
      <c r="J365" s="16">
        <v>1</v>
      </c>
      <c r="L365" s="16" t="b">
        <v>1</v>
      </c>
    </row>
    <row r="366" spans="1:12" x14ac:dyDescent="0.25">
      <c r="A366" s="16">
        <v>1900620</v>
      </c>
      <c r="B366" s="16" t="s">
        <v>312</v>
      </c>
      <c r="C366" s="16">
        <f t="shared" si="8"/>
        <v>103</v>
      </c>
      <c r="D366" s="16" t="str">
        <f>VLOOKUP(C366,[1]道具配置表!$A:$D,4,FALSE)</f>
        <v>1石头</v>
      </c>
      <c r="E366" s="16">
        <f>E360+2000</f>
        <v>11000</v>
      </c>
      <c r="J366" s="16">
        <v>1</v>
      </c>
      <c r="L366" s="16" t="b">
        <v>1</v>
      </c>
    </row>
    <row r="367" spans="1:12" x14ac:dyDescent="0.25">
      <c r="A367" s="16">
        <v>1900621</v>
      </c>
      <c r="B367" s="16" t="s">
        <v>313</v>
      </c>
      <c r="C367" s="16">
        <f t="shared" si="8"/>
        <v>104</v>
      </c>
      <c r="D367" s="16" t="str">
        <f>VLOOKUP(C367,[1]道具配置表!$A:$D,4,FALSE)</f>
        <v>1黄金</v>
      </c>
      <c r="E367" s="16">
        <f>E361+2000</f>
        <v>11000</v>
      </c>
      <c r="J367" s="16">
        <v>1</v>
      </c>
      <c r="L367" s="16" t="b">
        <v>1</v>
      </c>
    </row>
    <row r="368" spans="1:12" x14ac:dyDescent="0.25">
      <c r="A368" s="16">
        <v>1900622</v>
      </c>
      <c r="B368" s="16" t="s">
        <v>311</v>
      </c>
      <c r="C368" s="16">
        <f t="shared" si="8"/>
        <v>101</v>
      </c>
      <c r="D368" s="16" t="str">
        <f>VLOOKUP(C368,[1]道具配置表!$A:$D,4,FALSE)</f>
        <v>1木材</v>
      </c>
      <c r="E368" s="16">
        <f>E365*2</f>
        <v>22000</v>
      </c>
      <c r="J368" s="16">
        <v>1</v>
      </c>
      <c r="L368" s="16" t="b">
        <v>1</v>
      </c>
    </row>
    <row r="369" spans="1:12" x14ac:dyDescent="0.25">
      <c r="A369" s="16">
        <v>1900623</v>
      </c>
      <c r="B369" s="16" t="s">
        <v>312</v>
      </c>
      <c r="C369" s="16">
        <f t="shared" si="8"/>
        <v>103</v>
      </c>
      <c r="D369" s="16" t="str">
        <f>VLOOKUP(C369,[1]道具配置表!$A:$D,4,FALSE)</f>
        <v>1石头</v>
      </c>
      <c r="E369" s="16">
        <f>E366*2</f>
        <v>22000</v>
      </c>
      <c r="J369" s="16">
        <v>1</v>
      </c>
      <c r="L369" s="16" t="b">
        <v>1</v>
      </c>
    </row>
    <row r="370" spans="1:12" x14ac:dyDescent="0.25">
      <c r="A370" s="16">
        <v>1900624</v>
      </c>
      <c r="B370" s="16" t="s">
        <v>313</v>
      </c>
      <c r="C370" s="16">
        <f t="shared" si="8"/>
        <v>104</v>
      </c>
      <c r="D370" s="16" t="str">
        <f>VLOOKUP(C370,[1]道具配置表!$A:$D,4,FALSE)</f>
        <v>1黄金</v>
      </c>
      <c r="E370" s="16">
        <f>E367*2</f>
        <v>22000</v>
      </c>
      <c r="J370" s="16">
        <v>1</v>
      </c>
      <c r="L370" s="16" t="b">
        <v>1</v>
      </c>
    </row>
    <row r="371" spans="1:12" x14ac:dyDescent="0.25">
      <c r="A371" s="16">
        <v>1900625</v>
      </c>
      <c r="B371" s="16" t="s">
        <v>314</v>
      </c>
      <c r="C371" s="16">
        <f t="shared" si="8"/>
        <v>101</v>
      </c>
      <c r="D371" s="16" t="str">
        <f>VLOOKUP(C371,[1]道具配置表!$A:$D,4,FALSE)</f>
        <v>1木材</v>
      </c>
      <c r="E371" s="16">
        <f>E365+2000</f>
        <v>13000</v>
      </c>
      <c r="J371" s="16">
        <v>1</v>
      </c>
      <c r="L371" s="16" t="b">
        <v>1</v>
      </c>
    </row>
    <row r="372" spans="1:12" x14ac:dyDescent="0.25">
      <c r="A372" s="16">
        <v>1900626</v>
      </c>
      <c r="B372" s="16" t="s">
        <v>315</v>
      </c>
      <c r="C372" s="16">
        <f t="shared" si="8"/>
        <v>103</v>
      </c>
      <c r="D372" s="16" t="str">
        <f>VLOOKUP(C372,[1]道具配置表!$A:$D,4,FALSE)</f>
        <v>1石头</v>
      </c>
      <c r="E372" s="16">
        <f>E366+2000</f>
        <v>13000</v>
      </c>
      <c r="J372" s="16">
        <v>1</v>
      </c>
      <c r="L372" s="16" t="b">
        <v>1</v>
      </c>
    </row>
    <row r="373" spans="1:12" x14ac:dyDescent="0.25">
      <c r="A373" s="16">
        <v>1900627</v>
      </c>
      <c r="B373" s="16" t="s">
        <v>316</v>
      </c>
      <c r="C373" s="16">
        <f t="shared" si="8"/>
        <v>104</v>
      </c>
      <c r="D373" s="16" t="str">
        <f>VLOOKUP(C373,[1]道具配置表!$A:$D,4,FALSE)</f>
        <v>1黄金</v>
      </c>
      <c r="E373" s="16">
        <f>E367+2000</f>
        <v>13000</v>
      </c>
      <c r="J373" s="16">
        <v>1</v>
      </c>
      <c r="L373" s="16" t="b">
        <v>1</v>
      </c>
    </row>
    <row r="374" spans="1:12" x14ac:dyDescent="0.25">
      <c r="A374" s="16">
        <v>1900628</v>
      </c>
      <c r="B374" s="16" t="s">
        <v>314</v>
      </c>
      <c r="C374" s="16">
        <f t="shared" si="8"/>
        <v>101</v>
      </c>
      <c r="D374" s="16" t="str">
        <f>VLOOKUP(C374,[1]道具配置表!$A:$D,4,FALSE)</f>
        <v>1木材</v>
      </c>
      <c r="E374" s="16">
        <f>E371*2</f>
        <v>26000</v>
      </c>
      <c r="J374" s="16">
        <v>1</v>
      </c>
      <c r="L374" s="16" t="b">
        <v>1</v>
      </c>
    </row>
    <row r="375" spans="1:12" x14ac:dyDescent="0.25">
      <c r="A375" s="16">
        <v>1900629</v>
      </c>
      <c r="B375" s="16" t="s">
        <v>315</v>
      </c>
      <c r="C375" s="16">
        <f t="shared" si="8"/>
        <v>103</v>
      </c>
      <c r="D375" s="16" t="str">
        <f>VLOOKUP(C375,[1]道具配置表!$A:$D,4,FALSE)</f>
        <v>1石头</v>
      </c>
      <c r="E375" s="16">
        <f>E372*2</f>
        <v>26000</v>
      </c>
      <c r="J375" s="16">
        <v>1</v>
      </c>
      <c r="L375" s="16" t="b">
        <v>1</v>
      </c>
    </row>
    <row r="376" spans="1:12" x14ac:dyDescent="0.25">
      <c r="A376" s="16">
        <v>1900630</v>
      </c>
      <c r="B376" s="16" t="s">
        <v>316</v>
      </c>
      <c r="C376" s="16">
        <f t="shared" si="8"/>
        <v>104</v>
      </c>
      <c r="D376" s="16" t="str">
        <f>VLOOKUP(C376,[1]道具配置表!$A:$D,4,FALSE)</f>
        <v>1黄金</v>
      </c>
      <c r="E376" s="16">
        <f>E373*2</f>
        <v>26000</v>
      </c>
      <c r="J376" s="16">
        <v>1</v>
      </c>
      <c r="L376" s="16" t="b">
        <v>1</v>
      </c>
    </row>
    <row r="377" spans="1:12" x14ac:dyDescent="0.25">
      <c r="A377" s="16">
        <v>1900631</v>
      </c>
      <c r="B377" s="16" t="s">
        <v>317</v>
      </c>
      <c r="C377" s="16">
        <f t="shared" si="8"/>
        <v>101</v>
      </c>
      <c r="D377" s="16" t="str">
        <f>VLOOKUP(C377,[1]道具配置表!$A:$D,4,FALSE)</f>
        <v>1木材</v>
      </c>
      <c r="E377" s="16">
        <f>E371+2000</f>
        <v>15000</v>
      </c>
      <c r="J377" s="16">
        <v>1</v>
      </c>
      <c r="L377" s="16" t="b">
        <v>1</v>
      </c>
    </row>
    <row r="378" spans="1:12" x14ac:dyDescent="0.25">
      <c r="A378" s="16">
        <v>1900632</v>
      </c>
      <c r="B378" s="16" t="s">
        <v>318</v>
      </c>
      <c r="C378" s="16">
        <f t="shared" si="8"/>
        <v>103</v>
      </c>
      <c r="D378" s="16" t="str">
        <f>VLOOKUP(C378,[1]道具配置表!$A:$D,4,FALSE)</f>
        <v>1石头</v>
      </c>
      <c r="E378" s="16">
        <f>E372+2000</f>
        <v>15000</v>
      </c>
      <c r="J378" s="16">
        <v>1</v>
      </c>
      <c r="L378" s="16" t="b">
        <v>1</v>
      </c>
    </row>
    <row r="379" spans="1:12" x14ac:dyDescent="0.25">
      <c r="A379" s="16">
        <v>1900633</v>
      </c>
      <c r="B379" s="16" t="s">
        <v>319</v>
      </c>
      <c r="C379" s="16">
        <f t="shared" si="8"/>
        <v>104</v>
      </c>
      <c r="D379" s="16" t="str">
        <f>VLOOKUP(C379,[1]道具配置表!$A:$D,4,FALSE)</f>
        <v>1黄金</v>
      </c>
      <c r="E379" s="16">
        <f>E373+2000</f>
        <v>15000</v>
      </c>
      <c r="J379" s="16">
        <v>1</v>
      </c>
      <c r="L379" s="16" t="b">
        <v>1</v>
      </c>
    </row>
    <row r="380" spans="1:12" x14ac:dyDescent="0.25">
      <c r="A380" s="16">
        <v>1900634</v>
      </c>
      <c r="B380" s="16" t="s">
        <v>317</v>
      </c>
      <c r="C380" s="16">
        <f t="shared" si="8"/>
        <v>101</v>
      </c>
      <c r="D380" s="16" t="str">
        <f>VLOOKUP(C380,[1]道具配置表!$A:$D,4,FALSE)</f>
        <v>1木材</v>
      </c>
      <c r="E380" s="16">
        <f>E377*2</f>
        <v>30000</v>
      </c>
      <c r="J380" s="16">
        <v>1</v>
      </c>
      <c r="L380" s="16" t="b">
        <v>1</v>
      </c>
    </row>
    <row r="381" spans="1:12" x14ac:dyDescent="0.25">
      <c r="A381" s="16">
        <v>1900635</v>
      </c>
      <c r="B381" s="16" t="s">
        <v>318</v>
      </c>
      <c r="C381" s="16">
        <f t="shared" si="8"/>
        <v>103</v>
      </c>
      <c r="D381" s="16" t="str">
        <f>VLOOKUP(C381,[1]道具配置表!$A:$D,4,FALSE)</f>
        <v>1石头</v>
      </c>
      <c r="E381" s="16">
        <f>E378*2</f>
        <v>30000</v>
      </c>
      <c r="J381" s="16">
        <v>1</v>
      </c>
      <c r="L381" s="16" t="b">
        <v>1</v>
      </c>
    </row>
    <row r="382" spans="1:12" x14ac:dyDescent="0.25">
      <c r="A382" s="16">
        <v>1900636</v>
      </c>
      <c r="B382" s="16" t="s">
        <v>319</v>
      </c>
      <c r="C382" s="16">
        <f t="shared" ref="C382:C413" si="9">C379</f>
        <v>104</v>
      </c>
      <c r="D382" s="16" t="str">
        <f>VLOOKUP(C382,[1]道具配置表!$A:$D,4,FALSE)</f>
        <v>1黄金</v>
      </c>
      <c r="E382" s="16">
        <f>E379*2</f>
        <v>30000</v>
      </c>
      <c r="J382" s="16">
        <v>1</v>
      </c>
      <c r="L382" s="16" t="b">
        <v>1</v>
      </c>
    </row>
    <row r="383" spans="1:12" x14ac:dyDescent="0.25">
      <c r="A383" s="16">
        <v>1900637</v>
      </c>
      <c r="B383" s="16" t="s">
        <v>320</v>
      </c>
      <c r="C383" s="16">
        <f t="shared" si="9"/>
        <v>101</v>
      </c>
      <c r="D383" s="16" t="str">
        <f>VLOOKUP(C383,[1]道具配置表!$A:$D,4,FALSE)</f>
        <v>1木材</v>
      </c>
      <c r="E383" s="16">
        <f>E377+2000</f>
        <v>17000</v>
      </c>
      <c r="J383" s="16">
        <v>1</v>
      </c>
      <c r="L383" s="16" t="b">
        <v>1</v>
      </c>
    </row>
    <row r="384" spans="1:12" x14ac:dyDescent="0.25">
      <c r="A384" s="16">
        <v>1900638</v>
      </c>
      <c r="B384" s="16" t="s">
        <v>321</v>
      </c>
      <c r="C384" s="16">
        <f t="shared" si="9"/>
        <v>103</v>
      </c>
      <c r="D384" s="16" t="str">
        <f>VLOOKUP(C384,[1]道具配置表!$A:$D,4,FALSE)</f>
        <v>1石头</v>
      </c>
      <c r="E384" s="16">
        <f>E378+2000</f>
        <v>17000</v>
      </c>
      <c r="J384" s="16">
        <v>1</v>
      </c>
      <c r="L384" s="16" t="b">
        <v>1</v>
      </c>
    </row>
    <row r="385" spans="1:12" x14ac:dyDescent="0.25">
      <c r="A385" s="16">
        <v>1900639</v>
      </c>
      <c r="B385" s="16" t="s">
        <v>322</v>
      </c>
      <c r="C385" s="16">
        <f t="shared" si="9"/>
        <v>104</v>
      </c>
      <c r="D385" s="16" t="str">
        <f>VLOOKUP(C385,[1]道具配置表!$A:$D,4,FALSE)</f>
        <v>1黄金</v>
      </c>
      <c r="E385" s="16">
        <f>E379+2000</f>
        <v>17000</v>
      </c>
      <c r="J385" s="16">
        <v>1</v>
      </c>
      <c r="L385" s="16" t="b">
        <v>1</v>
      </c>
    </row>
    <row r="386" spans="1:12" x14ac:dyDescent="0.25">
      <c r="A386" s="16">
        <v>1900640</v>
      </c>
      <c r="B386" s="16" t="s">
        <v>320</v>
      </c>
      <c r="C386" s="16">
        <f t="shared" si="9"/>
        <v>101</v>
      </c>
      <c r="D386" s="16" t="str">
        <f>VLOOKUP(C386,[1]道具配置表!$A:$D,4,FALSE)</f>
        <v>1木材</v>
      </c>
      <c r="E386" s="16">
        <f>E383*2</f>
        <v>34000</v>
      </c>
      <c r="J386" s="16">
        <v>1</v>
      </c>
      <c r="L386" s="16" t="b">
        <v>1</v>
      </c>
    </row>
    <row r="387" spans="1:12" x14ac:dyDescent="0.25">
      <c r="A387" s="16">
        <v>1900641</v>
      </c>
      <c r="B387" s="16" t="s">
        <v>321</v>
      </c>
      <c r="C387" s="16">
        <f t="shared" si="9"/>
        <v>103</v>
      </c>
      <c r="D387" s="16" t="str">
        <f>VLOOKUP(C387,[1]道具配置表!$A:$D,4,FALSE)</f>
        <v>1石头</v>
      </c>
      <c r="E387" s="16">
        <f>E384*2</f>
        <v>34000</v>
      </c>
      <c r="J387" s="16">
        <v>1</v>
      </c>
      <c r="L387" s="16" t="b">
        <v>1</v>
      </c>
    </row>
    <row r="388" spans="1:12" x14ac:dyDescent="0.25">
      <c r="A388" s="16">
        <v>1900642</v>
      </c>
      <c r="B388" s="16" t="s">
        <v>322</v>
      </c>
      <c r="C388" s="16">
        <f t="shared" si="9"/>
        <v>104</v>
      </c>
      <c r="D388" s="16" t="str">
        <f>VLOOKUP(C388,[1]道具配置表!$A:$D,4,FALSE)</f>
        <v>1黄金</v>
      </c>
      <c r="E388" s="16">
        <f>E385*2</f>
        <v>34000</v>
      </c>
      <c r="J388" s="16">
        <v>1</v>
      </c>
      <c r="L388" s="16" t="b">
        <v>1</v>
      </c>
    </row>
    <row r="389" spans="1:12" x14ac:dyDescent="0.25">
      <c r="A389" s="16">
        <v>1900643</v>
      </c>
      <c r="B389" s="16" t="s">
        <v>323</v>
      </c>
      <c r="C389" s="16">
        <f t="shared" si="9"/>
        <v>101</v>
      </c>
      <c r="D389" s="16" t="str">
        <f>VLOOKUP(C389,[1]道具配置表!$A:$D,4,FALSE)</f>
        <v>1木材</v>
      </c>
      <c r="E389" s="16">
        <f>E383+2000</f>
        <v>19000</v>
      </c>
      <c r="J389" s="16">
        <v>1</v>
      </c>
      <c r="L389" s="16" t="b">
        <v>1</v>
      </c>
    </row>
    <row r="390" spans="1:12" x14ac:dyDescent="0.25">
      <c r="A390" s="16">
        <v>1900644</v>
      </c>
      <c r="B390" s="16" t="s">
        <v>324</v>
      </c>
      <c r="C390" s="16">
        <f t="shared" si="9"/>
        <v>103</v>
      </c>
      <c r="D390" s="16" t="str">
        <f>VLOOKUP(C390,[1]道具配置表!$A:$D,4,FALSE)</f>
        <v>1石头</v>
      </c>
      <c r="E390" s="16">
        <f>E384+2000</f>
        <v>19000</v>
      </c>
      <c r="J390" s="16">
        <v>1</v>
      </c>
      <c r="L390" s="16" t="b">
        <v>1</v>
      </c>
    </row>
    <row r="391" spans="1:12" x14ac:dyDescent="0.25">
      <c r="A391" s="16">
        <v>1900645</v>
      </c>
      <c r="B391" s="16" t="s">
        <v>325</v>
      </c>
      <c r="C391" s="16">
        <f t="shared" si="9"/>
        <v>104</v>
      </c>
      <c r="D391" s="16" t="str">
        <f>VLOOKUP(C391,[1]道具配置表!$A:$D,4,FALSE)</f>
        <v>1黄金</v>
      </c>
      <c r="E391" s="16">
        <f>E385+2000</f>
        <v>19000</v>
      </c>
      <c r="J391" s="16">
        <v>1</v>
      </c>
      <c r="L391" s="16" t="b">
        <v>1</v>
      </c>
    </row>
    <row r="392" spans="1:12" x14ac:dyDescent="0.25">
      <c r="A392" s="16">
        <v>1900646</v>
      </c>
      <c r="B392" s="16" t="s">
        <v>323</v>
      </c>
      <c r="C392" s="16">
        <f t="shared" si="9"/>
        <v>101</v>
      </c>
      <c r="D392" s="16" t="str">
        <f>VLOOKUP(C392,[1]道具配置表!$A:$D,4,FALSE)</f>
        <v>1木材</v>
      </c>
      <c r="E392" s="16">
        <f>E389*2</f>
        <v>38000</v>
      </c>
      <c r="J392" s="16">
        <v>1</v>
      </c>
      <c r="L392" s="16" t="b">
        <v>1</v>
      </c>
    </row>
    <row r="393" spans="1:12" x14ac:dyDescent="0.25">
      <c r="A393" s="16">
        <v>1900647</v>
      </c>
      <c r="B393" s="16" t="s">
        <v>324</v>
      </c>
      <c r="C393" s="16">
        <f t="shared" si="9"/>
        <v>103</v>
      </c>
      <c r="D393" s="16" t="str">
        <f>VLOOKUP(C393,[1]道具配置表!$A:$D,4,FALSE)</f>
        <v>1石头</v>
      </c>
      <c r="E393" s="16">
        <f>E390*2</f>
        <v>38000</v>
      </c>
      <c r="J393" s="16">
        <v>1</v>
      </c>
      <c r="L393" s="16" t="b">
        <v>1</v>
      </c>
    </row>
    <row r="394" spans="1:12" x14ac:dyDescent="0.25">
      <c r="A394" s="16">
        <v>1900648</v>
      </c>
      <c r="B394" s="16" t="s">
        <v>325</v>
      </c>
      <c r="C394" s="16">
        <f t="shared" si="9"/>
        <v>104</v>
      </c>
      <c r="D394" s="16" t="str">
        <f>VLOOKUP(C394,[1]道具配置表!$A:$D,4,FALSE)</f>
        <v>1黄金</v>
      </c>
      <c r="E394" s="16">
        <f>E391*2</f>
        <v>38000</v>
      </c>
      <c r="J394" s="16">
        <v>1</v>
      </c>
      <c r="L394" s="16" t="b">
        <v>1</v>
      </c>
    </row>
    <row r="395" spans="1:12" x14ac:dyDescent="0.25">
      <c r="A395" s="16">
        <v>1900649</v>
      </c>
      <c r="B395" s="16" t="s">
        <v>326</v>
      </c>
      <c r="C395" s="16">
        <f t="shared" si="9"/>
        <v>101</v>
      </c>
      <c r="D395" s="16" t="str">
        <f>VLOOKUP(C395,[1]道具配置表!$A:$D,4,FALSE)</f>
        <v>1木材</v>
      </c>
      <c r="E395" s="16">
        <f>E389+2000</f>
        <v>21000</v>
      </c>
      <c r="J395" s="16">
        <v>1</v>
      </c>
      <c r="L395" s="16" t="b">
        <v>1</v>
      </c>
    </row>
    <row r="396" spans="1:12" x14ac:dyDescent="0.25">
      <c r="A396" s="16">
        <v>1900650</v>
      </c>
      <c r="B396" s="16" t="s">
        <v>327</v>
      </c>
      <c r="C396" s="16">
        <f t="shared" si="9"/>
        <v>103</v>
      </c>
      <c r="D396" s="16" t="str">
        <f>VLOOKUP(C396,[1]道具配置表!$A:$D,4,FALSE)</f>
        <v>1石头</v>
      </c>
      <c r="E396" s="16">
        <f>E390+2000</f>
        <v>21000</v>
      </c>
      <c r="J396" s="16">
        <v>1</v>
      </c>
      <c r="L396" s="16" t="b">
        <v>1</v>
      </c>
    </row>
    <row r="397" spans="1:12" x14ac:dyDescent="0.25">
      <c r="A397" s="16">
        <v>1900651</v>
      </c>
      <c r="B397" s="16" t="s">
        <v>328</v>
      </c>
      <c r="C397" s="16">
        <f t="shared" si="9"/>
        <v>104</v>
      </c>
      <c r="D397" s="16" t="str">
        <f>VLOOKUP(C397,[1]道具配置表!$A:$D,4,FALSE)</f>
        <v>1黄金</v>
      </c>
      <c r="E397" s="16">
        <f>E391+2000</f>
        <v>21000</v>
      </c>
      <c r="J397" s="16">
        <v>1</v>
      </c>
      <c r="L397" s="16" t="b">
        <v>1</v>
      </c>
    </row>
    <row r="398" spans="1:12" x14ac:dyDescent="0.25">
      <c r="A398" s="16">
        <v>1900652</v>
      </c>
      <c r="B398" s="16" t="s">
        <v>326</v>
      </c>
      <c r="C398" s="16">
        <f t="shared" si="9"/>
        <v>101</v>
      </c>
      <c r="D398" s="16" t="str">
        <f>VLOOKUP(C398,[1]道具配置表!$A:$D,4,FALSE)</f>
        <v>1木材</v>
      </c>
      <c r="E398" s="16">
        <f>E395*2</f>
        <v>42000</v>
      </c>
      <c r="J398" s="16">
        <v>1</v>
      </c>
      <c r="L398" s="16" t="b">
        <v>1</v>
      </c>
    </row>
    <row r="399" spans="1:12" x14ac:dyDescent="0.25">
      <c r="A399" s="16">
        <v>1900653</v>
      </c>
      <c r="B399" s="16" t="s">
        <v>327</v>
      </c>
      <c r="C399" s="16">
        <f t="shared" si="9"/>
        <v>103</v>
      </c>
      <c r="D399" s="16" t="str">
        <f>VLOOKUP(C399,[1]道具配置表!$A:$D,4,FALSE)</f>
        <v>1石头</v>
      </c>
      <c r="E399" s="16">
        <f>E396*2</f>
        <v>42000</v>
      </c>
      <c r="J399" s="16">
        <v>1</v>
      </c>
      <c r="L399" s="16" t="b">
        <v>1</v>
      </c>
    </row>
    <row r="400" spans="1:12" x14ac:dyDescent="0.25">
      <c r="A400" s="16">
        <v>1900654</v>
      </c>
      <c r="B400" s="16" t="s">
        <v>328</v>
      </c>
      <c r="C400" s="16">
        <f t="shared" si="9"/>
        <v>104</v>
      </c>
      <c r="D400" s="16" t="str">
        <f>VLOOKUP(C400,[1]道具配置表!$A:$D,4,FALSE)</f>
        <v>1黄金</v>
      </c>
      <c r="E400" s="16">
        <f>E397*2</f>
        <v>42000</v>
      </c>
      <c r="J400" s="16">
        <v>1</v>
      </c>
      <c r="L400" s="16" t="b">
        <v>1</v>
      </c>
    </row>
    <row r="401" spans="1:12" x14ac:dyDescent="0.25">
      <c r="A401" s="16">
        <v>1900655</v>
      </c>
      <c r="B401" s="16" t="s">
        <v>329</v>
      </c>
      <c r="C401" s="16">
        <f t="shared" si="9"/>
        <v>101</v>
      </c>
      <c r="D401" s="16" t="str">
        <f>VLOOKUP(C401,[1]道具配置表!$A:$D,4,FALSE)</f>
        <v>1木材</v>
      </c>
      <c r="E401" s="16">
        <f>E395+2000</f>
        <v>23000</v>
      </c>
      <c r="J401" s="16">
        <v>1</v>
      </c>
      <c r="L401" s="16" t="b">
        <v>1</v>
      </c>
    </row>
    <row r="402" spans="1:12" x14ac:dyDescent="0.25">
      <c r="A402" s="16">
        <v>1900656</v>
      </c>
      <c r="B402" s="16" t="s">
        <v>330</v>
      </c>
      <c r="C402" s="16">
        <f t="shared" si="9"/>
        <v>103</v>
      </c>
      <c r="D402" s="16" t="str">
        <f>VLOOKUP(C402,[1]道具配置表!$A:$D,4,FALSE)</f>
        <v>1石头</v>
      </c>
      <c r="E402" s="16">
        <f>E396+2000</f>
        <v>23000</v>
      </c>
      <c r="J402" s="16">
        <v>1</v>
      </c>
      <c r="L402" s="16" t="b">
        <v>1</v>
      </c>
    </row>
    <row r="403" spans="1:12" x14ac:dyDescent="0.25">
      <c r="A403" s="16">
        <v>1900657</v>
      </c>
      <c r="B403" s="16" t="s">
        <v>331</v>
      </c>
      <c r="C403" s="16">
        <f t="shared" si="9"/>
        <v>104</v>
      </c>
      <c r="D403" s="16" t="str">
        <f>VLOOKUP(C403,[1]道具配置表!$A:$D,4,FALSE)</f>
        <v>1黄金</v>
      </c>
      <c r="E403" s="16">
        <f>E397+2000</f>
        <v>23000</v>
      </c>
      <c r="J403" s="16">
        <v>1</v>
      </c>
      <c r="L403" s="16" t="b">
        <v>1</v>
      </c>
    </row>
    <row r="404" spans="1:12" x14ac:dyDescent="0.25">
      <c r="A404" s="16">
        <v>1900658</v>
      </c>
      <c r="B404" s="16" t="s">
        <v>329</v>
      </c>
      <c r="C404" s="16">
        <f t="shared" si="9"/>
        <v>101</v>
      </c>
      <c r="D404" s="16" t="str">
        <f>VLOOKUP(C404,[1]道具配置表!$A:$D,4,FALSE)</f>
        <v>1木材</v>
      </c>
      <c r="E404" s="16">
        <f>E401*2</f>
        <v>46000</v>
      </c>
      <c r="J404" s="16">
        <v>1</v>
      </c>
      <c r="L404" s="16" t="b">
        <v>1</v>
      </c>
    </row>
    <row r="405" spans="1:12" x14ac:dyDescent="0.25">
      <c r="A405" s="16">
        <v>1900659</v>
      </c>
      <c r="B405" s="16" t="s">
        <v>330</v>
      </c>
      <c r="C405" s="16">
        <f t="shared" si="9"/>
        <v>103</v>
      </c>
      <c r="D405" s="16" t="str">
        <f>VLOOKUP(C405,[1]道具配置表!$A:$D,4,FALSE)</f>
        <v>1石头</v>
      </c>
      <c r="E405" s="16">
        <f>E402*2</f>
        <v>46000</v>
      </c>
      <c r="J405" s="16">
        <v>1</v>
      </c>
      <c r="L405" s="16" t="b">
        <v>1</v>
      </c>
    </row>
    <row r="406" spans="1:12" x14ac:dyDescent="0.25">
      <c r="A406" s="16">
        <v>1900660</v>
      </c>
      <c r="B406" s="16" t="s">
        <v>331</v>
      </c>
      <c r="C406" s="16">
        <f t="shared" si="9"/>
        <v>104</v>
      </c>
      <c r="D406" s="16" t="str">
        <f>VLOOKUP(C406,[1]道具配置表!$A:$D,4,FALSE)</f>
        <v>1黄金</v>
      </c>
      <c r="E406" s="16">
        <f>E403*2</f>
        <v>46000</v>
      </c>
      <c r="J406" s="16">
        <v>1</v>
      </c>
      <c r="L406" s="16" t="b">
        <v>1</v>
      </c>
    </row>
    <row r="407" spans="1:12" x14ac:dyDescent="0.25">
      <c r="A407" s="16">
        <v>1900661</v>
      </c>
      <c r="B407" s="16" t="s">
        <v>332</v>
      </c>
      <c r="C407" s="16">
        <f t="shared" si="9"/>
        <v>101</v>
      </c>
      <c r="D407" s="16" t="str">
        <f>VLOOKUP(C407,[1]道具配置表!$A:$D,4,FALSE)</f>
        <v>1木材</v>
      </c>
      <c r="E407" s="16">
        <f>E401+2000</f>
        <v>25000</v>
      </c>
      <c r="J407" s="16">
        <v>1</v>
      </c>
      <c r="L407" s="16" t="b">
        <v>1</v>
      </c>
    </row>
    <row r="408" spans="1:12" x14ac:dyDescent="0.25">
      <c r="A408" s="16">
        <v>1900662</v>
      </c>
      <c r="B408" s="16" t="s">
        <v>333</v>
      </c>
      <c r="C408" s="16">
        <f t="shared" si="9"/>
        <v>103</v>
      </c>
      <c r="D408" s="16" t="str">
        <f>VLOOKUP(C408,[1]道具配置表!$A:$D,4,FALSE)</f>
        <v>1石头</v>
      </c>
      <c r="E408" s="16">
        <f>E402+2000</f>
        <v>25000</v>
      </c>
      <c r="J408" s="16">
        <v>1</v>
      </c>
      <c r="L408" s="16" t="b">
        <v>1</v>
      </c>
    </row>
    <row r="409" spans="1:12" x14ac:dyDescent="0.25">
      <c r="A409" s="16">
        <v>1900663</v>
      </c>
      <c r="B409" s="16" t="s">
        <v>334</v>
      </c>
      <c r="C409" s="16">
        <f t="shared" si="9"/>
        <v>104</v>
      </c>
      <c r="D409" s="16" t="str">
        <f>VLOOKUP(C409,[1]道具配置表!$A:$D,4,FALSE)</f>
        <v>1黄金</v>
      </c>
      <c r="E409" s="16">
        <f>E403+2000</f>
        <v>25000</v>
      </c>
      <c r="J409" s="16">
        <v>1</v>
      </c>
      <c r="L409" s="16" t="b">
        <v>1</v>
      </c>
    </row>
    <row r="410" spans="1:12" x14ac:dyDescent="0.25">
      <c r="A410" s="16">
        <v>1900664</v>
      </c>
      <c r="B410" s="16" t="s">
        <v>332</v>
      </c>
      <c r="C410" s="16">
        <f t="shared" si="9"/>
        <v>101</v>
      </c>
      <c r="D410" s="16" t="str">
        <f>VLOOKUP(C410,[1]道具配置表!$A:$D,4,FALSE)</f>
        <v>1木材</v>
      </c>
      <c r="E410" s="16">
        <f>E407*2</f>
        <v>50000</v>
      </c>
      <c r="J410" s="16">
        <v>1</v>
      </c>
      <c r="L410" s="16" t="b">
        <v>1</v>
      </c>
    </row>
    <row r="411" spans="1:12" x14ac:dyDescent="0.25">
      <c r="A411" s="16">
        <v>1900665</v>
      </c>
      <c r="B411" s="16" t="s">
        <v>333</v>
      </c>
      <c r="C411" s="16">
        <f t="shared" si="9"/>
        <v>103</v>
      </c>
      <c r="D411" s="16" t="str">
        <f>VLOOKUP(C411,[1]道具配置表!$A:$D,4,FALSE)</f>
        <v>1石头</v>
      </c>
      <c r="E411" s="16">
        <f>E408*2</f>
        <v>50000</v>
      </c>
      <c r="J411" s="16">
        <v>1</v>
      </c>
      <c r="L411" s="16" t="b">
        <v>1</v>
      </c>
    </row>
    <row r="412" spans="1:12" x14ac:dyDescent="0.25">
      <c r="A412" s="16">
        <v>1900666</v>
      </c>
      <c r="B412" s="16" t="s">
        <v>334</v>
      </c>
      <c r="C412" s="16">
        <f t="shared" si="9"/>
        <v>104</v>
      </c>
      <c r="D412" s="16" t="str">
        <f>VLOOKUP(C412,[1]道具配置表!$A:$D,4,FALSE)</f>
        <v>1黄金</v>
      </c>
      <c r="E412" s="16">
        <f>E409*2</f>
        <v>50000</v>
      </c>
      <c r="J412" s="16">
        <v>1</v>
      </c>
      <c r="L412" s="16" t="b">
        <v>1</v>
      </c>
    </row>
    <row r="413" spans="1:12" x14ac:dyDescent="0.25">
      <c r="A413" s="16">
        <v>1900667</v>
      </c>
      <c r="B413" s="16" t="s">
        <v>335</v>
      </c>
      <c r="C413" s="16">
        <f t="shared" si="9"/>
        <v>101</v>
      </c>
      <c r="D413" s="16" t="str">
        <f>VLOOKUP(C413,[1]道具配置表!$A:$D,4,FALSE)</f>
        <v>1木材</v>
      </c>
      <c r="E413" s="16">
        <f>E407+2000</f>
        <v>27000</v>
      </c>
      <c r="J413" s="16">
        <v>1</v>
      </c>
      <c r="L413" s="16" t="b">
        <v>1</v>
      </c>
    </row>
    <row r="414" spans="1:12" x14ac:dyDescent="0.25">
      <c r="A414" s="16">
        <v>1900668</v>
      </c>
      <c r="B414" s="16" t="s">
        <v>336</v>
      </c>
      <c r="C414" s="16">
        <f t="shared" ref="C414:C445" si="10">C411</f>
        <v>103</v>
      </c>
      <c r="D414" s="16" t="str">
        <f>VLOOKUP(C414,[1]道具配置表!$A:$D,4,FALSE)</f>
        <v>1石头</v>
      </c>
      <c r="E414" s="16">
        <f>E408+2000</f>
        <v>27000</v>
      </c>
      <c r="J414" s="16">
        <v>1</v>
      </c>
      <c r="L414" s="16" t="b">
        <v>1</v>
      </c>
    </row>
    <row r="415" spans="1:12" x14ac:dyDescent="0.25">
      <c r="A415" s="16">
        <v>1900669</v>
      </c>
      <c r="B415" s="16" t="s">
        <v>337</v>
      </c>
      <c r="C415" s="16">
        <f t="shared" si="10"/>
        <v>104</v>
      </c>
      <c r="D415" s="16" t="str">
        <f>VLOOKUP(C415,[1]道具配置表!$A:$D,4,FALSE)</f>
        <v>1黄金</v>
      </c>
      <c r="E415" s="16">
        <f>E409+2000</f>
        <v>27000</v>
      </c>
      <c r="J415" s="16">
        <v>1</v>
      </c>
      <c r="L415" s="16" t="b">
        <v>1</v>
      </c>
    </row>
    <row r="416" spans="1:12" x14ac:dyDescent="0.25">
      <c r="A416" s="16">
        <v>1900670</v>
      </c>
      <c r="B416" s="16" t="s">
        <v>335</v>
      </c>
      <c r="C416" s="16">
        <f t="shared" si="10"/>
        <v>101</v>
      </c>
      <c r="D416" s="16" t="str">
        <f>VLOOKUP(C416,[1]道具配置表!$A:$D,4,FALSE)</f>
        <v>1木材</v>
      </c>
      <c r="E416" s="16">
        <f>E413*2</f>
        <v>54000</v>
      </c>
      <c r="J416" s="16">
        <v>1</v>
      </c>
      <c r="L416" s="16" t="b">
        <v>1</v>
      </c>
    </row>
    <row r="417" spans="1:12" x14ac:dyDescent="0.25">
      <c r="A417" s="16">
        <v>1900671</v>
      </c>
      <c r="B417" s="16" t="s">
        <v>336</v>
      </c>
      <c r="C417" s="16">
        <f t="shared" si="10"/>
        <v>103</v>
      </c>
      <c r="D417" s="16" t="str">
        <f>VLOOKUP(C417,[1]道具配置表!$A:$D,4,FALSE)</f>
        <v>1石头</v>
      </c>
      <c r="E417" s="16">
        <f>E414*2</f>
        <v>54000</v>
      </c>
      <c r="J417" s="16">
        <v>1</v>
      </c>
      <c r="L417" s="16" t="b">
        <v>1</v>
      </c>
    </row>
    <row r="418" spans="1:12" x14ac:dyDescent="0.25">
      <c r="A418" s="16">
        <v>1900672</v>
      </c>
      <c r="B418" s="16" t="s">
        <v>337</v>
      </c>
      <c r="C418" s="16">
        <f t="shared" si="10"/>
        <v>104</v>
      </c>
      <c r="D418" s="16" t="str">
        <f>VLOOKUP(C418,[1]道具配置表!$A:$D,4,FALSE)</f>
        <v>1黄金</v>
      </c>
      <c r="E418" s="16">
        <f>E415*2</f>
        <v>54000</v>
      </c>
      <c r="J418" s="16">
        <v>1</v>
      </c>
      <c r="L418" s="16" t="b">
        <v>1</v>
      </c>
    </row>
    <row r="419" spans="1:12" x14ac:dyDescent="0.25">
      <c r="A419" s="16">
        <v>1900673</v>
      </c>
      <c r="B419" s="16" t="s">
        <v>338</v>
      </c>
      <c r="C419" s="16">
        <f t="shared" si="10"/>
        <v>101</v>
      </c>
      <c r="D419" s="16" t="str">
        <f>VLOOKUP(C419,[1]道具配置表!$A:$D,4,FALSE)</f>
        <v>1木材</v>
      </c>
      <c r="E419" s="16">
        <f>E413+2000</f>
        <v>29000</v>
      </c>
      <c r="J419" s="16">
        <v>1</v>
      </c>
      <c r="L419" s="16" t="b">
        <v>1</v>
      </c>
    </row>
    <row r="420" spans="1:12" x14ac:dyDescent="0.25">
      <c r="A420" s="16">
        <v>1900674</v>
      </c>
      <c r="B420" s="16" t="s">
        <v>339</v>
      </c>
      <c r="C420" s="16">
        <f t="shared" si="10"/>
        <v>103</v>
      </c>
      <c r="D420" s="16" t="str">
        <f>VLOOKUP(C420,[1]道具配置表!$A:$D,4,FALSE)</f>
        <v>1石头</v>
      </c>
      <c r="E420" s="16">
        <f>E414+2000</f>
        <v>29000</v>
      </c>
      <c r="J420" s="16">
        <v>1</v>
      </c>
      <c r="L420" s="16" t="b">
        <v>1</v>
      </c>
    </row>
    <row r="421" spans="1:12" x14ac:dyDescent="0.25">
      <c r="A421" s="16">
        <v>1900675</v>
      </c>
      <c r="B421" s="16" t="s">
        <v>340</v>
      </c>
      <c r="C421" s="16">
        <f t="shared" si="10"/>
        <v>104</v>
      </c>
      <c r="D421" s="16" t="str">
        <f>VLOOKUP(C421,[1]道具配置表!$A:$D,4,FALSE)</f>
        <v>1黄金</v>
      </c>
      <c r="E421" s="16">
        <f>E415+2000</f>
        <v>29000</v>
      </c>
      <c r="J421" s="16">
        <v>1</v>
      </c>
      <c r="L421" s="16" t="b">
        <v>1</v>
      </c>
    </row>
    <row r="422" spans="1:12" x14ac:dyDescent="0.25">
      <c r="A422" s="16">
        <v>1900676</v>
      </c>
      <c r="B422" s="16" t="s">
        <v>338</v>
      </c>
      <c r="C422" s="16">
        <f t="shared" si="10"/>
        <v>101</v>
      </c>
      <c r="D422" s="16" t="str">
        <f>VLOOKUP(C422,[1]道具配置表!$A:$D,4,FALSE)</f>
        <v>1木材</v>
      </c>
      <c r="E422" s="16">
        <f>E419*2</f>
        <v>58000</v>
      </c>
      <c r="J422" s="16">
        <v>1</v>
      </c>
      <c r="L422" s="16" t="b">
        <v>1</v>
      </c>
    </row>
    <row r="423" spans="1:12" x14ac:dyDescent="0.25">
      <c r="A423" s="16">
        <v>1900677</v>
      </c>
      <c r="B423" s="16" t="s">
        <v>339</v>
      </c>
      <c r="C423" s="16">
        <f t="shared" si="10"/>
        <v>103</v>
      </c>
      <c r="D423" s="16" t="str">
        <f>VLOOKUP(C423,[1]道具配置表!$A:$D,4,FALSE)</f>
        <v>1石头</v>
      </c>
      <c r="E423" s="16">
        <f>E420*2</f>
        <v>58000</v>
      </c>
      <c r="J423" s="16">
        <v>1</v>
      </c>
      <c r="L423" s="16" t="b">
        <v>1</v>
      </c>
    </row>
    <row r="424" spans="1:12" x14ac:dyDescent="0.25">
      <c r="A424" s="16">
        <v>1900678</v>
      </c>
      <c r="B424" s="16" t="s">
        <v>340</v>
      </c>
      <c r="C424" s="16">
        <f t="shared" si="10"/>
        <v>104</v>
      </c>
      <c r="D424" s="16" t="str">
        <f>VLOOKUP(C424,[1]道具配置表!$A:$D,4,FALSE)</f>
        <v>1黄金</v>
      </c>
      <c r="E424" s="16">
        <f>E421*2</f>
        <v>58000</v>
      </c>
      <c r="J424" s="16">
        <v>1</v>
      </c>
      <c r="L424" s="16" t="b">
        <v>1</v>
      </c>
    </row>
    <row r="425" spans="1:12" x14ac:dyDescent="0.25">
      <c r="A425" s="16">
        <v>1900679</v>
      </c>
      <c r="B425" s="16" t="s">
        <v>341</v>
      </c>
      <c r="C425" s="16">
        <f t="shared" si="10"/>
        <v>101</v>
      </c>
      <c r="D425" s="16" t="str">
        <f>VLOOKUP(C425,[1]道具配置表!$A:$D,4,FALSE)</f>
        <v>1木材</v>
      </c>
      <c r="E425" s="16">
        <f>E419+2000</f>
        <v>31000</v>
      </c>
      <c r="J425" s="16">
        <v>1</v>
      </c>
      <c r="L425" s="16" t="b">
        <v>1</v>
      </c>
    </row>
    <row r="426" spans="1:12" x14ac:dyDescent="0.25">
      <c r="A426" s="16">
        <v>1900680</v>
      </c>
      <c r="B426" s="16" t="s">
        <v>342</v>
      </c>
      <c r="C426" s="16">
        <f t="shared" si="10"/>
        <v>103</v>
      </c>
      <c r="D426" s="16" t="str">
        <f>VLOOKUP(C426,[1]道具配置表!$A:$D,4,FALSE)</f>
        <v>1石头</v>
      </c>
      <c r="E426" s="16">
        <f>E420+2000</f>
        <v>31000</v>
      </c>
      <c r="J426" s="16">
        <v>1</v>
      </c>
      <c r="L426" s="16" t="b">
        <v>1</v>
      </c>
    </row>
    <row r="427" spans="1:12" x14ac:dyDescent="0.25">
      <c r="A427" s="16">
        <v>1900681</v>
      </c>
      <c r="B427" s="16" t="s">
        <v>343</v>
      </c>
      <c r="C427" s="16">
        <f t="shared" si="10"/>
        <v>104</v>
      </c>
      <c r="D427" s="16" t="str">
        <f>VLOOKUP(C427,[1]道具配置表!$A:$D,4,FALSE)</f>
        <v>1黄金</v>
      </c>
      <c r="E427" s="16">
        <f>E421+2000</f>
        <v>31000</v>
      </c>
      <c r="J427" s="16">
        <v>1</v>
      </c>
      <c r="L427" s="16" t="b">
        <v>1</v>
      </c>
    </row>
    <row r="428" spans="1:12" x14ac:dyDescent="0.25">
      <c r="A428" s="16">
        <v>1900682</v>
      </c>
      <c r="B428" s="16" t="s">
        <v>341</v>
      </c>
      <c r="C428" s="16">
        <f t="shared" si="10"/>
        <v>101</v>
      </c>
      <c r="D428" s="16" t="str">
        <f>VLOOKUP(C428,[1]道具配置表!$A:$D,4,FALSE)</f>
        <v>1木材</v>
      </c>
      <c r="E428" s="16">
        <f>E425*2</f>
        <v>62000</v>
      </c>
      <c r="J428" s="16">
        <v>1</v>
      </c>
      <c r="L428" s="16" t="b">
        <v>1</v>
      </c>
    </row>
    <row r="429" spans="1:12" x14ac:dyDescent="0.25">
      <c r="A429" s="16">
        <v>1900683</v>
      </c>
      <c r="B429" s="16" t="s">
        <v>342</v>
      </c>
      <c r="C429" s="16">
        <f t="shared" si="10"/>
        <v>103</v>
      </c>
      <c r="D429" s="16" t="str">
        <f>VLOOKUP(C429,[1]道具配置表!$A:$D,4,FALSE)</f>
        <v>1石头</v>
      </c>
      <c r="E429" s="16">
        <f>E426*2</f>
        <v>62000</v>
      </c>
      <c r="J429" s="16">
        <v>1</v>
      </c>
      <c r="L429" s="16" t="b">
        <v>1</v>
      </c>
    </row>
    <row r="430" spans="1:12" x14ac:dyDescent="0.25">
      <c r="A430" s="16">
        <v>1900684</v>
      </c>
      <c r="B430" s="16" t="s">
        <v>343</v>
      </c>
      <c r="C430" s="16">
        <f t="shared" si="10"/>
        <v>104</v>
      </c>
      <c r="D430" s="16" t="str">
        <f>VLOOKUP(C430,[1]道具配置表!$A:$D,4,FALSE)</f>
        <v>1黄金</v>
      </c>
      <c r="E430" s="16">
        <f>E427*2</f>
        <v>62000</v>
      </c>
      <c r="J430" s="16">
        <v>1</v>
      </c>
      <c r="L430" s="16" t="b">
        <v>1</v>
      </c>
    </row>
    <row r="431" spans="1:12" x14ac:dyDescent="0.25">
      <c r="A431" s="16">
        <v>1900685</v>
      </c>
      <c r="B431" s="16" t="s">
        <v>344</v>
      </c>
      <c r="C431" s="16">
        <f t="shared" si="10"/>
        <v>101</v>
      </c>
      <c r="D431" s="16" t="str">
        <f>VLOOKUP(C431,[1]道具配置表!$A:$D,4,FALSE)</f>
        <v>1木材</v>
      </c>
      <c r="E431" s="16">
        <f>E425+2000</f>
        <v>33000</v>
      </c>
      <c r="J431" s="16">
        <v>1</v>
      </c>
      <c r="L431" s="16" t="b">
        <v>1</v>
      </c>
    </row>
    <row r="432" spans="1:12" x14ac:dyDescent="0.25">
      <c r="A432" s="16">
        <v>1900686</v>
      </c>
      <c r="B432" s="16" t="s">
        <v>345</v>
      </c>
      <c r="C432" s="16">
        <f t="shared" si="10"/>
        <v>103</v>
      </c>
      <c r="D432" s="16" t="str">
        <f>VLOOKUP(C432,[1]道具配置表!$A:$D,4,FALSE)</f>
        <v>1石头</v>
      </c>
      <c r="E432" s="16">
        <f>E426+2000</f>
        <v>33000</v>
      </c>
      <c r="J432" s="16">
        <v>1</v>
      </c>
      <c r="L432" s="16" t="b">
        <v>1</v>
      </c>
    </row>
    <row r="433" spans="1:12" x14ac:dyDescent="0.25">
      <c r="A433" s="16">
        <v>1900687</v>
      </c>
      <c r="B433" s="16" t="s">
        <v>346</v>
      </c>
      <c r="C433" s="16">
        <f t="shared" si="10"/>
        <v>104</v>
      </c>
      <c r="D433" s="16" t="str">
        <f>VLOOKUP(C433,[1]道具配置表!$A:$D,4,FALSE)</f>
        <v>1黄金</v>
      </c>
      <c r="E433" s="16">
        <f>E427+2000</f>
        <v>33000</v>
      </c>
      <c r="J433" s="16">
        <v>1</v>
      </c>
      <c r="L433" s="16" t="b">
        <v>1</v>
      </c>
    </row>
    <row r="434" spans="1:12" x14ac:dyDescent="0.25">
      <c r="A434" s="16">
        <v>1900688</v>
      </c>
      <c r="B434" s="16" t="s">
        <v>344</v>
      </c>
      <c r="C434" s="16">
        <f t="shared" si="10"/>
        <v>101</v>
      </c>
      <c r="D434" s="16" t="str">
        <f>VLOOKUP(C434,[1]道具配置表!$A:$D,4,FALSE)</f>
        <v>1木材</v>
      </c>
      <c r="E434" s="16">
        <f>E431*2</f>
        <v>66000</v>
      </c>
      <c r="J434" s="16">
        <v>1</v>
      </c>
      <c r="L434" s="16" t="b">
        <v>1</v>
      </c>
    </row>
    <row r="435" spans="1:12" x14ac:dyDescent="0.25">
      <c r="A435" s="16">
        <v>1900689</v>
      </c>
      <c r="B435" s="16" t="s">
        <v>345</v>
      </c>
      <c r="C435" s="16">
        <f t="shared" si="10"/>
        <v>103</v>
      </c>
      <c r="D435" s="16" t="str">
        <f>VLOOKUP(C435,[1]道具配置表!$A:$D,4,FALSE)</f>
        <v>1石头</v>
      </c>
      <c r="E435" s="16">
        <f>E432*2</f>
        <v>66000</v>
      </c>
      <c r="J435" s="16">
        <v>1</v>
      </c>
      <c r="L435" s="16" t="b">
        <v>1</v>
      </c>
    </row>
    <row r="436" spans="1:12" x14ac:dyDescent="0.25">
      <c r="A436" s="16">
        <v>1900690</v>
      </c>
      <c r="B436" s="16" t="s">
        <v>346</v>
      </c>
      <c r="C436" s="16">
        <f t="shared" si="10"/>
        <v>104</v>
      </c>
      <c r="D436" s="16" t="str">
        <f>VLOOKUP(C436,[1]道具配置表!$A:$D,4,FALSE)</f>
        <v>1黄金</v>
      </c>
      <c r="E436" s="16">
        <f>E433*2</f>
        <v>66000</v>
      </c>
      <c r="J436" s="16">
        <v>1</v>
      </c>
      <c r="L436" s="16" t="b">
        <v>1</v>
      </c>
    </row>
    <row r="437" spans="1:12" x14ac:dyDescent="0.25">
      <c r="A437" s="16">
        <v>1900691</v>
      </c>
      <c r="B437" s="16" t="s">
        <v>347</v>
      </c>
      <c r="C437" s="16">
        <f t="shared" si="10"/>
        <v>101</v>
      </c>
      <c r="D437" s="16" t="str">
        <f>VLOOKUP(C437,[1]道具配置表!$A:$D,4,FALSE)</f>
        <v>1木材</v>
      </c>
      <c r="E437" s="16">
        <f>E431+2000</f>
        <v>35000</v>
      </c>
      <c r="J437" s="16">
        <v>1</v>
      </c>
      <c r="L437" s="16" t="b">
        <v>1</v>
      </c>
    </row>
    <row r="438" spans="1:12" x14ac:dyDescent="0.25">
      <c r="A438" s="16">
        <v>1900692</v>
      </c>
      <c r="B438" s="16" t="s">
        <v>348</v>
      </c>
      <c r="C438" s="16">
        <f t="shared" si="10"/>
        <v>103</v>
      </c>
      <c r="D438" s="16" t="str">
        <f>VLOOKUP(C438,[1]道具配置表!$A:$D,4,FALSE)</f>
        <v>1石头</v>
      </c>
      <c r="E438" s="16">
        <f>E432+2000</f>
        <v>35000</v>
      </c>
      <c r="J438" s="16">
        <v>1</v>
      </c>
      <c r="L438" s="16" t="b">
        <v>1</v>
      </c>
    </row>
    <row r="439" spans="1:12" x14ac:dyDescent="0.25">
      <c r="A439" s="16">
        <v>1900693</v>
      </c>
      <c r="B439" s="16" t="s">
        <v>349</v>
      </c>
      <c r="C439" s="16">
        <f t="shared" si="10"/>
        <v>104</v>
      </c>
      <c r="D439" s="16" t="str">
        <f>VLOOKUP(C439,[1]道具配置表!$A:$D,4,FALSE)</f>
        <v>1黄金</v>
      </c>
      <c r="E439" s="16">
        <f>E433+2000</f>
        <v>35000</v>
      </c>
      <c r="J439" s="16">
        <v>1</v>
      </c>
      <c r="L439" s="16" t="b">
        <v>1</v>
      </c>
    </row>
    <row r="440" spans="1:12" x14ac:dyDescent="0.25">
      <c r="A440" s="16">
        <v>1900694</v>
      </c>
      <c r="B440" s="16" t="s">
        <v>347</v>
      </c>
      <c r="C440" s="16">
        <f t="shared" si="10"/>
        <v>101</v>
      </c>
      <c r="D440" s="16" t="str">
        <f>VLOOKUP(C440,[1]道具配置表!$A:$D,4,FALSE)</f>
        <v>1木材</v>
      </c>
      <c r="E440" s="16">
        <f>E437*2</f>
        <v>70000</v>
      </c>
      <c r="J440" s="16">
        <v>1</v>
      </c>
      <c r="L440" s="16" t="b">
        <v>1</v>
      </c>
    </row>
    <row r="441" spans="1:12" x14ac:dyDescent="0.25">
      <c r="A441" s="16">
        <v>1900695</v>
      </c>
      <c r="B441" s="16" t="s">
        <v>348</v>
      </c>
      <c r="C441" s="16">
        <f t="shared" si="10"/>
        <v>103</v>
      </c>
      <c r="D441" s="16" t="str">
        <f>VLOOKUP(C441,[1]道具配置表!$A:$D,4,FALSE)</f>
        <v>1石头</v>
      </c>
      <c r="E441" s="16">
        <f>E438*2</f>
        <v>70000</v>
      </c>
      <c r="J441" s="16">
        <v>1</v>
      </c>
      <c r="L441" s="16" t="b">
        <v>1</v>
      </c>
    </row>
    <row r="442" spans="1:12" x14ac:dyDescent="0.25">
      <c r="A442" s="16">
        <v>1900696</v>
      </c>
      <c r="B442" s="16" t="s">
        <v>349</v>
      </c>
      <c r="C442" s="16">
        <f t="shared" si="10"/>
        <v>104</v>
      </c>
      <c r="D442" s="16" t="str">
        <f>VLOOKUP(C442,[1]道具配置表!$A:$D,4,FALSE)</f>
        <v>1黄金</v>
      </c>
      <c r="E442" s="16">
        <f>E439*2</f>
        <v>70000</v>
      </c>
      <c r="J442" s="16">
        <v>1</v>
      </c>
      <c r="L442" s="16" t="b">
        <v>1</v>
      </c>
    </row>
    <row r="443" spans="1:12" x14ac:dyDescent="0.25">
      <c r="A443" s="16">
        <v>1900697</v>
      </c>
      <c r="B443" s="16" t="s">
        <v>350</v>
      </c>
      <c r="C443" s="16">
        <f t="shared" si="10"/>
        <v>101</v>
      </c>
      <c r="D443" s="16" t="str">
        <f>VLOOKUP(C443,[1]道具配置表!$A:$D,4,FALSE)</f>
        <v>1木材</v>
      </c>
      <c r="E443" s="16">
        <f>E437+2000</f>
        <v>37000</v>
      </c>
      <c r="J443" s="16">
        <v>1</v>
      </c>
      <c r="L443" s="16" t="b">
        <v>1</v>
      </c>
    </row>
    <row r="444" spans="1:12" x14ac:dyDescent="0.25">
      <c r="A444" s="16">
        <v>1900698</v>
      </c>
      <c r="B444" s="16" t="s">
        <v>351</v>
      </c>
      <c r="C444" s="16">
        <f t="shared" si="10"/>
        <v>103</v>
      </c>
      <c r="D444" s="16" t="str">
        <f>VLOOKUP(C444,[1]道具配置表!$A:$D,4,FALSE)</f>
        <v>1石头</v>
      </c>
      <c r="E444" s="16">
        <f>E438+2000</f>
        <v>37000</v>
      </c>
      <c r="J444" s="16">
        <v>1</v>
      </c>
      <c r="L444" s="16" t="b">
        <v>1</v>
      </c>
    </row>
    <row r="445" spans="1:12" x14ac:dyDescent="0.25">
      <c r="A445" s="16">
        <v>1900699</v>
      </c>
      <c r="B445" s="16" t="s">
        <v>352</v>
      </c>
      <c r="C445" s="16">
        <f t="shared" si="10"/>
        <v>104</v>
      </c>
      <c r="D445" s="16" t="str">
        <f>VLOOKUP(C445,[1]道具配置表!$A:$D,4,FALSE)</f>
        <v>1黄金</v>
      </c>
      <c r="E445" s="16">
        <f>E439+2000</f>
        <v>37000</v>
      </c>
      <c r="J445" s="16">
        <v>1</v>
      </c>
      <c r="L445" s="16" t="b">
        <v>1</v>
      </c>
    </row>
    <row r="446" spans="1:12" x14ac:dyDescent="0.25">
      <c r="A446" s="16">
        <v>1900700</v>
      </c>
      <c r="B446" s="16" t="s">
        <v>350</v>
      </c>
      <c r="C446" s="16">
        <f t="shared" ref="C446:C477" si="11">C443</f>
        <v>101</v>
      </c>
      <c r="D446" s="16" t="str">
        <f>VLOOKUP(C446,[1]道具配置表!$A:$D,4,FALSE)</f>
        <v>1木材</v>
      </c>
      <c r="E446" s="16">
        <f>E443*2</f>
        <v>74000</v>
      </c>
      <c r="J446" s="16">
        <v>1</v>
      </c>
      <c r="L446" s="16" t="b">
        <v>1</v>
      </c>
    </row>
    <row r="447" spans="1:12" x14ac:dyDescent="0.25">
      <c r="A447" s="16">
        <v>1900701</v>
      </c>
      <c r="B447" s="16" t="s">
        <v>351</v>
      </c>
      <c r="C447" s="16">
        <f t="shared" si="11"/>
        <v>103</v>
      </c>
      <c r="D447" s="16" t="str">
        <f>VLOOKUP(C447,[1]道具配置表!$A:$D,4,FALSE)</f>
        <v>1石头</v>
      </c>
      <c r="E447" s="16">
        <f>E444*2</f>
        <v>74000</v>
      </c>
      <c r="J447" s="16">
        <v>1</v>
      </c>
      <c r="L447" s="16" t="b">
        <v>1</v>
      </c>
    </row>
    <row r="448" spans="1:12" x14ac:dyDescent="0.25">
      <c r="A448" s="16">
        <v>1900702</v>
      </c>
      <c r="B448" s="16" t="s">
        <v>352</v>
      </c>
      <c r="C448" s="16">
        <f t="shared" si="11"/>
        <v>104</v>
      </c>
      <c r="D448" s="16" t="str">
        <f>VLOOKUP(C448,[1]道具配置表!$A:$D,4,FALSE)</f>
        <v>1黄金</v>
      </c>
      <c r="E448" s="16">
        <f>E445*2</f>
        <v>74000</v>
      </c>
      <c r="J448" s="16">
        <v>1</v>
      </c>
      <c r="L448" s="16" t="b">
        <v>1</v>
      </c>
    </row>
    <row r="449" spans="1:12" x14ac:dyDescent="0.25">
      <c r="A449" s="16">
        <v>1900703</v>
      </c>
      <c r="B449" s="16" t="s">
        <v>353</v>
      </c>
      <c r="C449" s="16">
        <f t="shared" si="11"/>
        <v>101</v>
      </c>
      <c r="D449" s="16" t="str">
        <f>VLOOKUP(C449,[1]道具配置表!$A:$D,4,FALSE)</f>
        <v>1木材</v>
      </c>
      <c r="E449" s="16">
        <f>E443+2000</f>
        <v>39000</v>
      </c>
      <c r="J449" s="16">
        <v>1</v>
      </c>
      <c r="L449" s="16" t="b">
        <v>1</v>
      </c>
    </row>
    <row r="450" spans="1:12" x14ac:dyDescent="0.25">
      <c r="A450" s="16">
        <v>1900704</v>
      </c>
      <c r="B450" s="16" t="s">
        <v>354</v>
      </c>
      <c r="C450" s="16">
        <f t="shared" si="11"/>
        <v>103</v>
      </c>
      <c r="D450" s="16" t="str">
        <f>VLOOKUP(C450,[1]道具配置表!$A:$D,4,FALSE)</f>
        <v>1石头</v>
      </c>
      <c r="E450" s="16">
        <f>E444+2000</f>
        <v>39000</v>
      </c>
      <c r="J450" s="16">
        <v>1</v>
      </c>
      <c r="L450" s="16" t="b">
        <v>1</v>
      </c>
    </row>
    <row r="451" spans="1:12" x14ac:dyDescent="0.25">
      <c r="A451" s="16">
        <v>1900705</v>
      </c>
      <c r="B451" s="16" t="s">
        <v>355</v>
      </c>
      <c r="C451" s="16">
        <f t="shared" si="11"/>
        <v>104</v>
      </c>
      <c r="D451" s="16" t="str">
        <f>VLOOKUP(C451,[1]道具配置表!$A:$D,4,FALSE)</f>
        <v>1黄金</v>
      </c>
      <c r="E451" s="16">
        <f>E445+2000</f>
        <v>39000</v>
      </c>
      <c r="J451" s="16">
        <v>1</v>
      </c>
      <c r="L451" s="16" t="b">
        <v>1</v>
      </c>
    </row>
    <row r="452" spans="1:12" x14ac:dyDescent="0.25">
      <c r="A452" s="16">
        <v>1900706</v>
      </c>
      <c r="B452" s="16" t="s">
        <v>353</v>
      </c>
      <c r="C452" s="16">
        <f t="shared" si="11"/>
        <v>101</v>
      </c>
      <c r="D452" s="16" t="str">
        <f>VLOOKUP(C452,[1]道具配置表!$A:$D,4,FALSE)</f>
        <v>1木材</v>
      </c>
      <c r="E452" s="16">
        <f>E449*2</f>
        <v>78000</v>
      </c>
      <c r="J452" s="16">
        <v>1</v>
      </c>
      <c r="L452" s="16" t="b">
        <v>1</v>
      </c>
    </row>
    <row r="453" spans="1:12" x14ac:dyDescent="0.25">
      <c r="A453" s="16">
        <v>1900707</v>
      </c>
      <c r="B453" s="16" t="s">
        <v>354</v>
      </c>
      <c r="C453" s="16">
        <f t="shared" si="11"/>
        <v>103</v>
      </c>
      <c r="D453" s="16" t="str">
        <f>VLOOKUP(C453,[1]道具配置表!$A:$D,4,FALSE)</f>
        <v>1石头</v>
      </c>
      <c r="E453" s="16">
        <f>E450*2</f>
        <v>78000</v>
      </c>
      <c r="J453" s="16">
        <v>1</v>
      </c>
      <c r="L453" s="16" t="b">
        <v>1</v>
      </c>
    </row>
    <row r="454" spans="1:12" x14ac:dyDescent="0.25">
      <c r="A454" s="16">
        <v>1900708</v>
      </c>
      <c r="B454" s="16" t="s">
        <v>355</v>
      </c>
      <c r="C454" s="16">
        <f t="shared" si="11"/>
        <v>104</v>
      </c>
      <c r="D454" s="16" t="str">
        <f>VLOOKUP(C454,[1]道具配置表!$A:$D,4,FALSE)</f>
        <v>1黄金</v>
      </c>
      <c r="E454" s="16">
        <f>E451*2</f>
        <v>78000</v>
      </c>
      <c r="J454" s="16">
        <v>1</v>
      </c>
      <c r="L454" s="16" t="b">
        <v>1</v>
      </c>
    </row>
    <row r="455" spans="1:12" x14ac:dyDescent="0.25">
      <c r="A455" s="16">
        <v>1900709</v>
      </c>
      <c r="B455" s="16" t="s">
        <v>356</v>
      </c>
      <c r="C455" s="16">
        <f t="shared" si="11"/>
        <v>101</v>
      </c>
      <c r="D455" s="16" t="str">
        <f>VLOOKUP(C455,[1]道具配置表!$A:$D,4,FALSE)</f>
        <v>1木材</v>
      </c>
      <c r="E455" s="16">
        <f>E449+2000</f>
        <v>41000</v>
      </c>
      <c r="J455" s="16">
        <v>1</v>
      </c>
      <c r="L455" s="16" t="b">
        <v>1</v>
      </c>
    </row>
    <row r="456" spans="1:12" x14ac:dyDescent="0.25">
      <c r="A456" s="16">
        <v>1900710</v>
      </c>
      <c r="B456" s="16" t="s">
        <v>357</v>
      </c>
      <c r="C456" s="16">
        <f t="shared" si="11"/>
        <v>103</v>
      </c>
      <c r="D456" s="16" t="str">
        <f>VLOOKUP(C456,[1]道具配置表!$A:$D,4,FALSE)</f>
        <v>1石头</v>
      </c>
      <c r="E456" s="16">
        <f>E450+2000</f>
        <v>41000</v>
      </c>
      <c r="J456" s="16">
        <v>1</v>
      </c>
      <c r="L456" s="16" t="b">
        <v>1</v>
      </c>
    </row>
    <row r="457" spans="1:12" x14ac:dyDescent="0.25">
      <c r="A457" s="16">
        <v>1900711</v>
      </c>
      <c r="B457" s="16" t="s">
        <v>358</v>
      </c>
      <c r="C457" s="16">
        <f t="shared" si="11"/>
        <v>104</v>
      </c>
      <c r="D457" s="16" t="str">
        <f>VLOOKUP(C457,[1]道具配置表!$A:$D,4,FALSE)</f>
        <v>1黄金</v>
      </c>
      <c r="E457" s="16">
        <f>E451+2000</f>
        <v>41000</v>
      </c>
      <c r="J457" s="16">
        <v>1</v>
      </c>
      <c r="L457" s="16" t="b">
        <v>1</v>
      </c>
    </row>
    <row r="458" spans="1:12" x14ac:dyDescent="0.25">
      <c r="A458" s="16">
        <v>1900712</v>
      </c>
      <c r="B458" s="16" t="s">
        <v>356</v>
      </c>
      <c r="C458" s="16">
        <f t="shared" si="11"/>
        <v>101</v>
      </c>
      <c r="D458" s="16" t="str">
        <f>VLOOKUP(C458,[1]道具配置表!$A:$D,4,FALSE)</f>
        <v>1木材</v>
      </c>
      <c r="E458" s="16">
        <f>E455*2</f>
        <v>82000</v>
      </c>
      <c r="J458" s="16">
        <v>1</v>
      </c>
      <c r="L458" s="16" t="b">
        <v>1</v>
      </c>
    </row>
    <row r="459" spans="1:12" x14ac:dyDescent="0.25">
      <c r="A459" s="16">
        <v>1900713</v>
      </c>
      <c r="B459" s="16" t="s">
        <v>357</v>
      </c>
      <c r="C459" s="16">
        <f t="shared" si="11"/>
        <v>103</v>
      </c>
      <c r="D459" s="16" t="str">
        <f>VLOOKUP(C459,[1]道具配置表!$A:$D,4,FALSE)</f>
        <v>1石头</v>
      </c>
      <c r="E459" s="16">
        <f>E456*2</f>
        <v>82000</v>
      </c>
      <c r="J459" s="16">
        <v>1</v>
      </c>
      <c r="L459" s="16" t="b">
        <v>1</v>
      </c>
    </row>
    <row r="460" spans="1:12" x14ac:dyDescent="0.25">
      <c r="A460" s="16">
        <v>1900714</v>
      </c>
      <c r="B460" s="16" t="s">
        <v>358</v>
      </c>
      <c r="C460" s="16">
        <f t="shared" si="11"/>
        <v>104</v>
      </c>
      <c r="D460" s="16" t="str">
        <f>VLOOKUP(C460,[1]道具配置表!$A:$D,4,FALSE)</f>
        <v>1黄金</v>
      </c>
      <c r="E460" s="16">
        <f>E457*2</f>
        <v>82000</v>
      </c>
      <c r="J460" s="16">
        <v>1</v>
      </c>
      <c r="L460" s="16" t="b">
        <v>1</v>
      </c>
    </row>
    <row r="461" spans="1:12" x14ac:dyDescent="0.25">
      <c r="A461" s="16">
        <v>1900715</v>
      </c>
      <c r="B461" s="16" t="s">
        <v>359</v>
      </c>
      <c r="C461" s="16">
        <f t="shared" si="11"/>
        <v>101</v>
      </c>
      <c r="D461" s="16" t="str">
        <f>VLOOKUP(C461,[1]道具配置表!$A:$D,4,FALSE)</f>
        <v>1木材</v>
      </c>
      <c r="E461" s="16">
        <f>E455+2000</f>
        <v>43000</v>
      </c>
      <c r="J461" s="16">
        <v>1</v>
      </c>
      <c r="L461" s="16" t="b">
        <v>1</v>
      </c>
    </row>
    <row r="462" spans="1:12" x14ac:dyDescent="0.25">
      <c r="A462" s="16">
        <v>1900716</v>
      </c>
      <c r="B462" s="16" t="s">
        <v>360</v>
      </c>
      <c r="C462" s="16">
        <f t="shared" si="11"/>
        <v>103</v>
      </c>
      <c r="D462" s="16" t="str">
        <f>VLOOKUP(C462,[1]道具配置表!$A:$D,4,FALSE)</f>
        <v>1石头</v>
      </c>
      <c r="E462" s="16">
        <f>E456+2000</f>
        <v>43000</v>
      </c>
      <c r="J462" s="16">
        <v>1</v>
      </c>
      <c r="L462" s="16" t="b">
        <v>1</v>
      </c>
    </row>
    <row r="463" spans="1:12" x14ac:dyDescent="0.25">
      <c r="A463" s="16">
        <v>1900717</v>
      </c>
      <c r="B463" s="16" t="s">
        <v>361</v>
      </c>
      <c r="C463" s="16">
        <f t="shared" si="11"/>
        <v>104</v>
      </c>
      <c r="D463" s="16" t="str">
        <f>VLOOKUP(C463,[1]道具配置表!$A:$D,4,FALSE)</f>
        <v>1黄金</v>
      </c>
      <c r="E463" s="16">
        <f>E457+2000</f>
        <v>43000</v>
      </c>
      <c r="J463" s="16">
        <v>1</v>
      </c>
      <c r="L463" s="16" t="b">
        <v>1</v>
      </c>
    </row>
    <row r="464" spans="1:12" x14ac:dyDescent="0.25">
      <c r="A464" s="16">
        <v>1900718</v>
      </c>
      <c r="B464" s="16" t="s">
        <v>359</v>
      </c>
      <c r="C464" s="16">
        <f t="shared" si="11"/>
        <v>101</v>
      </c>
      <c r="D464" s="16" t="str">
        <f>VLOOKUP(C464,[1]道具配置表!$A:$D,4,FALSE)</f>
        <v>1木材</v>
      </c>
      <c r="E464" s="16">
        <f>E461*2</f>
        <v>86000</v>
      </c>
      <c r="J464" s="16">
        <v>1</v>
      </c>
      <c r="L464" s="16" t="b">
        <v>1</v>
      </c>
    </row>
    <row r="465" spans="1:12" x14ac:dyDescent="0.25">
      <c r="A465" s="16">
        <v>1900719</v>
      </c>
      <c r="B465" s="16" t="s">
        <v>360</v>
      </c>
      <c r="C465" s="16">
        <f t="shared" si="11"/>
        <v>103</v>
      </c>
      <c r="D465" s="16" t="str">
        <f>VLOOKUP(C465,[1]道具配置表!$A:$D,4,FALSE)</f>
        <v>1石头</v>
      </c>
      <c r="E465" s="16">
        <f>E462*2</f>
        <v>86000</v>
      </c>
      <c r="J465" s="16">
        <v>1</v>
      </c>
      <c r="L465" s="16" t="b">
        <v>1</v>
      </c>
    </row>
    <row r="466" spans="1:12" x14ac:dyDescent="0.25">
      <c r="A466" s="16">
        <v>1900720</v>
      </c>
      <c r="B466" s="16" t="s">
        <v>361</v>
      </c>
      <c r="C466" s="16">
        <f t="shared" si="11"/>
        <v>104</v>
      </c>
      <c r="D466" s="16" t="str">
        <f>VLOOKUP(C466,[1]道具配置表!$A:$D,4,FALSE)</f>
        <v>1黄金</v>
      </c>
      <c r="E466" s="16">
        <f>E463*2</f>
        <v>86000</v>
      </c>
      <c r="J466" s="16">
        <v>1</v>
      </c>
      <c r="L466" s="16" t="b">
        <v>1</v>
      </c>
    </row>
    <row r="467" spans="1:12" x14ac:dyDescent="0.25">
      <c r="A467" s="16">
        <v>1900721</v>
      </c>
      <c r="B467" s="16" t="s">
        <v>362</v>
      </c>
      <c r="C467" s="16">
        <f t="shared" si="11"/>
        <v>101</v>
      </c>
      <c r="D467" s="16" t="str">
        <f>VLOOKUP(C467,[1]道具配置表!$A:$D,4,FALSE)</f>
        <v>1木材</v>
      </c>
      <c r="E467" s="16">
        <f>E461+2000</f>
        <v>45000</v>
      </c>
      <c r="J467" s="16">
        <v>1</v>
      </c>
      <c r="L467" s="16" t="b">
        <v>1</v>
      </c>
    </row>
    <row r="468" spans="1:12" x14ac:dyDescent="0.25">
      <c r="A468" s="16">
        <v>1900722</v>
      </c>
      <c r="B468" s="16" t="s">
        <v>363</v>
      </c>
      <c r="C468" s="16">
        <f t="shared" si="11"/>
        <v>103</v>
      </c>
      <c r="D468" s="16" t="str">
        <f>VLOOKUP(C468,[1]道具配置表!$A:$D,4,FALSE)</f>
        <v>1石头</v>
      </c>
      <c r="E468" s="16">
        <f>E462+2000</f>
        <v>45000</v>
      </c>
      <c r="J468" s="16">
        <v>1</v>
      </c>
      <c r="L468" s="16" t="b">
        <v>1</v>
      </c>
    </row>
    <row r="469" spans="1:12" x14ac:dyDescent="0.25">
      <c r="A469" s="16">
        <v>1900723</v>
      </c>
      <c r="B469" s="16" t="s">
        <v>364</v>
      </c>
      <c r="C469" s="16">
        <f t="shared" si="11"/>
        <v>104</v>
      </c>
      <c r="D469" s="16" t="str">
        <f>VLOOKUP(C469,[1]道具配置表!$A:$D,4,FALSE)</f>
        <v>1黄金</v>
      </c>
      <c r="E469" s="16">
        <f>E463+2000</f>
        <v>45000</v>
      </c>
      <c r="J469" s="16">
        <v>1</v>
      </c>
      <c r="L469" s="16" t="b">
        <v>1</v>
      </c>
    </row>
    <row r="470" spans="1:12" x14ac:dyDescent="0.25">
      <c r="A470" s="16">
        <v>1900724</v>
      </c>
      <c r="B470" s="16" t="s">
        <v>362</v>
      </c>
      <c r="C470" s="16">
        <f t="shared" si="11"/>
        <v>101</v>
      </c>
      <c r="D470" s="16" t="str">
        <f>VLOOKUP(C470,[1]道具配置表!$A:$D,4,FALSE)</f>
        <v>1木材</v>
      </c>
      <c r="E470" s="16">
        <f>E467*2</f>
        <v>90000</v>
      </c>
      <c r="J470" s="16">
        <v>1</v>
      </c>
      <c r="L470" s="16" t="b">
        <v>1</v>
      </c>
    </row>
    <row r="471" spans="1:12" x14ac:dyDescent="0.25">
      <c r="A471" s="16">
        <v>1900725</v>
      </c>
      <c r="B471" s="16" t="s">
        <v>363</v>
      </c>
      <c r="C471" s="16">
        <f t="shared" si="11"/>
        <v>103</v>
      </c>
      <c r="D471" s="16" t="str">
        <f>VLOOKUP(C471,[1]道具配置表!$A:$D,4,FALSE)</f>
        <v>1石头</v>
      </c>
      <c r="E471" s="16">
        <f>E468*2</f>
        <v>90000</v>
      </c>
      <c r="J471" s="16">
        <v>1</v>
      </c>
      <c r="L471" s="16" t="b">
        <v>1</v>
      </c>
    </row>
    <row r="472" spans="1:12" x14ac:dyDescent="0.25">
      <c r="A472" s="16">
        <v>1900726</v>
      </c>
      <c r="B472" s="16" t="s">
        <v>364</v>
      </c>
      <c r="C472" s="16">
        <f t="shared" si="11"/>
        <v>104</v>
      </c>
      <c r="D472" s="16" t="str">
        <f>VLOOKUP(C472,[1]道具配置表!$A:$D,4,FALSE)</f>
        <v>1黄金</v>
      </c>
      <c r="E472" s="16">
        <f>E469*2</f>
        <v>90000</v>
      </c>
      <c r="J472" s="16">
        <v>1</v>
      </c>
      <c r="L472" s="16" t="b">
        <v>1</v>
      </c>
    </row>
    <row r="473" spans="1:12" x14ac:dyDescent="0.25">
      <c r="A473" s="16">
        <v>1900727</v>
      </c>
      <c r="B473" s="16" t="s">
        <v>365</v>
      </c>
      <c r="C473" s="16">
        <f t="shared" si="11"/>
        <v>101</v>
      </c>
      <c r="D473" s="16" t="str">
        <f>VLOOKUP(C473,[1]道具配置表!$A:$D,4,FALSE)</f>
        <v>1木材</v>
      </c>
      <c r="E473" s="16">
        <f>E467+2000</f>
        <v>47000</v>
      </c>
      <c r="J473" s="16">
        <v>1</v>
      </c>
      <c r="L473" s="16" t="b">
        <v>1</v>
      </c>
    </row>
    <row r="474" spans="1:12" x14ac:dyDescent="0.25">
      <c r="A474" s="16">
        <v>1900728</v>
      </c>
      <c r="B474" s="16" t="s">
        <v>366</v>
      </c>
      <c r="C474" s="16">
        <f t="shared" si="11"/>
        <v>103</v>
      </c>
      <c r="D474" s="16" t="str">
        <f>VLOOKUP(C474,[1]道具配置表!$A:$D,4,FALSE)</f>
        <v>1石头</v>
      </c>
      <c r="E474" s="16">
        <f>E468+2000</f>
        <v>47000</v>
      </c>
      <c r="J474" s="16">
        <v>1</v>
      </c>
      <c r="L474" s="16" t="b">
        <v>1</v>
      </c>
    </row>
    <row r="475" spans="1:12" x14ac:dyDescent="0.25">
      <c r="A475" s="16">
        <v>1900729</v>
      </c>
      <c r="B475" s="16" t="s">
        <v>367</v>
      </c>
      <c r="C475" s="16">
        <f t="shared" si="11"/>
        <v>104</v>
      </c>
      <c r="D475" s="16" t="str">
        <f>VLOOKUP(C475,[1]道具配置表!$A:$D,4,FALSE)</f>
        <v>1黄金</v>
      </c>
      <c r="E475" s="16">
        <f>E469+2000</f>
        <v>47000</v>
      </c>
      <c r="J475" s="16">
        <v>1</v>
      </c>
      <c r="L475" s="16" t="b">
        <v>1</v>
      </c>
    </row>
    <row r="476" spans="1:12" x14ac:dyDescent="0.25">
      <c r="A476" s="16">
        <v>1900730</v>
      </c>
      <c r="B476" s="16" t="s">
        <v>365</v>
      </c>
      <c r="C476" s="16">
        <f t="shared" si="11"/>
        <v>101</v>
      </c>
      <c r="D476" s="16" t="str">
        <f>VLOOKUP(C476,[1]道具配置表!$A:$D,4,FALSE)</f>
        <v>1木材</v>
      </c>
      <c r="E476" s="16">
        <f>E473*2</f>
        <v>94000</v>
      </c>
      <c r="J476" s="16">
        <v>1</v>
      </c>
      <c r="L476" s="16" t="b">
        <v>1</v>
      </c>
    </row>
    <row r="477" spans="1:12" x14ac:dyDescent="0.25">
      <c r="A477" s="16">
        <v>1900731</v>
      </c>
      <c r="B477" s="16" t="s">
        <v>366</v>
      </c>
      <c r="C477" s="16">
        <f t="shared" si="11"/>
        <v>103</v>
      </c>
      <c r="D477" s="16" t="str">
        <f>VLOOKUP(C477,[1]道具配置表!$A:$D,4,FALSE)</f>
        <v>1石头</v>
      </c>
      <c r="E477" s="16">
        <f>E474*2</f>
        <v>94000</v>
      </c>
      <c r="J477" s="16">
        <v>1</v>
      </c>
      <c r="L477" s="16" t="b">
        <v>1</v>
      </c>
    </row>
    <row r="478" spans="1:12" x14ac:dyDescent="0.25">
      <c r="A478" s="16">
        <v>1900732</v>
      </c>
      <c r="B478" s="16" t="s">
        <v>367</v>
      </c>
      <c r="C478" s="16">
        <f t="shared" ref="C478:C509" si="12">C475</f>
        <v>104</v>
      </c>
      <c r="D478" s="16" t="str">
        <f>VLOOKUP(C478,[1]道具配置表!$A:$D,4,FALSE)</f>
        <v>1黄金</v>
      </c>
      <c r="E478" s="16">
        <f>E475*2</f>
        <v>94000</v>
      </c>
      <c r="J478" s="16">
        <v>1</v>
      </c>
      <c r="L478" s="16" t="b">
        <v>1</v>
      </c>
    </row>
    <row r="479" spans="1:12" x14ac:dyDescent="0.25">
      <c r="A479" s="16">
        <v>1900733</v>
      </c>
      <c r="B479" s="16" t="s">
        <v>368</v>
      </c>
      <c r="C479" s="16">
        <f t="shared" si="12"/>
        <v>101</v>
      </c>
      <c r="D479" s="16" t="str">
        <f>VLOOKUP(C479,[1]道具配置表!$A:$D,4,FALSE)</f>
        <v>1木材</v>
      </c>
      <c r="E479" s="16">
        <f>E473+2000</f>
        <v>49000</v>
      </c>
      <c r="J479" s="16">
        <v>1</v>
      </c>
      <c r="L479" s="16" t="b">
        <v>1</v>
      </c>
    </row>
    <row r="480" spans="1:12" x14ac:dyDescent="0.25">
      <c r="A480" s="16">
        <v>1900734</v>
      </c>
      <c r="B480" s="16" t="s">
        <v>369</v>
      </c>
      <c r="C480" s="16">
        <f t="shared" si="12"/>
        <v>103</v>
      </c>
      <c r="D480" s="16" t="str">
        <f>VLOOKUP(C480,[1]道具配置表!$A:$D,4,FALSE)</f>
        <v>1石头</v>
      </c>
      <c r="E480" s="16">
        <f>E474+2000</f>
        <v>49000</v>
      </c>
      <c r="J480" s="16">
        <v>1</v>
      </c>
      <c r="L480" s="16" t="b">
        <v>1</v>
      </c>
    </row>
    <row r="481" spans="1:12" x14ac:dyDescent="0.25">
      <c r="A481" s="16">
        <v>1900735</v>
      </c>
      <c r="B481" s="16" t="s">
        <v>370</v>
      </c>
      <c r="C481" s="16">
        <f t="shared" si="12"/>
        <v>104</v>
      </c>
      <c r="D481" s="16" t="str">
        <f>VLOOKUP(C481,[1]道具配置表!$A:$D,4,FALSE)</f>
        <v>1黄金</v>
      </c>
      <c r="E481" s="16">
        <f>E475+2000</f>
        <v>49000</v>
      </c>
      <c r="J481" s="16">
        <v>1</v>
      </c>
      <c r="L481" s="16" t="b">
        <v>1</v>
      </c>
    </row>
    <row r="482" spans="1:12" x14ac:dyDescent="0.25">
      <c r="A482" s="16">
        <v>1900736</v>
      </c>
      <c r="B482" s="16" t="s">
        <v>368</v>
      </c>
      <c r="C482" s="16">
        <f t="shared" si="12"/>
        <v>101</v>
      </c>
      <c r="D482" s="16" t="str">
        <f>VLOOKUP(C482,[1]道具配置表!$A:$D,4,FALSE)</f>
        <v>1木材</v>
      </c>
      <c r="E482" s="16">
        <f>E479*2</f>
        <v>98000</v>
      </c>
      <c r="J482" s="16">
        <v>1</v>
      </c>
      <c r="L482" s="16" t="b">
        <v>1</v>
      </c>
    </row>
    <row r="483" spans="1:12" x14ac:dyDescent="0.25">
      <c r="A483" s="16">
        <v>1900737</v>
      </c>
      <c r="B483" s="16" t="s">
        <v>369</v>
      </c>
      <c r="C483" s="16">
        <f t="shared" si="12"/>
        <v>103</v>
      </c>
      <c r="D483" s="16" t="str">
        <f>VLOOKUP(C483,[1]道具配置表!$A:$D,4,FALSE)</f>
        <v>1石头</v>
      </c>
      <c r="E483" s="16">
        <f>E480*2</f>
        <v>98000</v>
      </c>
      <c r="J483" s="16">
        <v>1</v>
      </c>
      <c r="L483" s="16" t="b">
        <v>1</v>
      </c>
    </row>
    <row r="484" spans="1:12" x14ac:dyDescent="0.25">
      <c r="A484" s="16">
        <v>1900738</v>
      </c>
      <c r="B484" s="16" t="s">
        <v>370</v>
      </c>
      <c r="C484" s="16">
        <f t="shared" si="12"/>
        <v>104</v>
      </c>
      <c r="D484" s="16" t="str">
        <f>VLOOKUP(C484,[1]道具配置表!$A:$D,4,FALSE)</f>
        <v>1黄金</v>
      </c>
      <c r="E484" s="16">
        <f>E481*2</f>
        <v>98000</v>
      </c>
      <c r="J484" s="16">
        <v>1</v>
      </c>
      <c r="L484" s="16" t="b">
        <v>1</v>
      </c>
    </row>
    <row r="485" spans="1:12" x14ac:dyDescent="0.25">
      <c r="A485" s="16">
        <v>1900739</v>
      </c>
      <c r="B485" s="16" t="s">
        <v>371</v>
      </c>
      <c r="C485" s="16">
        <f t="shared" si="12"/>
        <v>101</v>
      </c>
      <c r="D485" s="16" t="str">
        <f>VLOOKUP(C485,[1]道具配置表!$A:$D,4,FALSE)</f>
        <v>1木材</v>
      </c>
      <c r="E485" s="16">
        <f>E479+2000</f>
        <v>51000</v>
      </c>
      <c r="J485" s="16">
        <v>1</v>
      </c>
      <c r="L485" s="16" t="b">
        <v>1</v>
      </c>
    </row>
    <row r="486" spans="1:12" x14ac:dyDescent="0.25">
      <c r="A486" s="16">
        <v>1900740</v>
      </c>
      <c r="B486" s="16" t="s">
        <v>372</v>
      </c>
      <c r="C486" s="16">
        <f t="shared" si="12"/>
        <v>103</v>
      </c>
      <c r="D486" s="16" t="str">
        <f>VLOOKUP(C486,[1]道具配置表!$A:$D,4,FALSE)</f>
        <v>1石头</v>
      </c>
      <c r="E486" s="16">
        <f>E480+2000</f>
        <v>51000</v>
      </c>
      <c r="J486" s="16">
        <v>1</v>
      </c>
      <c r="L486" s="16" t="b">
        <v>1</v>
      </c>
    </row>
    <row r="487" spans="1:12" x14ac:dyDescent="0.25">
      <c r="A487" s="16">
        <v>1900741</v>
      </c>
      <c r="B487" s="16" t="s">
        <v>373</v>
      </c>
      <c r="C487" s="16">
        <f t="shared" si="12"/>
        <v>104</v>
      </c>
      <c r="D487" s="16" t="str">
        <f>VLOOKUP(C487,[1]道具配置表!$A:$D,4,FALSE)</f>
        <v>1黄金</v>
      </c>
      <c r="E487" s="16">
        <f>E481+2000</f>
        <v>51000</v>
      </c>
      <c r="J487" s="16">
        <v>1</v>
      </c>
      <c r="L487" s="16" t="b">
        <v>1</v>
      </c>
    </row>
    <row r="488" spans="1:12" x14ac:dyDescent="0.25">
      <c r="A488" s="16">
        <v>1900742</v>
      </c>
      <c r="B488" s="16" t="s">
        <v>371</v>
      </c>
      <c r="C488" s="16">
        <f t="shared" si="12"/>
        <v>101</v>
      </c>
      <c r="D488" s="16" t="str">
        <f>VLOOKUP(C488,[1]道具配置表!$A:$D,4,FALSE)</f>
        <v>1木材</v>
      </c>
      <c r="E488" s="16">
        <f>E485*2</f>
        <v>102000</v>
      </c>
      <c r="J488" s="16">
        <v>1</v>
      </c>
      <c r="L488" s="16" t="b">
        <v>1</v>
      </c>
    </row>
    <row r="489" spans="1:12" x14ac:dyDescent="0.25">
      <c r="A489" s="16">
        <v>1900743</v>
      </c>
      <c r="B489" s="16" t="s">
        <v>372</v>
      </c>
      <c r="C489" s="16">
        <f t="shared" si="12"/>
        <v>103</v>
      </c>
      <c r="D489" s="16" t="str">
        <f>VLOOKUP(C489,[1]道具配置表!$A:$D,4,FALSE)</f>
        <v>1石头</v>
      </c>
      <c r="E489" s="16">
        <f>E486*2</f>
        <v>102000</v>
      </c>
      <c r="J489" s="16">
        <v>1</v>
      </c>
      <c r="L489" s="16" t="b">
        <v>1</v>
      </c>
    </row>
    <row r="490" spans="1:12" x14ac:dyDescent="0.25">
      <c r="A490" s="16">
        <v>1900744</v>
      </c>
      <c r="B490" s="16" t="s">
        <v>373</v>
      </c>
      <c r="C490" s="16">
        <f t="shared" si="12"/>
        <v>104</v>
      </c>
      <c r="D490" s="16" t="str">
        <f>VLOOKUP(C490,[1]道具配置表!$A:$D,4,FALSE)</f>
        <v>1黄金</v>
      </c>
      <c r="E490" s="16">
        <f>E487*2</f>
        <v>102000</v>
      </c>
      <c r="J490" s="16">
        <v>1</v>
      </c>
      <c r="L490" s="16" t="b">
        <v>1</v>
      </c>
    </row>
    <row r="491" spans="1:12" x14ac:dyDescent="0.25">
      <c r="A491" s="16">
        <v>1900745</v>
      </c>
      <c r="B491" s="16" t="s">
        <v>374</v>
      </c>
      <c r="C491" s="16">
        <f t="shared" si="12"/>
        <v>101</v>
      </c>
      <c r="D491" s="16" t="str">
        <f>VLOOKUP(C491,[1]道具配置表!$A:$D,4,FALSE)</f>
        <v>1木材</v>
      </c>
      <c r="E491" s="16">
        <f>E485+2000</f>
        <v>53000</v>
      </c>
      <c r="J491" s="16">
        <v>1</v>
      </c>
      <c r="L491" s="16" t="b">
        <v>1</v>
      </c>
    </row>
    <row r="492" spans="1:12" x14ac:dyDescent="0.25">
      <c r="A492" s="16">
        <v>1900746</v>
      </c>
      <c r="B492" s="16" t="s">
        <v>375</v>
      </c>
      <c r="C492" s="16">
        <f t="shared" si="12"/>
        <v>103</v>
      </c>
      <c r="D492" s="16" t="str">
        <f>VLOOKUP(C492,[1]道具配置表!$A:$D,4,FALSE)</f>
        <v>1石头</v>
      </c>
      <c r="E492" s="16">
        <f>E486+2000</f>
        <v>53000</v>
      </c>
      <c r="J492" s="16">
        <v>1</v>
      </c>
      <c r="L492" s="16" t="b">
        <v>1</v>
      </c>
    </row>
    <row r="493" spans="1:12" x14ac:dyDescent="0.25">
      <c r="A493" s="16">
        <v>1900747</v>
      </c>
      <c r="B493" s="16" t="s">
        <v>376</v>
      </c>
      <c r="C493" s="16">
        <f t="shared" si="12"/>
        <v>104</v>
      </c>
      <c r="D493" s="16" t="str">
        <f>VLOOKUP(C493,[1]道具配置表!$A:$D,4,FALSE)</f>
        <v>1黄金</v>
      </c>
      <c r="E493" s="16">
        <f>E487+2000</f>
        <v>53000</v>
      </c>
      <c r="J493" s="16">
        <v>1</v>
      </c>
      <c r="L493" s="16" t="b">
        <v>1</v>
      </c>
    </row>
    <row r="494" spans="1:12" x14ac:dyDescent="0.25">
      <c r="A494" s="16">
        <v>1900748</v>
      </c>
      <c r="B494" s="16" t="s">
        <v>374</v>
      </c>
      <c r="C494" s="16">
        <f t="shared" si="12"/>
        <v>101</v>
      </c>
      <c r="D494" s="16" t="str">
        <f>VLOOKUP(C494,[1]道具配置表!$A:$D,4,FALSE)</f>
        <v>1木材</v>
      </c>
      <c r="E494" s="16">
        <f>E491*2</f>
        <v>106000</v>
      </c>
      <c r="J494" s="16">
        <v>1</v>
      </c>
      <c r="L494" s="16" t="b">
        <v>1</v>
      </c>
    </row>
    <row r="495" spans="1:12" x14ac:dyDescent="0.25">
      <c r="A495" s="16">
        <v>1900749</v>
      </c>
      <c r="B495" s="16" t="s">
        <v>375</v>
      </c>
      <c r="C495" s="16">
        <f t="shared" si="12"/>
        <v>103</v>
      </c>
      <c r="D495" s="16" t="str">
        <f>VLOOKUP(C495,[1]道具配置表!$A:$D,4,FALSE)</f>
        <v>1石头</v>
      </c>
      <c r="E495" s="16">
        <f>E492*2</f>
        <v>106000</v>
      </c>
      <c r="J495" s="16">
        <v>1</v>
      </c>
      <c r="L495" s="16" t="b">
        <v>1</v>
      </c>
    </row>
    <row r="496" spans="1:12" x14ac:dyDescent="0.25">
      <c r="A496" s="16">
        <v>1900750</v>
      </c>
      <c r="B496" s="16" t="s">
        <v>376</v>
      </c>
      <c r="C496" s="16">
        <f t="shared" si="12"/>
        <v>104</v>
      </c>
      <c r="D496" s="16" t="str">
        <f>VLOOKUP(C496,[1]道具配置表!$A:$D,4,FALSE)</f>
        <v>1黄金</v>
      </c>
      <c r="E496" s="16">
        <f>E493*2</f>
        <v>106000</v>
      </c>
      <c r="J496" s="16">
        <v>1</v>
      </c>
      <c r="L496" s="16" t="b">
        <v>1</v>
      </c>
    </row>
    <row r="497" spans="1:12" x14ac:dyDescent="0.25">
      <c r="A497" s="16">
        <v>1900751</v>
      </c>
      <c r="B497" s="16" t="s">
        <v>377</v>
      </c>
      <c r="C497" s="16">
        <f t="shared" si="12"/>
        <v>101</v>
      </c>
      <c r="D497" s="16" t="str">
        <f>VLOOKUP(C497,[1]道具配置表!$A:$D,4,FALSE)</f>
        <v>1木材</v>
      </c>
      <c r="E497" s="16">
        <f>E491+2000</f>
        <v>55000</v>
      </c>
      <c r="J497" s="16">
        <v>1</v>
      </c>
      <c r="L497" s="16" t="b">
        <v>1</v>
      </c>
    </row>
    <row r="498" spans="1:12" x14ac:dyDescent="0.25">
      <c r="A498" s="16">
        <v>1900752</v>
      </c>
      <c r="B498" s="16" t="s">
        <v>378</v>
      </c>
      <c r="C498" s="16">
        <f t="shared" si="12"/>
        <v>103</v>
      </c>
      <c r="D498" s="16" t="str">
        <f>VLOOKUP(C498,[1]道具配置表!$A:$D,4,FALSE)</f>
        <v>1石头</v>
      </c>
      <c r="E498" s="16">
        <f>E492+2000</f>
        <v>55000</v>
      </c>
      <c r="J498" s="16">
        <v>1</v>
      </c>
      <c r="L498" s="16" t="b">
        <v>1</v>
      </c>
    </row>
    <row r="499" spans="1:12" x14ac:dyDescent="0.25">
      <c r="A499" s="16">
        <v>1900753</v>
      </c>
      <c r="B499" s="16" t="s">
        <v>379</v>
      </c>
      <c r="C499" s="16">
        <f t="shared" si="12"/>
        <v>104</v>
      </c>
      <c r="D499" s="16" t="str">
        <f>VLOOKUP(C499,[1]道具配置表!$A:$D,4,FALSE)</f>
        <v>1黄金</v>
      </c>
      <c r="E499" s="16">
        <f>E493+2000</f>
        <v>55000</v>
      </c>
      <c r="J499" s="16">
        <v>1</v>
      </c>
      <c r="L499" s="16" t="b">
        <v>1</v>
      </c>
    </row>
    <row r="500" spans="1:12" x14ac:dyDescent="0.25">
      <c r="A500" s="16">
        <v>1900754</v>
      </c>
      <c r="B500" s="16" t="s">
        <v>377</v>
      </c>
      <c r="C500" s="16">
        <f t="shared" si="12"/>
        <v>101</v>
      </c>
      <c r="D500" s="16" t="str">
        <f>VLOOKUP(C500,[1]道具配置表!$A:$D,4,FALSE)</f>
        <v>1木材</v>
      </c>
      <c r="E500" s="16">
        <f>E497*2</f>
        <v>110000</v>
      </c>
      <c r="J500" s="16">
        <v>1</v>
      </c>
      <c r="L500" s="16" t="b">
        <v>1</v>
      </c>
    </row>
    <row r="501" spans="1:12" x14ac:dyDescent="0.25">
      <c r="A501" s="16">
        <v>1900755</v>
      </c>
      <c r="B501" s="16" t="s">
        <v>378</v>
      </c>
      <c r="C501" s="16">
        <f t="shared" si="12"/>
        <v>103</v>
      </c>
      <c r="D501" s="16" t="str">
        <f>VLOOKUP(C501,[1]道具配置表!$A:$D,4,FALSE)</f>
        <v>1石头</v>
      </c>
      <c r="E501" s="16">
        <f>E498*2</f>
        <v>110000</v>
      </c>
      <c r="J501" s="16">
        <v>1</v>
      </c>
      <c r="L501" s="16" t="b">
        <v>1</v>
      </c>
    </row>
    <row r="502" spans="1:12" x14ac:dyDescent="0.25">
      <c r="A502" s="16">
        <v>1900756</v>
      </c>
      <c r="B502" s="16" t="s">
        <v>379</v>
      </c>
      <c r="C502" s="16">
        <f t="shared" si="12"/>
        <v>104</v>
      </c>
      <c r="D502" s="16" t="str">
        <f>VLOOKUP(C502,[1]道具配置表!$A:$D,4,FALSE)</f>
        <v>1黄金</v>
      </c>
      <c r="E502" s="16">
        <f>E499*2</f>
        <v>110000</v>
      </c>
      <c r="J502" s="16">
        <v>1</v>
      </c>
      <c r="L502" s="16" t="b">
        <v>1</v>
      </c>
    </row>
    <row r="503" spans="1:12" x14ac:dyDescent="0.25">
      <c r="A503" s="16">
        <v>1900757</v>
      </c>
      <c r="B503" s="16" t="s">
        <v>380</v>
      </c>
      <c r="C503" s="16">
        <f t="shared" si="12"/>
        <v>101</v>
      </c>
      <c r="D503" s="16" t="str">
        <f>VLOOKUP(C503,[1]道具配置表!$A:$D,4,FALSE)</f>
        <v>1木材</v>
      </c>
      <c r="E503" s="16">
        <f>E497+2000</f>
        <v>57000</v>
      </c>
      <c r="J503" s="16">
        <v>1</v>
      </c>
      <c r="L503" s="16" t="b">
        <v>1</v>
      </c>
    </row>
    <row r="504" spans="1:12" x14ac:dyDescent="0.25">
      <c r="A504" s="16">
        <v>1900758</v>
      </c>
      <c r="B504" s="16" t="s">
        <v>381</v>
      </c>
      <c r="C504" s="16">
        <f t="shared" si="12"/>
        <v>103</v>
      </c>
      <c r="D504" s="16" t="str">
        <f>VLOOKUP(C504,[1]道具配置表!$A:$D,4,FALSE)</f>
        <v>1石头</v>
      </c>
      <c r="E504" s="16">
        <f>E498+2000</f>
        <v>57000</v>
      </c>
      <c r="J504" s="16">
        <v>1</v>
      </c>
      <c r="L504" s="16" t="b">
        <v>1</v>
      </c>
    </row>
    <row r="505" spans="1:12" x14ac:dyDescent="0.25">
      <c r="A505" s="16">
        <v>1900759</v>
      </c>
      <c r="B505" s="16" t="s">
        <v>382</v>
      </c>
      <c r="C505" s="16">
        <f t="shared" si="12"/>
        <v>104</v>
      </c>
      <c r="D505" s="16" t="str">
        <f>VLOOKUP(C505,[1]道具配置表!$A:$D,4,FALSE)</f>
        <v>1黄金</v>
      </c>
      <c r="E505" s="16">
        <f>E499+2000</f>
        <v>57000</v>
      </c>
      <c r="J505" s="16">
        <v>1</v>
      </c>
      <c r="L505" s="16" t="b">
        <v>1</v>
      </c>
    </row>
    <row r="506" spans="1:12" x14ac:dyDescent="0.25">
      <c r="A506" s="16">
        <v>1900760</v>
      </c>
      <c r="B506" s="16" t="s">
        <v>380</v>
      </c>
      <c r="C506" s="16">
        <f t="shared" si="12"/>
        <v>101</v>
      </c>
      <c r="D506" s="16" t="str">
        <f>VLOOKUP(C506,[1]道具配置表!$A:$D,4,FALSE)</f>
        <v>1木材</v>
      </c>
      <c r="E506" s="16">
        <f>E503*2</f>
        <v>114000</v>
      </c>
      <c r="J506" s="16">
        <v>1</v>
      </c>
      <c r="L506" s="16" t="b">
        <v>1</v>
      </c>
    </row>
    <row r="507" spans="1:12" x14ac:dyDescent="0.25">
      <c r="A507" s="16">
        <v>1900761</v>
      </c>
      <c r="B507" s="16" t="s">
        <v>381</v>
      </c>
      <c r="C507" s="16">
        <f t="shared" si="12"/>
        <v>103</v>
      </c>
      <c r="D507" s="16" t="str">
        <f>VLOOKUP(C507,[1]道具配置表!$A:$D,4,FALSE)</f>
        <v>1石头</v>
      </c>
      <c r="E507" s="16">
        <f>E504*2</f>
        <v>114000</v>
      </c>
      <c r="J507" s="16">
        <v>1</v>
      </c>
      <c r="L507" s="16" t="b">
        <v>1</v>
      </c>
    </row>
    <row r="508" spans="1:12" x14ac:dyDescent="0.25">
      <c r="A508" s="16">
        <v>1900762</v>
      </c>
      <c r="B508" s="16" t="s">
        <v>382</v>
      </c>
      <c r="C508" s="16">
        <f t="shared" si="12"/>
        <v>104</v>
      </c>
      <c r="D508" s="16" t="str">
        <f>VLOOKUP(C508,[1]道具配置表!$A:$D,4,FALSE)</f>
        <v>1黄金</v>
      </c>
      <c r="E508" s="16">
        <f>E505*2</f>
        <v>114000</v>
      </c>
      <c r="J508" s="16">
        <v>1</v>
      </c>
      <c r="L508" s="16" t="b">
        <v>1</v>
      </c>
    </row>
    <row r="509" spans="1:12" x14ac:dyDescent="0.25">
      <c r="A509" s="16">
        <v>1900763</v>
      </c>
      <c r="B509" s="16" t="s">
        <v>383</v>
      </c>
      <c r="C509" s="16">
        <f t="shared" si="12"/>
        <v>101</v>
      </c>
      <c r="D509" s="16" t="str">
        <f>VLOOKUP(C509,[1]道具配置表!$A:$D,4,FALSE)</f>
        <v>1木材</v>
      </c>
      <c r="E509" s="16">
        <f>E503+2000</f>
        <v>59000</v>
      </c>
      <c r="J509" s="16">
        <v>1</v>
      </c>
      <c r="L509" s="16" t="b">
        <v>1</v>
      </c>
    </row>
    <row r="510" spans="1:12" x14ac:dyDescent="0.25">
      <c r="A510" s="16">
        <v>1900764</v>
      </c>
      <c r="B510" s="16" t="s">
        <v>384</v>
      </c>
      <c r="C510" s="16">
        <f t="shared" ref="C510:C526" si="13">C507</f>
        <v>103</v>
      </c>
      <c r="D510" s="16" t="str">
        <f>VLOOKUP(C510,[1]道具配置表!$A:$D,4,FALSE)</f>
        <v>1石头</v>
      </c>
      <c r="E510" s="16">
        <f>E504+2000</f>
        <v>59000</v>
      </c>
      <c r="J510" s="16">
        <v>1</v>
      </c>
      <c r="L510" s="16" t="b">
        <v>1</v>
      </c>
    </row>
    <row r="511" spans="1:12" x14ac:dyDescent="0.25">
      <c r="A511" s="16">
        <v>1900765</v>
      </c>
      <c r="B511" s="16" t="s">
        <v>385</v>
      </c>
      <c r="C511" s="16">
        <f t="shared" si="13"/>
        <v>104</v>
      </c>
      <c r="D511" s="16" t="str">
        <f>VLOOKUP(C511,[1]道具配置表!$A:$D,4,FALSE)</f>
        <v>1黄金</v>
      </c>
      <c r="E511" s="16">
        <f>E505+2000</f>
        <v>59000</v>
      </c>
      <c r="J511" s="16">
        <v>1</v>
      </c>
      <c r="L511" s="16" t="b">
        <v>1</v>
      </c>
    </row>
    <row r="512" spans="1:12" x14ac:dyDescent="0.25">
      <c r="A512" s="16">
        <v>1900766</v>
      </c>
      <c r="B512" s="16" t="s">
        <v>383</v>
      </c>
      <c r="C512" s="16">
        <f t="shared" si="13"/>
        <v>101</v>
      </c>
      <c r="D512" s="16" t="str">
        <f>VLOOKUP(C512,[1]道具配置表!$A:$D,4,FALSE)</f>
        <v>1木材</v>
      </c>
      <c r="E512" s="16">
        <f>E509*2</f>
        <v>118000</v>
      </c>
      <c r="J512" s="16">
        <v>1</v>
      </c>
      <c r="L512" s="16" t="b">
        <v>1</v>
      </c>
    </row>
    <row r="513" spans="1:12" x14ac:dyDescent="0.25">
      <c r="A513" s="16">
        <v>1900767</v>
      </c>
      <c r="B513" s="16" t="s">
        <v>384</v>
      </c>
      <c r="C513" s="16">
        <f t="shared" si="13"/>
        <v>103</v>
      </c>
      <c r="D513" s="16" t="str">
        <f>VLOOKUP(C513,[1]道具配置表!$A:$D,4,FALSE)</f>
        <v>1石头</v>
      </c>
      <c r="E513" s="16">
        <f>E510*2</f>
        <v>118000</v>
      </c>
      <c r="J513" s="16">
        <v>1</v>
      </c>
      <c r="L513" s="16" t="b">
        <v>1</v>
      </c>
    </row>
    <row r="514" spans="1:12" x14ac:dyDescent="0.25">
      <c r="A514" s="16">
        <v>1900768</v>
      </c>
      <c r="B514" s="16" t="s">
        <v>385</v>
      </c>
      <c r="C514" s="16">
        <f t="shared" si="13"/>
        <v>104</v>
      </c>
      <c r="D514" s="16" t="str">
        <f>VLOOKUP(C514,[1]道具配置表!$A:$D,4,FALSE)</f>
        <v>1黄金</v>
      </c>
      <c r="E514" s="16">
        <f>E511*2</f>
        <v>118000</v>
      </c>
      <c r="J514" s="16">
        <v>1</v>
      </c>
      <c r="L514" s="16" t="b">
        <v>1</v>
      </c>
    </row>
    <row r="515" spans="1:12" x14ac:dyDescent="0.25">
      <c r="A515" s="16">
        <v>1900769</v>
      </c>
      <c r="B515" s="16" t="s">
        <v>386</v>
      </c>
      <c r="C515" s="16">
        <f t="shared" si="13"/>
        <v>101</v>
      </c>
      <c r="D515" s="16" t="str">
        <f>VLOOKUP(C515,[1]道具配置表!$A:$D,4,FALSE)</f>
        <v>1木材</v>
      </c>
      <c r="E515" s="16">
        <f>E509+2000</f>
        <v>61000</v>
      </c>
      <c r="J515" s="16">
        <v>1</v>
      </c>
      <c r="L515" s="16" t="b">
        <v>1</v>
      </c>
    </row>
    <row r="516" spans="1:12" x14ac:dyDescent="0.25">
      <c r="A516" s="16">
        <v>1900770</v>
      </c>
      <c r="B516" s="16" t="s">
        <v>387</v>
      </c>
      <c r="C516" s="16">
        <f t="shared" si="13"/>
        <v>103</v>
      </c>
      <c r="D516" s="16" t="str">
        <f>VLOOKUP(C516,[1]道具配置表!$A:$D,4,FALSE)</f>
        <v>1石头</v>
      </c>
      <c r="E516" s="16">
        <f>E510+2000</f>
        <v>61000</v>
      </c>
      <c r="J516" s="16">
        <v>1</v>
      </c>
      <c r="L516" s="16" t="b">
        <v>1</v>
      </c>
    </row>
    <row r="517" spans="1:12" x14ac:dyDescent="0.25">
      <c r="A517" s="16">
        <v>1900771</v>
      </c>
      <c r="B517" s="16" t="s">
        <v>388</v>
      </c>
      <c r="C517" s="16">
        <f t="shared" si="13"/>
        <v>104</v>
      </c>
      <c r="D517" s="16" t="str">
        <f>VLOOKUP(C517,[1]道具配置表!$A:$D,4,FALSE)</f>
        <v>1黄金</v>
      </c>
      <c r="E517" s="16">
        <f>E511+2000</f>
        <v>61000</v>
      </c>
      <c r="J517" s="16">
        <v>1</v>
      </c>
      <c r="L517" s="16" t="b">
        <v>1</v>
      </c>
    </row>
    <row r="518" spans="1:12" x14ac:dyDescent="0.25">
      <c r="A518" s="16">
        <v>1900772</v>
      </c>
      <c r="B518" s="16" t="s">
        <v>386</v>
      </c>
      <c r="C518" s="16">
        <f t="shared" si="13"/>
        <v>101</v>
      </c>
      <c r="D518" s="16" t="str">
        <f>VLOOKUP(C518,[1]道具配置表!$A:$D,4,FALSE)</f>
        <v>1木材</v>
      </c>
      <c r="E518" s="16">
        <f>E515*2</f>
        <v>122000</v>
      </c>
      <c r="J518" s="16">
        <v>1</v>
      </c>
      <c r="L518" s="16" t="b">
        <v>1</v>
      </c>
    </row>
    <row r="519" spans="1:12" x14ac:dyDescent="0.25">
      <c r="A519" s="16">
        <v>1900773</v>
      </c>
      <c r="B519" s="16" t="s">
        <v>387</v>
      </c>
      <c r="C519" s="16">
        <f t="shared" si="13"/>
        <v>103</v>
      </c>
      <c r="D519" s="16" t="str">
        <f>VLOOKUP(C519,[1]道具配置表!$A:$D,4,FALSE)</f>
        <v>1石头</v>
      </c>
      <c r="E519" s="16">
        <f>E516*2</f>
        <v>122000</v>
      </c>
      <c r="J519" s="16">
        <v>1</v>
      </c>
      <c r="L519" s="16" t="b">
        <v>1</v>
      </c>
    </row>
    <row r="520" spans="1:12" x14ac:dyDescent="0.25">
      <c r="A520" s="16">
        <v>1900774</v>
      </c>
      <c r="B520" s="16" t="s">
        <v>388</v>
      </c>
      <c r="C520" s="16">
        <f t="shared" si="13"/>
        <v>104</v>
      </c>
      <c r="D520" s="16" t="str">
        <f>VLOOKUP(C520,[1]道具配置表!$A:$D,4,FALSE)</f>
        <v>1黄金</v>
      </c>
      <c r="E520" s="16">
        <f>E517*2</f>
        <v>122000</v>
      </c>
      <c r="J520" s="16">
        <v>1</v>
      </c>
      <c r="L520" s="16" t="b">
        <v>1</v>
      </c>
    </row>
    <row r="521" spans="1:12" x14ac:dyDescent="0.25">
      <c r="A521" s="16">
        <v>1900775</v>
      </c>
      <c r="B521" s="16" t="s">
        <v>389</v>
      </c>
      <c r="C521" s="16">
        <f t="shared" si="13"/>
        <v>101</v>
      </c>
      <c r="D521" s="16" t="str">
        <f>VLOOKUP(C521,[1]道具配置表!$A:$D,4,FALSE)</f>
        <v>1木材</v>
      </c>
      <c r="E521" s="16">
        <f>E515+2000</f>
        <v>63000</v>
      </c>
      <c r="J521" s="16">
        <v>1</v>
      </c>
      <c r="L521" s="16" t="b">
        <v>1</v>
      </c>
    </row>
    <row r="522" spans="1:12" x14ac:dyDescent="0.25">
      <c r="A522" s="16">
        <v>1900776</v>
      </c>
      <c r="B522" s="16" t="s">
        <v>390</v>
      </c>
      <c r="C522" s="16">
        <f t="shared" si="13"/>
        <v>103</v>
      </c>
      <c r="D522" s="16" t="str">
        <f>VLOOKUP(C522,[1]道具配置表!$A:$D,4,FALSE)</f>
        <v>1石头</v>
      </c>
      <c r="E522" s="16">
        <f>E516+2000</f>
        <v>63000</v>
      </c>
      <c r="J522" s="16">
        <v>1</v>
      </c>
      <c r="L522" s="16" t="b">
        <v>1</v>
      </c>
    </row>
    <row r="523" spans="1:12" x14ac:dyDescent="0.25">
      <c r="A523" s="16">
        <v>1900777</v>
      </c>
      <c r="B523" s="16" t="s">
        <v>391</v>
      </c>
      <c r="C523" s="16">
        <f t="shared" si="13"/>
        <v>104</v>
      </c>
      <c r="D523" s="16" t="str">
        <f>VLOOKUP(C523,[1]道具配置表!$A:$D,4,FALSE)</f>
        <v>1黄金</v>
      </c>
      <c r="E523" s="16">
        <f>E517+2000</f>
        <v>63000</v>
      </c>
      <c r="J523" s="16">
        <v>1</v>
      </c>
      <c r="L523" s="16" t="b">
        <v>1</v>
      </c>
    </row>
    <row r="524" spans="1:12" x14ac:dyDescent="0.25">
      <c r="A524" s="16">
        <v>1900778</v>
      </c>
      <c r="B524" s="16" t="s">
        <v>389</v>
      </c>
      <c r="C524" s="16">
        <f t="shared" si="13"/>
        <v>101</v>
      </c>
      <c r="D524" s="16" t="str">
        <f>VLOOKUP(C524,[1]道具配置表!$A:$D,4,FALSE)</f>
        <v>1木材</v>
      </c>
      <c r="E524" s="16">
        <f>E521*2</f>
        <v>126000</v>
      </c>
      <c r="J524" s="16">
        <v>1</v>
      </c>
      <c r="L524" s="16" t="b">
        <v>1</v>
      </c>
    </row>
    <row r="525" spans="1:12" x14ac:dyDescent="0.25">
      <c r="A525" s="16">
        <v>1900779</v>
      </c>
      <c r="B525" s="16" t="s">
        <v>390</v>
      </c>
      <c r="C525" s="16">
        <f t="shared" si="13"/>
        <v>103</v>
      </c>
      <c r="D525" s="16" t="str">
        <f>VLOOKUP(C525,[1]道具配置表!$A:$D,4,FALSE)</f>
        <v>1石头</v>
      </c>
      <c r="E525" s="16">
        <f>E522*2</f>
        <v>126000</v>
      </c>
      <c r="J525" s="16">
        <v>1</v>
      </c>
      <c r="L525" s="16" t="b">
        <v>1</v>
      </c>
    </row>
    <row r="526" spans="1:12" x14ac:dyDescent="0.25">
      <c r="A526" s="16">
        <v>1900780</v>
      </c>
      <c r="B526" s="16" t="s">
        <v>391</v>
      </c>
      <c r="C526" s="16">
        <f t="shared" si="13"/>
        <v>104</v>
      </c>
      <c r="D526" s="16" t="str">
        <f>VLOOKUP(C526,[1]道具配置表!$A:$D,4,FALSE)</f>
        <v>1黄金</v>
      </c>
      <c r="E526" s="16">
        <f>E523*2</f>
        <v>126000</v>
      </c>
      <c r="J526" s="16">
        <v>1</v>
      </c>
      <c r="L526" s="16" t="b">
        <v>1</v>
      </c>
    </row>
    <row r="527" spans="1:12" x14ac:dyDescent="0.25">
      <c r="A527" s="16">
        <v>1900801</v>
      </c>
      <c r="B527" s="16" t="s">
        <v>392</v>
      </c>
      <c r="C527" s="16">
        <v>14307</v>
      </c>
      <c r="D527" s="16" t="str">
        <f>VLOOKUP(C527,[1]道具配置表!$A:$D,4,FALSE)</f>
        <v>元元公主</v>
      </c>
      <c r="E527" s="16">
        <v>10</v>
      </c>
      <c r="J527" s="16">
        <v>1</v>
      </c>
      <c r="L527" s="16" t="b">
        <v>1</v>
      </c>
    </row>
    <row r="528" spans="1:12" x14ac:dyDescent="0.25">
      <c r="A528" s="16">
        <v>1900802</v>
      </c>
      <c r="B528" s="16" t="s">
        <v>393</v>
      </c>
      <c r="C528" s="16">
        <v>14302</v>
      </c>
      <c r="D528" s="16" t="str">
        <f>VLOOKUP(C528,[1]道具配置表!$A:$D,4,FALSE)</f>
        <v>尼古劳斯</v>
      </c>
      <c r="E528" s="16">
        <v>10</v>
      </c>
      <c r="J528" s="16">
        <v>1</v>
      </c>
      <c r="L528" s="16" t="b">
        <v>1</v>
      </c>
    </row>
    <row r="529" spans="1:12" x14ac:dyDescent="0.25">
      <c r="A529" s="16">
        <v>1900803</v>
      </c>
      <c r="B529" s="16" t="s">
        <v>394</v>
      </c>
      <c r="C529" s="16">
        <v>14308</v>
      </c>
      <c r="D529" s="16" t="str">
        <f>VLOOKUP(C529,[1]道具配置表!$A:$D,4,FALSE)</f>
        <v>倪克罗</v>
      </c>
      <c r="E529" s="16">
        <v>10</v>
      </c>
      <c r="J529" s="16">
        <v>1</v>
      </c>
      <c r="L529" s="16" t="b">
        <v>1</v>
      </c>
    </row>
    <row r="530" spans="1:12" x14ac:dyDescent="0.25">
      <c r="A530" s="16">
        <v>1900804</v>
      </c>
      <c r="B530" s="16" t="s">
        <v>395</v>
      </c>
      <c r="C530" s="16">
        <v>14305</v>
      </c>
      <c r="D530" s="16" t="str">
        <f>VLOOKUP(C530,[1]道具配置表!$A:$D,4,FALSE)</f>
        <v>德罗茜</v>
      </c>
      <c r="E530" s="16">
        <v>10</v>
      </c>
      <c r="J530" s="16">
        <v>1</v>
      </c>
      <c r="L530" s="16" t="b">
        <v>1</v>
      </c>
    </row>
    <row r="531" spans="1:12" x14ac:dyDescent="0.25">
      <c r="A531" s="16">
        <v>1900805</v>
      </c>
      <c r="B531" s="16" t="s">
        <v>396</v>
      </c>
      <c r="C531" s="16">
        <v>14309</v>
      </c>
      <c r="D531" s="16" t="str">
        <f>VLOOKUP(C531,[1]道具配置表!$A:$D,4,FALSE)</f>
        <v>瓦斯克</v>
      </c>
      <c r="E531" s="16">
        <v>10</v>
      </c>
      <c r="J531" s="16">
        <v>1</v>
      </c>
      <c r="L531" s="16" t="b">
        <v>1</v>
      </c>
    </row>
    <row r="532" spans="1:12" x14ac:dyDescent="0.25">
      <c r="A532" s="16">
        <v>1900806</v>
      </c>
      <c r="B532" s="16" t="s">
        <v>397</v>
      </c>
      <c r="C532" s="16">
        <v>14316</v>
      </c>
      <c r="D532" s="16" t="str">
        <f>VLOOKUP(C532,[1]道具配置表!$A:$D,4,FALSE)</f>
        <v>姬敬</v>
      </c>
      <c r="E532" s="16">
        <v>10</v>
      </c>
      <c r="J532" s="16">
        <v>1</v>
      </c>
      <c r="L532" s="16" t="b">
        <v>1</v>
      </c>
    </row>
    <row r="533" spans="1:12" x14ac:dyDescent="0.25">
      <c r="A533" s="16">
        <v>1900807</v>
      </c>
      <c r="B533" s="16" t="s">
        <v>398</v>
      </c>
      <c r="C533" s="16">
        <v>14304</v>
      </c>
      <c r="D533" s="16" t="str">
        <f>VLOOKUP(C533,[1]道具配置表!$A:$D,4,FALSE)</f>
        <v>公孙</v>
      </c>
      <c r="E533" s="16">
        <v>10</v>
      </c>
      <c r="J533" s="16">
        <v>1</v>
      </c>
      <c r="L533" s="16" t="b">
        <v>1</v>
      </c>
    </row>
    <row r="534" spans="1:12" x14ac:dyDescent="0.25">
      <c r="A534" s="16">
        <v>1900808</v>
      </c>
      <c r="B534" s="16" t="s">
        <v>399</v>
      </c>
      <c r="C534" s="16">
        <v>14303</v>
      </c>
      <c r="D534" s="16" t="str">
        <f>VLOOKUP(C534,[1]道具配置表!$A:$D,4,FALSE)</f>
        <v>拉格纳</v>
      </c>
      <c r="E534" s="16">
        <v>10</v>
      </c>
      <c r="J534" s="16">
        <v>1</v>
      </c>
      <c r="L534" s="16" t="b">
        <v>1</v>
      </c>
    </row>
    <row r="535" spans="1:12" x14ac:dyDescent="0.25">
      <c r="A535" s="16">
        <v>1900809</v>
      </c>
      <c r="B535" s="16" t="s">
        <v>400</v>
      </c>
      <c r="C535" s="16">
        <v>14202</v>
      </c>
      <c r="D535" s="16" t="str">
        <f>VLOOKUP(C535,[1]道具配置表!$A:$D,4,FALSE)</f>
        <v>方选</v>
      </c>
      <c r="E535" s="16">
        <v>10</v>
      </c>
      <c r="J535" s="16">
        <v>1</v>
      </c>
      <c r="L535" s="16" t="b">
        <v>1</v>
      </c>
    </row>
    <row r="536" spans="1:12" x14ac:dyDescent="0.25">
      <c r="A536" s="16">
        <v>1900810</v>
      </c>
      <c r="B536" s="16" t="s">
        <v>401</v>
      </c>
      <c r="C536" s="16">
        <v>14306</v>
      </c>
      <c r="D536" s="16" t="str">
        <f>VLOOKUP(C536,[1]道具配置表!$A:$D,4,FALSE)</f>
        <v>佩里克勒斯</v>
      </c>
      <c r="E536" s="16">
        <v>10</v>
      </c>
      <c r="J536" s="16">
        <v>1</v>
      </c>
      <c r="L536" s="16" t="b">
        <v>1</v>
      </c>
    </row>
    <row r="537" spans="1:12" x14ac:dyDescent="0.25">
      <c r="A537" s="16">
        <v>1900821</v>
      </c>
      <c r="B537" s="16" t="s">
        <v>402</v>
      </c>
      <c r="C537" s="16">
        <v>14307</v>
      </c>
      <c r="D537" s="16" t="str">
        <f>VLOOKUP(C537,[1]道具配置表!$A:$D,4,FALSE)</f>
        <v>元元公主</v>
      </c>
      <c r="E537" s="16">
        <v>1</v>
      </c>
      <c r="J537" s="16">
        <v>1</v>
      </c>
      <c r="L537" s="16" t="b">
        <v>1</v>
      </c>
    </row>
    <row r="538" spans="1:12" x14ac:dyDescent="0.25">
      <c r="A538" s="16">
        <v>1900822</v>
      </c>
      <c r="B538" s="16" t="s">
        <v>403</v>
      </c>
      <c r="C538" s="16">
        <v>14302</v>
      </c>
      <c r="D538" s="16" t="str">
        <f>VLOOKUP(C538,[1]道具配置表!$A:$D,4,FALSE)</f>
        <v>尼古劳斯</v>
      </c>
      <c r="E538" s="16">
        <v>1</v>
      </c>
      <c r="J538" s="16">
        <v>1</v>
      </c>
      <c r="L538" s="16" t="b">
        <v>1</v>
      </c>
    </row>
    <row r="539" spans="1:12" x14ac:dyDescent="0.25">
      <c r="A539" s="16">
        <v>1900823</v>
      </c>
      <c r="B539" s="16" t="s">
        <v>404</v>
      </c>
      <c r="C539" s="16">
        <v>14308</v>
      </c>
      <c r="D539" s="16" t="str">
        <f>VLOOKUP(C539,[1]道具配置表!$A:$D,4,FALSE)</f>
        <v>倪克罗</v>
      </c>
      <c r="E539" s="16">
        <v>1</v>
      </c>
      <c r="J539" s="16">
        <v>1</v>
      </c>
      <c r="L539" s="16" t="b">
        <v>1</v>
      </c>
    </row>
    <row r="540" spans="1:12" x14ac:dyDescent="0.25">
      <c r="A540" s="16">
        <v>1900824</v>
      </c>
      <c r="B540" s="16" t="s">
        <v>405</v>
      </c>
      <c r="C540" s="16">
        <v>14305</v>
      </c>
      <c r="D540" s="16" t="str">
        <f>VLOOKUP(C540,[1]道具配置表!$A:$D,4,FALSE)</f>
        <v>德罗茜</v>
      </c>
      <c r="E540" s="16">
        <v>1</v>
      </c>
      <c r="J540" s="16">
        <v>1</v>
      </c>
      <c r="L540" s="16" t="b">
        <v>1</v>
      </c>
    </row>
    <row r="541" spans="1:12" x14ac:dyDescent="0.25">
      <c r="A541" s="16">
        <v>1900825</v>
      </c>
      <c r="B541" s="16" t="s">
        <v>406</v>
      </c>
      <c r="C541" s="16">
        <v>14309</v>
      </c>
      <c r="D541" s="16" t="str">
        <f>VLOOKUP(C541,[1]道具配置表!$A:$D,4,FALSE)</f>
        <v>瓦斯克</v>
      </c>
      <c r="E541" s="16">
        <v>1</v>
      </c>
      <c r="J541" s="16">
        <v>1</v>
      </c>
      <c r="L541" s="16" t="b">
        <v>1</v>
      </c>
    </row>
    <row r="542" spans="1:12" x14ac:dyDescent="0.25">
      <c r="A542" s="16">
        <v>1900826</v>
      </c>
      <c r="B542" s="16" t="s">
        <v>407</v>
      </c>
      <c r="C542" s="16">
        <v>14316</v>
      </c>
      <c r="D542" s="16" t="str">
        <f>VLOOKUP(C542,[1]道具配置表!$A:$D,4,FALSE)</f>
        <v>姬敬</v>
      </c>
      <c r="E542" s="16">
        <v>1</v>
      </c>
      <c r="J542" s="16">
        <v>1</v>
      </c>
      <c r="L542" s="16" t="b">
        <v>1</v>
      </c>
    </row>
    <row r="543" spans="1:12" x14ac:dyDescent="0.25">
      <c r="A543" s="16">
        <v>1900827</v>
      </c>
      <c r="B543" s="16" t="s">
        <v>408</v>
      </c>
      <c r="C543" s="16">
        <v>14304</v>
      </c>
      <c r="D543" s="16" t="str">
        <f>VLOOKUP(C543,[1]道具配置表!$A:$D,4,FALSE)</f>
        <v>公孙</v>
      </c>
      <c r="E543" s="16">
        <v>1</v>
      </c>
      <c r="J543" s="16">
        <v>1</v>
      </c>
      <c r="L543" s="16" t="b">
        <v>1</v>
      </c>
    </row>
    <row r="544" spans="1:12" x14ac:dyDescent="0.25">
      <c r="A544" s="16">
        <v>1900828</v>
      </c>
      <c r="B544" s="16" t="s">
        <v>409</v>
      </c>
      <c r="C544" s="16">
        <v>14303</v>
      </c>
      <c r="D544" s="16" t="str">
        <f>VLOOKUP(C544,[1]道具配置表!$A:$D,4,FALSE)</f>
        <v>拉格纳</v>
      </c>
      <c r="E544" s="16">
        <v>1</v>
      </c>
      <c r="J544" s="16">
        <v>1</v>
      </c>
      <c r="L544" s="16" t="b">
        <v>1</v>
      </c>
    </row>
    <row r="545" spans="1:12" x14ac:dyDescent="0.25">
      <c r="A545" s="16">
        <v>1900829</v>
      </c>
      <c r="B545" s="16" t="s">
        <v>410</v>
      </c>
      <c r="C545" s="16">
        <v>14202</v>
      </c>
      <c r="D545" s="16" t="str">
        <f>VLOOKUP(C545,[1]道具配置表!$A:$D,4,FALSE)</f>
        <v>方选</v>
      </c>
      <c r="E545" s="16">
        <v>1</v>
      </c>
      <c r="J545" s="16">
        <v>1</v>
      </c>
      <c r="L545" s="16" t="b">
        <v>1</v>
      </c>
    </row>
    <row r="546" spans="1:12" x14ac:dyDescent="0.25">
      <c r="A546" s="16">
        <v>1900830</v>
      </c>
      <c r="B546" s="16" t="s">
        <v>411</v>
      </c>
      <c r="C546" s="16">
        <v>14306</v>
      </c>
      <c r="D546" s="16" t="str">
        <f>VLOOKUP(C546,[1]道具配置表!$A:$D,4,FALSE)</f>
        <v>佩里克勒斯</v>
      </c>
      <c r="E546" s="16">
        <v>1</v>
      </c>
      <c r="J546" s="16">
        <v>1</v>
      </c>
      <c r="L546" s="16" t="b">
        <v>1</v>
      </c>
    </row>
    <row r="547" spans="1:12" x14ac:dyDescent="0.25">
      <c r="A547" s="16">
        <v>1900901</v>
      </c>
      <c r="B547" s="16" t="s">
        <v>412</v>
      </c>
      <c r="C547" s="16">
        <v>17301</v>
      </c>
      <c r="D547" s="16" t="str">
        <f>VLOOKUP(C547,[1]道具配置表!$A:$D,4,FALSE)</f>
        <v>名人冒险宝箱（紫）</v>
      </c>
      <c r="E547" s="16">
        <v>2</v>
      </c>
      <c r="J547" s="16">
        <v>1</v>
      </c>
      <c r="L547" s="16" t="b">
        <v>1</v>
      </c>
    </row>
    <row r="548" spans="1:12" x14ac:dyDescent="0.25">
      <c r="C548" s="16">
        <v>102</v>
      </c>
      <c r="D548" s="16" t="str">
        <f>VLOOKUP(C548,[1]道具配置表!$A:$D,4,FALSE)</f>
        <v>1食物</v>
      </c>
      <c r="E548" s="16">
        <v>10000</v>
      </c>
      <c r="J548" s="16">
        <v>1</v>
      </c>
      <c r="L548" s="16" t="b">
        <v>1</v>
      </c>
    </row>
    <row r="549" spans="1:12" x14ac:dyDescent="0.25">
      <c r="A549" s="16">
        <f>A547+1</f>
        <v>1900902</v>
      </c>
      <c r="B549" s="16" t="s">
        <v>413</v>
      </c>
      <c r="C549" s="16">
        <f t="shared" ref="C549:C588" si="14">C547</f>
        <v>17301</v>
      </c>
      <c r="D549" s="16" t="str">
        <f>VLOOKUP(C549,[1]道具配置表!$A:$D,4,FALSE)</f>
        <v>名人冒险宝箱（紫）</v>
      </c>
      <c r="E549" s="16">
        <f>E547</f>
        <v>2</v>
      </c>
      <c r="J549" s="16">
        <v>1</v>
      </c>
      <c r="L549" s="16" t="b">
        <v>1</v>
      </c>
    </row>
    <row r="550" spans="1:12" x14ac:dyDescent="0.25">
      <c r="C550" s="16">
        <f t="shared" si="14"/>
        <v>102</v>
      </c>
      <c r="D550" s="16" t="str">
        <f>VLOOKUP(C550,[1]道具配置表!$A:$D,4,FALSE)</f>
        <v>1食物</v>
      </c>
      <c r="E550" s="16">
        <f>E548+2000</f>
        <v>12000</v>
      </c>
      <c r="J550" s="16">
        <v>1</v>
      </c>
      <c r="L550" s="16" t="b">
        <v>1</v>
      </c>
    </row>
    <row r="551" spans="1:12" x14ac:dyDescent="0.25">
      <c r="A551" s="16">
        <f>A549+1</f>
        <v>1900903</v>
      </c>
      <c r="B551" s="16" t="s">
        <v>414</v>
      </c>
      <c r="C551" s="16">
        <f t="shared" si="14"/>
        <v>17301</v>
      </c>
      <c r="D551" s="16" t="str">
        <f>VLOOKUP(C551,[1]道具配置表!$A:$D,4,FALSE)</f>
        <v>名人冒险宝箱（紫）</v>
      </c>
      <c r="E551" s="16">
        <f>E549</f>
        <v>2</v>
      </c>
      <c r="J551" s="16">
        <v>1</v>
      </c>
      <c r="L551" s="16" t="b">
        <v>1</v>
      </c>
    </row>
    <row r="552" spans="1:12" x14ac:dyDescent="0.25">
      <c r="C552" s="16">
        <f t="shared" si="14"/>
        <v>102</v>
      </c>
      <c r="D552" s="16" t="str">
        <f>VLOOKUP(C552,[1]道具配置表!$A:$D,4,FALSE)</f>
        <v>1食物</v>
      </c>
      <c r="E552" s="16">
        <f>E550+2000</f>
        <v>14000</v>
      </c>
      <c r="J552" s="16">
        <v>1</v>
      </c>
      <c r="L552" s="16" t="b">
        <v>1</v>
      </c>
    </row>
    <row r="553" spans="1:12" x14ac:dyDescent="0.25">
      <c r="A553" s="16">
        <f>A551+1</f>
        <v>1900904</v>
      </c>
      <c r="B553" s="16" t="s">
        <v>415</v>
      </c>
      <c r="C553" s="16">
        <f t="shared" si="14"/>
        <v>17301</v>
      </c>
      <c r="D553" s="16" t="str">
        <f>VLOOKUP(C553,[1]道具配置表!$A:$D,4,FALSE)</f>
        <v>名人冒险宝箱（紫）</v>
      </c>
      <c r="E553" s="16">
        <f>E551</f>
        <v>2</v>
      </c>
      <c r="J553" s="16">
        <v>1</v>
      </c>
      <c r="L553" s="16" t="b">
        <v>1</v>
      </c>
    </row>
    <row r="554" spans="1:12" x14ac:dyDescent="0.25">
      <c r="C554" s="16">
        <f t="shared" si="14"/>
        <v>102</v>
      </c>
      <c r="D554" s="16" t="str">
        <f>VLOOKUP(C554,[1]道具配置表!$A:$D,4,FALSE)</f>
        <v>1食物</v>
      </c>
      <c r="E554" s="16">
        <f>E552+2000</f>
        <v>16000</v>
      </c>
      <c r="J554" s="16">
        <v>1</v>
      </c>
      <c r="L554" s="16" t="b">
        <v>1</v>
      </c>
    </row>
    <row r="555" spans="1:12" x14ac:dyDescent="0.25">
      <c r="A555" s="16">
        <f>A553+1</f>
        <v>1900905</v>
      </c>
      <c r="B555" s="16" t="s">
        <v>416</v>
      </c>
      <c r="C555" s="16">
        <f t="shared" si="14"/>
        <v>17301</v>
      </c>
      <c r="D555" s="16" t="str">
        <f>VLOOKUP(C555,[1]道具配置表!$A:$D,4,FALSE)</f>
        <v>名人冒险宝箱（紫）</v>
      </c>
      <c r="E555" s="16">
        <f>E553</f>
        <v>2</v>
      </c>
      <c r="J555" s="16">
        <v>1</v>
      </c>
      <c r="L555" s="16" t="b">
        <v>1</v>
      </c>
    </row>
    <row r="556" spans="1:12" x14ac:dyDescent="0.25">
      <c r="C556" s="16">
        <f t="shared" si="14"/>
        <v>102</v>
      </c>
      <c r="D556" s="16" t="str">
        <f>VLOOKUP(C556,[1]道具配置表!$A:$D,4,FALSE)</f>
        <v>1食物</v>
      </c>
      <c r="E556" s="16">
        <f>E554+2000</f>
        <v>18000</v>
      </c>
      <c r="J556" s="16">
        <v>1</v>
      </c>
      <c r="L556" s="16" t="b">
        <v>1</v>
      </c>
    </row>
    <row r="557" spans="1:12" x14ac:dyDescent="0.25">
      <c r="A557" s="16">
        <f>A555+1</f>
        <v>1900906</v>
      </c>
      <c r="B557" s="16" t="s">
        <v>417</v>
      </c>
      <c r="C557" s="16">
        <f t="shared" si="14"/>
        <v>17301</v>
      </c>
      <c r="D557" s="16" t="str">
        <f>VLOOKUP(C557,[1]道具配置表!$A:$D,4,FALSE)</f>
        <v>名人冒险宝箱（紫）</v>
      </c>
      <c r="E557" s="16">
        <f>E555</f>
        <v>2</v>
      </c>
      <c r="J557" s="16">
        <v>1</v>
      </c>
      <c r="L557" s="16" t="b">
        <v>1</v>
      </c>
    </row>
    <row r="558" spans="1:12" x14ac:dyDescent="0.25">
      <c r="C558" s="16">
        <f t="shared" si="14"/>
        <v>102</v>
      </c>
      <c r="D558" s="16" t="str">
        <f>VLOOKUP(C558,[1]道具配置表!$A:$D,4,FALSE)</f>
        <v>1食物</v>
      </c>
      <c r="E558" s="16">
        <f>E556+2000</f>
        <v>20000</v>
      </c>
      <c r="J558" s="16">
        <v>1</v>
      </c>
      <c r="L558" s="16" t="b">
        <v>1</v>
      </c>
    </row>
    <row r="559" spans="1:12" x14ac:dyDescent="0.25">
      <c r="A559" s="16">
        <f>A557+1</f>
        <v>1900907</v>
      </c>
      <c r="B559" s="16" t="s">
        <v>418</v>
      </c>
      <c r="C559" s="16">
        <f t="shared" si="14"/>
        <v>17301</v>
      </c>
      <c r="D559" s="16" t="str">
        <f>VLOOKUP(C559,[1]道具配置表!$A:$D,4,FALSE)</f>
        <v>名人冒险宝箱（紫）</v>
      </c>
      <c r="E559" s="16">
        <f>E557</f>
        <v>2</v>
      </c>
      <c r="J559" s="16">
        <v>1</v>
      </c>
      <c r="L559" s="16" t="b">
        <v>1</v>
      </c>
    </row>
    <row r="560" spans="1:12" x14ac:dyDescent="0.25">
      <c r="C560" s="16">
        <f t="shared" si="14"/>
        <v>102</v>
      </c>
      <c r="D560" s="16" t="str">
        <f>VLOOKUP(C560,[1]道具配置表!$A:$D,4,FALSE)</f>
        <v>1食物</v>
      </c>
      <c r="E560" s="16">
        <f>E558+2000</f>
        <v>22000</v>
      </c>
      <c r="J560" s="16">
        <v>1</v>
      </c>
      <c r="L560" s="16" t="b">
        <v>1</v>
      </c>
    </row>
    <row r="561" spans="1:12" x14ac:dyDescent="0.25">
      <c r="A561" s="16">
        <f>A559+1</f>
        <v>1900908</v>
      </c>
      <c r="B561" s="16" t="s">
        <v>419</v>
      </c>
      <c r="C561" s="16">
        <f t="shared" si="14"/>
        <v>17301</v>
      </c>
      <c r="D561" s="16" t="str">
        <f>VLOOKUP(C561,[1]道具配置表!$A:$D,4,FALSE)</f>
        <v>名人冒险宝箱（紫）</v>
      </c>
      <c r="E561" s="16">
        <f>E559</f>
        <v>2</v>
      </c>
      <c r="J561" s="16">
        <v>1</v>
      </c>
      <c r="L561" s="16" t="b">
        <v>1</v>
      </c>
    </row>
    <row r="562" spans="1:12" x14ac:dyDescent="0.25">
      <c r="C562" s="16">
        <f t="shared" si="14"/>
        <v>102</v>
      </c>
      <c r="D562" s="16" t="str">
        <f>VLOOKUP(C562,[1]道具配置表!$A:$D,4,FALSE)</f>
        <v>1食物</v>
      </c>
      <c r="E562" s="16">
        <f>E560+2000</f>
        <v>24000</v>
      </c>
      <c r="J562" s="16">
        <v>1</v>
      </c>
      <c r="L562" s="16" t="b">
        <v>1</v>
      </c>
    </row>
    <row r="563" spans="1:12" x14ac:dyDescent="0.25">
      <c r="A563" s="16">
        <f>A561+1</f>
        <v>1900909</v>
      </c>
      <c r="B563" s="16" t="s">
        <v>420</v>
      </c>
      <c r="C563" s="16">
        <f t="shared" si="14"/>
        <v>17301</v>
      </c>
      <c r="D563" s="16" t="str">
        <f>VLOOKUP(C563,[1]道具配置表!$A:$D,4,FALSE)</f>
        <v>名人冒险宝箱（紫）</v>
      </c>
      <c r="E563" s="16">
        <f>E561</f>
        <v>2</v>
      </c>
      <c r="J563" s="16">
        <v>1</v>
      </c>
      <c r="L563" s="16" t="b">
        <v>1</v>
      </c>
    </row>
    <row r="564" spans="1:12" x14ac:dyDescent="0.25">
      <c r="C564" s="16">
        <f t="shared" si="14"/>
        <v>102</v>
      </c>
      <c r="D564" s="16" t="str">
        <f>VLOOKUP(C564,[1]道具配置表!$A:$D,4,FALSE)</f>
        <v>1食物</v>
      </c>
      <c r="E564" s="16">
        <f>E562+2000</f>
        <v>26000</v>
      </c>
      <c r="J564" s="16">
        <v>1</v>
      </c>
      <c r="L564" s="16" t="b">
        <v>1</v>
      </c>
    </row>
    <row r="565" spans="1:12" x14ac:dyDescent="0.25">
      <c r="A565" s="16">
        <f>A563+1</f>
        <v>1900910</v>
      </c>
      <c r="B565" s="16" t="s">
        <v>421</v>
      </c>
      <c r="C565" s="16">
        <f t="shared" si="14"/>
        <v>17301</v>
      </c>
      <c r="D565" s="16" t="str">
        <f>VLOOKUP(C565,[1]道具配置表!$A:$D,4,FALSE)</f>
        <v>名人冒险宝箱（紫）</v>
      </c>
      <c r="E565" s="16">
        <f>E563</f>
        <v>2</v>
      </c>
      <c r="J565" s="16">
        <v>1</v>
      </c>
      <c r="L565" s="16" t="b">
        <v>1</v>
      </c>
    </row>
    <row r="566" spans="1:12" x14ac:dyDescent="0.25">
      <c r="C566" s="16">
        <f t="shared" si="14"/>
        <v>102</v>
      </c>
      <c r="D566" s="16" t="str">
        <f>VLOOKUP(C566,[1]道具配置表!$A:$D,4,FALSE)</f>
        <v>1食物</v>
      </c>
      <c r="E566" s="16">
        <f>E564+2000</f>
        <v>28000</v>
      </c>
      <c r="J566" s="16">
        <v>1</v>
      </c>
      <c r="L566" s="16" t="b">
        <v>1</v>
      </c>
    </row>
    <row r="567" spans="1:12" x14ac:dyDescent="0.25">
      <c r="A567" s="16">
        <f>A565+1</f>
        <v>1900911</v>
      </c>
      <c r="B567" s="16" t="s">
        <v>422</v>
      </c>
      <c r="C567" s="16">
        <f t="shared" si="14"/>
        <v>17301</v>
      </c>
      <c r="D567" s="16" t="str">
        <f>VLOOKUP(C567,[1]道具配置表!$A:$D,4,FALSE)</f>
        <v>名人冒险宝箱（紫）</v>
      </c>
      <c r="E567" s="16">
        <f>E565</f>
        <v>2</v>
      </c>
      <c r="J567" s="16">
        <v>1</v>
      </c>
      <c r="L567" s="16" t="b">
        <v>1</v>
      </c>
    </row>
    <row r="568" spans="1:12" x14ac:dyDescent="0.25">
      <c r="C568" s="16">
        <f t="shared" si="14"/>
        <v>102</v>
      </c>
      <c r="D568" s="16" t="str">
        <f>VLOOKUP(C568,[1]道具配置表!$A:$D,4,FALSE)</f>
        <v>1食物</v>
      </c>
      <c r="E568" s="16">
        <f>E566+2000</f>
        <v>30000</v>
      </c>
      <c r="J568" s="16">
        <v>1</v>
      </c>
      <c r="L568" s="16" t="b">
        <v>1</v>
      </c>
    </row>
    <row r="569" spans="1:12" x14ac:dyDescent="0.25">
      <c r="A569" s="16">
        <f>A567+1</f>
        <v>1900912</v>
      </c>
      <c r="B569" s="16" t="s">
        <v>423</v>
      </c>
      <c r="C569" s="16">
        <f t="shared" si="14"/>
        <v>17301</v>
      </c>
      <c r="D569" s="16" t="str">
        <f>VLOOKUP(C569,[1]道具配置表!$A:$D,4,FALSE)</f>
        <v>名人冒险宝箱（紫）</v>
      </c>
      <c r="E569" s="16">
        <f>E567</f>
        <v>2</v>
      </c>
      <c r="J569" s="16">
        <v>1</v>
      </c>
      <c r="L569" s="16" t="b">
        <v>1</v>
      </c>
    </row>
    <row r="570" spans="1:12" x14ac:dyDescent="0.25">
      <c r="C570" s="16">
        <f t="shared" si="14"/>
        <v>102</v>
      </c>
      <c r="D570" s="16" t="str">
        <f>VLOOKUP(C570,[1]道具配置表!$A:$D,4,FALSE)</f>
        <v>1食物</v>
      </c>
      <c r="E570" s="16">
        <f>E568+2000</f>
        <v>32000</v>
      </c>
      <c r="J570" s="16">
        <v>1</v>
      </c>
      <c r="L570" s="16" t="b">
        <v>1</v>
      </c>
    </row>
    <row r="571" spans="1:12" x14ac:dyDescent="0.25">
      <c r="A571" s="16">
        <f>A569+1</f>
        <v>1900913</v>
      </c>
      <c r="B571" s="16" t="s">
        <v>424</v>
      </c>
      <c r="C571" s="16">
        <f t="shared" si="14"/>
        <v>17301</v>
      </c>
      <c r="D571" s="16" t="str">
        <f>VLOOKUP(C571,[1]道具配置表!$A:$D,4,FALSE)</f>
        <v>名人冒险宝箱（紫）</v>
      </c>
      <c r="E571" s="16">
        <f>E569</f>
        <v>2</v>
      </c>
      <c r="J571" s="16">
        <v>1</v>
      </c>
      <c r="L571" s="16" t="b">
        <v>1</v>
      </c>
    </row>
    <row r="572" spans="1:12" x14ac:dyDescent="0.25">
      <c r="C572" s="16">
        <f t="shared" si="14"/>
        <v>102</v>
      </c>
      <c r="D572" s="16" t="str">
        <f>VLOOKUP(C572,[1]道具配置表!$A:$D,4,FALSE)</f>
        <v>1食物</v>
      </c>
      <c r="E572" s="16">
        <f>E570+2000</f>
        <v>34000</v>
      </c>
      <c r="J572" s="16">
        <v>1</v>
      </c>
      <c r="L572" s="16" t="b">
        <v>1</v>
      </c>
    </row>
    <row r="573" spans="1:12" x14ac:dyDescent="0.25">
      <c r="A573" s="16">
        <f>A571+1</f>
        <v>1900914</v>
      </c>
      <c r="B573" s="16" t="s">
        <v>425</v>
      </c>
      <c r="C573" s="16">
        <f t="shared" si="14"/>
        <v>17301</v>
      </c>
      <c r="D573" s="16" t="str">
        <f>VLOOKUP(C573,[1]道具配置表!$A:$D,4,FALSE)</f>
        <v>名人冒险宝箱（紫）</v>
      </c>
      <c r="E573" s="16">
        <f>E571</f>
        <v>2</v>
      </c>
      <c r="J573" s="16">
        <v>1</v>
      </c>
      <c r="L573" s="16" t="b">
        <v>1</v>
      </c>
    </row>
    <row r="574" spans="1:12" x14ac:dyDescent="0.25">
      <c r="C574" s="16">
        <f t="shared" si="14"/>
        <v>102</v>
      </c>
      <c r="D574" s="16" t="str">
        <f>VLOOKUP(C574,[1]道具配置表!$A:$D,4,FALSE)</f>
        <v>1食物</v>
      </c>
      <c r="E574" s="16">
        <f>E572+2000</f>
        <v>36000</v>
      </c>
      <c r="J574" s="16">
        <v>1</v>
      </c>
      <c r="L574" s="16" t="b">
        <v>1</v>
      </c>
    </row>
    <row r="575" spans="1:12" x14ac:dyDescent="0.25">
      <c r="A575" s="16">
        <f>A573+1</f>
        <v>1900915</v>
      </c>
      <c r="B575" s="16" t="s">
        <v>426</v>
      </c>
      <c r="C575" s="16">
        <f t="shared" si="14"/>
        <v>17301</v>
      </c>
      <c r="D575" s="16" t="str">
        <f>VLOOKUP(C575,[1]道具配置表!$A:$D,4,FALSE)</f>
        <v>名人冒险宝箱（紫）</v>
      </c>
      <c r="E575" s="16">
        <f>E573</f>
        <v>2</v>
      </c>
      <c r="J575" s="16">
        <v>1</v>
      </c>
      <c r="L575" s="16" t="b">
        <v>1</v>
      </c>
    </row>
    <row r="576" spans="1:12" x14ac:dyDescent="0.25">
      <c r="C576" s="16">
        <f t="shared" si="14"/>
        <v>102</v>
      </c>
      <c r="D576" s="16" t="str">
        <f>VLOOKUP(C576,[1]道具配置表!$A:$D,4,FALSE)</f>
        <v>1食物</v>
      </c>
      <c r="E576" s="16">
        <f>E574+2000</f>
        <v>38000</v>
      </c>
      <c r="J576" s="16">
        <v>1</v>
      </c>
      <c r="L576" s="16" t="b">
        <v>1</v>
      </c>
    </row>
    <row r="577" spans="1:12" x14ac:dyDescent="0.25">
      <c r="A577" s="16">
        <f>A575+1</f>
        <v>1900916</v>
      </c>
      <c r="B577" s="16" t="s">
        <v>427</v>
      </c>
      <c r="C577" s="16">
        <f t="shared" si="14"/>
        <v>17301</v>
      </c>
      <c r="D577" s="16" t="str">
        <f>VLOOKUP(C577,[1]道具配置表!$A:$D,4,FALSE)</f>
        <v>名人冒险宝箱（紫）</v>
      </c>
      <c r="E577" s="16">
        <f>E575</f>
        <v>2</v>
      </c>
      <c r="J577" s="16">
        <v>1</v>
      </c>
      <c r="L577" s="16" t="b">
        <v>1</v>
      </c>
    </row>
    <row r="578" spans="1:12" x14ac:dyDescent="0.25">
      <c r="C578" s="16">
        <f t="shared" si="14"/>
        <v>102</v>
      </c>
      <c r="D578" s="16" t="str">
        <f>VLOOKUP(C578,[1]道具配置表!$A:$D,4,FALSE)</f>
        <v>1食物</v>
      </c>
      <c r="E578" s="16">
        <f>E576+2000</f>
        <v>40000</v>
      </c>
      <c r="J578" s="16">
        <v>1</v>
      </c>
      <c r="L578" s="16" t="b">
        <v>1</v>
      </c>
    </row>
    <row r="579" spans="1:12" x14ac:dyDescent="0.25">
      <c r="A579" s="16">
        <f>A577+1</f>
        <v>1900917</v>
      </c>
      <c r="B579" s="16" t="s">
        <v>428</v>
      </c>
      <c r="C579" s="16">
        <f t="shared" si="14"/>
        <v>17301</v>
      </c>
      <c r="D579" s="16" t="str">
        <f>VLOOKUP(C579,[1]道具配置表!$A:$D,4,FALSE)</f>
        <v>名人冒险宝箱（紫）</v>
      </c>
      <c r="E579" s="16">
        <f>E577</f>
        <v>2</v>
      </c>
      <c r="J579" s="16">
        <v>1</v>
      </c>
      <c r="L579" s="16" t="b">
        <v>1</v>
      </c>
    </row>
    <row r="580" spans="1:12" x14ac:dyDescent="0.25">
      <c r="C580" s="16">
        <f t="shared" si="14"/>
        <v>102</v>
      </c>
      <c r="D580" s="16" t="str">
        <f>VLOOKUP(C580,[1]道具配置表!$A:$D,4,FALSE)</f>
        <v>1食物</v>
      </c>
      <c r="E580" s="16">
        <f>E578+2000</f>
        <v>42000</v>
      </c>
      <c r="J580" s="16">
        <v>1</v>
      </c>
      <c r="L580" s="16" t="b">
        <v>1</v>
      </c>
    </row>
    <row r="581" spans="1:12" x14ac:dyDescent="0.25">
      <c r="A581" s="16">
        <f>A579+1</f>
        <v>1900918</v>
      </c>
      <c r="B581" s="16" t="s">
        <v>429</v>
      </c>
      <c r="C581" s="16">
        <f t="shared" si="14"/>
        <v>17301</v>
      </c>
      <c r="D581" s="16" t="str">
        <f>VLOOKUP(C581,[1]道具配置表!$A:$D,4,FALSE)</f>
        <v>名人冒险宝箱（紫）</v>
      </c>
      <c r="E581" s="16">
        <f>E579</f>
        <v>2</v>
      </c>
      <c r="J581" s="16">
        <v>1</v>
      </c>
      <c r="L581" s="16" t="b">
        <v>1</v>
      </c>
    </row>
    <row r="582" spans="1:12" x14ac:dyDescent="0.25">
      <c r="C582" s="16">
        <f t="shared" si="14"/>
        <v>102</v>
      </c>
      <c r="D582" s="16" t="str">
        <f>VLOOKUP(C582,[1]道具配置表!$A:$D,4,FALSE)</f>
        <v>1食物</v>
      </c>
      <c r="E582" s="16">
        <f>E580+2000</f>
        <v>44000</v>
      </c>
      <c r="J582" s="16">
        <v>1</v>
      </c>
      <c r="L582" s="16" t="b">
        <v>1</v>
      </c>
    </row>
    <row r="583" spans="1:12" x14ac:dyDescent="0.25">
      <c r="A583" s="16">
        <f>A581+1</f>
        <v>1900919</v>
      </c>
      <c r="B583" s="16" t="s">
        <v>430</v>
      </c>
      <c r="C583" s="16">
        <f t="shared" si="14"/>
        <v>17301</v>
      </c>
      <c r="D583" s="16" t="str">
        <f>VLOOKUP(C583,[1]道具配置表!$A:$D,4,FALSE)</f>
        <v>名人冒险宝箱（紫）</v>
      </c>
      <c r="E583" s="16">
        <f>E581</f>
        <v>2</v>
      </c>
      <c r="J583" s="16">
        <v>1</v>
      </c>
      <c r="L583" s="16" t="b">
        <v>1</v>
      </c>
    </row>
    <row r="584" spans="1:12" x14ac:dyDescent="0.25">
      <c r="C584" s="16">
        <f t="shared" si="14"/>
        <v>102</v>
      </c>
      <c r="D584" s="16" t="str">
        <f>VLOOKUP(C584,[1]道具配置表!$A:$D,4,FALSE)</f>
        <v>1食物</v>
      </c>
      <c r="E584" s="16">
        <f>E582+2000</f>
        <v>46000</v>
      </c>
      <c r="J584" s="16">
        <v>1</v>
      </c>
      <c r="L584" s="16" t="b">
        <v>1</v>
      </c>
    </row>
    <row r="585" spans="1:12" x14ac:dyDescent="0.25">
      <c r="A585" s="16">
        <f>A583+1</f>
        <v>1900920</v>
      </c>
      <c r="B585" s="16" t="s">
        <v>431</v>
      </c>
      <c r="C585" s="16">
        <f t="shared" si="14"/>
        <v>17301</v>
      </c>
      <c r="D585" s="16" t="str">
        <f>VLOOKUP(C585,[1]道具配置表!$A:$D,4,FALSE)</f>
        <v>名人冒险宝箱（紫）</v>
      </c>
      <c r="E585" s="16">
        <f>E583</f>
        <v>2</v>
      </c>
      <c r="J585" s="16">
        <v>1</v>
      </c>
      <c r="L585" s="16" t="b">
        <v>1</v>
      </c>
    </row>
    <row r="586" spans="1:12" x14ac:dyDescent="0.25">
      <c r="C586" s="16">
        <f t="shared" si="14"/>
        <v>102</v>
      </c>
      <c r="D586" s="16" t="str">
        <f>VLOOKUP(C586,[1]道具配置表!$A:$D,4,FALSE)</f>
        <v>1食物</v>
      </c>
      <c r="E586" s="16">
        <f>E584+2000</f>
        <v>48000</v>
      </c>
      <c r="J586" s="16">
        <v>1</v>
      </c>
      <c r="L586" s="16" t="b">
        <v>1</v>
      </c>
    </row>
    <row r="587" spans="1:12" x14ac:dyDescent="0.25">
      <c r="A587" s="16">
        <f>A585+1</f>
        <v>1900921</v>
      </c>
      <c r="B587" s="16" t="s">
        <v>432</v>
      </c>
      <c r="C587" s="16">
        <f t="shared" si="14"/>
        <v>17301</v>
      </c>
      <c r="D587" s="16" t="str">
        <f>VLOOKUP(C587,[1]道具配置表!$A:$D,4,FALSE)</f>
        <v>名人冒险宝箱（紫）</v>
      </c>
      <c r="E587" s="16">
        <f>E585</f>
        <v>2</v>
      </c>
      <c r="J587" s="16">
        <v>1</v>
      </c>
      <c r="L587" s="16" t="b">
        <v>1</v>
      </c>
    </row>
    <row r="588" spans="1:12" x14ac:dyDescent="0.25">
      <c r="C588" s="16">
        <f t="shared" si="14"/>
        <v>102</v>
      </c>
      <c r="D588" s="16" t="str">
        <f>VLOOKUP(C588,[1]道具配置表!$A:$D,4,FALSE)</f>
        <v>1食物</v>
      </c>
      <c r="E588" s="16">
        <f>E586+2000</f>
        <v>50000</v>
      </c>
      <c r="J588" s="16">
        <v>1</v>
      </c>
      <c r="L588" s="16" t="b">
        <v>1</v>
      </c>
    </row>
    <row r="589" spans="1:12" x14ac:dyDescent="0.25">
      <c r="A589" s="16">
        <f>A587+1</f>
        <v>1900922</v>
      </c>
      <c r="B589" s="16" t="s">
        <v>433</v>
      </c>
      <c r="C589" s="16">
        <v>17301</v>
      </c>
      <c r="D589" s="16" t="str">
        <f>VLOOKUP(C589,[1]道具配置表!$A:$D,4,FALSE)</f>
        <v>名人冒险宝箱（紫）</v>
      </c>
      <c r="E589" s="16">
        <v>1</v>
      </c>
      <c r="J589" s="16">
        <v>1</v>
      </c>
      <c r="L589" s="16" t="b">
        <v>1</v>
      </c>
    </row>
    <row r="590" spans="1:12" x14ac:dyDescent="0.25">
      <c r="C590" s="16">
        <f t="shared" ref="C590:C630" si="15">C588</f>
        <v>102</v>
      </c>
      <c r="D590" s="16" t="str">
        <f>VLOOKUP(C590,[1]道具配置表!$A:$D,4,FALSE)</f>
        <v>1食物</v>
      </c>
      <c r="E590" s="16">
        <v>2000</v>
      </c>
      <c r="J590" s="16">
        <v>1</v>
      </c>
      <c r="L590" s="16" t="b">
        <v>1</v>
      </c>
    </row>
    <row r="591" spans="1:12" x14ac:dyDescent="0.25">
      <c r="A591" s="16">
        <f>A589+1</f>
        <v>1900923</v>
      </c>
      <c r="B591" s="16" t="s">
        <v>434</v>
      </c>
      <c r="C591" s="16">
        <f t="shared" si="15"/>
        <v>17301</v>
      </c>
      <c r="D591" s="16" t="str">
        <f>VLOOKUP(C591,[1]道具配置表!$A:$D,4,FALSE)</f>
        <v>名人冒险宝箱（紫）</v>
      </c>
      <c r="E591" s="16">
        <f>E589</f>
        <v>1</v>
      </c>
      <c r="J591" s="16">
        <v>1</v>
      </c>
      <c r="L591" s="16" t="b">
        <v>1</v>
      </c>
    </row>
    <row r="592" spans="1:12" x14ac:dyDescent="0.25">
      <c r="C592" s="16">
        <f t="shared" si="15"/>
        <v>102</v>
      </c>
      <c r="D592" s="16" t="str">
        <f>VLOOKUP(C592,[1]道具配置表!$A:$D,4,FALSE)</f>
        <v>1食物</v>
      </c>
      <c r="E592" s="16">
        <f>E590+1000</f>
        <v>3000</v>
      </c>
      <c r="J592" s="16">
        <v>1</v>
      </c>
      <c r="L592" s="16" t="b">
        <v>1</v>
      </c>
    </row>
    <row r="593" spans="1:12" x14ac:dyDescent="0.25">
      <c r="A593" s="16">
        <f>A591+1</f>
        <v>1900924</v>
      </c>
      <c r="B593" s="16" t="s">
        <v>435</v>
      </c>
      <c r="C593" s="16">
        <f t="shared" si="15"/>
        <v>17301</v>
      </c>
      <c r="D593" s="16" t="str">
        <f>VLOOKUP(C593,[1]道具配置表!$A:$D,4,FALSE)</f>
        <v>名人冒险宝箱（紫）</v>
      </c>
      <c r="E593" s="16">
        <f>E591</f>
        <v>1</v>
      </c>
      <c r="J593" s="16">
        <v>1</v>
      </c>
      <c r="L593" s="16" t="b">
        <v>1</v>
      </c>
    </row>
    <row r="594" spans="1:12" x14ac:dyDescent="0.25">
      <c r="C594" s="16">
        <f t="shared" si="15"/>
        <v>102</v>
      </c>
      <c r="D594" s="16" t="str">
        <f>VLOOKUP(C594,[1]道具配置表!$A:$D,4,FALSE)</f>
        <v>1食物</v>
      </c>
      <c r="E594" s="16">
        <f>E592+1000</f>
        <v>4000</v>
      </c>
      <c r="J594" s="16">
        <v>1</v>
      </c>
      <c r="L594" s="16" t="b">
        <v>1</v>
      </c>
    </row>
    <row r="595" spans="1:12" x14ac:dyDescent="0.25">
      <c r="A595" s="16">
        <f>A593+1</f>
        <v>1900925</v>
      </c>
      <c r="B595" s="16" t="s">
        <v>436</v>
      </c>
      <c r="C595" s="16">
        <f t="shared" si="15"/>
        <v>17301</v>
      </c>
      <c r="D595" s="16" t="str">
        <f>VLOOKUP(C595,[1]道具配置表!$A:$D,4,FALSE)</f>
        <v>名人冒险宝箱（紫）</v>
      </c>
      <c r="E595" s="16">
        <f>E593</f>
        <v>1</v>
      </c>
      <c r="J595" s="16">
        <v>1</v>
      </c>
      <c r="L595" s="16" t="b">
        <v>1</v>
      </c>
    </row>
    <row r="596" spans="1:12" x14ac:dyDescent="0.25">
      <c r="C596" s="16">
        <f t="shared" si="15"/>
        <v>102</v>
      </c>
      <c r="D596" s="16" t="str">
        <f>VLOOKUP(C596,[1]道具配置表!$A:$D,4,FALSE)</f>
        <v>1食物</v>
      </c>
      <c r="E596" s="16">
        <f>E594+1000</f>
        <v>5000</v>
      </c>
      <c r="J596" s="16">
        <v>1</v>
      </c>
      <c r="L596" s="16" t="b">
        <v>1</v>
      </c>
    </row>
    <row r="597" spans="1:12" x14ac:dyDescent="0.25">
      <c r="A597" s="16">
        <f>A595+1</f>
        <v>1900926</v>
      </c>
      <c r="B597" s="16" t="s">
        <v>437</v>
      </c>
      <c r="C597" s="16">
        <f t="shared" si="15"/>
        <v>17301</v>
      </c>
      <c r="D597" s="16" t="str">
        <f>VLOOKUP(C597,[1]道具配置表!$A:$D,4,FALSE)</f>
        <v>名人冒险宝箱（紫）</v>
      </c>
      <c r="E597" s="16">
        <f>E595</f>
        <v>1</v>
      </c>
      <c r="J597" s="16">
        <v>1</v>
      </c>
      <c r="L597" s="16" t="b">
        <v>1</v>
      </c>
    </row>
    <row r="598" spans="1:12" x14ac:dyDescent="0.25">
      <c r="C598" s="16">
        <f t="shared" si="15"/>
        <v>102</v>
      </c>
      <c r="D598" s="16" t="str">
        <f>VLOOKUP(C598,[1]道具配置表!$A:$D,4,FALSE)</f>
        <v>1食物</v>
      </c>
      <c r="E598" s="16">
        <f>E596+1000</f>
        <v>6000</v>
      </c>
      <c r="J598" s="16">
        <v>1</v>
      </c>
      <c r="L598" s="16" t="b">
        <v>1</v>
      </c>
    </row>
    <row r="599" spans="1:12" x14ac:dyDescent="0.25">
      <c r="A599" s="16">
        <f>A597+1</f>
        <v>1900927</v>
      </c>
      <c r="B599" s="16" t="s">
        <v>438</v>
      </c>
      <c r="C599" s="16">
        <f t="shared" si="15"/>
        <v>17301</v>
      </c>
      <c r="D599" s="16" t="str">
        <f>VLOOKUP(C599,[1]道具配置表!$A:$D,4,FALSE)</f>
        <v>名人冒险宝箱（紫）</v>
      </c>
      <c r="E599" s="16">
        <f>E597</f>
        <v>1</v>
      </c>
      <c r="J599" s="16">
        <v>1</v>
      </c>
      <c r="L599" s="16" t="b">
        <v>1</v>
      </c>
    </row>
    <row r="600" spans="1:12" x14ac:dyDescent="0.25">
      <c r="C600" s="16">
        <f t="shared" si="15"/>
        <v>102</v>
      </c>
      <c r="D600" s="16" t="str">
        <f>VLOOKUP(C600,[1]道具配置表!$A:$D,4,FALSE)</f>
        <v>1食物</v>
      </c>
      <c r="E600" s="16">
        <f>E598+1000</f>
        <v>7000</v>
      </c>
      <c r="J600" s="16">
        <v>1</v>
      </c>
      <c r="L600" s="16" t="b">
        <v>1</v>
      </c>
    </row>
    <row r="601" spans="1:12" x14ac:dyDescent="0.25">
      <c r="A601" s="16">
        <f>A599+1</f>
        <v>1900928</v>
      </c>
      <c r="B601" s="16" t="s">
        <v>439</v>
      </c>
      <c r="C601" s="16">
        <f t="shared" si="15"/>
        <v>17301</v>
      </c>
      <c r="D601" s="16" t="str">
        <f>VLOOKUP(C601,[1]道具配置表!$A:$D,4,FALSE)</f>
        <v>名人冒险宝箱（紫）</v>
      </c>
      <c r="E601" s="16">
        <f>E599</f>
        <v>1</v>
      </c>
      <c r="J601" s="16">
        <v>1</v>
      </c>
      <c r="L601" s="16" t="b">
        <v>1</v>
      </c>
    </row>
    <row r="602" spans="1:12" x14ac:dyDescent="0.25">
      <c r="C602" s="16">
        <f t="shared" si="15"/>
        <v>102</v>
      </c>
      <c r="D602" s="16" t="str">
        <f>VLOOKUP(C602,[1]道具配置表!$A:$D,4,FALSE)</f>
        <v>1食物</v>
      </c>
      <c r="E602" s="16">
        <f>E600+1000</f>
        <v>8000</v>
      </c>
      <c r="J602" s="16">
        <v>1</v>
      </c>
      <c r="L602" s="16" t="b">
        <v>1</v>
      </c>
    </row>
    <row r="603" spans="1:12" x14ac:dyDescent="0.25">
      <c r="A603" s="16">
        <f>A601+1</f>
        <v>1900929</v>
      </c>
      <c r="B603" s="16" t="s">
        <v>440</v>
      </c>
      <c r="C603" s="16">
        <f t="shared" si="15"/>
        <v>17301</v>
      </c>
      <c r="D603" s="16" t="str">
        <f>VLOOKUP(C603,[1]道具配置表!$A:$D,4,FALSE)</f>
        <v>名人冒险宝箱（紫）</v>
      </c>
      <c r="E603" s="16">
        <f>E601</f>
        <v>1</v>
      </c>
      <c r="J603" s="16">
        <v>1</v>
      </c>
      <c r="L603" s="16" t="b">
        <v>1</v>
      </c>
    </row>
    <row r="604" spans="1:12" x14ac:dyDescent="0.25">
      <c r="C604" s="16">
        <f t="shared" si="15"/>
        <v>102</v>
      </c>
      <c r="D604" s="16" t="str">
        <f>VLOOKUP(C604,[1]道具配置表!$A:$D,4,FALSE)</f>
        <v>1食物</v>
      </c>
      <c r="E604" s="16">
        <f>E602+1000</f>
        <v>9000</v>
      </c>
      <c r="J604" s="16">
        <v>1</v>
      </c>
      <c r="L604" s="16" t="b">
        <v>1</v>
      </c>
    </row>
    <row r="605" spans="1:12" x14ac:dyDescent="0.25">
      <c r="A605" s="16">
        <f>A603+1</f>
        <v>1900930</v>
      </c>
      <c r="B605" s="16" t="s">
        <v>441</v>
      </c>
      <c r="C605" s="16">
        <f t="shared" si="15"/>
        <v>17301</v>
      </c>
      <c r="D605" s="16" t="str">
        <f>VLOOKUP(C605,[1]道具配置表!$A:$D,4,FALSE)</f>
        <v>名人冒险宝箱（紫）</v>
      </c>
      <c r="E605" s="16">
        <f>E603</f>
        <v>1</v>
      </c>
      <c r="J605" s="16">
        <v>1</v>
      </c>
      <c r="L605" s="16" t="b">
        <v>1</v>
      </c>
    </row>
    <row r="606" spans="1:12" x14ac:dyDescent="0.25">
      <c r="C606" s="16">
        <f t="shared" si="15"/>
        <v>102</v>
      </c>
      <c r="D606" s="16" t="str">
        <f>VLOOKUP(C606,[1]道具配置表!$A:$D,4,FALSE)</f>
        <v>1食物</v>
      </c>
      <c r="E606" s="16">
        <f>E604+1000</f>
        <v>10000</v>
      </c>
      <c r="J606" s="16">
        <v>1</v>
      </c>
      <c r="L606" s="16" t="b">
        <v>1</v>
      </c>
    </row>
    <row r="607" spans="1:12" x14ac:dyDescent="0.25">
      <c r="A607" s="16">
        <f>A605+1</f>
        <v>1900931</v>
      </c>
      <c r="B607" s="16" t="s">
        <v>442</v>
      </c>
      <c r="C607" s="16">
        <f t="shared" si="15"/>
        <v>17301</v>
      </c>
      <c r="D607" s="16" t="str">
        <f>VLOOKUP(C607,[1]道具配置表!$A:$D,4,FALSE)</f>
        <v>名人冒险宝箱（紫）</v>
      </c>
      <c r="E607" s="16">
        <f>E605</f>
        <v>1</v>
      </c>
      <c r="J607" s="16">
        <v>1</v>
      </c>
      <c r="L607" s="16" t="b">
        <v>1</v>
      </c>
    </row>
    <row r="608" spans="1:12" x14ac:dyDescent="0.25">
      <c r="C608" s="16">
        <f t="shared" si="15"/>
        <v>102</v>
      </c>
      <c r="D608" s="16" t="str">
        <f>VLOOKUP(C608,[1]道具配置表!$A:$D,4,FALSE)</f>
        <v>1食物</v>
      </c>
      <c r="E608" s="16">
        <f>E606+1000</f>
        <v>11000</v>
      </c>
      <c r="J608" s="16">
        <v>1</v>
      </c>
      <c r="L608" s="16" t="b">
        <v>1</v>
      </c>
    </row>
    <row r="609" spans="1:12" x14ac:dyDescent="0.25">
      <c r="A609" s="16">
        <f>A607+1</f>
        <v>1900932</v>
      </c>
      <c r="B609" s="16" t="s">
        <v>443</v>
      </c>
      <c r="C609" s="16">
        <f t="shared" si="15"/>
        <v>17301</v>
      </c>
      <c r="D609" s="16" t="str">
        <f>VLOOKUP(C609,[1]道具配置表!$A:$D,4,FALSE)</f>
        <v>名人冒险宝箱（紫）</v>
      </c>
      <c r="E609" s="16">
        <f>E607</f>
        <v>1</v>
      </c>
      <c r="J609" s="16">
        <v>1</v>
      </c>
      <c r="L609" s="16" t="b">
        <v>1</v>
      </c>
    </row>
    <row r="610" spans="1:12" x14ac:dyDescent="0.25">
      <c r="C610" s="16">
        <f t="shared" si="15"/>
        <v>102</v>
      </c>
      <c r="D610" s="16" t="str">
        <f>VLOOKUP(C610,[1]道具配置表!$A:$D,4,FALSE)</f>
        <v>1食物</v>
      </c>
      <c r="E610" s="16">
        <f>E608+1000</f>
        <v>12000</v>
      </c>
      <c r="J610" s="16">
        <v>1</v>
      </c>
      <c r="L610" s="16" t="b">
        <v>1</v>
      </c>
    </row>
    <row r="611" spans="1:12" x14ac:dyDescent="0.25">
      <c r="A611" s="16">
        <f>A609+1</f>
        <v>1900933</v>
      </c>
      <c r="B611" s="16" t="s">
        <v>444</v>
      </c>
      <c r="C611" s="16">
        <f t="shared" si="15"/>
        <v>17301</v>
      </c>
      <c r="D611" s="16" t="str">
        <f>VLOOKUP(C611,[1]道具配置表!$A:$D,4,FALSE)</f>
        <v>名人冒险宝箱（紫）</v>
      </c>
      <c r="E611" s="16">
        <f>E609</f>
        <v>1</v>
      </c>
      <c r="J611" s="16">
        <v>1</v>
      </c>
      <c r="L611" s="16" t="b">
        <v>1</v>
      </c>
    </row>
    <row r="612" spans="1:12" x14ac:dyDescent="0.25">
      <c r="C612" s="16">
        <f t="shared" si="15"/>
        <v>102</v>
      </c>
      <c r="D612" s="16" t="str">
        <f>VLOOKUP(C612,[1]道具配置表!$A:$D,4,FALSE)</f>
        <v>1食物</v>
      </c>
      <c r="E612" s="16">
        <f>E610+1000</f>
        <v>13000</v>
      </c>
      <c r="J612" s="16">
        <v>1</v>
      </c>
      <c r="L612" s="16" t="b">
        <v>1</v>
      </c>
    </row>
    <row r="613" spans="1:12" x14ac:dyDescent="0.25">
      <c r="A613" s="16">
        <f>A611+1</f>
        <v>1900934</v>
      </c>
      <c r="B613" s="16" t="s">
        <v>445</v>
      </c>
      <c r="C613" s="16">
        <f t="shared" si="15"/>
        <v>17301</v>
      </c>
      <c r="D613" s="16" t="str">
        <f>VLOOKUP(C613,[1]道具配置表!$A:$D,4,FALSE)</f>
        <v>名人冒险宝箱（紫）</v>
      </c>
      <c r="E613" s="16">
        <f>E611</f>
        <v>1</v>
      </c>
      <c r="J613" s="16">
        <v>1</v>
      </c>
      <c r="L613" s="16" t="b">
        <v>1</v>
      </c>
    </row>
    <row r="614" spans="1:12" x14ac:dyDescent="0.25">
      <c r="C614" s="16">
        <f t="shared" si="15"/>
        <v>102</v>
      </c>
      <c r="D614" s="16" t="str">
        <f>VLOOKUP(C614,[1]道具配置表!$A:$D,4,FALSE)</f>
        <v>1食物</v>
      </c>
      <c r="E614" s="16">
        <f>E612+1000</f>
        <v>14000</v>
      </c>
      <c r="J614" s="16">
        <v>1</v>
      </c>
      <c r="L614" s="16" t="b">
        <v>1</v>
      </c>
    </row>
    <row r="615" spans="1:12" x14ac:dyDescent="0.25">
      <c r="A615" s="16">
        <f>A613+1</f>
        <v>1900935</v>
      </c>
      <c r="B615" s="16" t="s">
        <v>446</v>
      </c>
      <c r="C615" s="16">
        <f t="shared" si="15"/>
        <v>17301</v>
      </c>
      <c r="D615" s="16" t="str">
        <f>VLOOKUP(C615,[1]道具配置表!$A:$D,4,FALSE)</f>
        <v>名人冒险宝箱（紫）</v>
      </c>
      <c r="E615" s="16">
        <f>E613</f>
        <v>1</v>
      </c>
      <c r="J615" s="16">
        <v>1</v>
      </c>
      <c r="L615" s="16" t="b">
        <v>1</v>
      </c>
    </row>
    <row r="616" spans="1:12" x14ac:dyDescent="0.25">
      <c r="C616" s="16">
        <f t="shared" si="15"/>
        <v>102</v>
      </c>
      <c r="D616" s="16" t="str">
        <f>VLOOKUP(C616,[1]道具配置表!$A:$D,4,FALSE)</f>
        <v>1食物</v>
      </c>
      <c r="E616" s="16">
        <f>E614+1000</f>
        <v>15000</v>
      </c>
      <c r="J616" s="16">
        <v>1</v>
      </c>
      <c r="L616" s="16" t="b">
        <v>1</v>
      </c>
    </row>
    <row r="617" spans="1:12" x14ac:dyDescent="0.25">
      <c r="A617" s="16">
        <f>A615+1</f>
        <v>1900936</v>
      </c>
      <c r="B617" s="16" t="s">
        <v>447</v>
      </c>
      <c r="C617" s="16">
        <f t="shared" si="15"/>
        <v>17301</v>
      </c>
      <c r="D617" s="16" t="str">
        <f>VLOOKUP(C617,[1]道具配置表!$A:$D,4,FALSE)</f>
        <v>名人冒险宝箱（紫）</v>
      </c>
      <c r="E617" s="16">
        <f>E615</f>
        <v>1</v>
      </c>
      <c r="J617" s="16">
        <v>1</v>
      </c>
      <c r="L617" s="16" t="b">
        <v>1</v>
      </c>
    </row>
    <row r="618" spans="1:12" x14ac:dyDescent="0.25">
      <c r="C618" s="16">
        <f t="shared" si="15"/>
        <v>102</v>
      </c>
      <c r="D618" s="16" t="str">
        <f>VLOOKUP(C618,[1]道具配置表!$A:$D,4,FALSE)</f>
        <v>1食物</v>
      </c>
      <c r="E618" s="16">
        <f>E616+1000</f>
        <v>16000</v>
      </c>
      <c r="J618" s="16">
        <v>1</v>
      </c>
      <c r="L618" s="16" t="b">
        <v>1</v>
      </c>
    </row>
    <row r="619" spans="1:12" x14ac:dyDescent="0.25">
      <c r="A619" s="16">
        <f>A617+1</f>
        <v>1900937</v>
      </c>
      <c r="B619" s="16" t="s">
        <v>448</v>
      </c>
      <c r="C619" s="16">
        <f t="shared" si="15"/>
        <v>17301</v>
      </c>
      <c r="D619" s="16" t="str">
        <f>VLOOKUP(C619,[1]道具配置表!$A:$D,4,FALSE)</f>
        <v>名人冒险宝箱（紫）</v>
      </c>
      <c r="E619" s="16">
        <f>E617</f>
        <v>1</v>
      </c>
      <c r="J619" s="16">
        <v>1</v>
      </c>
      <c r="L619" s="16" t="b">
        <v>1</v>
      </c>
    </row>
    <row r="620" spans="1:12" x14ac:dyDescent="0.25">
      <c r="C620" s="16">
        <f t="shared" si="15"/>
        <v>102</v>
      </c>
      <c r="D620" s="16" t="str">
        <f>VLOOKUP(C620,[1]道具配置表!$A:$D,4,FALSE)</f>
        <v>1食物</v>
      </c>
      <c r="E620" s="16">
        <f>E618+1000</f>
        <v>17000</v>
      </c>
      <c r="J620" s="16">
        <v>1</v>
      </c>
      <c r="L620" s="16" t="b">
        <v>1</v>
      </c>
    </row>
    <row r="621" spans="1:12" x14ac:dyDescent="0.25">
      <c r="A621" s="16">
        <f>A619+1</f>
        <v>1900938</v>
      </c>
      <c r="B621" s="16" t="s">
        <v>449</v>
      </c>
      <c r="C621" s="16">
        <f t="shared" si="15"/>
        <v>17301</v>
      </c>
      <c r="D621" s="16" t="str">
        <f>VLOOKUP(C621,[1]道具配置表!$A:$D,4,FALSE)</f>
        <v>名人冒险宝箱（紫）</v>
      </c>
      <c r="E621" s="16">
        <f>E619</f>
        <v>1</v>
      </c>
      <c r="J621" s="16">
        <v>1</v>
      </c>
      <c r="L621" s="16" t="b">
        <v>1</v>
      </c>
    </row>
    <row r="622" spans="1:12" x14ac:dyDescent="0.25">
      <c r="C622" s="16">
        <f t="shared" si="15"/>
        <v>102</v>
      </c>
      <c r="D622" s="16" t="str">
        <f>VLOOKUP(C622,[1]道具配置表!$A:$D,4,FALSE)</f>
        <v>1食物</v>
      </c>
      <c r="E622" s="16">
        <f>E620+1000</f>
        <v>18000</v>
      </c>
      <c r="J622" s="16">
        <v>1</v>
      </c>
      <c r="L622" s="16" t="b">
        <v>1</v>
      </c>
    </row>
    <row r="623" spans="1:12" x14ac:dyDescent="0.25">
      <c r="A623" s="16">
        <f>A621+1</f>
        <v>1900939</v>
      </c>
      <c r="B623" s="16" t="s">
        <v>450</v>
      </c>
      <c r="C623" s="16">
        <f t="shared" si="15"/>
        <v>17301</v>
      </c>
      <c r="D623" s="16" t="str">
        <f>VLOOKUP(C623,[1]道具配置表!$A:$D,4,FALSE)</f>
        <v>名人冒险宝箱（紫）</v>
      </c>
      <c r="E623" s="16">
        <f>E621</f>
        <v>1</v>
      </c>
      <c r="J623" s="16">
        <v>1</v>
      </c>
      <c r="L623" s="16" t="b">
        <v>1</v>
      </c>
    </row>
    <row r="624" spans="1:12" x14ac:dyDescent="0.25">
      <c r="C624" s="16">
        <f t="shared" si="15"/>
        <v>102</v>
      </c>
      <c r="D624" s="16" t="str">
        <f>VLOOKUP(C624,[1]道具配置表!$A:$D,4,FALSE)</f>
        <v>1食物</v>
      </c>
      <c r="E624" s="16">
        <f>E622+1000</f>
        <v>19000</v>
      </c>
      <c r="J624" s="16">
        <v>1</v>
      </c>
      <c r="L624" s="16" t="b">
        <v>1</v>
      </c>
    </row>
    <row r="625" spans="1:12" x14ac:dyDescent="0.25">
      <c r="A625" s="16">
        <f>A623+1</f>
        <v>1900940</v>
      </c>
      <c r="B625" s="16" t="s">
        <v>451</v>
      </c>
      <c r="C625" s="16">
        <f t="shared" si="15"/>
        <v>17301</v>
      </c>
      <c r="D625" s="16" t="str">
        <f>VLOOKUP(C625,[1]道具配置表!$A:$D,4,FALSE)</f>
        <v>名人冒险宝箱（紫）</v>
      </c>
      <c r="E625" s="16">
        <f>E623</f>
        <v>1</v>
      </c>
      <c r="J625" s="16">
        <v>1</v>
      </c>
      <c r="L625" s="16" t="b">
        <v>1</v>
      </c>
    </row>
    <row r="626" spans="1:12" x14ac:dyDescent="0.25">
      <c r="C626" s="16">
        <f t="shared" si="15"/>
        <v>102</v>
      </c>
      <c r="D626" s="16" t="str">
        <f>VLOOKUP(C626,[1]道具配置表!$A:$D,4,FALSE)</f>
        <v>1食物</v>
      </c>
      <c r="E626" s="16">
        <f>E624+1000</f>
        <v>20000</v>
      </c>
      <c r="J626" s="16">
        <v>1</v>
      </c>
      <c r="L626" s="16" t="b">
        <v>1</v>
      </c>
    </row>
    <row r="627" spans="1:12" x14ac:dyDescent="0.25">
      <c r="A627" s="16">
        <f>A625+1</f>
        <v>1900941</v>
      </c>
      <c r="B627" s="16" t="s">
        <v>452</v>
      </c>
      <c r="C627" s="16">
        <f t="shared" si="15"/>
        <v>17301</v>
      </c>
      <c r="D627" s="16" t="str">
        <f>VLOOKUP(C627,[1]道具配置表!$A:$D,4,FALSE)</f>
        <v>名人冒险宝箱（紫）</v>
      </c>
      <c r="E627" s="16">
        <f>E625</f>
        <v>1</v>
      </c>
      <c r="J627" s="16">
        <v>1</v>
      </c>
      <c r="L627" s="16" t="b">
        <v>1</v>
      </c>
    </row>
    <row r="628" spans="1:12" x14ac:dyDescent="0.25">
      <c r="C628" s="16">
        <f t="shared" si="15"/>
        <v>102</v>
      </c>
      <c r="D628" s="16" t="str">
        <f>VLOOKUP(C628,[1]道具配置表!$A:$D,4,FALSE)</f>
        <v>1食物</v>
      </c>
      <c r="E628" s="16">
        <f>E626+1000</f>
        <v>21000</v>
      </c>
      <c r="J628" s="16">
        <v>1</v>
      </c>
      <c r="L628" s="16" t="b">
        <v>1</v>
      </c>
    </row>
    <row r="629" spans="1:12" x14ac:dyDescent="0.25">
      <c r="A629" s="16">
        <f>A627+1</f>
        <v>1900942</v>
      </c>
      <c r="B629" s="16" t="s">
        <v>453</v>
      </c>
      <c r="C629" s="16">
        <f t="shared" si="15"/>
        <v>17301</v>
      </c>
      <c r="D629" s="16" t="str">
        <f>VLOOKUP(C629,[1]道具配置表!$A:$D,4,FALSE)</f>
        <v>名人冒险宝箱（紫）</v>
      </c>
      <c r="E629" s="16">
        <f>E627</f>
        <v>1</v>
      </c>
      <c r="J629" s="16">
        <v>1</v>
      </c>
      <c r="L629" s="16" t="b">
        <v>1</v>
      </c>
    </row>
    <row r="630" spans="1:12" x14ac:dyDescent="0.25">
      <c r="C630" s="16">
        <f t="shared" si="15"/>
        <v>102</v>
      </c>
      <c r="D630" s="16" t="str">
        <f>VLOOKUP(C630,[1]道具配置表!$A:$D,4,FALSE)</f>
        <v>1食物</v>
      </c>
      <c r="E630" s="16">
        <f>E628+1000</f>
        <v>22000</v>
      </c>
      <c r="J630" s="16">
        <v>1</v>
      </c>
      <c r="L630" s="16" t="b">
        <v>1</v>
      </c>
    </row>
    <row r="631" spans="1:12" x14ac:dyDescent="0.25">
      <c r="A631" s="16">
        <v>1910001</v>
      </c>
      <c r="B631" s="16" t="s">
        <v>454</v>
      </c>
      <c r="C631" s="16">
        <v>7003</v>
      </c>
      <c r="D631" s="16" t="str">
        <f>VLOOKUP(C631,[1]道具配置表!$A:$D,4,FALSE)</f>
        <v>1银币（立即使用，不进背包）</v>
      </c>
      <c r="E631" s="16">
        <v>100</v>
      </c>
      <c r="J631" s="16">
        <v>1</v>
      </c>
      <c r="L631" s="16" t="b">
        <v>1</v>
      </c>
    </row>
    <row r="632" spans="1:12" x14ac:dyDescent="0.25">
      <c r="A632" s="16">
        <v>1910002</v>
      </c>
      <c r="B632" s="16" t="s">
        <v>455</v>
      </c>
      <c r="C632" s="16">
        <v>7003</v>
      </c>
      <c r="D632" s="16" t="str">
        <f>VLOOKUP(C632,[1]道具配置表!$A:$D,4,FALSE)</f>
        <v>1银币（立即使用，不进背包）</v>
      </c>
      <c r="E632" s="16">
        <v>100</v>
      </c>
      <c r="J632" s="16">
        <v>1</v>
      </c>
      <c r="L632" s="16" t="b">
        <v>1</v>
      </c>
    </row>
    <row r="633" spans="1:12" x14ac:dyDescent="0.25">
      <c r="A633" s="16">
        <v>1910003</v>
      </c>
      <c r="B633" s="16" t="s">
        <v>456</v>
      </c>
      <c r="C633" s="16">
        <v>7003</v>
      </c>
      <c r="D633" s="16" t="str">
        <f>VLOOKUP(C633,[1]道具配置表!$A:$D,4,FALSE)</f>
        <v>1银币（立即使用，不进背包）</v>
      </c>
      <c r="E633" s="16">
        <v>100</v>
      </c>
      <c r="J633" s="16">
        <v>1</v>
      </c>
      <c r="L633" s="16" t="b">
        <v>1</v>
      </c>
    </row>
    <row r="634" spans="1:12" x14ac:dyDescent="0.25">
      <c r="A634" s="16">
        <v>1910004</v>
      </c>
      <c r="B634" s="16" t="s">
        <v>457</v>
      </c>
      <c r="C634" s="16">
        <v>7003</v>
      </c>
      <c r="D634" s="16" t="str">
        <f>VLOOKUP(C634,[1]道具配置表!$A:$D,4,FALSE)</f>
        <v>1银币（立即使用，不进背包）</v>
      </c>
      <c r="E634" s="16">
        <v>100</v>
      </c>
      <c r="J634" s="16">
        <v>1</v>
      </c>
      <c r="L634" s="16" t="b">
        <v>1</v>
      </c>
    </row>
    <row r="635" spans="1:12" x14ac:dyDescent="0.25">
      <c r="A635" s="16">
        <v>1910005</v>
      </c>
      <c r="B635" s="16" t="s">
        <v>458</v>
      </c>
      <c r="C635" s="16">
        <v>7003</v>
      </c>
      <c r="D635" s="16" t="str">
        <f>VLOOKUP(C635,[1]道具配置表!$A:$D,4,FALSE)</f>
        <v>1银币（立即使用，不进背包）</v>
      </c>
      <c r="E635" s="16">
        <v>100</v>
      </c>
      <c r="J635" s="16">
        <v>1</v>
      </c>
      <c r="L635" s="16" t="b">
        <v>1</v>
      </c>
    </row>
    <row r="636" spans="1:12" x14ac:dyDescent="0.25">
      <c r="A636" s="16">
        <v>1910006</v>
      </c>
      <c r="B636" s="16" t="s">
        <v>459</v>
      </c>
      <c r="C636" s="16">
        <v>7003</v>
      </c>
      <c r="D636" s="16" t="str">
        <f>VLOOKUP(C636,[1]道具配置表!$A:$D,4,FALSE)</f>
        <v>1银币（立即使用，不进背包）</v>
      </c>
      <c r="E636" s="16">
        <v>100</v>
      </c>
      <c r="J636" s="16">
        <v>1</v>
      </c>
      <c r="L636" s="16" t="b">
        <v>1</v>
      </c>
    </row>
    <row r="637" spans="1:12" x14ac:dyDescent="0.25">
      <c r="A637" s="16">
        <v>1910007</v>
      </c>
      <c r="B637" s="16" t="s">
        <v>460</v>
      </c>
      <c r="C637" s="16">
        <v>7003</v>
      </c>
      <c r="D637" s="16" t="str">
        <f>VLOOKUP(C637,[1]道具配置表!$A:$D,4,FALSE)</f>
        <v>1银币（立即使用，不进背包）</v>
      </c>
      <c r="E637" s="16">
        <v>100</v>
      </c>
      <c r="J637" s="16">
        <v>1</v>
      </c>
      <c r="L637" s="16" t="b">
        <v>1</v>
      </c>
    </row>
    <row r="638" spans="1:12" x14ac:dyDescent="0.25">
      <c r="A638" s="16">
        <v>1910008</v>
      </c>
      <c r="B638" s="16" t="s">
        <v>461</v>
      </c>
      <c r="C638" s="16">
        <v>7003</v>
      </c>
      <c r="D638" s="16" t="str">
        <f>VLOOKUP(C638,[1]道具配置表!$A:$D,4,FALSE)</f>
        <v>1银币（立即使用，不进背包）</v>
      </c>
      <c r="E638" s="16">
        <v>100</v>
      </c>
      <c r="J638" s="16">
        <v>1</v>
      </c>
      <c r="L638" s="16" t="b">
        <v>1</v>
      </c>
    </row>
    <row r="639" spans="1:12" x14ac:dyDescent="0.25">
      <c r="A639" s="16">
        <v>1910009</v>
      </c>
      <c r="B639" s="16" t="s">
        <v>462</v>
      </c>
      <c r="C639" s="16">
        <v>7003</v>
      </c>
      <c r="D639" s="16" t="str">
        <f>VLOOKUP(C639,[1]道具配置表!$A:$D,4,FALSE)</f>
        <v>1银币（立即使用，不进背包）</v>
      </c>
      <c r="E639" s="16">
        <v>100</v>
      </c>
      <c r="J639" s="16">
        <v>1</v>
      </c>
      <c r="L639" s="16" t="b">
        <v>1</v>
      </c>
    </row>
    <row r="640" spans="1:12" x14ac:dyDescent="0.25">
      <c r="A640" s="16">
        <v>1910010</v>
      </c>
      <c r="B640" s="16" t="s">
        <v>463</v>
      </c>
      <c r="C640" s="16">
        <v>7003</v>
      </c>
      <c r="D640" s="16" t="str">
        <f>VLOOKUP(C640,[1]道具配置表!$A:$D,4,FALSE)</f>
        <v>1银币（立即使用，不进背包）</v>
      </c>
      <c r="E640" s="16">
        <v>100</v>
      </c>
      <c r="J640" s="16">
        <v>1</v>
      </c>
      <c r="L640" s="16" t="b">
        <v>1</v>
      </c>
    </row>
    <row r="641" spans="1:12" x14ac:dyDescent="0.25">
      <c r="A641" s="16">
        <v>1910011</v>
      </c>
      <c r="B641" s="16" t="s">
        <v>464</v>
      </c>
      <c r="C641" s="16">
        <v>7003</v>
      </c>
      <c r="D641" s="16" t="str">
        <f>VLOOKUP(C641,[1]道具配置表!$A:$D,4,FALSE)</f>
        <v>1银币（立即使用，不进背包）</v>
      </c>
      <c r="E641" s="16">
        <v>100</v>
      </c>
      <c r="J641" s="16">
        <v>1</v>
      </c>
      <c r="L641" s="16" t="b">
        <v>1</v>
      </c>
    </row>
    <row r="642" spans="1:12" x14ac:dyDescent="0.25">
      <c r="A642" s="16">
        <v>1910012</v>
      </c>
      <c r="B642" s="16" t="s">
        <v>465</v>
      </c>
      <c r="C642" s="16">
        <v>7003</v>
      </c>
      <c r="D642" s="16" t="str">
        <f>VLOOKUP(C642,[1]道具配置表!$A:$D,4,FALSE)</f>
        <v>1银币（立即使用，不进背包）</v>
      </c>
      <c r="E642" s="16">
        <v>100</v>
      </c>
      <c r="J642" s="16">
        <v>1</v>
      </c>
      <c r="L642" s="16" t="b">
        <v>1</v>
      </c>
    </row>
    <row r="643" spans="1:12" x14ac:dyDescent="0.25">
      <c r="A643" s="16">
        <v>1910013</v>
      </c>
      <c r="B643" s="16" t="s">
        <v>466</v>
      </c>
      <c r="C643" s="16">
        <v>7003</v>
      </c>
      <c r="D643" s="16" t="str">
        <f>VLOOKUP(C643,[1]道具配置表!$A:$D,4,FALSE)</f>
        <v>1银币（立即使用，不进背包）</v>
      </c>
      <c r="E643" s="16">
        <v>100</v>
      </c>
      <c r="J643" s="16">
        <v>1</v>
      </c>
      <c r="L643" s="16" t="b">
        <v>1</v>
      </c>
    </row>
    <row r="644" spans="1:12" x14ac:dyDescent="0.25">
      <c r="A644" s="16">
        <v>1910014</v>
      </c>
      <c r="B644" s="16" t="s">
        <v>467</v>
      </c>
      <c r="C644" s="16">
        <v>7003</v>
      </c>
      <c r="D644" s="16" t="str">
        <f>VLOOKUP(C644,[1]道具配置表!$A:$D,4,FALSE)</f>
        <v>1银币（立即使用，不进背包）</v>
      </c>
      <c r="E644" s="16">
        <v>100</v>
      </c>
      <c r="J644" s="16">
        <v>1</v>
      </c>
      <c r="L644" s="16" t="b">
        <v>1</v>
      </c>
    </row>
    <row r="645" spans="1:12" x14ac:dyDescent="0.25">
      <c r="A645" s="16">
        <v>1910015</v>
      </c>
      <c r="B645" s="16" t="s">
        <v>468</v>
      </c>
      <c r="C645" s="16">
        <v>7003</v>
      </c>
      <c r="D645" s="16" t="str">
        <f>VLOOKUP(C645,[1]道具配置表!$A:$D,4,FALSE)</f>
        <v>1银币（立即使用，不进背包）</v>
      </c>
      <c r="E645" s="16">
        <v>100</v>
      </c>
      <c r="J645" s="16">
        <v>1</v>
      </c>
      <c r="L645" s="16" t="b">
        <v>1</v>
      </c>
    </row>
    <row r="646" spans="1:12" x14ac:dyDescent="0.25">
      <c r="A646" s="16">
        <v>1910016</v>
      </c>
      <c r="B646" s="16" t="s">
        <v>469</v>
      </c>
      <c r="C646" s="16">
        <v>7003</v>
      </c>
      <c r="D646" s="16" t="str">
        <f>VLOOKUP(C646,[1]道具配置表!$A:$D,4,FALSE)</f>
        <v>1银币（立即使用，不进背包）</v>
      </c>
      <c r="E646" s="16">
        <v>100</v>
      </c>
      <c r="J646" s="16">
        <v>1</v>
      </c>
      <c r="L646" s="16" t="b">
        <v>1</v>
      </c>
    </row>
    <row r="647" spans="1:12" x14ac:dyDescent="0.25">
      <c r="A647" s="16">
        <v>1910017</v>
      </c>
      <c r="B647" s="16" t="s">
        <v>470</v>
      </c>
      <c r="C647" s="16">
        <v>7003</v>
      </c>
      <c r="D647" s="16" t="str">
        <f>VLOOKUP(C647,[1]道具配置表!$A:$D,4,FALSE)</f>
        <v>1银币（立即使用，不进背包）</v>
      </c>
      <c r="E647" s="16">
        <v>100</v>
      </c>
      <c r="J647" s="16">
        <v>1</v>
      </c>
      <c r="L647" s="16" t="b">
        <v>1</v>
      </c>
    </row>
    <row r="648" spans="1:12" x14ac:dyDescent="0.25">
      <c r="A648" s="16">
        <v>1910018</v>
      </c>
      <c r="B648" s="16" t="s">
        <v>471</v>
      </c>
      <c r="C648" s="16">
        <v>7003</v>
      </c>
      <c r="D648" s="16" t="str">
        <f>VLOOKUP(C648,[1]道具配置表!$A:$D,4,FALSE)</f>
        <v>1银币（立即使用，不进背包）</v>
      </c>
      <c r="E648" s="16">
        <v>100</v>
      </c>
      <c r="J648" s="16">
        <v>1</v>
      </c>
      <c r="L648" s="16" t="b">
        <v>1</v>
      </c>
    </row>
    <row r="649" spans="1:12" x14ac:dyDescent="0.25">
      <c r="A649" s="16">
        <v>1910019</v>
      </c>
      <c r="B649" s="16" t="s">
        <v>472</v>
      </c>
      <c r="C649" s="16">
        <v>7003</v>
      </c>
      <c r="D649" s="16" t="str">
        <f>VLOOKUP(C649,[1]道具配置表!$A:$D,4,FALSE)</f>
        <v>1银币（立即使用，不进背包）</v>
      </c>
      <c r="E649" s="16">
        <v>100</v>
      </c>
      <c r="J649" s="16">
        <v>1</v>
      </c>
      <c r="L649" s="16" t="b">
        <v>1</v>
      </c>
    </row>
    <row r="650" spans="1:12" x14ac:dyDescent="0.25">
      <c r="A650" s="16">
        <v>1910020</v>
      </c>
      <c r="B650" s="16" t="s">
        <v>473</v>
      </c>
      <c r="C650" s="16">
        <v>7003</v>
      </c>
      <c r="D650" s="16" t="str">
        <f>VLOOKUP(C650,[1]道具配置表!$A:$D,4,FALSE)</f>
        <v>1银币（立即使用，不进背包）</v>
      </c>
      <c r="E650" s="16">
        <v>100</v>
      </c>
      <c r="J650" s="16">
        <v>1</v>
      </c>
      <c r="L650" s="16" t="b">
        <v>1</v>
      </c>
    </row>
    <row r="651" spans="1:12" x14ac:dyDescent="0.25">
      <c r="A651" s="16">
        <v>1910021</v>
      </c>
      <c r="B651" s="16" t="s">
        <v>474</v>
      </c>
      <c r="C651" s="16">
        <v>7003</v>
      </c>
      <c r="D651" s="16" t="str">
        <f>VLOOKUP(C651,[1]道具配置表!$A:$D,4,FALSE)</f>
        <v>1银币（立即使用，不进背包）</v>
      </c>
      <c r="E651" s="16">
        <v>100</v>
      </c>
      <c r="J651" s="16">
        <v>1</v>
      </c>
      <c r="L651" s="16" t="b">
        <v>1</v>
      </c>
    </row>
    <row r="652" spans="1:12" x14ac:dyDescent="0.25">
      <c r="A652" s="16">
        <v>1910022</v>
      </c>
      <c r="B652" s="16" t="s">
        <v>475</v>
      </c>
      <c r="C652" s="16">
        <v>7003</v>
      </c>
      <c r="D652" s="16" t="str">
        <f>VLOOKUP(C652,[1]道具配置表!$A:$D,4,FALSE)</f>
        <v>1银币（立即使用，不进背包）</v>
      </c>
      <c r="E652" s="16">
        <v>100</v>
      </c>
      <c r="J652" s="16">
        <v>1</v>
      </c>
      <c r="L652" s="16" t="b">
        <v>1</v>
      </c>
    </row>
    <row r="653" spans="1:12" x14ac:dyDescent="0.25">
      <c r="A653" s="16">
        <v>1910023</v>
      </c>
      <c r="B653" s="16" t="s">
        <v>476</v>
      </c>
      <c r="C653" s="16">
        <v>7003</v>
      </c>
      <c r="D653" s="16" t="str">
        <f>VLOOKUP(C653,[1]道具配置表!$A:$D,4,FALSE)</f>
        <v>1银币（立即使用，不进背包）</v>
      </c>
      <c r="E653" s="16">
        <v>100</v>
      </c>
      <c r="J653" s="16">
        <v>1</v>
      </c>
      <c r="L653" s="16" t="b">
        <v>1</v>
      </c>
    </row>
    <row r="654" spans="1:12" x14ac:dyDescent="0.25">
      <c r="A654" s="16">
        <v>1910024</v>
      </c>
      <c r="B654" s="16" t="s">
        <v>477</v>
      </c>
      <c r="C654" s="16">
        <v>7003</v>
      </c>
      <c r="D654" s="16" t="str">
        <f>VLOOKUP(C654,[1]道具配置表!$A:$D,4,FALSE)</f>
        <v>1银币（立即使用，不进背包）</v>
      </c>
      <c r="E654" s="16">
        <v>100</v>
      </c>
      <c r="J654" s="16">
        <v>1</v>
      </c>
      <c r="L654" s="16" t="b">
        <v>1</v>
      </c>
    </row>
    <row r="655" spans="1:12" x14ac:dyDescent="0.25">
      <c r="A655" s="16">
        <v>1910025</v>
      </c>
      <c r="B655" s="16" t="s">
        <v>478</v>
      </c>
      <c r="C655" s="16">
        <v>7003</v>
      </c>
      <c r="D655" s="16" t="str">
        <f>VLOOKUP(C655,[1]道具配置表!$A:$D,4,FALSE)</f>
        <v>1银币（立即使用，不进背包）</v>
      </c>
      <c r="E655" s="16">
        <v>100</v>
      </c>
      <c r="J655" s="16">
        <v>1</v>
      </c>
      <c r="L655" s="16" t="b">
        <v>1</v>
      </c>
    </row>
    <row r="656" spans="1:12" x14ac:dyDescent="0.25">
      <c r="A656" s="16">
        <v>1910026</v>
      </c>
      <c r="B656" s="16" t="s">
        <v>479</v>
      </c>
      <c r="C656" s="16">
        <v>7003</v>
      </c>
      <c r="D656" s="16" t="str">
        <f>VLOOKUP(C656,[1]道具配置表!$A:$D,4,FALSE)</f>
        <v>1银币（立即使用，不进背包）</v>
      </c>
      <c r="E656" s="16">
        <v>100</v>
      </c>
      <c r="J656" s="16">
        <v>1</v>
      </c>
      <c r="L656" s="16" t="b">
        <v>1</v>
      </c>
    </row>
    <row r="657" spans="1:12" x14ac:dyDescent="0.25">
      <c r="A657" s="16">
        <v>1910027</v>
      </c>
      <c r="B657" s="16" t="s">
        <v>480</v>
      </c>
      <c r="C657" s="16">
        <v>7003</v>
      </c>
      <c r="D657" s="16" t="str">
        <f>VLOOKUP(C657,[1]道具配置表!$A:$D,4,FALSE)</f>
        <v>1银币（立即使用，不进背包）</v>
      </c>
      <c r="E657" s="16">
        <v>100</v>
      </c>
      <c r="J657" s="16">
        <v>1</v>
      </c>
      <c r="L657" s="16" t="b">
        <v>1</v>
      </c>
    </row>
    <row r="658" spans="1:12" x14ac:dyDescent="0.25">
      <c r="A658" s="16">
        <v>1910028</v>
      </c>
      <c r="B658" s="16" t="s">
        <v>481</v>
      </c>
      <c r="C658" s="16">
        <v>7003</v>
      </c>
      <c r="D658" s="16" t="str">
        <f>VLOOKUP(C658,[1]道具配置表!$A:$D,4,FALSE)</f>
        <v>1银币（立即使用，不进背包）</v>
      </c>
      <c r="E658" s="16">
        <v>100</v>
      </c>
      <c r="J658" s="16">
        <v>1</v>
      </c>
      <c r="L658" s="16" t="b">
        <v>1</v>
      </c>
    </row>
    <row r="659" spans="1:12" x14ac:dyDescent="0.25">
      <c r="A659" s="16">
        <v>1910029</v>
      </c>
      <c r="B659" s="16" t="s">
        <v>482</v>
      </c>
      <c r="C659" s="16">
        <v>7003</v>
      </c>
      <c r="D659" s="16" t="str">
        <f>VLOOKUP(C659,[1]道具配置表!$A:$D,4,FALSE)</f>
        <v>1银币（立即使用，不进背包）</v>
      </c>
      <c r="E659" s="16">
        <v>100</v>
      </c>
      <c r="J659" s="16">
        <v>1</v>
      </c>
      <c r="L659" s="16" t="b">
        <v>1</v>
      </c>
    </row>
    <row r="660" spans="1:12" x14ac:dyDescent="0.25">
      <c r="A660" s="16">
        <v>1910030</v>
      </c>
      <c r="B660" s="16" t="s">
        <v>483</v>
      </c>
      <c r="C660" s="16">
        <v>7003</v>
      </c>
      <c r="D660" s="16" t="str">
        <f>VLOOKUP(C660,[1]道具配置表!$A:$D,4,FALSE)</f>
        <v>1银币（立即使用，不进背包）</v>
      </c>
      <c r="E660" s="16">
        <v>100</v>
      </c>
      <c r="J660" s="16">
        <v>1</v>
      </c>
      <c r="L660" s="16" t="b">
        <v>1</v>
      </c>
    </row>
    <row r="661" spans="1:12" x14ac:dyDescent="0.25">
      <c r="A661" s="16">
        <v>1910031</v>
      </c>
      <c r="B661" s="16" t="s">
        <v>484</v>
      </c>
      <c r="C661" s="16">
        <v>7003</v>
      </c>
      <c r="D661" s="16" t="str">
        <f>VLOOKUP(C661,[1]道具配置表!$A:$D,4,FALSE)</f>
        <v>1银币（立即使用，不进背包）</v>
      </c>
      <c r="E661" s="16">
        <v>100</v>
      </c>
      <c r="J661" s="16">
        <v>1</v>
      </c>
      <c r="L661" s="16" t="b">
        <v>1</v>
      </c>
    </row>
    <row r="662" spans="1:12" x14ac:dyDescent="0.25">
      <c r="A662" s="16">
        <v>1910032</v>
      </c>
      <c r="B662" s="16" t="s">
        <v>485</v>
      </c>
      <c r="C662" s="16">
        <v>7003</v>
      </c>
      <c r="D662" s="16" t="str">
        <f>VLOOKUP(C662,[1]道具配置表!$A:$D,4,FALSE)</f>
        <v>1银币（立即使用，不进背包）</v>
      </c>
      <c r="E662" s="16">
        <v>100</v>
      </c>
      <c r="J662" s="16">
        <v>1</v>
      </c>
      <c r="L662" s="16" t="b">
        <v>1</v>
      </c>
    </row>
    <row r="663" spans="1:12" x14ac:dyDescent="0.25">
      <c r="A663" s="16">
        <v>1910033</v>
      </c>
      <c r="B663" s="16" t="s">
        <v>486</v>
      </c>
      <c r="C663" s="16">
        <v>7003</v>
      </c>
      <c r="D663" s="16" t="str">
        <f>VLOOKUP(C663,[1]道具配置表!$A:$D,4,FALSE)</f>
        <v>1银币（立即使用，不进背包）</v>
      </c>
      <c r="E663" s="16">
        <v>100</v>
      </c>
      <c r="J663" s="16">
        <v>1</v>
      </c>
      <c r="L663" s="16" t="b">
        <v>1</v>
      </c>
    </row>
    <row r="664" spans="1:12" x14ac:dyDescent="0.25">
      <c r="A664" s="16">
        <v>1910034</v>
      </c>
      <c r="B664" s="16" t="s">
        <v>487</v>
      </c>
      <c r="C664" s="16">
        <v>7003</v>
      </c>
      <c r="D664" s="16" t="str">
        <f>VLOOKUP(C664,[1]道具配置表!$A:$D,4,FALSE)</f>
        <v>1银币（立即使用，不进背包）</v>
      </c>
      <c r="E664" s="16">
        <v>100</v>
      </c>
      <c r="J664" s="16">
        <v>1</v>
      </c>
      <c r="L664" s="16" t="b">
        <v>1</v>
      </c>
    </row>
    <row r="665" spans="1:12" x14ac:dyDescent="0.25">
      <c r="A665" s="16">
        <v>1910035</v>
      </c>
      <c r="B665" s="16" t="s">
        <v>488</v>
      </c>
      <c r="C665" s="16">
        <v>7003</v>
      </c>
      <c r="D665" s="16" t="str">
        <f>VLOOKUP(C665,[1]道具配置表!$A:$D,4,FALSE)</f>
        <v>1银币（立即使用，不进背包）</v>
      </c>
      <c r="E665" s="16">
        <v>100</v>
      </c>
      <c r="J665" s="16">
        <v>1</v>
      </c>
      <c r="L665" s="16" t="b">
        <v>1</v>
      </c>
    </row>
    <row r="666" spans="1:12" x14ac:dyDescent="0.25">
      <c r="A666" s="16">
        <v>1910036</v>
      </c>
      <c r="B666" s="16" t="s">
        <v>489</v>
      </c>
      <c r="C666" s="16">
        <v>7003</v>
      </c>
      <c r="D666" s="16" t="str">
        <f>VLOOKUP(C666,[1]道具配置表!$A:$D,4,FALSE)</f>
        <v>1银币（立即使用，不进背包）</v>
      </c>
      <c r="E666" s="16">
        <v>100</v>
      </c>
      <c r="J666" s="16">
        <v>1</v>
      </c>
      <c r="L666" s="16" t="b">
        <v>1</v>
      </c>
    </row>
    <row r="667" spans="1:12" x14ac:dyDescent="0.25">
      <c r="A667" s="16">
        <v>1911001</v>
      </c>
      <c r="B667" s="16" t="s">
        <v>490</v>
      </c>
      <c r="C667" s="16">
        <v>102</v>
      </c>
      <c r="D667" s="16" t="str">
        <f>VLOOKUP(C667,[1]道具配置表!$A:$D,4,FALSE)</f>
        <v>1食物</v>
      </c>
      <c r="E667" s="16">
        <v>1000</v>
      </c>
      <c r="J667" s="16">
        <v>1</v>
      </c>
      <c r="L667" s="16" t="b">
        <v>1</v>
      </c>
    </row>
    <row r="668" spans="1:12" x14ac:dyDescent="0.25">
      <c r="A668" s="16">
        <v>1911002</v>
      </c>
      <c r="B668" s="16" t="s">
        <v>491</v>
      </c>
      <c r="C668" s="16">
        <v>102</v>
      </c>
      <c r="D668" s="16" t="str">
        <f>VLOOKUP(C668,[1]道具配置表!$A:$D,4,FALSE)</f>
        <v>1食物</v>
      </c>
      <c r="E668" s="16">
        <v>2000</v>
      </c>
      <c r="J668" s="16">
        <v>1</v>
      </c>
      <c r="L668" s="16" t="b">
        <v>1</v>
      </c>
    </row>
    <row r="669" spans="1:12" x14ac:dyDescent="0.25">
      <c r="A669" s="16">
        <v>1911003</v>
      </c>
      <c r="B669" s="16" t="s">
        <v>492</v>
      </c>
      <c r="C669" s="16">
        <v>102</v>
      </c>
      <c r="D669" s="16" t="str">
        <f>VLOOKUP(C669,[1]道具配置表!$A:$D,4,FALSE)</f>
        <v>1食物</v>
      </c>
      <c r="E669" s="16">
        <v>3000</v>
      </c>
      <c r="J669" s="16">
        <v>1</v>
      </c>
      <c r="L669" s="16" t="b">
        <v>1</v>
      </c>
    </row>
    <row r="670" spans="1:12" x14ac:dyDescent="0.25">
      <c r="A670" s="16">
        <v>1911004</v>
      </c>
      <c r="B670" s="16" t="s">
        <v>493</v>
      </c>
      <c r="C670" s="16">
        <v>102</v>
      </c>
      <c r="D670" s="16" t="str">
        <f>VLOOKUP(C670,[1]道具配置表!$A:$D,4,FALSE)</f>
        <v>1食物</v>
      </c>
      <c r="E670" s="16">
        <v>2000</v>
      </c>
      <c r="J670" s="16">
        <v>1</v>
      </c>
      <c r="L670" s="16" t="b">
        <v>1</v>
      </c>
    </row>
    <row r="671" spans="1:12" x14ac:dyDescent="0.25">
      <c r="A671" s="16">
        <v>1911005</v>
      </c>
      <c r="B671" s="16" t="s">
        <v>494</v>
      </c>
      <c r="C671" s="16">
        <v>102</v>
      </c>
      <c r="D671" s="16" t="str">
        <f>VLOOKUP(C671,[1]道具配置表!$A:$D,4,FALSE)</f>
        <v>1食物</v>
      </c>
      <c r="E671" s="16">
        <v>4000</v>
      </c>
      <c r="J671" s="16">
        <v>1</v>
      </c>
      <c r="L671" s="16" t="b">
        <v>1</v>
      </c>
    </row>
    <row r="672" spans="1:12" x14ac:dyDescent="0.25">
      <c r="A672" s="16">
        <v>1911006</v>
      </c>
      <c r="B672" s="16" t="s">
        <v>495</v>
      </c>
      <c r="C672" s="16">
        <v>102</v>
      </c>
      <c r="D672" s="16" t="str">
        <f>VLOOKUP(C672,[1]道具配置表!$A:$D,4,FALSE)</f>
        <v>1食物</v>
      </c>
      <c r="E672" s="16">
        <v>6000</v>
      </c>
      <c r="J672" s="16">
        <v>1</v>
      </c>
      <c r="L672" s="16" t="b">
        <v>1</v>
      </c>
    </row>
    <row r="673" spans="1:12" x14ac:dyDescent="0.25">
      <c r="A673" s="16">
        <v>1911007</v>
      </c>
      <c r="B673" s="16" t="s">
        <v>496</v>
      </c>
      <c r="C673" s="16">
        <v>102</v>
      </c>
      <c r="D673" s="16" t="str">
        <f>VLOOKUP(C673,[1]道具配置表!$A:$D,4,FALSE)</f>
        <v>1食物</v>
      </c>
      <c r="E673" s="16">
        <v>4000</v>
      </c>
      <c r="J673" s="16">
        <v>1</v>
      </c>
      <c r="L673" s="16" t="b">
        <v>1</v>
      </c>
    </row>
    <row r="674" spans="1:12" x14ac:dyDescent="0.25">
      <c r="A674" s="16">
        <v>1911008</v>
      </c>
      <c r="B674" s="16" t="s">
        <v>497</v>
      </c>
      <c r="C674" s="16">
        <v>102</v>
      </c>
      <c r="D674" s="16" t="str">
        <f>VLOOKUP(C674,[1]道具配置表!$A:$D,4,FALSE)</f>
        <v>1食物</v>
      </c>
      <c r="E674" s="16">
        <v>8000</v>
      </c>
      <c r="J674" s="16">
        <v>1</v>
      </c>
      <c r="L674" s="16" t="b">
        <v>1</v>
      </c>
    </row>
    <row r="675" spans="1:12" x14ac:dyDescent="0.25">
      <c r="A675" s="16">
        <v>1911009</v>
      </c>
      <c r="B675" s="16" t="s">
        <v>498</v>
      </c>
      <c r="C675" s="16">
        <v>102</v>
      </c>
      <c r="D675" s="16" t="str">
        <f>VLOOKUP(C675,[1]道具配置表!$A:$D,4,FALSE)</f>
        <v>1食物</v>
      </c>
      <c r="E675" s="16">
        <v>12000</v>
      </c>
      <c r="J675" s="16">
        <v>1</v>
      </c>
      <c r="L675" s="16" t="b">
        <v>1</v>
      </c>
    </row>
    <row r="676" spans="1:12" x14ac:dyDescent="0.25">
      <c r="A676" s="16">
        <v>1911010</v>
      </c>
      <c r="B676" s="16" t="s">
        <v>499</v>
      </c>
      <c r="C676" s="16">
        <v>102</v>
      </c>
      <c r="D676" s="16" t="str">
        <f>VLOOKUP(C676,[1]道具配置表!$A:$D,4,FALSE)</f>
        <v>1食物</v>
      </c>
      <c r="E676" s="16">
        <v>6000</v>
      </c>
      <c r="J676" s="16">
        <v>1</v>
      </c>
      <c r="L676" s="16" t="b">
        <v>1</v>
      </c>
    </row>
    <row r="677" spans="1:12" x14ac:dyDescent="0.25">
      <c r="A677" s="16">
        <v>1911011</v>
      </c>
      <c r="B677" s="16" t="s">
        <v>500</v>
      </c>
      <c r="C677" s="16">
        <v>102</v>
      </c>
      <c r="D677" s="16" t="str">
        <f>VLOOKUP(C677,[1]道具配置表!$A:$D,4,FALSE)</f>
        <v>1食物</v>
      </c>
      <c r="E677" s="16">
        <v>12000</v>
      </c>
      <c r="J677" s="16">
        <v>1</v>
      </c>
      <c r="L677" s="16" t="b">
        <v>1</v>
      </c>
    </row>
    <row r="678" spans="1:12" x14ac:dyDescent="0.25">
      <c r="A678" s="16">
        <v>1911012</v>
      </c>
      <c r="B678" s="16" t="s">
        <v>501</v>
      </c>
      <c r="C678" s="16">
        <v>102</v>
      </c>
      <c r="D678" s="16" t="str">
        <f>VLOOKUP(C678,[1]道具配置表!$A:$D,4,FALSE)</f>
        <v>1食物</v>
      </c>
      <c r="E678" s="16">
        <v>18000</v>
      </c>
      <c r="J678" s="16">
        <v>1</v>
      </c>
      <c r="L678" s="16" t="b">
        <v>1</v>
      </c>
    </row>
    <row r="679" spans="1:12" x14ac:dyDescent="0.25">
      <c r="A679" s="16">
        <v>1911013</v>
      </c>
      <c r="B679" s="16" t="s">
        <v>502</v>
      </c>
      <c r="C679" s="16">
        <v>102</v>
      </c>
      <c r="D679" s="16" t="str">
        <f>VLOOKUP(C679,[1]道具配置表!$A:$D,4,FALSE)</f>
        <v>1食物</v>
      </c>
      <c r="E679" s="16">
        <v>8000</v>
      </c>
      <c r="J679" s="16">
        <v>1</v>
      </c>
      <c r="L679" s="16" t="b">
        <v>1</v>
      </c>
    </row>
    <row r="680" spans="1:12" x14ac:dyDescent="0.25">
      <c r="A680" s="16">
        <v>1911014</v>
      </c>
      <c r="B680" s="16" t="s">
        <v>503</v>
      </c>
      <c r="C680" s="16">
        <v>102</v>
      </c>
      <c r="D680" s="16" t="str">
        <f>VLOOKUP(C680,[1]道具配置表!$A:$D,4,FALSE)</f>
        <v>1食物</v>
      </c>
      <c r="E680" s="16">
        <v>16000</v>
      </c>
      <c r="J680" s="16">
        <v>1</v>
      </c>
      <c r="L680" s="16" t="b">
        <v>1</v>
      </c>
    </row>
    <row r="681" spans="1:12" x14ac:dyDescent="0.25">
      <c r="A681" s="16">
        <v>1911015</v>
      </c>
      <c r="B681" s="16" t="s">
        <v>504</v>
      </c>
      <c r="C681" s="16">
        <v>102</v>
      </c>
      <c r="D681" s="16" t="str">
        <f>VLOOKUP(C681,[1]道具配置表!$A:$D,4,FALSE)</f>
        <v>1食物</v>
      </c>
      <c r="E681" s="16">
        <v>24000</v>
      </c>
      <c r="J681" s="16">
        <v>1</v>
      </c>
      <c r="L681" s="16" t="b">
        <v>1</v>
      </c>
    </row>
    <row r="682" spans="1:12" x14ac:dyDescent="0.25">
      <c r="A682" s="16">
        <v>1911016</v>
      </c>
      <c r="B682" s="16" t="s">
        <v>505</v>
      </c>
      <c r="C682" s="16">
        <v>102</v>
      </c>
      <c r="D682" s="16" t="str">
        <f>VLOOKUP(C682,[1]道具配置表!$A:$D,4,FALSE)</f>
        <v>1食物</v>
      </c>
      <c r="E682" s="16">
        <v>10000</v>
      </c>
      <c r="J682" s="16">
        <v>1</v>
      </c>
      <c r="L682" s="16" t="b">
        <v>1</v>
      </c>
    </row>
    <row r="683" spans="1:12" x14ac:dyDescent="0.25">
      <c r="A683" s="16">
        <v>1911017</v>
      </c>
      <c r="B683" s="16" t="s">
        <v>506</v>
      </c>
      <c r="C683" s="16">
        <v>102</v>
      </c>
      <c r="D683" s="16" t="str">
        <f>VLOOKUP(C683,[1]道具配置表!$A:$D,4,FALSE)</f>
        <v>1食物</v>
      </c>
      <c r="E683" s="16">
        <v>20000</v>
      </c>
      <c r="J683" s="16">
        <v>1</v>
      </c>
      <c r="L683" s="16" t="b">
        <v>1</v>
      </c>
    </row>
    <row r="684" spans="1:12" x14ac:dyDescent="0.25">
      <c r="A684" s="16">
        <v>1911018</v>
      </c>
      <c r="B684" s="16" t="s">
        <v>507</v>
      </c>
      <c r="C684" s="16">
        <v>102</v>
      </c>
      <c r="D684" s="16" t="str">
        <f>VLOOKUP(C684,[1]道具配置表!$A:$D,4,FALSE)</f>
        <v>1食物</v>
      </c>
      <c r="E684" s="16">
        <v>30000</v>
      </c>
      <c r="J684" s="16">
        <v>1</v>
      </c>
      <c r="L684" s="16" t="b">
        <v>1</v>
      </c>
    </row>
    <row r="685" spans="1:12" x14ac:dyDescent="0.25">
      <c r="A685" s="16">
        <v>1920001</v>
      </c>
      <c r="B685" s="16" t="s">
        <v>508</v>
      </c>
      <c r="C685" s="16">
        <v>102</v>
      </c>
      <c r="D685" s="16" t="str">
        <f>VLOOKUP(C685,[1]道具配置表!$A:$D,4,FALSE)</f>
        <v>1食物</v>
      </c>
      <c r="E685" s="16">
        <v>1000</v>
      </c>
      <c r="J685" s="16">
        <v>1</v>
      </c>
      <c r="L685" s="16" t="b">
        <v>1</v>
      </c>
    </row>
    <row r="686" spans="1:12" x14ac:dyDescent="0.25">
      <c r="C686" s="16">
        <v>101</v>
      </c>
      <c r="D686" s="16" t="str">
        <f>VLOOKUP(C686,[1]道具配置表!$A:$D,4,FALSE)</f>
        <v>1木材</v>
      </c>
      <c r="E686" s="16">
        <v>1000</v>
      </c>
      <c r="J686" s="16">
        <v>1</v>
      </c>
      <c r="L686" s="16" t="b">
        <v>1</v>
      </c>
    </row>
    <row r="687" spans="1:12" x14ac:dyDescent="0.25">
      <c r="C687" s="16">
        <v>103</v>
      </c>
      <c r="D687" s="16" t="str">
        <f>VLOOKUP(C687,[1]道具配置表!$A:$D,4,FALSE)</f>
        <v>1石头</v>
      </c>
      <c r="E687" s="16">
        <f>E686</f>
        <v>1000</v>
      </c>
      <c r="J687" s="16">
        <v>1</v>
      </c>
      <c r="L687" s="16" t="b">
        <v>1</v>
      </c>
    </row>
    <row r="688" spans="1:12" x14ac:dyDescent="0.25">
      <c r="C688" s="16">
        <v>104</v>
      </c>
      <c r="D688" s="16" t="str">
        <f>VLOOKUP(C688,[1]道具配置表!$A:$D,4,FALSE)</f>
        <v>1黄金</v>
      </c>
      <c r="E688" s="16">
        <f>E687</f>
        <v>1000</v>
      </c>
      <c r="J688" s="16">
        <v>1</v>
      </c>
      <c r="L688" s="16" t="b">
        <v>1</v>
      </c>
    </row>
    <row r="689" spans="1:12" x14ac:dyDescent="0.25">
      <c r="A689" s="16">
        <v>1920002</v>
      </c>
      <c r="B689" s="16" t="s">
        <v>509</v>
      </c>
      <c r="C689" s="16">
        <f t="shared" ref="C689:C752" si="16">C685</f>
        <v>102</v>
      </c>
      <c r="D689" s="16" t="str">
        <f>VLOOKUP(C689,[1]道具配置表!$A:$D,4,FALSE)</f>
        <v>1食物</v>
      </c>
      <c r="E689" s="16">
        <f>E685+300</f>
        <v>1300</v>
      </c>
      <c r="J689" s="16">
        <v>1</v>
      </c>
      <c r="L689" s="16" t="b">
        <v>1</v>
      </c>
    </row>
    <row r="690" spans="1:12" x14ac:dyDescent="0.25">
      <c r="C690" s="16">
        <f t="shared" si="16"/>
        <v>101</v>
      </c>
      <c r="D690" s="16" t="str">
        <f>VLOOKUP(C690,[1]道具配置表!$A:$D,4,FALSE)</f>
        <v>1木材</v>
      </c>
      <c r="E690" s="16">
        <f>E686+500</f>
        <v>1500</v>
      </c>
      <c r="J690" s="16">
        <v>1</v>
      </c>
      <c r="L690" s="16" t="b">
        <v>1</v>
      </c>
    </row>
    <row r="691" spans="1:12" x14ac:dyDescent="0.25">
      <c r="C691" s="16">
        <f t="shared" si="16"/>
        <v>103</v>
      </c>
      <c r="D691" s="16" t="str">
        <f>VLOOKUP(C691,[1]道具配置表!$A:$D,4,FALSE)</f>
        <v>1石头</v>
      </c>
      <c r="E691" s="16">
        <f>E687+500</f>
        <v>1500</v>
      </c>
      <c r="J691" s="16">
        <v>1</v>
      </c>
      <c r="L691" s="16" t="b">
        <v>1</v>
      </c>
    </row>
    <row r="692" spans="1:12" x14ac:dyDescent="0.25">
      <c r="C692" s="16">
        <f t="shared" si="16"/>
        <v>104</v>
      </c>
      <c r="D692" s="16" t="str">
        <f>VLOOKUP(C692,[1]道具配置表!$A:$D,4,FALSE)</f>
        <v>1黄金</v>
      </c>
      <c r="E692" s="16">
        <f>E688+500</f>
        <v>1500</v>
      </c>
      <c r="J692" s="16">
        <v>1</v>
      </c>
      <c r="L692" s="16" t="b">
        <v>1</v>
      </c>
    </row>
    <row r="693" spans="1:12" x14ac:dyDescent="0.25">
      <c r="A693" s="16">
        <v>1920003</v>
      </c>
      <c r="B693" s="16" t="s">
        <v>510</v>
      </c>
      <c r="C693" s="16">
        <f t="shared" si="16"/>
        <v>102</v>
      </c>
      <c r="D693" s="16" t="str">
        <f>VLOOKUP(C693,[1]道具配置表!$A:$D,4,FALSE)</f>
        <v>1食物</v>
      </c>
      <c r="E693" s="16">
        <f>E689+300</f>
        <v>1600</v>
      </c>
      <c r="J693" s="16">
        <v>1</v>
      </c>
      <c r="L693" s="16" t="b">
        <v>1</v>
      </c>
    </row>
    <row r="694" spans="1:12" x14ac:dyDescent="0.25">
      <c r="C694" s="16">
        <f t="shared" si="16"/>
        <v>101</v>
      </c>
      <c r="D694" s="16" t="str">
        <f>VLOOKUP(C694,[1]道具配置表!$A:$D,4,FALSE)</f>
        <v>1木材</v>
      </c>
      <c r="E694" s="16">
        <f>E690+500</f>
        <v>2000</v>
      </c>
      <c r="J694" s="16">
        <v>1</v>
      </c>
      <c r="L694" s="16" t="b">
        <v>1</v>
      </c>
    </row>
    <row r="695" spans="1:12" x14ac:dyDescent="0.25">
      <c r="C695" s="16">
        <f t="shared" si="16"/>
        <v>103</v>
      </c>
      <c r="D695" s="16" t="str">
        <f>VLOOKUP(C695,[1]道具配置表!$A:$D,4,FALSE)</f>
        <v>1石头</v>
      </c>
      <c r="E695" s="16">
        <f>E691+500</f>
        <v>2000</v>
      </c>
      <c r="J695" s="16">
        <v>1</v>
      </c>
      <c r="L695" s="16" t="b">
        <v>1</v>
      </c>
    </row>
    <row r="696" spans="1:12" x14ac:dyDescent="0.25">
      <c r="C696" s="16">
        <f t="shared" si="16"/>
        <v>104</v>
      </c>
      <c r="D696" s="16" t="str">
        <f>VLOOKUP(C696,[1]道具配置表!$A:$D,4,FALSE)</f>
        <v>1黄金</v>
      </c>
      <c r="E696" s="16">
        <f>E692+500</f>
        <v>2000</v>
      </c>
      <c r="J696" s="16">
        <v>1</v>
      </c>
      <c r="L696" s="16" t="b">
        <v>1</v>
      </c>
    </row>
    <row r="697" spans="1:12" x14ac:dyDescent="0.25">
      <c r="A697" s="16">
        <v>1920004</v>
      </c>
      <c r="B697" s="16" t="s">
        <v>511</v>
      </c>
      <c r="C697" s="16">
        <f t="shared" si="16"/>
        <v>102</v>
      </c>
      <c r="D697" s="16" t="str">
        <f>VLOOKUP(C697,[1]道具配置表!$A:$D,4,FALSE)</f>
        <v>1食物</v>
      </c>
      <c r="E697" s="16">
        <f>E693+300</f>
        <v>1900</v>
      </c>
      <c r="J697" s="16">
        <v>1</v>
      </c>
      <c r="L697" s="16" t="b">
        <v>1</v>
      </c>
    </row>
    <row r="698" spans="1:12" x14ac:dyDescent="0.25">
      <c r="C698" s="16">
        <f t="shared" si="16"/>
        <v>101</v>
      </c>
      <c r="D698" s="16" t="str">
        <f>VLOOKUP(C698,[1]道具配置表!$A:$D,4,FALSE)</f>
        <v>1木材</v>
      </c>
      <c r="E698" s="16">
        <f>E694+500</f>
        <v>2500</v>
      </c>
      <c r="J698" s="16">
        <v>1</v>
      </c>
      <c r="L698" s="16" t="b">
        <v>1</v>
      </c>
    </row>
    <row r="699" spans="1:12" x14ac:dyDescent="0.25">
      <c r="C699" s="16">
        <f t="shared" si="16"/>
        <v>103</v>
      </c>
      <c r="D699" s="16" t="str">
        <f>VLOOKUP(C699,[1]道具配置表!$A:$D,4,FALSE)</f>
        <v>1石头</v>
      </c>
      <c r="E699" s="16">
        <f>E695+500</f>
        <v>2500</v>
      </c>
      <c r="J699" s="16">
        <v>1</v>
      </c>
      <c r="L699" s="16" t="b">
        <v>1</v>
      </c>
    </row>
    <row r="700" spans="1:12" x14ac:dyDescent="0.25">
      <c r="C700" s="16">
        <f t="shared" si="16"/>
        <v>104</v>
      </c>
      <c r="D700" s="16" t="str">
        <f>VLOOKUP(C700,[1]道具配置表!$A:$D,4,FALSE)</f>
        <v>1黄金</v>
      </c>
      <c r="E700" s="16">
        <f>E696+500</f>
        <v>2500</v>
      </c>
      <c r="J700" s="16">
        <v>1</v>
      </c>
      <c r="L700" s="16" t="b">
        <v>1</v>
      </c>
    </row>
    <row r="701" spans="1:12" x14ac:dyDescent="0.25">
      <c r="A701" s="16">
        <v>1920005</v>
      </c>
      <c r="B701" s="16" t="s">
        <v>512</v>
      </c>
      <c r="C701" s="16">
        <f t="shared" si="16"/>
        <v>102</v>
      </c>
      <c r="D701" s="16" t="str">
        <f>VLOOKUP(C701,[1]道具配置表!$A:$D,4,FALSE)</f>
        <v>1食物</v>
      </c>
      <c r="E701" s="16">
        <f>E697+300</f>
        <v>2200</v>
      </c>
      <c r="J701" s="16">
        <v>1</v>
      </c>
      <c r="L701" s="16" t="b">
        <v>1</v>
      </c>
    </row>
    <row r="702" spans="1:12" x14ac:dyDescent="0.25">
      <c r="C702" s="16">
        <f t="shared" si="16"/>
        <v>101</v>
      </c>
      <c r="D702" s="16" t="str">
        <f>VLOOKUP(C702,[1]道具配置表!$A:$D,4,FALSE)</f>
        <v>1木材</v>
      </c>
      <c r="E702" s="16">
        <f>E698+500</f>
        <v>3000</v>
      </c>
      <c r="J702" s="16">
        <v>1</v>
      </c>
      <c r="L702" s="16" t="b">
        <v>1</v>
      </c>
    </row>
    <row r="703" spans="1:12" x14ac:dyDescent="0.25">
      <c r="C703" s="16">
        <f t="shared" si="16"/>
        <v>103</v>
      </c>
      <c r="D703" s="16" t="str">
        <f>VLOOKUP(C703,[1]道具配置表!$A:$D,4,FALSE)</f>
        <v>1石头</v>
      </c>
      <c r="E703" s="16">
        <f>E699+500</f>
        <v>3000</v>
      </c>
      <c r="J703" s="16">
        <v>1</v>
      </c>
      <c r="L703" s="16" t="b">
        <v>1</v>
      </c>
    </row>
    <row r="704" spans="1:12" x14ac:dyDescent="0.25">
      <c r="C704" s="16">
        <f t="shared" si="16"/>
        <v>104</v>
      </c>
      <c r="D704" s="16" t="str">
        <f>VLOOKUP(C704,[1]道具配置表!$A:$D,4,FALSE)</f>
        <v>1黄金</v>
      </c>
      <c r="E704" s="16">
        <f>E700+500</f>
        <v>3000</v>
      </c>
      <c r="J704" s="16">
        <v>1</v>
      </c>
      <c r="L704" s="16" t="b">
        <v>1</v>
      </c>
    </row>
    <row r="705" spans="1:12" x14ac:dyDescent="0.25">
      <c r="A705" s="16">
        <v>1920006</v>
      </c>
      <c r="B705" s="16" t="s">
        <v>513</v>
      </c>
      <c r="C705" s="16">
        <f t="shared" si="16"/>
        <v>102</v>
      </c>
      <c r="D705" s="16" t="str">
        <f>VLOOKUP(C705,[1]道具配置表!$A:$D,4,FALSE)</f>
        <v>1食物</v>
      </c>
      <c r="E705" s="16">
        <f>E701+300</f>
        <v>2500</v>
      </c>
      <c r="J705" s="16">
        <v>1</v>
      </c>
      <c r="L705" s="16" t="b">
        <v>1</v>
      </c>
    </row>
    <row r="706" spans="1:12" x14ac:dyDescent="0.25">
      <c r="C706" s="16">
        <f t="shared" si="16"/>
        <v>101</v>
      </c>
      <c r="D706" s="16" t="str">
        <f>VLOOKUP(C706,[1]道具配置表!$A:$D,4,FALSE)</f>
        <v>1木材</v>
      </c>
      <c r="E706" s="16">
        <f>E702+500</f>
        <v>3500</v>
      </c>
      <c r="J706" s="16">
        <v>1</v>
      </c>
      <c r="L706" s="16" t="b">
        <v>1</v>
      </c>
    </row>
    <row r="707" spans="1:12" x14ac:dyDescent="0.25">
      <c r="C707" s="16">
        <f t="shared" si="16"/>
        <v>103</v>
      </c>
      <c r="D707" s="16" t="str">
        <f>VLOOKUP(C707,[1]道具配置表!$A:$D,4,FALSE)</f>
        <v>1石头</v>
      </c>
      <c r="E707" s="16">
        <f>E703+500</f>
        <v>3500</v>
      </c>
      <c r="J707" s="16">
        <v>1</v>
      </c>
      <c r="L707" s="16" t="b">
        <v>1</v>
      </c>
    </row>
    <row r="708" spans="1:12" x14ac:dyDescent="0.25">
      <c r="C708" s="16">
        <f t="shared" si="16"/>
        <v>104</v>
      </c>
      <c r="D708" s="16" t="str">
        <f>VLOOKUP(C708,[1]道具配置表!$A:$D,4,FALSE)</f>
        <v>1黄金</v>
      </c>
      <c r="E708" s="16">
        <f>E704+500</f>
        <v>3500</v>
      </c>
      <c r="J708" s="16">
        <v>1</v>
      </c>
      <c r="L708" s="16" t="b">
        <v>1</v>
      </c>
    </row>
    <row r="709" spans="1:12" x14ac:dyDescent="0.25">
      <c r="A709" s="16">
        <v>1920007</v>
      </c>
      <c r="B709" s="16" t="s">
        <v>514</v>
      </c>
      <c r="C709" s="16">
        <f t="shared" si="16"/>
        <v>102</v>
      </c>
      <c r="D709" s="16" t="str">
        <f>VLOOKUP(C709,[1]道具配置表!$A:$D,4,FALSE)</f>
        <v>1食物</v>
      </c>
      <c r="E709" s="16">
        <f>E705+300</f>
        <v>2800</v>
      </c>
      <c r="J709" s="16">
        <v>1</v>
      </c>
      <c r="L709" s="16" t="b">
        <v>1</v>
      </c>
    </row>
    <row r="710" spans="1:12" x14ac:dyDescent="0.25">
      <c r="C710" s="16">
        <f t="shared" si="16"/>
        <v>101</v>
      </c>
      <c r="D710" s="16" t="str">
        <f>VLOOKUP(C710,[1]道具配置表!$A:$D,4,FALSE)</f>
        <v>1木材</v>
      </c>
      <c r="E710" s="16">
        <f>E706+500</f>
        <v>4000</v>
      </c>
      <c r="J710" s="16">
        <v>1</v>
      </c>
      <c r="L710" s="16" t="b">
        <v>1</v>
      </c>
    </row>
    <row r="711" spans="1:12" x14ac:dyDescent="0.25">
      <c r="C711" s="16">
        <f t="shared" si="16"/>
        <v>103</v>
      </c>
      <c r="D711" s="16" t="str">
        <f>VLOOKUP(C711,[1]道具配置表!$A:$D,4,FALSE)</f>
        <v>1石头</v>
      </c>
      <c r="E711" s="16">
        <f>E707+500</f>
        <v>4000</v>
      </c>
      <c r="J711" s="16">
        <v>1</v>
      </c>
      <c r="L711" s="16" t="b">
        <v>1</v>
      </c>
    </row>
    <row r="712" spans="1:12" x14ac:dyDescent="0.25">
      <c r="C712" s="16">
        <f t="shared" si="16"/>
        <v>104</v>
      </c>
      <c r="D712" s="16" t="str">
        <f>VLOOKUP(C712,[1]道具配置表!$A:$D,4,FALSE)</f>
        <v>1黄金</v>
      </c>
      <c r="E712" s="16">
        <f>E708+500</f>
        <v>4000</v>
      </c>
      <c r="J712" s="16">
        <v>1</v>
      </c>
      <c r="L712" s="16" t="b">
        <v>1</v>
      </c>
    </row>
    <row r="713" spans="1:12" x14ac:dyDescent="0.25">
      <c r="A713" s="16">
        <v>1920008</v>
      </c>
      <c r="B713" s="16" t="s">
        <v>515</v>
      </c>
      <c r="C713" s="16">
        <f t="shared" si="16"/>
        <v>102</v>
      </c>
      <c r="D713" s="16" t="str">
        <f>VLOOKUP(C713,[1]道具配置表!$A:$D,4,FALSE)</f>
        <v>1食物</v>
      </c>
      <c r="E713" s="16">
        <f>E709+300</f>
        <v>3100</v>
      </c>
      <c r="J713" s="16">
        <v>1</v>
      </c>
      <c r="L713" s="16" t="b">
        <v>1</v>
      </c>
    </row>
    <row r="714" spans="1:12" x14ac:dyDescent="0.25">
      <c r="C714" s="16">
        <f t="shared" si="16"/>
        <v>101</v>
      </c>
      <c r="D714" s="16" t="str">
        <f>VLOOKUP(C714,[1]道具配置表!$A:$D,4,FALSE)</f>
        <v>1木材</v>
      </c>
      <c r="E714" s="16">
        <f>E710+500</f>
        <v>4500</v>
      </c>
      <c r="J714" s="16">
        <v>1</v>
      </c>
      <c r="L714" s="16" t="b">
        <v>1</v>
      </c>
    </row>
    <row r="715" spans="1:12" x14ac:dyDescent="0.25">
      <c r="C715" s="16">
        <f t="shared" si="16"/>
        <v>103</v>
      </c>
      <c r="D715" s="16" t="str">
        <f>VLOOKUP(C715,[1]道具配置表!$A:$D,4,FALSE)</f>
        <v>1石头</v>
      </c>
      <c r="E715" s="16">
        <f>E711+500</f>
        <v>4500</v>
      </c>
      <c r="J715" s="16">
        <v>1</v>
      </c>
      <c r="L715" s="16" t="b">
        <v>1</v>
      </c>
    </row>
    <row r="716" spans="1:12" x14ac:dyDescent="0.25">
      <c r="C716" s="16">
        <f t="shared" si="16"/>
        <v>104</v>
      </c>
      <c r="D716" s="16" t="str">
        <f>VLOOKUP(C716,[1]道具配置表!$A:$D,4,FALSE)</f>
        <v>1黄金</v>
      </c>
      <c r="E716" s="16">
        <f>E712+500</f>
        <v>4500</v>
      </c>
      <c r="J716" s="16">
        <v>1</v>
      </c>
      <c r="L716" s="16" t="b">
        <v>1</v>
      </c>
    </row>
    <row r="717" spans="1:12" x14ac:dyDescent="0.25">
      <c r="A717" s="16">
        <v>1920009</v>
      </c>
      <c r="B717" s="16" t="s">
        <v>516</v>
      </c>
      <c r="C717" s="16">
        <f t="shared" si="16"/>
        <v>102</v>
      </c>
      <c r="D717" s="16" t="str">
        <f>VLOOKUP(C717,[1]道具配置表!$A:$D,4,FALSE)</f>
        <v>1食物</v>
      </c>
      <c r="E717" s="16">
        <f>E713+300</f>
        <v>3400</v>
      </c>
      <c r="J717" s="16">
        <v>1</v>
      </c>
      <c r="L717" s="16" t="b">
        <v>1</v>
      </c>
    </row>
    <row r="718" spans="1:12" x14ac:dyDescent="0.25">
      <c r="C718" s="16">
        <f t="shared" si="16"/>
        <v>101</v>
      </c>
      <c r="D718" s="16" t="str">
        <f>VLOOKUP(C718,[1]道具配置表!$A:$D,4,FALSE)</f>
        <v>1木材</v>
      </c>
      <c r="E718" s="16">
        <f>E714+500</f>
        <v>5000</v>
      </c>
      <c r="J718" s="16">
        <v>1</v>
      </c>
      <c r="L718" s="16" t="b">
        <v>1</v>
      </c>
    </row>
    <row r="719" spans="1:12" x14ac:dyDescent="0.25">
      <c r="C719" s="16">
        <f t="shared" si="16"/>
        <v>103</v>
      </c>
      <c r="D719" s="16" t="str">
        <f>VLOOKUP(C719,[1]道具配置表!$A:$D,4,FALSE)</f>
        <v>1石头</v>
      </c>
      <c r="E719" s="16">
        <f>E715+500</f>
        <v>5000</v>
      </c>
      <c r="J719" s="16">
        <v>1</v>
      </c>
      <c r="L719" s="16" t="b">
        <v>1</v>
      </c>
    </row>
    <row r="720" spans="1:12" x14ac:dyDescent="0.25">
      <c r="C720" s="16">
        <f t="shared" si="16"/>
        <v>104</v>
      </c>
      <c r="D720" s="16" t="str">
        <f>VLOOKUP(C720,[1]道具配置表!$A:$D,4,FALSE)</f>
        <v>1黄金</v>
      </c>
      <c r="E720" s="16">
        <f>E716+500</f>
        <v>5000</v>
      </c>
      <c r="J720" s="16">
        <v>1</v>
      </c>
      <c r="L720" s="16" t="b">
        <v>1</v>
      </c>
    </row>
    <row r="721" spans="1:12" x14ac:dyDescent="0.25">
      <c r="A721" s="16">
        <v>1920010</v>
      </c>
      <c r="B721" s="16" t="s">
        <v>517</v>
      </c>
      <c r="C721" s="16">
        <f t="shared" si="16"/>
        <v>102</v>
      </c>
      <c r="D721" s="16" t="str">
        <f>VLOOKUP(C721,[1]道具配置表!$A:$D,4,FALSE)</f>
        <v>1食物</v>
      </c>
      <c r="E721" s="16">
        <f>E717+300</f>
        <v>3700</v>
      </c>
      <c r="J721" s="16">
        <v>1</v>
      </c>
      <c r="L721" s="16" t="b">
        <v>1</v>
      </c>
    </row>
    <row r="722" spans="1:12" x14ac:dyDescent="0.25">
      <c r="C722" s="16">
        <f t="shared" si="16"/>
        <v>101</v>
      </c>
      <c r="D722" s="16" t="str">
        <f>VLOOKUP(C722,[1]道具配置表!$A:$D,4,FALSE)</f>
        <v>1木材</v>
      </c>
      <c r="E722" s="16">
        <f>E718+500</f>
        <v>5500</v>
      </c>
      <c r="J722" s="16">
        <v>1</v>
      </c>
      <c r="L722" s="16" t="b">
        <v>1</v>
      </c>
    </row>
    <row r="723" spans="1:12" x14ac:dyDescent="0.25">
      <c r="C723" s="16">
        <f t="shared" si="16"/>
        <v>103</v>
      </c>
      <c r="D723" s="16" t="str">
        <f>VLOOKUP(C723,[1]道具配置表!$A:$D,4,FALSE)</f>
        <v>1石头</v>
      </c>
      <c r="E723" s="16">
        <f>E719+500</f>
        <v>5500</v>
      </c>
      <c r="J723" s="16">
        <v>1</v>
      </c>
      <c r="L723" s="16" t="b">
        <v>1</v>
      </c>
    </row>
    <row r="724" spans="1:12" x14ac:dyDescent="0.25">
      <c r="C724" s="16">
        <f t="shared" si="16"/>
        <v>104</v>
      </c>
      <c r="D724" s="16" t="str">
        <f>VLOOKUP(C724,[1]道具配置表!$A:$D,4,FALSE)</f>
        <v>1黄金</v>
      </c>
      <c r="E724" s="16">
        <f>E720+500</f>
        <v>5500</v>
      </c>
      <c r="J724" s="16">
        <v>1</v>
      </c>
      <c r="L724" s="16" t="b">
        <v>1</v>
      </c>
    </row>
    <row r="725" spans="1:12" x14ac:dyDescent="0.25">
      <c r="A725" s="16">
        <v>1920011</v>
      </c>
      <c r="B725" s="16" t="s">
        <v>518</v>
      </c>
      <c r="C725" s="16">
        <f t="shared" si="16"/>
        <v>102</v>
      </c>
      <c r="D725" s="16" t="str">
        <f>VLOOKUP(C725,[1]道具配置表!$A:$D,4,FALSE)</f>
        <v>1食物</v>
      </c>
      <c r="E725" s="16">
        <f>E721+300</f>
        <v>4000</v>
      </c>
      <c r="J725" s="16">
        <v>1</v>
      </c>
      <c r="L725" s="16" t="b">
        <v>1</v>
      </c>
    </row>
    <row r="726" spans="1:12" x14ac:dyDescent="0.25">
      <c r="C726" s="16">
        <f t="shared" si="16"/>
        <v>101</v>
      </c>
      <c r="D726" s="16" t="str">
        <f>VLOOKUP(C726,[1]道具配置表!$A:$D,4,FALSE)</f>
        <v>1木材</v>
      </c>
      <c r="E726" s="16">
        <f>E722+500</f>
        <v>6000</v>
      </c>
      <c r="J726" s="16">
        <v>1</v>
      </c>
      <c r="L726" s="16" t="b">
        <v>1</v>
      </c>
    </row>
    <row r="727" spans="1:12" x14ac:dyDescent="0.25">
      <c r="C727" s="16">
        <f t="shared" si="16"/>
        <v>103</v>
      </c>
      <c r="D727" s="16" t="str">
        <f>VLOOKUP(C727,[1]道具配置表!$A:$D,4,FALSE)</f>
        <v>1石头</v>
      </c>
      <c r="E727" s="16">
        <f>E723+500</f>
        <v>6000</v>
      </c>
      <c r="J727" s="16">
        <v>1</v>
      </c>
      <c r="L727" s="16" t="b">
        <v>1</v>
      </c>
    </row>
    <row r="728" spans="1:12" x14ac:dyDescent="0.25">
      <c r="C728" s="16">
        <f t="shared" si="16"/>
        <v>104</v>
      </c>
      <c r="D728" s="16" t="str">
        <f>VLOOKUP(C728,[1]道具配置表!$A:$D,4,FALSE)</f>
        <v>1黄金</v>
      </c>
      <c r="E728" s="16">
        <f>E724+500</f>
        <v>6000</v>
      </c>
      <c r="J728" s="16">
        <v>1</v>
      </c>
      <c r="L728" s="16" t="b">
        <v>1</v>
      </c>
    </row>
    <row r="729" spans="1:12" x14ac:dyDescent="0.25">
      <c r="A729" s="16">
        <v>1920012</v>
      </c>
      <c r="B729" s="16" t="s">
        <v>519</v>
      </c>
      <c r="C729" s="16">
        <f t="shared" si="16"/>
        <v>102</v>
      </c>
      <c r="D729" s="16" t="str">
        <f>VLOOKUP(C729,[1]道具配置表!$A:$D,4,FALSE)</f>
        <v>1食物</v>
      </c>
      <c r="E729" s="16">
        <f>E725+300</f>
        <v>4300</v>
      </c>
      <c r="J729" s="16">
        <v>1</v>
      </c>
      <c r="L729" s="16" t="b">
        <v>1</v>
      </c>
    </row>
    <row r="730" spans="1:12" x14ac:dyDescent="0.25">
      <c r="C730" s="16">
        <f t="shared" si="16"/>
        <v>101</v>
      </c>
      <c r="D730" s="16" t="str">
        <f>VLOOKUP(C730,[1]道具配置表!$A:$D,4,FALSE)</f>
        <v>1木材</v>
      </c>
      <c r="E730" s="16">
        <f>E726+500</f>
        <v>6500</v>
      </c>
      <c r="J730" s="16">
        <v>1</v>
      </c>
      <c r="L730" s="16" t="b">
        <v>1</v>
      </c>
    </row>
    <row r="731" spans="1:12" x14ac:dyDescent="0.25">
      <c r="C731" s="16">
        <f t="shared" si="16"/>
        <v>103</v>
      </c>
      <c r="D731" s="16" t="str">
        <f>VLOOKUP(C731,[1]道具配置表!$A:$D,4,FALSE)</f>
        <v>1石头</v>
      </c>
      <c r="E731" s="16">
        <f>E727+500</f>
        <v>6500</v>
      </c>
      <c r="J731" s="16">
        <v>1</v>
      </c>
      <c r="L731" s="16" t="b">
        <v>1</v>
      </c>
    </row>
    <row r="732" spans="1:12" x14ac:dyDescent="0.25">
      <c r="C732" s="16">
        <f t="shared" si="16"/>
        <v>104</v>
      </c>
      <c r="D732" s="16" t="str">
        <f>VLOOKUP(C732,[1]道具配置表!$A:$D,4,FALSE)</f>
        <v>1黄金</v>
      </c>
      <c r="E732" s="16">
        <f>E728+500</f>
        <v>6500</v>
      </c>
      <c r="J732" s="16">
        <v>1</v>
      </c>
      <c r="L732" s="16" t="b">
        <v>1</v>
      </c>
    </row>
    <row r="733" spans="1:12" x14ac:dyDescent="0.25">
      <c r="A733" s="16">
        <v>1920013</v>
      </c>
      <c r="B733" s="16" t="s">
        <v>520</v>
      </c>
      <c r="C733" s="16">
        <f t="shared" si="16"/>
        <v>102</v>
      </c>
      <c r="D733" s="16" t="str">
        <f>VLOOKUP(C733,[1]道具配置表!$A:$D,4,FALSE)</f>
        <v>1食物</v>
      </c>
      <c r="E733" s="16">
        <f>E729+300</f>
        <v>4600</v>
      </c>
      <c r="J733" s="16">
        <v>1</v>
      </c>
      <c r="L733" s="16" t="b">
        <v>1</v>
      </c>
    </row>
    <row r="734" spans="1:12" x14ac:dyDescent="0.25">
      <c r="C734" s="16">
        <f t="shared" si="16"/>
        <v>101</v>
      </c>
      <c r="D734" s="16" t="str">
        <f>VLOOKUP(C734,[1]道具配置表!$A:$D,4,FALSE)</f>
        <v>1木材</v>
      </c>
      <c r="E734" s="16">
        <f>E730+500</f>
        <v>7000</v>
      </c>
      <c r="J734" s="16">
        <v>1</v>
      </c>
      <c r="L734" s="16" t="b">
        <v>1</v>
      </c>
    </row>
    <row r="735" spans="1:12" x14ac:dyDescent="0.25">
      <c r="C735" s="16">
        <f t="shared" si="16"/>
        <v>103</v>
      </c>
      <c r="D735" s="16" t="str">
        <f>VLOOKUP(C735,[1]道具配置表!$A:$D,4,FALSE)</f>
        <v>1石头</v>
      </c>
      <c r="E735" s="16">
        <f>E731+500</f>
        <v>7000</v>
      </c>
      <c r="J735" s="16">
        <v>1</v>
      </c>
      <c r="L735" s="16" t="b">
        <v>1</v>
      </c>
    </row>
    <row r="736" spans="1:12" x14ac:dyDescent="0.25">
      <c r="C736" s="16">
        <f t="shared" si="16"/>
        <v>104</v>
      </c>
      <c r="D736" s="16" t="str">
        <f>VLOOKUP(C736,[1]道具配置表!$A:$D,4,FALSE)</f>
        <v>1黄金</v>
      </c>
      <c r="E736" s="16">
        <f>E732+500</f>
        <v>7000</v>
      </c>
      <c r="J736" s="16">
        <v>1</v>
      </c>
      <c r="L736" s="16" t="b">
        <v>1</v>
      </c>
    </row>
    <row r="737" spans="1:12" x14ac:dyDescent="0.25">
      <c r="A737" s="16">
        <v>1920014</v>
      </c>
      <c r="B737" s="16" t="s">
        <v>521</v>
      </c>
      <c r="C737" s="16">
        <f t="shared" si="16"/>
        <v>102</v>
      </c>
      <c r="D737" s="16" t="str">
        <f>VLOOKUP(C737,[1]道具配置表!$A:$D,4,FALSE)</f>
        <v>1食物</v>
      </c>
      <c r="E737" s="16">
        <f>E733+300</f>
        <v>4900</v>
      </c>
      <c r="J737" s="16">
        <v>1</v>
      </c>
      <c r="L737" s="16" t="b">
        <v>1</v>
      </c>
    </row>
    <row r="738" spans="1:12" x14ac:dyDescent="0.25">
      <c r="C738" s="16">
        <f t="shared" si="16"/>
        <v>101</v>
      </c>
      <c r="D738" s="16" t="str">
        <f>VLOOKUP(C738,[1]道具配置表!$A:$D,4,FALSE)</f>
        <v>1木材</v>
      </c>
      <c r="E738" s="16">
        <f>E734+500</f>
        <v>7500</v>
      </c>
      <c r="J738" s="16">
        <v>1</v>
      </c>
      <c r="L738" s="16" t="b">
        <v>1</v>
      </c>
    </row>
    <row r="739" spans="1:12" x14ac:dyDescent="0.25">
      <c r="C739" s="16">
        <f t="shared" si="16"/>
        <v>103</v>
      </c>
      <c r="D739" s="16" t="str">
        <f>VLOOKUP(C739,[1]道具配置表!$A:$D,4,FALSE)</f>
        <v>1石头</v>
      </c>
      <c r="E739" s="16">
        <f>E735+500</f>
        <v>7500</v>
      </c>
      <c r="J739" s="16">
        <v>1</v>
      </c>
      <c r="L739" s="16" t="b">
        <v>1</v>
      </c>
    </row>
    <row r="740" spans="1:12" x14ac:dyDescent="0.25">
      <c r="C740" s="16">
        <f t="shared" si="16"/>
        <v>104</v>
      </c>
      <c r="D740" s="16" t="str">
        <f>VLOOKUP(C740,[1]道具配置表!$A:$D,4,FALSE)</f>
        <v>1黄金</v>
      </c>
      <c r="E740" s="16">
        <f>E736+500</f>
        <v>7500</v>
      </c>
      <c r="J740" s="16">
        <v>1</v>
      </c>
      <c r="L740" s="16" t="b">
        <v>1</v>
      </c>
    </row>
    <row r="741" spans="1:12" x14ac:dyDescent="0.25">
      <c r="A741" s="16">
        <v>1920015</v>
      </c>
      <c r="B741" s="16" t="s">
        <v>522</v>
      </c>
      <c r="C741" s="16">
        <f t="shared" si="16"/>
        <v>102</v>
      </c>
      <c r="D741" s="16" t="str">
        <f>VLOOKUP(C741,[1]道具配置表!$A:$D,4,FALSE)</f>
        <v>1食物</v>
      </c>
      <c r="E741" s="16">
        <f>E737+300</f>
        <v>5200</v>
      </c>
      <c r="J741" s="16">
        <v>1</v>
      </c>
      <c r="L741" s="16" t="b">
        <v>1</v>
      </c>
    </row>
    <row r="742" spans="1:12" x14ac:dyDescent="0.25">
      <c r="C742" s="16">
        <f t="shared" si="16"/>
        <v>101</v>
      </c>
      <c r="D742" s="16" t="str">
        <f>VLOOKUP(C742,[1]道具配置表!$A:$D,4,FALSE)</f>
        <v>1木材</v>
      </c>
      <c r="E742" s="16">
        <f>E738+500</f>
        <v>8000</v>
      </c>
      <c r="J742" s="16">
        <v>1</v>
      </c>
      <c r="L742" s="16" t="b">
        <v>1</v>
      </c>
    </row>
    <row r="743" spans="1:12" x14ac:dyDescent="0.25">
      <c r="C743" s="16">
        <f t="shared" si="16"/>
        <v>103</v>
      </c>
      <c r="D743" s="16" t="str">
        <f>VLOOKUP(C743,[1]道具配置表!$A:$D,4,FALSE)</f>
        <v>1石头</v>
      </c>
      <c r="E743" s="16">
        <f>E739+500</f>
        <v>8000</v>
      </c>
      <c r="J743" s="16">
        <v>1</v>
      </c>
      <c r="L743" s="16" t="b">
        <v>1</v>
      </c>
    </row>
    <row r="744" spans="1:12" x14ac:dyDescent="0.25">
      <c r="C744" s="16">
        <f t="shared" si="16"/>
        <v>104</v>
      </c>
      <c r="D744" s="16" t="str">
        <f>VLOOKUP(C744,[1]道具配置表!$A:$D,4,FALSE)</f>
        <v>1黄金</v>
      </c>
      <c r="E744" s="16">
        <f>E740+500</f>
        <v>8000</v>
      </c>
      <c r="J744" s="16">
        <v>1</v>
      </c>
      <c r="L744" s="16" t="b">
        <v>1</v>
      </c>
    </row>
    <row r="745" spans="1:12" x14ac:dyDescent="0.25">
      <c r="A745" s="16">
        <v>1920016</v>
      </c>
      <c r="B745" s="16" t="s">
        <v>523</v>
      </c>
      <c r="C745" s="16">
        <f t="shared" si="16"/>
        <v>102</v>
      </c>
      <c r="D745" s="16" t="str">
        <f>VLOOKUP(C745,[1]道具配置表!$A:$D,4,FALSE)</f>
        <v>1食物</v>
      </c>
      <c r="E745" s="16">
        <f>E741+300</f>
        <v>5500</v>
      </c>
      <c r="J745" s="16">
        <v>1</v>
      </c>
      <c r="L745" s="16" t="b">
        <v>1</v>
      </c>
    </row>
    <row r="746" spans="1:12" x14ac:dyDescent="0.25">
      <c r="C746" s="16">
        <f t="shared" si="16"/>
        <v>101</v>
      </c>
      <c r="D746" s="16" t="str">
        <f>VLOOKUP(C746,[1]道具配置表!$A:$D,4,FALSE)</f>
        <v>1木材</v>
      </c>
      <c r="E746" s="16">
        <f>E742+500</f>
        <v>8500</v>
      </c>
      <c r="J746" s="16">
        <v>1</v>
      </c>
      <c r="L746" s="16" t="b">
        <v>1</v>
      </c>
    </row>
    <row r="747" spans="1:12" x14ac:dyDescent="0.25">
      <c r="C747" s="16">
        <f t="shared" si="16"/>
        <v>103</v>
      </c>
      <c r="D747" s="16" t="str">
        <f>VLOOKUP(C747,[1]道具配置表!$A:$D,4,FALSE)</f>
        <v>1石头</v>
      </c>
      <c r="E747" s="16">
        <f>E743+500</f>
        <v>8500</v>
      </c>
      <c r="J747" s="16">
        <v>1</v>
      </c>
      <c r="L747" s="16" t="b">
        <v>1</v>
      </c>
    </row>
    <row r="748" spans="1:12" x14ac:dyDescent="0.25">
      <c r="C748" s="16">
        <f t="shared" si="16"/>
        <v>104</v>
      </c>
      <c r="D748" s="16" t="str">
        <f>VLOOKUP(C748,[1]道具配置表!$A:$D,4,FALSE)</f>
        <v>1黄金</v>
      </c>
      <c r="E748" s="16">
        <f>E744+500</f>
        <v>8500</v>
      </c>
      <c r="J748" s="16">
        <v>1</v>
      </c>
      <c r="L748" s="16" t="b">
        <v>1</v>
      </c>
    </row>
    <row r="749" spans="1:12" x14ac:dyDescent="0.25">
      <c r="A749" s="16">
        <v>1920017</v>
      </c>
      <c r="B749" s="16" t="s">
        <v>524</v>
      </c>
      <c r="C749" s="16">
        <f t="shared" si="16"/>
        <v>102</v>
      </c>
      <c r="D749" s="16" t="str">
        <f>VLOOKUP(C749,[1]道具配置表!$A:$D,4,FALSE)</f>
        <v>1食物</v>
      </c>
      <c r="E749" s="16">
        <f>E745+300</f>
        <v>5800</v>
      </c>
      <c r="J749" s="16">
        <v>1</v>
      </c>
      <c r="L749" s="16" t="b">
        <v>1</v>
      </c>
    </row>
    <row r="750" spans="1:12" x14ac:dyDescent="0.25">
      <c r="C750" s="16">
        <f t="shared" si="16"/>
        <v>101</v>
      </c>
      <c r="D750" s="16" t="str">
        <f>VLOOKUP(C750,[1]道具配置表!$A:$D,4,FALSE)</f>
        <v>1木材</v>
      </c>
      <c r="E750" s="16">
        <f>E746+500</f>
        <v>9000</v>
      </c>
      <c r="J750" s="16">
        <v>1</v>
      </c>
      <c r="L750" s="16" t="b">
        <v>1</v>
      </c>
    </row>
    <row r="751" spans="1:12" x14ac:dyDescent="0.25">
      <c r="C751" s="16">
        <f t="shared" si="16"/>
        <v>103</v>
      </c>
      <c r="D751" s="16" t="str">
        <f>VLOOKUP(C751,[1]道具配置表!$A:$D,4,FALSE)</f>
        <v>1石头</v>
      </c>
      <c r="E751" s="16">
        <f>E747+500</f>
        <v>9000</v>
      </c>
      <c r="J751" s="16">
        <v>1</v>
      </c>
      <c r="L751" s="16" t="b">
        <v>1</v>
      </c>
    </row>
    <row r="752" spans="1:12" x14ac:dyDescent="0.25">
      <c r="C752" s="16">
        <f t="shared" si="16"/>
        <v>104</v>
      </c>
      <c r="D752" s="16" t="str">
        <f>VLOOKUP(C752,[1]道具配置表!$A:$D,4,FALSE)</f>
        <v>1黄金</v>
      </c>
      <c r="E752" s="16">
        <f>E748+500</f>
        <v>9000</v>
      </c>
      <c r="J752" s="16">
        <v>1</v>
      </c>
      <c r="L752" s="16" t="b">
        <v>1</v>
      </c>
    </row>
    <row r="753" spans="1:12" x14ac:dyDescent="0.25">
      <c r="A753" s="16">
        <v>1920018</v>
      </c>
      <c r="B753" s="16" t="s">
        <v>525</v>
      </c>
      <c r="C753" s="16">
        <f t="shared" ref="C753:C816" si="17">C749</f>
        <v>102</v>
      </c>
      <c r="D753" s="16" t="str">
        <f>VLOOKUP(C753,[1]道具配置表!$A:$D,4,FALSE)</f>
        <v>1食物</v>
      </c>
      <c r="E753" s="16">
        <f>E749+300</f>
        <v>6100</v>
      </c>
      <c r="J753" s="16">
        <v>1</v>
      </c>
      <c r="L753" s="16" t="b">
        <v>1</v>
      </c>
    </row>
    <row r="754" spans="1:12" x14ac:dyDescent="0.25">
      <c r="C754" s="16">
        <f t="shared" si="17"/>
        <v>101</v>
      </c>
      <c r="D754" s="16" t="str">
        <f>VLOOKUP(C754,[1]道具配置表!$A:$D,4,FALSE)</f>
        <v>1木材</v>
      </c>
      <c r="E754" s="16">
        <f>E750+500</f>
        <v>9500</v>
      </c>
      <c r="J754" s="16">
        <v>1</v>
      </c>
      <c r="L754" s="16" t="b">
        <v>1</v>
      </c>
    </row>
    <row r="755" spans="1:12" x14ac:dyDescent="0.25">
      <c r="C755" s="16">
        <f t="shared" si="17"/>
        <v>103</v>
      </c>
      <c r="D755" s="16" t="str">
        <f>VLOOKUP(C755,[1]道具配置表!$A:$D,4,FALSE)</f>
        <v>1石头</v>
      </c>
      <c r="E755" s="16">
        <f>E751+500</f>
        <v>9500</v>
      </c>
      <c r="J755" s="16">
        <v>1</v>
      </c>
      <c r="L755" s="16" t="b">
        <v>1</v>
      </c>
    </row>
    <row r="756" spans="1:12" x14ac:dyDescent="0.25">
      <c r="C756" s="16">
        <f t="shared" si="17"/>
        <v>104</v>
      </c>
      <c r="D756" s="16" t="str">
        <f>VLOOKUP(C756,[1]道具配置表!$A:$D,4,FALSE)</f>
        <v>1黄金</v>
      </c>
      <c r="E756" s="16">
        <f>E752+500</f>
        <v>9500</v>
      </c>
      <c r="J756" s="16">
        <v>1</v>
      </c>
      <c r="L756" s="16" t="b">
        <v>1</v>
      </c>
    </row>
    <row r="757" spans="1:12" x14ac:dyDescent="0.25">
      <c r="A757" s="16">
        <v>1920019</v>
      </c>
      <c r="B757" s="16" t="s">
        <v>526</v>
      </c>
      <c r="C757" s="16">
        <f t="shared" si="17"/>
        <v>102</v>
      </c>
      <c r="D757" s="16" t="str">
        <f>VLOOKUP(C757,[1]道具配置表!$A:$D,4,FALSE)</f>
        <v>1食物</v>
      </c>
      <c r="E757" s="16">
        <f>E753+300</f>
        <v>6400</v>
      </c>
      <c r="J757" s="16">
        <v>1</v>
      </c>
      <c r="L757" s="16" t="b">
        <v>1</v>
      </c>
    </row>
    <row r="758" spans="1:12" x14ac:dyDescent="0.25">
      <c r="C758" s="16">
        <f t="shared" si="17"/>
        <v>101</v>
      </c>
      <c r="D758" s="16" t="str">
        <f>VLOOKUP(C758,[1]道具配置表!$A:$D,4,FALSE)</f>
        <v>1木材</v>
      </c>
      <c r="E758" s="16">
        <f>E754+500</f>
        <v>10000</v>
      </c>
      <c r="J758" s="16">
        <v>1</v>
      </c>
      <c r="L758" s="16" t="b">
        <v>1</v>
      </c>
    </row>
    <row r="759" spans="1:12" x14ac:dyDescent="0.25">
      <c r="C759" s="16">
        <f t="shared" si="17"/>
        <v>103</v>
      </c>
      <c r="D759" s="16" t="str">
        <f>VLOOKUP(C759,[1]道具配置表!$A:$D,4,FALSE)</f>
        <v>1石头</v>
      </c>
      <c r="E759" s="16">
        <f>E755+500</f>
        <v>10000</v>
      </c>
      <c r="J759" s="16">
        <v>1</v>
      </c>
      <c r="L759" s="16" t="b">
        <v>1</v>
      </c>
    </row>
    <row r="760" spans="1:12" x14ac:dyDescent="0.25">
      <c r="C760" s="16">
        <f t="shared" si="17"/>
        <v>104</v>
      </c>
      <c r="D760" s="16" t="str">
        <f>VLOOKUP(C760,[1]道具配置表!$A:$D,4,FALSE)</f>
        <v>1黄金</v>
      </c>
      <c r="E760" s="16">
        <f>E756+500</f>
        <v>10000</v>
      </c>
      <c r="J760" s="16">
        <v>1</v>
      </c>
      <c r="L760" s="16" t="b">
        <v>1</v>
      </c>
    </row>
    <row r="761" spans="1:12" x14ac:dyDescent="0.25">
      <c r="A761" s="16">
        <v>1920020</v>
      </c>
      <c r="B761" s="16" t="s">
        <v>527</v>
      </c>
      <c r="C761" s="16">
        <f t="shared" si="17"/>
        <v>102</v>
      </c>
      <c r="D761" s="16" t="str">
        <f>VLOOKUP(C761,[1]道具配置表!$A:$D,4,FALSE)</f>
        <v>1食物</v>
      </c>
      <c r="E761" s="16">
        <f>E757+300</f>
        <v>6700</v>
      </c>
      <c r="J761" s="16">
        <v>1</v>
      </c>
      <c r="L761" s="16" t="b">
        <v>1</v>
      </c>
    </row>
    <row r="762" spans="1:12" x14ac:dyDescent="0.25">
      <c r="C762" s="16">
        <f t="shared" si="17"/>
        <v>101</v>
      </c>
      <c r="D762" s="16" t="str">
        <f>VLOOKUP(C762,[1]道具配置表!$A:$D,4,FALSE)</f>
        <v>1木材</v>
      </c>
      <c r="E762" s="16">
        <f>E758+500</f>
        <v>10500</v>
      </c>
      <c r="J762" s="16">
        <v>1</v>
      </c>
      <c r="L762" s="16" t="b">
        <v>1</v>
      </c>
    </row>
    <row r="763" spans="1:12" x14ac:dyDescent="0.25">
      <c r="C763" s="16">
        <f t="shared" si="17"/>
        <v>103</v>
      </c>
      <c r="D763" s="16" t="str">
        <f>VLOOKUP(C763,[1]道具配置表!$A:$D,4,FALSE)</f>
        <v>1石头</v>
      </c>
      <c r="E763" s="16">
        <f>E759+500</f>
        <v>10500</v>
      </c>
      <c r="J763" s="16">
        <v>1</v>
      </c>
      <c r="L763" s="16" t="b">
        <v>1</v>
      </c>
    </row>
    <row r="764" spans="1:12" x14ac:dyDescent="0.25">
      <c r="C764" s="16">
        <f t="shared" si="17"/>
        <v>104</v>
      </c>
      <c r="D764" s="16" t="str">
        <f>VLOOKUP(C764,[1]道具配置表!$A:$D,4,FALSE)</f>
        <v>1黄金</v>
      </c>
      <c r="E764" s="16">
        <f>E760+500</f>
        <v>10500</v>
      </c>
      <c r="J764" s="16">
        <v>1</v>
      </c>
      <c r="L764" s="16" t="b">
        <v>1</v>
      </c>
    </row>
    <row r="765" spans="1:12" x14ac:dyDescent="0.25">
      <c r="A765" s="16">
        <v>1920021</v>
      </c>
      <c r="B765" s="16" t="s">
        <v>528</v>
      </c>
      <c r="C765" s="16">
        <f t="shared" si="17"/>
        <v>102</v>
      </c>
      <c r="D765" s="16" t="str">
        <f>VLOOKUP(C765,[1]道具配置表!$A:$D,4,FALSE)</f>
        <v>1食物</v>
      </c>
      <c r="E765" s="16">
        <f>E761+300</f>
        <v>7000</v>
      </c>
      <c r="J765" s="16">
        <v>1</v>
      </c>
      <c r="L765" s="16" t="b">
        <v>1</v>
      </c>
    </row>
    <row r="766" spans="1:12" x14ac:dyDescent="0.25">
      <c r="C766" s="16">
        <f t="shared" si="17"/>
        <v>101</v>
      </c>
      <c r="D766" s="16" t="str">
        <f>VLOOKUP(C766,[1]道具配置表!$A:$D,4,FALSE)</f>
        <v>1木材</v>
      </c>
      <c r="E766" s="16">
        <f>E762+500</f>
        <v>11000</v>
      </c>
      <c r="J766" s="16">
        <v>1</v>
      </c>
      <c r="L766" s="16" t="b">
        <v>1</v>
      </c>
    </row>
    <row r="767" spans="1:12" x14ac:dyDescent="0.25">
      <c r="C767" s="16">
        <f t="shared" si="17"/>
        <v>103</v>
      </c>
      <c r="D767" s="16" t="str">
        <f>VLOOKUP(C767,[1]道具配置表!$A:$D,4,FALSE)</f>
        <v>1石头</v>
      </c>
      <c r="E767" s="16">
        <f>E763+500</f>
        <v>11000</v>
      </c>
      <c r="J767" s="16">
        <v>1</v>
      </c>
      <c r="L767" s="16" t="b">
        <v>1</v>
      </c>
    </row>
    <row r="768" spans="1:12" x14ac:dyDescent="0.25">
      <c r="C768" s="16">
        <f t="shared" si="17"/>
        <v>104</v>
      </c>
      <c r="D768" s="16" t="str">
        <f>VLOOKUP(C768,[1]道具配置表!$A:$D,4,FALSE)</f>
        <v>1黄金</v>
      </c>
      <c r="E768" s="16">
        <f>E764+500</f>
        <v>11000</v>
      </c>
      <c r="J768" s="16">
        <v>1</v>
      </c>
      <c r="L768" s="16" t="b">
        <v>1</v>
      </c>
    </row>
    <row r="769" spans="1:12" x14ac:dyDescent="0.25">
      <c r="A769" s="16">
        <v>1920022</v>
      </c>
      <c r="B769" s="16" t="s">
        <v>529</v>
      </c>
      <c r="C769" s="16">
        <f t="shared" si="17"/>
        <v>102</v>
      </c>
      <c r="D769" s="16" t="str">
        <f>VLOOKUP(C769,[1]道具配置表!$A:$D,4,FALSE)</f>
        <v>1食物</v>
      </c>
      <c r="E769" s="16">
        <f>E765+300</f>
        <v>7300</v>
      </c>
      <c r="J769" s="16">
        <v>1</v>
      </c>
      <c r="L769" s="16" t="b">
        <v>1</v>
      </c>
    </row>
    <row r="770" spans="1:12" x14ac:dyDescent="0.25">
      <c r="C770" s="16">
        <f t="shared" si="17"/>
        <v>101</v>
      </c>
      <c r="D770" s="16" t="str">
        <f>VLOOKUP(C770,[1]道具配置表!$A:$D,4,FALSE)</f>
        <v>1木材</v>
      </c>
      <c r="E770" s="16">
        <f>E766+500</f>
        <v>11500</v>
      </c>
      <c r="J770" s="16">
        <v>1</v>
      </c>
      <c r="L770" s="16" t="b">
        <v>1</v>
      </c>
    </row>
    <row r="771" spans="1:12" x14ac:dyDescent="0.25">
      <c r="C771" s="16">
        <f t="shared" si="17"/>
        <v>103</v>
      </c>
      <c r="D771" s="16" t="str">
        <f>VLOOKUP(C771,[1]道具配置表!$A:$D,4,FALSE)</f>
        <v>1石头</v>
      </c>
      <c r="E771" s="16">
        <f>E767+500</f>
        <v>11500</v>
      </c>
      <c r="J771" s="16">
        <v>1</v>
      </c>
      <c r="L771" s="16" t="b">
        <v>1</v>
      </c>
    </row>
    <row r="772" spans="1:12" x14ac:dyDescent="0.25">
      <c r="C772" s="16">
        <f t="shared" si="17"/>
        <v>104</v>
      </c>
      <c r="D772" s="16" t="str">
        <f>VLOOKUP(C772,[1]道具配置表!$A:$D,4,FALSE)</f>
        <v>1黄金</v>
      </c>
      <c r="E772" s="16">
        <f>E768+500</f>
        <v>11500</v>
      </c>
      <c r="J772" s="16">
        <v>1</v>
      </c>
      <c r="L772" s="16" t="b">
        <v>1</v>
      </c>
    </row>
    <row r="773" spans="1:12" x14ac:dyDescent="0.25">
      <c r="A773" s="16">
        <v>1920023</v>
      </c>
      <c r="B773" s="16" t="s">
        <v>530</v>
      </c>
      <c r="C773" s="16">
        <f t="shared" si="17"/>
        <v>102</v>
      </c>
      <c r="D773" s="16" t="str">
        <f>VLOOKUP(C773,[1]道具配置表!$A:$D,4,FALSE)</f>
        <v>1食物</v>
      </c>
      <c r="E773" s="16">
        <f>E769+300</f>
        <v>7600</v>
      </c>
      <c r="J773" s="16">
        <v>1</v>
      </c>
      <c r="L773" s="16" t="b">
        <v>1</v>
      </c>
    </row>
    <row r="774" spans="1:12" x14ac:dyDescent="0.25">
      <c r="C774" s="16">
        <f t="shared" si="17"/>
        <v>101</v>
      </c>
      <c r="D774" s="16" t="str">
        <f>VLOOKUP(C774,[1]道具配置表!$A:$D,4,FALSE)</f>
        <v>1木材</v>
      </c>
      <c r="E774" s="16">
        <f>E770+500</f>
        <v>12000</v>
      </c>
      <c r="J774" s="16">
        <v>1</v>
      </c>
      <c r="L774" s="16" t="b">
        <v>1</v>
      </c>
    </row>
    <row r="775" spans="1:12" x14ac:dyDescent="0.25">
      <c r="C775" s="16">
        <f t="shared" si="17"/>
        <v>103</v>
      </c>
      <c r="D775" s="16" t="str">
        <f>VLOOKUP(C775,[1]道具配置表!$A:$D,4,FALSE)</f>
        <v>1石头</v>
      </c>
      <c r="E775" s="16">
        <f>E771+500</f>
        <v>12000</v>
      </c>
      <c r="J775" s="16">
        <v>1</v>
      </c>
      <c r="L775" s="16" t="b">
        <v>1</v>
      </c>
    </row>
    <row r="776" spans="1:12" x14ac:dyDescent="0.25">
      <c r="C776" s="16">
        <f t="shared" si="17"/>
        <v>104</v>
      </c>
      <c r="D776" s="16" t="str">
        <f>VLOOKUP(C776,[1]道具配置表!$A:$D,4,FALSE)</f>
        <v>1黄金</v>
      </c>
      <c r="E776" s="16">
        <f>E772+500</f>
        <v>12000</v>
      </c>
      <c r="J776" s="16">
        <v>1</v>
      </c>
      <c r="L776" s="16" t="b">
        <v>1</v>
      </c>
    </row>
    <row r="777" spans="1:12" x14ac:dyDescent="0.25">
      <c r="A777" s="16">
        <v>1920024</v>
      </c>
      <c r="B777" s="16" t="s">
        <v>531</v>
      </c>
      <c r="C777" s="16">
        <f t="shared" si="17"/>
        <v>102</v>
      </c>
      <c r="D777" s="16" t="str">
        <f>VLOOKUP(C777,[1]道具配置表!$A:$D,4,FALSE)</f>
        <v>1食物</v>
      </c>
      <c r="E777" s="16">
        <f>E773+300</f>
        <v>7900</v>
      </c>
      <c r="J777" s="16">
        <v>1</v>
      </c>
      <c r="L777" s="16" t="b">
        <v>1</v>
      </c>
    </row>
    <row r="778" spans="1:12" x14ac:dyDescent="0.25">
      <c r="C778" s="16">
        <f t="shared" si="17"/>
        <v>101</v>
      </c>
      <c r="D778" s="16" t="str">
        <f>VLOOKUP(C778,[1]道具配置表!$A:$D,4,FALSE)</f>
        <v>1木材</v>
      </c>
      <c r="E778" s="16">
        <f>E774+500</f>
        <v>12500</v>
      </c>
      <c r="J778" s="16">
        <v>1</v>
      </c>
      <c r="L778" s="16" t="b">
        <v>1</v>
      </c>
    </row>
    <row r="779" spans="1:12" x14ac:dyDescent="0.25">
      <c r="C779" s="16">
        <f t="shared" si="17"/>
        <v>103</v>
      </c>
      <c r="D779" s="16" t="str">
        <f>VLOOKUP(C779,[1]道具配置表!$A:$D,4,FALSE)</f>
        <v>1石头</v>
      </c>
      <c r="E779" s="16">
        <f>E775+500</f>
        <v>12500</v>
      </c>
      <c r="J779" s="16">
        <v>1</v>
      </c>
      <c r="L779" s="16" t="b">
        <v>1</v>
      </c>
    </row>
    <row r="780" spans="1:12" x14ac:dyDescent="0.25">
      <c r="C780" s="16">
        <f t="shared" si="17"/>
        <v>104</v>
      </c>
      <c r="D780" s="16" t="str">
        <f>VLOOKUP(C780,[1]道具配置表!$A:$D,4,FALSE)</f>
        <v>1黄金</v>
      </c>
      <c r="E780" s="16">
        <f>E776+500</f>
        <v>12500</v>
      </c>
      <c r="J780" s="16">
        <v>1</v>
      </c>
      <c r="L780" s="16" t="b">
        <v>1</v>
      </c>
    </row>
    <row r="781" spans="1:12" x14ac:dyDescent="0.25">
      <c r="A781" s="16">
        <v>1920025</v>
      </c>
      <c r="B781" s="16" t="s">
        <v>532</v>
      </c>
      <c r="C781" s="16">
        <f t="shared" si="17"/>
        <v>102</v>
      </c>
      <c r="D781" s="16" t="str">
        <f>VLOOKUP(C781,[1]道具配置表!$A:$D,4,FALSE)</f>
        <v>1食物</v>
      </c>
      <c r="E781" s="16">
        <f>E777+300</f>
        <v>8200</v>
      </c>
      <c r="J781" s="16">
        <v>1</v>
      </c>
      <c r="L781" s="16" t="b">
        <v>1</v>
      </c>
    </row>
    <row r="782" spans="1:12" x14ac:dyDescent="0.25">
      <c r="C782" s="16">
        <f t="shared" si="17"/>
        <v>101</v>
      </c>
      <c r="D782" s="16" t="str">
        <f>VLOOKUP(C782,[1]道具配置表!$A:$D,4,FALSE)</f>
        <v>1木材</v>
      </c>
      <c r="E782" s="16">
        <f>E778+500</f>
        <v>13000</v>
      </c>
      <c r="J782" s="16">
        <v>1</v>
      </c>
      <c r="L782" s="16" t="b">
        <v>1</v>
      </c>
    </row>
    <row r="783" spans="1:12" x14ac:dyDescent="0.25">
      <c r="C783" s="16">
        <f t="shared" si="17"/>
        <v>103</v>
      </c>
      <c r="D783" s="16" t="str">
        <f>VLOOKUP(C783,[1]道具配置表!$A:$D,4,FALSE)</f>
        <v>1石头</v>
      </c>
      <c r="E783" s="16">
        <f>E779+500</f>
        <v>13000</v>
      </c>
      <c r="J783" s="16">
        <v>1</v>
      </c>
      <c r="L783" s="16" t="b">
        <v>1</v>
      </c>
    </row>
    <row r="784" spans="1:12" x14ac:dyDescent="0.25">
      <c r="C784" s="16">
        <f t="shared" si="17"/>
        <v>104</v>
      </c>
      <c r="D784" s="16" t="str">
        <f>VLOOKUP(C784,[1]道具配置表!$A:$D,4,FALSE)</f>
        <v>1黄金</v>
      </c>
      <c r="E784" s="16">
        <f>E780+500</f>
        <v>13000</v>
      </c>
      <c r="J784" s="16">
        <v>1</v>
      </c>
      <c r="L784" s="16" t="b">
        <v>1</v>
      </c>
    </row>
    <row r="785" spans="1:12" x14ac:dyDescent="0.25">
      <c r="A785" s="16">
        <v>1920101</v>
      </c>
      <c r="B785" s="16" t="s">
        <v>533</v>
      </c>
      <c r="C785" s="16">
        <f t="shared" si="17"/>
        <v>102</v>
      </c>
      <c r="D785" s="16" t="str">
        <f>VLOOKUP(C785,[1]道具配置表!$A:$D,4,FALSE)</f>
        <v>1食物</v>
      </c>
      <c r="E785" s="16">
        <v>1000</v>
      </c>
      <c r="J785" s="16">
        <v>1</v>
      </c>
      <c r="L785" s="16" t="b">
        <v>1</v>
      </c>
    </row>
    <row r="786" spans="1:12" x14ac:dyDescent="0.25">
      <c r="C786" s="16">
        <f t="shared" si="17"/>
        <v>101</v>
      </c>
      <c r="D786" s="16" t="str">
        <f>VLOOKUP(C786,[1]道具配置表!$A:$D,4,FALSE)</f>
        <v>1木材</v>
      </c>
      <c r="E786" s="16">
        <v>2500</v>
      </c>
      <c r="J786" s="16">
        <v>1</v>
      </c>
      <c r="L786" s="16" t="b">
        <v>1</v>
      </c>
    </row>
    <row r="787" spans="1:12" x14ac:dyDescent="0.25">
      <c r="C787" s="16">
        <f t="shared" si="17"/>
        <v>103</v>
      </c>
      <c r="D787" s="16" t="str">
        <f>VLOOKUP(C787,[1]道具配置表!$A:$D,4,FALSE)</f>
        <v>1石头</v>
      </c>
      <c r="E787" s="16">
        <v>2500</v>
      </c>
      <c r="J787" s="16">
        <v>1</v>
      </c>
      <c r="L787" s="16" t="b">
        <v>1</v>
      </c>
    </row>
    <row r="788" spans="1:12" x14ac:dyDescent="0.25">
      <c r="C788" s="16">
        <f t="shared" si="17"/>
        <v>104</v>
      </c>
      <c r="D788" s="16" t="str">
        <f>VLOOKUP(C788,[1]道具配置表!$A:$D,4,FALSE)</f>
        <v>1黄金</v>
      </c>
      <c r="E788" s="16">
        <v>2500</v>
      </c>
      <c r="J788" s="16">
        <v>1</v>
      </c>
      <c r="L788" s="16" t="b">
        <v>1</v>
      </c>
    </row>
    <row r="789" spans="1:12" x14ac:dyDescent="0.25">
      <c r="A789" s="16">
        <v>1920102</v>
      </c>
      <c r="B789" s="16" t="s">
        <v>534</v>
      </c>
      <c r="C789" s="16">
        <f t="shared" si="17"/>
        <v>102</v>
      </c>
      <c r="D789" s="16" t="str">
        <f>VLOOKUP(C789,[1]道具配置表!$A:$D,4,FALSE)</f>
        <v>1食物</v>
      </c>
      <c r="E789" s="16">
        <f>E785+300</f>
        <v>1300</v>
      </c>
      <c r="J789" s="16">
        <v>1</v>
      </c>
      <c r="L789" s="16" t="b">
        <v>1</v>
      </c>
    </row>
    <row r="790" spans="1:12" x14ac:dyDescent="0.25">
      <c r="C790" s="16">
        <f t="shared" si="17"/>
        <v>101</v>
      </c>
      <c r="D790" s="16" t="str">
        <f>VLOOKUP(C790,[1]道具配置表!$A:$D,4,FALSE)</f>
        <v>1木材</v>
      </c>
      <c r="E790" s="16">
        <f>E786+500</f>
        <v>3000</v>
      </c>
      <c r="J790" s="16">
        <v>1</v>
      </c>
      <c r="L790" s="16" t="b">
        <v>1</v>
      </c>
    </row>
    <row r="791" spans="1:12" x14ac:dyDescent="0.25">
      <c r="C791" s="16">
        <f t="shared" si="17"/>
        <v>103</v>
      </c>
      <c r="D791" s="16" t="str">
        <f>VLOOKUP(C791,[1]道具配置表!$A:$D,4,FALSE)</f>
        <v>1石头</v>
      </c>
      <c r="E791" s="16">
        <f>E787+500</f>
        <v>3000</v>
      </c>
      <c r="J791" s="16">
        <v>1</v>
      </c>
      <c r="L791" s="16" t="b">
        <v>1</v>
      </c>
    </row>
    <row r="792" spans="1:12" x14ac:dyDescent="0.25">
      <c r="C792" s="16">
        <f t="shared" si="17"/>
        <v>104</v>
      </c>
      <c r="D792" s="16" t="str">
        <f>VLOOKUP(C792,[1]道具配置表!$A:$D,4,FALSE)</f>
        <v>1黄金</v>
      </c>
      <c r="E792" s="16">
        <f>E788+500</f>
        <v>3000</v>
      </c>
      <c r="J792" s="16">
        <v>1</v>
      </c>
      <c r="L792" s="16" t="b">
        <v>1</v>
      </c>
    </row>
    <row r="793" spans="1:12" x14ac:dyDescent="0.25">
      <c r="A793" s="16">
        <v>1920103</v>
      </c>
      <c r="B793" s="16" t="s">
        <v>535</v>
      </c>
      <c r="C793" s="16">
        <f t="shared" si="17"/>
        <v>102</v>
      </c>
      <c r="D793" s="16" t="str">
        <f>VLOOKUP(C793,[1]道具配置表!$A:$D,4,FALSE)</f>
        <v>1食物</v>
      </c>
      <c r="E793" s="16">
        <f>E789+300</f>
        <v>1600</v>
      </c>
      <c r="J793" s="16">
        <v>1</v>
      </c>
      <c r="L793" s="16" t="b">
        <v>1</v>
      </c>
    </row>
    <row r="794" spans="1:12" x14ac:dyDescent="0.25">
      <c r="C794" s="16">
        <f t="shared" si="17"/>
        <v>101</v>
      </c>
      <c r="D794" s="16" t="str">
        <f>VLOOKUP(C794,[1]道具配置表!$A:$D,4,FALSE)</f>
        <v>1木材</v>
      </c>
      <c r="E794" s="16">
        <f>E790+500</f>
        <v>3500</v>
      </c>
      <c r="J794" s="16">
        <v>1</v>
      </c>
      <c r="L794" s="16" t="b">
        <v>1</v>
      </c>
    </row>
    <row r="795" spans="1:12" x14ac:dyDescent="0.25">
      <c r="C795" s="16">
        <f t="shared" si="17"/>
        <v>103</v>
      </c>
      <c r="D795" s="16" t="str">
        <f>VLOOKUP(C795,[1]道具配置表!$A:$D,4,FALSE)</f>
        <v>1石头</v>
      </c>
      <c r="E795" s="16">
        <f>E791+500</f>
        <v>3500</v>
      </c>
      <c r="J795" s="16">
        <v>1</v>
      </c>
      <c r="L795" s="16" t="b">
        <v>1</v>
      </c>
    </row>
    <row r="796" spans="1:12" x14ac:dyDescent="0.25">
      <c r="C796" s="16">
        <f t="shared" si="17"/>
        <v>104</v>
      </c>
      <c r="D796" s="16" t="str">
        <f>VLOOKUP(C796,[1]道具配置表!$A:$D,4,FALSE)</f>
        <v>1黄金</v>
      </c>
      <c r="E796" s="16">
        <f>E792+500</f>
        <v>3500</v>
      </c>
      <c r="J796" s="16">
        <v>1</v>
      </c>
      <c r="L796" s="16" t="b">
        <v>1</v>
      </c>
    </row>
    <row r="797" spans="1:12" x14ac:dyDescent="0.25">
      <c r="A797" s="16">
        <v>1920104</v>
      </c>
      <c r="B797" s="16" t="s">
        <v>536</v>
      </c>
      <c r="C797" s="16">
        <f t="shared" si="17"/>
        <v>102</v>
      </c>
      <c r="D797" s="16" t="str">
        <f>VLOOKUP(C797,[1]道具配置表!$A:$D,4,FALSE)</f>
        <v>1食物</v>
      </c>
      <c r="E797" s="16">
        <f>E793+300</f>
        <v>1900</v>
      </c>
      <c r="J797" s="16">
        <v>1</v>
      </c>
      <c r="L797" s="16" t="b">
        <v>1</v>
      </c>
    </row>
    <row r="798" spans="1:12" x14ac:dyDescent="0.25">
      <c r="C798" s="16">
        <f t="shared" si="17"/>
        <v>101</v>
      </c>
      <c r="D798" s="16" t="str">
        <f>VLOOKUP(C798,[1]道具配置表!$A:$D,4,FALSE)</f>
        <v>1木材</v>
      </c>
      <c r="E798" s="16">
        <f>E794+500</f>
        <v>4000</v>
      </c>
      <c r="J798" s="16">
        <v>1</v>
      </c>
      <c r="L798" s="16" t="b">
        <v>1</v>
      </c>
    </row>
    <row r="799" spans="1:12" x14ac:dyDescent="0.25">
      <c r="C799" s="16">
        <f t="shared" si="17"/>
        <v>103</v>
      </c>
      <c r="D799" s="16" t="str">
        <f>VLOOKUP(C799,[1]道具配置表!$A:$D,4,FALSE)</f>
        <v>1石头</v>
      </c>
      <c r="E799" s="16">
        <f>E795+500</f>
        <v>4000</v>
      </c>
      <c r="J799" s="16">
        <v>1</v>
      </c>
      <c r="L799" s="16" t="b">
        <v>1</v>
      </c>
    </row>
    <row r="800" spans="1:12" x14ac:dyDescent="0.25">
      <c r="C800" s="16">
        <f t="shared" si="17"/>
        <v>104</v>
      </c>
      <c r="D800" s="16" t="str">
        <f>VLOOKUP(C800,[1]道具配置表!$A:$D,4,FALSE)</f>
        <v>1黄金</v>
      </c>
      <c r="E800" s="16">
        <f>E796+500</f>
        <v>4000</v>
      </c>
      <c r="J800" s="16">
        <v>1</v>
      </c>
      <c r="L800" s="16" t="b">
        <v>1</v>
      </c>
    </row>
    <row r="801" spans="1:12" x14ac:dyDescent="0.25">
      <c r="A801" s="16">
        <v>1920105</v>
      </c>
      <c r="B801" s="16" t="s">
        <v>537</v>
      </c>
      <c r="C801" s="16">
        <f t="shared" si="17"/>
        <v>102</v>
      </c>
      <c r="D801" s="16" t="str">
        <f>VLOOKUP(C801,[1]道具配置表!$A:$D,4,FALSE)</f>
        <v>1食物</v>
      </c>
      <c r="E801" s="16">
        <f>E797+300</f>
        <v>2200</v>
      </c>
      <c r="J801" s="16">
        <v>1</v>
      </c>
      <c r="L801" s="16" t="b">
        <v>1</v>
      </c>
    </row>
    <row r="802" spans="1:12" x14ac:dyDescent="0.25">
      <c r="C802" s="16">
        <f t="shared" si="17"/>
        <v>101</v>
      </c>
      <c r="D802" s="16" t="str">
        <f>VLOOKUP(C802,[1]道具配置表!$A:$D,4,FALSE)</f>
        <v>1木材</v>
      </c>
      <c r="E802" s="16">
        <f>E798+500</f>
        <v>4500</v>
      </c>
      <c r="J802" s="16">
        <v>1</v>
      </c>
      <c r="L802" s="16" t="b">
        <v>1</v>
      </c>
    </row>
    <row r="803" spans="1:12" x14ac:dyDescent="0.25">
      <c r="C803" s="16">
        <f t="shared" si="17"/>
        <v>103</v>
      </c>
      <c r="D803" s="16" t="str">
        <f>VLOOKUP(C803,[1]道具配置表!$A:$D,4,FALSE)</f>
        <v>1石头</v>
      </c>
      <c r="E803" s="16">
        <f>E799+500</f>
        <v>4500</v>
      </c>
      <c r="J803" s="16">
        <v>1</v>
      </c>
      <c r="L803" s="16" t="b">
        <v>1</v>
      </c>
    </row>
    <row r="804" spans="1:12" x14ac:dyDescent="0.25">
      <c r="C804" s="16">
        <f t="shared" si="17"/>
        <v>104</v>
      </c>
      <c r="D804" s="16" t="str">
        <f>VLOOKUP(C804,[1]道具配置表!$A:$D,4,FALSE)</f>
        <v>1黄金</v>
      </c>
      <c r="E804" s="16">
        <f>E800+500</f>
        <v>4500</v>
      </c>
      <c r="J804" s="16">
        <v>1</v>
      </c>
      <c r="L804" s="16" t="b">
        <v>1</v>
      </c>
    </row>
    <row r="805" spans="1:12" x14ac:dyDescent="0.25">
      <c r="A805" s="16">
        <v>1920106</v>
      </c>
      <c r="B805" s="16" t="s">
        <v>538</v>
      </c>
      <c r="C805" s="16">
        <f t="shared" si="17"/>
        <v>102</v>
      </c>
      <c r="D805" s="16" t="str">
        <f>VLOOKUP(C805,[1]道具配置表!$A:$D,4,FALSE)</f>
        <v>1食物</v>
      </c>
      <c r="E805" s="16">
        <f>E801+300</f>
        <v>2500</v>
      </c>
      <c r="J805" s="16">
        <v>1</v>
      </c>
      <c r="L805" s="16" t="b">
        <v>1</v>
      </c>
    </row>
    <row r="806" spans="1:12" x14ac:dyDescent="0.25">
      <c r="C806" s="16">
        <f t="shared" si="17"/>
        <v>101</v>
      </c>
      <c r="D806" s="16" t="str">
        <f>VLOOKUP(C806,[1]道具配置表!$A:$D,4,FALSE)</f>
        <v>1木材</v>
      </c>
      <c r="E806" s="16">
        <f>E802+500</f>
        <v>5000</v>
      </c>
      <c r="J806" s="16">
        <v>1</v>
      </c>
      <c r="L806" s="16" t="b">
        <v>1</v>
      </c>
    </row>
    <row r="807" spans="1:12" x14ac:dyDescent="0.25">
      <c r="C807" s="16">
        <f t="shared" si="17"/>
        <v>103</v>
      </c>
      <c r="D807" s="16" t="str">
        <f>VLOOKUP(C807,[1]道具配置表!$A:$D,4,FALSE)</f>
        <v>1石头</v>
      </c>
      <c r="E807" s="16">
        <f>E803+500</f>
        <v>5000</v>
      </c>
      <c r="J807" s="16">
        <v>1</v>
      </c>
      <c r="L807" s="16" t="b">
        <v>1</v>
      </c>
    </row>
    <row r="808" spans="1:12" x14ac:dyDescent="0.25">
      <c r="C808" s="16">
        <f t="shared" si="17"/>
        <v>104</v>
      </c>
      <c r="D808" s="16" t="str">
        <f>VLOOKUP(C808,[1]道具配置表!$A:$D,4,FALSE)</f>
        <v>1黄金</v>
      </c>
      <c r="E808" s="16">
        <f>E804+500</f>
        <v>5000</v>
      </c>
      <c r="J808" s="16">
        <v>1</v>
      </c>
      <c r="L808" s="16" t="b">
        <v>1</v>
      </c>
    </row>
    <row r="809" spans="1:12" x14ac:dyDescent="0.25">
      <c r="A809" s="16">
        <v>1920107</v>
      </c>
      <c r="B809" s="16" t="s">
        <v>539</v>
      </c>
      <c r="C809" s="16">
        <f t="shared" si="17"/>
        <v>102</v>
      </c>
      <c r="D809" s="16" t="str">
        <f>VLOOKUP(C809,[1]道具配置表!$A:$D,4,FALSE)</f>
        <v>1食物</v>
      </c>
      <c r="E809" s="16">
        <f>E805+300</f>
        <v>2800</v>
      </c>
      <c r="J809" s="16">
        <v>1</v>
      </c>
      <c r="L809" s="16" t="b">
        <v>1</v>
      </c>
    </row>
    <row r="810" spans="1:12" x14ac:dyDescent="0.25">
      <c r="C810" s="16">
        <f t="shared" si="17"/>
        <v>101</v>
      </c>
      <c r="D810" s="16" t="str">
        <f>VLOOKUP(C810,[1]道具配置表!$A:$D,4,FALSE)</f>
        <v>1木材</v>
      </c>
      <c r="E810" s="16">
        <f>E806+500</f>
        <v>5500</v>
      </c>
      <c r="J810" s="16">
        <v>1</v>
      </c>
      <c r="L810" s="16" t="b">
        <v>1</v>
      </c>
    </row>
    <row r="811" spans="1:12" x14ac:dyDescent="0.25">
      <c r="C811" s="16">
        <f t="shared" si="17"/>
        <v>103</v>
      </c>
      <c r="D811" s="16" t="str">
        <f>VLOOKUP(C811,[1]道具配置表!$A:$D,4,FALSE)</f>
        <v>1石头</v>
      </c>
      <c r="E811" s="16">
        <f>E807+500</f>
        <v>5500</v>
      </c>
      <c r="J811" s="16">
        <v>1</v>
      </c>
      <c r="L811" s="16" t="b">
        <v>1</v>
      </c>
    </row>
    <row r="812" spans="1:12" x14ac:dyDescent="0.25">
      <c r="C812" s="16">
        <f t="shared" si="17"/>
        <v>104</v>
      </c>
      <c r="D812" s="16" t="str">
        <f>VLOOKUP(C812,[1]道具配置表!$A:$D,4,FALSE)</f>
        <v>1黄金</v>
      </c>
      <c r="E812" s="16">
        <f>E808+500</f>
        <v>5500</v>
      </c>
      <c r="J812" s="16">
        <v>1</v>
      </c>
      <c r="L812" s="16" t="b">
        <v>1</v>
      </c>
    </row>
    <row r="813" spans="1:12" x14ac:dyDescent="0.25">
      <c r="A813" s="16">
        <v>1920108</v>
      </c>
      <c r="B813" s="16" t="s">
        <v>540</v>
      </c>
      <c r="C813" s="16">
        <f t="shared" si="17"/>
        <v>102</v>
      </c>
      <c r="D813" s="16" t="str">
        <f>VLOOKUP(C813,[1]道具配置表!$A:$D,4,FALSE)</f>
        <v>1食物</v>
      </c>
      <c r="E813" s="16">
        <f>E809+300</f>
        <v>3100</v>
      </c>
      <c r="J813" s="16">
        <v>1</v>
      </c>
      <c r="L813" s="16" t="b">
        <v>1</v>
      </c>
    </row>
    <row r="814" spans="1:12" x14ac:dyDescent="0.25">
      <c r="C814" s="16">
        <f t="shared" si="17"/>
        <v>101</v>
      </c>
      <c r="D814" s="16" t="str">
        <f>VLOOKUP(C814,[1]道具配置表!$A:$D,4,FALSE)</f>
        <v>1木材</v>
      </c>
      <c r="E814" s="16">
        <f>E810+500</f>
        <v>6000</v>
      </c>
      <c r="J814" s="16">
        <v>1</v>
      </c>
      <c r="L814" s="16" t="b">
        <v>1</v>
      </c>
    </row>
    <row r="815" spans="1:12" x14ac:dyDescent="0.25">
      <c r="C815" s="16">
        <f t="shared" si="17"/>
        <v>103</v>
      </c>
      <c r="D815" s="16" t="str">
        <f>VLOOKUP(C815,[1]道具配置表!$A:$D,4,FALSE)</f>
        <v>1石头</v>
      </c>
      <c r="E815" s="16">
        <f>E811+500</f>
        <v>6000</v>
      </c>
      <c r="J815" s="16">
        <v>1</v>
      </c>
      <c r="L815" s="16" t="b">
        <v>1</v>
      </c>
    </row>
    <row r="816" spans="1:12" x14ac:dyDescent="0.25">
      <c r="C816" s="16">
        <f t="shared" si="17"/>
        <v>104</v>
      </c>
      <c r="D816" s="16" t="str">
        <f>VLOOKUP(C816,[1]道具配置表!$A:$D,4,FALSE)</f>
        <v>1黄金</v>
      </c>
      <c r="E816" s="16">
        <f>E812+500</f>
        <v>6000</v>
      </c>
      <c r="J816" s="16">
        <v>1</v>
      </c>
      <c r="L816" s="16" t="b">
        <v>1</v>
      </c>
    </row>
    <row r="817" spans="1:12" x14ac:dyDescent="0.25">
      <c r="A817" s="16">
        <v>1920109</v>
      </c>
      <c r="B817" s="16" t="s">
        <v>541</v>
      </c>
      <c r="C817" s="16">
        <f t="shared" ref="C817:C880" si="18">C813</f>
        <v>102</v>
      </c>
      <c r="D817" s="16" t="str">
        <f>VLOOKUP(C817,[1]道具配置表!$A:$D,4,FALSE)</f>
        <v>1食物</v>
      </c>
      <c r="E817" s="16">
        <f>E813+300</f>
        <v>3400</v>
      </c>
      <c r="J817" s="16">
        <v>1</v>
      </c>
      <c r="L817" s="16" t="b">
        <v>1</v>
      </c>
    </row>
    <row r="818" spans="1:12" x14ac:dyDescent="0.25">
      <c r="C818" s="16">
        <f t="shared" si="18"/>
        <v>101</v>
      </c>
      <c r="D818" s="16" t="str">
        <f>VLOOKUP(C818,[1]道具配置表!$A:$D,4,FALSE)</f>
        <v>1木材</v>
      </c>
      <c r="E818" s="16">
        <f>E814+500</f>
        <v>6500</v>
      </c>
      <c r="J818" s="16">
        <v>1</v>
      </c>
      <c r="L818" s="16" t="b">
        <v>1</v>
      </c>
    </row>
    <row r="819" spans="1:12" x14ac:dyDescent="0.25">
      <c r="C819" s="16">
        <f t="shared" si="18"/>
        <v>103</v>
      </c>
      <c r="D819" s="16" t="str">
        <f>VLOOKUP(C819,[1]道具配置表!$A:$D,4,FALSE)</f>
        <v>1石头</v>
      </c>
      <c r="E819" s="16">
        <f>E815+500</f>
        <v>6500</v>
      </c>
      <c r="J819" s="16">
        <v>1</v>
      </c>
      <c r="L819" s="16" t="b">
        <v>1</v>
      </c>
    </row>
    <row r="820" spans="1:12" x14ac:dyDescent="0.25">
      <c r="C820" s="16">
        <f t="shared" si="18"/>
        <v>104</v>
      </c>
      <c r="D820" s="16" t="str">
        <f>VLOOKUP(C820,[1]道具配置表!$A:$D,4,FALSE)</f>
        <v>1黄金</v>
      </c>
      <c r="E820" s="16">
        <f>E816+500</f>
        <v>6500</v>
      </c>
      <c r="J820" s="16">
        <v>1</v>
      </c>
      <c r="L820" s="16" t="b">
        <v>1</v>
      </c>
    </row>
    <row r="821" spans="1:12" x14ac:dyDescent="0.25">
      <c r="A821" s="16">
        <v>1920110</v>
      </c>
      <c r="B821" s="16" t="s">
        <v>542</v>
      </c>
      <c r="C821" s="16">
        <f t="shared" si="18"/>
        <v>102</v>
      </c>
      <c r="D821" s="16" t="str">
        <f>VLOOKUP(C821,[1]道具配置表!$A:$D,4,FALSE)</f>
        <v>1食物</v>
      </c>
      <c r="E821" s="16">
        <f>E817+300</f>
        <v>3700</v>
      </c>
      <c r="J821" s="16">
        <v>1</v>
      </c>
      <c r="L821" s="16" t="b">
        <v>1</v>
      </c>
    </row>
    <row r="822" spans="1:12" x14ac:dyDescent="0.25">
      <c r="C822" s="16">
        <f t="shared" si="18"/>
        <v>101</v>
      </c>
      <c r="D822" s="16" t="str">
        <f>VLOOKUP(C822,[1]道具配置表!$A:$D,4,FALSE)</f>
        <v>1木材</v>
      </c>
      <c r="E822" s="16">
        <f>E818+500</f>
        <v>7000</v>
      </c>
      <c r="J822" s="16">
        <v>1</v>
      </c>
      <c r="L822" s="16" t="b">
        <v>1</v>
      </c>
    </row>
    <row r="823" spans="1:12" x14ac:dyDescent="0.25">
      <c r="C823" s="16">
        <f t="shared" si="18"/>
        <v>103</v>
      </c>
      <c r="D823" s="16" t="str">
        <f>VLOOKUP(C823,[1]道具配置表!$A:$D,4,FALSE)</f>
        <v>1石头</v>
      </c>
      <c r="E823" s="16">
        <f>E819+500</f>
        <v>7000</v>
      </c>
      <c r="J823" s="16">
        <v>1</v>
      </c>
      <c r="L823" s="16" t="b">
        <v>1</v>
      </c>
    </row>
    <row r="824" spans="1:12" x14ac:dyDescent="0.25">
      <c r="C824" s="16">
        <f t="shared" si="18"/>
        <v>104</v>
      </c>
      <c r="D824" s="16" t="str">
        <f>VLOOKUP(C824,[1]道具配置表!$A:$D,4,FALSE)</f>
        <v>1黄金</v>
      </c>
      <c r="E824" s="16">
        <f>E820+500</f>
        <v>7000</v>
      </c>
      <c r="J824" s="16">
        <v>1</v>
      </c>
      <c r="L824" s="16" t="b">
        <v>1</v>
      </c>
    </row>
    <row r="825" spans="1:12" x14ac:dyDescent="0.25">
      <c r="A825" s="16">
        <v>1920111</v>
      </c>
      <c r="B825" s="16" t="s">
        <v>543</v>
      </c>
      <c r="C825" s="16">
        <f t="shared" si="18"/>
        <v>102</v>
      </c>
      <c r="D825" s="16" t="str">
        <f>VLOOKUP(C825,[1]道具配置表!$A:$D,4,FALSE)</f>
        <v>1食物</v>
      </c>
      <c r="E825" s="16">
        <f>E821+300</f>
        <v>4000</v>
      </c>
      <c r="J825" s="16">
        <v>1</v>
      </c>
      <c r="L825" s="16" t="b">
        <v>1</v>
      </c>
    </row>
    <row r="826" spans="1:12" x14ac:dyDescent="0.25">
      <c r="C826" s="16">
        <f t="shared" si="18"/>
        <v>101</v>
      </c>
      <c r="D826" s="16" t="str">
        <f>VLOOKUP(C826,[1]道具配置表!$A:$D,4,FALSE)</f>
        <v>1木材</v>
      </c>
      <c r="E826" s="16">
        <f>E822+500</f>
        <v>7500</v>
      </c>
      <c r="J826" s="16">
        <v>1</v>
      </c>
      <c r="L826" s="16" t="b">
        <v>1</v>
      </c>
    </row>
    <row r="827" spans="1:12" x14ac:dyDescent="0.25">
      <c r="C827" s="16">
        <f t="shared" si="18"/>
        <v>103</v>
      </c>
      <c r="D827" s="16" t="str">
        <f>VLOOKUP(C827,[1]道具配置表!$A:$D,4,FALSE)</f>
        <v>1石头</v>
      </c>
      <c r="E827" s="16">
        <f>E823+500</f>
        <v>7500</v>
      </c>
      <c r="J827" s="16">
        <v>1</v>
      </c>
      <c r="L827" s="16" t="b">
        <v>1</v>
      </c>
    </row>
    <row r="828" spans="1:12" x14ac:dyDescent="0.25">
      <c r="C828" s="16">
        <f t="shared" si="18"/>
        <v>104</v>
      </c>
      <c r="D828" s="16" t="str">
        <f>VLOOKUP(C828,[1]道具配置表!$A:$D,4,FALSE)</f>
        <v>1黄金</v>
      </c>
      <c r="E828" s="16">
        <f>E824+500</f>
        <v>7500</v>
      </c>
      <c r="J828" s="16">
        <v>1</v>
      </c>
      <c r="L828" s="16" t="b">
        <v>1</v>
      </c>
    </row>
    <row r="829" spans="1:12" x14ac:dyDescent="0.25">
      <c r="A829" s="16">
        <v>1920201</v>
      </c>
      <c r="B829" s="16" t="s">
        <v>544</v>
      </c>
      <c r="C829" s="16">
        <f t="shared" si="18"/>
        <v>102</v>
      </c>
      <c r="D829" s="16" t="str">
        <f>VLOOKUP(C829,[1]道具配置表!$A:$D,4,FALSE)</f>
        <v>1食物</v>
      </c>
      <c r="E829" s="16">
        <v>1000</v>
      </c>
      <c r="J829" s="16">
        <v>1</v>
      </c>
      <c r="L829" s="16" t="b">
        <v>1</v>
      </c>
    </row>
    <row r="830" spans="1:12" x14ac:dyDescent="0.25">
      <c r="C830" s="16">
        <f t="shared" si="18"/>
        <v>101</v>
      </c>
      <c r="D830" s="16" t="str">
        <f>VLOOKUP(C830,[1]道具配置表!$A:$D,4,FALSE)</f>
        <v>1木材</v>
      </c>
      <c r="E830" s="16">
        <v>1000</v>
      </c>
      <c r="J830" s="16">
        <v>1</v>
      </c>
      <c r="L830" s="16" t="b">
        <v>1</v>
      </c>
    </row>
    <row r="831" spans="1:12" x14ac:dyDescent="0.25">
      <c r="C831" s="16">
        <f t="shared" si="18"/>
        <v>103</v>
      </c>
      <c r="D831" s="16" t="str">
        <f>VLOOKUP(C831,[1]道具配置表!$A:$D,4,FALSE)</f>
        <v>1石头</v>
      </c>
      <c r="E831" s="16">
        <v>1000</v>
      </c>
      <c r="J831" s="16">
        <v>1</v>
      </c>
      <c r="L831" s="16" t="b">
        <v>1</v>
      </c>
    </row>
    <row r="832" spans="1:12" x14ac:dyDescent="0.25">
      <c r="C832" s="16">
        <f t="shared" si="18"/>
        <v>104</v>
      </c>
      <c r="D832" s="16" t="str">
        <f>VLOOKUP(C832,[1]道具配置表!$A:$D,4,FALSE)</f>
        <v>1黄金</v>
      </c>
      <c r="E832" s="16">
        <v>1000</v>
      </c>
      <c r="J832" s="16">
        <v>1</v>
      </c>
      <c r="L832" s="16" t="b">
        <v>1</v>
      </c>
    </row>
    <row r="833" spans="1:12" x14ac:dyDescent="0.25">
      <c r="A833" s="16">
        <v>1920202</v>
      </c>
      <c r="B833" s="16" t="s">
        <v>545</v>
      </c>
      <c r="C833" s="16">
        <f t="shared" si="18"/>
        <v>102</v>
      </c>
      <c r="D833" s="16" t="str">
        <f>VLOOKUP(C833,[1]道具配置表!$A:$D,4,FALSE)</f>
        <v>1食物</v>
      </c>
      <c r="E833" s="16">
        <f>E829+1000</f>
        <v>2000</v>
      </c>
      <c r="J833" s="16">
        <v>1</v>
      </c>
      <c r="L833" s="16" t="b">
        <v>1</v>
      </c>
    </row>
    <row r="834" spans="1:12" x14ac:dyDescent="0.25">
      <c r="C834" s="16">
        <f t="shared" si="18"/>
        <v>101</v>
      </c>
      <c r="D834" s="16" t="str">
        <f>VLOOKUP(C834,[1]道具配置表!$A:$D,4,FALSE)</f>
        <v>1木材</v>
      </c>
      <c r="E834" s="16">
        <f>E830+500</f>
        <v>1500</v>
      </c>
      <c r="J834" s="16">
        <v>1</v>
      </c>
      <c r="L834" s="16" t="b">
        <v>1</v>
      </c>
    </row>
    <row r="835" spans="1:12" x14ac:dyDescent="0.25">
      <c r="C835" s="16">
        <f t="shared" si="18"/>
        <v>103</v>
      </c>
      <c r="D835" s="16" t="str">
        <f>VLOOKUP(C835,[1]道具配置表!$A:$D,4,FALSE)</f>
        <v>1石头</v>
      </c>
      <c r="E835" s="16">
        <f>E831+500</f>
        <v>1500</v>
      </c>
      <c r="J835" s="16">
        <v>1</v>
      </c>
      <c r="L835" s="16" t="b">
        <v>1</v>
      </c>
    </row>
    <row r="836" spans="1:12" x14ac:dyDescent="0.25">
      <c r="C836" s="16">
        <f t="shared" si="18"/>
        <v>104</v>
      </c>
      <c r="D836" s="16" t="str">
        <f>VLOOKUP(C836,[1]道具配置表!$A:$D,4,FALSE)</f>
        <v>1黄金</v>
      </c>
      <c r="E836" s="16">
        <f>E832+500</f>
        <v>1500</v>
      </c>
      <c r="J836" s="16">
        <v>1</v>
      </c>
      <c r="L836" s="16" t="b">
        <v>1</v>
      </c>
    </row>
    <row r="837" spans="1:12" x14ac:dyDescent="0.25">
      <c r="A837" s="16">
        <v>1920203</v>
      </c>
      <c r="B837" s="16" t="s">
        <v>546</v>
      </c>
      <c r="C837" s="16">
        <f t="shared" si="18"/>
        <v>102</v>
      </c>
      <c r="D837" s="16" t="str">
        <f>VLOOKUP(C837,[1]道具配置表!$A:$D,4,FALSE)</f>
        <v>1食物</v>
      </c>
      <c r="E837" s="16">
        <f>E833+1000</f>
        <v>3000</v>
      </c>
      <c r="J837" s="16">
        <v>1</v>
      </c>
      <c r="L837" s="16" t="b">
        <v>1</v>
      </c>
    </row>
    <row r="838" spans="1:12" x14ac:dyDescent="0.25">
      <c r="C838" s="16">
        <f t="shared" si="18"/>
        <v>101</v>
      </c>
      <c r="D838" s="16" t="str">
        <f>VLOOKUP(C838,[1]道具配置表!$A:$D,4,FALSE)</f>
        <v>1木材</v>
      </c>
      <c r="E838" s="16">
        <f>E834+500</f>
        <v>2000</v>
      </c>
      <c r="J838" s="16">
        <v>1</v>
      </c>
      <c r="L838" s="16" t="b">
        <v>1</v>
      </c>
    </row>
    <row r="839" spans="1:12" x14ac:dyDescent="0.25">
      <c r="C839" s="16">
        <f t="shared" si="18"/>
        <v>103</v>
      </c>
      <c r="D839" s="16" t="str">
        <f>VLOOKUP(C839,[1]道具配置表!$A:$D,4,FALSE)</f>
        <v>1石头</v>
      </c>
      <c r="E839" s="16">
        <f>E835+500</f>
        <v>2000</v>
      </c>
      <c r="J839" s="16">
        <v>1</v>
      </c>
      <c r="L839" s="16" t="b">
        <v>1</v>
      </c>
    </row>
    <row r="840" spans="1:12" x14ac:dyDescent="0.25">
      <c r="C840" s="16">
        <f t="shared" si="18"/>
        <v>104</v>
      </c>
      <c r="D840" s="16" t="str">
        <f>VLOOKUP(C840,[1]道具配置表!$A:$D,4,FALSE)</f>
        <v>1黄金</v>
      </c>
      <c r="E840" s="16">
        <f>E836+500</f>
        <v>2000</v>
      </c>
      <c r="J840" s="16">
        <v>1</v>
      </c>
      <c r="L840" s="16" t="b">
        <v>1</v>
      </c>
    </row>
    <row r="841" spans="1:12" x14ac:dyDescent="0.25">
      <c r="A841" s="16">
        <v>1920204</v>
      </c>
      <c r="B841" s="16" t="s">
        <v>547</v>
      </c>
      <c r="C841" s="16">
        <f t="shared" si="18"/>
        <v>102</v>
      </c>
      <c r="D841" s="16" t="str">
        <f>VLOOKUP(C841,[1]道具配置表!$A:$D,4,FALSE)</f>
        <v>1食物</v>
      </c>
      <c r="E841" s="16">
        <f>E837+1000</f>
        <v>4000</v>
      </c>
      <c r="J841" s="16">
        <v>1</v>
      </c>
      <c r="L841" s="16" t="b">
        <v>1</v>
      </c>
    </row>
    <row r="842" spans="1:12" x14ac:dyDescent="0.25">
      <c r="C842" s="16">
        <f t="shared" si="18"/>
        <v>101</v>
      </c>
      <c r="D842" s="16" t="str">
        <f>VLOOKUP(C842,[1]道具配置表!$A:$D,4,FALSE)</f>
        <v>1木材</v>
      </c>
      <c r="E842" s="16">
        <f>E838+500</f>
        <v>2500</v>
      </c>
      <c r="J842" s="16">
        <v>1</v>
      </c>
      <c r="L842" s="16" t="b">
        <v>1</v>
      </c>
    </row>
    <row r="843" spans="1:12" x14ac:dyDescent="0.25">
      <c r="C843" s="16">
        <f t="shared" si="18"/>
        <v>103</v>
      </c>
      <c r="D843" s="16" t="str">
        <f>VLOOKUP(C843,[1]道具配置表!$A:$D,4,FALSE)</f>
        <v>1石头</v>
      </c>
      <c r="E843" s="16">
        <f>E839+500</f>
        <v>2500</v>
      </c>
      <c r="J843" s="16">
        <v>1</v>
      </c>
      <c r="L843" s="16" t="b">
        <v>1</v>
      </c>
    </row>
    <row r="844" spans="1:12" x14ac:dyDescent="0.25">
      <c r="C844" s="16">
        <f t="shared" si="18"/>
        <v>104</v>
      </c>
      <c r="D844" s="16" t="str">
        <f>VLOOKUP(C844,[1]道具配置表!$A:$D,4,FALSE)</f>
        <v>1黄金</v>
      </c>
      <c r="E844" s="16">
        <f>E840+500</f>
        <v>2500</v>
      </c>
      <c r="J844" s="16">
        <v>1</v>
      </c>
      <c r="L844" s="16" t="b">
        <v>1</v>
      </c>
    </row>
    <row r="845" spans="1:12" x14ac:dyDescent="0.25">
      <c r="A845" s="16">
        <v>1920205</v>
      </c>
      <c r="B845" s="16" t="s">
        <v>548</v>
      </c>
      <c r="C845" s="16">
        <f t="shared" si="18"/>
        <v>102</v>
      </c>
      <c r="D845" s="16" t="str">
        <f>VLOOKUP(C845,[1]道具配置表!$A:$D,4,FALSE)</f>
        <v>1食物</v>
      </c>
      <c r="E845" s="16">
        <f>E841+1000</f>
        <v>5000</v>
      </c>
      <c r="J845" s="16">
        <v>1</v>
      </c>
      <c r="L845" s="16" t="b">
        <v>1</v>
      </c>
    </row>
    <row r="846" spans="1:12" x14ac:dyDescent="0.25">
      <c r="C846" s="16">
        <f t="shared" si="18"/>
        <v>101</v>
      </c>
      <c r="D846" s="16" t="str">
        <f>VLOOKUP(C846,[1]道具配置表!$A:$D,4,FALSE)</f>
        <v>1木材</v>
      </c>
      <c r="E846" s="16">
        <f>E842+500</f>
        <v>3000</v>
      </c>
      <c r="J846" s="16">
        <v>1</v>
      </c>
      <c r="L846" s="16" t="b">
        <v>1</v>
      </c>
    </row>
    <row r="847" spans="1:12" x14ac:dyDescent="0.25">
      <c r="C847" s="16">
        <f t="shared" si="18"/>
        <v>103</v>
      </c>
      <c r="D847" s="16" t="str">
        <f>VLOOKUP(C847,[1]道具配置表!$A:$D,4,FALSE)</f>
        <v>1石头</v>
      </c>
      <c r="E847" s="16">
        <f>E843+500</f>
        <v>3000</v>
      </c>
      <c r="J847" s="16">
        <v>1</v>
      </c>
      <c r="L847" s="16" t="b">
        <v>1</v>
      </c>
    </row>
    <row r="848" spans="1:12" x14ac:dyDescent="0.25">
      <c r="C848" s="16">
        <f t="shared" si="18"/>
        <v>104</v>
      </c>
      <c r="D848" s="16" t="str">
        <f>VLOOKUP(C848,[1]道具配置表!$A:$D,4,FALSE)</f>
        <v>1黄金</v>
      </c>
      <c r="E848" s="16">
        <f>E844+500</f>
        <v>3000</v>
      </c>
      <c r="J848" s="16">
        <v>1</v>
      </c>
      <c r="L848" s="16" t="b">
        <v>1</v>
      </c>
    </row>
    <row r="849" spans="1:12" x14ac:dyDescent="0.25">
      <c r="A849" s="16">
        <v>1920206</v>
      </c>
      <c r="B849" s="16" t="s">
        <v>549</v>
      </c>
      <c r="C849" s="16">
        <f t="shared" si="18"/>
        <v>102</v>
      </c>
      <c r="D849" s="16" t="str">
        <f>VLOOKUP(C849,[1]道具配置表!$A:$D,4,FALSE)</f>
        <v>1食物</v>
      </c>
      <c r="E849" s="16">
        <f>E845+1000</f>
        <v>6000</v>
      </c>
      <c r="J849" s="16">
        <v>1</v>
      </c>
      <c r="L849" s="16" t="b">
        <v>1</v>
      </c>
    </row>
    <row r="850" spans="1:12" x14ac:dyDescent="0.25">
      <c r="C850" s="16">
        <f t="shared" si="18"/>
        <v>101</v>
      </c>
      <c r="D850" s="16" t="str">
        <f>VLOOKUP(C850,[1]道具配置表!$A:$D,4,FALSE)</f>
        <v>1木材</v>
      </c>
      <c r="E850" s="16">
        <f>E846+500</f>
        <v>3500</v>
      </c>
      <c r="J850" s="16">
        <v>1</v>
      </c>
      <c r="L850" s="16" t="b">
        <v>1</v>
      </c>
    </row>
    <row r="851" spans="1:12" x14ac:dyDescent="0.25">
      <c r="C851" s="16">
        <f t="shared" si="18"/>
        <v>103</v>
      </c>
      <c r="D851" s="16" t="str">
        <f>VLOOKUP(C851,[1]道具配置表!$A:$D,4,FALSE)</f>
        <v>1石头</v>
      </c>
      <c r="E851" s="16">
        <f>E847+500</f>
        <v>3500</v>
      </c>
      <c r="J851" s="16">
        <v>1</v>
      </c>
      <c r="L851" s="16" t="b">
        <v>1</v>
      </c>
    </row>
    <row r="852" spans="1:12" x14ac:dyDescent="0.25">
      <c r="C852" s="16">
        <f t="shared" si="18"/>
        <v>104</v>
      </c>
      <c r="D852" s="16" t="str">
        <f>VLOOKUP(C852,[1]道具配置表!$A:$D,4,FALSE)</f>
        <v>1黄金</v>
      </c>
      <c r="E852" s="16">
        <f>E848+500</f>
        <v>3500</v>
      </c>
      <c r="J852" s="16">
        <v>1</v>
      </c>
      <c r="L852" s="16" t="b">
        <v>1</v>
      </c>
    </row>
    <row r="853" spans="1:12" x14ac:dyDescent="0.25">
      <c r="A853" s="16">
        <v>1920207</v>
      </c>
      <c r="B853" s="16" t="s">
        <v>550</v>
      </c>
      <c r="C853" s="16">
        <f t="shared" si="18"/>
        <v>102</v>
      </c>
      <c r="D853" s="16" t="str">
        <f>VLOOKUP(C853,[1]道具配置表!$A:$D,4,FALSE)</f>
        <v>1食物</v>
      </c>
      <c r="E853" s="16">
        <f>E849+1000</f>
        <v>7000</v>
      </c>
      <c r="J853" s="16">
        <v>1</v>
      </c>
      <c r="L853" s="16" t="b">
        <v>1</v>
      </c>
    </row>
    <row r="854" spans="1:12" x14ac:dyDescent="0.25">
      <c r="C854" s="16">
        <f t="shared" si="18"/>
        <v>101</v>
      </c>
      <c r="D854" s="16" t="str">
        <f>VLOOKUP(C854,[1]道具配置表!$A:$D,4,FALSE)</f>
        <v>1木材</v>
      </c>
      <c r="E854" s="16">
        <f>E850+500</f>
        <v>4000</v>
      </c>
      <c r="J854" s="16">
        <v>1</v>
      </c>
      <c r="L854" s="16" t="b">
        <v>1</v>
      </c>
    </row>
    <row r="855" spans="1:12" x14ac:dyDescent="0.25">
      <c r="C855" s="16">
        <f t="shared" si="18"/>
        <v>103</v>
      </c>
      <c r="D855" s="16" t="str">
        <f>VLOOKUP(C855,[1]道具配置表!$A:$D,4,FALSE)</f>
        <v>1石头</v>
      </c>
      <c r="E855" s="16">
        <f>E851+500</f>
        <v>4000</v>
      </c>
      <c r="J855" s="16">
        <v>1</v>
      </c>
      <c r="L855" s="16" t="b">
        <v>1</v>
      </c>
    </row>
    <row r="856" spans="1:12" x14ac:dyDescent="0.25">
      <c r="C856" s="16">
        <f t="shared" si="18"/>
        <v>104</v>
      </c>
      <c r="D856" s="16" t="str">
        <f>VLOOKUP(C856,[1]道具配置表!$A:$D,4,FALSE)</f>
        <v>1黄金</v>
      </c>
      <c r="E856" s="16">
        <f>E852+500</f>
        <v>4000</v>
      </c>
      <c r="J856" s="16">
        <v>1</v>
      </c>
      <c r="L856" s="16" t="b">
        <v>1</v>
      </c>
    </row>
    <row r="857" spans="1:12" x14ac:dyDescent="0.25">
      <c r="A857" s="16">
        <v>1920208</v>
      </c>
      <c r="B857" s="16" t="s">
        <v>551</v>
      </c>
      <c r="C857" s="16">
        <f t="shared" si="18"/>
        <v>102</v>
      </c>
      <c r="D857" s="16" t="str">
        <f>VLOOKUP(C857,[1]道具配置表!$A:$D,4,FALSE)</f>
        <v>1食物</v>
      </c>
      <c r="E857" s="16">
        <f>E853+1000</f>
        <v>8000</v>
      </c>
      <c r="J857" s="16">
        <v>1</v>
      </c>
      <c r="L857" s="16" t="b">
        <v>1</v>
      </c>
    </row>
    <row r="858" spans="1:12" x14ac:dyDescent="0.25">
      <c r="C858" s="16">
        <f t="shared" si="18"/>
        <v>101</v>
      </c>
      <c r="D858" s="16" t="str">
        <f>VLOOKUP(C858,[1]道具配置表!$A:$D,4,FALSE)</f>
        <v>1木材</v>
      </c>
      <c r="E858" s="16">
        <f>E854+500</f>
        <v>4500</v>
      </c>
      <c r="J858" s="16">
        <v>1</v>
      </c>
      <c r="L858" s="16" t="b">
        <v>1</v>
      </c>
    </row>
    <row r="859" spans="1:12" x14ac:dyDescent="0.25">
      <c r="C859" s="16">
        <f t="shared" si="18"/>
        <v>103</v>
      </c>
      <c r="D859" s="16" t="str">
        <f>VLOOKUP(C859,[1]道具配置表!$A:$D,4,FALSE)</f>
        <v>1石头</v>
      </c>
      <c r="E859" s="16">
        <f>E855+500</f>
        <v>4500</v>
      </c>
      <c r="J859" s="16">
        <v>1</v>
      </c>
      <c r="L859" s="16" t="b">
        <v>1</v>
      </c>
    </row>
    <row r="860" spans="1:12" x14ac:dyDescent="0.25">
      <c r="C860" s="16">
        <f t="shared" si="18"/>
        <v>104</v>
      </c>
      <c r="D860" s="16" t="str">
        <f>VLOOKUP(C860,[1]道具配置表!$A:$D,4,FALSE)</f>
        <v>1黄金</v>
      </c>
      <c r="E860" s="16">
        <f>E856+500</f>
        <v>4500</v>
      </c>
      <c r="J860" s="16">
        <v>1</v>
      </c>
      <c r="L860" s="16" t="b">
        <v>1</v>
      </c>
    </row>
    <row r="861" spans="1:12" x14ac:dyDescent="0.25">
      <c r="A861" s="16">
        <v>1920209</v>
      </c>
      <c r="B861" s="16" t="s">
        <v>552</v>
      </c>
      <c r="C861" s="16">
        <f t="shared" si="18"/>
        <v>102</v>
      </c>
      <c r="D861" s="16" t="str">
        <f>VLOOKUP(C861,[1]道具配置表!$A:$D,4,FALSE)</f>
        <v>1食物</v>
      </c>
      <c r="E861" s="16">
        <f>E857+1000</f>
        <v>9000</v>
      </c>
      <c r="J861" s="16">
        <v>1</v>
      </c>
      <c r="L861" s="16" t="b">
        <v>1</v>
      </c>
    </row>
    <row r="862" spans="1:12" x14ac:dyDescent="0.25">
      <c r="C862" s="16">
        <f t="shared" si="18"/>
        <v>101</v>
      </c>
      <c r="D862" s="16" t="str">
        <f>VLOOKUP(C862,[1]道具配置表!$A:$D,4,FALSE)</f>
        <v>1木材</v>
      </c>
      <c r="E862" s="16">
        <f>E858+500</f>
        <v>5000</v>
      </c>
      <c r="J862" s="16">
        <v>1</v>
      </c>
      <c r="L862" s="16" t="b">
        <v>1</v>
      </c>
    </row>
    <row r="863" spans="1:12" x14ac:dyDescent="0.25">
      <c r="C863" s="16">
        <f t="shared" si="18"/>
        <v>103</v>
      </c>
      <c r="D863" s="16" t="str">
        <f>VLOOKUP(C863,[1]道具配置表!$A:$D,4,FALSE)</f>
        <v>1石头</v>
      </c>
      <c r="E863" s="16">
        <f>E859+500</f>
        <v>5000</v>
      </c>
      <c r="J863" s="16">
        <v>1</v>
      </c>
      <c r="L863" s="16" t="b">
        <v>1</v>
      </c>
    </row>
    <row r="864" spans="1:12" x14ac:dyDescent="0.25">
      <c r="C864" s="16">
        <f t="shared" si="18"/>
        <v>104</v>
      </c>
      <c r="D864" s="16" t="str">
        <f>VLOOKUP(C864,[1]道具配置表!$A:$D,4,FALSE)</f>
        <v>1黄金</v>
      </c>
      <c r="E864" s="16">
        <f>E860+500</f>
        <v>5000</v>
      </c>
      <c r="J864" s="16">
        <v>1</v>
      </c>
      <c r="L864" s="16" t="b">
        <v>1</v>
      </c>
    </row>
    <row r="865" spans="1:12" x14ac:dyDescent="0.25">
      <c r="A865" s="16">
        <v>1920210</v>
      </c>
      <c r="B865" s="16" t="s">
        <v>553</v>
      </c>
      <c r="C865" s="16">
        <f t="shared" si="18"/>
        <v>102</v>
      </c>
      <c r="D865" s="16" t="str">
        <f>VLOOKUP(C865,[1]道具配置表!$A:$D,4,FALSE)</f>
        <v>1食物</v>
      </c>
      <c r="E865" s="16">
        <f>E861+1000</f>
        <v>10000</v>
      </c>
      <c r="J865" s="16">
        <v>1</v>
      </c>
      <c r="L865" s="16" t="b">
        <v>1</v>
      </c>
    </row>
    <row r="866" spans="1:12" x14ac:dyDescent="0.25">
      <c r="C866" s="16">
        <f t="shared" si="18"/>
        <v>101</v>
      </c>
      <c r="D866" s="16" t="str">
        <f>VLOOKUP(C866,[1]道具配置表!$A:$D,4,FALSE)</f>
        <v>1木材</v>
      </c>
      <c r="E866" s="16">
        <f>E862+500</f>
        <v>5500</v>
      </c>
      <c r="J866" s="16">
        <v>1</v>
      </c>
      <c r="L866" s="16" t="b">
        <v>1</v>
      </c>
    </row>
    <row r="867" spans="1:12" x14ac:dyDescent="0.25">
      <c r="C867" s="16">
        <f t="shared" si="18"/>
        <v>103</v>
      </c>
      <c r="D867" s="16" t="str">
        <f>VLOOKUP(C867,[1]道具配置表!$A:$D,4,FALSE)</f>
        <v>1石头</v>
      </c>
      <c r="E867" s="16">
        <f>E863+500</f>
        <v>5500</v>
      </c>
      <c r="J867" s="16">
        <v>1</v>
      </c>
      <c r="L867" s="16" t="b">
        <v>1</v>
      </c>
    </row>
    <row r="868" spans="1:12" x14ac:dyDescent="0.25">
      <c r="C868" s="16">
        <f t="shared" si="18"/>
        <v>104</v>
      </c>
      <c r="D868" s="16" t="str">
        <f>VLOOKUP(C868,[1]道具配置表!$A:$D,4,FALSE)</f>
        <v>1黄金</v>
      </c>
      <c r="E868" s="16">
        <f>E864+500</f>
        <v>5500</v>
      </c>
      <c r="J868" s="16">
        <v>1</v>
      </c>
      <c r="L868" s="16" t="b">
        <v>1</v>
      </c>
    </row>
    <row r="869" spans="1:12" x14ac:dyDescent="0.25">
      <c r="A869" s="16">
        <v>1920211</v>
      </c>
      <c r="B869" s="16" t="s">
        <v>554</v>
      </c>
      <c r="C869" s="16">
        <f t="shared" si="18"/>
        <v>102</v>
      </c>
      <c r="D869" s="16" t="str">
        <f>VLOOKUP(C869,[1]道具配置表!$A:$D,4,FALSE)</f>
        <v>1食物</v>
      </c>
      <c r="E869" s="16">
        <f>E865+1000</f>
        <v>11000</v>
      </c>
      <c r="J869" s="16">
        <v>1</v>
      </c>
      <c r="L869" s="16" t="b">
        <v>1</v>
      </c>
    </row>
    <row r="870" spans="1:12" x14ac:dyDescent="0.25">
      <c r="C870" s="16">
        <f t="shared" si="18"/>
        <v>101</v>
      </c>
      <c r="D870" s="16" t="str">
        <f>VLOOKUP(C870,[1]道具配置表!$A:$D,4,FALSE)</f>
        <v>1木材</v>
      </c>
      <c r="E870" s="16">
        <f>E866+500</f>
        <v>6000</v>
      </c>
      <c r="J870" s="16">
        <v>1</v>
      </c>
      <c r="L870" s="16" t="b">
        <v>1</v>
      </c>
    </row>
    <row r="871" spans="1:12" x14ac:dyDescent="0.25">
      <c r="C871" s="16">
        <f t="shared" si="18"/>
        <v>103</v>
      </c>
      <c r="D871" s="16" t="str">
        <f>VLOOKUP(C871,[1]道具配置表!$A:$D,4,FALSE)</f>
        <v>1石头</v>
      </c>
      <c r="E871" s="16">
        <f>E867+500</f>
        <v>6000</v>
      </c>
      <c r="J871" s="16">
        <v>1</v>
      </c>
      <c r="L871" s="16" t="b">
        <v>1</v>
      </c>
    </row>
    <row r="872" spans="1:12" x14ac:dyDescent="0.25">
      <c r="C872" s="16">
        <f t="shared" si="18"/>
        <v>104</v>
      </c>
      <c r="D872" s="16" t="str">
        <f>VLOOKUP(C872,[1]道具配置表!$A:$D,4,FALSE)</f>
        <v>1黄金</v>
      </c>
      <c r="E872" s="16">
        <f>E868+500</f>
        <v>6000</v>
      </c>
      <c r="J872" s="16">
        <v>1</v>
      </c>
      <c r="L872" s="16" t="b">
        <v>1</v>
      </c>
    </row>
    <row r="873" spans="1:12" x14ac:dyDescent="0.25">
      <c r="A873" s="16">
        <v>1920212</v>
      </c>
      <c r="B873" s="16" t="s">
        <v>555</v>
      </c>
      <c r="C873" s="16">
        <f t="shared" si="18"/>
        <v>102</v>
      </c>
      <c r="D873" s="16" t="str">
        <f>VLOOKUP(C873,[1]道具配置表!$A:$D,4,FALSE)</f>
        <v>1食物</v>
      </c>
      <c r="E873" s="16">
        <f>E869+1000</f>
        <v>12000</v>
      </c>
      <c r="J873" s="16">
        <v>1</v>
      </c>
      <c r="L873" s="16" t="b">
        <v>1</v>
      </c>
    </row>
    <row r="874" spans="1:12" x14ac:dyDescent="0.25">
      <c r="C874" s="16">
        <f t="shared" si="18"/>
        <v>101</v>
      </c>
      <c r="D874" s="16" t="str">
        <f>VLOOKUP(C874,[1]道具配置表!$A:$D,4,FALSE)</f>
        <v>1木材</v>
      </c>
      <c r="E874" s="16">
        <f>E870+500</f>
        <v>6500</v>
      </c>
      <c r="J874" s="16">
        <v>1</v>
      </c>
      <c r="L874" s="16" t="b">
        <v>1</v>
      </c>
    </row>
    <row r="875" spans="1:12" x14ac:dyDescent="0.25">
      <c r="C875" s="16">
        <f t="shared" si="18"/>
        <v>103</v>
      </c>
      <c r="D875" s="16" t="str">
        <f>VLOOKUP(C875,[1]道具配置表!$A:$D,4,FALSE)</f>
        <v>1石头</v>
      </c>
      <c r="E875" s="16">
        <f>E871+500</f>
        <v>6500</v>
      </c>
      <c r="J875" s="16">
        <v>1</v>
      </c>
      <c r="L875" s="16" t="b">
        <v>1</v>
      </c>
    </row>
    <row r="876" spans="1:12" x14ac:dyDescent="0.25">
      <c r="C876" s="16">
        <f t="shared" si="18"/>
        <v>104</v>
      </c>
      <c r="D876" s="16" t="str">
        <f>VLOOKUP(C876,[1]道具配置表!$A:$D,4,FALSE)</f>
        <v>1黄金</v>
      </c>
      <c r="E876" s="16">
        <f>E872+500</f>
        <v>6500</v>
      </c>
      <c r="J876" s="16">
        <v>1</v>
      </c>
      <c r="L876" s="16" t="b">
        <v>1</v>
      </c>
    </row>
    <row r="877" spans="1:12" x14ac:dyDescent="0.25">
      <c r="A877" s="16">
        <v>1920213</v>
      </c>
      <c r="B877" s="16" t="s">
        <v>556</v>
      </c>
      <c r="C877" s="16">
        <f t="shared" si="18"/>
        <v>102</v>
      </c>
      <c r="D877" s="16" t="str">
        <f>VLOOKUP(C877,[1]道具配置表!$A:$D,4,FALSE)</f>
        <v>1食物</v>
      </c>
      <c r="E877" s="16">
        <f>E873+1000</f>
        <v>13000</v>
      </c>
      <c r="J877" s="16">
        <v>1</v>
      </c>
      <c r="L877" s="16" t="b">
        <v>1</v>
      </c>
    </row>
    <row r="878" spans="1:12" x14ac:dyDescent="0.25">
      <c r="C878" s="16">
        <f t="shared" si="18"/>
        <v>101</v>
      </c>
      <c r="D878" s="16" t="str">
        <f>VLOOKUP(C878,[1]道具配置表!$A:$D,4,FALSE)</f>
        <v>1木材</v>
      </c>
      <c r="E878" s="16">
        <f>E874+500</f>
        <v>7000</v>
      </c>
      <c r="J878" s="16">
        <v>1</v>
      </c>
      <c r="L878" s="16" t="b">
        <v>1</v>
      </c>
    </row>
    <row r="879" spans="1:12" x14ac:dyDescent="0.25">
      <c r="C879" s="16">
        <f t="shared" si="18"/>
        <v>103</v>
      </c>
      <c r="D879" s="16" t="str">
        <f>VLOOKUP(C879,[1]道具配置表!$A:$D,4,FALSE)</f>
        <v>1石头</v>
      </c>
      <c r="E879" s="16">
        <f>E875+500</f>
        <v>7000</v>
      </c>
      <c r="J879" s="16">
        <v>1</v>
      </c>
      <c r="L879" s="16" t="b">
        <v>1</v>
      </c>
    </row>
    <row r="880" spans="1:12" x14ac:dyDescent="0.25">
      <c r="C880" s="16">
        <f t="shared" si="18"/>
        <v>104</v>
      </c>
      <c r="D880" s="16" t="str">
        <f>VLOOKUP(C880,[1]道具配置表!$A:$D,4,FALSE)</f>
        <v>1黄金</v>
      </c>
      <c r="E880" s="16">
        <f>E876+500</f>
        <v>7000</v>
      </c>
      <c r="J880" s="16">
        <v>1</v>
      </c>
      <c r="L880" s="16" t="b">
        <v>1</v>
      </c>
    </row>
    <row r="881" spans="1:12" x14ac:dyDescent="0.25">
      <c r="A881" s="16">
        <v>1920214</v>
      </c>
      <c r="B881" s="16" t="s">
        <v>557</v>
      </c>
      <c r="C881" s="16">
        <f t="shared" ref="C881:C944" si="19">C877</f>
        <v>102</v>
      </c>
      <c r="D881" s="16" t="str">
        <f>VLOOKUP(C881,[1]道具配置表!$A:$D,4,FALSE)</f>
        <v>1食物</v>
      </c>
      <c r="E881" s="16">
        <f>E877+1000</f>
        <v>14000</v>
      </c>
      <c r="J881" s="16">
        <v>1</v>
      </c>
      <c r="L881" s="16" t="b">
        <v>1</v>
      </c>
    </row>
    <row r="882" spans="1:12" x14ac:dyDescent="0.25">
      <c r="C882" s="16">
        <f t="shared" si="19"/>
        <v>101</v>
      </c>
      <c r="D882" s="16" t="str">
        <f>VLOOKUP(C882,[1]道具配置表!$A:$D,4,FALSE)</f>
        <v>1木材</v>
      </c>
      <c r="E882" s="16">
        <f>E878+500</f>
        <v>7500</v>
      </c>
      <c r="J882" s="16">
        <v>1</v>
      </c>
      <c r="L882" s="16" t="b">
        <v>1</v>
      </c>
    </row>
    <row r="883" spans="1:12" x14ac:dyDescent="0.25">
      <c r="C883" s="16">
        <f t="shared" si="19"/>
        <v>103</v>
      </c>
      <c r="D883" s="16" t="str">
        <f>VLOOKUP(C883,[1]道具配置表!$A:$D,4,FALSE)</f>
        <v>1石头</v>
      </c>
      <c r="E883" s="16">
        <f>E879+500</f>
        <v>7500</v>
      </c>
      <c r="J883" s="16">
        <v>1</v>
      </c>
      <c r="L883" s="16" t="b">
        <v>1</v>
      </c>
    </row>
    <row r="884" spans="1:12" x14ac:dyDescent="0.25">
      <c r="C884" s="16">
        <f t="shared" si="19"/>
        <v>104</v>
      </c>
      <c r="D884" s="16" t="str">
        <f>VLOOKUP(C884,[1]道具配置表!$A:$D,4,FALSE)</f>
        <v>1黄金</v>
      </c>
      <c r="E884" s="16">
        <f>E880+500</f>
        <v>7500</v>
      </c>
      <c r="J884" s="16">
        <v>1</v>
      </c>
      <c r="L884" s="16" t="b">
        <v>1</v>
      </c>
    </row>
    <row r="885" spans="1:12" x14ac:dyDescent="0.25">
      <c r="A885" s="16">
        <v>1920215</v>
      </c>
      <c r="B885" s="16" t="s">
        <v>558</v>
      </c>
      <c r="C885" s="16">
        <f t="shared" si="19"/>
        <v>102</v>
      </c>
      <c r="D885" s="16" t="str">
        <f>VLOOKUP(C885,[1]道具配置表!$A:$D,4,FALSE)</f>
        <v>1食物</v>
      </c>
      <c r="E885" s="16">
        <f>E881+1000</f>
        <v>15000</v>
      </c>
      <c r="J885" s="16">
        <v>1</v>
      </c>
      <c r="L885" s="16" t="b">
        <v>1</v>
      </c>
    </row>
    <row r="886" spans="1:12" x14ac:dyDescent="0.25">
      <c r="C886" s="16">
        <f t="shared" si="19"/>
        <v>101</v>
      </c>
      <c r="D886" s="16" t="str">
        <f>VLOOKUP(C886,[1]道具配置表!$A:$D,4,FALSE)</f>
        <v>1木材</v>
      </c>
      <c r="E886" s="16">
        <f>E882+500</f>
        <v>8000</v>
      </c>
      <c r="J886" s="16">
        <v>1</v>
      </c>
      <c r="L886" s="16" t="b">
        <v>1</v>
      </c>
    </row>
    <row r="887" spans="1:12" x14ac:dyDescent="0.25">
      <c r="C887" s="16">
        <f t="shared" si="19"/>
        <v>103</v>
      </c>
      <c r="D887" s="16" t="str">
        <f>VLOOKUP(C887,[1]道具配置表!$A:$D,4,FALSE)</f>
        <v>1石头</v>
      </c>
      <c r="E887" s="16">
        <f>E883+500</f>
        <v>8000</v>
      </c>
      <c r="J887" s="16">
        <v>1</v>
      </c>
      <c r="L887" s="16" t="b">
        <v>1</v>
      </c>
    </row>
    <row r="888" spans="1:12" x14ac:dyDescent="0.25">
      <c r="C888" s="16">
        <f t="shared" si="19"/>
        <v>104</v>
      </c>
      <c r="D888" s="16" t="str">
        <f>VLOOKUP(C888,[1]道具配置表!$A:$D,4,FALSE)</f>
        <v>1黄金</v>
      </c>
      <c r="E888" s="16">
        <f>E884+500</f>
        <v>8000</v>
      </c>
      <c r="J888" s="16">
        <v>1</v>
      </c>
      <c r="L888" s="16" t="b">
        <v>1</v>
      </c>
    </row>
    <row r="889" spans="1:12" x14ac:dyDescent="0.25">
      <c r="A889" s="16">
        <v>1920301</v>
      </c>
      <c r="B889" s="16" t="s">
        <v>559</v>
      </c>
      <c r="C889" s="16">
        <f t="shared" si="19"/>
        <v>102</v>
      </c>
      <c r="D889" s="16" t="str">
        <f>VLOOKUP(C889,[1]道具配置表!$A:$D,4,FALSE)</f>
        <v>1食物</v>
      </c>
      <c r="E889" s="16">
        <v>1000</v>
      </c>
      <c r="J889" s="16">
        <v>1</v>
      </c>
      <c r="L889" s="16" t="b">
        <v>1</v>
      </c>
    </row>
    <row r="890" spans="1:12" x14ac:dyDescent="0.25">
      <c r="C890" s="16">
        <f t="shared" si="19"/>
        <v>101</v>
      </c>
      <c r="D890" s="16" t="str">
        <f>VLOOKUP(C890,[1]道具配置表!$A:$D,4,FALSE)</f>
        <v>1木材</v>
      </c>
      <c r="E890" s="16">
        <v>1000</v>
      </c>
      <c r="J890" s="16">
        <v>1</v>
      </c>
      <c r="L890" s="16" t="b">
        <v>1</v>
      </c>
    </row>
    <row r="891" spans="1:12" x14ac:dyDescent="0.25">
      <c r="C891" s="16">
        <f t="shared" si="19"/>
        <v>103</v>
      </c>
      <c r="D891" s="16" t="str">
        <f>VLOOKUP(C891,[1]道具配置表!$A:$D,4,FALSE)</f>
        <v>1石头</v>
      </c>
      <c r="E891" s="16">
        <v>1000</v>
      </c>
      <c r="J891" s="16">
        <v>1</v>
      </c>
      <c r="L891" s="16" t="b">
        <v>1</v>
      </c>
    </row>
    <row r="892" spans="1:12" x14ac:dyDescent="0.25">
      <c r="C892" s="16">
        <f t="shared" si="19"/>
        <v>104</v>
      </c>
      <c r="D892" s="16" t="str">
        <f>VLOOKUP(C892,[1]道具配置表!$A:$D,4,FALSE)</f>
        <v>1黄金</v>
      </c>
      <c r="E892" s="16">
        <v>1000</v>
      </c>
      <c r="J892" s="16">
        <v>1</v>
      </c>
      <c r="L892" s="16" t="b">
        <v>1</v>
      </c>
    </row>
    <row r="893" spans="1:12" x14ac:dyDescent="0.25">
      <c r="A893" s="16">
        <v>1920302</v>
      </c>
      <c r="B893" s="16" t="s">
        <v>560</v>
      </c>
      <c r="C893" s="16">
        <f t="shared" si="19"/>
        <v>102</v>
      </c>
      <c r="D893" s="16" t="str">
        <f>VLOOKUP(C893,[1]道具配置表!$A:$D,4,FALSE)</f>
        <v>1食物</v>
      </c>
      <c r="E893" s="16">
        <f>E889+300</f>
        <v>1300</v>
      </c>
      <c r="J893" s="16">
        <v>1</v>
      </c>
      <c r="L893" s="16" t="b">
        <v>1</v>
      </c>
    </row>
    <row r="894" spans="1:12" x14ac:dyDescent="0.25">
      <c r="C894" s="16">
        <f t="shared" si="19"/>
        <v>101</v>
      </c>
      <c r="D894" s="16" t="str">
        <f>VLOOKUP(C894,[1]道具配置表!$A:$D,4,FALSE)</f>
        <v>1木材</v>
      </c>
      <c r="E894" s="16">
        <f>E890+500</f>
        <v>1500</v>
      </c>
      <c r="J894" s="16">
        <v>1</v>
      </c>
      <c r="L894" s="16" t="b">
        <v>1</v>
      </c>
    </row>
    <row r="895" spans="1:12" x14ac:dyDescent="0.25">
      <c r="C895" s="16">
        <f t="shared" si="19"/>
        <v>103</v>
      </c>
      <c r="D895" s="16" t="str">
        <f>VLOOKUP(C895,[1]道具配置表!$A:$D,4,FALSE)</f>
        <v>1石头</v>
      </c>
      <c r="E895" s="16">
        <f>E891+500</f>
        <v>1500</v>
      </c>
      <c r="J895" s="16">
        <v>1</v>
      </c>
      <c r="L895" s="16" t="b">
        <v>1</v>
      </c>
    </row>
    <row r="896" spans="1:12" x14ac:dyDescent="0.25">
      <c r="C896" s="16">
        <f t="shared" si="19"/>
        <v>104</v>
      </c>
      <c r="D896" s="16" t="str">
        <f>VLOOKUP(C896,[1]道具配置表!$A:$D,4,FALSE)</f>
        <v>1黄金</v>
      </c>
      <c r="E896" s="16">
        <f>E892+500</f>
        <v>1500</v>
      </c>
      <c r="J896" s="16">
        <v>1</v>
      </c>
      <c r="L896" s="16" t="b">
        <v>1</v>
      </c>
    </row>
    <row r="897" spans="1:12" x14ac:dyDescent="0.25">
      <c r="A897" s="16">
        <v>1920303</v>
      </c>
      <c r="B897" s="16" t="s">
        <v>561</v>
      </c>
      <c r="C897" s="16">
        <f t="shared" si="19"/>
        <v>102</v>
      </c>
      <c r="D897" s="16" t="str">
        <f>VLOOKUP(C897,[1]道具配置表!$A:$D,4,FALSE)</f>
        <v>1食物</v>
      </c>
      <c r="E897" s="16">
        <f>E893+300</f>
        <v>1600</v>
      </c>
      <c r="J897" s="16">
        <v>1</v>
      </c>
      <c r="L897" s="16" t="b">
        <v>1</v>
      </c>
    </row>
    <row r="898" spans="1:12" x14ac:dyDescent="0.25">
      <c r="C898" s="16">
        <f t="shared" si="19"/>
        <v>101</v>
      </c>
      <c r="D898" s="16" t="str">
        <f>VLOOKUP(C898,[1]道具配置表!$A:$D,4,FALSE)</f>
        <v>1木材</v>
      </c>
      <c r="E898" s="16">
        <f>E894+500</f>
        <v>2000</v>
      </c>
      <c r="J898" s="16">
        <v>1</v>
      </c>
      <c r="L898" s="16" t="b">
        <v>1</v>
      </c>
    </row>
    <row r="899" spans="1:12" x14ac:dyDescent="0.25">
      <c r="C899" s="16">
        <f t="shared" si="19"/>
        <v>103</v>
      </c>
      <c r="D899" s="16" t="str">
        <f>VLOOKUP(C899,[1]道具配置表!$A:$D,4,FALSE)</f>
        <v>1石头</v>
      </c>
      <c r="E899" s="16">
        <f>E895+500</f>
        <v>2000</v>
      </c>
      <c r="J899" s="16">
        <v>1</v>
      </c>
      <c r="L899" s="16" t="b">
        <v>1</v>
      </c>
    </row>
    <row r="900" spans="1:12" x14ac:dyDescent="0.25">
      <c r="C900" s="16">
        <f t="shared" si="19"/>
        <v>104</v>
      </c>
      <c r="D900" s="16" t="str">
        <f>VLOOKUP(C900,[1]道具配置表!$A:$D,4,FALSE)</f>
        <v>1黄金</v>
      </c>
      <c r="E900" s="16">
        <f>E896+500</f>
        <v>2000</v>
      </c>
      <c r="J900" s="16">
        <v>1</v>
      </c>
      <c r="L900" s="16" t="b">
        <v>1</v>
      </c>
    </row>
    <row r="901" spans="1:12" x14ac:dyDescent="0.25">
      <c r="A901" s="16">
        <v>1920304</v>
      </c>
      <c r="B901" s="16" t="s">
        <v>562</v>
      </c>
      <c r="C901" s="16">
        <f t="shared" si="19"/>
        <v>102</v>
      </c>
      <c r="D901" s="16" t="str">
        <f>VLOOKUP(C901,[1]道具配置表!$A:$D,4,FALSE)</f>
        <v>1食物</v>
      </c>
      <c r="E901" s="16">
        <f>E897+300</f>
        <v>1900</v>
      </c>
      <c r="J901" s="16">
        <v>1</v>
      </c>
      <c r="L901" s="16" t="b">
        <v>1</v>
      </c>
    </row>
    <row r="902" spans="1:12" x14ac:dyDescent="0.25">
      <c r="C902" s="16">
        <f t="shared" si="19"/>
        <v>101</v>
      </c>
      <c r="D902" s="16" t="str">
        <f>VLOOKUP(C902,[1]道具配置表!$A:$D,4,FALSE)</f>
        <v>1木材</v>
      </c>
      <c r="E902" s="16">
        <f>E898+500</f>
        <v>2500</v>
      </c>
      <c r="J902" s="16">
        <v>1</v>
      </c>
      <c r="L902" s="16" t="b">
        <v>1</v>
      </c>
    </row>
    <row r="903" spans="1:12" x14ac:dyDescent="0.25">
      <c r="C903" s="16">
        <f t="shared" si="19"/>
        <v>103</v>
      </c>
      <c r="D903" s="16" t="str">
        <f>VLOOKUP(C903,[1]道具配置表!$A:$D,4,FALSE)</f>
        <v>1石头</v>
      </c>
      <c r="E903" s="16">
        <f>E899+500</f>
        <v>2500</v>
      </c>
      <c r="J903" s="16">
        <v>1</v>
      </c>
      <c r="L903" s="16" t="b">
        <v>1</v>
      </c>
    </row>
    <row r="904" spans="1:12" x14ac:dyDescent="0.25">
      <c r="C904" s="16">
        <f t="shared" si="19"/>
        <v>104</v>
      </c>
      <c r="D904" s="16" t="str">
        <f>VLOOKUP(C904,[1]道具配置表!$A:$D,4,FALSE)</f>
        <v>1黄金</v>
      </c>
      <c r="E904" s="16">
        <f>E900+500</f>
        <v>2500</v>
      </c>
      <c r="J904" s="16">
        <v>1</v>
      </c>
      <c r="L904" s="16" t="b">
        <v>1</v>
      </c>
    </row>
    <row r="905" spans="1:12" x14ac:dyDescent="0.25">
      <c r="A905" s="16">
        <v>1920305</v>
      </c>
      <c r="B905" s="16" t="s">
        <v>563</v>
      </c>
      <c r="C905" s="16">
        <f t="shared" si="19"/>
        <v>102</v>
      </c>
      <c r="D905" s="16" t="str">
        <f>VLOOKUP(C905,[1]道具配置表!$A:$D,4,FALSE)</f>
        <v>1食物</v>
      </c>
      <c r="E905" s="16">
        <f>E901+300</f>
        <v>2200</v>
      </c>
      <c r="J905" s="16">
        <v>1</v>
      </c>
      <c r="L905" s="16" t="b">
        <v>1</v>
      </c>
    </row>
    <row r="906" spans="1:12" x14ac:dyDescent="0.25">
      <c r="C906" s="16">
        <f t="shared" si="19"/>
        <v>101</v>
      </c>
      <c r="D906" s="16" t="str">
        <f>VLOOKUP(C906,[1]道具配置表!$A:$D,4,FALSE)</f>
        <v>1木材</v>
      </c>
      <c r="E906" s="16">
        <f>E902+500</f>
        <v>3000</v>
      </c>
      <c r="J906" s="16">
        <v>1</v>
      </c>
      <c r="L906" s="16" t="b">
        <v>1</v>
      </c>
    </row>
    <row r="907" spans="1:12" x14ac:dyDescent="0.25">
      <c r="C907" s="16">
        <f t="shared" si="19"/>
        <v>103</v>
      </c>
      <c r="D907" s="16" t="str">
        <f>VLOOKUP(C907,[1]道具配置表!$A:$D,4,FALSE)</f>
        <v>1石头</v>
      </c>
      <c r="E907" s="16">
        <f>E903+500</f>
        <v>3000</v>
      </c>
      <c r="J907" s="16">
        <v>1</v>
      </c>
      <c r="L907" s="16" t="b">
        <v>1</v>
      </c>
    </row>
    <row r="908" spans="1:12" x14ac:dyDescent="0.25">
      <c r="C908" s="16">
        <f t="shared" si="19"/>
        <v>104</v>
      </c>
      <c r="D908" s="16" t="str">
        <f>VLOOKUP(C908,[1]道具配置表!$A:$D,4,FALSE)</f>
        <v>1黄金</v>
      </c>
      <c r="E908" s="16">
        <f>E904+500</f>
        <v>3000</v>
      </c>
      <c r="J908" s="16">
        <v>1</v>
      </c>
      <c r="L908" s="16" t="b">
        <v>1</v>
      </c>
    </row>
    <row r="909" spans="1:12" x14ac:dyDescent="0.25">
      <c r="A909" s="16">
        <v>1920306</v>
      </c>
      <c r="B909" s="16" t="s">
        <v>564</v>
      </c>
      <c r="C909" s="16">
        <f t="shared" si="19"/>
        <v>102</v>
      </c>
      <c r="D909" s="16" t="str">
        <f>VLOOKUP(C909,[1]道具配置表!$A:$D,4,FALSE)</f>
        <v>1食物</v>
      </c>
      <c r="E909" s="16">
        <f>E905+300</f>
        <v>2500</v>
      </c>
      <c r="J909" s="16">
        <v>1</v>
      </c>
      <c r="L909" s="16" t="b">
        <v>1</v>
      </c>
    </row>
    <row r="910" spans="1:12" x14ac:dyDescent="0.25">
      <c r="C910" s="16">
        <f t="shared" si="19"/>
        <v>101</v>
      </c>
      <c r="D910" s="16" t="str">
        <f>VLOOKUP(C910,[1]道具配置表!$A:$D,4,FALSE)</f>
        <v>1木材</v>
      </c>
      <c r="E910" s="16">
        <f>E906+500</f>
        <v>3500</v>
      </c>
      <c r="J910" s="16">
        <v>1</v>
      </c>
      <c r="L910" s="16" t="b">
        <v>1</v>
      </c>
    </row>
    <row r="911" spans="1:12" x14ac:dyDescent="0.25">
      <c r="C911" s="16">
        <f t="shared" si="19"/>
        <v>103</v>
      </c>
      <c r="D911" s="16" t="str">
        <f>VLOOKUP(C911,[1]道具配置表!$A:$D,4,FALSE)</f>
        <v>1石头</v>
      </c>
      <c r="E911" s="16">
        <f>E907+500</f>
        <v>3500</v>
      </c>
      <c r="J911" s="16">
        <v>1</v>
      </c>
      <c r="L911" s="16" t="b">
        <v>1</v>
      </c>
    </row>
    <row r="912" spans="1:12" x14ac:dyDescent="0.25">
      <c r="C912" s="16">
        <f t="shared" si="19"/>
        <v>104</v>
      </c>
      <c r="D912" s="16" t="str">
        <f>VLOOKUP(C912,[1]道具配置表!$A:$D,4,FALSE)</f>
        <v>1黄金</v>
      </c>
      <c r="E912" s="16">
        <f>E908+500</f>
        <v>3500</v>
      </c>
      <c r="J912" s="16">
        <v>1</v>
      </c>
      <c r="L912" s="16" t="b">
        <v>1</v>
      </c>
    </row>
    <row r="913" spans="1:12" x14ac:dyDescent="0.25">
      <c r="A913" s="16">
        <v>1920307</v>
      </c>
      <c r="B913" s="16" t="s">
        <v>565</v>
      </c>
      <c r="C913" s="16">
        <f t="shared" si="19"/>
        <v>102</v>
      </c>
      <c r="D913" s="16" t="str">
        <f>VLOOKUP(C913,[1]道具配置表!$A:$D,4,FALSE)</f>
        <v>1食物</v>
      </c>
      <c r="E913" s="16">
        <f>E909+300</f>
        <v>2800</v>
      </c>
      <c r="J913" s="16">
        <v>1</v>
      </c>
      <c r="L913" s="16" t="b">
        <v>1</v>
      </c>
    </row>
    <row r="914" spans="1:12" x14ac:dyDescent="0.25">
      <c r="C914" s="16">
        <f t="shared" si="19"/>
        <v>101</v>
      </c>
      <c r="D914" s="16" t="str">
        <f>VLOOKUP(C914,[1]道具配置表!$A:$D,4,FALSE)</f>
        <v>1木材</v>
      </c>
      <c r="E914" s="16">
        <f>E910+500</f>
        <v>4000</v>
      </c>
      <c r="J914" s="16">
        <v>1</v>
      </c>
      <c r="L914" s="16" t="b">
        <v>1</v>
      </c>
    </row>
    <row r="915" spans="1:12" x14ac:dyDescent="0.25">
      <c r="C915" s="16">
        <f t="shared" si="19"/>
        <v>103</v>
      </c>
      <c r="D915" s="16" t="str">
        <f>VLOOKUP(C915,[1]道具配置表!$A:$D,4,FALSE)</f>
        <v>1石头</v>
      </c>
      <c r="E915" s="16">
        <f>E911+500</f>
        <v>4000</v>
      </c>
      <c r="J915" s="16">
        <v>1</v>
      </c>
      <c r="L915" s="16" t="b">
        <v>1</v>
      </c>
    </row>
    <row r="916" spans="1:12" x14ac:dyDescent="0.25">
      <c r="C916" s="16">
        <f t="shared" si="19"/>
        <v>104</v>
      </c>
      <c r="D916" s="16" t="str">
        <f>VLOOKUP(C916,[1]道具配置表!$A:$D,4,FALSE)</f>
        <v>1黄金</v>
      </c>
      <c r="E916" s="16">
        <f>E912+500</f>
        <v>4000</v>
      </c>
      <c r="J916" s="16">
        <v>1</v>
      </c>
      <c r="L916" s="16" t="b">
        <v>1</v>
      </c>
    </row>
    <row r="917" spans="1:12" x14ac:dyDescent="0.25">
      <c r="A917" s="16">
        <v>1920308</v>
      </c>
      <c r="B917" s="16" t="s">
        <v>566</v>
      </c>
      <c r="C917" s="16">
        <f t="shared" si="19"/>
        <v>102</v>
      </c>
      <c r="D917" s="16" t="str">
        <f>VLOOKUP(C917,[1]道具配置表!$A:$D,4,FALSE)</f>
        <v>1食物</v>
      </c>
      <c r="E917" s="16">
        <f>E913+300</f>
        <v>3100</v>
      </c>
      <c r="J917" s="16">
        <v>1</v>
      </c>
      <c r="L917" s="16" t="b">
        <v>1</v>
      </c>
    </row>
    <row r="918" spans="1:12" x14ac:dyDescent="0.25">
      <c r="C918" s="16">
        <f t="shared" si="19"/>
        <v>101</v>
      </c>
      <c r="D918" s="16" t="str">
        <f>VLOOKUP(C918,[1]道具配置表!$A:$D,4,FALSE)</f>
        <v>1木材</v>
      </c>
      <c r="E918" s="16">
        <f>E914+500</f>
        <v>4500</v>
      </c>
      <c r="J918" s="16">
        <v>1</v>
      </c>
      <c r="L918" s="16" t="b">
        <v>1</v>
      </c>
    </row>
    <row r="919" spans="1:12" x14ac:dyDescent="0.25">
      <c r="C919" s="16">
        <f t="shared" si="19"/>
        <v>103</v>
      </c>
      <c r="D919" s="16" t="str">
        <f>VLOOKUP(C919,[1]道具配置表!$A:$D,4,FALSE)</f>
        <v>1石头</v>
      </c>
      <c r="E919" s="16">
        <f>E915+500</f>
        <v>4500</v>
      </c>
      <c r="J919" s="16">
        <v>1</v>
      </c>
      <c r="L919" s="16" t="b">
        <v>1</v>
      </c>
    </row>
    <row r="920" spans="1:12" x14ac:dyDescent="0.25">
      <c r="C920" s="16">
        <f t="shared" si="19"/>
        <v>104</v>
      </c>
      <c r="D920" s="16" t="str">
        <f>VLOOKUP(C920,[1]道具配置表!$A:$D,4,FALSE)</f>
        <v>1黄金</v>
      </c>
      <c r="E920" s="16">
        <f>E916+500</f>
        <v>4500</v>
      </c>
      <c r="J920" s="16">
        <v>1</v>
      </c>
      <c r="L920" s="16" t="b">
        <v>1</v>
      </c>
    </row>
    <row r="921" spans="1:12" x14ac:dyDescent="0.25">
      <c r="A921" s="16">
        <v>1920309</v>
      </c>
      <c r="B921" s="16" t="s">
        <v>567</v>
      </c>
      <c r="C921" s="16">
        <f t="shared" si="19"/>
        <v>102</v>
      </c>
      <c r="D921" s="16" t="str">
        <f>VLOOKUP(C921,[1]道具配置表!$A:$D,4,FALSE)</f>
        <v>1食物</v>
      </c>
      <c r="E921" s="16">
        <f>E917+300</f>
        <v>3400</v>
      </c>
      <c r="J921" s="16">
        <v>1</v>
      </c>
      <c r="L921" s="16" t="b">
        <v>1</v>
      </c>
    </row>
    <row r="922" spans="1:12" x14ac:dyDescent="0.25">
      <c r="C922" s="16">
        <f t="shared" si="19"/>
        <v>101</v>
      </c>
      <c r="D922" s="16" t="str">
        <f>VLOOKUP(C922,[1]道具配置表!$A:$D,4,FALSE)</f>
        <v>1木材</v>
      </c>
      <c r="E922" s="16">
        <f>E918+500</f>
        <v>5000</v>
      </c>
      <c r="J922" s="16">
        <v>1</v>
      </c>
      <c r="L922" s="16" t="b">
        <v>1</v>
      </c>
    </row>
    <row r="923" spans="1:12" x14ac:dyDescent="0.25">
      <c r="C923" s="16">
        <f t="shared" si="19"/>
        <v>103</v>
      </c>
      <c r="D923" s="16" t="str">
        <f>VLOOKUP(C923,[1]道具配置表!$A:$D,4,FALSE)</f>
        <v>1石头</v>
      </c>
      <c r="E923" s="16">
        <f>E919+500</f>
        <v>5000</v>
      </c>
      <c r="J923" s="16">
        <v>1</v>
      </c>
      <c r="L923" s="16" t="b">
        <v>1</v>
      </c>
    </row>
    <row r="924" spans="1:12" x14ac:dyDescent="0.25">
      <c r="C924" s="16">
        <f t="shared" si="19"/>
        <v>104</v>
      </c>
      <c r="D924" s="16" t="str">
        <f>VLOOKUP(C924,[1]道具配置表!$A:$D,4,FALSE)</f>
        <v>1黄金</v>
      </c>
      <c r="E924" s="16">
        <f>E920+500</f>
        <v>5000</v>
      </c>
      <c r="J924" s="16">
        <v>1</v>
      </c>
      <c r="L924" s="16" t="b">
        <v>1</v>
      </c>
    </row>
    <row r="925" spans="1:12" x14ac:dyDescent="0.25">
      <c r="A925" s="16">
        <v>1920310</v>
      </c>
      <c r="B925" s="16" t="s">
        <v>568</v>
      </c>
      <c r="C925" s="16">
        <f t="shared" si="19"/>
        <v>102</v>
      </c>
      <c r="D925" s="16" t="str">
        <f>VLOOKUP(C925,[1]道具配置表!$A:$D,4,FALSE)</f>
        <v>1食物</v>
      </c>
      <c r="E925" s="16">
        <f>E921+300</f>
        <v>3700</v>
      </c>
      <c r="J925" s="16">
        <v>1</v>
      </c>
      <c r="L925" s="16" t="b">
        <v>1</v>
      </c>
    </row>
    <row r="926" spans="1:12" x14ac:dyDescent="0.25">
      <c r="C926" s="16">
        <f t="shared" si="19"/>
        <v>101</v>
      </c>
      <c r="D926" s="16" t="str">
        <f>VLOOKUP(C926,[1]道具配置表!$A:$D,4,FALSE)</f>
        <v>1木材</v>
      </c>
      <c r="E926" s="16">
        <f>E922+500</f>
        <v>5500</v>
      </c>
      <c r="J926" s="16">
        <v>1</v>
      </c>
      <c r="L926" s="16" t="b">
        <v>1</v>
      </c>
    </row>
    <row r="927" spans="1:12" x14ac:dyDescent="0.25">
      <c r="C927" s="16">
        <f t="shared" si="19"/>
        <v>103</v>
      </c>
      <c r="D927" s="16" t="str">
        <f>VLOOKUP(C927,[1]道具配置表!$A:$D,4,FALSE)</f>
        <v>1石头</v>
      </c>
      <c r="E927" s="16">
        <f>E923+500</f>
        <v>5500</v>
      </c>
      <c r="J927" s="16">
        <v>1</v>
      </c>
      <c r="L927" s="16" t="b">
        <v>1</v>
      </c>
    </row>
    <row r="928" spans="1:12" x14ac:dyDescent="0.25">
      <c r="C928" s="16">
        <f t="shared" si="19"/>
        <v>104</v>
      </c>
      <c r="D928" s="16" t="str">
        <f>VLOOKUP(C928,[1]道具配置表!$A:$D,4,FALSE)</f>
        <v>1黄金</v>
      </c>
      <c r="E928" s="16">
        <f>E924+500</f>
        <v>5500</v>
      </c>
      <c r="J928" s="16">
        <v>1</v>
      </c>
      <c r="L928" s="16" t="b">
        <v>1</v>
      </c>
    </row>
    <row r="929" spans="1:12" x14ac:dyDescent="0.25">
      <c r="A929" s="16">
        <v>1920311</v>
      </c>
      <c r="B929" s="16" t="s">
        <v>569</v>
      </c>
      <c r="C929" s="16">
        <f t="shared" si="19"/>
        <v>102</v>
      </c>
      <c r="D929" s="16" t="str">
        <f>VLOOKUP(C929,[1]道具配置表!$A:$D,4,FALSE)</f>
        <v>1食物</v>
      </c>
      <c r="E929" s="16">
        <f>E925+300</f>
        <v>4000</v>
      </c>
      <c r="J929" s="16">
        <v>1</v>
      </c>
      <c r="L929" s="16" t="b">
        <v>1</v>
      </c>
    </row>
    <row r="930" spans="1:12" x14ac:dyDescent="0.25">
      <c r="C930" s="16">
        <f t="shared" si="19"/>
        <v>101</v>
      </c>
      <c r="D930" s="16" t="str">
        <f>VLOOKUP(C930,[1]道具配置表!$A:$D,4,FALSE)</f>
        <v>1木材</v>
      </c>
      <c r="E930" s="16">
        <f>E926+500</f>
        <v>6000</v>
      </c>
      <c r="J930" s="16">
        <v>1</v>
      </c>
      <c r="L930" s="16" t="b">
        <v>1</v>
      </c>
    </row>
    <row r="931" spans="1:12" x14ac:dyDescent="0.25">
      <c r="C931" s="16">
        <f t="shared" si="19"/>
        <v>103</v>
      </c>
      <c r="D931" s="16" t="str">
        <f>VLOOKUP(C931,[1]道具配置表!$A:$D,4,FALSE)</f>
        <v>1石头</v>
      </c>
      <c r="E931" s="16">
        <f>E927+500</f>
        <v>6000</v>
      </c>
      <c r="J931" s="16">
        <v>1</v>
      </c>
      <c r="L931" s="16" t="b">
        <v>1</v>
      </c>
    </row>
    <row r="932" spans="1:12" x14ac:dyDescent="0.25">
      <c r="C932" s="16">
        <f t="shared" si="19"/>
        <v>104</v>
      </c>
      <c r="D932" s="16" t="str">
        <f>VLOOKUP(C932,[1]道具配置表!$A:$D,4,FALSE)</f>
        <v>1黄金</v>
      </c>
      <c r="E932" s="16">
        <f>E928+500</f>
        <v>6000</v>
      </c>
      <c r="J932" s="16">
        <v>1</v>
      </c>
      <c r="L932" s="16" t="b">
        <v>1</v>
      </c>
    </row>
    <row r="933" spans="1:12" x14ac:dyDescent="0.25">
      <c r="A933" s="16">
        <v>1920312</v>
      </c>
      <c r="B933" s="16" t="s">
        <v>570</v>
      </c>
      <c r="C933" s="16">
        <f t="shared" si="19"/>
        <v>102</v>
      </c>
      <c r="D933" s="16" t="str">
        <f>VLOOKUP(C933,[1]道具配置表!$A:$D,4,FALSE)</f>
        <v>1食物</v>
      </c>
      <c r="E933" s="16">
        <f>E929+300</f>
        <v>4300</v>
      </c>
      <c r="J933" s="16">
        <v>1</v>
      </c>
      <c r="L933" s="16" t="b">
        <v>1</v>
      </c>
    </row>
    <row r="934" spans="1:12" x14ac:dyDescent="0.25">
      <c r="C934" s="16">
        <f t="shared" si="19"/>
        <v>101</v>
      </c>
      <c r="D934" s="16" t="str">
        <f>VLOOKUP(C934,[1]道具配置表!$A:$D,4,FALSE)</f>
        <v>1木材</v>
      </c>
      <c r="E934" s="16">
        <f>E930+500</f>
        <v>6500</v>
      </c>
      <c r="J934" s="16">
        <v>1</v>
      </c>
      <c r="L934" s="16" t="b">
        <v>1</v>
      </c>
    </row>
    <row r="935" spans="1:12" x14ac:dyDescent="0.25">
      <c r="C935" s="16">
        <f t="shared" si="19"/>
        <v>103</v>
      </c>
      <c r="D935" s="16" t="str">
        <f>VLOOKUP(C935,[1]道具配置表!$A:$D,4,FALSE)</f>
        <v>1石头</v>
      </c>
      <c r="E935" s="16">
        <f>E931+500</f>
        <v>6500</v>
      </c>
      <c r="J935" s="16">
        <v>1</v>
      </c>
      <c r="L935" s="16" t="b">
        <v>1</v>
      </c>
    </row>
    <row r="936" spans="1:12" x14ac:dyDescent="0.25">
      <c r="C936" s="16">
        <f t="shared" si="19"/>
        <v>104</v>
      </c>
      <c r="D936" s="16" t="str">
        <f>VLOOKUP(C936,[1]道具配置表!$A:$D,4,FALSE)</f>
        <v>1黄金</v>
      </c>
      <c r="E936" s="16">
        <f>E932+500</f>
        <v>6500</v>
      </c>
      <c r="J936" s="16">
        <v>1</v>
      </c>
      <c r="L936" s="16" t="b">
        <v>1</v>
      </c>
    </row>
    <row r="937" spans="1:12" x14ac:dyDescent="0.25">
      <c r="A937" s="16">
        <v>1920313</v>
      </c>
      <c r="B937" s="16" t="s">
        <v>571</v>
      </c>
      <c r="C937" s="16">
        <f t="shared" si="19"/>
        <v>102</v>
      </c>
      <c r="D937" s="16" t="str">
        <f>VLOOKUP(C937,[1]道具配置表!$A:$D,4,FALSE)</f>
        <v>1食物</v>
      </c>
      <c r="E937" s="16">
        <f>E933+300</f>
        <v>4600</v>
      </c>
      <c r="J937" s="16">
        <v>1</v>
      </c>
      <c r="L937" s="16" t="b">
        <v>1</v>
      </c>
    </row>
    <row r="938" spans="1:12" x14ac:dyDescent="0.25">
      <c r="C938" s="16">
        <f t="shared" si="19"/>
        <v>101</v>
      </c>
      <c r="D938" s="16" t="str">
        <f>VLOOKUP(C938,[1]道具配置表!$A:$D,4,FALSE)</f>
        <v>1木材</v>
      </c>
      <c r="E938" s="16">
        <f>E934+500</f>
        <v>7000</v>
      </c>
      <c r="J938" s="16">
        <v>1</v>
      </c>
      <c r="L938" s="16" t="b">
        <v>1</v>
      </c>
    </row>
    <row r="939" spans="1:12" x14ac:dyDescent="0.25">
      <c r="C939" s="16">
        <f t="shared" si="19"/>
        <v>103</v>
      </c>
      <c r="D939" s="16" t="str">
        <f>VLOOKUP(C939,[1]道具配置表!$A:$D,4,FALSE)</f>
        <v>1石头</v>
      </c>
      <c r="E939" s="16">
        <f>E935+500</f>
        <v>7000</v>
      </c>
      <c r="J939" s="16">
        <v>1</v>
      </c>
      <c r="L939" s="16" t="b">
        <v>1</v>
      </c>
    </row>
    <row r="940" spans="1:12" x14ac:dyDescent="0.25">
      <c r="C940" s="16">
        <f t="shared" si="19"/>
        <v>104</v>
      </c>
      <c r="D940" s="16" t="str">
        <f>VLOOKUP(C940,[1]道具配置表!$A:$D,4,FALSE)</f>
        <v>1黄金</v>
      </c>
      <c r="E940" s="16">
        <f>E936+500</f>
        <v>7000</v>
      </c>
      <c r="J940" s="16">
        <v>1</v>
      </c>
      <c r="L940" s="16" t="b">
        <v>1</v>
      </c>
    </row>
    <row r="941" spans="1:12" x14ac:dyDescent="0.25">
      <c r="A941" s="16">
        <v>1920314</v>
      </c>
      <c r="B941" s="16" t="s">
        <v>572</v>
      </c>
      <c r="C941" s="16">
        <f t="shared" si="19"/>
        <v>102</v>
      </c>
      <c r="D941" s="16" t="str">
        <f>VLOOKUP(C941,[1]道具配置表!$A:$D,4,FALSE)</f>
        <v>1食物</v>
      </c>
      <c r="E941" s="16">
        <f>E937+300</f>
        <v>4900</v>
      </c>
      <c r="J941" s="16">
        <v>1</v>
      </c>
      <c r="L941" s="16" t="b">
        <v>1</v>
      </c>
    </row>
    <row r="942" spans="1:12" x14ac:dyDescent="0.25">
      <c r="C942" s="16">
        <f t="shared" si="19"/>
        <v>101</v>
      </c>
      <c r="D942" s="16" t="str">
        <f>VLOOKUP(C942,[1]道具配置表!$A:$D,4,FALSE)</f>
        <v>1木材</v>
      </c>
      <c r="E942" s="16">
        <f>E938+500</f>
        <v>7500</v>
      </c>
      <c r="J942" s="16">
        <v>1</v>
      </c>
      <c r="L942" s="16" t="b">
        <v>1</v>
      </c>
    </row>
    <row r="943" spans="1:12" x14ac:dyDescent="0.25">
      <c r="C943" s="16">
        <f t="shared" si="19"/>
        <v>103</v>
      </c>
      <c r="D943" s="16" t="str">
        <f>VLOOKUP(C943,[1]道具配置表!$A:$D,4,FALSE)</f>
        <v>1石头</v>
      </c>
      <c r="E943" s="16">
        <f>E939+500</f>
        <v>7500</v>
      </c>
      <c r="J943" s="16">
        <v>1</v>
      </c>
      <c r="L943" s="16" t="b">
        <v>1</v>
      </c>
    </row>
    <row r="944" spans="1:12" x14ac:dyDescent="0.25">
      <c r="C944" s="16">
        <f t="shared" si="19"/>
        <v>104</v>
      </c>
      <c r="D944" s="16" t="str">
        <f>VLOOKUP(C944,[1]道具配置表!$A:$D,4,FALSE)</f>
        <v>1黄金</v>
      </c>
      <c r="E944" s="16">
        <f>E940+500</f>
        <v>7500</v>
      </c>
      <c r="J944" s="16">
        <v>1</v>
      </c>
      <c r="L944" s="16" t="b">
        <v>1</v>
      </c>
    </row>
    <row r="945" spans="1:12" x14ac:dyDescent="0.25">
      <c r="A945" s="16">
        <v>1920315</v>
      </c>
      <c r="B945" s="16" t="s">
        <v>573</v>
      </c>
      <c r="C945" s="16">
        <f t="shared" ref="C945:C1008" si="20">C941</f>
        <v>102</v>
      </c>
      <c r="D945" s="16" t="str">
        <f>VLOOKUP(C945,[1]道具配置表!$A:$D,4,FALSE)</f>
        <v>1食物</v>
      </c>
      <c r="E945" s="16">
        <f>E941+300</f>
        <v>5200</v>
      </c>
      <c r="J945" s="16">
        <v>1</v>
      </c>
      <c r="L945" s="16" t="b">
        <v>1</v>
      </c>
    </row>
    <row r="946" spans="1:12" x14ac:dyDescent="0.25">
      <c r="C946" s="16">
        <f t="shared" si="20"/>
        <v>101</v>
      </c>
      <c r="D946" s="16" t="str">
        <f>VLOOKUP(C946,[1]道具配置表!$A:$D,4,FALSE)</f>
        <v>1木材</v>
      </c>
      <c r="E946" s="16">
        <f>E942+500</f>
        <v>8000</v>
      </c>
      <c r="J946" s="16">
        <v>1</v>
      </c>
      <c r="L946" s="16" t="b">
        <v>1</v>
      </c>
    </row>
    <row r="947" spans="1:12" x14ac:dyDescent="0.25">
      <c r="C947" s="16">
        <f t="shared" si="20"/>
        <v>103</v>
      </c>
      <c r="D947" s="16" t="str">
        <f>VLOOKUP(C947,[1]道具配置表!$A:$D,4,FALSE)</f>
        <v>1石头</v>
      </c>
      <c r="E947" s="16">
        <f>E943+500</f>
        <v>8000</v>
      </c>
      <c r="J947" s="16">
        <v>1</v>
      </c>
      <c r="L947" s="16" t="b">
        <v>1</v>
      </c>
    </row>
    <row r="948" spans="1:12" x14ac:dyDescent="0.25">
      <c r="C948" s="16">
        <f t="shared" si="20"/>
        <v>104</v>
      </c>
      <c r="D948" s="16" t="str">
        <f>VLOOKUP(C948,[1]道具配置表!$A:$D,4,FALSE)</f>
        <v>1黄金</v>
      </c>
      <c r="E948" s="16">
        <f>E944+500</f>
        <v>8000</v>
      </c>
      <c r="J948" s="16">
        <v>1</v>
      </c>
      <c r="L948" s="16" t="b">
        <v>1</v>
      </c>
    </row>
    <row r="949" spans="1:12" x14ac:dyDescent="0.25">
      <c r="A949" s="16">
        <v>1920316</v>
      </c>
      <c r="B949" s="16" t="s">
        <v>574</v>
      </c>
      <c r="C949" s="16">
        <f t="shared" si="20"/>
        <v>102</v>
      </c>
      <c r="D949" s="16" t="str">
        <f>VLOOKUP(C949,[1]道具配置表!$A:$D,4,FALSE)</f>
        <v>1食物</v>
      </c>
      <c r="E949" s="16">
        <f>E945+300</f>
        <v>5500</v>
      </c>
      <c r="J949" s="16">
        <v>1</v>
      </c>
      <c r="L949" s="16" t="b">
        <v>1</v>
      </c>
    </row>
    <row r="950" spans="1:12" x14ac:dyDescent="0.25">
      <c r="C950" s="16">
        <f t="shared" si="20"/>
        <v>101</v>
      </c>
      <c r="D950" s="16" t="str">
        <f>VLOOKUP(C950,[1]道具配置表!$A:$D,4,FALSE)</f>
        <v>1木材</v>
      </c>
      <c r="E950" s="16">
        <f>E946+500</f>
        <v>8500</v>
      </c>
      <c r="J950" s="16">
        <v>1</v>
      </c>
      <c r="L950" s="16" t="b">
        <v>1</v>
      </c>
    </row>
    <row r="951" spans="1:12" x14ac:dyDescent="0.25">
      <c r="C951" s="16">
        <f t="shared" si="20"/>
        <v>103</v>
      </c>
      <c r="D951" s="16" t="str">
        <f>VLOOKUP(C951,[1]道具配置表!$A:$D,4,FALSE)</f>
        <v>1石头</v>
      </c>
      <c r="E951" s="16">
        <f>E947+500</f>
        <v>8500</v>
      </c>
      <c r="J951" s="16">
        <v>1</v>
      </c>
      <c r="L951" s="16" t="b">
        <v>1</v>
      </c>
    </row>
    <row r="952" spans="1:12" x14ac:dyDescent="0.25">
      <c r="C952" s="16">
        <f t="shared" si="20"/>
        <v>104</v>
      </c>
      <c r="D952" s="16" t="str">
        <f>VLOOKUP(C952,[1]道具配置表!$A:$D,4,FALSE)</f>
        <v>1黄金</v>
      </c>
      <c r="E952" s="16">
        <f>E948+500</f>
        <v>8500</v>
      </c>
      <c r="J952" s="16">
        <v>1</v>
      </c>
      <c r="L952" s="16" t="b">
        <v>1</v>
      </c>
    </row>
    <row r="953" spans="1:12" x14ac:dyDescent="0.25">
      <c r="A953" s="16">
        <v>1920317</v>
      </c>
      <c r="B953" s="16" t="s">
        <v>575</v>
      </c>
      <c r="C953" s="16">
        <f t="shared" si="20"/>
        <v>102</v>
      </c>
      <c r="D953" s="16" t="str">
        <f>VLOOKUP(C953,[1]道具配置表!$A:$D,4,FALSE)</f>
        <v>1食物</v>
      </c>
      <c r="E953" s="16">
        <f>E949+300</f>
        <v>5800</v>
      </c>
      <c r="J953" s="16">
        <v>1</v>
      </c>
      <c r="L953" s="16" t="b">
        <v>1</v>
      </c>
    </row>
    <row r="954" spans="1:12" x14ac:dyDescent="0.25">
      <c r="C954" s="16">
        <f t="shared" si="20"/>
        <v>101</v>
      </c>
      <c r="D954" s="16" t="str">
        <f>VLOOKUP(C954,[1]道具配置表!$A:$D,4,FALSE)</f>
        <v>1木材</v>
      </c>
      <c r="E954" s="16">
        <f>E950+500</f>
        <v>9000</v>
      </c>
      <c r="J954" s="16">
        <v>1</v>
      </c>
      <c r="L954" s="16" t="b">
        <v>1</v>
      </c>
    </row>
    <row r="955" spans="1:12" x14ac:dyDescent="0.25">
      <c r="C955" s="16">
        <f t="shared" si="20"/>
        <v>103</v>
      </c>
      <c r="D955" s="16" t="str">
        <f>VLOOKUP(C955,[1]道具配置表!$A:$D,4,FALSE)</f>
        <v>1石头</v>
      </c>
      <c r="E955" s="16">
        <f>E951+500</f>
        <v>9000</v>
      </c>
      <c r="J955" s="16">
        <v>1</v>
      </c>
      <c r="L955" s="16" t="b">
        <v>1</v>
      </c>
    </row>
    <row r="956" spans="1:12" x14ac:dyDescent="0.25">
      <c r="C956" s="16">
        <f t="shared" si="20"/>
        <v>104</v>
      </c>
      <c r="D956" s="16" t="str">
        <f>VLOOKUP(C956,[1]道具配置表!$A:$D,4,FALSE)</f>
        <v>1黄金</v>
      </c>
      <c r="E956" s="16">
        <f>E952+500</f>
        <v>9000</v>
      </c>
      <c r="J956" s="16">
        <v>1</v>
      </c>
      <c r="L956" s="16" t="b">
        <v>1</v>
      </c>
    </row>
    <row r="957" spans="1:12" x14ac:dyDescent="0.25">
      <c r="A957" s="16">
        <v>1920318</v>
      </c>
      <c r="B957" s="16" t="s">
        <v>576</v>
      </c>
      <c r="C957" s="16">
        <f t="shared" si="20"/>
        <v>102</v>
      </c>
      <c r="D957" s="16" t="str">
        <f>VLOOKUP(C957,[1]道具配置表!$A:$D,4,FALSE)</f>
        <v>1食物</v>
      </c>
      <c r="E957" s="16">
        <f>E953+300</f>
        <v>6100</v>
      </c>
      <c r="J957" s="16">
        <v>1</v>
      </c>
      <c r="L957" s="16" t="b">
        <v>1</v>
      </c>
    </row>
    <row r="958" spans="1:12" x14ac:dyDescent="0.25">
      <c r="C958" s="16">
        <f t="shared" si="20"/>
        <v>101</v>
      </c>
      <c r="D958" s="16" t="str">
        <f>VLOOKUP(C958,[1]道具配置表!$A:$D,4,FALSE)</f>
        <v>1木材</v>
      </c>
      <c r="E958" s="16">
        <f>E954+500</f>
        <v>9500</v>
      </c>
      <c r="J958" s="16">
        <v>1</v>
      </c>
      <c r="L958" s="16" t="b">
        <v>1</v>
      </c>
    </row>
    <row r="959" spans="1:12" x14ac:dyDescent="0.25">
      <c r="C959" s="16">
        <f t="shared" si="20"/>
        <v>103</v>
      </c>
      <c r="D959" s="16" t="str">
        <f>VLOOKUP(C959,[1]道具配置表!$A:$D,4,FALSE)</f>
        <v>1石头</v>
      </c>
      <c r="E959" s="16">
        <f>E955+500</f>
        <v>9500</v>
      </c>
      <c r="J959" s="16">
        <v>1</v>
      </c>
      <c r="L959" s="16" t="b">
        <v>1</v>
      </c>
    </row>
    <row r="960" spans="1:12" x14ac:dyDescent="0.25">
      <c r="C960" s="16">
        <f t="shared" si="20"/>
        <v>104</v>
      </c>
      <c r="D960" s="16" t="str">
        <f>VLOOKUP(C960,[1]道具配置表!$A:$D,4,FALSE)</f>
        <v>1黄金</v>
      </c>
      <c r="E960" s="16">
        <f>E956+500</f>
        <v>9500</v>
      </c>
      <c r="J960" s="16">
        <v>1</v>
      </c>
      <c r="L960" s="16" t="b">
        <v>1</v>
      </c>
    </row>
    <row r="961" spans="1:12" x14ac:dyDescent="0.25">
      <c r="A961" s="16">
        <v>1920319</v>
      </c>
      <c r="B961" s="16" t="s">
        <v>577</v>
      </c>
      <c r="C961" s="16">
        <f t="shared" si="20"/>
        <v>102</v>
      </c>
      <c r="D961" s="16" t="str">
        <f>VLOOKUP(C961,[1]道具配置表!$A:$D,4,FALSE)</f>
        <v>1食物</v>
      </c>
      <c r="E961" s="16">
        <f>E957+300</f>
        <v>6400</v>
      </c>
      <c r="J961" s="16">
        <v>1</v>
      </c>
      <c r="L961" s="16" t="b">
        <v>1</v>
      </c>
    </row>
    <row r="962" spans="1:12" x14ac:dyDescent="0.25">
      <c r="C962" s="16">
        <f t="shared" si="20"/>
        <v>101</v>
      </c>
      <c r="D962" s="16" t="str">
        <f>VLOOKUP(C962,[1]道具配置表!$A:$D,4,FALSE)</f>
        <v>1木材</v>
      </c>
      <c r="E962" s="16">
        <f>E958+500</f>
        <v>10000</v>
      </c>
      <c r="J962" s="16">
        <v>1</v>
      </c>
      <c r="L962" s="16" t="b">
        <v>1</v>
      </c>
    </row>
    <row r="963" spans="1:12" x14ac:dyDescent="0.25">
      <c r="C963" s="16">
        <f t="shared" si="20"/>
        <v>103</v>
      </c>
      <c r="D963" s="16" t="str">
        <f>VLOOKUP(C963,[1]道具配置表!$A:$D,4,FALSE)</f>
        <v>1石头</v>
      </c>
      <c r="E963" s="16">
        <f>E959+500</f>
        <v>10000</v>
      </c>
      <c r="J963" s="16">
        <v>1</v>
      </c>
      <c r="L963" s="16" t="b">
        <v>1</v>
      </c>
    </row>
    <row r="964" spans="1:12" x14ac:dyDescent="0.25">
      <c r="C964" s="16">
        <f t="shared" si="20"/>
        <v>104</v>
      </c>
      <c r="D964" s="16" t="str">
        <f>VLOOKUP(C964,[1]道具配置表!$A:$D,4,FALSE)</f>
        <v>1黄金</v>
      </c>
      <c r="E964" s="16">
        <f>E960+500</f>
        <v>10000</v>
      </c>
      <c r="J964" s="16">
        <v>1</v>
      </c>
      <c r="L964" s="16" t="b">
        <v>1</v>
      </c>
    </row>
    <row r="965" spans="1:12" x14ac:dyDescent="0.25">
      <c r="A965" s="16">
        <v>1920320</v>
      </c>
      <c r="B965" s="16" t="s">
        <v>578</v>
      </c>
      <c r="C965" s="16">
        <f t="shared" si="20"/>
        <v>102</v>
      </c>
      <c r="D965" s="16" t="str">
        <f>VLOOKUP(C965,[1]道具配置表!$A:$D,4,FALSE)</f>
        <v>1食物</v>
      </c>
      <c r="E965" s="16">
        <f>E961+300</f>
        <v>6700</v>
      </c>
      <c r="J965" s="16">
        <v>1</v>
      </c>
      <c r="L965" s="16" t="b">
        <v>1</v>
      </c>
    </row>
    <row r="966" spans="1:12" x14ac:dyDescent="0.25">
      <c r="C966" s="16">
        <f t="shared" si="20"/>
        <v>101</v>
      </c>
      <c r="D966" s="16" t="str">
        <f>VLOOKUP(C966,[1]道具配置表!$A:$D,4,FALSE)</f>
        <v>1木材</v>
      </c>
      <c r="E966" s="16">
        <f>E962+500</f>
        <v>10500</v>
      </c>
      <c r="J966" s="16">
        <v>1</v>
      </c>
      <c r="L966" s="16" t="b">
        <v>1</v>
      </c>
    </row>
    <row r="967" spans="1:12" x14ac:dyDescent="0.25">
      <c r="C967" s="16">
        <f t="shared" si="20"/>
        <v>103</v>
      </c>
      <c r="D967" s="16" t="str">
        <f>VLOOKUP(C967,[1]道具配置表!$A:$D,4,FALSE)</f>
        <v>1石头</v>
      </c>
      <c r="E967" s="16">
        <f>E963+500</f>
        <v>10500</v>
      </c>
      <c r="J967" s="16">
        <v>1</v>
      </c>
      <c r="L967" s="16" t="b">
        <v>1</v>
      </c>
    </row>
    <row r="968" spans="1:12" x14ac:dyDescent="0.25">
      <c r="C968" s="16">
        <f t="shared" si="20"/>
        <v>104</v>
      </c>
      <c r="D968" s="16" t="str">
        <f>VLOOKUP(C968,[1]道具配置表!$A:$D,4,FALSE)</f>
        <v>1黄金</v>
      </c>
      <c r="E968" s="16">
        <f>E964+500</f>
        <v>10500</v>
      </c>
      <c r="J968" s="16">
        <v>1</v>
      </c>
      <c r="L968" s="16" t="b">
        <v>1</v>
      </c>
    </row>
    <row r="969" spans="1:12" x14ac:dyDescent="0.25">
      <c r="A969" s="16">
        <v>1920321</v>
      </c>
      <c r="B969" s="16" t="s">
        <v>579</v>
      </c>
      <c r="C969" s="16">
        <f t="shared" si="20"/>
        <v>102</v>
      </c>
      <c r="D969" s="16" t="str">
        <f>VLOOKUP(C969,[1]道具配置表!$A:$D,4,FALSE)</f>
        <v>1食物</v>
      </c>
      <c r="E969" s="16">
        <f>E965+300</f>
        <v>7000</v>
      </c>
      <c r="J969" s="16">
        <v>1</v>
      </c>
      <c r="L969" s="16" t="b">
        <v>1</v>
      </c>
    </row>
    <row r="970" spans="1:12" x14ac:dyDescent="0.25">
      <c r="C970" s="16">
        <f t="shared" si="20"/>
        <v>101</v>
      </c>
      <c r="D970" s="16" t="str">
        <f>VLOOKUP(C970,[1]道具配置表!$A:$D,4,FALSE)</f>
        <v>1木材</v>
      </c>
      <c r="E970" s="16">
        <f>E966+500</f>
        <v>11000</v>
      </c>
      <c r="J970" s="16">
        <v>1</v>
      </c>
      <c r="L970" s="16" t="b">
        <v>1</v>
      </c>
    </row>
    <row r="971" spans="1:12" x14ac:dyDescent="0.25">
      <c r="C971" s="16">
        <f t="shared" si="20"/>
        <v>103</v>
      </c>
      <c r="D971" s="16" t="str">
        <f>VLOOKUP(C971,[1]道具配置表!$A:$D,4,FALSE)</f>
        <v>1石头</v>
      </c>
      <c r="E971" s="16">
        <f>E967+500</f>
        <v>11000</v>
      </c>
      <c r="J971" s="16">
        <v>1</v>
      </c>
      <c r="L971" s="16" t="b">
        <v>1</v>
      </c>
    </row>
    <row r="972" spans="1:12" x14ac:dyDescent="0.25">
      <c r="C972" s="16">
        <f t="shared" si="20"/>
        <v>104</v>
      </c>
      <c r="D972" s="16" t="str">
        <f>VLOOKUP(C972,[1]道具配置表!$A:$D,4,FALSE)</f>
        <v>1黄金</v>
      </c>
      <c r="E972" s="16">
        <f>E968+500</f>
        <v>11000</v>
      </c>
      <c r="J972" s="16">
        <v>1</v>
      </c>
      <c r="L972" s="16" t="b">
        <v>1</v>
      </c>
    </row>
    <row r="973" spans="1:12" x14ac:dyDescent="0.25">
      <c r="A973" s="16">
        <v>1920322</v>
      </c>
      <c r="B973" s="16" t="s">
        <v>580</v>
      </c>
      <c r="C973" s="16">
        <f t="shared" si="20"/>
        <v>102</v>
      </c>
      <c r="D973" s="16" t="str">
        <f>VLOOKUP(C973,[1]道具配置表!$A:$D,4,FALSE)</f>
        <v>1食物</v>
      </c>
      <c r="E973" s="16">
        <f>E969+300</f>
        <v>7300</v>
      </c>
      <c r="J973" s="16">
        <v>1</v>
      </c>
      <c r="L973" s="16" t="b">
        <v>1</v>
      </c>
    </row>
    <row r="974" spans="1:12" x14ac:dyDescent="0.25">
      <c r="C974" s="16">
        <f t="shared" si="20"/>
        <v>101</v>
      </c>
      <c r="D974" s="16" t="str">
        <f>VLOOKUP(C974,[1]道具配置表!$A:$D,4,FALSE)</f>
        <v>1木材</v>
      </c>
      <c r="E974" s="16">
        <f>E970+500</f>
        <v>11500</v>
      </c>
      <c r="J974" s="16">
        <v>1</v>
      </c>
      <c r="L974" s="16" t="b">
        <v>1</v>
      </c>
    </row>
    <row r="975" spans="1:12" x14ac:dyDescent="0.25">
      <c r="C975" s="16">
        <f t="shared" si="20"/>
        <v>103</v>
      </c>
      <c r="D975" s="16" t="str">
        <f>VLOOKUP(C975,[1]道具配置表!$A:$D,4,FALSE)</f>
        <v>1石头</v>
      </c>
      <c r="E975" s="16">
        <f>E971+500</f>
        <v>11500</v>
      </c>
      <c r="J975" s="16">
        <v>1</v>
      </c>
      <c r="L975" s="16" t="b">
        <v>1</v>
      </c>
    </row>
    <row r="976" spans="1:12" x14ac:dyDescent="0.25">
      <c r="C976" s="16">
        <f t="shared" si="20"/>
        <v>104</v>
      </c>
      <c r="D976" s="16" t="str">
        <f>VLOOKUP(C976,[1]道具配置表!$A:$D,4,FALSE)</f>
        <v>1黄金</v>
      </c>
      <c r="E976" s="16">
        <f>E972+500</f>
        <v>11500</v>
      </c>
      <c r="J976" s="16">
        <v>1</v>
      </c>
      <c r="L976" s="16" t="b">
        <v>1</v>
      </c>
    </row>
    <row r="977" spans="1:12" x14ac:dyDescent="0.25">
      <c r="A977" s="16">
        <v>1920323</v>
      </c>
      <c r="B977" s="16" t="s">
        <v>581</v>
      </c>
      <c r="C977" s="16">
        <f t="shared" si="20"/>
        <v>102</v>
      </c>
      <c r="D977" s="16" t="str">
        <f>VLOOKUP(C977,[1]道具配置表!$A:$D,4,FALSE)</f>
        <v>1食物</v>
      </c>
      <c r="E977" s="16">
        <f>E973+300</f>
        <v>7600</v>
      </c>
      <c r="J977" s="16">
        <v>1</v>
      </c>
      <c r="L977" s="16" t="b">
        <v>1</v>
      </c>
    </row>
    <row r="978" spans="1:12" x14ac:dyDescent="0.25">
      <c r="C978" s="16">
        <f t="shared" si="20"/>
        <v>101</v>
      </c>
      <c r="D978" s="16" t="str">
        <f>VLOOKUP(C978,[1]道具配置表!$A:$D,4,FALSE)</f>
        <v>1木材</v>
      </c>
      <c r="E978" s="16">
        <f>E974+500</f>
        <v>12000</v>
      </c>
      <c r="J978" s="16">
        <v>1</v>
      </c>
      <c r="L978" s="16" t="b">
        <v>1</v>
      </c>
    </row>
    <row r="979" spans="1:12" x14ac:dyDescent="0.25">
      <c r="C979" s="16">
        <f t="shared" si="20"/>
        <v>103</v>
      </c>
      <c r="D979" s="16" t="str">
        <f>VLOOKUP(C979,[1]道具配置表!$A:$D,4,FALSE)</f>
        <v>1石头</v>
      </c>
      <c r="E979" s="16">
        <f>E975+500</f>
        <v>12000</v>
      </c>
      <c r="J979" s="16">
        <v>1</v>
      </c>
      <c r="L979" s="16" t="b">
        <v>1</v>
      </c>
    </row>
    <row r="980" spans="1:12" x14ac:dyDescent="0.25">
      <c r="C980" s="16">
        <f t="shared" si="20"/>
        <v>104</v>
      </c>
      <c r="D980" s="16" t="str">
        <f>VLOOKUP(C980,[1]道具配置表!$A:$D,4,FALSE)</f>
        <v>1黄金</v>
      </c>
      <c r="E980" s="16">
        <f>E976+500</f>
        <v>12000</v>
      </c>
      <c r="J980" s="16">
        <v>1</v>
      </c>
      <c r="L980" s="16" t="b">
        <v>1</v>
      </c>
    </row>
    <row r="981" spans="1:12" x14ac:dyDescent="0.25">
      <c r="A981" s="16">
        <v>1920324</v>
      </c>
      <c r="B981" s="16" t="s">
        <v>582</v>
      </c>
      <c r="C981" s="16">
        <f t="shared" si="20"/>
        <v>102</v>
      </c>
      <c r="D981" s="16" t="str">
        <f>VLOOKUP(C981,[1]道具配置表!$A:$D,4,FALSE)</f>
        <v>1食物</v>
      </c>
      <c r="E981" s="16">
        <f>E977+300</f>
        <v>7900</v>
      </c>
      <c r="J981" s="16">
        <v>1</v>
      </c>
      <c r="L981" s="16" t="b">
        <v>1</v>
      </c>
    </row>
    <row r="982" spans="1:12" x14ac:dyDescent="0.25">
      <c r="C982" s="16">
        <f t="shared" si="20"/>
        <v>101</v>
      </c>
      <c r="D982" s="16" t="str">
        <f>VLOOKUP(C982,[1]道具配置表!$A:$D,4,FALSE)</f>
        <v>1木材</v>
      </c>
      <c r="E982" s="16">
        <f>E978+500</f>
        <v>12500</v>
      </c>
      <c r="J982" s="16">
        <v>1</v>
      </c>
      <c r="L982" s="16" t="b">
        <v>1</v>
      </c>
    </row>
    <row r="983" spans="1:12" x14ac:dyDescent="0.25">
      <c r="C983" s="16">
        <f t="shared" si="20"/>
        <v>103</v>
      </c>
      <c r="D983" s="16" t="str">
        <f>VLOOKUP(C983,[1]道具配置表!$A:$D,4,FALSE)</f>
        <v>1石头</v>
      </c>
      <c r="E983" s="16">
        <f>E979+500</f>
        <v>12500</v>
      </c>
      <c r="J983" s="16">
        <v>1</v>
      </c>
      <c r="L983" s="16" t="b">
        <v>1</v>
      </c>
    </row>
    <row r="984" spans="1:12" x14ac:dyDescent="0.25">
      <c r="C984" s="16">
        <f t="shared" si="20"/>
        <v>104</v>
      </c>
      <c r="D984" s="16" t="str">
        <f>VLOOKUP(C984,[1]道具配置表!$A:$D,4,FALSE)</f>
        <v>1黄金</v>
      </c>
      <c r="E984" s="16">
        <f>E980+500</f>
        <v>12500</v>
      </c>
      <c r="J984" s="16">
        <v>1</v>
      </c>
      <c r="L984" s="16" t="b">
        <v>1</v>
      </c>
    </row>
    <row r="985" spans="1:12" x14ac:dyDescent="0.25">
      <c r="A985" s="16">
        <v>1920325</v>
      </c>
      <c r="B985" s="16" t="s">
        <v>583</v>
      </c>
      <c r="C985" s="16">
        <f t="shared" si="20"/>
        <v>102</v>
      </c>
      <c r="D985" s="16" t="str">
        <f>VLOOKUP(C985,[1]道具配置表!$A:$D,4,FALSE)</f>
        <v>1食物</v>
      </c>
      <c r="E985" s="16">
        <f>E981+300</f>
        <v>8200</v>
      </c>
      <c r="J985" s="16">
        <v>1</v>
      </c>
      <c r="L985" s="16" t="b">
        <v>1</v>
      </c>
    </row>
    <row r="986" spans="1:12" x14ac:dyDescent="0.25">
      <c r="C986" s="16">
        <f t="shared" si="20"/>
        <v>101</v>
      </c>
      <c r="D986" s="16" t="str">
        <f>VLOOKUP(C986,[1]道具配置表!$A:$D,4,FALSE)</f>
        <v>1木材</v>
      </c>
      <c r="E986" s="16">
        <f>E982+500</f>
        <v>13000</v>
      </c>
      <c r="J986" s="16">
        <v>1</v>
      </c>
      <c r="L986" s="16" t="b">
        <v>1</v>
      </c>
    </row>
    <row r="987" spans="1:12" x14ac:dyDescent="0.25">
      <c r="C987" s="16">
        <f t="shared" si="20"/>
        <v>103</v>
      </c>
      <c r="D987" s="16" t="str">
        <f>VLOOKUP(C987,[1]道具配置表!$A:$D,4,FALSE)</f>
        <v>1石头</v>
      </c>
      <c r="E987" s="16">
        <f>E983+500</f>
        <v>13000</v>
      </c>
      <c r="J987" s="16">
        <v>1</v>
      </c>
      <c r="L987" s="16" t="b">
        <v>1</v>
      </c>
    </row>
    <row r="988" spans="1:12" x14ac:dyDescent="0.25">
      <c r="C988" s="16">
        <f t="shared" si="20"/>
        <v>104</v>
      </c>
      <c r="D988" s="16" t="str">
        <f>VLOOKUP(C988,[1]道具配置表!$A:$D,4,FALSE)</f>
        <v>1黄金</v>
      </c>
      <c r="E988" s="16">
        <f>E984+500</f>
        <v>13000</v>
      </c>
      <c r="J988" s="16">
        <v>1</v>
      </c>
      <c r="L988" s="16" t="b">
        <v>1</v>
      </c>
    </row>
    <row r="989" spans="1:12" x14ac:dyDescent="0.25">
      <c r="A989" s="16">
        <v>1920326</v>
      </c>
      <c r="B989" s="16" t="s">
        <v>584</v>
      </c>
      <c r="C989" s="16">
        <f t="shared" si="20"/>
        <v>102</v>
      </c>
      <c r="D989" s="16" t="str">
        <f>VLOOKUP(C989,[1]道具配置表!$A:$D,4,FALSE)</f>
        <v>1食物</v>
      </c>
      <c r="E989" s="16">
        <f>E985+300</f>
        <v>8500</v>
      </c>
      <c r="J989" s="16">
        <v>1</v>
      </c>
      <c r="L989" s="16" t="b">
        <v>1</v>
      </c>
    </row>
    <row r="990" spans="1:12" x14ac:dyDescent="0.25">
      <c r="C990" s="16">
        <f t="shared" si="20"/>
        <v>101</v>
      </c>
      <c r="D990" s="16" t="str">
        <f>VLOOKUP(C990,[1]道具配置表!$A:$D,4,FALSE)</f>
        <v>1木材</v>
      </c>
      <c r="E990" s="16">
        <f>E986+500</f>
        <v>13500</v>
      </c>
      <c r="J990" s="16">
        <v>1</v>
      </c>
      <c r="L990" s="16" t="b">
        <v>1</v>
      </c>
    </row>
    <row r="991" spans="1:12" x14ac:dyDescent="0.25">
      <c r="C991" s="16">
        <f t="shared" si="20"/>
        <v>103</v>
      </c>
      <c r="D991" s="16" t="str">
        <f>VLOOKUP(C991,[1]道具配置表!$A:$D,4,FALSE)</f>
        <v>1石头</v>
      </c>
      <c r="E991" s="16">
        <f>E987+500</f>
        <v>13500</v>
      </c>
      <c r="J991" s="16">
        <v>1</v>
      </c>
      <c r="L991" s="16" t="b">
        <v>1</v>
      </c>
    </row>
    <row r="992" spans="1:12" x14ac:dyDescent="0.25">
      <c r="C992" s="16">
        <f t="shared" si="20"/>
        <v>104</v>
      </c>
      <c r="D992" s="16" t="str">
        <f>VLOOKUP(C992,[1]道具配置表!$A:$D,4,FALSE)</f>
        <v>1黄金</v>
      </c>
      <c r="E992" s="16">
        <f>E988+500</f>
        <v>13500</v>
      </c>
      <c r="J992" s="16">
        <v>1</v>
      </c>
      <c r="L992" s="16" t="b">
        <v>1</v>
      </c>
    </row>
    <row r="993" spans="1:12" x14ac:dyDescent="0.25">
      <c r="A993" s="16">
        <v>1920327</v>
      </c>
      <c r="B993" s="16" t="s">
        <v>585</v>
      </c>
      <c r="C993" s="16">
        <f t="shared" si="20"/>
        <v>102</v>
      </c>
      <c r="D993" s="16" t="str">
        <f>VLOOKUP(C993,[1]道具配置表!$A:$D,4,FALSE)</f>
        <v>1食物</v>
      </c>
      <c r="E993" s="16">
        <f>E989+300</f>
        <v>8800</v>
      </c>
      <c r="J993" s="16">
        <v>1</v>
      </c>
      <c r="L993" s="16" t="b">
        <v>1</v>
      </c>
    </row>
    <row r="994" spans="1:12" x14ac:dyDescent="0.25">
      <c r="C994" s="16">
        <f t="shared" si="20"/>
        <v>101</v>
      </c>
      <c r="D994" s="16" t="str">
        <f>VLOOKUP(C994,[1]道具配置表!$A:$D,4,FALSE)</f>
        <v>1木材</v>
      </c>
      <c r="E994" s="16">
        <f>E990+500</f>
        <v>14000</v>
      </c>
      <c r="J994" s="16">
        <v>1</v>
      </c>
      <c r="L994" s="16" t="b">
        <v>1</v>
      </c>
    </row>
    <row r="995" spans="1:12" x14ac:dyDescent="0.25">
      <c r="C995" s="16">
        <f t="shared" si="20"/>
        <v>103</v>
      </c>
      <c r="D995" s="16" t="str">
        <f>VLOOKUP(C995,[1]道具配置表!$A:$D,4,FALSE)</f>
        <v>1石头</v>
      </c>
      <c r="E995" s="16">
        <f>E991+500</f>
        <v>14000</v>
      </c>
      <c r="J995" s="16">
        <v>1</v>
      </c>
      <c r="L995" s="16" t="b">
        <v>1</v>
      </c>
    </row>
    <row r="996" spans="1:12" x14ac:dyDescent="0.25">
      <c r="C996" s="16">
        <f t="shared" si="20"/>
        <v>104</v>
      </c>
      <c r="D996" s="16" t="str">
        <f>VLOOKUP(C996,[1]道具配置表!$A:$D,4,FALSE)</f>
        <v>1黄金</v>
      </c>
      <c r="E996" s="16">
        <f>E992+500</f>
        <v>14000</v>
      </c>
      <c r="J996" s="16">
        <v>1</v>
      </c>
      <c r="L996" s="16" t="b">
        <v>1</v>
      </c>
    </row>
    <row r="997" spans="1:12" x14ac:dyDescent="0.25">
      <c r="A997" s="16">
        <v>1920328</v>
      </c>
      <c r="B997" s="16" t="s">
        <v>586</v>
      </c>
      <c r="C997" s="16">
        <f t="shared" si="20"/>
        <v>102</v>
      </c>
      <c r="D997" s="16" t="str">
        <f>VLOOKUP(C997,[1]道具配置表!$A:$D,4,FALSE)</f>
        <v>1食物</v>
      </c>
      <c r="E997" s="16">
        <f>E993+300</f>
        <v>9100</v>
      </c>
      <c r="J997" s="16">
        <v>1</v>
      </c>
      <c r="L997" s="16" t="b">
        <v>1</v>
      </c>
    </row>
    <row r="998" spans="1:12" x14ac:dyDescent="0.25">
      <c r="C998" s="16">
        <f t="shared" si="20"/>
        <v>101</v>
      </c>
      <c r="D998" s="16" t="str">
        <f>VLOOKUP(C998,[1]道具配置表!$A:$D,4,FALSE)</f>
        <v>1木材</v>
      </c>
      <c r="E998" s="16">
        <f>E994+500</f>
        <v>14500</v>
      </c>
      <c r="J998" s="16">
        <v>1</v>
      </c>
      <c r="L998" s="16" t="b">
        <v>1</v>
      </c>
    </row>
    <row r="999" spans="1:12" x14ac:dyDescent="0.25">
      <c r="C999" s="16">
        <f t="shared" si="20"/>
        <v>103</v>
      </c>
      <c r="D999" s="16" t="str">
        <f>VLOOKUP(C999,[1]道具配置表!$A:$D,4,FALSE)</f>
        <v>1石头</v>
      </c>
      <c r="E999" s="16">
        <f>E995+500</f>
        <v>14500</v>
      </c>
      <c r="J999" s="16">
        <v>1</v>
      </c>
      <c r="L999" s="16" t="b">
        <v>1</v>
      </c>
    </row>
    <row r="1000" spans="1:12" x14ac:dyDescent="0.25">
      <c r="C1000" s="16">
        <f t="shared" si="20"/>
        <v>104</v>
      </c>
      <c r="D1000" s="16" t="str">
        <f>VLOOKUP(C1000,[1]道具配置表!$A:$D,4,FALSE)</f>
        <v>1黄金</v>
      </c>
      <c r="E1000" s="16">
        <f>E996+500</f>
        <v>14500</v>
      </c>
      <c r="J1000" s="16">
        <v>1</v>
      </c>
      <c r="L1000" s="16" t="b">
        <v>1</v>
      </c>
    </row>
    <row r="1001" spans="1:12" x14ac:dyDescent="0.25">
      <c r="A1001" s="16">
        <v>1920329</v>
      </c>
      <c r="B1001" s="16" t="s">
        <v>587</v>
      </c>
      <c r="C1001" s="16">
        <f t="shared" si="20"/>
        <v>102</v>
      </c>
      <c r="D1001" s="16" t="str">
        <f>VLOOKUP(C1001,[1]道具配置表!$A:$D,4,FALSE)</f>
        <v>1食物</v>
      </c>
      <c r="E1001" s="16">
        <f>E997+300</f>
        <v>9400</v>
      </c>
      <c r="J1001" s="16">
        <v>1</v>
      </c>
      <c r="L1001" s="16" t="b">
        <v>1</v>
      </c>
    </row>
    <row r="1002" spans="1:12" x14ac:dyDescent="0.25">
      <c r="C1002" s="16">
        <f t="shared" si="20"/>
        <v>101</v>
      </c>
      <c r="D1002" s="16" t="str">
        <f>VLOOKUP(C1002,[1]道具配置表!$A:$D,4,FALSE)</f>
        <v>1木材</v>
      </c>
      <c r="E1002" s="16">
        <f>E998+500</f>
        <v>15000</v>
      </c>
      <c r="J1002" s="16">
        <v>1</v>
      </c>
      <c r="L1002" s="16" t="b">
        <v>1</v>
      </c>
    </row>
    <row r="1003" spans="1:12" x14ac:dyDescent="0.25">
      <c r="C1003" s="16">
        <f t="shared" si="20"/>
        <v>103</v>
      </c>
      <c r="D1003" s="16" t="str">
        <f>VLOOKUP(C1003,[1]道具配置表!$A:$D,4,FALSE)</f>
        <v>1石头</v>
      </c>
      <c r="E1003" s="16">
        <f>E999+500</f>
        <v>15000</v>
      </c>
      <c r="J1003" s="16">
        <v>1</v>
      </c>
      <c r="L1003" s="16" t="b">
        <v>1</v>
      </c>
    </row>
    <row r="1004" spans="1:12" x14ac:dyDescent="0.25">
      <c r="C1004" s="16">
        <f t="shared" si="20"/>
        <v>104</v>
      </c>
      <c r="D1004" s="16" t="str">
        <f>VLOOKUP(C1004,[1]道具配置表!$A:$D,4,FALSE)</f>
        <v>1黄金</v>
      </c>
      <c r="E1004" s="16">
        <f>E1000+500</f>
        <v>15000</v>
      </c>
      <c r="J1004" s="16">
        <v>1</v>
      </c>
      <c r="L1004" s="16" t="b">
        <v>1</v>
      </c>
    </row>
    <row r="1005" spans="1:12" x14ac:dyDescent="0.25">
      <c r="A1005" s="16">
        <v>1920330</v>
      </c>
      <c r="B1005" s="16" t="s">
        <v>588</v>
      </c>
      <c r="C1005" s="16">
        <f t="shared" si="20"/>
        <v>102</v>
      </c>
      <c r="D1005" s="16" t="str">
        <f>VLOOKUP(C1005,[1]道具配置表!$A:$D,4,FALSE)</f>
        <v>1食物</v>
      </c>
      <c r="E1005" s="16">
        <f>E1001+300</f>
        <v>9700</v>
      </c>
      <c r="J1005" s="16">
        <v>1</v>
      </c>
      <c r="L1005" s="16" t="b">
        <v>1</v>
      </c>
    </row>
    <row r="1006" spans="1:12" x14ac:dyDescent="0.25">
      <c r="C1006" s="16">
        <f t="shared" si="20"/>
        <v>101</v>
      </c>
      <c r="D1006" s="16" t="str">
        <f>VLOOKUP(C1006,[1]道具配置表!$A:$D,4,FALSE)</f>
        <v>1木材</v>
      </c>
      <c r="E1006" s="16">
        <f>E1002+500</f>
        <v>15500</v>
      </c>
      <c r="J1006" s="16">
        <v>1</v>
      </c>
      <c r="L1006" s="16" t="b">
        <v>1</v>
      </c>
    </row>
    <row r="1007" spans="1:12" x14ac:dyDescent="0.25">
      <c r="C1007" s="16">
        <f t="shared" si="20"/>
        <v>103</v>
      </c>
      <c r="D1007" s="16" t="str">
        <f>VLOOKUP(C1007,[1]道具配置表!$A:$D,4,FALSE)</f>
        <v>1石头</v>
      </c>
      <c r="E1007" s="16">
        <f>E1003+500</f>
        <v>15500</v>
      </c>
      <c r="J1007" s="16">
        <v>1</v>
      </c>
      <c r="L1007" s="16" t="b">
        <v>1</v>
      </c>
    </row>
    <row r="1008" spans="1:12" x14ac:dyDescent="0.25">
      <c r="C1008" s="16">
        <f t="shared" si="20"/>
        <v>104</v>
      </c>
      <c r="D1008" s="16" t="str">
        <f>VLOOKUP(C1008,[1]道具配置表!$A:$D,4,FALSE)</f>
        <v>1黄金</v>
      </c>
      <c r="E1008" s="16">
        <f>E1004+500</f>
        <v>15500</v>
      </c>
      <c r="J1008" s="16">
        <v>1</v>
      </c>
      <c r="L1008" s="16" t="b">
        <v>1</v>
      </c>
    </row>
    <row r="1009" spans="1:12" x14ac:dyDescent="0.25">
      <c r="A1009" s="16">
        <v>1920331</v>
      </c>
      <c r="B1009" s="16" t="s">
        <v>589</v>
      </c>
      <c r="C1009" s="16">
        <f t="shared" ref="C1009:C1072" si="21">C1005</f>
        <v>102</v>
      </c>
      <c r="D1009" s="16" t="str">
        <f>VLOOKUP(C1009,[1]道具配置表!$A:$D,4,FALSE)</f>
        <v>1食物</v>
      </c>
      <c r="E1009" s="16">
        <f>E1005+300</f>
        <v>10000</v>
      </c>
      <c r="J1009" s="16">
        <v>1</v>
      </c>
      <c r="L1009" s="16" t="b">
        <v>1</v>
      </c>
    </row>
    <row r="1010" spans="1:12" x14ac:dyDescent="0.25">
      <c r="C1010" s="16">
        <f t="shared" si="21"/>
        <v>101</v>
      </c>
      <c r="D1010" s="16" t="str">
        <f>VLOOKUP(C1010,[1]道具配置表!$A:$D,4,FALSE)</f>
        <v>1木材</v>
      </c>
      <c r="E1010" s="16">
        <f>E1006+500</f>
        <v>16000</v>
      </c>
      <c r="J1010" s="16">
        <v>1</v>
      </c>
      <c r="L1010" s="16" t="b">
        <v>1</v>
      </c>
    </row>
    <row r="1011" spans="1:12" x14ac:dyDescent="0.25">
      <c r="C1011" s="16">
        <f t="shared" si="21"/>
        <v>103</v>
      </c>
      <c r="D1011" s="16" t="str">
        <f>VLOOKUP(C1011,[1]道具配置表!$A:$D,4,FALSE)</f>
        <v>1石头</v>
      </c>
      <c r="E1011" s="16">
        <f>E1007+500</f>
        <v>16000</v>
      </c>
      <c r="J1011" s="16">
        <v>1</v>
      </c>
      <c r="L1011" s="16" t="b">
        <v>1</v>
      </c>
    </row>
    <row r="1012" spans="1:12" x14ac:dyDescent="0.25">
      <c r="C1012" s="16">
        <f t="shared" si="21"/>
        <v>104</v>
      </c>
      <c r="D1012" s="16" t="str">
        <f>VLOOKUP(C1012,[1]道具配置表!$A:$D,4,FALSE)</f>
        <v>1黄金</v>
      </c>
      <c r="E1012" s="16">
        <f>E1008+500</f>
        <v>16000</v>
      </c>
      <c r="J1012" s="16">
        <v>1</v>
      </c>
      <c r="L1012" s="16" t="b">
        <v>1</v>
      </c>
    </row>
    <row r="1013" spans="1:12" x14ac:dyDescent="0.25">
      <c r="A1013" s="16">
        <v>1920332</v>
      </c>
      <c r="B1013" s="16" t="s">
        <v>590</v>
      </c>
      <c r="C1013" s="16">
        <f t="shared" si="21"/>
        <v>102</v>
      </c>
      <c r="D1013" s="16" t="str">
        <f>VLOOKUP(C1013,[1]道具配置表!$A:$D,4,FALSE)</f>
        <v>1食物</v>
      </c>
      <c r="E1013" s="16">
        <f>E1009+300</f>
        <v>10300</v>
      </c>
      <c r="J1013" s="16">
        <v>1</v>
      </c>
      <c r="L1013" s="16" t="b">
        <v>1</v>
      </c>
    </row>
    <row r="1014" spans="1:12" x14ac:dyDescent="0.25">
      <c r="C1014" s="16">
        <f t="shared" si="21"/>
        <v>101</v>
      </c>
      <c r="D1014" s="16" t="str">
        <f>VLOOKUP(C1014,[1]道具配置表!$A:$D,4,FALSE)</f>
        <v>1木材</v>
      </c>
      <c r="E1014" s="16">
        <f>E1010+500</f>
        <v>16500</v>
      </c>
      <c r="J1014" s="16">
        <v>1</v>
      </c>
      <c r="L1014" s="16" t="b">
        <v>1</v>
      </c>
    </row>
    <row r="1015" spans="1:12" x14ac:dyDescent="0.25">
      <c r="C1015" s="16">
        <f t="shared" si="21"/>
        <v>103</v>
      </c>
      <c r="D1015" s="16" t="str">
        <f>VLOOKUP(C1015,[1]道具配置表!$A:$D,4,FALSE)</f>
        <v>1石头</v>
      </c>
      <c r="E1015" s="16">
        <f>E1011+500</f>
        <v>16500</v>
      </c>
      <c r="J1015" s="16">
        <v>1</v>
      </c>
      <c r="L1015" s="16" t="b">
        <v>1</v>
      </c>
    </row>
    <row r="1016" spans="1:12" x14ac:dyDescent="0.25">
      <c r="C1016" s="16">
        <f t="shared" si="21"/>
        <v>104</v>
      </c>
      <c r="D1016" s="16" t="str">
        <f>VLOOKUP(C1016,[1]道具配置表!$A:$D,4,FALSE)</f>
        <v>1黄金</v>
      </c>
      <c r="E1016" s="16">
        <f>E1012+500</f>
        <v>16500</v>
      </c>
      <c r="J1016" s="16">
        <v>1</v>
      </c>
      <c r="L1016" s="16" t="b">
        <v>1</v>
      </c>
    </row>
    <row r="1017" spans="1:12" x14ac:dyDescent="0.25">
      <c r="A1017" s="16">
        <v>1920333</v>
      </c>
      <c r="B1017" s="16" t="s">
        <v>591</v>
      </c>
      <c r="C1017" s="16">
        <f t="shared" si="21"/>
        <v>102</v>
      </c>
      <c r="D1017" s="16" t="str">
        <f>VLOOKUP(C1017,[1]道具配置表!$A:$D,4,FALSE)</f>
        <v>1食物</v>
      </c>
      <c r="E1017" s="16">
        <f>E1013+300</f>
        <v>10600</v>
      </c>
      <c r="J1017" s="16">
        <v>1</v>
      </c>
      <c r="L1017" s="16" t="b">
        <v>1</v>
      </c>
    </row>
    <row r="1018" spans="1:12" x14ac:dyDescent="0.25">
      <c r="C1018" s="16">
        <f t="shared" si="21"/>
        <v>101</v>
      </c>
      <c r="D1018" s="16" t="str">
        <f>VLOOKUP(C1018,[1]道具配置表!$A:$D,4,FALSE)</f>
        <v>1木材</v>
      </c>
      <c r="E1018" s="16">
        <f>E1014+500</f>
        <v>17000</v>
      </c>
      <c r="J1018" s="16">
        <v>1</v>
      </c>
      <c r="L1018" s="16" t="b">
        <v>1</v>
      </c>
    </row>
    <row r="1019" spans="1:12" x14ac:dyDescent="0.25">
      <c r="C1019" s="16">
        <f t="shared" si="21"/>
        <v>103</v>
      </c>
      <c r="D1019" s="16" t="str">
        <f>VLOOKUP(C1019,[1]道具配置表!$A:$D,4,FALSE)</f>
        <v>1石头</v>
      </c>
      <c r="E1019" s="16">
        <f>E1015+500</f>
        <v>17000</v>
      </c>
      <c r="J1019" s="16">
        <v>1</v>
      </c>
      <c r="L1019" s="16" t="b">
        <v>1</v>
      </c>
    </row>
    <row r="1020" spans="1:12" x14ac:dyDescent="0.25">
      <c r="C1020" s="16">
        <f t="shared" si="21"/>
        <v>104</v>
      </c>
      <c r="D1020" s="16" t="str">
        <f>VLOOKUP(C1020,[1]道具配置表!$A:$D,4,FALSE)</f>
        <v>1黄金</v>
      </c>
      <c r="E1020" s="16">
        <f>E1016+500</f>
        <v>17000</v>
      </c>
      <c r="J1020" s="16">
        <v>1</v>
      </c>
      <c r="L1020" s="16" t="b">
        <v>1</v>
      </c>
    </row>
    <row r="1021" spans="1:12" x14ac:dyDescent="0.25">
      <c r="A1021" s="16">
        <v>1920334</v>
      </c>
      <c r="B1021" s="16" t="s">
        <v>592</v>
      </c>
      <c r="C1021" s="16">
        <f t="shared" si="21"/>
        <v>102</v>
      </c>
      <c r="D1021" s="16" t="str">
        <f>VLOOKUP(C1021,[1]道具配置表!$A:$D,4,FALSE)</f>
        <v>1食物</v>
      </c>
      <c r="E1021" s="16">
        <f>E1017+300</f>
        <v>10900</v>
      </c>
      <c r="J1021" s="16">
        <v>1</v>
      </c>
      <c r="L1021" s="16" t="b">
        <v>1</v>
      </c>
    </row>
    <row r="1022" spans="1:12" x14ac:dyDescent="0.25">
      <c r="C1022" s="16">
        <f t="shared" si="21"/>
        <v>101</v>
      </c>
      <c r="D1022" s="16" t="str">
        <f>VLOOKUP(C1022,[1]道具配置表!$A:$D,4,FALSE)</f>
        <v>1木材</v>
      </c>
      <c r="E1022" s="16">
        <f>E1018+500</f>
        <v>17500</v>
      </c>
      <c r="J1022" s="16">
        <v>1</v>
      </c>
      <c r="L1022" s="16" t="b">
        <v>1</v>
      </c>
    </row>
    <row r="1023" spans="1:12" x14ac:dyDescent="0.25">
      <c r="C1023" s="16">
        <f t="shared" si="21"/>
        <v>103</v>
      </c>
      <c r="D1023" s="16" t="str">
        <f>VLOOKUP(C1023,[1]道具配置表!$A:$D,4,FALSE)</f>
        <v>1石头</v>
      </c>
      <c r="E1023" s="16">
        <f>E1019+500</f>
        <v>17500</v>
      </c>
      <c r="J1023" s="16">
        <v>1</v>
      </c>
      <c r="L1023" s="16" t="b">
        <v>1</v>
      </c>
    </row>
    <row r="1024" spans="1:12" x14ac:dyDescent="0.25">
      <c r="C1024" s="16">
        <f t="shared" si="21"/>
        <v>104</v>
      </c>
      <c r="D1024" s="16" t="str">
        <f>VLOOKUP(C1024,[1]道具配置表!$A:$D,4,FALSE)</f>
        <v>1黄金</v>
      </c>
      <c r="E1024" s="16">
        <f>E1020+500</f>
        <v>17500</v>
      </c>
      <c r="J1024" s="16">
        <v>1</v>
      </c>
      <c r="L1024" s="16" t="b">
        <v>1</v>
      </c>
    </row>
    <row r="1025" spans="1:12" x14ac:dyDescent="0.25">
      <c r="A1025" s="16">
        <v>1920335</v>
      </c>
      <c r="B1025" s="16" t="s">
        <v>593</v>
      </c>
      <c r="C1025" s="16">
        <f t="shared" si="21"/>
        <v>102</v>
      </c>
      <c r="D1025" s="16" t="str">
        <f>VLOOKUP(C1025,[1]道具配置表!$A:$D,4,FALSE)</f>
        <v>1食物</v>
      </c>
      <c r="E1025" s="16">
        <f>E1021+300</f>
        <v>11200</v>
      </c>
      <c r="J1025" s="16">
        <v>1</v>
      </c>
      <c r="L1025" s="16" t="b">
        <v>1</v>
      </c>
    </row>
    <row r="1026" spans="1:12" x14ac:dyDescent="0.25">
      <c r="C1026" s="16">
        <f t="shared" si="21"/>
        <v>101</v>
      </c>
      <c r="D1026" s="16" t="str">
        <f>VLOOKUP(C1026,[1]道具配置表!$A:$D,4,FALSE)</f>
        <v>1木材</v>
      </c>
      <c r="E1026" s="16">
        <f>E1022+500</f>
        <v>18000</v>
      </c>
      <c r="J1026" s="16">
        <v>1</v>
      </c>
      <c r="L1026" s="16" t="b">
        <v>1</v>
      </c>
    </row>
    <row r="1027" spans="1:12" x14ac:dyDescent="0.25">
      <c r="C1027" s="16">
        <f t="shared" si="21"/>
        <v>103</v>
      </c>
      <c r="D1027" s="16" t="str">
        <f>VLOOKUP(C1027,[1]道具配置表!$A:$D,4,FALSE)</f>
        <v>1石头</v>
      </c>
      <c r="E1027" s="16">
        <f>E1023+500</f>
        <v>18000</v>
      </c>
      <c r="J1027" s="16">
        <v>1</v>
      </c>
      <c r="L1027" s="16" t="b">
        <v>1</v>
      </c>
    </row>
    <row r="1028" spans="1:12" x14ac:dyDescent="0.25">
      <c r="C1028" s="16">
        <f t="shared" si="21"/>
        <v>104</v>
      </c>
      <c r="D1028" s="16" t="str">
        <f>VLOOKUP(C1028,[1]道具配置表!$A:$D,4,FALSE)</f>
        <v>1黄金</v>
      </c>
      <c r="E1028" s="16">
        <f>E1024+500</f>
        <v>18000</v>
      </c>
      <c r="J1028" s="16">
        <v>1</v>
      </c>
      <c r="L1028" s="16" t="b">
        <v>1</v>
      </c>
    </row>
    <row r="1029" spans="1:12" x14ac:dyDescent="0.25">
      <c r="A1029" s="16">
        <v>1920336</v>
      </c>
      <c r="B1029" s="16" t="s">
        <v>594</v>
      </c>
      <c r="C1029" s="16">
        <f t="shared" si="21"/>
        <v>102</v>
      </c>
      <c r="D1029" s="16" t="str">
        <f>VLOOKUP(C1029,[1]道具配置表!$A:$D,4,FALSE)</f>
        <v>1食物</v>
      </c>
      <c r="E1029" s="16">
        <f>E1025+300</f>
        <v>11500</v>
      </c>
      <c r="J1029" s="16">
        <v>1</v>
      </c>
      <c r="L1029" s="16" t="b">
        <v>1</v>
      </c>
    </row>
    <row r="1030" spans="1:12" x14ac:dyDescent="0.25">
      <c r="C1030" s="16">
        <f t="shared" si="21"/>
        <v>101</v>
      </c>
      <c r="D1030" s="16" t="str">
        <f>VLOOKUP(C1030,[1]道具配置表!$A:$D,4,FALSE)</f>
        <v>1木材</v>
      </c>
      <c r="E1030" s="16">
        <f>E1026+500</f>
        <v>18500</v>
      </c>
      <c r="J1030" s="16">
        <v>1</v>
      </c>
      <c r="L1030" s="16" t="b">
        <v>1</v>
      </c>
    </row>
    <row r="1031" spans="1:12" x14ac:dyDescent="0.25">
      <c r="C1031" s="16">
        <f t="shared" si="21"/>
        <v>103</v>
      </c>
      <c r="D1031" s="16" t="str">
        <f>VLOOKUP(C1031,[1]道具配置表!$A:$D,4,FALSE)</f>
        <v>1石头</v>
      </c>
      <c r="E1031" s="16">
        <f>E1027+500</f>
        <v>18500</v>
      </c>
      <c r="J1031" s="16">
        <v>1</v>
      </c>
      <c r="L1031" s="16" t="b">
        <v>1</v>
      </c>
    </row>
    <row r="1032" spans="1:12" x14ac:dyDescent="0.25">
      <c r="C1032" s="16">
        <f t="shared" si="21"/>
        <v>104</v>
      </c>
      <c r="D1032" s="16" t="str">
        <f>VLOOKUP(C1032,[1]道具配置表!$A:$D,4,FALSE)</f>
        <v>1黄金</v>
      </c>
      <c r="E1032" s="16">
        <f>E1028+500</f>
        <v>18500</v>
      </c>
      <c r="J1032" s="16">
        <v>1</v>
      </c>
      <c r="L1032" s="16" t="b">
        <v>1</v>
      </c>
    </row>
    <row r="1033" spans="1:12" x14ac:dyDescent="0.25">
      <c r="A1033" s="16">
        <v>1920337</v>
      </c>
      <c r="B1033" s="16" t="s">
        <v>595</v>
      </c>
      <c r="C1033" s="16">
        <f t="shared" si="21"/>
        <v>102</v>
      </c>
      <c r="D1033" s="16" t="str">
        <f>VLOOKUP(C1033,[1]道具配置表!$A:$D,4,FALSE)</f>
        <v>1食物</v>
      </c>
      <c r="E1033" s="16">
        <f>E1029+300</f>
        <v>11800</v>
      </c>
      <c r="J1033" s="16">
        <v>1</v>
      </c>
      <c r="L1033" s="16" t="b">
        <v>1</v>
      </c>
    </row>
    <row r="1034" spans="1:12" x14ac:dyDescent="0.25">
      <c r="C1034" s="16">
        <f t="shared" si="21"/>
        <v>101</v>
      </c>
      <c r="D1034" s="16" t="str">
        <f>VLOOKUP(C1034,[1]道具配置表!$A:$D,4,FALSE)</f>
        <v>1木材</v>
      </c>
      <c r="E1034" s="16">
        <f>E1030+500</f>
        <v>19000</v>
      </c>
      <c r="J1034" s="16">
        <v>1</v>
      </c>
      <c r="L1034" s="16" t="b">
        <v>1</v>
      </c>
    </row>
    <row r="1035" spans="1:12" x14ac:dyDescent="0.25">
      <c r="C1035" s="16">
        <f t="shared" si="21"/>
        <v>103</v>
      </c>
      <c r="D1035" s="16" t="str">
        <f>VLOOKUP(C1035,[1]道具配置表!$A:$D,4,FALSE)</f>
        <v>1石头</v>
      </c>
      <c r="E1035" s="16">
        <f>E1031+500</f>
        <v>19000</v>
      </c>
      <c r="J1035" s="16">
        <v>1</v>
      </c>
      <c r="L1035" s="16" t="b">
        <v>1</v>
      </c>
    </row>
    <row r="1036" spans="1:12" x14ac:dyDescent="0.25">
      <c r="C1036" s="16">
        <f t="shared" si="21"/>
        <v>104</v>
      </c>
      <c r="D1036" s="16" t="str">
        <f>VLOOKUP(C1036,[1]道具配置表!$A:$D,4,FALSE)</f>
        <v>1黄金</v>
      </c>
      <c r="E1036" s="16">
        <f>E1032+500</f>
        <v>19000</v>
      </c>
      <c r="J1036" s="16">
        <v>1</v>
      </c>
      <c r="L1036" s="16" t="b">
        <v>1</v>
      </c>
    </row>
    <row r="1037" spans="1:12" x14ac:dyDescent="0.25">
      <c r="A1037" s="16">
        <v>1920401</v>
      </c>
      <c r="B1037" s="16" t="s">
        <v>596</v>
      </c>
      <c r="C1037" s="16">
        <f t="shared" si="21"/>
        <v>102</v>
      </c>
      <c r="D1037" s="16" t="str">
        <f>VLOOKUP(C1037,[1]道具配置表!$A:$D,4,FALSE)</f>
        <v>1食物</v>
      </c>
      <c r="E1037" s="16">
        <v>3400</v>
      </c>
      <c r="J1037" s="16">
        <v>1</v>
      </c>
      <c r="L1037" s="16" t="b">
        <v>1</v>
      </c>
    </row>
    <row r="1038" spans="1:12" x14ac:dyDescent="0.25">
      <c r="C1038" s="16">
        <f t="shared" si="21"/>
        <v>101</v>
      </c>
      <c r="D1038" s="16" t="str">
        <f>VLOOKUP(C1038,[1]道具配置表!$A:$D,4,FALSE)</f>
        <v>1木材</v>
      </c>
      <c r="E1038" s="16">
        <v>1000</v>
      </c>
      <c r="J1038" s="16">
        <v>1</v>
      </c>
      <c r="L1038" s="16" t="b">
        <v>1</v>
      </c>
    </row>
    <row r="1039" spans="1:12" x14ac:dyDescent="0.25">
      <c r="C1039" s="16">
        <f t="shared" si="21"/>
        <v>103</v>
      </c>
      <c r="D1039" s="16" t="str">
        <f>VLOOKUP(C1039,[1]道具配置表!$A:$D,4,FALSE)</f>
        <v>1石头</v>
      </c>
      <c r="E1039" s="16">
        <v>1000</v>
      </c>
      <c r="J1039" s="16">
        <v>1</v>
      </c>
      <c r="L1039" s="16" t="b">
        <v>1</v>
      </c>
    </row>
    <row r="1040" spans="1:12" x14ac:dyDescent="0.25">
      <c r="C1040" s="16">
        <f t="shared" si="21"/>
        <v>104</v>
      </c>
      <c r="D1040" s="16" t="str">
        <f>VLOOKUP(C1040,[1]道具配置表!$A:$D,4,FALSE)</f>
        <v>1黄金</v>
      </c>
      <c r="E1040" s="16">
        <v>1000</v>
      </c>
      <c r="J1040" s="16">
        <v>1</v>
      </c>
      <c r="L1040" s="16" t="b">
        <v>1</v>
      </c>
    </row>
    <row r="1041" spans="1:12" x14ac:dyDescent="0.25">
      <c r="A1041" s="16">
        <v>1920402</v>
      </c>
      <c r="B1041" s="16" t="s">
        <v>597</v>
      </c>
      <c r="C1041" s="16">
        <f t="shared" si="21"/>
        <v>102</v>
      </c>
      <c r="D1041" s="16" t="str">
        <f>VLOOKUP(C1041,[1]道具配置表!$A:$D,4,FALSE)</f>
        <v>1食物</v>
      </c>
      <c r="E1041" s="16">
        <f>E1037+300</f>
        <v>3700</v>
      </c>
      <c r="J1041" s="16">
        <v>1</v>
      </c>
      <c r="L1041" s="16" t="b">
        <v>1</v>
      </c>
    </row>
    <row r="1042" spans="1:12" x14ac:dyDescent="0.25">
      <c r="C1042" s="16">
        <f t="shared" si="21"/>
        <v>101</v>
      </c>
      <c r="D1042" s="16" t="str">
        <f>VLOOKUP(C1042,[1]道具配置表!$A:$D,4,FALSE)</f>
        <v>1木材</v>
      </c>
      <c r="E1042" s="16">
        <f>E1038+500</f>
        <v>1500</v>
      </c>
      <c r="J1042" s="16">
        <v>1</v>
      </c>
      <c r="L1042" s="16" t="b">
        <v>1</v>
      </c>
    </row>
    <row r="1043" spans="1:12" x14ac:dyDescent="0.25">
      <c r="C1043" s="16">
        <f t="shared" si="21"/>
        <v>103</v>
      </c>
      <c r="D1043" s="16" t="str">
        <f>VLOOKUP(C1043,[1]道具配置表!$A:$D,4,FALSE)</f>
        <v>1石头</v>
      </c>
      <c r="E1043" s="16">
        <f>E1039+500</f>
        <v>1500</v>
      </c>
      <c r="J1043" s="16">
        <v>1</v>
      </c>
      <c r="L1043" s="16" t="b">
        <v>1</v>
      </c>
    </row>
    <row r="1044" spans="1:12" x14ac:dyDescent="0.25">
      <c r="C1044" s="16">
        <f t="shared" si="21"/>
        <v>104</v>
      </c>
      <c r="D1044" s="16" t="str">
        <f>VLOOKUP(C1044,[1]道具配置表!$A:$D,4,FALSE)</f>
        <v>1黄金</v>
      </c>
      <c r="E1044" s="16">
        <f>E1040+500</f>
        <v>1500</v>
      </c>
      <c r="J1044" s="16">
        <v>1</v>
      </c>
      <c r="L1044" s="16" t="b">
        <v>1</v>
      </c>
    </row>
    <row r="1045" spans="1:12" x14ac:dyDescent="0.25">
      <c r="A1045" s="16">
        <v>1920403</v>
      </c>
      <c r="B1045" s="16" t="s">
        <v>598</v>
      </c>
      <c r="C1045" s="16">
        <f t="shared" si="21"/>
        <v>102</v>
      </c>
      <c r="D1045" s="16" t="str">
        <f>VLOOKUP(C1045,[1]道具配置表!$A:$D,4,FALSE)</f>
        <v>1食物</v>
      </c>
      <c r="E1045" s="16">
        <f>E1041+300</f>
        <v>4000</v>
      </c>
      <c r="J1045" s="16">
        <v>1</v>
      </c>
      <c r="L1045" s="16" t="b">
        <v>1</v>
      </c>
    </row>
    <row r="1046" spans="1:12" x14ac:dyDescent="0.25">
      <c r="C1046" s="16">
        <f t="shared" si="21"/>
        <v>101</v>
      </c>
      <c r="D1046" s="16" t="str">
        <f>VLOOKUP(C1046,[1]道具配置表!$A:$D,4,FALSE)</f>
        <v>1木材</v>
      </c>
      <c r="E1046" s="16">
        <f>E1042+500</f>
        <v>2000</v>
      </c>
      <c r="J1046" s="16">
        <v>1</v>
      </c>
      <c r="L1046" s="16" t="b">
        <v>1</v>
      </c>
    </row>
    <row r="1047" spans="1:12" x14ac:dyDescent="0.25">
      <c r="C1047" s="16">
        <f t="shared" si="21"/>
        <v>103</v>
      </c>
      <c r="D1047" s="16" t="str">
        <f>VLOOKUP(C1047,[1]道具配置表!$A:$D,4,FALSE)</f>
        <v>1石头</v>
      </c>
      <c r="E1047" s="16">
        <f>E1043+500</f>
        <v>2000</v>
      </c>
      <c r="J1047" s="16">
        <v>1</v>
      </c>
      <c r="L1047" s="16" t="b">
        <v>1</v>
      </c>
    </row>
    <row r="1048" spans="1:12" x14ac:dyDescent="0.25">
      <c r="C1048" s="16">
        <f t="shared" si="21"/>
        <v>104</v>
      </c>
      <c r="D1048" s="16" t="str">
        <f>VLOOKUP(C1048,[1]道具配置表!$A:$D,4,FALSE)</f>
        <v>1黄金</v>
      </c>
      <c r="E1048" s="16">
        <f>E1044+500</f>
        <v>2000</v>
      </c>
      <c r="J1048" s="16">
        <v>1</v>
      </c>
      <c r="L1048" s="16" t="b">
        <v>1</v>
      </c>
    </row>
    <row r="1049" spans="1:12" x14ac:dyDescent="0.25">
      <c r="A1049" s="16">
        <v>1920404</v>
      </c>
      <c r="B1049" s="16" t="s">
        <v>599</v>
      </c>
      <c r="C1049" s="16">
        <f t="shared" si="21"/>
        <v>102</v>
      </c>
      <c r="D1049" s="16" t="str">
        <f>VLOOKUP(C1049,[1]道具配置表!$A:$D,4,FALSE)</f>
        <v>1食物</v>
      </c>
      <c r="E1049" s="16">
        <f>E1045+300</f>
        <v>4300</v>
      </c>
      <c r="J1049" s="16">
        <v>1</v>
      </c>
      <c r="L1049" s="16" t="b">
        <v>1</v>
      </c>
    </row>
    <row r="1050" spans="1:12" x14ac:dyDescent="0.25">
      <c r="C1050" s="16">
        <f t="shared" si="21"/>
        <v>101</v>
      </c>
      <c r="D1050" s="16" t="str">
        <f>VLOOKUP(C1050,[1]道具配置表!$A:$D,4,FALSE)</f>
        <v>1木材</v>
      </c>
      <c r="E1050" s="16">
        <f>E1046+500</f>
        <v>2500</v>
      </c>
      <c r="J1050" s="16">
        <v>1</v>
      </c>
      <c r="L1050" s="16" t="b">
        <v>1</v>
      </c>
    </row>
    <row r="1051" spans="1:12" x14ac:dyDescent="0.25">
      <c r="C1051" s="16">
        <f t="shared" si="21"/>
        <v>103</v>
      </c>
      <c r="D1051" s="16" t="str">
        <f>VLOOKUP(C1051,[1]道具配置表!$A:$D,4,FALSE)</f>
        <v>1石头</v>
      </c>
      <c r="E1051" s="16">
        <f>E1047+500</f>
        <v>2500</v>
      </c>
      <c r="J1051" s="16">
        <v>1</v>
      </c>
      <c r="L1051" s="16" t="b">
        <v>1</v>
      </c>
    </row>
    <row r="1052" spans="1:12" x14ac:dyDescent="0.25">
      <c r="C1052" s="16">
        <f t="shared" si="21"/>
        <v>104</v>
      </c>
      <c r="D1052" s="16" t="str">
        <f>VLOOKUP(C1052,[1]道具配置表!$A:$D,4,FALSE)</f>
        <v>1黄金</v>
      </c>
      <c r="E1052" s="16">
        <f>E1048+500</f>
        <v>2500</v>
      </c>
      <c r="J1052" s="16">
        <v>1</v>
      </c>
      <c r="L1052" s="16" t="b">
        <v>1</v>
      </c>
    </row>
    <row r="1053" spans="1:12" x14ac:dyDescent="0.25">
      <c r="A1053" s="16">
        <v>1920405</v>
      </c>
      <c r="B1053" s="16" t="s">
        <v>600</v>
      </c>
      <c r="C1053" s="16">
        <f t="shared" si="21"/>
        <v>102</v>
      </c>
      <c r="D1053" s="16" t="str">
        <f>VLOOKUP(C1053,[1]道具配置表!$A:$D,4,FALSE)</f>
        <v>1食物</v>
      </c>
      <c r="E1053" s="16">
        <f>E1049+300</f>
        <v>4600</v>
      </c>
      <c r="J1053" s="16">
        <v>1</v>
      </c>
      <c r="L1053" s="16" t="b">
        <v>1</v>
      </c>
    </row>
    <row r="1054" spans="1:12" x14ac:dyDescent="0.25">
      <c r="C1054" s="16">
        <f t="shared" si="21"/>
        <v>101</v>
      </c>
      <c r="D1054" s="16" t="str">
        <f>VLOOKUP(C1054,[1]道具配置表!$A:$D,4,FALSE)</f>
        <v>1木材</v>
      </c>
      <c r="E1054" s="16">
        <f>E1050+500</f>
        <v>3000</v>
      </c>
      <c r="J1054" s="16">
        <v>1</v>
      </c>
      <c r="L1054" s="16" t="b">
        <v>1</v>
      </c>
    </row>
    <row r="1055" spans="1:12" x14ac:dyDescent="0.25">
      <c r="C1055" s="16">
        <f t="shared" si="21"/>
        <v>103</v>
      </c>
      <c r="D1055" s="16" t="str">
        <f>VLOOKUP(C1055,[1]道具配置表!$A:$D,4,FALSE)</f>
        <v>1石头</v>
      </c>
      <c r="E1055" s="16">
        <f>E1051+500</f>
        <v>3000</v>
      </c>
      <c r="J1055" s="16">
        <v>1</v>
      </c>
      <c r="L1055" s="16" t="b">
        <v>1</v>
      </c>
    </row>
    <row r="1056" spans="1:12" x14ac:dyDescent="0.25">
      <c r="C1056" s="16">
        <f t="shared" si="21"/>
        <v>104</v>
      </c>
      <c r="D1056" s="16" t="str">
        <f>VLOOKUP(C1056,[1]道具配置表!$A:$D,4,FALSE)</f>
        <v>1黄金</v>
      </c>
      <c r="E1056" s="16">
        <f>E1052+500</f>
        <v>3000</v>
      </c>
      <c r="J1056" s="16">
        <v>1</v>
      </c>
      <c r="L1056" s="16" t="b">
        <v>1</v>
      </c>
    </row>
    <row r="1057" spans="1:12" x14ac:dyDescent="0.25">
      <c r="A1057" s="16">
        <v>1920406</v>
      </c>
      <c r="B1057" s="16" t="s">
        <v>601</v>
      </c>
      <c r="C1057" s="16">
        <f t="shared" si="21"/>
        <v>102</v>
      </c>
      <c r="D1057" s="16" t="str">
        <f>VLOOKUP(C1057,[1]道具配置表!$A:$D,4,FALSE)</f>
        <v>1食物</v>
      </c>
      <c r="E1057" s="16">
        <f>E1053+300</f>
        <v>4900</v>
      </c>
      <c r="J1057" s="16">
        <v>1</v>
      </c>
      <c r="L1057" s="16" t="b">
        <v>1</v>
      </c>
    </row>
    <row r="1058" spans="1:12" x14ac:dyDescent="0.25">
      <c r="C1058" s="16">
        <f t="shared" si="21"/>
        <v>101</v>
      </c>
      <c r="D1058" s="16" t="str">
        <f>VLOOKUP(C1058,[1]道具配置表!$A:$D,4,FALSE)</f>
        <v>1木材</v>
      </c>
      <c r="E1058" s="16">
        <f>E1054+500</f>
        <v>3500</v>
      </c>
      <c r="J1058" s="16">
        <v>1</v>
      </c>
      <c r="L1058" s="16" t="b">
        <v>1</v>
      </c>
    </row>
    <row r="1059" spans="1:12" x14ac:dyDescent="0.25">
      <c r="C1059" s="16">
        <f t="shared" si="21"/>
        <v>103</v>
      </c>
      <c r="D1059" s="16" t="str">
        <f>VLOOKUP(C1059,[1]道具配置表!$A:$D,4,FALSE)</f>
        <v>1石头</v>
      </c>
      <c r="E1059" s="16">
        <f>E1055+500</f>
        <v>3500</v>
      </c>
      <c r="J1059" s="16">
        <v>1</v>
      </c>
      <c r="L1059" s="16" t="b">
        <v>1</v>
      </c>
    </row>
    <row r="1060" spans="1:12" x14ac:dyDescent="0.25">
      <c r="C1060" s="16">
        <f t="shared" si="21"/>
        <v>104</v>
      </c>
      <c r="D1060" s="16" t="str">
        <f>VLOOKUP(C1060,[1]道具配置表!$A:$D,4,FALSE)</f>
        <v>1黄金</v>
      </c>
      <c r="E1060" s="16">
        <f>E1056+500</f>
        <v>3500</v>
      </c>
      <c r="J1060" s="16">
        <v>1</v>
      </c>
      <c r="L1060" s="16" t="b">
        <v>1</v>
      </c>
    </row>
    <row r="1061" spans="1:12" x14ac:dyDescent="0.25">
      <c r="A1061" s="16">
        <v>1920407</v>
      </c>
      <c r="B1061" s="16" t="s">
        <v>602</v>
      </c>
      <c r="C1061" s="16">
        <f t="shared" si="21"/>
        <v>102</v>
      </c>
      <c r="D1061" s="16" t="str">
        <f>VLOOKUP(C1061,[1]道具配置表!$A:$D,4,FALSE)</f>
        <v>1食物</v>
      </c>
      <c r="E1061" s="16">
        <f>E1057+300</f>
        <v>5200</v>
      </c>
      <c r="J1061" s="16">
        <v>1</v>
      </c>
      <c r="L1061" s="16" t="b">
        <v>1</v>
      </c>
    </row>
    <row r="1062" spans="1:12" x14ac:dyDescent="0.25">
      <c r="C1062" s="16">
        <f t="shared" si="21"/>
        <v>101</v>
      </c>
      <c r="D1062" s="16" t="str">
        <f>VLOOKUP(C1062,[1]道具配置表!$A:$D,4,FALSE)</f>
        <v>1木材</v>
      </c>
      <c r="E1062" s="16">
        <f>E1058+500</f>
        <v>4000</v>
      </c>
      <c r="J1062" s="16">
        <v>1</v>
      </c>
      <c r="L1062" s="16" t="b">
        <v>1</v>
      </c>
    </row>
    <row r="1063" spans="1:12" x14ac:dyDescent="0.25">
      <c r="C1063" s="16">
        <f t="shared" si="21"/>
        <v>103</v>
      </c>
      <c r="D1063" s="16" t="str">
        <f>VLOOKUP(C1063,[1]道具配置表!$A:$D,4,FALSE)</f>
        <v>1石头</v>
      </c>
      <c r="E1063" s="16">
        <f>E1059+500</f>
        <v>4000</v>
      </c>
      <c r="J1063" s="16">
        <v>1</v>
      </c>
      <c r="L1063" s="16" t="b">
        <v>1</v>
      </c>
    </row>
    <row r="1064" spans="1:12" x14ac:dyDescent="0.25">
      <c r="C1064" s="16">
        <f t="shared" si="21"/>
        <v>104</v>
      </c>
      <c r="D1064" s="16" t="str">
        <f>VLOOKUP(C1064,[1]道具配置表!$A:$D,4,FALSE)</f>
        <v>1黄金</v>
      </c>
      <c r="E1064" s="16">
        <f>E1060+500</f>
        <v>4000</v>
      </c>
      <c r="J1064" s="16">
        <v>1</v>
      </c>
      <c r="L1064" s="16" t="b">
        <v>1</v>
      </c>
    </row>
    <row r="1065" spans="1:12" x14ac:dyDescent="0.25">
      <c r="A1065" s="16">
        <v>1920408</v>
      </c>
      <c r="B1065" s="16" t="s">
        <v>603</v>
      </c>
      <c r="C1065" s="16">
        <f t="shared" si="21"/>
        <v>102</v>
      </c>
      <c r="D1065" s="16" t="str">
        <f>VLOOKUP(C1065,[1]道具配置表!$A:$D,4,FALSE)</f>
        <v>1食物</v>
      </c>
      <c r="E1065" s="16">
        <f>E1061+300</f>
        <v>5500</v>
      </c>
      <c r="J1065" s="16">
        <v>1</v>
      </c>
      <c r="L1065" s="16" t="b">
        <v>1</v>
      </c>
    </row>
    <row r="1066" spans="1:12" x14ac:dyDescent="0.25">
      <c r="C1066" s="16">
        <f t="shared" si="21"/>
        <v>101</v>
      </c>
      <c r="D1066" s="16" t="str">
        <f>VLOOKUP(C1066,[1]道具配置表!$A:$D,4,FALSE)</f>
        <v>1木材</v>
      </c>
      <c r="E1066" s="16">
        <f>E1062+500</f>
        <v>4500</v>
      </c>
      <c r="J1066" s="16">
        <v>1</v>
      </c>
      <c r="L1066" s="16" t="b">
        <v>1</v>
      </c>
    </row>
    <row r="1067" spans="1:12" x14ac:dyDescent="0.25">
      <c r="C1067" s="16">
        <f t="shared" si="21"/>
        <v>103</v>
      </c>
      <c r="D1067" s="16" t="str">
        <f>VLOOKUP(C1067,[1]道具配置表!$A:$D,4,FALSE)</f>
        <v>1石头</v>
      </c>
      <c r="E1067" s="16">
        <f>E1063+500</f>
        <v>4500</v>
      </c>
      <c r="J1067" s="16">
        <v>1</v>
      </c>
      <c r="L1067" s="16" t="b">
        <v>1</v>
      </c>
    </row>
    <row r="1068" spans="1:12" x14ac:dyDescent="0.25">
      <c r="C1068" s="16">
        <f t="shared" si="21"/>
        <v>104</v>
      </c>
      <c r="D1068" s="16" t="str">
        <f>VLOOKUP(C1068,[1]道具配置表!$A:$D,4,FALSE)</f>
        <v>1黄金</v>
      </c>
      <c r="E1068" s="16">
        <f>E1064+500</f>
        <v>4500</v>
      </c>
      <c r="J1068" s="16">
        <v>1</v>
      </c>
      <c r="L1068" s="16" t="b">
        <v>1</v>
      </c>
    </row>
    <row r="1069" spans="1:12" x14ac:dyDescent="0.25">
      <c r="A1069" s="16">
        <v>1920409</v>
      </c>
      <c r="B1069" s="16" t="s">
        <v>604</v>
      </c>
      <c r="C1069" s="16">
        <f t="shared" si="21"/>
        <v>102</v>
      </c>
      <c r="D1069" s="16" t="str">
        <f>VLOOKUP(C1069,[1]道具配置表!$A:$D,4,FALSE)</f>
        <v>1食物</v>
      </c>
      <c r="E1069" s="16">
        <f>E1065+300</f>
        <v>5800</v>
      </c>
      <c r="J1069" s="16">
        <v>1</v>
      </c>
      <c r="L1069" s="16" t="b">
        <v>1</v>
      </c>
    </row>
    <row r="1070" spans="1:12" x14ac:dyDescent="0.25">
      <c r="C1070" s="16">
        <f t="shared" si="21"/>
        <v>101</v>
      </c>
      <c r="D1070" s="16" t="str">
        <f>VLOOKUP(C1070,[1]道具配置表!$A:$D,4,FALSE)</f>
        <v>1木材</v>
      </c>
      <c r="E1070" s="16">
        <f>E1066+500</f>
        <v>5000</v>
      </c>
      <c r="J1070" s="16">
        <v>1</v>
      </c>
      <c r="L1070" s="16" t="b">
        <v>1</v>
      </c>
    </row>
    <row r="1071" spans="1:12" x14ac:dyDescent="0.25">
      <c r="C1071" s="16">
        <f t="shared" si="21"/>
        <v>103</v>
      </c>
      <c r="D1071" s="16" t="str">
        <f>VLOOKUP(C1071,[1]道具配置表!$A:$D,4,FALSE)</f>
        <v>1石头</v>
      </c>
      <c r="E1071" s="16">
        <f>E1067+500</f>
        <v>5000</v>
      </c>
      <c r="J1071" s="16">
        <v>1</v>
      </c>
      <c r="L1071" s="16" t="b">
        <v>1</v>
      </c>
    </row>
    <row r="1072" spans="1:12" x14ac:dyDescent="0.25">
      <c r="C1072" s="16">
        <f t="shared" si="21"/>
        <v>104</v>
      </c>
      <c r="D1072" s="16" t="str">
        <f>VLOOKUP(C1072,[1]道具配置表!$A:$D,4,FALSE)</f>
        <v>1黄金</v>
      </c>
      <c r="E1072" s="16">
        <f>E1068+500</f>
        <v>5000</v>
      </c>
      <c r="J1072" s="16">
        <v>1</v>
      </c>
      <c r="L1072" s="16" t="b">
        <v>1</v>
      </c>
    </row>
    <row r="1073" spans="1:12" x14ac:dyDescent="0.25">
      <c r="A1073" s="16">
        <v>1920410</v>
      </c>
      <c r="B1073" s="16" t="s">
        <v>605</v>
      </c>
      <c r="C1073" s="16">
        <f t="shared" ref="C1073:C1136" si="22">C1069</f>
        <v>102</v>
      </c>
      <c r="D1073" s="16" t="str">
        <f>VLOOKUP(C1073,[1]道具配置表!$A:$D,4,FALSE)</f>
        <v>1食物</v>
      </c>
      <c r="E1073" s="16">
        <f>E1069+300</f>
        <v>6100</v>
      </c>
      <c r="J1073" s="16">
        <v>1</v>
      </c>
      <c r="L1073" s="16" t="b">
        <v>1</v>
      </c>
    </row>
    <row r="1074" spans="1:12" x14ac:dyDescent="0.25">
      <c r="C1074" s="16">
        <f t="shared" si="22"/>
        <v>101</v>
      </c>
      <c r="D1074" s="16" t="str">
        <f>VLOOKUP(C1074,[1]道具配置表!$A:$D,4,FALSE)</f>
        <v>1木材</v>
      </c>
      <c r="E1074" s="16">
        <f>E1070+500</f>
        <v>5500</v>
      </c>
      <c r="J1074" s="16">
        <v>1</v>
      </c>
      <c r="L1074" s="16" t="b">
        <v>1</v>
      </c>
    </row>
    <row r="1075" spans="1:12" x14ac:dyDescent="0.25">
      <c r="C1075" s="16">
        <f t="shared" si="22"/>
        <v>103</v>
      </c>
      <c r="D1075" s="16" t="str">
        <f>VLOOKUP(C1075,[1]道具配置表!$A:$D,4,FALSE)</f>
        <v>1石头</v>
      </c>
      <c r="E1075" s="16">
        <f>E1071+500</f>
        <v>5500</v>
      </c>
      <c r="J1075" s="16">
        <v>1</v>
      </c>
      <c r="L1075" s="16" t="b">
        <v>1</v>
      </c>
    </row>
    <row r="1076" spans="1:12" x14ac:dyDescent="0.25">
      <c r="C1076" s="16">
        <f t="shared" si="22"/>
        <v>104</v>
      </c>
      <c r="D1076" s="16" t="str">
        <f>VLOOKUP(C1076,[1]道具配置表!$A:$D,4,FALSE)</f>
        <v>1黄金</v>
      </c>
      <c r="E1076" s="16">
        <f>E1072+500</f>
        <v>5500</v>
      </c>
      <c r="J1076" s="16">
        <v>1</v>
      </c>
      <c r="L1076" s="16" t="b">
        <v>1</v>
      </c>
    </row>
    <row r="1077" spans="1:12" x14ac:dyDescent="0.25">
      <c r="A1077" s="16">
        <v>1920411</v>
      </c>
      <c r="B1077" s="16" t="s">
        <v>606</v>
      </c>
      <c r="C1077" s="16">
        <f t="shared" si="22"/>
        <v>102</v>
      </c>
      <c r="D1077" s="16" t="str">
        <f>VLOOKUP(C1077,[1]道具配置表!$A:$D,4,FALSE)</f>
        <v>1食物</v>
      </c>
      <c r="E1077" s="16">
        <f>E1073+300</f>
        <v>6400</v>
      </c>
      <c r="J1077" s="16">
        <v>1</v>
      </c>
      <c r="L1077" s="16" t="b">
        <v>1</v>
      </c>
    </row>
    <row r="1078" spans="1:12" x14ac:dyDescent="0.25">
      <c r="C1078" s="16">
        <f t="shared" si="22"/>
        <v>101</v>
      </c>
      <c r="D1078" s="16" t="str">
        <f>VLOOKUP(C1078,[1]道具配置表!$A:$D,4,FALSE)</f>
        <v>1木材</v>
      </c>
      <c r="E1078" s="16">
        <f>E1074+500</f>
        <v>6000</v>
      </c>
      <c r="J1078" s="16">
        <v>1</v>
      </c>
      <c r="L1078" s="16" t="b">
        <v>1</v>
      </c>
    </row>
    <row r="1079" spans="1:12" x14ac:dyDescent="0.25">
      <c r="C1079" s="16">
        <f t="shared" si="22"/>
        <v>103</v>
      </c>
      <c r="D1079" s="16" t="str">
        <f>VLOOKUP(C1079,[1]道具配置表!$A:$D,4,FALSE)</f>
        <v>1石头</v>
      </c>
      <c r="E1079" s="16">
        <f>E1075+500</f>
        <v>6000</v>
      </c>
      <c r="J1079" s="16">
        <v>1</v>
      </c>
      <c r="L1079" s="16" t="b">
        <v>1</v>
      </c>
    </row>
    <row r="1080" spans="1:12" x14ac:dyDescent="0.25">
      <c r="C1080" s="16">
        <f t="shared" si="22"/>
        <v>104</v>
      </c>
      <c r="D1080" s="16" t="str">
        <f>VLOOKUP(C1080,[1]道具配置表!$A:$D,4,FALSE)</f>
        <v>1黄金</v>
      </c>
      <c r="E1080" s="16">
        <f>E1076+500</f>
        <v>6000</v>
      </c>
      <c r="J1080" s="16">
        <v>1</v>
      </c>
      <c r="L1080" s="16" t="b">
        <v>1</v>
      </c>
    </row>
    <row r="1081" spans="1:12" x14ac:dyDescent="0.25">
      <c r="A1081" s="16">
        <v>1920412</v>
      </c>
      <c r="B1081" s="16" t="s">
        <v>607</v>
      </c>
      <c r="C1081" s="16">
        <f t="shared" si="22"/>
        <v>102</v>
      </c>
      <c r="D1081" s="16" t="str">
        <f>VLOOKUP(C1081,[1]道具配置表!$A:$D,4,FALSE)</f>
        <v>1食物</v>
      </c>
      <c r="E1081" s="16">
        <f>E1077+300</f>
        <v>6700</v>
      </c>
      <c r="J1081" s="16">
        <v>1</v>
      </c>
      <c r="L1081" s="16" t="b">
        <v>1</v>
      </c>
    </row>
    <row r="1082" spans="1:12" x14ac:dyDescent="0.25">
      <c r="C1082" s="16">
        <f t="shared" si="22"/>
        <v>101</v>
      </c>
      <c r="D1082" s="16" t="str">
        <f>VLOOKUP(C1082,[1]道具配置表!$A:$D,4,FALSE)</f>
        <v>1木材</v>
      </c>
      <c r="E1082" s="16">
        <f>E1078+500</f>
        <v>6500</v>
      </c>
      <c r="J1082" s="16">
        <v>1</v>
      </c>
      <c r="L1082" s="16" t="b">
        <v>1</v>
      </c>
    </row>
    <row r="1083" spans="1:12" x14ac:dyDescent="0.25">
      <c r="C1083" s="16">
        <f t="shared" si="22"/>
        <v>103</v>
      </c>
      <c r="D1083" s="16" t="str">
        <f>VLOOKUP(C1083,[1]道具配置表!$A:$D,4,FALSE)</f>
        <v>1石头</v>
      </c>
      <c r="E1083" s="16">
        <f>E1079+500</f>
        <v>6500</v>
      </c>
      <c r="J1083" s="16">
        <v>1</v>
      </c>
      <c r="L1083" s="16" t="b">
        <v>1</v>
      </c>
    </row>
    <row r="1084" spans="1:12" x14ac:dyDescent="0.25">
      <c r="C1084" s="16">
        <f t="shared" si="22"/>
        <v>104</v>
      </c>
      <c r="D1084" s="16" t="str">
        <f>VLOOKUP(C1084,[1]道具配置表!$A:$D,4,FALSE)</f>
        <v>1黄金</v>
      </c>
      <c r="E1084" s="16">
        <f>E1080+500</f>
        <v>6500</v>
      </c>
      <c r="J1084" s="16">
        <v>1</v>
      </c>
      <c r="L1084" s="16" t="b">
        <v>1</v>
      </c>
    </row>
    <row r="1085" spans="1:12" x14ac:dyDescent="0.25">
      <c r="A1085" s="16">
        <v>1920413</v>
      </c>
      <c r="B1085" s="16" t="s">
        <v>608</v>
      </c>
      <c r="C1085" s="16">
        <f t="shared" si="22"/>
        <v>102</v>
      </c>
      <c r="D1085" s="16" t="str">
        <f>VLOOKUP(C1085,[1]道具配置表!$A:$D,4,FALSE)</f>
        <v>1食物</v>
      </c>
      <c r="E1085" s="16">
        <f>E1081+300</f>
        <v>7000</v>
      </c>
      <c r="J1085" s="16">
        <v>1</v>
      </c>
      <c r="L1085" s="16" t="b">
        <v>1</v>
      </c>
    </row>
    <row r="1086" spans="1:12" x14ac:dyDescent="0.25">
      <c r="C1086" s="16">
        <f t="shared" si="22"/>
        <v>101</v>
      </c>
      <c r="D1086" s="16" t="str">
        <f>VLOOKUP(C1086,[1]道具配置表!$A:$D,4,FALSE)</f>
        <v>1木材</v>
      </c>
      <c r="E1086" s="16">
        <f>E1082+500</f>
        <v>7000</v>
      </c>
      <c r="J1086" s="16">
        <v>1</v>
      </c>
      <c r="L1086" s="16" t="b">
        <v>1</v>
      </c>
    </row>
    <row r="1087" spans="1:12" x14ac:dyDescent="0.25">
      <c r="C1087" s="16">
        <f t="shared" si="22"/>
        <v>103</v>
      </c>
      <c r="D1087" s="16" t="str">
        <f>VLOOKUP(C1087,[1]道具配置表!$A:$D,4,FALSE)</f>
        <v>1石头</v>
      </c>
      <c r="E1087" s="16">
        <f>E1083+500</f>
        <v>7000</v>
      </c>
      <c r="J1087" s="16">
        <v>1</v>
      </c>
      <c r="L1087" s="16" t="b">
        <v>1</v>
      </c>
    </row>
    <row r="1088" spans="1:12" x14ac:dyDescent="0.25">
      <c r="C1088" s="16">
        <f t="shared" si="22"/>
        <v>104</v>
      </c>
      <c r="D1088" s="16" t="str">
        <f>VLOOKUP(C1088,[1]道具配置表!$A:$D,4,FALSE)</f>
        <v>1黄金</v>
      </c>
      <c r="E1088" s="16">
        <f>E1084+500</f>
        <v>7000</v>
      </c>
      <c r="J1088" s="16">
        <v>1</v>
      </c>
      <c r="L1088" s="16" t="b">
        <v>1</v>
      </c>
    </row>
    <row r="1089" spans="1:12" x14ac:dyDescent="0.25">
      <c r="A1089" s="16">
        <v>1920414</v>
      </c>
      <c r="B1089" s="16" t="s">
        <v>609</v>
      </c>
      <c r="C1089" s="16">
        <f t="shared" si="22"/>
        <v>102</v>
      </c>
      <c r="D1089" s="16" t="str">
        <f>VLOOKUP(C1089,[1]道具配置表!$A:$D,4,FALSE)</f>
        <v>1食物</v>
      </c>
      <c r="E1089" s="16">
        <f>E1085+300</f>
        <v>7300</v>
      </c>
      <c r="J1089" s="16">
        <v>1</v>
      </c>
      <c r="L1089" s="16" t="b">
        <v>1</v>
      </c>
    </row>
    <row r="1090" spans="1:12" x14ac:dyDescent="0.25">
      <c r="C1090" s="16">
        <f t="shared" si="22"/>
        <v>101</v>
      </c>
      <c r="D1090" s="16" t="str">
        <f>VLOOKUP(C1090,[1]道具配置表!$A:$D,4,FALSE)</f>
        <v>1木材</v>
      </c>
      <c r="E1090" s="16">
        <f>E1086+500</f>
        <v>7500</v>
      </c>
      <c r="J1090" s="16">
        <v>1</v>
      </c>
      <c r="L1090" s="16" t="b">
        <v>1</v>
      </c>
    </row>
    <row r="1091" spans="1:12" x14ac:dyDescent="0.25">
      <c r="C1091" s="16">
        <f t="shared" si="22"/>
        <v>103</v>
      </c>
      <c r="D1091" s="16" t="str">
        <f>VLOOKUP(C1091,[1]道具配置表!$A:$D,4,FALSE)</f>
        <v>1石头</v>
      </c>
      <c r="E1091" s="16">
        <f>E1087+500</f>
        <v>7500</v>
      </c>
      <c r="J1091" s="16">
        <v>1</v>
      </c>
      <c r="L1091" s="16" t="b">
        <v>1</v>
      </c>
    </row>
    <row r="1092" spans="1:12" x14ac:dyDescent="0.25">
      <c r="C1092" s="16">
        <f t="shared" si="22"/>
        <v>104</v>
      </c>
      <c r="D1092" s="16" t="str">
        <f>VLOOKUP(C1092,[1]道具配置表!$A:$D,4,FALSE)</f>
        <v>1黄金</v>
      </c>
      <c r="E1092" s="16">
        <f>E1088+500</f>
        <v>7500</v>
      </c>
      <c r="J1092" s="16">
        <v>1</v>
      </c>
      <c r="L1092" s="16" t="b">
        <v>1</v>
      </c>
    </row>
    <row r="1093" spans="1:12" x14ac:dyDescent="0.25">
      <c r="A1093" s="16">
        <v>1920415</v>
      </c>
      <c r="B1093" s="16" t="s">
        <v>610</v>
      </c>
      <c r="C1093" s="16">
        <f t="shared" si="22"/>
        <v>102</v>
      </c>
      <c r="D1093" s="16" t="str">
        <f>VLOOKUP(C1093,[1]道具配置表!$A:$D,4,FALSE)</f>
        <v>1食物</v>
      </c>
      <c r="E1093" s="16">
        <f>E1089+300</f>
        <v>7600</v>
      </c>
      <c r="J1093" s="16">
        <v>1</v>
      </c>
      <c r="L1093" s="16" t="b">
        <v>1</v>
      </c>
    </row>
    <row r="1094" spans="1:12" x14ac:dyDescent="0.25">
      <c r="C1094" s="16">
        <f t="shared" si="22"/>
        <v>101</v>
      </c>
      <c r="D1094" s="16" t="str">
        <f>VLOOKUP(C1094,[1]道具配置表!$A:$D,4,FALSE)</f>
        <v>1木材</v>
      </c>
      <c r="E1094" s="16">
        <f>E1090+500</f>
        <v>8000</v>
      </c>
      <c r="J1094" s="16">
        <v>1</v>
      </c>
      <c r="L1094" s="16" t="b">
        <v>1</v>
      </c>
    </row>
    <row r="1095" spans="1:12" x14ac:dyDescent="0.25">
      <c r="C1095" s="16">
        <f t="shared" si="22"/>
        <v>103</v>
      </c>
      <c r="D1095" s="16" t="str">
        <f>VLOOKUP(C1095,[1]道具配置表!$A:$D,4,FALSE)</f>
        <v>1石头</v>
      </c>
      <c r="E1095" s="16">
        <f>E1091+500</f>
        <v>8000</v>
      </c>
      <c r="J1095" s="16">
        <v>1</v>
      </c>
      <c r="L1095" s="16" t="b">
        <v>1</v>
      </c>
    </row>
    <row r="1096" spans="1:12" x14ac:dyDescent="0.25">
      <c r="C1096" s="16">
        <f t="shared" si="22"/>
        <v>104</v>
      </c>
      <c r="D1096" s="16" t="str">
        <f>VLOOKUP(C1096,[1]道具配置表!$A:$D,4,FALSE)</f>
        <v>1黄金</v>
      </c>
      <c r="E1096" s="16">
        <f>E1092+500</f>
        <v>8000</v>
      </c>
      <c r="J1096" s="16">
        <v>1</v>
      </c>
      <c r="L1096" s="16" t="b">
        <v>1</v>
      </c>
    </row>
    <row r="1097" spans="1:12" x14ac:dyDescent="0.25">
      <c r="A1097" s="16">
        <v>1920416</v>
      </c>
      <c r="B1097" s="16" t="s">
        <v>611</v>
      </c>
      <c r="C1097" s="16">
        <f t="shared" si="22"/>
        <v>102</v>
      </c>
      <c r="D1097" s="16" t="str">
        <f>VLOOKUP(C1097,[1]道具配置表!$A:$D,4,FALSE)</f>
        <v>1食物</v>
      </c>
      <c r="E1097" s="16">
        <f>E1093+300</f>
        <v>7900</v>
      </c>
      <c r="J1097" s="16">
        <v>1</v>
      </c>
      <c r="L1097" s="16" t="b">
        <v>1</v>
      </c>
    </row>
    <row r="1098" spans="1:12" x14ac:dyDescent="0.25">
      <c r="C1098" s="16">
        <f t="shared" si="22"/>
        <v>101</v>
      </c>
      <c r="D1098" s="16" t="str">
        <f>VLOOKUP(C1098,[1]道具配置表!$A:$D,4,FALSE)</f>
        <v>1木材</v>
      </c>
      <c r="E1098" s="16">
        <f>E1094+500</f>
        <v>8500</v>
      </c>
      <c r="J1098" s="16">
        <v>1</v>
      </c>
      <c r="L1098" s="16" t="b">
        <v>1</v>
      </c>
    </row>
    <row r="1099" spans="1:12" x14ac:dyDescent="0.25">
      <c r="C1099" s="16">
        <f t="shared" si="22"/>
        <v>103</v>
      </c>
      <c r="D1099" s="16" t="str">
        <f>VLOOKUP(C1099,[1]道具配置表!$A:$D,4,FALSE)</f>
        <v>1石头</v>
      </c>
      <c r="E1099" s="16">
        <f>E1095+500</f>
        <v>8500</v>
      </c>
      <c r="J1099" s="16">
        <v>1</v>
      </c>
      <c r="L1099" s="16" t="b">
        <v>1</v>
      </c>
    </row>
    <row r="1100" spans="1:12" x14ac:dyDescent="0.25">
      <c r="C1100" s="16">
        <f t="shared" si="22"/>
        <v>104</v>
      </c>
      <c r="D1100" s="16" t="str">
        <f>VLOOKUP(C1100,[1]道具配置表!$A:$D,4,FALSE)</f>
        <v>1黄金</v>
      </c>
      <c r="E1100" s="16">
        <f>E1096+500</f>
        <v>8500</v>
      </c>
      <c r="J1100" s="16">
        <v>1</v>
      </c>
      <c r="L1100" s="16" t="b">
        <v>1</v>
      </c>
    </row>
    <row r="1101" spans="1:12" x14ac:dyDescent="0.25">
      <c r="A1101" s="16">
        <v>1920417</v>
      </c>
      <c r="B1101" s="16" t="s">
        <v>612</v>
      </c>
      <c r="C1101" s="16">
        <f t="shared" si="22"/>
        <v>102</v>
      </c>
      <c r="D1101" s="16" t="str">
        <f>VLOOKUP(C1101,[1]道具配置表!$A:$D,4,FALSE)</f>
        <v>1食物</v>
      </c>
      <c r="E1101" s="16">
        <f>E1097+300</f>
        <v>8200</v>
      </c>
      <c r="J1101" s="16">
        <v>1</v>
      </c>
      <c r="L1101" s="16" t="b">
        <v>1</v>
      </c>
    </row>
    <row r="1102" spans="1:12" x14ac:dyDescent="0.25">
      <c r="C1102" s="16">
        <f t="shared" si="22"/>
        <v>101</v>
      </c>
      <c r="D1102" s="16" t="str">
        <f>VLOOKUP(C1102,[1]道具配置表!$A:$D,4,FALSE)</f>
        <v>1木材</v>
      </c>
      <c r="E1102" s="16">
        <f>E1098+500</f>
        <v>9000</v>
      </c>
      <c r="J1102" s="16">
        <v>1</v>
      </c>
      <c r="L1102" s="16" t="b">
        <v>1</v>
      </c>
    </row>
    <row r="1103" spans="1:12" x14ac:dyDescent="0.25">
      <c r="C1103" s="16">
        <f t="shared" si="22"/>
        <v>103</v>
      </c>
      <c r="D1103" s="16" t="str">
        <f>VLOOKUP(C1103,[1]道具配置表!$A:$D,4,FALSE)</f>
        <v>1石头</v>
      </c>
      <c r="E1103" s="16">
        <f>E1099+500</f>
        <v>9000</v>
      </c>
      <c r="J1103" s="16">
        <v>1</v>
      </c>
      <c r="L1103" s="16" t="b">
        <v>1</v>
      </c>
    </row>
    <row r="1104" spans="1:12" x14ac:dyDescent="0.25">
      <c r="C1104" s="16">
        <f t="shared" si="22"/>
        <v>104</v>
      </c>
      <c r="D1104" s="16" t="str">
        <f>VLOOKUP(C1104,[1]道具配置表!$A:$D,4,FALSE)</f>
        <v>1黄金</v>
      </c>
      <c r="E1104" s="16">
        <f>E1100+500</f>
        <v>9000</v>
      </c>
      <c r="J1104" s="16">
        <v>1</v>
      </c>
      <c r="L1104" s="16" t="b">
        <v>1</v>
      </c>
    </row>
    <row r="1105" spans="1:12" x14ac:dyDescent="0.25">
      <c r="A1105" s="16">
        <v>1920418</v>
      </c>
      <c r="B1105" s="16" t="s">
        <v>613</v>
      </c>
      <c r="C1105" s="16">
        <f t="shared" si="22"/>
        <v>102</v>
      </c>
      <c r="D1105" s="16" t="str">
        <f>VLOOKUP(C1105,[1]道具配置表!$A:$D,4,FALSE)</f>
        <v>1食物</v>
      </c>
      <c r="E1105" s="16">
        <f>E1101+300</f>
        <v>8500</v>
      </c>
      <c r="J1105" s="16">
        <v>1</v>
      </c>
      <c r="L1105" s="16" t="b">
        <v>1</v>
      </c>
    </row>
    <row r="1106" spans="1:12" x14ac:dyDescent="0.25">
      <c r="C1106" s="16">
        <f t="shared" si="22"/>
        <v>101</v>
      </c>
      <c r="D1106" s="16" t="str">
        <f>VLOOKUP(C1106,[1]道具配置表!$A:$D,4,FALSE)</f>
        <v>1木材</v>
      </c>
      <c r="E1106" s="16">
        <f>E1102+500</f>
        <v>9500</v>
      </c>
      <c r="J1106" s="16">
        <v>1</v>
      </c>
      <c r="L1106" s="16" t="b">
        <v>1</v>
      </c>
    </row>
    <row r="1107" spans="1:12" x14ac:dyDescent="0.25">
      <c r="C1107" s="16">
        <f t="shared" si="22"/>
        <v>103</v>
      </c>
      <c r="D1107" s="16" t="str">
        <f>VLOOKUP(C1107,[1]道具配置表!$A:$D,4,FALSE)</f>
        <v>1石头</v>
      </c>
      <c r="E1107" s="16">
        <f>E1103+500</f>
        <v>9500</v>
      </c>
      <c r="J1107" s="16">
        <v>1</v>
      </c>
      <c r="L1107" s="16" t="b">
        <v>1</v>
      </c>
    </row>
    <row r="1108" spans="1:12" x14ac:dyDescent="0.25">
      <c r="C1108" s="16">
        <f t="shared" si="22"/>
        <v>104</v>
      </c>
      <c r="D1108" s="16" t="str">
        <f>VLOOKUP(C1108,[1]道具配置表!$A:$D,4,FALSE)</f>
        <v>1黄金</v>
      </c>
      <c r="E1108" s="16">
        <f>E1104+500</f>
        <v>9500</v>
      </c>
      <c r="J1108" s="16">
        <v>1</v>
      </c>
      <c r="L1108" s="16" t="b">
        <v>1</v>
      </c>
    </row>
    <row r="1109" spans="1:12" x14ac:dyDescent="0.25">
      <c r="A1109" s="16">
        <v>1920419</v>
      </c>
      <c r="B1109" s="16" t="s">
        <v>614</v>
      </c>
      <c r="C1109" s="16">
        <f t="shared" si="22"/>
        <v>102</v>
      </c>
      <c r="D1109" s="16" t="str">
        <f>VLOOKUP(C1109,[1]道具配置表!$A:$D,4,FALSE)</f>
        <v>1食物</v>
      </c>
      <c r="E1109" s="16">
        <f>E1105+300</f>
        <v>8800</v>
      </c>
      <c r="J1109" s="16">
        <v>1</v>
      </c>
      <c r="L1109" s="16" t="b">
        <v>1</v>
      </c>
    </row>
    <row r="1110" spans="1:12" x14ac:dyDescent="0.25">
      <c r="C1110" s="16">
        <f t="shared" si="22"/>
        <v>101</v>
      </c>
      <c r="D1110" s="16" t="str">
        <f>VLOOKUP(C1110,[1]道具配置表!$A:$D,4,FALSE)</f>
        <v>1木材</v>
      </c>
      <c r="E1110" s="16">
        <f>E1106+500</f>
        <v>10000</v>
      </c>
      <c r="J1110" s="16">
        <v>1</v>
      </c>
      <c r="L1110" s="16" t="b">
        <v>1</v>
      </c>
    </row>
    <row r="1111" spans="1:12" x14ac:dyDescent="0.25">
      <c r="C1111" s="16">
        <f t="shared" si="22"/>
        <v>103</v>
      </c>
      <c r="D1111" s="16" t="str">
        <f>VLOOKUP(C1111,[1]道具配置表!$A:$D,4,FALSE)</f>
        <v>1石头</v>
      </c>
      <c r="E1111" s="16">
        <f>E1107+500</f>
        <v>10000</v>
      </c>
      <c r="J1111" s="16">
        <v>1</v>
      </c>
      <c r="L1111" s="16" t="b">
        <v>1</v>
      </c>
    </row>
    <row r="1112" spans="1:12" x14ac:dyDescent="0.25">
      <c r="C1112" s="16">
        <f t="shared" si="22"/>
        <v>104</v>
      </c>
      <c r="D1112" s="16" t="str">
        <f>VLOOKUP(C1112,[1]道具配置表!$A:$D,4,FALSE)</f>
        <v>1黄金</v>
      </c>
      <c r="E1112" s="16">
        <f>E1108+500</f>
        <v>10000</v>
      </c>
      <c r="J1112" s="16">
        <v>1</v>
      </c>
      <c r="L1112" s="16" t="b">
        <v>1</v>
      </c>
    </row>
    <row r="1113" spans="1:12" x14ac:dyDescent="0.25">
      <c r="A1113" s="16">
        <v>1920501</v>
      </c>
      <c r="B1113" s="16" t="s">
        <v>615</v>
      </c>
      <c r="C1113" s="16">
        <f t="shared" si="22"/>
        <v>102</v>
      </c>
      <c r="D1113" s="16" t="str">
        <f>VLOOKUP(C1113,[1]道具配置表!$A:$D,4,FALSE)</f>
        <v>1食物</v>
      </c>
      <c r="E1113" s="16">
        <v>1000</v>
      </c>
      <c r="J1113" s="16">
        <v>1</v>
      </c>
      <c r="L1113" s="16" t="b">
        <v>1</v>
      </c>
    </row>
    <row r="1114" spans="1:12" x14ac:dyDescent="0.25">
      <c r="C1114" s="16">
        <f t="shared" si="22"/>
        <v>101</v>
      </c>
      <c r="D1114" s="16" t="str">
        <f>VLOOKUP(C1114,[1]道具配置表!$A:$D,4,FALSE)</f>
        <v>1木材</v>
      </c>
      <c r="E1114" s="16">
        <v>1000</v>
      </c>
      <c r="J1114" s="16">
        <v>1</v>
      </c>
      <c r="L1114" s="16" t="b">
        <v>1</v>
      </c>
    </row>
    <row r="1115" spans="1:12" x14ac:dyDescent="0.25">
      <c r="C1115" s="16">
        <f t="shared" si="22"/>
        <v>103</v>
      </c>
      <c r="D1115" s="16" t="str">
        <f>VLOOKUP(C1115,[1]道具配置表!$A:$D,4,FALSE)</f>
        <v>1石头</v>
      </c>
      <c r="E1115" s="16">
        <v>1000</v>
      </c>
      <c r="J1115" s="16">
        <v>1</v>
      </c>
      <c r="L1115" s="16" t="b">
        <v>1</v>
      </c>
    </row>
    <row r="1116" spans="1:12" x14ac:dyDescent="0.25">
      <c r="C1116" s="16">
        <f t="shared" si="22"/>
        <v>104</v>
      </c>
      <c r="D1116" s="16" t="str">
        <f>VLOOKUP(C1116,[1]道具配置表!$A:$D,4,FALSE)</f>
        <v>1黄金</v>
      </c>
      <c r="E1116" s="16">
        <v>1000</v>
      </c>
      <c r="J1116" s="16">
        <v>1</v>
      </c>
      <c r="L1116" s="16" t="b">
        <v>1</v>
      </c>
    </row>
    <row r="1117" spans="1:12" x14ac:dyDescent="0.25">
      <c r="A1117" s="16">
        <v>1920502</v>
      </c>
      <c r="B1117" s="16" t="s">
        <v>616</v>
      </c>
      <c r="C1117" s="16">
        <f t="shared" si="22"/>
        <v>102</v>
      </c>
      <c r="D1117" s="16" t="str">
        <f>VLOOKUP(C1117,[1]道具配置表!$A:$D,4,FALSE)</f>
        <v>1食物</v>
      </c>
      <c r="E1117" s="16">
        <f>E1113+1000</f>
        <v>2000</v>
      </c>
      <c r="J1117" s="16">
        <v>1</v>
      </c>
      <c r="L1117" s="16" t="b">
        <v>1</v>
      </c>
    </row>
    <row r="1118" spans="1:12" x14ac:dyDescent="0.25">
      <c r="C1118" s="16">
        <f t="shared" si="22"/>
        <v>101</v>
      </c>
      <c r="D1118" s="16" t="str">
        <f>VLOOKUP(C1118,[1]道具配置表!$A:$D,4,FALSE)</f>
        <v>1木材</v>
      </c>
      <c r="E1118" s="16">
        <f>E1114+500</f>
        <v>1500</v>
      </c>
      <c r="J1118" s="16">
        <v>1</v>
      </c>
      <c r="L1118" s="16" t="b">
        <v>1</v>
      </c>
    </row>
    <row r="1119" spans="1:12" x14ac:dyDescent="0.25">
      <c r="C1119" s="16">
        <f t="shared" si="22"/>
        <v>103</v>
      </c>
      <c r="D1119" s="16" t="str">
        <f>VLOOKUP(C1119,[1]道具配置表!$A:$D,4,FALSE)</f>
        <v>1石头</v>
      </c>
      <c r="E1119" s="16">
        <f>E1115+500</f>
        <v>1500</v>
      </c>
      <c r="J1119" s="16">
        <v>1</v>
      </c>
      <c r="L1119" s="16" t="b">
        <v>1</v>
      </c>
    </row>
    <row r="1120" spans="1:12" x14ac:dyDescent="0.25">
      <c r="C1120" s="16">
        <f t="shared" si="22"/>
        <v>104</v>
      </c>
      <c r="D1120" s="16" t="str">
        <f>VLOOKUP(C1120,[1]道具配置表!$A:$D,4,FALSE)</f>
        <v>1黄金</v>
      </c>
      <c r="E1120" s="16">
        <f>E1116+500</f>
        <v>1500</v>
      </c>
      <c r="J1120" s="16">
        <v>1</v>
      </c>
      <c r="L1120" s="16" t="b">
        <v>1</v>
      </c>
    </row>
    <row r="1121" spans="1:12" x14ac:dyDescent="0.25">
      <c r="A1121" s="16">
        <v>1920503</v>
      </c>
      <c r="B1121" s="16" t="s">
        <v>617</v>
      </c>
      <c r="C1121" s="16">
        <f t="shared" si="22"/>
        <v>102</v>
      </c>
      <c r="D1121" s="16" t="str">
        <f>VLOOKUP(C1121,[1]道具配置表!$A:$D,4,FALSE)</f>
        <v>1食物</v>
      </c>
      <c r="E1121" s="16">
        <f>E1117+1000</f>
        <v>3000</v>
      </c>
      <c r="J1121" s="16">
        <v>1</v>
      </c>
      <c r="L1121" s="16" t="b">
        <v>1</v>
      </c>
    </row>
    <row r="1122" spans="1:12" x14ac:dyDescent="0.25">
      <c r="C1122" s="16">
        <f t="shared" si="22"/>
        <v>101</v>
      </c>
      <c r="D1122" s="16" t="str">
        <f>VLOOKUP(C1122,[1]道具配置表!$A:$D,4,FALSE)</f>
        <v>1木材</v>
      </c>
      <c r="E1122" s="16">
        <f>E1118+500</f>
        <v>2000</v>
      </c>
      <c r="J1122" s="16">
        <v>1</v>
      </c>
      <c r="L1122" s="16" t="b">
        <v>1</v>
      </c>
    </row>
    <row r="1123" spans="1:12" x14ac:dyDescent="0.25">
      <c r="C1123" s="16">
        <f t="shared" si="22"/>
        <v>103</v>
      </c>
      <c r="D1123" s="16" t="str">
        <f>VLOOKUP(C1123,[1]道具配置表!$A:$D,4,FALSE)</f>
        <v>1石头</v>
      </c>
      <c r="E1123" s="16">
        <f>E1119+500</f>
        <v>2000</v>
      </c>
      <c r="J1123" s="16">
        <v>1</v>
      </c>
      <c r="L1123" s="16" t="b">
        <v>1</v>
      </c>
    </row>
    <row r="1124" spans="1:12" x14ac:dyDescent="0.25">
      <c r="C1124" s="16">
        <f t="shared" si="22"/>
        <v>104</v>
      </c>
      <c r="D1124" s="16" t="str">
        <f>VLOOKUP(C1124,[1]道具配置表!$A:$D,4,FALSE)</f>
        <v>1黄金</v>
      </c>
      <c r="E1124" s="16">
        <f>E1120+500</f>
        <v>2000</v>
      </c>
      <c r="J1124" s="16">
        <v>1</v>
      </c>
      <c r="L1124" s="16" t="b">
        <v>1</v>
      </c>
    </row>
    <row r="1125" spans="1:12" x14ac:dyDescent="0.25">
      <c r="A1125" s="16">
        <v>1920504</v>
      </c>
      <c r="B1125" s="16" t="s">
        <v>618</v>
      </c>
      <c r="C1125" s="16">
        <f t="shared" si="22"/>
        <v>102</v>
      </c>
      <c r="D1125" s="16" t="str">
        <f>VLOOKUP(C1125,[1]道具配置表!$A:$D,4,FALSE)</f>
        <v>1食物</v>
      </c>
      <c r="E1125" s="16">
        <f>E1121+1000</f>
        <v>4000</v>
      </c>
      <c r="J1125" s="16">
        <v>1</v>
      </c>
      <c r="L1125" s="16" t="b">
        <v>1</v>
      </c>
    </row>
    <row r="1126" spans="1:12" x14ac:dyDescent="0.25">
      <c r="C1126" s="16">
        <f t="shared" si="22"/>
        <v>101</v>
      </c>
      <c r="D1126" s="16" t="str">
        <f>VLOOKUP(C1126,[1]道具配置表!$A:$D,4,FALSE)</f>
        <v>1木材</v>
      </c>
      <c r="E1126" s="16">
        <f>E1122+500</f>
        <v>2500</v>
      </c>
      <c r="J1126" s="16">
        <v>1</v>
      </c>
      <c r="L1126" s="16" t="b">
        <v>1</v>
      </c>
    </row>
    <row r="1127" spans="1:12" x14ac:dyDescent="0.25">
      <c r="C1127" s="16">
        <f t="shared" si="22"/>
        <v>103</v>
      </c>
      <c r="D1127" s="16" t="str">
        <f>VLOOKUP(C1127,[1]道具配置表!$A:$D,4,FALSE)</f>
        <v>1石头</v>
      </c>
      <c r="E1127" s="16">
        <f>E1123+500</f>
        <v>2500</v>
      </c>
      <c r="J1127" s="16">
        <v>1</v>
      </c>
      <c r="L1127" s="16" t="b">
        <v>1</v>
      </c>
    </row>
    <row r="1128" spans="1:12" x14ac:dyDescent="0.25">
      <c r="C1128" s="16">
        <f t="shared" si="22"/>
        <v>104</v>
      </c>
      <c r="D1128" s="16" t="str">
        <f>VLOOKUP(C1128,[1]道具配置表!$A:$D,4,FALSE)</f>
        <v>1黄金</v>
      </c>
      <c r="E1128" s="16">
        <f>E1124+500</f>
        <v>2500</v>
      </c>
      <c r="J1128" s="16">
        <v>1</v>
      </c>
      <c r="L1128" s="16" t="b">
        <v>1</v>
      </c>
    </row>
    <row r="1129" spans="1:12" x14ac:dyDescent="0.25">
      <c r="A1129" s="16">
        <v>1920505</v>
      </c>
      <c r="B1129" s="16" t="s">
        <v>619</v>
      </c>
      <c r="C1129" s="16">
        <f t="shared" si="22"/>
        <v>102</v>
      </c>
      <c r="D1129" s="16" t="str">
        <f>VLOOKUP(C1129,[1]道具配置表!$A:$D,4,FALSE)</f>
        <v>1食物</v>
      </c>
      <c r="E1129" s="16">
        <f>E1125+1000</f>
        <v>5000</v>
      </c>
      <c r="J1129" s="16">
        <v>1</v>
      </c>
      <c r="L1129" s="16" t="b">
        <v>1</v>
      </c>
    </row>
    <row r="1130" spans="1:12" x14ac:dyDescent="0.25">
      <c r="C1130" s="16">
        <f t="shared" si="22"/>
        <v>101</v>
      </c>
      <c r="D1130" s="16" t="str">
        <f>VLOOKUP(C1130,[1]道具配置表!$A:$D,4,FALSE)</f>
        <v>1木材</v>
      </c>
      <c r="E1130" s="16">
        <f>E1126+500</f>
        <v>3000</v>
      </c>
      <c r="J1130" s="16">
        <v>1</v>
      </c>
      <c r="L1130" s="16" t="b">
        <v>1</v>
      </c>
    </row>
    <row r="1131" spans="1:12" x14ac:dyDescent="0.25">
      <c r="C1131" s="16">
        <f t="shared" si="22"/>
        <v>103</v>
      </c>
      <c r="D1131" s="16" t="str">
        <f>VLOOKUP(C1131,[1]道具配置表!$A:$D,4,FALSE)</f>
        <v>1石头</v>
      </c>
      <c r="E1131" s="16">
        <f>E1127+500</f>
        <v>3000</v>
      </c>
      <c r="J1131" s="16">
        <v>1</v>
      </c>
      <c r="L1131" s="16" t="b">
        <v>1</v>
      </c>
    </row>
    <row r="1132" spans="1:12" x14ac:dyDescent="0.25">
      <c r="C1132" s="16">
        <f t="shared" si="22"/>
        <v>104</v>
      </c>
      <c r="D1132" s="16" t="str">
        <f>VLOOKUP(C1132,[1]道具配置表!$A:$D,4,FALSE)</f>
        <v>1黄金</v>
      </c>
      <c r="E1132" s="16">
        <f>E1128+500</f>
        <v>3000</v>
      </c>
      <c r="J1132" s="16">
        <v>1</v>
      </c>
      <c r="L1132" s="16" t="b">
        <v>1</v>
      </c>
    </row>
    <row r="1133" spans="1:12" x14ac:dyDescent="0.25">
      <c r="A1133" s="16">
        <v>1920506</v>
      </c>
      <c r="B1133" s="16" t="s">
        <v>620</v>
      </c>
      <c r="C1133" s="16">
        <f t="shared" si="22"/>
        <v>102</v>
      </c>
      <c r="D1133" s="16" t="str">
        <f>VLOOKUP(C1133,[1]道具配置表!$A:$D,4,FALSE)</f>
        <v>1食物</v>
      </c>
      <c r="E1133" s="16">
        <f>E1129+1000</f>
        <v>6000</v>
      </c>
      <c r="J1133" s="16">
        <v>1</v>
      </c>
      <c r="L1133" s="16" t="b">
        <v>1</v>
      </c>
    </row>
    <row r="1134" spans="1:12" x14ac:dyDescent="0.25">
      <c r="C1134" s="16">
        <f t="shared" si="22"/>
        <v>101</v>
      </c>
      <c r="D1134" s="16" t="str">
        <f>VLOOKUP(C1134,[1]道具配置表!$A:$D,4,FALSE)</f>
        <v>1木材</v>
      </c>
      <c r="E1134" s="16">
        <f>E1130+500</f>
        <v>3500</v>
      </c>
      <c r="J1134" s="16">
        <v>1</v>
      </c>
      <c r="L1134" s="16" t="b">
        <v>1</v>
      </c>
    </row>
    <row r="1135" spans="1:12" x14ac:dyDescent="0.25">
      <c r="C1135" s="16">
        <f t="shared" si="22"/>
        <v>103</v>
      </c>
      <c r="D1135" s="16" t="str">
        <f>VLOOKUP(C1135,[1]道具配置表!$A:$D,4,FALSE)</f>
        <v>1石头</v>
      </c>
      <c r="E1135" s="16">
        <f>E1131+500</f>
        <v>3500</v>
      </c>
      <c r="J1135" s="16">
        <v>1</v>
      </c>
      <c r="L1135" s="16" t="b">
        <v>1</v>
      </c>
    </row>
    <row r="1136" spans="1:12" x14ac:dyDescent="0.25">
      <c r="C1136" s="16">
        <f t="shared" si="22"/>
        <v>104</v>
      </c>
      <c r="D1136" s="16" t="str">
        <f>VLOOKUP(C1136,[1]道具配置表!$A:$D,4,FALSE)</f>
        <v>1黄金</v>
      </c>
      <c r="E1136" s="16">
        <f>E1132+500</f>
        <v>3500</v>
      </c>
      <c r="J1136" s="16">
        <v>1</v>
      </c>
      <c r="L1136" s="16" t="b">
        <v>1</v>
      </c>
    </row>
    <row r="1137" spans="1:12" x14ac:dyDescent="0.25">
      <c r="A1137" s="16">
        <v>1920507</v>
      </c>
      <c r="B1137" s="16" t="s">
        <v>621</v>
      </c>
      <c r="C1137" s="16">
        <f t="shared" ref="C1137:C1200" si="23">C1133</f>
        <v>102</v>
      </c>
      <c r="D1137" s="16" t="str">
        <f>VLOOKUP(C1137,[1]道具配置表!$A:$D,4,FALSE)</f>
        <v>1食物</v>
      </c>
      <c r="E1137" s="16">
        <f>E1133+1000</f>
        <v>7000</v>
      </c>
      <c r="J1137" s="16">
        <v>1</v>
      </c>
      <c r="L1137" s="16" t="b">
        <v>1</v>
      </c>
    </row>
    <row r="1138" spans="1:12" x14ac:dyDescent="0.25">
      <c r="C1138" s="16">
        <f t="shared" si="23"/>
        <v>101</v>
      </c>
      <c r="D1138" s="16" t="str">
        <f>VLOOKUP(C1138,[1]道具配置表!$A:$D,4,FALSE)</f>
        <v>1木材</v>
      </c>
      <c r="E1138" s="16">
        <f>E1134+500</f>
        <v>4000</v>
      </c>
      <c r="J1138" s="16">
        <v>1</v>
      </c>
      <c r="L1138" s="16" t="b">
        <v>1</v>
      </c>
    </row>
    <row r="1139" spans="1:12" x14ac:dyDescent="0.25">
      <c r="C1139" s="16">
        <f t="shared" si="23"/>
        <v>103</v>
      </c>
      <c r="D1139" s="16" t="str">
        <f>VLOOKUP(C1139,[1]道具配置表!$A:$D,4,FALSE)</f>
        <v>1石头</v>
      </c>
      <c r="E1139" s="16">
        <f>E1135+500</f>
        <v>4000</v>
      </c>
      <c r="J1139" s="16">
        <v>1</v>
      </c>
      <c r="L1139" s="16" t="b">
        <v>1</v>
      </c>
    </row>
    <row r="1140" spans="1:12" x14ac:dyDescent="0.25">
      <c r="C1140" s="16">
        <f t="shared" si="23"/>
        <v>104</v>
      </c>
      <c r="D1140" s="16" t="str">
        <f>VLOOKUP(C1140,[1]道具配置表!$A:$D,4,FALSE)</f>
        <v>1黄金</v>
      </c>
      <c r="E1140" s="16">
        <f>E1136+500</f>
        <v>4000</v>
      </c>
      <c r="J1140" s="16">
        <v>1</v>
      </c>
      <c r="L1140" s="16" t="b">
        <v>1</v>
      </c>
    </row>
    <row r="1141" spans="1:12" x14ac:dyDescent="0.25">
      <c r="A1141" s="16">
        <v>1920508</v>
      </c>
      <c r="B1141" s="16" t="s">
        <v>622</v>
      </c>
      <c r="C1141" s="16">
        <f t="shared" si="23"/>
        <v>102</v>
      </c>
      <c r="D1141" s="16" t="str">
        <f>VLOOKUP(C1141,[1]道具配置表!$A:$D,4,FALSE)</f>
        <v>1食物</v>
      </c>
      <c r="E1141" s="16">
        <f>E1137+1000</f>
        <v>8000</v>
      </c>
      <c r="J1141" s="16">
        <v>1</v>
      </c>
      <c r="L1141" s="16" t="b">
        <v>1</v>
      </c>
    </row>
    <row r="1142" spans="1:12" x14ac:dyDescent="0.25">
      <c r="C1142" s="16">
        <f t="shared" si="23"/>
        <v>101</v>
      </c>
      <c r="D1142" s="16" t="str">
        <f>VLOOKUP(C1142,[1]道具配置表!$A:$D,4,FALSE)</f>
        <v>1木材</v>
      </c>
      <c r="E1142" s="16">
        <f>E1138+500</f>
        <v>4500</v>
      </c>
      <c r="J1142" s="16">
        <v>1</v>
      </c>
      <c r="L1142" s="16" t="b">
        <v>1</v>
      </c>
    </row>
    <row r="1143" spans="1:12" x14ac:dyDescent="0.25">
      <c r="C1143" s="16">
        <f t="shared" si="23"/>
        <v>103</v>
      </c>
      <c r="D1143" s="16" t="str">
        <f>VLOOKUP(C1143,[1]道具配置表!$A:$D,4,FALSE)</f>
        <v>1石头</v>
      </c>
      <c r="E1143" s="16">
        <f>E1139+500</f>
        <v>4500</v>
      </c>
      <c r="J1143" s="16">
        <v>1</v>
      </c>
      <c r="L1143" s="16" t="b">
        <v>1</v>
      </c>
    </row>
    <row r="1144" spans="1:12" x14ac:dyDescent="0.25">
      <c r="C1144" s="16">
        <f t="shared" si="23"/>
        <v>104</v>
      </c>
      <c r="D1144" s="16" t="str">
        <f>VLOOKUP(C1144,[1]道具配置表!$A:$D,4,FALSE)</f>
        <v>1黄金</v>
      </c>
      <c r="E1144" s="16">
        <f>E1140+500</f>
        <v>4500</v>
      </c>
      <c r="J1144" s="16">
        <v>1</v>
      </c>
      <c r="L1144" s="16" t="b">
        <v>1</v>
      </c>
    </row>
    <row r="1145" spans="1:12" x14ac:dyDescent="0.25">
      <c r="A1145" s="16">
        <v>1920509</v>
      </c>
      <c r="B1145" s="16" t="s">
        <v>623</v>
      </c>
      <c r="C1145" s="16">
        <f t="shared" si="23"/>
        <v>102</v>
      </c>
      <c r="D1145" s="16" t="str">
        <f>VLOOKUP(C1145,[1]道具配置表!$A:$D,4,FALSE)</f>
        <v>1食物</v>
      </c>
      <c r="E1145" s="16">
        <f>E1141+1000</f>
        <v>9000</v>
      </c>
      <c r="J1145" s="16">
        <v>1</v>
      </c>
      <c r="L1145" s="16" t="b">
        <v>1</v>
      </c>
    </row>
    <row r="1146" spans="1:12" x14ac:dyDescent="0.25">
      <c r="C1146" s="16">
        <f t="shared" si="23"/>
        <v>101</v>
      </c>
      <c r="D1146" s="16" t="str">
        <f>VLOOKUP(C1146,[1]道具配置表!$A:$D,4,FALSE)</f>
        <v>1木材</v>
      </c>
      <c r="E1146" s="16">
        <f>E1142+500</f>
        <v>5000</v>
      </c>
      <c r="J1146" s="16">
        <v>1</v>
      </c>
      <c r="L1146" s="16" t="b">
        <v>1</v>
      </c>
    </row>
    <row r="1147" spans="1:12" x14ac:dyDescent="0.25">
      <c r="C1147" s="16">
        <f t="shared" si="23"/>
        <v>103</v>
      </c>
      <c r="D1147" s="16" t="str">
        <f>VLOOKUP(C1147,[1]道具配置表!$A:$D,4,FALSE)</f>
        <v>1石头</v>
      </c>
      <c r="E1147" s="16">
        <f>E1143+500</f>
        <v>5000</v>
      </c>
      <c r="J1147" s="16">
        <v>1</v>
      </c>
      <c r="L1147" s="16" t="b">
        <v>1</v>
      </c>
    </row>
    <row r="1148" spans="1:12" x14ac:dyDescent="0.25">
      <c r="C1148" s="16">
        <f t="shared" si="23"/>
        <v>104</v>
      </c>
      <c r="D1148" s="16" t="str">
        <f>VLOOKUP(C1148,[1]道具配置表!$A:$D,4,FALSE)</f>
        <v>1黄金</v>
      </c>
      <c r="E1148" s="16">
        <f>E1144+500</f>
        <v>5000</v>
      </c>
      <c r="J1148" s="16">
        <v>1</v>
      </c>
      <c r="L1148" s="16" t="b">
        <v>1</v>
      </c>
    </row>
    <row r="1149" spans="1:12" x14ac:dyDescent="0.25">
      <c r="A1149" s="16">
        <v>1920510</v>
      </c>
      <c r="B1149" s="16" t="s">
        <v>624</v>
      </c>
      <c r="C1149" s="16">
        <f t="shared" si="23"/>
        <v>102</v>
      </c>
      <c r="D1149" s="16" t="str">
        <f>VLOOKUP(C1149,[1]道具配置表!$A:$D,4,FALSE)</f>
        <v>1食物</v>
      </c>
      <c r="E1149" s="16">
        <f>E1145+1000</f>
        <v>10000</v>
      </c>
      <c r="J1149" s="16">
        <v>1</v>
      </c>
      <c r="L1149" s="16" t="b">
        <v>1</v>
      </c>
    </row>
    <row r="1150" spans="1:12" x14ac:dyDescent="0.25">
      <c r="C1150" s="16">
        <f t="shared" si="23"/>
        <v>101</v>
      </c>
      <c r="D1150" s="16" t="str">
        <f>VLOOKUP(C1150,[1]道具配置表!$A:$D,4,FALSE)</f>
        <v>1木材</v>
      </c>
      <c r="E1150" s="16">
        <f>E1146+500</f>
        <v>5500</v>
      </c>
      <c r="J1150" s="16">
        <v>1</v>
      </c>
      <c r="L1150" s="16" t="b">
        <v>1</v>
      </c>
    </row>
    <row r="1151" spans="1:12" x14ac:dyDescent="0.25">
      <c r="C1151" s="16">
        <f t="shared" si="23"/>
        <v>103</v>
      </c>
      <c r="D1151" s="16" t="str">
        <f>VLOOKUP(C1151,[1]道具配置表!$A:$D,4,FALSE)</f>
        <v>1石头</v>
      </c>
      <c r="E1151" s="16">
        <f>E1147+500</f>
        <v>5500</v>
      </c>
      <c r="J1151" s="16">
        <v>1</v>
      </c>
      <c r="L1151" s="16" t="b">
        <v>1</v>
      </c>
    </row>
    <row r="1152" spans="1:12" x14ac:dyDescent="0.25">
      <c r="C1152" s="16">
        <f t="shared" si="23"/>
        <v>104</v>
      </c>
      <c r="D1152" s="16" t="str">
        <f>VLOOKUP(C1152,[1]道具配置表!$A:$D,4,FALSE)</f>
        <v>1黄金</v>
      </c>
      <c r="E1152" s="16">
        <f>E1148+500</f>
        <v>5500</v>
      </c>
      <c r="J1152" s="16">
        <v>1</v>
      </c>
      <c r="L1152" s="16" t="b">
        <v>1</v>
      </c>
    </row>
    <row r="1153" spans="1:12" x14ac:dyDescent="0.25">
      <c r="A1153" s="16">
        <v>1920511</v>
      </c>
      <c r="B1153" s="16" t="s">
        <v>625</v>
      </c>
      <c r="C1153" s="16">
        <f t="shared" si="23"/>
        <v>102</v>
      </c>
      <c r="D1153" s="16" t="str">
        <f>VLOOKUP(C1153,[1]道具配置表!$A:$D,4,FALSE)</f>
        <v>1食物</v>
      </c>
      <c r="E1153" s="16">
        <f>E1149+1000</f>
        <v>11000</v>
      </c>
      <c r="J1153" s="16">
        <v>1</v>
      </c>
      <c r="L1153" s="16" t="b">
        <v>1</v>
      </c>
    </row>
    <row r="1154" spans="1:12" x14ac:dyDescent="0.25">
      <c r="C1154" s="16">
        <f t="shared" si="23"/>
        <v>101</v>
      </c>
      <c r="D1154" s="16" t="str">
        <f>VLOOKUP(C1154,[1]道具配置表!$A:$D,4,FALSE)</f>
        <v>1木材</v>
      </c>
      <c r="E1154" s="16">
        <f>E1150+500</f>
        <v>6000</v>
      </c>
      <c r="J1154" s="16">
        <v>1</v>
      </c>
      <c r="L1154" s="16" t="b">
        <v>1</v>
      </c>
    </row>
    <row r="1155" spans="1:12" x14ac:dyDescent="0.25">
      <c r="C1155" s="16">
        <f t="shared" si="23"/>
        <v>103</v>
      </c>
      <c r="D1155" s="16" t="str">
        <f>VLOOKUP(C1155,[1]道具配置表!$A:$D,4,FALSE)</f>
        <v>1石头</v>
      </c>
      <c r="E1155" s="16">
        <f>E1151+500</f>
        <v>6000</v>
      </c>
      <c r="J1155" s="16">
        <v>1</v>
      </c>
      <c r="L1155" s="16" t="b">
        <v>1</v>
      </c>
    </row>
    <row r="1156" spans="1:12" x14ac:dyDescent="0.25">
      <c r="C1156" s="16">
        <f t="shared" si="23"/>
        <v>104</v>
      </c>
      <c r="D1156" s="16" t="str">
        <f>VLOOKUP(C1156,[1]道具配置表!$A:$D,4,FALSE)</f>
        <v>1黄金</v>
      </c>
      <c r="E1156" s="16">
        <f>E1152+500</f>
        <v>6000</v>
      </c>
      <c r="J1156" s="16">
        <v>1</v>
      </c>
      <c r="L1156" s="16" t="b">
        <v>1</v>
      </c>
    </row>
    <row r="1157" spans="1:12" x14ac:dyDescent="0.25">
      <c r="A1157" s="16">
        <v>1920512</v>
      </c>
      <c r="B1157" s="16" t="s">
        <v>626</v>
      </c>
      <c r="C1157" s="16">
        <f t="shared" si="23"/>
        <v>102</v>
      </c>
      <c r="D1157" s="16" t="str">
        <f>VLOOKUP(C1157,[1]道具配置表!$A:$D,4,FALSE)</f>
        <v>1食物</v>
      </c>
      <c r="E1157" s="16">
        <f>E1153+1000</f>
        <v>12000</v>
      </c>
      <c r="J1157" s="16">
        <v>1</v>
      </c>
      <c r="L1157" s="16" t="b">
        <v>1</v>
      </c>
    </row>
    <row r="1158" spans="1:12" x14ac:dyDescent="0.25">
      <c r="C1158" s="16">
        <f t="shared" si="23"/>
        <v>101</v>
      </c>
      <c r="D1158" s="16" t="str">
        <f>VLOOKUP(C1158,[1]道具配置表!$A:$D,4,FALSE)</f>
        <v>1木材</v>
      </c>
      <c r="E1158" s="16">
        <f>E1154+500</f>
        <v>6500</v>
      </c>
      <c r="J1158" s="16">
        <v>1</v>
      </c>
      <c r="L1158" s="16" t="b">
        <v>1</v>
      </c>
    </row>
    <row r="1159" spans="1:12" x14ac:dyDescent="0.25">
      <c r="C1159" s="16">
        <f t="shared" si="23"/>
        <v>103</v>
      </c>
      <c r="D1159" s="16" t="str">
        <f>VLOOKUP(C1159,[1]道具配置表!$A:$D,4,FALSE)</f>
        <v>1石头</v>
      </c>
      <c r="E1159" s="16">
        <f>E1155+500</f>
        <v>6500</v>
      </c>
      <c r="J1159" s="16">
        <v>1</v>
      </c>
      <c r="L1159" s="16" t="b">
        <v>1</v>
      </c>
    </row>
    <row r="1160" spans="1:12" x14ac:dyDescent="0.25">
      <c r="C1160" s="16">
        <f t="shared" si="23"/>
        <v>104</v>
      </c>
      <c r="D1160" s="16" t="str">
        <f>VLOOKUP(C1160,[1]道具配置表!$A:$D,4,FALSE)</f>
        <v>1黄金</v>
      </c>
      <c r="E1160" s="16">
        <f>E1156+500</f>
        <v>6500</v>
      </c>
      <c r="J1160" s="16">
        <v>1</v>
      </c>
      <c r="L1160" s="16" t="b">
        <v>1</v>
      </c>
    </row>
    <row r="1161" spans="1:12" x14ac:dyDescent="0.25">
      <c r="A1161" s="16">
        <v>1920513</v>
      </c>
      <c r="B1161" s="16" t="s">
        <v>627</v>
      </c>
      <c r="C1161" s="16">
        <f t="shared" si="23"/>
        <v>102</v>
      </c>
      <c r="D1161" s="16" t="str">
        <f>VLOOKUP(C1161,[1]道具配置表!$A:$D,4,FALSE)</f>
        <v>1食物</v>
      </c>
      <c r="E1161" s="16">
        <f>E1157+1000</f>
        <v>13000</v>
      </c>
      <c r="J1161" s="16">
        <v>1</v>
      </c>
      <c r="L1161" s="16" t="b">
        <v>1</v>
      </c>
    </row>
    <row r="1162" spans="1:12" x14ac:dyDescent="0.25">
      <c r="C1162" s="16">
        <f t="shared" si="23"/>
        <v>101</v>
      </c>
      <c r="D1162" s="16" t="str">
        <f>VLOOKUP(C1162,[1]道具配置表!$A:$D,4,FALSE)</f>
        <v>1木材</v>
      </c>
      <c r="E1162" s="16">
        <f>E1158+500</f>
        <v>7000</v>
      </c>
      <c r="J1162" s="16">
        <v>1</v>
      </c>
      <c r="L1162" s="16" t="b">
        <v>1</v>
      </c>
    </row>
    <row r="1163" spans="1:12" x14ac:dyDescent="0.25">
      <c r="C1163" s="16">
        <f t="shared" si="23"/>
        <v>103</v>
      </c>
      <c r="D1163" s="16" t="str">
        <f>VLOOKUP(C1163,[1]道具配置表!$A:$D,4,FALSE)</f>
        <v>1石头</v>
      </c>
      <c r="E1163" s="16">
        <f>E1159+500</f>
        <v>7000</v>
      </c>
      <c r="J1163" s="16">
        <v>1</v>
      </c>
      <c r="L1163" s="16" t="b">
        <v>1</v>
      </c>
    </row>
    <row r="1164" spans="1:12" x14ac:dyDescent="0.25">
      <c r="C1164" s="16">
        <f t="shared" si="23"/>
        <v>104</v>
      </c>
      <c r="D1164" s="16" t="str">
        <f>VLOOKUP(C1164,[1]道具配置表!$A:$D,4,FALSE)</f>
        <v>1黄金</v>
      </c>
      <c r="E1164" s="16">
        <f>E1160+500</f>
        <v>7000</v>
      </c>
      <c r="J1164" s="16">
        <v>1</v>
      </c>
      <c r="L1164" s="16" t="b">
        <v>1</v>
      </c>
    </row>
    <row r="1165" spans="1:12" x14ac:dyDescent="0.25">
      <c r="A1165" s="16">
        <v>1920514</v>
      </c>
      <c r="B1165" s="16" t="s">
        <v>628</v>
      </c>
      <c r="C1165" s="16">
        <f t="shared" si="23"/>
        <v>102</v>
      </c>
      <c r="D1165" s="16" t="str">
        <f>VLOOKUP(C1165,[1]道具配置表!$A:$D,4,FALSE)</f>
        <v>1食物</v>
      </c>
      <c r="E1165" s="16">
        <f>E1161+1000</f>
        <v>14000</v>
      </c>
      <c r="J1165" s="16">
        <v>1</v>
      </c>
      <c r="L1165" s="16" t="b">
        <v>1</v>
      </c>
    </row>
    <row r="1166" spans="1:12" x14ac:dyDescent="0.25">
      <c r="C1166" s="16">
        <f t="shared" si="23"/>
        <v>101</v>
      </c>
      <c r="D1166" s="16" t="str">
        <f>VLOOKUP(C1166,[1]道具配置表!$A:$D,4,FALSE)</f>
        <v>1木材</v>
      </c>
      <c r="E1166" s="16">
        <f>E1162+500</f>
        <v>7500</v>
      </c>
      <c r="J1166" s="16">
        <v>1</v>
      </c>
      <c r="L1166" s="16" t="b">
        <v>1</v>
      </c>
    </row>
    <row r="1167" spans="1:12" x14ac:dyDescent="0.25">
      <c r="C1167" s="16">
        <f t="shared" si="23"/>
        <v>103</v>
      </c>
      <c r="D1167" s="16" t="str">
        <f>VLOOKUP(C1167,[1]道具配置表!$A:$D,4,FALSE)</f>
        <v>1石头</v>
      </c>
      <c r="E1167" s="16">
        <f>E1163+500</f>
        <v>7500</v>
      </c>
      <c r="J1167" s="16">
        <v>1</v>
      </c>
      <c r="L1167" s="16" t="b">
        <v>1</v>
      </c>
    </row>
    <row r="1168" spans="1:12" x14ac:dyDescent="0.25">
      <c r="C1168" s="16">
        <f t="shared" si="23"/>
        <v>104</v>
      </c>
      <c r="D1168" s="16" t="str">
        <f>VLOOKUP(C1168,[1]道具配置表!$A:$D,4,FALSE)</f>
        <v>1黄金</v>
      </c>
      <c r="E1168" s="16">
        <f>E1164+500</f>
        <v>7500</v>
      </c>
      <c r="J1168" s="16">
        <v>1</v>
      </c>
      <c r="L1168" s="16" t="b">
        <v>1</v>
      </c>
    </row>
    <row r="1169" spans="1:12" x14ac:dyDescent="0.25">
      <c r="A1169" s="16">
        <v>1920515</v>
      </c>
      <c r="B1169" s="16" t="s">
        <v>629</v>
      </c>
      <c r="C1169" s="16">
        <f t="shared" si="23"/>
        <v>102</v>
      </c>
      <c r="D1169" s="16" t="str">
        <f>VLOOKUP(C1169,[1]道具配置表!$A:$D,4,FALSE)</f>
        <v>1食物</v>
      </c>
      <c r="E1169" s="16">
        <f>E1165+1000</f>
        <v>15000</v>
      </c>
      <c r="J1169" s="16">
        <v>1</v>
      </c>
      <c r="L1169" s="16" t="b">
        <v>1</v>
      </c>
    </row>
    <row r="1170" spans="1:12" x14ac:dyDescent="0.25">
      <c r="C1170" s="16">
        <f t="shared" si="23"/>
        <v>101</v>
      </c>
      <c r="D1170" s="16" t="str">
        <f>VLOOKUP(C1170,[1]道具配置表!$A:$D,4,FALSE)</f>
        <v>1木材</v>
      </c>
      <c r="E1170" s="16">
        <f>E1166+500</f>
        <v>8000</v>
      </c>
      <c r="J1170" s="16">
        <v>1</v>
      </c>
      <c r="L1170" s="16" t="b">
        <v>1</v>
      </c>
    </row>
    <row r="1171" spans="1:12" x14ac:dyDescent="0.25">
      <c r="C1171" s="16">
        <f t="shared" si="23"/>
        <v>103</v>
      </c>
      <c r="D1171" s="16" t="str">
        <f>VLOOKUP(C1171,[1]道具配置表!$A:$D,4,FALSE)</f>
        <v>1石头</v>
      </c>
      <c r="E1171" s="16">
        <f>E1167+500</f>
        <v>8000</v>
      </c>
      <c r="J1171" s="16">
        <v>1</v>
      </c>
      <c r="L1171" s="16" t="b">
        <v>1</v>
      </c>
    </row>
    <row r="1172" spans="1:12" x14ac:dyDescent="0.25">
      <c r="C1172" s="16">
        <f t="shared" si="23"/>
        <v>104</v>
      </c>
      <c r="D1172" s="16" t="str">
        <f>VLOOKUP(C1172,[1]道具配置表!$A:$D,4,FALSE)</f>
        <v>1黄金</v>
      </c>
      <c r="E1172" s="16">
        <f>E1168+500</f>
        <v>8000</v>
      </c>
      <c r="J1172" s="16">
        <v>1</v>
      </c>
      <c r="L1172" s="16" t="b">
        <v>1</v>
      </c>
    </row>
    <row r="1173" spans="1:12" x14ac:dyDescent="0.25">
      <c r="A1173" s="16">
        <v>1920601</v>
      </c>
      <c r="B1173" s="16" t="s">
        <v>630</v>
      </c>
      <c r="C1173" s="16">
        <f t="shared" si="23"/>
        <v>102</v>
      </c>
      <c r="D1173" s="16" t="str">
        <f>VLOOKUP(C1173,[1]道具配置表!$A:$D,4,FALSE)</f>
        <v>1食物</v>
      </c>
      <c r="E1173" s="16">
        <v>1000</v>
      </c>
      <c r="J1173" s="16">
        <v>1</v>
      </c>
      <c r="L1173" s="16" t="b">
        <v>1</v>
      </c>
    </row>
    <row r="1174" spans="1:12" x14ac:dyDescent="0.25">
      <c r="C1174" s="16">
        <f t="shared" si="23"/>
        <v>101</v>
      </c>
      <c r="D1174" s="16" t="str">
        <f>VLOOKUP(C1174,[1]道具配置表!$A:$D,4,FALSE)</f>
        <v>1木材</v>
      </c>
      <c r="E1174" s="16">
        <v>1000</v>
      </c>
      <c r="J1174" s="16">
        <v>1</v>
      </c>
      <c r="L1174" s="16" t="b">
        <v>1</v>
      </c>
    </row>
    <row r="1175" spans="1:12" x14ac:dyDescent="0.25">
      <c r="C1175" s="16">
        <f t="shared" si="23"/>
        <v>103</v>
      </c>
      <c r="D1175" s="16" t="str">
        <f>VLOOKUP(C1175,[1]道具配置表!$A:$D,4,FALSE)</f>
        <v>1石头</v>
      </c>
      <c r="E1175" s="16">
        <v>1000</v>
      </c>
      <c r="J1175" s="16">
        <v>1</v>
      </c>
      <c r="L1175" s="16" t="b">
        <v>1</v>
      </c>
    </row>
    <row r="1176" spans="1:12" x14ac:dyDescent="0.25">
      <c r="C1176" s="16">
        <f t="shared" si="23"/>
        <v>104</v>
      </c>
      <c r="D1176" s="16" t="str">
        <f>VLOOKUP(C1176,[1]道具配置表!$A:$D,4,FALSE)</f>
        <v>1黄金</v>
      </c>
      <c r="E1176" s="16">
        <v>1000</v>
      </c>
      <c r="J1176" s="16">
        <v>1</v>
      </c>
      <c r="L1176" s="16" t="b">
        <v>1</v>
      </c>
    </row>
    <row r="1177" spans="1:12" x14ac:dyDescent="0.25">
      <c r="A1177" s="16">
        <v>1920602</v>
      </c>
      <c r="B1177" s="16" t="s">
        <v>631</v>
      </c>
      <c r="C1177" s="16">
        <f t="shared" si="23"/>
        <v>102</v>
      </c>
      <c r="D1177" s="16" t="str">
        <f>VLOOKUP(C1177,[1]道具配置表!$A:$D,4,FALSE)</f>
        <v>1食物</v>
      </c>
      <c r="E1177" s="16">
        <f>E1173+300</f>
        <v>1300</v>
      </c>
      <c r="J1177" s="16">
        <v>1</v>
      </c>
      <c r="L1177" s="16" t="b">
        <v>1</v>
      </c>
    </row>
    <row r="1178" spans="1:12" x14ac:dyDescent="0.25">
      <c r="C1178" s="16">
        <f t="shared" si="23"/>
        <v>101</v>
      </c>
      <c r="D1178" s="16" t="str">
        <f>VLOOKUP(C1178,[1]道具配置表!$A:$D,4,FALSE)</f>
        <v>1木材</v>
      </c>
      <c r="E1178" s="16">
        <f>E1174+500</f>
        <v>1500</v>
      </c>
      <c r="J1178" s="16">
        <v>1</v>
      </c>
      <c r="L1178" s="16" t="b">
        <v>1</v>
      </c>
    </row>
    <row r="1179" spans="1:12" x14ac:dyDescent="0.25">
      <c r="C1179" s="16">
        <f t="shared" si="23"/>
        <v>103</v>
      </c>
      <c r="D1179" s="16" t="str">
        <f>VLOOKUP(C1179,[1]道具配置表!$A:$D,4,FALSE)</f>
        <v>1石头</v>
      </c>
      <c r="E1179" s="16">
        <f>E1175+500</f>
        <v>1500</v>
      </c>
      <c r="J1179" s="16">
        <v>1</v>
      </c>
      <c r="L1179" s="16" t="b">
        <v>1</v>
      </c>
    </row>
    <row r="1180" spans="1:12" x14ac:dyDescent="0.25">
      <c r="C1180" s="16">
        <f t="shared" si="23"/>
        <v>104</v>
      </c>
      <c r="D1180" s="16" t="str">
        <f>VLOOKUP(C1180,[1]道具配置表!$A:$D,4,FALSE)</f>
        <v>1黄金</v>
      </c>
      <c r="E1180" s="16">
        <f>E1176+500</f>
        <v>1500</v>
      </c>
      <c r="J1180" s="16">
        <v>1</v>
      </c>
      <c r="L1180" s="16" t="b">
        <v>1</v>
      </c>
    </row>
    <row r="1181" spans="1:12" x14ac:dyDescent="0.25">
      <c r="A1181" s="16">
        <v>1920603</v>
      </c>
      <c r="B1181" s="16" t="s">
        <v>632</v>
      </c>
      <c r="C1181" s="16">
        <f t="shared" si="23"/>
        <v>102</v>
      </c>
      <c r="D1181" s="16" t="str">
        <f>VLOOKUP(C1181,[1]道具配置表!$A:$D,4,FALSE)</f>
        <v>1食物</v>
      </c>
      <c r="E1181" s="16">
        <f>E1177+300</f>
        <v>1600</v>
      </c>
      <c r="J1181" s="16">
        <v>1</v>
      </c>
      <c r="L1181" s="16" t="b">
        <v>1</v>
      </c>
    </row>
    <row r="1182" spans="1:12" x14ac:dyDescent="0.25">
      <c r="C1182" s="16">
        <f t="shared" si="23"/>
        <v>101</v>
      </c>
      <c r="D1182" s="16" t="str">
        <f>VLOOKUP(C1182,[1]道具配置表!$A:$D,4,FALSE)</f>
        <v>1木材</v>
      </c>
      <c r="E1182" s="16">
        <f>E1178+500</f>
        <v>2000</v>
      </c>
      <c r="J1182" s="16">
        <v>1</v>
      </c>
      <c r="L1182" s="16" t="b">
        <v>1</v>
      </c>
    </row>
    <row r="1183" spans="1:12" x14ac:dyDescent="0.25">
      <c r="C1183" s="16">
        <f t="shared" si="23"/>
        <v>103</v>
      </c>
      <c r="D1183" s="16" t="str">
        <f>VLOOKUP(C1183,[1]道具配置表!$A:$D,4,FALSE)</f>
        <v>1石头</v>
      </c>
      <c r="E1183" s="16">
        <f>E1179+500</f>
        <v>2000</v>
      </c>
      <c r="J1183" s="16">
        <v>1</v>
      </c>
      <c r="L1183" s="16" t="b">
        <v>1</v>
      </c>
    </row>
    <row r="1184" spans="1:12" x14ac:dyDescent="0.25">
      <c r="C1184" s="16">
        <f t="shared" si="23"/>
        <v>104</v>
      </c>
      <c r="D1184" s="16" t="str">
        <f>VLOOKUP(C1184,[1]道具配置表!$A:$D,4,FALSE)</f>
        <v>1黄金</v>
      </c>
      <c r="E1184" s="16">
        <f>E1180+500</f>
        <v>2000</v>
      </c>
      <c r="J1184" s="16">
        <v>1</v>
      </c>
      <c r="L1184" s="16" t="b">
        <v>1</v>
      </c>
    </row>
    <row r="1185" spans="1:12" x14ac:dyDescent="0.25">
      <c r="A1185" s="16">
        <v>1920604</v>
      </c>
      <c r="B1185" s="16" t="s">
        <v>633</v>
      </c>
      <c r="C1185" s="16">
        <f t="shared" si="23"/>
        <v>102</v>
      </c>
      <c r="D1185" s="16" t="str">
        <f>VLOOKUP(C1185,[1]道具配置表!$A:$D,4,FALSE)</f>
        <v>1食物</v>
      </c>
      <c r="E1185" s="16">
        <f>E1181+300</f>
        <v>1900</v>
      </c>
      <c r="J1185" s="16">
        <v>1</v>
      </c>
      <c r="L1185" s="16" t="b">
        <v>1</v>
      </c>
    </row>
    <row r="1186" spans="1:12" x14ac:dyDescent="0.25">
      <c r="C1186" s="16">
        <f t="shared" si="23"/>
        <v>101</v>
      </c>
      <c r="D1186" s="16" t="str">
        <f>VLOOKUP(C1186,[1]道具配置表!$A:$D,4,FALSE)</f>
        <v>1木材</v>
      </c>
      <c r="E1186" s="16">
        <f>E1182+500</f>
        <v>2500</v>
      </c>
      <c r="J1186" s="16">
        <v>1</v>
      </c>
      <c r="L1186" s="16" t="b">
        <v>1</v>
      </c>
    </row>
    <row r="1187" spans="1:12" x14ac:dyDescent="0.25">
      <c r="C1187" s="16">
        <f t="shared" si="23"/>
        <v>103</v>
      </c>
      <c r="D1187" s="16" t="str">
        <f>VLOOKUP(C1187,[1]道具配置表!$A:$D,4,FALSE)</f>
        <v>1石头</v>
      </c>
      <c r="E1187" s="16">
        <f>E1183+500</f>
        <v>2500</v>
      </c>
      <c r="J1187" s="16">
        <v>1</v>
      </c>
      <c r="L1187" s="16" t="b">
        <v>1</v>
      </c>
    </row>
    <row r="1188" spans="1:12" x14ac:dyDescent="0.25">
      <c r="C1188" s="16">
        <f t="shared" si="23"/>
        <v>104</v>
      </c>
      <c r="D1188" s="16" t="str">
        <f>VLOOKUP(C1188,[1]道具配置表!$A:$D,4,FALSE)</f>
        <v>1黄金</v>
      </c>
      <c r="E1188" s="16">
        <f>E1184+500</f>
        <v>2500</v>
      </c>
      <c r="J1188" s="16">
        <v>1</v>
      </c>
      <c r="L1188" s="16" t="b">
        <v>1</v>
      </c>
    </row>
    <row r="1189" spans="1:12" x14ac:dyDescent="0.25">
      <c r="A1189" s="16">
        <v>1920605</v>
      </c>
      <c r="B1189" s="16" t="s">
        <v>634</v>
      </c>
      <c r="C1189" s="16">
        <f t="shared" si="23"/>
        <v>102</v>
      </c>
      <c r="D1189" s="16" t="str">
        <f>VLOOKUP(C1189,[1]道具配置表!$A:$D,4,FALSE)</f>
        <v>1食物</v>
      </c>
      <c r="E1189" s="16">
        <f>E1185+300</f>
        <v>2200</v>
      </c>
      <c r="J1189" s="16">
        <v>1</v>
      </c>
      <c r="L1189" s="16" t="b">
        <v>1</v>
      </c>
    </row>
    <row r="1190" spans="1:12" x14ac:dyDescent="0.25">
      <c r="C1190" s="16">
        <f t="shared" si="23"/>
        <v>101</v>
      </c>
      <c r="D1190" s="16" t="str">
        <f>VLOOKUP(C1190,[1]道具配置表!$A:$D,4,FALSE)</f>
        <v>1木材</v>
      </c>
      <c r="E1190" s="16">
        <f>E1186+500</f>
        <v>3000</v>
      </c>
      <c r="J1190" s="16">
        <v>1</v>
      </c>
      <c r="L1190" s="16" t="b">
        <v>1</v>
      </c>
    </row>
    <row r="1191" spans="1:12" x14ac:dyDescent="0.25">
      <c r="C1191" s="16">
        <f t="shared" si="23"/>
        <v>103</v>
      </c>
      <c r="D1191" s="16" t="str">
        <f>VLOOKUP(C1191,[1]道具配置表!$A:$D,4,FALSE)</f>
        <v>1石头</v>
      </c>
      <c r="E1191" s="16">
        <f>E1187+500</f>
        <v>3000</v>
      </c>
      <c r="J1191" s="16">
        <v>1</v>
      </c>
      <c r="L1191" s="16" t="b">
        <v>1</v>
      </c>
    </row>
    <row r="1192" spans="1:12" x14ac:dyDescent="0.25">
      <c r="C1192" s="16">
        <f t="shared" si="23"/>
        <v>104</v>
      </c>
      <c r="D1192" s="16" t="str">
        <f>VLOOKUP(C1192,[1]道具配置表!$A:$D,4,FALSE)</f>
        <v>1黄金</v>
      </c>
      <c r="E1192" s="16">
        <f>E1188+500</f>
        <v>3000</v>
      </c>
      <c r="J1192" s="16">
        <v>1</v>
      </c>
      <c r="L1192" s="16" t="b">
        <v>1</v>
      </c>
    </row>
    <row r="1193" spans="1:12" x14ac:dyDescent="0.25">
      <c r="A1193" s="16">
        <v>1920606</v>
      </c>
      <c r="B1193" s="16" t="s">
        <v>635</v>
      </c>
      <c r="C1193" s="16">
        <f t="shared" si="23"/>
        <v>102</v>
      </c>
      <c r="D1193" s="16" t="str">
        <f>VLOOKUP(C1193,[1]道具配置表!$A:$D,4,FALSE)</f>
        <v>1食物</v>
      </c>
      <c r="E1193" s="16">
        <f>E1189+300</f>
        <v>2500</v>
      </c>
      <c r="J1193" s="16">
        <v>1</v>
      </c>
      <c r="L1193" s="16" t="b">
        <v>1</v>
      </c>
    </row>
    <row r="1194" spans="1:12" x14ac:dyDescent="0.25">
      <c r="C1194" s="16">
        <f t="shared" si="23"/>
        <v>101</v>
      </c>
      <c r="D1194" s="16" t="str">
        <f>VLOOKUP(C1194,[1]道具配置表!$A:$D,4,FALSE)</f>
        <v>1木材</v>
      </c>
      <c r="E1194" s="16">
        <f>E1190+500</f>
        <v>3500</v>
      </c>
      <c r="J1194" s="16">
        <v>1</v>
      </c>
      <c r="L1194" s="16" t="b">
        <v>1</v>
      </c>
    </row>
    <row r="1195" spans="1:12" x14ac:dyDescent="0.25">
      <c r="C1195" s="16">
        <f t="shared" si="23"/>
        <v>103</v>
      </c>
      <c r="D1195" s="16" t="str">
        <f>VLOOKUP(C1195,[1]道具配置表!$A:$D,4,FALSE)</f>
        <v>1石头</v>
      </c>
      <c r="E1195" s="16">
        <f>E1191+500</f>
        <v>3500</v>
      </c>
      <c r="J1195" s="16">
        <v>1</v>
      </c>
      <c r="L1195" s="16" t="b">
        <v>1</v>
      </c>
    </row>
    <row r="1196" spans="1:12" x14ac:dyDescent="0.25">
      <c r="C1196" s="16">
        <f t="shared" si="23"/>
        <v>104</v>
      </c>
      <c r="D1196" s="16" t="str">
        <f>VLOOKUP(C1196,[1]道具配置表!$A:$D,4,FALSE)</f>
        <v>1黄金</v>
      </c>
      <c r="E1196" s="16">
        <f>E1192+500</f>
        <v>3500</v>
      </c>
      <c r="J1196" s="16">
        <v>1</v>
      </c>
      <c r="L1196" s="16" t="b">
        <v>1</v>
      </c>
    </row>
    <row r="1197" spans="1:12" x14ac:dyDescent="0.25">
      <c r="A1197" s="16">
        <v>1920607</v>
      </c>
      <c r="B1197" s="16" t="s">
        <v>636</v>
      </c>
      <c r="C1197" s="16">
        <f t="shared" si="23"/>
        <v>102</v>
      </c>
      <c r="D1197" s="16" t="str">
        <f>VLOOKUP(C1197,[1]道具配置表!$A:$D,4,FALSE)</f>
        <v>1食物</v>
      </c>
      <c r="E1197" s="16">
        <f>E1193+300</f>
        <v>2800</v>
      </c>
      <c r="J1197" s="16">
        <v>1</v>
      </c>
      <c r="L1197" s="16" t="b">
        <v>1</v>
      </c>
    </row>
    <row r="1198" spans="1:12" x14ac:dyDescent="0.25">
      <c r="C1198" s="16">
        <f t="shared" si="23"/>
        <v>101</v>
      </c>
      <c r="D1198" s="16" t="str">
        <f>VLOOKUP(C1198,[1]道具配置表!$A:$D,4,FALSE)</f>
        <v>1木材</v>
      </c>
      <c r="E1198" s="16">
        <f>E1194+500</f>
        <v>4000</v>
      </c>
      <c r="J1198" s="16">
        <v>1</v>
      </c>
      <c r="L1198" s="16" t="b">
        <v>1</v>
      </c>
    </row>
    <row r="1199" spans="1:12" x14ac:dyDescent="0.25">
      <c r="C1199" s="16">
        <f t="shared" si="23"/>
        <v>103</v>
      </c>
      <c r="D1199" s="16" t="str">
        <f>VLOOKUP(C1199,[1]道具配置表!$A:$D,4,FALSE)</f>
        <v>1石头</v>
      </c>
      <c r="E1199" s="16">
        <f>E1195+500</f>
        <v>4000</v>
      </c>
      <c r="J1199" s="16">
        <v>1</v>
      </c>
      <c r="L1199" s="16" t="b">
        <v>1</v>
      </c>
    </row>
    <row r="1200" spans="1:12" x14ac:dyDescent="0.25">
      <c r="C1200" s="16">
        <f t="shared" si="23"/>
        <v>104</v>
      </c>
      <c r="D1200" s="16" t="str">
        <f>VLOOKUP(C1200,[1]道具配置表!$A:$D,4,FALSE)</f>
        <v>1黄金</v>
      </c>
      <c r="E1200" s="16">
        <f>E1196+500</f>
        <v>4000</v>
      </c>
      <c r="J1200" s="16">
        <v>1</v>
      </c>
      <c r="L1200" s="16" t="b">
        <v>1</v>
      </c>
    </row>
    <row r="1201" spans="1:12" x14ac:dyDescent="0.25">
      <c r="A1201" s="16">
        <v>1920608</v>
      </c>
      <c r="B1201" s="16" t="s">
        <v>637</v>
      </c>
      <c r="C1201" s="16">
        <f t="shared" ref="C1201:C1264" si="24">C1197</f>
        <v>102</v>
      </c>
      <c r="D1201" s="16" t="str">
        <f>VLOOKUP(C1201,[1]道具配置表!$A:$D,4,FALSE)</f>
        <v>1食物</v>
      </c>
      <c r="E1201" s="16">
        <f>E1197+300</f>
        <v>3100</v>
      </c>
      <c r="J1201" s="16">
        <v>1</v>
      </c>
      <c r="L1201" s="16" t="b">
        <v>1</v>
      </c>
    </row>
    <row r="1202" spans="1:12" x14ac:dyDescent="0.25">
      <c r="C1202" s="16">
        <f t="shared" si="24"/>
        <v>101</v>
      </c>
      <c r="D1202" s="16" t="str">
        <f>VLOOKUP(C1202,[1]道具配置表!$A:$D,4,FALSE)</f>
        <v>1木材</v>
      </c>
      <c r="E1202" s="16">
        <f>E1198+500</f>
        <v>4500</v>
      </c>
      <c r="J1202" s="16">
        <v>1</v>
      </c>
      <c r="L1202" s="16" t="b">
        <v>1</v>
      </c>
    </row>
    <row r="1203" spans="1:12" x14ac:dyDescent="0.25">
      <c r="C1203" s="16">
        <f t="shared" si="24"/>
        <v>103</v>
      </c>
      <c r="D1203" s="16" t="str">
        <f>VLOOKUP(C1203,[1]道具配置表!$A:$D,4,FALSE)</f>
        <v>1石头</v>
      </c>
      <c r="E1203" s="16">
        <f>E1199+500</f>
        <v>4500</v>
      </c>
      <c r="J1203" s="16">
        <v>1</v>
      </c>
      <c r="L1203" s="16" t="b">
        <v>1</v>
      </c>
    </row>
    <row r="1204" spans="1:12" x14ac:dyDescent="0.25">
      <c r="C1204" s="16">
        <f t="shared" si="24"/>
        <v>104</v>
      </c>
      <c r="D1204" s="16" t="str">
        <f>VLOOKUP(C1204,[1]道具配置表!$A:$D,4,FALSE)</f>
        <v>1黄金</v>
      </c>
      <c r="E1204" s="16">
        <f>E1200+500</f>
        <v>4500</v>
      </c>
      <c r="J1204" s="16">
        <v>1</v>
      </c>
      <c r="L1204" s="16" t="b">
        <v>1</v>
      </c>
    </row>
    <row r="1205" spans="1:12" x14ac:dyDescent="0.25">
      <c r="A1205" s="16">
        <v>1920609</v>
      </c>
      <c r="B1205" s="16" t="s">
        <v>638</v>
      </c>
      <c r="C1205" s="16">
        <f t="shared" si="24"/>
        <v>102</v>
      </c>
      <c r="D1205" s="16" t="str">
        <f>VLOOKUP(C1205,[1]道具配置表!$A:$D,4,FALSE)</f>
        <v>1食物</v>
      </c>
      <c r="E1205" s="16">
        <f>E1201+300</f>
        <v>3400</v>
      </c>
      <c r="J1205" s="16">
        <v>1</v>
      </c>
      <c r="L1205" s="16" t="b">
        <v>1</v>
      </c>
    </row>
    <row r="1206" spans="1:12" x14ac:dyDescent="0.25">
      <c r="C1206" s="16">
        <f t="shared" si="24"/>
        <v>101</v>
      </c>
      <c r="D1206" s="16" t="str">
        <f>VLOOKUP(C1206,[1]道具配置表!$A:$D,4,FALSE)</f>
        <v>1木材</v>
      </c>
      <c r="E1206" s="16">
        <f>E1202+500</f>
        <v>5000</v>
      </c>
      <c r="J1206" s="16">
        <v>1</v>
      </c>
      <c r="L1206" s="16" t="b">
        <v>1</v>
      </c>
    </row>
    <row r="1207" spans="1:12" x14ac:dyDescent="0.25">
      <c r="C1207" s="16">
        <f t="shared" si="24"/>
        <v>103</v>
      </c>
      <c r="D1207" s="16" t="str">
        <f>VLOOKUP(C1207,[1]道具配置表!$A:$D,4,FALSE)</f>
        <v>1石头</v>
      </c>
      <c r="E1207" s="16">
        <f>E1203+500</f>
        <v>5000</v>
      </c>
      <c r="J1207" s="16">
        <v>1</v>
      </c>
      <c r="L1207" s="16" t="b">
        <v>1</v>
      </c>
    </row>
    <row r="1208" spans="1:12" x14ac:dyDescent="0.25">
      <c r="C1208" s="16">
        <f t="shared" si="24"/>
        <v>104</v>
      </c>
      <c r="D1208" s="16" t="str">
        <f>VLOOKUP(C1208,[1]道具配置表!$A:$D,4,FALSE)</f>
        <v>1黄金</v>
      </c>
      <c r="E1208" s="16">
        <f>E1204+500</f>
        <v>5000</v>
      </c>
      <c r="J1208" s="16">
        <v>1</v>
      </c>
      <c r="L1208" s="16" t="b">
        <v>1</v>
      </c>
    </row>
    <row r="1209" spans="1:12" x14ac:dyDescent="0.25">
      <c r="A1209" s="16">
        <v>1920610</v>
      </c>
      <c r="B1209" s="16" t="s">
        <v>639</v>
      </c>
      <c r="C1209" s="16">
        <f t="shared" si="24"/>
        <v>102</v>
      </c>
      <c r="D1209" s="16" t="str">
        <f>VLOOKUP(C1209,[1]道具配置表!$A:$D,4,FALSE)</f>
        <v>1食物</v>
      </c>
      <c r="E1209" s="16">
        <f>E1205+300</f>
        <v>3700</v>
      </c>
      <c r="J1209" s="16">
        <v>1</v>
      </c>
      <c r="L1209" s="16" t="b">
        <v>1</v>
      </c>
    </row>
    <row r="1210" spans="1:12" x14ac:dyDescent="0.25">
      <c r="C1210" s="16">
        <f t="shared" si="24"/>
        <v>101</v>
      </c>
      <c r="D1210" s="16" t="str">
        <f>VLOOKUP(C1210,[1]道具配置表!$A:$D,4,FALSE)</f>
        <v>1木材</v>
      </c>
      <c r="E1210" s="16">
        <f>E1206+500</f>
        <v>5500</v>
      </c>
      <c r="J1210" s="16">
        <v>1</v>
      </c>
      <c r="L1210" s="16" t="b">
        <v>1</v>
      </c>
    </row>
    <row r="1211" spans="1:12" x14ac:dyDescent="0.25">
      <c r="C1211" s="16">
        <f t="shared" si="24"/>
        <v>103</v>
      </c>
      <c r="D1211" s="16" t="str">
        <f>VLOOKUP(C1211,[1]道具配置表!$A:$D,4,FALSE)</f>
        <v>1石头</v>
      </c>
      <c r="E1211" s="16">
        <f>E1207+500</f>
        <v>5500</v>
      </c>
      <c r="J1211" s="16">
        <v>1</v>
      </c>
      <c r="L1211" s="16" t="b">
        <v>1</v>
      </c>
    </row>
    <row r="1212" spans="1:12" x14ac:dyDescent="0.25">
      <c r="C1212" s="16">
        <f t="shared" si="24"/>
        <v>104</v>
      </c>
      <c r="D1212" s="16" t="str">
        <f>VLOOKUP(C1212,[1]道具配置表!$A:$D,4,FALSE)</f>
        <v>1黄金</v>
      </c>
      <c r="E1212" s="16">
        <f>E1208+500</f>
        <v>5500</v>
      </c>
      <c r="J1212" s="16">
        <v>1</v>
      </c>
      <c r="L1212" s="16" t="b">
        <v>1</v>
      </c>
    </row>
    <row r="1213" spans="1:12" x14ac:dyDescent="0.25">
      <c r="A1213" s="16">
        <v>1920611</v>
      </c>
      <c r="B1213" s="16" t="s">
        <v>640</v>
      </c>
      <c r="C1213" s="16">
        <f t="shared" si="24"/>
        <v>102</v>
      </c>
      <c r="D1213" s="16" t="str">
        <f>VLOOKUP(C1213,[1]道具配置表!$A:$D,4,FALSE)</f>
        <v>1食物</v>
      </c>
      <c r="E1213" s="16">
        <f>E1209+300</f>
        <v>4000</v>
      </c>
      <c r="J1213" s="16">
        <v>1</v>
      </c>
      <c r="L1213" s="16" t="b">
        <v>1</v>
      </c>
    </row>
    <row r="1214" spans="1:12" x14ac:dyDescent="0.25">
      <c r="C1214" s="16">
        <f t="shared" si="24"/>
        <v>101</v>
      </c>
      <c r="D1214" s="16" t="str">
        <f>VLOOKUP(C1214,[1]道具配置表!$A:$D,4,FALSE)</f>
        <v>1木材</v>
      </c>
      <c r="E1214" s="16">
        <f>E1210+500</f>
        <v>6000</v>
      </c>
      <c r="J1214" s="16">
        <v>1</v>
      </c>
      <c r="L1214" s="16" t="b">
        <v>1</v>
      </c>
    </row>
    <row r="1215" spans="1:12" x14ac:dyDescent="0.25">
      <c r="C1215" s="16">
        <f t="shared" si="24"/>
        <v>103</v>
      </c>
      <c r="D1215" s="16" t="str">
        <f>VLOOKUP(C1215,[1]道具配置表!$A:$D,4,FALSE)</f>
        <v>1石头</v>
      </c>
      <c r="E1215" s="16">
        <f>E1211+500</f>
        <v>6000</v>
      </c>
      <c r="J1215" s="16">
        <v>1</v>
      </c>
      <c r="L1215" s="16" t="b">
        <v>1</v>
      </c>
    </row>
    <row r="1216" spans="1:12" x14ac:dyDescent="0.25">
      <c r="C1216" s="16">
        <f t="shared" si="24"/>
        <v>104</v>
      </c>
      <c r="D1216" s="16" t="str">
        <f>VLOOKUP(C1216,[1]道具配置表!$A:$D,4,FALSE)</f>
        <v>1黄金</v>
      </c>
      <c r="E1216" s="16">
        <f>E1212+500</f>
        <v>6000</v>
      </c>
      <c r="J1216" s="16">
        <v>1</v>
      </c>
      <c r="L1216" s="16" t="b">
        <v>1</v>
      </c>
    </row>
    <row r="1217" spans="1:12" x14ac:dyDescent="0.25">
      <c r="A1217" s="16">
        <v>1920612</v>
      </c>
      <c r="B1217" s="16" t="s">
        <v>641</v>
      </c>
      <c r="C1217" s="16">
        <f t="shared" si="24"/>
        <v>102</v>
      </c>
      <c r="D1217" s="16" t="str">
        <f>VLOOKUP(C1217,[1]道具配置表!$A:$D,4,FALSE)</f>
        <v>1食物</v>
      </c>
      <c r="E1217" s="16">
        <f>E1213+300</f>
        <v>4300</v>
      </c>
      <c r="J1217" s="16">
        <v>1</v>
      </c>
      <c r="L1217" s="16" t="b">
        <v>1</v>
      </c>
    </row>
    <row r="1218" spans="1:12" x14ac:dyDescent="0.25">
      <c r="C1218" s="16">
        <f t="shared" si="24"/>
        <v>101</v>
      </c>
      <c r="D1218" s="16" t="str">
        <f>VLOOKUP(C1218,[1]道具配置表!$A:$D,4,FALSE)</f>
        <v>1木材</v>
      </c>
      <c r="E1218" s="16">
        <f>E1214+500</f>
        <v>6500</v>
      </c>
      <c r="J1218" s="16">
        <v>1</v>
      </c>
      <c r="L1218" s="16" t="b">
        <v>1</v>
      </c>
    </row>
    <row r="1219" spans="1:12" x14ac:dyDescent="0.25">
      <c r="C1219" s="16">
        <f t="shared" si="24"/>
        <v>103</v>
      </c>
      <c r="D1219" s="16" t="str">
        <f>VLOOKUP(C1219,[1]道具配置表!$A:$D,4,FALSE)</f>
        <v>1石头</v>
      </c>
      <c r="E1219" s="16">
        <f>E1215+500</f>
        <v>6500</v>
      </c>
      <c r="J1219" s="16">
        <v>1</v>
      </c>
      <c r="L1219" s="16" t="b">
        <v>1</v>
      </c>
    </row>
    <row r="1220" spans="1:12" x14ac:dyDescent="0.25">
      <c r="C1220" s="16">
        <f t="shared" si="24"/>
        <v>104</v>
      </c>
      <c r="D1220" s="16" t="str">
        <f>VLOOKUP(C1220,[1]道具配置表!$A:$D,4,FALSE)</f>
        <v>1黄金</v>
      </c>
      <c r="E1220" s="16">
        <f>E1216+500</f>
        <v>6500</v>
      </c>
      <c r="J1220" s="16">
        <v>1</v>
      </c>
      <c r="L1220" s="16" t="b">
        <v>1</v>
      </c>
    </row>
    <row r="1221" spans="1:12" x14ac:dyDescent="0.25">
      <c r="A1221" s="16">
        <v>1920613</v>
      </c>
      <c r="B1221" s="16" t="s">
        <v>642</v>
      </c>
      <c r="C1221" s="16">
        <f t="shared" si="24"/>
        <v>102</v>
      </c>
      <c r="D1221" s="16" t="str">
        <f>VLOOKUP(C1221,[1]道具配置表!$A:$D,4,FALSE)</f>
        <v>1食物</v>
      </c>
      <c r="E1221" s="16">
        <f>E1217+300</f>
        <v>4600</v>
      </c>
      <c r="J1221" s="16">
        <v>1</v>
      </c>
      <c r="L1221" s="16" t="b">
        <v>1</v>
      </c>
    </row>
    <row r="1222" spans="1:12" x14ac:dyDescent="0.25">
      <c r="C1222" s="16">
        <f t="shared" si="24"/>
        <v>101</v>
      </c>
      <c r="D1222" s="16" t="str">
        <f>VLOOKUP(C1222,[1]道具配置表!$A:$D,4,FALSE)</f>
        <v>1木材</v>
      </c>
      <c r="E1222" s="16">
        <f>E1218+500</f>
        <v>7000</v>
      </c>
      <c r="J1222" s="16">
        <v>1</v>
      </c>
      <c r="L1222" s="16" t="b">
        <v>1</v>
      </c>
    </row>
    <row r="1223" spans="1:12" x14ac:dyDescent="0.25">
      <c r="C1223" s="16">
        <f t="shared" si="24"/>
        <v>103</v>
      </c>
      <c r="D1223" s="16" t="str">
        <f>VLOOKUP(C1223,[1]道具配置表!$A:$D,4,FALSE)</f>
        <v>1石头</v>
      </c>
      <c r="E1223" s="16">
        <f>E1219+500</f>
        <v>7000</v>
      </c>
      <c r="J1223" s="16">
        <v>1</v>
      </c>
      <c r="L1223" s="16" t="b">
        <v>1</v>
      </c>
    </row>
    <row r="1224" spans="1:12" x14ac:dyDescent="0.25">
      <c r="C1224" s="16">
        <f t="shared" si="24"/>
        <v>104</v>
      </c>
      <c r="D1224" s="16" t="str">
        <f>VLOOKUP(C1224,[1]道具配置表!$A:$D,4,FALSE)</f>
        <v>1黄金</v>
      </c>
      <c r="E1224" s="16">
        <f>E1220+500</f>
        <v>7000</v>
      </c>
      <c r="J1224" s="16">
        <v>1</v>
      </c>
      <c r="L1224" s="16" t="b">
        <v>1</v>
      </c>
    </row>
    <row r="1225" spans="1:12" x14ac:dyDescent="0.25">
      <c r="A1225" s="16">
        <v>1920614</v>
      </c>
      <c r="B1225" s="16" t="s">
        <v>643</v>
      </c>
      <c r="C1225" s="16">
        <f t="shared" si="24"/>
        <v>102</v>
      </c>
      <c r="D1225" s="16" t="str">
        <f>VLOOKUP(C1225,[1]道具配置表!$A:$D,4,FALSE)</f>
        <v>1食物</v>
      </c>
      <c r="E1225" s="16">
        <f>E1221+300</f>
        <v>4900</v>
      </c>
      <c r="J1225" s="16">
        <v>1</v>
      </c>
      <c r="L1225" s="16" t="b">
        <v>1</v>
      </c>
    </row>
    <row r="1226" spans="1:12" x14ac:dyDescent="0.25">
      <c r="C1226" s="16">
        <f t="shared" si="24"/>
        <v>101</v>
      </c>
      <c r="D1226" s="16" t="str">
        <f>VLOOKUP(C1226,[1]道具配置表!$A:$D,4,FALSE)</f>
        <v>1木材</v>
      </c>
      <c r="E1226" s="16">
        <f>E1222+500</f>
        <v>7500</v>
      </c>
      <c r="J1226" s="16">
        <v>1</v>
      </c>
      <c r="L1226" s="16" t="b">
        <v>1</v>
      </c>
    </row>
    <row r="1227" spans="1:12" x14ac:dyDescent="0.25">
      <c r="C1227" s="16">
        <f t="shared" si="24"/>
        <v>103</v>
      </c>
      <c r="D1227" s="16" t="str">
        <f>VLOOKUP(C1227,[1]道具配置表!$A:$D,4,FALSE)</f>
        <v>1石头</v>
      </c>
      <c r="E1227" s="16">
        <f>E1223+500</f>
        <v>7500</v>
      </c>
      <c r="J1227" s="16">
        <v>1</v>
      </c>
      <c r="L1227" s="16" t="b">
        <v>1</v>
      </c>
    </row>
    <row r="1228" spans="1:12" x14ac:dyDescent="0.25">
      <c r="C1228" s="16">
        <f t="shared" si="24"/>
        <v>104</v>
      </c>
      <c r="D1228" s="16" t="str">
        <f>VLOOKUP(C1228,[1]道具配置表!$A:$D,4,FALSE)</f>
        <v>1黄金</v>
      </c>
      <c r="E1228" s="16">
        <f>E1224+500</f>
        <v>7500</v>
      </c>
      <c r="J1228" s="16">
        <v>1</v>
      </c>
      <c r="L1228" s="16" t="b">
        <v>1</v>
      </c>
    </row>
    <row r="1229" spans="1:12" x14ac:dyDescent="0.25">
      <c r="A1229" s="16">
        <v>1920615</v>
      </c>
      <c r="B1229" s="16" t="s">
        <v>644</v>
      </c>
      <c r="C1229" s="16">
        <f t="shared" si="24"/>
        <v>102</v>
      </c>
      <c r="D1229" s="16" t="str">
        <f>VLOOKUP(C1229,[1]道具配置表!$A:$D,4,FALSE)</f>
        <v>1食物</v>
      </c>
      <c r="E1229" s="16">
        <f>E1225+300</f>
        <v>5200</v>
      </c>
      <c r="J1229" s="16">
        <v>1</v>
      </c>
      <c r="L1229" s="16" t="b">
        <v>1</v>
      </c>
    </row>
    <row r="1230" spans="1:12" x14ac:dyDescent="0.25">
      <c r="C1230" s="16">
        <f t="shared" si="24"/>
        <v>101</v>
      </c>
      <c r="D1230" s="16" t="str">
        <f>VLOOKUP(C1230,[1]道具配置表!$A:$D,4,FALSE)</f>
        <v>1木材</v>
      </c>
      <c r="E1230" s="16">
        <f>E1226+500</f>
        <v>8000</v>
      </c>
      <c r="J1230" s="16">
        <v>1</v>
      </c>
      <c r="L1230" s="16" t="b">
        <v>1</v>
      </c>
    </row>
    <row r="1231" spans="1:12" x14ac:dyDescent="0.25">
      <c r="C1231" s="16">
        <f t="shared" si="24"/>
        <v>103</v>
      </c>
      <c r="D1231" s="16" t="str">
        <f>VLOOKUP(C1231,[1]道具配置表!$A:$D,4,FALSE)</f>
        <v>1石头</v>
      </c>
      <c r="E1231" s="16">
        <f>E1227+500</f>
        <v>8000</v>
      </c>
      <c r="J1231" s="16">
        <v>1</v>
      </c>
      <c r="L1231" s="16" t="b">
        <v>1</v>
      </c>
    </row>
    <row r="1232" spans="1:12" x14ac:dyDescent="0.25">
      <c r="C1232" s="16">
        <f t="shared" si="24"/>
        <v>104</v>
      </c>
      <c r="D1232" s="16" t="str">
        <f>VLOOKUP(C1232,[1]道具配置表!$A:$D,4,FALSE)</f>
        <v>1黄金</v>
      </c>
      <c r="E1232" s="16">
        <f>E1228+500</f>
        <v>8000</v>
      </c>
      <c r="J1232" s="16">
        <v>1</v>
      </c>
      <c r="L1232" s="16" t="b">
        <v>1</v>
      </c>
    </row>
    <row r="1233" spans="1:12" x14ac:dyDescent="0.25">
      <c r="A1233" s="16">
        <v>1920616</v>
      </c>
      <c r="B1233" s="16" t="s">
        <v>645</v>
      </c>
      <c r="C1233" s="16">
        <f t="shared" si="24"/>
        <v>102</v>
      </c>
      <c r="D1233" s="16" t="str">
        <f>VLOOKUP(C1233,[1]道具配置表!$A:$D,4,FALSE)</f>
        <v>1食物</v>
      </c>
      <c r="E1233" s="16">
        <f>E1229+300</f>
        <v>5500</v>
      </c>
      <c r="J1233" s="16">
        <v>1</v>
      </c>
      <c r="L1233" s="16" t="b">
        <v>1</v>
      </c>
    </row>
    <row r="1234" spans="1:12" x14ac:dyDescent="0.25">
      <c r="C1234" s="16">
        <f t="shared" si="24"/>
        <v>101</v>
      </c>
      <c r="D1234" s="16" t="str">
        <f>VLOOKUP(C1234,[1]道具配置表!$A:$D,4,FALSE)</f>
        <v>1木材</v>
      </c>
      <c r="E1234" s="16">
        <f>E1230+500</f>
        <v>8500</v>
      </c>
      <c r="J1234" s="16">
        <v>1</v>
      </c>
      <c r="L1234" s="16" t="b">
        <v>1</v>
      </c>
    </row>
    <row r="1235" spans="1:12" x14ac:dyDescent="0.25">
      <c r="C1235" s="16">
        <f t="shared" si="24"/>
        <v>103</v>
      </c>
      <c r="D1235" s="16" t="str">
        <f>VLOOKUP(C1235,[1]道具配置表!$A:$D,4,FALSE)</f>
        <v>1石头</v>
      </c>
      <c r="E1235" s="16">
        <f>E1231+500</f>
        <v>8500</v>
      </c>
      <c r="J1235" s="16">
        <v>1</v>
      </c>
      <c r="L1235" s="16" t="b">
        <v>1</v>
      </c>
    </row>
    <row r="1236" spans="1:12" x14ac:dyDescent="0.25">
      <c r="C1236" s="16">
        <f t="shared" si="24"/>
        <v>104</v>
      </c>
      <c r="D1236" s="16" t="str">
        <f>VLOOKUP(C1236,[1]道具配置表!$A:$D,4,FALSE)</f>
        <v>1黄金</v>
      </c>
      <c r="E1236" s="16">
        <f>E1232+500</f>
        <v>8500</v>
      </c>
      <c r="J1236" s="16">
        <v>1</v>
      </c>
      <c r="L1236" s="16" t="b">
        <v>1</v>
      </c>
    </row>
    <row r="1237" spans="1:12" x14ac:dyDescent="0.25">
      <c r="A1237" s="16">
        <v>1920617</v>
      </c>
      <c r="B1237" s="16" t="s">
        <v>646</v>
      </c>
      <c r="C1237" s="16">
        <f t="shared" si="24"/>
        <v>102</v>
      </c>
      <c r="D1237" s="16" t="str">
        <f>VLOOKUP(C1237,[1]道具配置表!$A:$D,4,FALSE)</f>
        <v>1食物</v>
      </c>
      <c r="E1237" s="16">
        <f>E1233+300</f>
        <v>5800</v>
      </c>
      <c r="J1237" s="16">
        <v>1</v>
      </c>
      <c r="L1237" s="16" t="b">
        <v>1</v>
      </c>
    </row>
    <row r="1238" spans="1:12" x14ac:dyDescent="0.25">
      <c r="C1238" s="16">
        <f t="shared" si="24"/>
        <v>101</v>
      </c>
      <c r="D1238" s="16" t="str">
        <f>VLOOKUP(C1238,[1]道具配置表!$A:$D,4,FALSE)</f>
        <v>1木材</v>
      </c>
      <c r="E1238" s="16">
        <f>E1234+500</f>
        <v>9000</v>
      </c>
      <c r="J1238" s="16">
        <v>1</v>
      </c>
      <c r="L1238" s="16" t="b">
        <v>1</v>
      </c>
    </row>
    <row r="1239" spans="1:12" x14ac:dyDescent="0.25">
      <c r="C1239" s="16">
        <f t="shared" si="24"/>
        <v>103</v>
      </c>
      <c r="D1239" s="16" t="str">
        <f>VLOOKUP(C1239,[1]道具配置表!$A:$D,4,FALSE)</f>
        <v>1石头</v>
      </c>
      <c r="E1239" s="16">
        <f>E1235+500</f>
        <v>9000</v>
      </c>
      <c r="J1239" s="16">
        <v>1</v>
      </c>
      <c r="L1239" s="16" t="b">
        <v>1</v>
      </c>
    </row>
    <row r="1240" spans="1:12" x14ac:dyDescent="0.25">
      <c r="C1240" s="16">
        <f t="shared" si="24"/>
        <v>104</v>
      </c>
      <c r="D1240" s="16" t="str">
        <f>VLOOKUP(C1240,[1]道具配置表!$A:$D,4,FALSE)</f>
        <v>1黄金</v>
      </c>
      <c r="E1240" s="16">
        <f>E1236+500</f>
        <v>9000</v>
      </c>
      <c r="J1240" s="16">
        <v>1</v>
      </c>
      <c r="L1240" s="16" t="b">
        <v>1</v>
      </c>
    </row>
    <row r="1241" spans="1:12" x14ac:dyDescent="0.25">
      <c r="A1241" s="16">
        <v>1920618</v>
      </c>
      <c r="B1241" s="16" t="s">
        <v>647</v>
      </c>
      <c r="C1241" s="16">
        <f t="shared" si="24"/>
        <v>102</v>
      </c>
      <c r="D1241" s="16" t="str">
        <f>VLOOKUP(C1241,[1]道具配置表!$A:$D,4,FALSE)</f>
        <v>1食物</v>
      </c>
      <c r="E1241" s="16">
        <f>E1237+300</f>
        <v>6100</v>
      </c>
      <c r="J1241" s="16">
        <v>1</v>
      </c>
      <c r="L1241" s="16" t="b">
        <v>1</v>
      </c>
    </row>
    <row r="1242" spans="1:12" x14ac:dyDescent="0.25">
      <c r="C1242" s="16">
        <f t="shared" si="24"/>
        <v>101</v>
      </c>
      <c r="D1242" s="16" t="str">
        <f>VLOOKUP(C1242,[1]道具配置表!$A:$D,4,FALSE)</f>
        <v>1木材</v>
      </c>
      <c r="E1242" s="16">
        <f>E1238+500</f>
        <v>9500</v>
      </c>
      <c r="J1242" s="16">
        <v>1</v>
      </c>
      <c r="L1242" s="16" t="b">
        <v>1</v>
      </c>
    </row>
    <row r="1243" spans="1:12" x14ac:dyDescent="0.25">
      <c r="C1243" s="16">
        <f t="shared" si="24"/>
        <v>103</v>
      </c>
      <c r="D1243" s="16" t="str">
        <f>VLOOKUP(C1243,[1]道具配置表!$A:$D,4,FALSE)</f>
        <v>1石头</v>
      </c>
      <c r="E1243" s="16">
        <f>E1239+500</f>
        <v>9500</v>
      </c>
      <c r="J1243" s="16">
        <v>1</v>
      </c>
      <c r="L1243" s="16" t="b">
        <v>1</v>
      </c>
    </row>
    <row r="1244" spans="1:12" x14ac:dyDescent="0.25">
      <c r="C1244" s="16">
        <f t="shared" si="24"/>
        <v>104</v>
      </c>
      <c r="D1244" s="16" t="str">
        <f>VLOOKUP(C1244,[1]道具配置表!$A:$D,4,FALSE)</f>
        <v>1黄金</v>
      </c>
      <c r="E1244" s="16">
        <f>E1240+500</f>
        <v>9500</v>
      </c>
      <c r="J1244" s="16">
        <v>1</v>
      </c>
      <c r="L1244" s="16" t="b">
        <v>1</v>
      </c>
    </row>
    <row r="1245" spans="1:12" x14ac:dyDescent="0.25">
      <c r="A1245" s="16">
        <v>1920619</v>
      </c>
      <c r="B1245" s="16" t="s">
        <v>648</v>
      </c>
      <c r="C1245" s="16">
        <f t="shared" si="24"/>
        <v>102</v>
      </c>
      <c r="D1245" s="16" t="str">
        <f>VLOOKUP(C1245,[1]道具配置表!$A:$D,4,FALSE)</f>
        <v>1食物</v>
      </c>
      <c r="E1245" s="16">
        <f>E1241+300</f>
        <v>6400</v>
      </c>
      <c r="J1245" s="16">
        <v>1</v>
      </c>
      <c r="L1245" s="16" t="b">
        <v>1</v>
      </c>
    </row>
    <row r="1246" spans="1:12" x14ac:dyDescent="0.25">
      <c r="C1246" s="16">
        <f t="shared" si="24"/>
        <v>101</v>
      </c>
      <c r="D1246" s="16" t="str">
        <f>VLOOKUP(C1246,[1]道具配置表!$A:$D,4,FALSE)</f>
        <v>1木材</v>
      </c>
      <c r="E1246" s="16">
        <f>E1242+500</f>
        <v>10000</v>
      </c>
      <c r="J1246" s="16">
        <v>1</v>
      </c>
      <c r="L1246" s="16" t="b">
        <v>1</v>
      </c>
    </row>
    <row r="1247" spans="1:12" x14ac:dyDescent="0.25">
      <c r="C1247" s="16">
        <f t="shared" si="24"/>
        <v>103</v>
      </c>
      <c r="D1247" s="16" t="str">
        <f>VLOOKUP(C1247,[1]道具配置表!$A:$D,4,FALSE)</f>
        <v>1石头</v>
      </c>
      <c r="E1247" s="16">
        <f>E1243+500</f>
        <v>10000</v>
      </c>
      <c r="J1247" s="16">
        <v>1</v>
      </c>
      <c r="L1247" s="16" t="b">
        <v>1</v>
      </c>
    </row>
    <row r="1248" spans="1:12" x14ac:dyDescent="0.25">
      <c r="C1248" s="16">
        <f t="shared" si="24"/>
        <v>104</v>
      </c>
      <c r="D1248" s="16" t="str">
        <f>VLOOKUP(C1248,[1]道具配置表!$A:$D,4,FALSE)</f>
        <v>1黄金</v>
      </c>
      <c r="E1248" s="16">
        <f>E1244+500</f>
        <v>10000</v>
      </c>
      <c r="J1248" s="16">
        <v>1</v>
      </c>
      <c r="L1248" s="16" t="b">
        <v>1</v>
      </c>
    </row>
    <row r="1249" spans="1:12" x14ac:dyDescent="0.25">
      <c r="A1249" s="16">
        <v>1920620</v>
      </c>
      <c r="B1249" s="16" t="s">
        <v>649</v>
      </c>
      <c r="C1249" s="16">
        <f t="shared" si="24"/>
        <v>102</v>
      </c>
      <c r="D1249" s="16" t="str">
        <f>VLOOKUP(C1249,[1]道具配置表!$A:$D,4,FALSE)</f>
        <v>1食物</v>
      </c>
      <c r="E1249" s="16">
        <f>E1245+300</f>
        <v>6700</v>
      </c>
      <c r="J1249" s="16">
        <v>1</v>
      </c>
      <c r="L1249" s="16" t="b">
        <v>1</v>
      </c>
    </row>
    <row r="1250" spans="1:12" x14ac:dyDescent="0.25">
      <c r="C1250" s="16">
        <f t="shared" si="24"/>
        <v>101</v>
      </c>
      <c r="D1250" s="16" t="str">
        <f>VLOOKUP(C1250,[1]道具配置表!$A:$D,4,FALSE)</f>
        <v>1木材</v>
      </c>
      <c r="E1250" s="16">
        <f>E1246+500</f>
        <v>10500</v>
      </c>
      <c r="J1250" s="16">
        <v>1</v>
      </c>
      <c r="L1250" s="16" t="b">
        <v>1</v>
      </c>
    </row>
    <row r="1251" spans="1:12" x14ac:dyDescent="0.25">
      <c r="C1251" s="16">
        <f t="shared" si="24"/>
        <v>103</v>
      </c>
      <c r="D1251" s="16" t="str">
        <f>VLOOKUP(C1251,[1]道具配置表!$A:$D,4,FALSE)</f>
        <v>1石头</v>
      </c>
      <c r="E1251" s="16">
        <f>E1247+500</f>
        <v>10500</v>
      </c>
      <c r="J1251" s="16">
        <v>1</v>
      </c>
      <c r="L1251" s="16" t="b">
        <v>1</v>
      </c>
    </row>
    <row r="1252" spans="1:12" x14ac:dyDescent="0.25">
      <c r="C1252" s="16">
        <f t="shared" si="24"/>
        <v>104</v>
      </c>
      <c r="D1252" s="16" t="str">
        <f>VLOOKUP(C1252,[1]道具配置表!$A:$D,4,FALSE)</f>
        <v>1黄金</v>
      </c>
      <c r="E1252" s="16">
        <f>E1248+500</f>
        <v>10500</v>
      </c>
      <c r="J1252" s="16">
        <v>1</v>
      </c>
      <c r="L1252" s="16" t="b">
        <v>1</v>
      </c>
    </row>
    <row r="1253" spans="1:12" x14ac:dyDescent="0.25">
      <c r="A1253" s="16">
        <v>1920621</v>
      </c>
      <c r="B1253" s="16" t="s">
        <v>650</v>
      </c>
      <c r="C1253" s="16">
        <f t="shared" si="24"/>
        <v>102</v>
      </c>
      <c r="D1253" s="16" t="str">
        <f>VLOOKUP(C1253,[1]道具配置表!$A:$D,4,FALSE)</f>
        <v>1食物</v>
      </c>
      <c r="E1253" s="16">
        <f>E1249+300</f>
        <v>7000</v>
      </c>
      <c r="J1253" s="16">
        <v>1</v>
      </c>
      <c r="L1253" s="16" t="b">
        <v>1</v>
      </c>
    </row>
    <row r="1254" spans="1:12" x14ac:dyDescent="0.25">
      <c r="C1254" s="16">
        <f t="shared" si="24"/>
        <v>101</v>
      </c>
      <c r="D1254" s="16" t="str">
        <f>VLOOKUP(C1254,[1]道具配置表!$A:$D,4,FALSE)</f>
        <v>1木材</v>
      </c>
      <c r="E1254" s="16">
        <f>E1250+500</f>
        <v>11000</v>
      </c>
      <c r="J1254" s="16">
        <v>1</v>
      </c>
      <c r="L1254" s="16" t="b">
        <v>1</v>
      </c>
    </row>
    <row r="1255" spans="1:12" x14ac:dyDescent="0.25">
      <c r="C1255" s="16">
        <f t="shared" si="24"/>
        <v>103</v>
      </c>
      <c r="D1255" s="16" t="str">
        <f>VLOOKUP(C1255,[1]道具配置表!$A:$D,4,FALSE)</f>
        <v>1石头</v>
      </c>
      <c r="E1255" s="16">
        <f>E1251+500</f>
        <v>11000</v>
      </c>
      <c r="J1255" s="16">
        <v>1</v>
      </c>
      <c r="L1255" s="16" t="b">
        <v>1</v>
      </c>
    </row>
    <row r="1256" spans="1:12" x14ac:dyDescent="0.25">
      <c r="C1256" s="16">
        <f t="shared" si="24"/>
        <v>104</v>
      </c>
      <c r="D1256" s="16" t="str">
        <f>VLOOKUP(C1256,[1]道具配置表!$A:$D,4,FALSE)</f>
        <v>1黄金</v>
      </c>
      <c r="E1256" s="16">
        <f>E1252+500</f>
        <v>11000</v>
      </c>
      <c r="J1256" s="16">
        <v>1</v>
      </c>
      <c r="L1256" s="16" t="b">
        <v>1</v>
      </c>
    </row>
    <row r="1257" spans="1:12" x14ac:dyDescent="0.25">
      <c r="A1257" s="16">
        <v>1920622</v>
      </c>
      <c r="B1257" s="16" t="s">
        <v>651</v>
      </c>
      <c r="C1257" s="16">
        <f t="shared" si="24"/>
        <v>102</v>
      </c>
      <c r="D1257" s="16" t="str">
        <f>VLOOKUP(C1257,[1]道具配置表!$A:$D,4,FALSE)</f>
        <v>1食物</v>
      </c>
      <c r="E1257" s="16">
        <f>E1253+300</f>
        <v>7300</v>
      </c>
      <c r="J1257" s="16">
        <v>1</v>
      </c>
      <c r="L1257" s="16" t="b">
        <v>1</v>
      </c>
    </row>
    <row r="1258" spans="1:12" x14ac:dyDescent="0.25">
      <c r="C1258" s="16">
        <f t="shared" si="24"/>
        <v>101</v>
      </c>
      <c r="D1258" s="16" t="str">
        <f>VLOOKUP(C1258,[1]道具配置表!$A:$D,4,FALSE)</f>
        <v>1木材</v>
      </c>
      <c r="E1258" s="16">
        <f>E1254+500</f>
        <v>11500</v>
      </c>
      <c r="J1258" s="16">
        <v>1</v>
      </c>
      <c r="L1258" s="16" t="b">
        <v>1</v>
      </c>
    </row>
    <row r="1259" spans="1:12" x14ac:dyDescent="0.25">
      <c r="C1259" s="16">
        <f t="shared" si="24"/>
        <v>103</v>
      </c>
      <c r="D1259" s="16" t="str">
        <f>VLOOKUP(C1259,[1]道具配置表!$A:$D,4,FALSE)</f>
        <v>1石头</v>
      </c>
      <c r="E1259" s="16">
        <f>E1255+500</f>
        <v>11500</v>
      </c>
      <c r="J1259" s="16">
        <v>1</v>
      </c>
      <c r="L1259" s="16" t="b">
        <v>1</v>
      </c>
    </row>
    <row r="1260" spans="1:12" x14ac:dyDescent="0.25">
      <c r="C1260" s="16">
        <f t="shared" si="24"/>
        <v>104</v>
      </c>
      <c r="D1260" s="16" t="str">
        <f>VLOOKUP(C1260,[1]道具配置表!$A:$D,4,FALSE)</f>
        <v>1黄金</v>
      </c>
      <c r="E1260" s="16">
        <f>E1256+500</f>
        <v>11500</v>
      </c>
      <c r="J1260" s="16">
        <v>1</v>
      </c>
      <c r="L1260" s="16" t="b">
        <v>1</v>
      </c>
    </row>
    <row r="1261" spans="1:12" x14ac:dyDescent="0.25">
      <c r="A1261" s="16">
        <v>1920623</v>
      </c>
      <c r="B1261" s="16" t="s">
        <v>652</v>
      </c>
      <c r="C1261" s="16">
        <f t="shared" si="24"/>
        <v>102</v>
      </c>
      <c r="D1261" s="16" t="str">
        <f>VLOOKUP(C1261,[1]道具配置表!$A:$D,4,FALSE)</f>
        <v>1食物</v>
      </c>
      <c r="E1261" s="16">
        <f>E1257+300</f>
        <v>7600</v>
      </c>
      <c r="J1261" s="16">
        <v>1</v>
      </c>
      <c r="L1261" s="16" t="b">
        <v>1</v>
      </c>
    </row>
    <row r="1262" spans="1:12" x14ac:dyDescent="0.25">
      <c r="C1262" s="16">
        <f t="shared" si="24"/>
        <v>101</v>
      </c>
      <c r="D1262" s="16" t="str">
        <f>VLOOKUP(C1262,[1]道具配置表!$A:$D,4,FALSE)</f>
        <v>1木材</v>
      </c>
      <c r="E1262" s="16">
        <f>E1258+500</f>
        <v>12000</v>
      </c>
      <c r="J1262" s="16">
        <v>1</v>
      </c>
      <c r="L1262" s="16" t="b">
        <v>1</v>
      </c>
    </row>
    <row r="1263" spans="1:12" x14ac:dyDescent="0.25">
      <c r="C1263" s="16">
        <f t="shared" si="24"/>
        <v>103</v>
      </c>
      <c r="D1263" s="16" t="str">
        <f>VLOOKUP(C1263,[1]道具配置表!$A:$D,4,FALSE)</f>
        <v>1石头</v>
      </c>
      <c r="E1263" s="16">
        <f>E1259+500</f>
        <v>12000</v>
      </c>
      <c r="J1263" s="16">
        <v>1</v>
      </c>
      <c r="L1263" s="16" t="b">
        <v>1</v>
      </c>
    </row>
    <row r="1264" spans="1:12" x14ac:dyDescent="0.25">
      <c r="C1264" s="16">
        <f t="shared" si="24"/>
        <v>104</v>
      </c>
      <c r="D1264" s="16" t="str">
        <f>VLOOKUP(C1264,[1]道具配置表!$A:$D,4,FALSE)</f>
        <v>1黄金</v>
      </c>
      <c r="E1264" s="16">
        <f>E1260+500</f>
        <v>12000</v>
      </c>
      <c r="J1264" s="16">
        <v>1</v>
      </c>
      <c r="L1264" s="16" t="b">
        <v>1</v>
      </c>
    </row>
    <row r="1265" spans="1:12" x14ac:dyDescent="0.25">
      <c r="A1265" s="16">
        <v>1920624</v>
      </c>
      <c r="B1265" s="16" t="s">
        <v>653</v>
      </c>
      <c r="C1265" s="16">
        <f t="shared" ref="C1265:C1328" si="25">C1261</f>
        <v>102</v>
      </c>
      <c r="D1265" s="16" t="str">
        <f>VLOOKUP(C1265,[1]道具配置表!$A:$D,4,FALSE)</f>
        <v>1食物</v>
      </c>
      <c r="E1265" s="16">
        <f>E1261+300</f>
        <v>7900</v>
      </c>
      <c r="J1265" s="16">
        <v>1</v>
      </c>
      <c r="L1265" s="16" t="b">
        <v>1</v>
      </c>
    </row>
    <row r="1266" spans="1:12" x14ac:dyDescent="0.25">
      <c r="C1266" s="16">
        <f t="shared" si="25"/>
        <v>101</v>
      </c>
      <c r="D1266" s="16" t="str">
        <f>VLOOKUP(C1266,[1]道具配置表!$A:$D,4,FALSE)</f>
        <v>1木材</v>
      </c>
      <c r="E1266" s="16">
        <f>E1262+500</f>
        <v>12500</v>
      </c>
      <c r="J1266" s="16">
        <v>1</v>
      </c>
      <c r="L1266" s="16" t="b">
        <v>1</v>
      </c>
    </row>
    <row r="1267" spans="1:12" x14ac:dyDescent="0.25">
      <c r="C1267" s="16">
        <f t="shared" si="25"/>
        <v>103</v>
      </c>
      <c r="D1267" s="16" t="str">
        <f>VLOOKUP(C1267,[1]道具配置表!$A:$D,4,FALSE)</f>
        <v>1石头</v>
      </c>
      <c r="E1267" s="16">
        <f>E1263+500</f>
        <v>12500</v>
      </c>
      <c r="J1267" s="16">
        <v>1</v>
      </c>
      <c r="L1267" s="16" t="b">
        <v>1</v>
      </c>
    </row>
    <row r="1268" spans="1:12" x14ac:dyDescent="0.25">
      <c r="C1268" s="16">
        <f t="shared" si="25"/>
        <v>104</v>
      </c>
      <c r="D1268" s="16" t="str">
        <f>VLOOKUP(C1268,[1]道具配置表!$A:$D,4,FALSE)</f>
        <v>1黄金</v>
      </c>
      <c r="E1268" s="16">
        <f>E1264+500</f>
        <v>12500</v>
      </c>
      <c r="J1268" s="16">
        <v>1</v>
      </c>
      <c r="L1268" s="16" t="b">
        <v>1</v>
      </c>
    </row>
    <row r="1269" spans="1:12" x14ac:dyDescent="0.25">
      <c r="A1269" s="16">
        <v>1920625</v>
      </c>
      <c r="B1269" s="16" t="s">
        <v>654</v>
      </c>
      <c r="C1269" s="16">
        <f t="shared" si="25"/>
        <v>102</v>
      </c>
      <c r="D1269" s="16" t="str">
        <f>VLOOKUP(C1269,[1]道具配置表!$A:$D,4,FALSE)</f>
        <v>1食物</v>
      </c>
      <c r="E1269" s="16">
        <f>E1265+300</f>
        <v>8200</v>
      </c>
      <c r="J1269" s="16">
        <v>1</v>
      </c>
      <c r="L1269" s="16" t="b">
        <v>1</v>
      </c>
    </row>
    <row r="1270" spans="1:12" x14ac:dyDescent="0.25">
      <c r="C1270" s="16">
        <f t="shared" si="25"/>
        <v>101</v>
      </c>
      <c r="D1270" s="16" t="str">
        <f>VLOOKUP(C1270,[1]道具配置表!$A:$D,4,FALSE)</f>
        <v>1木材</v>
      </c>
      <c r="E1270" s="16">
        <f>E1266+500</f>
        <v>13000</v>
      </c>
      <c r="J1270" s="16">
        <v>1</v>
      </c>
      <c r="L1270" s="16" t="b">
        <v>1</v>
      </c>
    </row>
    <row r="1271" spans="1:12" x14ac:dyDescent="0.25">
      <c r="C1271" s="16">
        <f t="shared" si="25"/>
        <v>103</v>
      </c>
      <c r="D1271" s="16" t="str">
        <f>VLOOKUP(C1271,[1]道具配置表!$A:$D,4,FALSE)</f>
        <v>1石头</v>
      </c>
      <c r="E1271" s="16">
        <f>E1267+500</f>
        <v>13000</v>
      </c>
      <c r="J1271" s="16">
        <v>1</v>
      </c>
      <c r="L1271" s="16" t="b">
        <v>1</v>
      </c>
    </row>
    <row r="1272" spans="1:12" x14ac:dyDescent="0.25">
      <c r="C1272" s="16">
        <f t="shared" si="25"/>
        <v>104</v>
      </c>
      <c r="D1272" s="16" t="str">
        <f>VLOOKUP(C1272,[1]道具配置表!$A:$D,4,FALSE)</f>
        <v>1黄金</v>
      </c>
      <c r="E1272" s="16">
        <f>E1268+500</f>
        <v>13000</v>
      </c>
      <c r="J1272" s="16">
        <v>1</v>
      </c>
      <c r="L1272" s="16" t="b">
        <v>1</v>
      </c>
    </row>
    <row r="1273" spans="1:12" x14ac:dyDescent="0.25">
      <c r="A1273" s="16">
        <v>1920626</v>
      </c>
      <c r="B1273" s="16" t="s">
        <v>655</v>
      </c>
      <c r="C1273" s="16">
        <f t="shared" si="25"/>
        <v>102</v>
      </c>
      <c r="D1273" s="16" t="str">
        <f>VLOOKUP(C1273,[1]道具配置表!$A:$D,4,FALSE)</f>
        <v>1食物</v>
      </c>
      <c r="E1273" s="16">
        <f>E1269+300</f>
        <v>8500</v>
      </c>
      <c r="J1273" s="16">
        <v>1</v>
      </c>
      <c r="L1273" s="16" t="b">
        <v>1</v>
      </c>
    </row>
    <row r="1274" spans="1:12" x14ac:dyDescent="0.25">
      <c r="C1274" s="16">
        <f t="shared" si="25"/>
        <v>101</v>
      </c>
      <c r="D1274" s="16" t="str">
        <f>VLOOKUP(C1274,[1]道具配置表!$A:$D,4,FALSE)</f>
        <v>1木材</v>
      </c>
      <c r="E1274" s="16">
        <f>E1270+500</f>
        <v>13500</v>
      </c>
      <c r="J1274" s="16">
        <v>1</v>
      </c>
      <c r="L1274" s="16" t="b">
        <v>1</v>
      </c>
    </row>
    <row r="1275" spans="1:12" x14ac:dyDescent="0.25">
      <c r="C1275" s="16">
        <f t="shared" si="25"/>
        <v>103</v>
      </c>
      <c r="D1275" s="16" t="str">
        <f>VLOOKUP(C1275,[1]道具配置表!$A:$D,4,FALSE)</f>
        <v>1石头</v>
      </c>
      <c r="E1275" s="16">
        <f>E1271+500</f>
        <v>13500</v>
      </c>
      <c r="J1275" s="16">
        <v>1</v>
      </c>
      <c r="L1275" s="16" t="b">
        <v>1</v>
      </c>
    </row>
    <row r="1276" spans="1:12" x14ac:dyDescent="0.25">
      <c r="C1276" s="16">
        <f t="shared" si="25"/>
        <v>104</v>
      </c>
      <c r="D1276" s="16" t="str">
        <f>VLOOKUP(C1276,[1]道具配置表!$A:$D,4,FALSE)</f>
        <v>1黄金</v>
      </c>
      <c r="E1276" s="16">
        <f>E1272+500</f>
        <v>13500</v>
      </c>
      <c r="J1276" s="16">
        <v>1</v>
      </c>
      <c r="L1276" s="16" t="b">
        <v>1</v>
      </c>
    </row>
    <row r="1277" spans="1:12" x14ac:dyDescent="0.25">
      <c r="A1277" s="16">
        <v>1920627</v>
      </c>
      <c r="B1277" s="16" t="s">
        <v>656</v>
      </c>
      <c r="C1277" s="16">
        <f t="shared" si="25"/>
        <v>102</v>
      </c>
      <c r="D1277" s="16" t="str">
        <f>VLOOKUP(C1277,[1]道具配置表!$A:$D,4,FALSE)</f>
        <v>1食物</v>
      </c>
      <c r="E1277" s="16">
        <f>E1273+300</f>
        <v>8800</v>
      </c>
      <c r="J1277" s="16">
        <v>1</v>
      </c>
      <c r="L1277" s="16" t="b">
        <v>1</v>
      </c>
    </row>
    <row r="1278" spans="1:12" x14ac:dyDescent="0.25">
      <c r="C1278" s="16">
        <f t="shared" si="25"/>
        <v>101</v>
      </c>
      <c r="D1278" s="16" t="str">
        <f>VLOOKUP(C1278,[1]道具配置表!$A:$D,4,FALSE)</f>
        <v>1木材</v>
      </c>
      <c r="E1278" s="16">
        <f>E1274+500</f>
        <v>14000</v>
      </c>
      <c r="J1278" s="16">
        <v>1</v>
      </c>
      <c r="L1278" s="16" t="b">
        <v>1</v>
      </c>
    </row>
    <row r="1279" spans="1:12" x14ac:dyDescent="0.25">
      <c r="C1279" s="16">
        <f t="shared" si="25"/>
        <v>103</v>
      </c>
      <c r="D1279" s="16" t="str">
        <f>VLOOKUP(C1279,[1]道具配置表!$A:$D,4,FALSE)</f>
        <v>1石头</v>
      </c>
      <c r="E1279" s="16">
        <f>E1275+500</f>
        <v>14000</v>
      </c>
      <c r="J1279" s="16">
        <v>1</v>
      </c>
      <c r="L1279" s="16" t="b">
        <v>1</v>
      </c>
    </row>
    <row r="1280" spans="1:12" x14ac:dyDescent="0.25">
      <c r="C1280" s="16">
        <f t="shared" si="25"/>
        <v>104</v>
      </c>
      <c r="D1280" s="16" t="str">
        <f>VLOOKUP(C1280,[1]道具配置表!$A:$D,4,FALSE)</f>
        <v>1黄金</v>
      </c>
      <c r="E1280" s="16">
        <f>E1276+500</f>
        <v>14000</v>
      </c>
      <c r="J1280" s="16">
        <v>1</v>
      </c>
      <c r="L1280" s="16" t="b">
        <v>1</v>
      </c>
    </row>
    <row r="1281" spans="1:12" x14ac:dyDescent="0.25">
      <c r="A1281" s="16">
        <v>1920701</v>
      </c>
      <c r="B1281" s="16" t="s">
        <v>657</v>
      </c>
      <c r="C1281" s="16">
        <f t="shared" si="25"/>
        <v>102</v>
      </c>
      <c r="D1281" s="16" t="str">
        <f>VLOOKUP(C1281,[1]道具配置表!$A:$D,4,FALSE)</f>
        <v>1食物</v>
      </c>
      <c r="E1281" s="16">
        <v>1000</v>
      </c>
      <c r="J1281" s="16">
        <v>1</v>
      </c>
      <c r="L1281" s="16" t="b">
        <v>1</v>
      </c>
    </row>
    <row r="1282" spans="1:12" x14ac:dyDescent="0.25">
      <c r="C1282" s="16">
        <f t="shared" si="25"/>
        <v>101</v>
      </c>
      <c r="D1282" s="16" t="str">
        <f>VLOOKUP(C1282,[1]道具配置表!$A:$D,4,FALSE)</f>
        <v>1木材</v>
      </c>
      <c r="E1282" s="16">
        <v>1000</v>
      </c>
      <c r="J1282" s="16">
        <v>1</v>
      </c>
      <c r="L1282" s="16" t="b">
        <v>1</v>
      </c>
    </row>
    <row r="1283" spans="1:12" x14ac:dyDescent="0.25">
      <c r="C1283" s="16">
        <f t="shared" si="25"/>
        <v>103</v>
      </c>
      <c r="D1283" s="16" t="str">
        <f>VLOOKUP(C1283,[1]道具配置表!$A:$D,4,FALSE)</f>
        <v>1石头</v>
      </c>
      <c r="E1283" s="16">
        <v>1000</v>
      </c>
      <c r="J1283" s="16">
        <v>1</v>
      </c>
      <c r="L1283" s="16" t="b">
        <v>1</v>
      </c>
    </row>
    <row r="1284" spans="1:12" x14ac:dyDescent="0.25">
      <c r="C1284" s="16">
        <f t="shared" si="25"/>
        <v>104</v>
      </c>
      <c r="D1284" s="16" t="str">
        <f>VLOOKUP(C1284,[1]道具配置表!$A:$D,4,FALSE)</f>
        <v>1黄金</v>
      </c>
      <c r="E1284" s="16">
        <v>1000</v>
      </c>
      <c r="J1284" s="16">
        <v>1</v>
      </c>
      <c r="L1284" s="16" t="b">
        <v>1</v>
      </c>
    </row>
    <row r="1285" spans="1:12" x14ac:dyDescent="0.25">
      <c r="A1285" s="16">
        <v>1920702</v>
      </c>
      <c r="B1285" s="16" t="s">
        <v>658</v>
      </c>
      <c r="C1285" s="16">
        <f t="shared" si="25"/>
        <v>102</v>
      </c>
      <c r="D1285" s="16" t="str">
        <f>VLOOKUP(C1285,[1]道具配置表!$A:$D,4,FALSE)</f>
        <v>1食物</v>
      </c>
      <c r="E1285" s="16">
        <f>E1281+300</f>
        <v>1300</v>
      </c>
      <c r="J1285" s="16">
        <v>1</v>
      </c>
      <c r="L1285" s="16" t="b">
        <v>1</v>
      </c>
    </row>
    <row r="1286" spans="1:12" x14ac:dyDescent="0.25">
      <c r="C1286" s="16">
        <f t="shared" si="25"/>
        <v>101</v>
      </c>
      <c r="D1286" s="16" t="str">
        <f>VLOOKUP(C1286,[1]道具配置表!$A:$D,4,FALSE)</f>
        <v>1木材</v>
      </c>
      <c r="E1286" s="16">
        <f>E1282+500</f>
        <v>1500</v>
      </c>
      <c r="J1286" s="16">
        <v>1</v>
      </c>
      <c r="L1286" s="16" t="b">
        <v>1</v>
      </c>
    </row>
    <row r="1287" spans="1:12" x14ac:dyDescent="0.25">
      <c r="C1287" s="16">
        <f t="shared" si="25"/>
        <v>103</v>
      </c>
      <c r="D1287" s="16" t="str">
        <f>VLOOKUP(C1287,[1]道具配置表!$A:$D,4,FALSE)</f>
        <v>1石头</v>
      </c>
      <c r="E1287" s="16">
        <f>E1283+500</f>
        <v>1500</v>
      </c>
      <c r="J1287" s="16">
        <v>1</v>
      </c>
      <c r="L1287" s="16" t="b">
        <v>1</v>
      </c>
    </row>
    <row r="1288" spans="1:12" x14ac:dyDescent="0.25">
      <c r="C1288" s="16">
        <f t="shared" si="25"/>
        <v>104</v>
      </c>
      <c r="D1288" s="16" t="str">
        <f>VLOOKUP(C1288,[1]道具配置表!$A:$D,4,FALSE)</f>
        <v>1黄金</v>
      </c>
      <c r="E1288" s="16">
        <f>E1284+500</f>
        <v>1500</v>
      </c>
      <c r="J1288" s="16">
        <v>1</v>
      </c>
      <c r="L1288" s="16" t="b">
        <v>1</v>
      </c>
    </row>
    <row r="1289" spans="1:12" x14ac:dyDescent="0.25">
      <c r="A1289" s="16">
        <v>1920703</v>
      </c>
      <c r="B1289" s="16" t="s">
        <v>659</v>
      </c>
      <c r="C1289" s="16">
        <f t="shared" si="25"/>
        <v>102</v>
      </c>
      <c r="D1289" s="16" t="str">
        <f>VLOOKUP(C1289,[1]道具配置表!$A:$D,4,FALSE)</f>
        <v>1食物</v>
      </c>
      <c r="E1289" s="16">
        <f>E1285+300</f>
        <v>1600</v>
      </c>
      <c r="J1289" s="16">
        <v>1</v>
      </c>
      <c r="L1289" s="16" t="b">
        <v>1</v>
      </c>
    </row>
    <row r="1290" spans="1:12" x14ac:dyDescent="0.25">
      <c r="C1290" s="16">
        <f t="shared" si="25"/>
        <v>101</v>
      </c>
      <c r="D1290" s="16" t="str">
        <f>VLOOKUP(C1290,[1]道具配置表!$A:$D,4,FALSE)</f>
        <v>1木材</v>
      </c>
      <c r="E1290" s="16">
        <f>E1286+500</f>
        <v>2000</v>
      </c>
      <c r="J1290" s="16">
        <v>1</v>
      </c>
      <c r="L1290" s="16" t="b">
        <v>1</v>
      </c>
    </row>
    <row r="1291" spans="1:12" x14ac:dyDescent="0.25">
      <c r="C1291" s="16">
        <f t="shared" si="25"/>
        <v>103</v>
      </c>
      <c r="D1291" s="16" t="str">
        <f>VLOOKUP(C1291,[1]道具配置表!$A:$D,4,FALSE)</f>
        <v>1石头</v>
      </c>
      <c r="E1291" s="16">
        <f>E1287+500</f>
        <v>2000</v>
      </c>
      <c r="J1291" s="16">
        <v>1</v>
      </c>
      <c r="L1291" s="16" t="b">
        <v>1</v>
      </c>
    </row>
    <row r="1292" spans="1:12" x14ac:dyDescent="0.25">
      <c r="C1292" s="16">
        <f t="shared" si="25"/>
        <v>104</v>
      </c>
      <c r="D1292" s="16" t="str">
        <f>VLOOKUP(C1292,[1]道具配置表!$A:$D,4,FALSE)</f>
        <v>1黄金</v>
      </c>
      <c r="E1292" s="16">
        <f>E1288+500</f>
        <v>2000</v>
      </c>
      <c r="J1292" s="16">
        <v>1</v>
      </c>
      <c r="L1292" s="16" t="b">
        <v>1</v>
      </c>
    </row>
    <row r="1293" spans="1:12" x14ac:dyDescent="0.25">
      <c r="A1293" s="16">
        <v>1920704</v>
      </c>
      <c r="B1293" s="16" t="s">
        <v>660</v>
      </c>
      <c r="C1293" s="16">
        <f t="shared" si="25"/>
        <v>102</v>
      </c>
      <c r="D1293" s="16" t="str">
        <f>VLOOKUP(C1293,[1]道具配置表!$A:$D,4,FALSE)</f>
        <v>1食物</v>
      </c>
      <c r="E1293" s="16">
        <f>E1289+300</f>
        <v>1900</v>
      </c>
      <c r="J1293" s="16">
        <v>1</v>
      </c>
      <c r="L1293" s="16" t="b">
        <v>1</v>
      </c>
    </row>
    <row r="1294" spans="1:12" x14ac:dyDescent="0.25">
      <c r="C1294" s="16">
        <f t="shared" si="25"/>
        <v>101</v>
      </c>
      <c r="D1294" s="16" t="str">
        <f>VLOOKUP(C1294,[1]道具配置表!$A:$D,4,FALSE)</f>
        <v>1木材</v>
      </c>
      <c r="E1294" s="16">
        <f>E1290+500</f>
        <v>2500</v>
      </c>
      <c r="J1294" s="16">
        <v>1</v>
      </c>
      <c r="L1294" s="16" t="b">
        <v>1</v>
      </c>
    </row>
    <row r="1295" spans="1:12" x14ac:dyDescent="0.25">
      <c r="C1295" s="16">
        <f t="shared" si="25"/>
        <v>103</v>
      </c>
      <c r="D1295" s="16" t="str">
        <f>VLOOKUP(C1295,[1]道具配置表!$A:$D,4,FALSE)</f>
        <v>1石头</v>
      </c>
      <c r="E1295" s="16">
        <f>E1291+500</f>
        <v>2500</v>
      </c>
      <c r="J1295" s="16">
        <v>1</v>
      </c>
      <c r="L1295" s="16" t="b">
        <v>1</v>
      </c>
    </row>
    <row r="1296" spans="1:12" x14ac:dyDescent="0.25">
      <c r="C1296" s="16">
        <f t="shared" si="25"/>
        <v>104</v>
      </c>
      <c r="D1296" s="16" t="str">
        <f>VLOOKUP(C1296,[1]道具配置表!$A:$D,4,FALSE)</f>
        <v>1黄金</v>
      </c>
      <c r="E1296" s="16">
        <f>E1292+500</f>
        <v>2500</v>
      </c>
      <c r="J1296" s="16">
        <v>1</v>
      </c>
      <c r="L1296" s="16" t="b">
        <v>1</v>
      </c>
    </row>
    <row r="1297" spans="1:12" x14ac:dyDescent="0.25">
      <c r="A1297" s="16">
        <v>1920705</v>
      </c>
      <c r="B1297" s="16" t="s">
        <v>661</v>
      </c>
      <c r="C1297" s="16">
        <f t="shared" si="25"/>
        <v>102</v>
      </c>
      <c r="D1297" s="16" t="str">
        <f>VLOOKUP(C1297,[1]道具配置表!$A:$D,4,FALSE)</f>
        <v>1食物</v>
      </c>
      <c r="E1297" s="16">
        <f>E1293+300</f>
        <v>2200</v>
      </c>
      <c r="J1297" s="16">
        <v>1</v>
      </c>
      <c r="L1297" s="16" t="b">
        <v>1</v>
      </c>
    </row>
    <row r="1298" spans="1:12" x14ac:dyDescent="0.25">
      <c r="C1298" s="16">
        <f t="shared" si="25"/>
        <v>101</v>
      </c>
      <c r="D1298" s="16" t="str">
        <f>VLOOKUP(C1298,[1]道具配置表!$A:$D,4,FALSE)</f>
        <v>1木材</v>
      </c>
      <c r="E1298" s="16">
        <f>E1294+500</f>
        <v>3000</v>
      </c>
      <c r="J1298" s="16">
        <v>1</v>
      </c>
      <c r="L1298" s="16" t="b">
        <v>1</v>
      </c>
    </row>
    <row r="1299" spans="1:12" x14ac:dyDescent="0.25">
      <c r="C1299" s="16">
        <f t="shared" si="25"/>
        <v>103</v>
      </c>
      <c r="D1299" s="16" t="str">
        <f>VLOOKUP(C1299,[1]道具配置表!$A:$D,4,FALSE)</f>
        <v>1石头</v>
      </c>
      <c r="E1299" s="16">
        <f>E1295+500</f>
        <v>3000</v>
      </c>
      <c r="J1299" s="16">
        <v>1</v>
      </c>
      <c r="L1299" s="16" t="b">
        <v>1</v>
      </c>
    </row>
    <row r="1300" spans="1:12" x14ac:dyDescent="0.25">
      <c r="C1300" s="16">
        <f t="shared" si="25"/>
        <v>104</v>
      </c>
      <c r="D1300" s="16" t="str">
        <f>VLOOKUP(C1300,[1]道具配置表!$A:$D,4,FALSE)</f>
        <v>1黄金</v>
      </c>
      <c r="E1300" s="16">
        <f>E1296+500</f>
        <v>3000</v>
      </c>
      <c r="J1300" s="16">
        <v>1</v>
      </c>
      <c r="L1300" s="16" t="b">
        <v>1</v>
      </c>
    </row>
    <row r="1301" spans="1:12" x14ac:dyDescent="0.25">
      <c r="A1301" s="16">
        <v>1920706</v>
      </c>
      <c r="B1301" s="16" t="s">
        <v>662</v>
      </c>
      <c r="C1301" s="16">
        <f t="shared" si="25"/>
        <v>102</v>
      </c>
      <c r="D1301" s="16" t="str">
        <f>VLOOKUP(C1301,[1]道具配置表!$A:$D,4,FALSE)</f>
        <v>1食物</v>
      </c>
      <c r="E1301" s="16">
        <f>E1297+300</f>
        <v>2500</v>
      </c>
      <c r="J1301" s="16">
        <v>1</v>
      </c>
      <c r="L1301" s="16" t="b">
        <v>1</v>
      </c>
    </row>
    <row r="1302" spans="1:12" x14ac:dyDescent="0.25">
      <c r="C1302" s="16">
        <f t="shared" si="25"/>
        <v>101</v>
      </c>
      <c r="D1302" s="16" t="str">
        <f>VLOOKUP(C1302,[1]道具配置表!$A:$D,4,FALSE)</f>
        <v>1木材</v>
      </c>
      <c r="E1302" s="16">
        <f>E1298+500</f>
        <v>3500</v>
      </c>
      <c r="J1302" s="16">
        <v>1</v>
      </c>
      <c r="L1302" s="16" t="b">
        <v>1</v>
      </c>
    </row>
    <row r="1303" spans="1:12" x14ac:dyDescent="0.25">
      <c r="C1303" s="16">
        <f t="shared" si="25"/>
        <v>103</v>
      </c>
      <c r="D1303" s="16" t="str">
        <f>VLOOKUP(C1303,[1]道具配置表!$A:$D,4,FALSE)</f>
        <v>1石头</v>
      </c>
      <c r="E1303" s="16">
        <f>E1299+500</f>
        <v>3500</v>
      </c>
      <c r="J1303" s="16">
        <v>1</v>
      </c>
      <c r="L1303" s="16" t="b">
        <v>1</v>
      </c>
    </row>
    <row r="1304" spans="1:12" x14ac:dyDescent="0.25">
      <c r="C1304" s="16">
        <f t="shared" si="25"/>
        <v>104</v>
      </c>
      <c r="D1304" s="16" t="str">
        <f>VLOOKUP(C1304,[1]道具配置表!$A:$D,4,FALSE)</f>
        <v>1黄金</v>
      </c>
      <c r="E1304" s="16">
        <f>E1300+500</f>
        <v>3500</v>
      </c>
      <c r="J1304" s="16">
        <v>1</v>
      </c>
      <c r="L1304" s="16" t="b">
        <v>1</v>
      </c>
    </row>
    <row r="1305" spans="1:12" x14ac:dyDescent="0.25">
      <c r="A1305" s="16">
        <v>1920707</v>
      </c>
      <c r="B1305" s="16" t="s">
        <v>663</v>
      </c>
      <c r="C1305" s="16">
        <f t="shared" si="25"/>
        <v>102</v>
      </c>
      <c r="D1305" s="16" t="str">
        <f>VLOOKUP(C1305,[1]道具配置表!$A:$D,4,FALSE)</f>
        <v>1食物</v>
      </c>
      <c r="E1305" s="16">
        <f>E1301+300</f>
        <v>2800</v>
      </c>
      <c r="J1305" s="16">
        <v>1</v>
      </c>
      <c r="L1305" s="16" t="b">
        <v>1</v>
      </c>
    </row>
    <row r="1306" spans="1:12" x14ac:dyDescent="0.25">
      <c r="C1306" s="16">
        <f t="shared" si="25"/>
        <v>101</v>
      </c>
      <c r="D1306" s="16" t="str">
        <f>VLOOKUP(C1306,[1]道具配置表!$A:$D,4,FALSE)</f>
        <v>1木材</v>
      </c>
      <c r="E1306" s="16">
        <f>E1302+500</f>
        <v>4000</v>
      </c>
      <c r="J1306" s="16">
        <v>1</v>
      </c>
      <c r="L1306" s="16" t="b">
        <v>1</v>
      </c>
    </row>
    <row r="1307" spans="1:12" x14ac:dyDescent="0.25">
      <c r="C1307" s="16">
        <f t="shared" si="25"/>
        <v>103</v>
      </c>
      <c r="D1307" s="16" t="str">
        <f>VLOOKUP(C1307,[1]道具配置表!$A:$D,4,FALSE)</f>
        <v>1石头</v>
      </c>
      <c r="E1307" s="16">
        <f>E1303+500</f>
        <v>4000</v>
      </c>
      <c r="J1307" s="16">
        <v>1</v>
      </c>
      <c r="L1307" s="16" t="b">
        <v>1</v>
      </c>
    </row>
    <row r="1308" spans="1:12" x14ac:dyDescent="0.25">
      <c r="C1308" s="16">
        <f t="shared" si="25"/>
        <v>104</v>
      </c>
      <c r="D1308" s="16" t="str">
        <f>VLOOKUP(C1308,[1]道具配置表!$A:$D,4,FALSE)</f>
        <v>1黄金</v>
      </c>
      <c r="E1308" s="16">
        <f>E1304+500</f>
        <v>4000</v>
      </c>
      <c r="J1308" s="16">
        <v>1</v>
      </c>
      <c r="L1308" s="16" t="b">
        <v>1</v>
      </c>
    </row>
    <row r="1309" spans="1:12" x14ac:dyDescent="0.25">
      <c r="A1309" s="16">
        <v>1920708</v>
      </c>
      <c r="B1309" s="16" t="s">
        <v>664</v>
      </c>
      <c r="C1309" s="16">
        <f t="shared" si="25"/>
        <v>102</v>
      </c>
      <c r="D1309" s="16" t="str">
        <f>VLOOKUP(C1309,[1]道具配置表!$A:$D,4,FALSE)</f>
        <v>1食物</v>
      </c>
      <c r="E1309" s="16">
        <f>E1305+300</f>
        <v>3100</v>
      </c>
      <c r="J1309" s="16">
        <v>1</v>
      </c>
      <c r="L1309" s="16" t="b">
        <v>1</v>
      </c>
    </row>
    <row r="1310" spans="1:12" x14ac:dyDescent="0.25">
      <c r="C1310" s="16">
        <f t="shared" si="25"/>
        <v>101</v>
      </c>
      <c r="D1310" s="16" t="str">
        <f>VLOOKUP(C1310,[1]道具配置表!$A:$D,4,FALSE)</f>
        <v>1木材</v>
      </c>
      <c r="E1310" s="16">
        <f>E1306+500</f>
        <v>4500</v>
      </c>
      <c r="J1310" s="16">
        <v>1</v>
      </c>
      <c r="L1310" s="16" t="b">
        <v>1</v>
      </c>
    </row>
    <row r="1311" spans="1:12" x14ac:dyDescent="0.25">
      <c r="C1311" s="16">
        <f t="shared" si="25"/>
        <v>103</v>
      </c>
      <c r="D1311" s="16" t="str">
        <f>VLOOKUP(C1311,[1]道具配置表!$A:$D,4,FALSE)</f>
        <v>1石头</v>
      </c>
      <c r="E1311" s="16">
        <f>E1307+500</f>
        <v>4500</v>
      </c>
      <c r="J1311" s="16">
        <v>1</v>
      </c>
      <c r="L1311" s="16" t="b">
        <v>1</v>
      </c>
    </row>
    <row r="1312" spans="1:12" x14ac:dyDescent="0.25">
      <c r="C1312" s="16">
        <f t="shared" si="25"/>
        <v>104</v>
      </c>
      <c r="D1312" s="16" t="str">
        <f>VLOOKUP(C1312,[1]道具配置表!$A:$D,4,FALSE)</f>
        <v>1黄金</v>
      </c>
      <c r="E1312" s="16">
        <f>E1308+500</f>
        <v>4500</v>
      </c>
      <c r="J1312" s="16">
        <v>1</v>
      </c>
      <c r="L1312" s="16" t="b">
        <v>1</v>
      </c>
    </row>
    <row r="1313" spans="1:12" x14ac:dyDescent="0.25">
      <c r="A1313" s="16">
        <v>1920709</v>
      </c>
      <c r="B1313" s="16" t="s">
        <v>665</v>
      </c>
      <c r="C1313" s="16">
        <f t="shared" si="25"/>
        <v>102</v>
      </c>
      <c r="D1313" s="16" t="str">
        <f>VLOOKUP(C1313,[1]道具配置表!$A:$D,4,FALSE)</f>
        <v>1食物</v>
      </c>
      <c r="E1313" s="16">
        <f>E1309+300</f>
        <v>3400</v>
      </c>
      <c r="J1313" s="16">
        <v>1</v>
      </c>
      <c r="L1313" s="16" t="b">
        <v>1</v>
      </c>
    </row>
    <row r="1314" spans="1:12" x14ac:dyDescent="0.25">
      <c r="C1314" s="16">
        <f t="shared" si="25"/>
        <v>101</v>
      </c>
      <c r="D1314" s="16" t="str">
        <f>VLOOKUP(C1314,[1]道具配置表!$A:$D,4,FALSE)</f>
        <v>1木材</v>
      </c>
      <c r="E1314" s="16">
        <f>E1310+500</f>
        <v>5000</v>
      </c>
      <c r="J1314" s="16">
        <v>1</v>
      </c>
      <c r="L1314" s="16" t="b">
        <v>1</v>
      </c>
    </row>
    <row r="1315" spans="1:12" x14ac:dyDescent="0.25">
      <c r="C1315" s="16">
        <f t="shared" si="25"/>
        <v>103</v>
      </c>
      <c r="D1315" s="16" t="str">
        <f>VLOOKUP(C1315,[1]道具配置表!$A:$D,4,FALSE)</f>
        <v>1石头</v>
      </c>
      <c r="E1315" s="16">
        <f>E1311+500</f>
        <v>5000</v>
      </c>
      <c r="J1315" s="16">
        <v>1</v>
      </c>
      <c r="L1315" s="16" t="b">
        <v>1</v>
      </c>
    </row>
    <row r="1316" spans="1:12" x14ac:dyDescent="0.25">
      <c r="C1316" s="16">
        <f t="shared" si="25"/>
        <v>104</v>
      </c>
      <c r="D1316" s="16" t="str">
        <f>VLOOKUP(C1316,[1]道具配置表!$A:$D,4,FALSE)</f>
        <v>1黄金</v>
      </c>
      <c r="E1316" s="16">
        <f>E1312+500</f>
        <v>5000</v>
      </c>
      <c r="J1316" s="16">
        <v>1</v>
      </c>
      <c r="L1316" s="16" t="b">
        <v>1</v>
      </c>
    </row>
    <row r="1317" spans="1:12" x14ac:dyDescent="0.25">
      <c r="A1317" s="16">
        <v>1920710</v>
      </c>
      <c r="B1317" s="16" t="s">
        <v>666</v>
      </c>
      <c r="C1317" s="16">
        <f t="shared" si="25"/>
        <v>102</v>
      </c>
      <c r="D1317" s="16" t="str">
        <f>VLOOKUP(C1317,[1]道具配置表!$A:$D,4,FALSE)</f>
        <v>1食物</v>
      </c>
      <c r="E1317" s="16">
        <f>E1313+300</f>
        <v>3700</v>
      </c>
      <c r="J1317" s="16">
        <v>1</v>
      </c>
      <c r="L1317" s="16" t="b">
        <v>1</v>
      </c>
    </row>
    <row r="1318" spans="1:12" x14ac:dyDescent="0.25">
      <c r="C1318" s="16">
        <f t="shared" si="25"/>
        <v>101</v>
      </c>
      <c r="D1318" s="16" t="str">
        <f>VLOOKUP(C1318,[1]道具配置表!$A:$D,4,FALSE)</f>
        <v>1木材</v>
      </c>
      <c r="E1318" s="16">
        <f>E1314+500</f>
        <v>5500</v>
      </c>
      <c r="J1318" s="16">
        <v>1</v>
      </c>
      <c r="L1318" s="16" t="b">
        <v>1</v>
      </c>
    </row>
    <row r="1319" spans="1:12" x14ac:dyDescent="0.25">
      <c r="C1319" s="16">
        <f t="shared" si="25"/>
        <v>103</v>
      </c>
      <c r="D1319" s="16" t="str">
        <f>VLOOKUP(C1319,[1]道具配置表!$A:$D,4,FALSE)</f>
        <v>1石头</v>
      </c>
      <c r="E1319" s="16">
        <f>E1315+500</f>
        <v>5500</v>
      </c>
      <c r="J1319" s="16">
        <v>1</v>
      </c>
      <c r="L1319" s="16" t="b">
        <v>1</v>
      </c>
    </row>
    <row r="1320" spans="1:12" x14ac:dyDescent="0.25">
      <c r="C1320" s="16">
        <f t="shared" si="25"/>
        <v>104</v>
      </c>
      <c r="D1320" s="16" t="str">
        <f>VLOOKUP(C1320,[1]道具配置表!$A:$D,4,FALSE)</f>
        <v>1黄金</v>
      </c>
      <c r="E1320" s="16">
        <f>E1316+500</f>
        <v>5500</v>
      </c>
      <c r="J1320" s="16">
        <v>1</v>
      </c>
      <c r="L1320" s="16" t="b">
        <v>1</v>
      </c>
    </row>
    <row r="1321" spans="1:12" x14ac:dyDescent="0.25">
      <c r="A1321" s="16">
        <v>1920711</v>
      </c>
      <c r="B1321" s="16" t="s">
        <v>667</v>
      </c>
      <c r="C1321" s="16">
        <f t="shared" si="25"/>
        <v>102</v>
      </c>
      <c r="D1321" s="16" t="str">
        <f>VLOOKUP(C1321,[1]道具配置表!$A:$D,4,FALSE)</f>
        <v>1食物</v>
      </c>
      <c r="E1321" s="16">
        <f>E1317+300</f>
        <v>4000</v>
      </c>
      <c r="J1321" s="16">
        <v>1</v>
      </c>
      <c r="L1321" s="16" t="b">
        <v>1</v>
      </c>
    </row>
    <row r="1322" spans="1:12" x14ac:dyDescent="0.25">
      <c r="C1322" s="16">
        <f t="shared" si="25"/>
        <v>101</v>
      </c>
      <c r="D1322" s="16" t="str">
        <f>VLOOKUP(C1322,[1]道具配置表!$A:$D,4,FALSE)</f>
        <v>1木材</v>
      </c>
      <c r="E1322" s="16">
        <f>E1318+500</f>
        <v>6000</v>
      </c>
      <c r="J1322" s="16">
        <v>1</v>
      </c>
      <c r="L1322" s="16" t="b">
        <v>1</v>
      </c>
    </row>
    <row r="1323" spans="1:12" x14ac:dyDescent="0.25">
      <c r="C1323" s="16">
        <f t="shared" si="25"/>
        <v>103</v>
      </c>
      <c r="D1323" s="16" t="str">
        <f>VLOOKUP(C1323,[1]道具配置表!$A:$D,4,FALSE)</f>
        <v>1石头</v>
      </c>
      <c r="E1323" s="16">
        <f>E1319+500</f>
        <v>6000</v>
      </c>
      <c r="J1323" s="16">
        <v>1</v>
      </c>
      <c r="L1323" s="16" t="b">
        <v>1</v>
      </c>
    </row>
    <row r="1324" spans="1:12" x14ac:dyDescent="0.25">
      <c r="C1324" s="16">
        <f t="shared" si="25"/>
        <v>104</v>
      </c>
      <c r="D1324" s="16" t="str">
        <f>VLOOKUP(C1324,[1]道具配置表!$A:$D,4,FALSE)</f>
        <v>1黄金</v>
      </c>
      <c r="E1324" s="16">
        <f>E1320+500</f>
        <v>6000</v>
      </c>
      <c r="J1324" s="16">
        <v>1</v>
      </c>
      <c r="L1324" s="16" t="b">
        <v>1</v>
      </c>
    </row>
    <row r="1325" spans="1:12" x14ac:dyDescent="0.25">
      <c r="A1325" s="16">
        <v>1920712</v>
      </c>
      <c r="B1325" s="16" t="s">
        <v>668</v>
      </c>
      <c r="C1325" s="16">
        <f t="shared" si="25"/>
        <v>102</v>
      </c>
      <c r="D1325" s="16" t="str">
        <f>VLOOKUP(C1325,[1]道具配置表!$A:$D,4,FALSE)</f>
        <v>1食物</v>
      </c>
      <c r="E1325" s="16">
        <f>E1321+300</f>
        <v>4300</v>
      </c>
      <c r="J1325" s="16">
        <v>1</v>
      </c>
      <c r="L1325" s="16" t="b">
        <v>1</v>
      </c>
    </row>
    <row r="1326" spans="1:12" x14ac:dyDescent="0.25">
      <c r="C1326" s="16">
        <f t="shared" si="25"/>
        <v>101</v>
      </c>
      <c r="D1326" s="16" t="str">
        <f>VLOOKUP(C1326,[1]道具配置表!$A:$D,4,FALSE)</f>
        <v>1木材</v>
      </c>
      <c r="E1326" s="16">
        <f>E1322+500</f>
        <v>6500</v>
      </c>
      <c r="J1326" s="16">
        <v>1</v>
      </c>
      <c r="L1326" s="16" t="b">
        <v>1</v>
      </c>
    </row>
    <row r="1327" spans="1:12" x14ac:dyDescent="0.25">
      <c r="C1327" s="16">
        <f t="shared" si="25"/>
        <v>103</v>
      </c>
      <c r="D1327" s="16" t="str">
        <f>VLOOKUP(C1327,[1]道具配置表!$A:$D,4,FALSE)</f>
        <v>1石头</v>
      </c>
      <c r="E1327" s="16">
        <f>E1323+500</f>
        <v>6500</v>
      </c>
      <c r="J1327" s="16">
        <v>1</v>
      </c>
      <c r="L1327" s="16" t="b">
        <v>1</v>
      </c>
    </row>
    <row r="1328" spans="1:12" x14ac:dyDescent="0.25">
      <c r="C1328" s="16">
        <f t="shared" si="25"/>
        <v>104</v>
      </c>
      <c r="D1328" s="16" t="str">
        <f>VLOOKUP(C1328,[1]道具配置表!$A:$D,4,FALSE)</f>
        <v>1黄金</v>
      </c>
      <c r="E1328" s="16">
        <f>E1324+500</f>
        <v>6500</v>
      </c>
      <c r="J1328" s="16">
        <v>1</v>
      </c>
      <c r="L1328" s="16" t="b">
        <v>1</v>
      </c>
    </row>
    <row r="1329" spans="1:12" x14ac:dyDescent="0.25">
      <c r="A1329" s="16">
        <v>1920713</v>
      </c>
      <c r="B1329" s="16" t="s">
        <v>669</v>
      </c>
      <c r="C1329" s="16">
        <f t="shared" ref="C1329:C1392" si="26">C1325</f>
        <v>102</v>
      </c>
      <c r="D1329" s="16" t="str">
        <f>VLOOKUP(C1329,[1]道具配置表!$A:$D,4,FALSE)</f>
        <v>1食物</v>
      </c>
      <c r="E1329" s="16">
        <f>E1325+300</f>
        <v>4600</v>
      </c>
      <c r="J1329" s="16">
        <v>1</v>
      </c>
      <c r="L1329" s="16" t="b">
        <v>1</v>
      </c>
    </row>
    <row r="1330" spans="1:12" x14ac:dyDescent="0.25">
      <c r="C1330" s="16">
        <f t="shared" si="26"/>
        <v>101</v>
      </c>
      <c r="D1330" s="16" t="str">
        <f>VLOOKUP(C1330,[1]道具配置表!$A:$D,4,FALSE)</f>
        <v>1木材</v>
      </c>
      <c r="E1330" s="16">
        <f>E1326+500</f>
        <v>7000</v>
      </c>
      <c r="J1330" s="16">
        <v>1</v>
      </c>
      <c r="L1330" s="16" t="b">
        <v>1</v>
      </c>
    </row>
    <row r="1331" spans="1:12" x14ac:dyDescent="0.25">
      <c r="C1331" s="16">
        <f t="shared" si="26"/>
        <v>103</v>
      </c>
      <c r="D1331" s="16" t="str">
        <f>VLOOKUP(C1331,[1]道具配置表!$A:$D,4,FALSE)</f>
        <v>1石头</v>
      </c>
      <c r="E1331" s="16">
        <f>E1327+500</f>
        <v>7000</v>
      </c>
      <c r="J1331" s="16">
        <v>1</v>
      </c>
      <c r="L1331" s="16" t="b">
        <v>1</v>
      </c>
    </row>
    <row r="1332" spans="1:12" x14ac:dyDescent="0.25">
      <c r="C1332" s="16">
        <f t="shared" si="26"/>
        <v>104</v>
      </c>
      <c r="D1332" s="16" t="str">
        <f>VLOOKUP(C1332,[1]道具配置表!$A:$D,4,FALSE)</f>
        <v>1黄金</v>
      </c>
      <c r="E1332" s="16">
        <f>E1328+500</f>
        <v>7000</v>
      </c>
      <c r="J1332" s="16">
        <v>1</v>
      </c>
      <c r="L1332" s="16" t="b">
        <v>1</v>
      </c>
    </row>
    <row r="1333" spans="1:12" x14ac:dyDescent="0.25">
      <c r="A1333" s="16">
        <v>1920714</v>
      </c>
      <c r="B1333" s="16" t="s">
        <v>670</v>
      </c>
      <c r="C1333" s="16">
        <f t="shared" si="26"/>
        <v>102</v>
      </c>
      <c r="D1333" s="16" t="str">
        <f>VLOOKUP(C1333,[1]道具配置表!$A:$D,4,FALSE)</f>
        <v>1食物</v>
      </c>
      <c r="E1333" s="16">
        <f>E1329+300</f>
        <v>4900</v>
      </c>
      <c r="J1333" s="16">
        <v>1</v>
      </c>
      <c r="L1333" s="16" t="b">
        <v>1</v>
      </c>
    </row>
    <row r="1334" spans="1:12" x14ac:dyDescent="0.25">
      <c r="C1334" s="16">
        <f t="shared" si="26"/>
        <v>101</v>
      </c>
      <c r="D1334" s="16" t="str">
        <f>VLOOKUP(C1334,[1]道具配置表!$A:$D,4,FALSE)</f>
        <v>1木材</v>
      </c>
      <c r="E1334" s="16">
        <f>E1330+500</f>
        <v>7500</v>
      </c>
      <c r="J1334" s="16">
        <v>1</v>
      </c>
      <c r="L1334" s="16" t="b">
        <v>1</v>
      </c>
    </row>
    <row r="1335" spans="1:12" x14ac:dyDescent="0.25">
      <c r="C1335" s="16">
        <f t="shared" si="26"/>
        <v>103</v>
      </c>
      <c r="D1335" s="16" t="str">
        <f>VLOOKUP(C1335,[1]道具配置表!$A:$D,4,FALSE)</f>
        <v>1石头</v>
      </c>
      <c r="E1335" s="16">
        <f>E1331+500</f>
        <v>7500</v>
      </c>
      <c r="J1335" s="16">
        <v>1</v>
      </c>
      <c r="L1335" s="16" t="b">
        <v>1</v>
      </c>
    </row>
    <row r="1336" spans="1:12" x14ac:dyDescent="0.25">
      <c r="C1336" s="16">
        <f t="shared" si="26"/>
        <v>104</v>
      </c>
      <c r="D1336" s="16" t="str">
        <f>VLOOKUP(C1336,[1]道具配置表!$A:$D,4,FALSE)</f>
        <v>1黄金</v>
      </c>
      <c r="E1336" s="16">
        <f>E1332+500</f>
        <v>7500</v>
      </c>
      <c r="J1336" s="16">
        <v>1</v>
      </c>
      <c r="L1336" s="16" t="b">
        <v>1</v>
      </c>
    </row>
    <row r="1337" spans="1:12" x14ac:dyDescent="0.25">
      <c r="A1337" s="16">
        <v>1920715</v>
      </c>
      <c r="B1337" s="16" t="s">
        <v>671</v>
      </c>
      <c r="C1337" s="16">
        <f t="shared" si="26"/>
        <v>102</v>
      </c>
      <c r="D1337" s="16" t="str">
        <f>VLOOKUP(C1337,[1]道具配置表!$A:$D,4,FALSE)</f>
        <v>1食物</v>
      </c>
      <c r="E1337" s="16">
        <f>E1333+300</f>
        <v>5200</v>
      </c>
      <c r="J1337" s="16">
        <v>1</v>
      </c>
      <c r="L1337" s="16" t="b">
        <v>1</v>
      </c>
    </row>
    <row r="1338" spans="1:12" x14ac:dyDescent="0.25">
      <c r="C1338" s="16">
        <f t="shared" si="26"/>
        <v>101</v>
      </c>
      <c r="D1338" s="16" t="str">
        <f>VLOOKUP(C1338,[1]道具配置表!$A:$D,4,FALSE)</f>
        <v>1木材</v>
      </c>
      <c r="E1338" s="16">
        <f>E1334+500</f>
        <v>8000</v>
      </c>
      <c r="J1338" s="16">
        <v>1</v>
      </c>
      <c r="L1338" s="16" t="b">
        <v>1</v>
      </c>
    </row>
    <row r="1339" spans="1:12" x14ac:dyDescent="0.25">
      <c r="C1339" s="16">
        <f t="shared" si="26"/>
        <v>103</v>
      </c>
      <c r="D1339" s="16" t="str">
        <f>VLOOKUP(C1339,[1]道具配置表!$A:$D,4,FALSE)</f>
        <v>1石头</v>
      </c>
      <c r="E1339" s="16">
        <f>E1335+500</f>
        <v>8000</v>
      </c>
      <c r="J1339" s="16">
        <v>1</v>
      </c>
      <c r="L1339" s="16" t="b">
        <v>1</v>
      </c>
    </row>
    <row r="1340" spans="1:12" x14ac:dyDescent="0.25">
      <c r="C1340" s="16">
        <f t="shared" si="26"/>
        <v>104</v>
      </c>
      <c r="D1340" s="16" t="str">
        <f>VLOOKUP(C1340,[1]道具配置表!$A:$D,4,FALSE)</f>
        <v>1黄金</v>
      </c>
      <c r="E1340" s="16">
        <f>E1336+500</f>
        <v>8000</v>
      </c>
      <c r="J1340" s="16">
        <v>1</v>
      </c>
      <c r="L1340" s="16" t="b">
        <v>1</v>
      </c>
    </row>
    <row r="1341" spans="1:12" x14ac:dyDescent="0.25">
      <c r="A1341" s="16">
        <v>1920716</v>
      </c>
      <c r="B1341" s="16" t="s">
        <v>672</v>
      </c>
      <c r="C1341" s="16">
        <f t="shared" si="26"/>
        <v>102</v>
      </c>
      <c r="D1341" s="16" t="str">
        <f>VLOOKUP(C1341,[1]道具配置表!$A:$D,4,FALSE)</f>
        <v>1食物</v>
      </c>
      <c r="E1341" s="16">
        <f>E1337+300</f>
        <v>5500</v>
      </c>
      <c r="J1341" s="16">
        <v>1</v>
      </c>
      <c r="L1341" s="16" t="b">
        <v>1</v>
      </c>
    </row>
    <row r="1342" spans="1:12" x14ac:dyDescent="0.25">
      <c r="C1342" s="16">
        <f t="shared" si="26"/>
        <v>101</v>
      </c>
      <c r="D1342" s="16" t="str">
        <f>VLOOKUP(C1342,[1]道具配置表!$A:$D,4,FALSE)</f>
        <v>1木材</v>
      </c>
      <c r="E1342" s="16">
        <f>E1338+500</f>
        <v>8500</v>
      </c>
      <c r="J1342" s="16">
        <v>1</v>
      </c>
      <c r="L1342" s="16" t="b">
        <v>1</v>
      </c>
    </row>
    <row r="1343" spans="1:12" x14ac:dyDescent="0.25">
      <c r="C1343" s="16">
        <f t="shared" si="26"/>
        <v>103</v>
      </c>
      <c r="D1343" s="16" t="str">
        <f>VLOOKUP(C1343,[1]道具配置表!$A:$D,4,FALSE)</f>
        <v>1石头</v>
      </c>
      <c r="E1343" s="16">
        <f>E1339+500</f>
        <v>8500</v>
      </c>
      <c r="J1343" s="16">
        <v>1</v>
      </c>
      <c r="L1343" s="16" t="b">
        <v>1</v>
      </c>
    </row>
    <row r="1344" spans="1:12" x14ac:dyDescent="0.25">
      <c r="C1344" s="16">
        <f t="shared" si="26"/>
        <v>104</v>
      </c>
      <c r="D1344" s="16" t="str">
        <f>VLOOKUP(C1344,[1]道具配置表!$A:$D,4,FALSE)</f>
        <v>1黄金</v>
      </c>
      <c r="E1344" s="16">
        <f>E1340+500</f>
        <v>8500</v>
      </c>
      <c r="J1344" s="16">
        <v>1</v>
      </c>
      <c r="L1344" s="16" t="b">
        <v>1</v>
      </c>
    </row>
    <row r="1345" spans="1:12" x14ac:dyDescent="0.25">
      <c r="A1345" s="16">
        <v>1920717</v>
      </c>
      <c r="B1345" s="16" t="s">
        <v>673</v>
      </c>
      <c r="C1345" s="16">
        <f t="shared" si="26"/>
        <v>102</v>
      </c>
      <c r="D1345" s="16" t="str">
        <f>VLOOKUP(C1345,[1]道具配置表!$A:$D,4,FALSE)</f>
        <v>1食物</v>
      </c>
      <c r="E1345" s="16">
        <f>E1341+300</f>
        <v>5800</v>
      </c>
      <c r="J1345" s="16">
        <v>1</v>
      </c>
      <c r="L1345" s="16" t="b">
        <v>1</v>
      </c>
    </row>
    <row r="1346" spans="1:12" x14ac:dyDescent="0.25">
      <c r="C1346" s="16">
        <f t="shared" si="26"/>
        <v>101</v>
      </c>
      <c r="D1346" s="16" t="str">
        <f>VLOOKUP(C1346,[1]道具配置表!$A:$D,4,FALSE)</f>
        <v>1木材</v>
      </c>
      <c r="E1346" s="16">
        <f>E1342+500</f>
        <v>9000</v>
      </c>
      <c r="J1346" s="16">
        <v>1</v>
      </c>
      <c r="L1346" s="16" t="b">
        <v>1</v>
      </c>
    </row>
    <row r="1347" spans="1:12" x14ac:dyDescent="0.25">
      <c r="C1347" s="16">
        <f t="shared" si="26"/>
        <v>103</v>
      </c>
      <c r="D1347" s="16" t="str">
        <f>VLOOKUP(C1347,[1]道具配置表!$A:$D,4,FALSE)</f>
        <v>1石头</v>
      </c>
      <c r="E1347" s="16">
        <f>E1343+500</f>
        <v>9000</v>
      </c>
      <c r="J1347" s="16">
        <v>1</v>
      </c>
      <c r="L1347" s="16" t="b">
        <v>1</v>
      </c>
    </row>
    <row r="1348" spans="1:12" x14ac:dyDescent="0.25">
      <c r="C1348" s="16">
        <f t="shared" si="26"/>
        <v>104</v>
      </c>
      <c r="D1348" s="16" t="str">
        <f>VLOOKUP(C1348,[1]道具配置表!$A:$D,4,FALSE)</f>
        <v>1黄金</v>
      </c>
      <c r="E1348" s="16">
        <f>E1344+500</f>
        <v>9000</v>
      </c>
      <c r="J1348" s="16">
        <v>1</v>
      </c>
      <c r="L1348" s="16" t="b">
        <v>1</v>
      </c>
    </row>
    <row r="1349" spans="1:12" x14ac:dyDescent="0.25">
      <c r="A1349" s="16">
        <v>1920718</v>
      </c>
      <c r="B1349" s="16" t="s">
        <v>674</v>
      </c>
      <c r="C1349" s="16">
        <f t="shared" si="26"/>
        <v>102</v>
      </c>
      <c r="D1349" s="16" t="str">
        <f>VLOOKUP(C1349,[1]道具配置表!$A:$D,4,FALSE)</f>
        <v>1食物</v>
      </c>
      <c r="E1349" s="16">
        <f>E1345+300</f>
        <v>6100</v>
      </c>
      <c r="J1349" s="16">
        <v>1</v>
      </c>
      <c r="L1349" s="16" t="b">
        <v>1</v>
      </c>
    </row>
    <row r="1350" spans="1:12" x14ac:dyDescent="0.25">
      <c r="C1350" s="16">
        <f t="shared" si="26"/>
        <v>101</v>
      </c>
      <c r="D1350" s="16" t="str">
        <f>VLOOKUP(C1350,[1]道具配置表!$A:$D,4,FALSE)</f>
        <v>1木材</v>
      </c>
      <c r="E1350" s="16">
        <f>E1346+500</f>
        <v>9500</v>
      </c>
      <c r="J1350" s="16">
        <v>1</v>
      </c>
      <c r="L1350" s="16" t="b">
        <v>1</v>
      </c>
    </row>
    <row r="1351" spans="1:12" x14ac:dyDescent="0.25">
      <c r="C1351" s="16">
        <f t="shared" si="26"/>
        <v>103</v>
      </c>
      <c r="D1351" s="16" t="str">
        <f>VLOOKUP(C1351,[1]道具配置表!$A:$D,4,FALSE)</f>
        <v>1石头</v>
      </c>
      <c r="E1351" s="16">
        <f>E1347+500</f>
        <v>9500</v>
      </c>
      <c r="J1351" s="16">
        <v>1</v>
      </c>
      <c r="L1351" s="16" t="b">
        <v>1</v>
      </c>
    </row>
    <row r="1352" spans="1:12" x14ac:dyDescent="0.25">
      <c r="C1352" s="16">
        <f t="shared" si="26"/>
        <v>104</v>
      </c>
      <c r="D1352" s="16" t="str">
        <f>VLOOKUP(C1352,[1]道具配置表!$A:$D,4,FALSE)</f>
        <v>1黄金</v>
      </c>
      <c r="E1352" s="16">
        <f>E1348+500</f>
        <v>9500</v>
      </c>
      <c r="J1352" s="16">
        <v>1</v>
      </c>
      <c r="L1352" s="16" t="b">
        <v>1</v>
      </c>
    </row>
    <row r="1353" spans="1:12" x14ac:dyDescent="0.25">
      <c r="A1353" s="16">
        <v>1920719</v>
      </c>
      <c r="B1353" s="16" t="s">
        <v>675</v>
      </c>
      <c r="C1353" s="16">
        <f t="shared" si="26"/>
        <v>102</v>
      </c>
      <c r="D1353" s="16" t="str">
        <f>VLOOKUP(C1353,[1]道具配置表!$A:$D,4,FALSE)</f>
        <v>1食物</v>
      </c>
      <c r="E1353" s="16">
        <f>E1349+300</f>
        <v>6400</v>
      </c>
      <c r="J1353" s="16">
        <v>1</v>
      </c>
      <c r="L1353" s="16" t="b">
        <v>1</v>
      </c>
    </row>
    <row r="1354" spans="1:12" x14ac:dyDescent="0.25">
      <c r="C1354" s="16">
        <f t="shared" si="26"/>
        <v>101</v>
      </c>
      <c r="D1354" s="16" t="str">
        <f>VLOOKUP(C1354,[1]道具配置表!$A:$D,4,FALSE)</f>
        <v>1木材</v>
      </c>
      <c r="E1354" s="16">
        <f>E1350+500</f>
        <v>10000</v>
      </c>
      <c r="J1354" s="16">
        <v>1</v>
      </c>
      <c r="L1354" s="16" t="b">
        <v>1</v>
      </c>
    </row>
    <row r="1355" spans="1:12" x14ac:dyDescent="0.25">
      <c r="C1355" s="16">
        <f t="shared" si="26"/>
        <v>103</v>
      </c>
      <c r="D1355" s="16" t="str">
        <f>VLOOKUP(C1355,[1]道具配置表!$A:$D,4,FALSE)</f>
        <v>1石头</v>
      </c>
      <c r="E1355" s="16">
        <f>E1351+500</f>
        <v>10000</v>
      </c>
      <c r="J1355" s="16">
        <v>1</v>
      </c>
      <c r="L1355" s="16" t="b">
        <v>1</v>
      </c>
    </row>
    <row r="1356" spans="1:12" x14ac:dyDescent="0.25">
      <c r="C1356" s="16">
        <f t="shared" si="26"/>
        <v>104</v>
      </c>
      <c r="D1356" s="16" t="str">
        <f>VLOOKUP(C1356,[1]道具配置表!$A:$D,4,FALSE)</f>
        <v>1黄金</v>
      </c>
      <c r="E1356" s="16">
        <f>E1352+500</f>
        <v>10000</v>
      </c>
      <c r="J1356" s="16">
        <v>1</v>
      </c>
      <c r="L1356" s="16" t="b">
        <v>1</v>
      </c>
    </row>
    <row r="1357" spans="1:12" x14ac:dyDescent="0.25">
      <c r="A1357" s="16">
        <v>1920720</v>
      </c>
      <c r="B1357" s="16" t="s">
        <v>676</v>
      </c>
      <c r="C1357" s="16">
        <f t="shared" si="26"/>
        <v>102</v>
      </c>
      <c r="D1357" s="16" t="str">
        <f>VLOOKUP(C1357,[1]道具配置表!$A:$D,4,FALSE)</f>
        <v>1食物</v>
      </c>
      <c r="E1357" s="16">
        <f>E1353+300</f>
        <v>6700</v>
      </c>
      <c r="J1357" s="16">
        <v>1</v>
      </c>
      <c r="L1357" s="16" t="b">
        <v>1</v>
      </c>
    </row>
    <row r="1358" spans="1:12" x14ac:dyDescent="0.25">
      <c r="C1358" s="16">
        <f t="shared" si="26"/>
        <v>101</v>
      </c>
      <c r="D1358" s="16" t="str">
        <f>VLOOKUP(C1358,[1]道具配置表!$A:$D,4,FALSE)</f>
        <v>1木材</v>
      </c>
      <c r="E1358" s="16">
        <f>E1354+500</f>
        <v>10500</v>
      </c>
      <c r="J1358" s="16">
        <v>1</v>
      </c>
      <c r="L1358" s="16" t="b">
        <v>1</v>
      </c>
    </row>
    <row r="1359" spans="1:12" x14ac:dyDescent="0.25">
      <c r="C1359" s="16">
        <f t="shared" si="26"/>
        <v>103</v>
      </c>
      <c r="D1359" s="16" t="str">
        <f>VLOOKUP(C1359,[1]道具配置表!$A:$D,4,FALSE)</f>
        <v>1石头</v>
      </c>
      <c r="E1359" s="16">
        <f>E1355+500</f>
        <v>10500</v>
      </c>
      <c r="J1359" s="16">
        <v>1</v>
      </c>
      <c r="L1359" s="16" t="b">
        <v>1</v>
      </c>
    </row>
    <row r="1360" spans="1:12" x14ac:dyDescent="0.25">
      <c r="C1360" s="16">
        <f t="shared" si="26"/>
        <v>104</v>
      </c>
      <c r="D1360" s="16" t="str">
        <f>VLOOKUP(C1360,[1]道具配置表!$A:$D,4,FALSE)</f>
        <v>1黄金</v>
      </c>
      <c r="E1360" s="16">
        <f>E1356+500</f>
        <v>10500</v>
      </c>
      <c r="J1360" s="16">
        <v>1</v>
      </c>
      <c r="L1360" s="16" t="b">
        <v>1</v>
      </c>
    </row>
    <row r="1361" spans="1:12" x14ac:dyDescent="0.25">
      <c r="A1361" s="16">
        <v>1920721</v>
      </c>
      <c r="B1361" s="16" t="s">
        <v>677</v>
      </c>
      <c r="C1361" s="16">
        <f t="shared" si="26"/>
        <v>102</v>
      </c>
      <c r="D1361" s="16" t="str">
        <f>VLOOKUP(C1361,[1]道具配置表!$A:$D,4,FALSE)</f>
        <v>1食物</v>
      </c>
      <c r="E1361" s="16">
        <f>E1357+300</f>
        <v>7000</v>
      </c>
      <c r="J1361" s="16">
        <v>1</v>
      </c>
      <c r="L1361" s="16" t="b">
        <v>1</v>
      </c>
    </row>
    <row r="1362" spans="1:12" x14ac:dyDescent="0.25">
      <c r="C1362" s="16">
        <f t="shared" si="26"/>
        <v>101</v>
      </c>
      <c r="D1362" s="16" t="str">
        <f>VLOOKUP(C1362,[1]道具配置表!$A:$D,4,FALSE)</f>
        <v>1木材</v>
      </c>
      <c r="E1362" s="16">
        <f>E1358+500</f>
        <v>11000</v>
      </c>
      <c r="J1362" s="16">
        <v>1</v>
      </c>
      <c r="L1362" s="16" t="b">
        <v>1</v>
      </c>
    </row>
    <row r="1363" spans="1:12" x14ac:dyDescent="0.25">
      <c r="C1363" s="16">
        <f t="shared" si="26"/>
        <v>103</v>
      </c>
      <c r="D1363" s="16" t="str">
        <f>VLOOKUP(C1363,[1]道具配置表!$A:$D,4,FALSE)</f>
        <v>1石头</v>
      </c>
      <c r="E1363" s="16">
        <f>E1359+500</f>
        <v>11000</v>
      </c>
      <c r="J1363" s="16">
        <v>1</v>
      </c>
      <c r="L1363" s="16" t="b">
        <v>1</v>
      </c>
    </row>
    <row r="1364" spans="1:12" x14ac:dyDescent="0.25">
      <c r="C1364" s="16">
        <f t="shared" si="26"/>
        <v>104</v>
      </c>
      <c r="D1364" s="16" t="str">
        <f>VLOOKUP(C1364,[1]道具配置表!$A:$D,4,FALSE)</f>
        <v>1黄金</v>
      </c>
      <c r="E1364" s="16">
        <f>E1360+500</f>
        <v>11000</v>
      </c>
      <c r="J1364" s="16">
        <v>1</v>
      </c>
      <c r="L1364" s="16" t="b">
        <v>1</v>
      </c>
    </row>
    <row r="1365" spans="1:12" x14ac:dyDescent="0.25">
      <c r="A1365" s="16">
        <v>1920722</v>
      </c>
      <c r="B1365" s="16" t="s">
        <v>678</v>
      </c>
      <c r="C1365" s="16">
        <f t="shared" si="26"/>
        <v>102</v>
      </c>
      <c r="D1365" s="16" t="str">
        <f>VLOOKUP(C1365,[1]道具配置表!$A:$D,4,FALSE)</f>
        <v>1食物</v>
      </c>
      <c r="E1365" s="16">
        <f>E1361+300</f>
        <v>7300</v>
      </c>
      <c r="J1365" s="16">
        <v>1</v>
      </c>
      <c r="L1365" s="16" t="b">
        <v>1</v>
      </c>
    </row>
    <row r="1366" spans="1:12" x14ac:dyDescent="0.25">
      <c r="C1366" s="16">
        <f t="shared" si="26"/>
        <v>101</v>
      </c>
      <c r="D1366" s="16" t="str">
        <f>VLOOKUP(C1366,[1]道具配置表!$A:$D,4,FALSE)</f>
        <v>1木材</v>
      </c>
      <c r="E1366" s="16">
        <f>E1362+500</f>
        <v>11500</v>
      </c>
      <c r="J1366" s="16">
        <v>1</v>
      </c>
      <c r="L1366" s="16" t="b">
        <v>1</v>
      </c>
    </row>
    <row r="1367" spans="1:12" x14ac:dyDescent="0.25">
      <c r="C1367" s="16">
        <f t="shared" si="26"/>
        <v>103</v>
      </c>
      <c r="D1367" s="16" t="str">
        <f>VLOOKUP(C1367,[1]道具配置表!$A:$D,4,FALSE)</f>
        <v>1石头</v>
      </c>
      <c r="E1367" s="16">
        <f>E1363+500</f>
        <v>11500</v>
      </c>
      <c r="J1367" s="16">
        <v>1</v>
      </c>
      <c r="L1367" s="16" t="b">
        <v>1</v>
      </c>
    </row>
    <row r="1368" spans="1:12" x14ac:dyDescent="0.25">
      <c r="C1368" s="16">
        <f t="shared" si="26"/>
        <v>104</v>
      </c>
      <c r="D1368" s="16" t="str">
        <f>VLOOKUP(C1368,[1]道具配置表!$A:$D,4,FALSE)</f>
        <v>1黄金</v>
      </c>
      <c r="E1368" s="16">
        <f>E1364+500</f>
        <v>11500</v>
      </c>
      <c r="J1368" s="16">
        <v>1</v>
      </c>
      <c r="L1368" s="16" t="b">
        <v>1</v>
      </c>
    </row>
    <row r="1369" spans="1:12" x14ac:dyDescent="0.25">
      <c r="A1369" s="16">
        <v>1920723</v>
      </c>
      <c r="B1369" s="16" t="s">
        <v>679</v>
      </c>
      <c r="C1369" s="16">
        <f t="shared" si="26"/>
        <v>102</v>
      </c>
      <c r="D1369" s="16" t="str">
        <f>VLOOKUP(C1369,[1]道具配置表!$A:$D,4,FALSE)</f>
        <v>1食物</v>
      </c>
      <c r="E1369" s="16">
        <f>E1365+300</f>
        <v>7600</v>
      </c>
      <c r="J1369" s="16">
        <v>1</v>
      </c>
      <c r="L1369" s="16" t="b">
        <v>1</v>
      </c>
    </row>
    <row r="1370" spans="1:12" x14ac:dyDescent="0.25">
      <c r="C1370" s="16">
        <f t="shared" si="26"/>
        <v>101</v>
      </c>
      <c r="D1370" s="16" t="str">
        <f>VLOOKUP(C1370,[1]道具配置表!$A:$D,4,FALSE)</f>
        <v>1木材</v>
      </c>
      <c r="E1370" s="16">
        <f>E1366+500</f>
        <v>12000</v>
      </c>
      <c r="J1370" s="16">
        <v>1</v>
      </c>
      <c r="L1370" s="16" t="b">
        <v>1</v>
      </c>
    </row>
    <row r="1371" spans="1:12" x14ac:dyDescent="0.25">
      <c r="C1371" s="16">
        <f t="shared" si="26"/>
        <v>103</v>
      </c>
      <c r="D1371" s="16" t="str">
        <f>VLOOKUP(C1371,[1]道具配置表!$A:$D,4,FALSE)</f>
        <v>1石头</v>
      </c>
      <c r="E1371" s="16">
        <f>E1367+500</f>
        <v>12000</v>
      </c>
      <c r="J1371" s="16">
        <v>1</v>
      </c>
      <c r="L1371" s="16" t="b">
        <v>1</v>
      </c>
    </row>
    <row r="1372" spans="1:12" x14ac:dyDescent="0.25">
      <c r="C1372" s="16">
        <f t="shared" si="26"/>
        <v>104</v>
      </c>
      <c r="D1372" s="16" t="str">
        <f>VLOOKUP(C1372,[1]道具配置表!$A:$D,4,FALSE)</f>
        <v>1黄金</v>
      </c>
      <c r="E1372" s="16">
        <f>E1368+500</f>
        <v>12000</v>
      </c>
      <c r="J1372" s="16">
        <v>1</v>
      </c>
      <c r="L1372" s="16" t="b">
        <v>1</v>
      </c>
    </row>
    <row r="1373" spans="1:12" x14ac:dyDescent="0.25">
      <c r="A1373" s="16">
        <v>1920724</v>
      </c>
      <c r="B1373" s="16" t="s">
        <v>680</v>
      </c>
      <c r="C1373" s="16">
        <f t="shared" si="26"/>
        <v>102</v>
      </c>
      <c r="D1373" s="16" t="str">
        <f>VLOOKUP(C1373,[1]道具配置表!$A:$D,4,FALSE)</f>
        <v>1食物</v>
      </c>
      <c r="E1373" s="16">
        <f>E1369+300</f>
        <v>7900</v>
      </c>
      <c r="J1373" s="16">
        <v>1</v>
      </c>
      <c r="L1373" s="16" t="b">
        <v>1</v>
      </c>
    </row>
    <row r="1374" spans="1:12" x14ac:dyDescent="0.25">
      <c r="C1374" s="16">
        <f t="shared" si="26"/>
        <v>101</v>
      </c>
      <c r="D1374" s="16" t="str">
        <f>VLOOKUP(C1374,[1]道具配置表!$A:$D,4,FALSE)</f>
        <v>1木材</v>
      </c>
      <c r="E1374" s="16">
        <f>E1370+500</f>
        <v>12500</v>
      </c>
      <c r="J1374" s="16">
        <v>1</v>
      </c>
      <c r="L1374" s="16" t="b">
        <v>1</v>
      </c>
    </row>
    <row r="1375" spans="1:12" x14ac:dyDescent="0.25">
      <c r="C1375" s="16">
        <f t="shared" si="26"/>
        <v>103</v>
      </c>
      <c r="D1375" s="16" t="str">
        <f>VLOOKUP(C1375,[1]道具配置表!$A:$D,4,FALSE)</f>
        <v>1石头</v>
      </c>
      <c r="E1375" s="16">
        <f>E1371+500</f>
        <v>12500</v>
      </c>
      <c r="J1375" s="16">
        <v>1</v>
      </c>
      <c r="L1375" s="16" t="b">
        <v>1</v>
      </c>
    </row>
    <row r="1376" spans="1:12" x14ac:dyDescent="0.25">
      <c r="C1376" s="16">
        <f t="shared" si="26"/>
        <v>104</v>
      </c>
      <c r="D1376" s="16" t="str">
        <f>VLOOKUP(C1376,[1]道具配置表!$A:$D,4,FALSE)</f>
        <v>1黄金</v>
      </c>
      <c r="E1376" s="16">
        <f>E1372+500</f>
        <v>12500</v>
      </c>
      <c r="J1376" s="16">
        <v>1</v>
      </c>
      <c r="L1376" s="16" t="b">
        <v>1</v>
      </c>
    </row>
    <row r="1377" spans="1:12" x14ac:dyDescent="0.25">
      <c r="A1377" s="16">
        <v>1920801</v>
      </c>
      <c r="B1377" s="16" t="s">
        <v>681</v>
      </c>
      <c r="C1377" s="16">
        <f t="shared" si="26"/>
        <v>102</v>
      </c>
      <c r="D1377" s="16" t="str">
        <f>VLOOKUP(C1377,[1]道具配置表!$A:$D,4,FALSE)</f>
        <v>1食物</v>
      </c>
      <c r="E1377" s="16">
        <v>4600</v>
      </c>
      <c r="J1377" s="16">
        <v>1</v>
      </c>
      <c r="L1377" s="16" t="b">
        <v>1</v>
      </c>
    </row>
    <row r="1378" spans="1:12" x14ac:dyDescent="0.25">
      <c r="C1378" s="16">
        <f t="shared" si="26"/>
        <v>101</v>
      </c>
      <c r="D1378" s="16" t="str">
        <f>VLOOKUP(C1378,[1]道具配置表!$A:$D,4,FALSE)</f>
        <v>1木材</v>
      </c>
      <c r="E1378" s="16">
        <v>7000</v>
      </c>
      <c r="J1378" s="16">
        <v>1</v>
      </c>
      <c r="L1378" s="16" t="b">
        <v>1</v>
      </c>
    </row>
    <row r="1379" spans="1:12" x14ac:dyDescent="0.25">
      <c r="C1379" s="16">
        <f t="shared" si="26"/>
        <v>103</v>
      </c>
      <c r="D1379" s="16" t="str">
        <f>VLOOKUP(C1379,[1]道具配置表!$A:$D,4,FALSE)</f>
        <v>1石头</v>
      </c>
      <c r="E1379" s="16">
        <v>7000</v>
      </c>
      <c r="J1379" s="16">
        <v>1</v>
      </c>
      <c r="L1379" s="16" t="b">
        <v>1</v>
      </c>
    </row>
    <row r="1380" spans="1:12" x14ac:dyDescent="0.25">
      <c r="C1380" s="16">
        <f t="shared" si="26"/>
        <v>104</v>
      </c>
      <c r="D1380" s="16" t="str">
        <f>VLOOKUP(C1380,[1]道具配置表!$A:$D,4,FALSE)</f>
        <v>1黄金</v>
      </c>
      <c r="E1380" s="16">
        <v>7000</v>
      </c>
      <c r="J1380" s="16">
        <v>1</v>
      </c>
      <c r="L1380" s="16" t="b">
        <v>1</v>
      </c>
    </row>
    <row r="1381" spans="1:12" x14ac:dyDescent="0.25">
      <c r="A1381" s="16">
        <v>1920802</v>
      </c>
      <c r="B1381" s="16" t="s">
        <v>682</v>
      </c>
      <c r="C1381" s="16">
        <f t="shared" si="26"/>
        <v>102</v>
      </c>
      <c r="D1381" s="16" t="str">
        <f>VLOOKUP(C1381,[1]道具配置表!$A:$D,4,FALSE)</f>
        <v>1食物</v>
      </c>
      <c r="E1381" s="16">
        <f>E1377+300</f>
        <v>4900</v>
      </c>
      <c r="J1381" s="16">
        <v>1</v>
      </c>
      <c r="L1381" s="16" t="b">
        <v>1</v>
      </c>
    </row>
    <row r="1382" spans="1:12" x14ac:dyDescent="0.25">
      <c r="C1382" s="16">
        <f t="shared" si="26"/>
        <v>101</v>
      </c>
      <c r="D1382" s="16" t="str">
        <f>VLOOKUP(C1382,[1]道具配置表!$A:$D,4,FALSE)</f>
        <v>1木材</v>
      </c>
      <c r="E1382" s="16">
        <f>E1378+500</f>
        <v>7500</v>
      </c>
      <c r="J1382" s="16">
        <v>1</v>
      </c>
      <c r="L1382" s="16" t="b">
        <v>1</v>
      </c>
    </row>
    <row r="1383" spans="1:12" x14ac:dyDescent="0.25">
      <c r="C1383" s="16">
        <f t="shared" si="26"/>
        <v>103</v>
      </c>
      <c r="D1383" s="16" t="str">
        <f>VLOOKUP(C1383,[1]道具配置表!$A:$D,4,FALSE)</f>
        <v>1石头</v>
      </c>
      <c r="E1383" s="16">
        <f>E1379+500</f>
        <v>7500</v>
      </c>
      <c r="J1383" s="16">
        <v>1</v>
      </c>
      <c r="L1383" s="16" t="b">
        <v>1</v>
      </c>
    </row>
    <row r="1384" spans="1:12" x14ac:dyDescent="0.25">
      <c r="C1384" s="16">
        <f t="shared" si="26"/>
        <v>104</v>
      </c>
      <c r="D1384" s="16" t="str">
        <f>VLOOKUP(C1384,[1]道具配置表!$A:$D,4,FALSE)</f>
        <v>1黄金</v>
      </c>
      <c r="E1384" s="16">
        <f>E1380+500</f>
        <v>7500</v>
      </c>
      <c r="J1384" s="16">
        <v>1</v>
      </c>
      <c r="L1384" s="16" t="b">
        <v>1</v>
      </c>
    </row>
    <row r="1385" spans="1:12" x14ac:dyDescent="0.25">
      <c r="A1385" s="16">
        <v>1920803</v>
      </c>
      <c r="B1385" s="16" t="s">
        <v>683</v>
      </c>
      <c r="C1385" s="16">
        <f t="shared" si="26"/>
        <v>102</v>
      </c>
      <c r="D1385" s="16" t="str">
        <f>VLOOKUP(C1385,[1]道具配置表!$A:$D,4,FALSE)</f>
        <v>1食物</v>
      </c>
      <c r="E1385" s="16">
        <f>E1381+300</f>
        <v>5200</v>
      </c>
      <c r="J1385" s="16">
        <v>1</v>
      </c>
      <c r="L1385" s="16" t="b">
        <v>1</v>
      </c>
    </row>
    <row r="1386" spans="1:12" x14ac:dyDescent="0.25">
      <c r="C1386" s="16">
        <f t="shared" si="26"/>
        <v>101</v>
      </c>
      <c r="D1386" s="16" t="str">
        <f>VLOOKUP(C1386,[1]道具配置表!$A:$D,4,FALSE)</f>
        <v>1木材</v>
      </c>
      <c r="E1386" s="16">
        <f>E1382+500</f>
        <v>8000</v>
      </c>
      <c r="J1386" s="16">
        <v>1</v>
      </c>
      <c r="L1386" s="16" t="b">
        <v>1</v>
      </c>
    </row>
    <row r="1387" spans="1:12" x14ac:dyDescent="0.25">
      <c r="C1387" s="16">
        <f t="shared" si="26"/>
        <v>103</v>
      </c>
      <c r="D1387" s="16" t="str">
        <f>VLOOKUP(C1387,[1]道具配置表!$A:$D,4,FALSE)</f>
        <v>1石头</v>
      </c>
      <c r="E1387" s="16">
        <f>E1383+500</f>
        <v>8000</v>
      </c>
      <c r="J1387" s="16">
        <v>1</v>
      </c>
      <c r="L1387" s="16" t="b">
        <v>1</v>
      </c>
    </row>
    <row r="1388" spans="1:12" x14ac:dyDescent="0.25">
      <c r="C1388" s="16">
        <f t="shared" si="26"/>
        <v>104</v>
      </c>
      <c r="D1388" s="16" t="str">
        <f>VLOOKUP(C1388,[1]道具配置表!$A:$D,4,FALSE)</f>
        <v>1黄金</v>
      </c>
      <c r="E1388" s="16">
        <f>E1384+500</f>
        <v>8000</v>
      </c>
      <c r="J1388" s="16">
        <v>1</v>
      </c>
      <c r="L1388" s="16" t="b">
        <v>1</v>
      </c>
    </row>
    <row r="1389" spans="1:12" x14ac:dyDescent="0.25">
      <c r="A1389" s="16">
        <v>1920804</v>
      </c>
      <c r="B1389" s="16" t="s">
        <v>684</v>
      </c>
      <c r="C1389" s="16">
        <f t="shared" si="26"/>
        <v>102</v>
      </c>
      <c r="D1389" s="16" t="str">
        <f>VLOOKUP(C1389,[1]道具配置表!$A:$D,4,FALSE)</f>
        <v>1食物</v>
      </c>
      <c r="E1389" s="16">
        <f>E1385+300</f>
        <v>5500</v>
      </c>
      <c r="J1389" s="16">
        <v>1</v>
      </c>
      <c r="L1389" s="16" t="b">
        <v>1</v>
      </c>
    </row>
    <row r="1390" spans="1:12" x14ac:dyDescent="0.25">
      <c r="C1390" s="16">
        <f t="shared" si="26"/>
        <v>101</v>
      </c>
      <c r="D1390" s="16" t="str">
        <f>VLOOKUP(C1390,[1]道具配置表!$A:$D,4,FALSE)</f>
        <v>1木材</v>
      </c>
      <c r="E1390" s="16">
        <f>E1386+500</f>
        <v>8500</v>
      </c>
      <c r="J1390" s="16">
        <v>1</v>
      </c>
      <c r="L1390" s="16" t="b">
        <v>1</v>
      </c>
    </row>
    <row r="1391" spans="1:12" x14ac:dyDescent="0.25">
      <c r="C1391" s="16">
        <f t="shared" si="26"/>
        <v>103</v>
      </c>
      <c r="D1391" s="16" t="str">
        <f>VLOOKUP(C1391,[1]道具配置表!$A:$D,4,FALSE)</f>
        <v>1石头</v>
      </c>
      <c r="E1391" s="16">
        <f>E1387+500</f>
        <v>8500</v>
      </c>
      <c r="J1391" s="16">
        <v>1</v>
      </c>
      <c r="L1391" s="16" t="b">
        <v>1</v>
      </c>
    </row>
    <row r="1392" spans="1:12" x14ac:dyDescent="0.25">
      <c r="C1392" s="16">
        <f t="shared" si="26"/>
        <v>104</v>
      </c>
      <c r="D1392" s="16" t="str">
        <f>VLOOKUP(C1392,[1]道具配置表!$A:$D,4,FALSE)</f>
        <v>1黄金</v>
      </c>
      <c r="E1392" s="16">
        <f>E1388+500</f>
        <v>8500</v>
      </c>
      <c r="J1392" s="16">
        <v>1</v>
      </c>
      <c r="L1392" s="16" t="b">
        <v>1</v>
      </c>
    </row>
    <row r="1393" spans="1:12" x14ac:dyDescent="0.25">
      <c r="A1393" s="16">
        <v>1920805</v>
      </c>
      <c r="B1393" s="16" t="s">
        <v>685</v>
      </c>
      <c r="C1393" s="16">
        <f t="shared" ref="C1393:C1456" si="27">C1389</f>
        <v>102</v>
      </c>
      <c r="D1393" s="16" t="str">
        <f>VLOOKUP(C1393,[1]道具配置表!$A:$D,4,FALSE)</f>
        <v>1食物</v>
      </c>
      <c r="E1393" s="16">
        <f>E1389+300</f>
        <v>5800</v>
      </c>
      <c r="J1393" s="16">
        <v>1</v>
      </c>
      <c r="L1393" s="16" t="b">
        <v>1</v>
      </c>
    </row>
    <row r="1394" spans="1:12" x14ac:dyDescent="0.25">
      <c r="C1394" s="16">
        <f t="shared" si="27"/>
        <v>101</v>
      </c>
      <c r="D1394" s="16" t="str">
        <f>VLOOKUP(C1394,[1]道具配置表!$A:$D,4,FALSE)</f>
        <v>1木材</v>
      </c>
      <c r="E1394" s="16">
        <f>E1390+500</f>
        <v>9000</v>
      </c>
      <c r="J1394" s="16">
        <v>1</v>
      </c>
      <c r="L1394" s="16" t="b">
        <v>1</v>
      </c>
    </row>
    <row r="1395" spans="1:12" x14ac:dyDescent="0.25">
      <c r="C1395" s="16">
        <f t="shared" si="27"/>
        <v>103</v>
      </c>
      <c r="D1395" s="16" t="str">
        <f>VLOOKUP(C1395,[1]道具配置表!$A:$D,4,FALSE)</f>
        <v>1石头</v>
      </c>
      <c r="E1395" s="16">
        <f>E1391+500</f>
        <v>9000</v>
      </c>
      <c r="J1395" s="16">
        <v>1</v>
      </c>
      <c r="L1395" s="16" t="b">
        <v>1</v>
      </c>
    </row>
    <row r="1396" spans="1:12" x14ac:dyDescent="0.25">
      <c r="C1396" s="16">
        <f t="shared" si="27"/>
        <v>104</v>
      </c>
      <c r="D1396" s="16" t="str">
        <f>VLOOKUP(C1396,[1]道具配置表!$A:$D,4,FALSE)</f>
        <v>1黄金</v>
      </c>
      <c r="E1396" s="16">
        <f>E1392+500</f>
        <v>9000</v>
      </c>
      <c r="J1396" s="16">
        <v>1</v>
      </c>
      <c r="L1396" s="16" t="b">
        <v>1</v>
      </c>
    </row>
    <row r="1397" spans="1:12" x14ac:dyDescent="0.25">
      <c r="A1397" s="16">
        <v>1920806</v>
      </c>
      <c r="B1397" s="16" t="s">
        <v>686</v>
      </c>
      <c r="C1397" s="16">
        <f t="shared" si="27"/>
        <v>102</v>
      </c>
      <c r="D1397" s="16" t="str">
        <f>VLOOKUP(C1397,[1]道具配置表!$A:$D,4,FALSE)</f>
        <v>1食物</v>
      </c>
      <c r="E1397" s="16">
        <f>E1393+300</f>
        <v>6100</v>
      </c>
      <c r="J1397" s="16">
        <v>1</v>
      </c>
      <c r="L1397" s="16" t="b">
        <v>1</v>
      </c>
    </row>
    <row r="1398" spans="1:12" x14ac:dyDescent="0.25">
      <c r="C1398" s="16">
        <f t="shared" si="27"/>
        <v>101</v>
      </c>
      <c r="D1398" s="16" t="str">
        <f>VLOOKUP(C1398,[1]道具配置表!$A:$D,4,FALSE)</f>
        <v>1木材</v>
      </c>
      <c r="E1398" s="16">
        <f>E1394+500</f>
        <v>9500</v>
      </c>
      <c r="J1398" s="16">
        <v>1</v>
      </c>
      <c r="L1398" s="16" t="b">
        <v>1</v>
      </c>
    </row>
    <row r="1399" spans="1:12" x14ac:dyDescent="0.25">
      <c r="C1399" s="16">
        <f t="shared" si="27"/>
        <v>103</v>
      </c>
      <c r="D1399" s="16" t="str">
        <f>VLOOKUP(C1399,[1]道具配置表!$A:$D,4,FALSE)</f>
        <v>1石头</v>
      </c>
      <c r="E1399" s="16">
        <f>E1395+500</f>
        <v>9500</v>
      </c>
      <c r="J1399" s="16">
        <v>1</v>
      </c>
      <c r="L1399" s="16" t="b">
        <v>1</v>
      </c>
    </row>
    <row r="1400" spans="1:12" x14ac:dyDescent="0.25">
      <c r="C1400" s="16">
        <f t="shared" si="27"/>
        <v>104</v>
      </c>
      <c r="D1400" s="16" t="str">
        <f>VLOOKUP(C1400,[1]道具配置表!$A:$D,4,FALSE)</f>
        <v>1黄金</v>
      </c>
      <c r="E1400" s="16">
        <f>E1396+500</f>
        <v>9500</v>
      </c>
      <c r="J1400" s="16">
        <v>1</v>
      </c>
      <c r="L1400" s="16" t="b">
        <v>1</v>
      </c>
    </row>
    <row r="1401" spans="1:12" x14ac:dyDescent="0.25">
      <c r="A1401" s="16">
        <v>1920807</v>
      </c>
      <c r="B1401" s="16" t="s">
        <v>687</v>
      </c>
      <c r="C1401" s="16">
        <f t="shared" si="27"/>
        <v>102</v>
      </c>
      <c r="D1401" s="16" t="str">
        <f>VLOOKUP(C1401,[1]道具配置表!$A:$D,4,FALSE)</f>
        <v>1食物</v>
      </c>
      <c r="E1401" s="16">
        <f>E1397+300</f>
        <v>6400</v>
      </c>
      <c r="J1401" s="16">
        <v>1</v>
      </c>
      <c r="L1401" s="16" t="b">
        <v>1</v>
      </c>
    </row>
    <row r="1402" spans="1:12" x14ac:dyDescent="0.25">
      <c r="C1402" s="16">
        <f t="shared" si="27"/>
        <v>101</v>
      </c>
      <c r="D1402" s="16" t="str">
        <f>VLOOKUP(C1402,[1]道具配置表!$A:$D,4,FALSE)</f>
        <v>1木材</v>
      </c>
      <c r="E1402" s="16">
        <f>E1398+500</f>
        <v>10000</v>
      </c>
      <c r="J1402" s="16">
        <v>1</v>
      </c>
      <c r="L1402" s="16" t="b">
        <v>1</v>
      </c>
    </row>
    <row r="1403" spans="1:12" x14ac:dyDescent="0.25">
      <c r="C1403" s="16">
        <f t="shared" si="27"/>
        <v>103</v>
      </c>
      <c r="D1403" s="16" t="str">
        <f>VLOOKUP(C1403,[1]道具配置表!$A:$D,4,FALSE)</f>
        <v>1石头</v>
      </c>
      <c r="E1403" s="16">
        <f>E1399+500</f>
        <v>10000</v>
      </c>
      <c r="J1403" s="16">
        <v>1</v>
      </c>
      <c r="L1403" s="16" t="b">
        <v>1</v>
      </c>
    </row>
    <row r="1404" spans="1:12" x14ac:dyDescent="0.25">
      <c r="C1404" s="16">
        <f t="shared" si="27"/>
        <v>104</v>
      </c>
      <c r="D1404" s="16" t="str">
        <f>VLOOKUP(C1404,[1]道具配置表!$A:$D,4,FALSE)</f>
        <v>1黄金</v>
      </c>
      <c r="E1404" s="16">
        <f>E1400+500</f>
        <v>10000</v>
      </c>
      <c r="J1404" s="16">
        <v>1</v>
      </c>
      <c r="L1404" s="16" t="b">
        <v>1</v>
      </c>
    </row>
    <row r="1405" spans="1:12" x14ac:dyDescent="0.25">
      <c r="A1405" s="16">
        <v>1920901</v>
      </c>
      <c r="B1405" s="16" t="s">
        <v>688</v>
      </c>
      <c r="C1405" s="16">
        <f t="shared" si="27"/>
        <v>102</v>
      </c>
      <c r="D1405" s="16" t="str">
        <f>VLOOKUP(C1405,[1]道具配置表!$A:$D,4,FALSE)</f>
        <v>1食物</v>
      </c>
      <c r="E1405" s="16">
        <v>1900</v>
      </c>
      <c r="J1405" s="16">
        <v>1</v>
      </c>
      <c r="L1405" s="16" t="b">
        <v>1</v>
      </c>
    </row>
    <row r="1406" spans="1:12" x14ac:dyDescent="0.25">
      <c r="C1406" s="16">
        <f t="shared" si="27"/>
        <v>101</v>
      </c>
      <c r="D1406" s="16" t="str">
        <f>VLOOKUP(C1406,[1]道具配置表!$A:$D,4,FALSE)</f>
        <v>1木材</v>
      </c>
      <c r="E1406" s="16">
        <v>2500</v>
      </c>
      <c r="J1406" s="16">
        <v>1</v>
      </c>
      <c r="L1406" s="16" t="b">
        <v>1</v>
      </c>
    </row>
    <row r="1407" spans="1:12" x14ac:dyDescent="0.25">
      <c r="C1407" s="16">
        <f t="shared" si="27"/>
        <v>103</v>
      </c>
      <c r="D1407" s="16" t="str">
        <f>VLOOKUP(C1407,[1]道具配置表!$A:$D,4,FALSE)</f>
        <v>1石头</v>
      </c>
      <c r="E1407" s="16">
        <v>2500</v>
      </c>
      <c r="J1407" s="16">
        <v>1</v>
      </c>
      <c r="L1407" s="16" t="b">
        <v>1</v>
      </c>
    </row>
    <row r="1408" spans="1:12" x14ac:dyDescent="0.25">
      <c r="C1408" s="16">
        <f t="shared" si="27"/>
        <v>104</v>
      </c>
      <c r="D1408" s="16" t="str">
        <f>VLOOKUP(C1408,[1]道具配置表!$A:$D,4,FALSE)</f>
        <v>1黄金</v>
      </c>
      <c r="E1408" s="16">
        <v>2500</v>
      </c>
      <c r="J1408" s="16">
        <v>1</v>
      </c>
      <c r="L1408" s="16" t="b">
        <v>1</v>
      </c>
    </row>
    <row r="1409" spans="1:12" x14ac:dyDescent="0.25">
      <c r="A1409" s="16">
        <v>1920902</v>
      </c>
      <c r="B1409" s="16" t="s">
        <v>689</v>
      </c>
      <c r="C1409" s="16">
        <f t="shared" si="27"/>
        <v>102</v>
      </c>
      <c r="D1409" s="16" t="str">
        <f>VLOOKUP(C1409,[1]道具配置表!$A:$D,4,FALSE)</f>
        <v>1食物</v>
      </c>
      <c r="E1409" s="16">
        <f>E1405+300</f>
        <v>2200</v>
      </c>
      <c r="J1409" s="16">
        <v>1</v>
      </c>
      <c r="L1409" s="16" t="b">
        <v>1</v>
      </c>
    </row>
    <row r="1410" spans="1:12" x14ac:dyDescent="0.25">
      <c r="C1410" s="16">
        <f t="shared" si="27"/>
        <v>101</v>
      </c>
      <c r="D1410" s="16" t="str">
        <f>VLOOKUP(C1410,[1]道具配置表!$A:$D,4,FALSE)</f>
        <v>1木材</v>
      </c>
      <c r="E1410" s="16">
        <f>E1406+500</f>
        <v>3000</v>
      </c>
      <c r="J1410" s="16">
        <v>1</v>
      </c>
      <c r="L1410" s="16" t="b">
        <v>1</v>
      </c>
    </row>
    <row r="1411" spans="1:12" x14ac:dyDescent="0.25">
      <c r="C1411" s="16">
        <f t="shared" si="27"/>
        <v>103</v>
      </c>
      <c r="D1411" s="16" t="str">
        <f>VLOOKUP(C1411,[1]道具配置表!$A:$D,4,FALSE)</f>
        <v>1石头</v>
      </c>
      <c r="E1411" s="16">
        <f>E1407+500</f>
        <v>3000</v>
      </c>
      <c r="J1411" s="16">
        <v>1</v>
      </c>
      <c r="L1411" s="16" t="b">
        <v>1</v>
      </c>
    </row>
    <row r="1412" spans="1:12" x14ac:dyDescent="0.25">
      <c r="C1412" s="16">
        <f t="shared" si="27"/>
        <v>104</v>
      </c>
      <c r="D1412" s="16" t="str">
        <f>VLOOKUP(C1412,[1]道具配置表!$A:$D,4,FALSE)</f>
        <v>1黄金</v>
      </c>
      <c r="E1412" s="16">
        <f>E1408+500</f>
        <v>3000</v>
      </c>
      <c r="J1412" s="16">
        <v>1</v>
      </c>
      <c r="L1412" s="16" t="b">
        <v>1</v>
      </c>
    </row>
    <row r="1413" spans="1:12" x14ac:dyDescent="0.25">
      <c r="A1413" s="16">
        <v>1920903</v>
      </c>
      <c r="B1413" s="16" t="s">
        <v>690</v>
      </c>
      <c r="C1413" s="16">
        <f t="shared" si="27"/>
        <v>102</v>
      </c>
      <c r="D1413" s="16" t="str">
        <f>VLOOKUP(C1413,[1]道具配置表!$A:$D,4,FALSE)</f>
        <v>1食物</v>
      </c>
      <c r="E1413" s="16">
        <f>E1409+300</f>
        <v>2500</v>
      </c>
      <c r="J1413" s="16">
        <v>1</v>
      </c>
      <c r="L1413" s="16" t="b">
        <v>1</v>
      </c>
    </row>
    <row r="1414" spans="1:12" x14ac:dyDescent="0.25">
      <c r="C1414" s="16">
        <f t="shared" si="27"/>
        <v>101</v>
      </c>
      <c r="D1414" s="16" t="str">
        <f>VLOOKUP(C1414,[1]道具配置表!$A:$D,4,FALSE)</f>
        <v>1木材</v>
      </c>
      <c r="E1414" s="16">
        <f>E1410+500</f>
        <v>3500</v>
      </c>
      <c r="J1414" s="16">
        <v>1</v>
      </c>
      <c r="L1414" s="16" t="b">
        <v>1</v>
      </c>
    </row>
    <row r="1415" spans="1:12" x14ac:dyDescent="0.25">
      <c r="C1415" s="16">
        <f t="shared" si="27"/>
        <v>103</v>
      </c>
      <c r="D1415" s="16" t="str">
        <f>VLOOKUP(C1415,[1]道具配置表!$A:$D,4,FALSE)</f>
        <v>1石头</v>
      </c>
      <c r="E1415" s="16">
        <f>E1411+500</f>
        <v>3500</v>
      </c>
      <c r="J1415" s="16">
        <v>1</v>
      </c>
      <c r="L1415" s="16" t="b">
        <v>1</v>
      </c>
    </row>
    <row r="1416" spans="1:12" x14ac:dyDescent="0.25">
      <c r="C1416" s="16">
        <f t="shared" si="27"/>
        <v>104</v>
      </c>
      <c r="D1416" s="16" t="str">
        <f>VLOOKUP(C1416,[1]道具配置表!$A:$D,4,FALSE)</f>
        <v>1黄金</v>
      </c>
      <c r="E1416" s="16">
        <f>E1412+500</f>
        <v>3500</v>
      </c>
      <c r="J1416" s="16">
        <v>1</v>
      </c>
      <c r="L1416" s="16" t="b">
        <v>1</v>
      </c>
    </row>
    <row r="1417" spans="1:12" x14ac:dyDescent="0.25">
      <c r="A1417" s="16">
        <v>1920904</v>
      </c>
      <c r="B1417" s="16" t="s">
        <v>691</v>
      </c>
      <c r="C1417" s="16">
        <f t="shared" si="27"/>
        <v>102</v>
      </c>
      <c r="D1417" s="16" t="str">
        <f>VLOOKUP(C1417,[1]道具配置表!$A:$D,4,FALSE)</f>
        <v>1食物</v>
      </c>
      <c r="E1417" s="16">
        <f>E1413+300</f>
        <v>2800</v>
      </c>
      <c r="J1417" s="16">
        <v>1</v>
      </c>
      <c r="L1417" s="16" t="b">
        <v>1</v>
      </c>
    </row>
    <row r="1418" spans="1:12" x14ac:dyDescent="0.25">
      <c r="C1418" s="16">
        <f t="shared" si="27"/>
        <v>101</v>
      </c>
      <c r="D1418" s="16" t="str">
        <f>VLOOKUP(C1418,[1]道具配置表!$A:$D,4,FALSE)</f>
        <v>1木材</v>
      </c>
      <c r="E1418" s="16">
        <f>E1414+500</f>
        <v>4000</v>
      </c>
      <c r="J1418" s="16">
        <v>1</v>
      </c>
      <c r="L1418" s="16" t="b">
        <v>1</v>
      </c>
    </row>
    <row r="1419" spans="1:12" x14ac:dyDescent="0.25">
      <c r="C1419" s="16">
        <f t="shared" si="27"/>
        <v>103</v>
      </c>
      <c r="D1419" s="16" t="str">
        <f>VLOOKUP(C1419,[1]道具配置表!$A:$D,4,FALSE)</f>
        <v>1石头</v>
      </c>
      <c r="E1419" s="16">
        <f>E1415+500</f>
        <v>4000</v>
      </c>
      <c r="J1419" s="16">
        <v>1</v>
      </c>
      <c r="L1419" s="16" t="b">
        <v>1</v>
      </c>
    </row>
    <row r="1420" spans="1:12" x14ac:dyDescent="0.25">
      <c r="C1420" s="16">
        <f t="shared" si="27"/>
        <v>104</v>
      </c>
      <c r="D1420" s="16" t="str">
        <f>VLOOKUP(C1420,[1]道具配置表!$A:$D,4,FALSE)</f>
        <v>1黄金</v>
      </c>
      <c r="E1420" s="16">
        <f>E1416+500</f>
        <v>4000</v>
      </c>
      <c r="J1420" s="16">
        <v>1</v>
      </c>
      <c r="L1420" s="16" t="b">
        <v>1</v>
      </c>
    </row>
    <row r="1421" spans="1:12" x14ac:dyDescent="0.25">
      <c r="A1421" s="16">
        <v>1920905</v>
      </c>
      <c r="B1421" s="16" t="s">
        <v>692</v>
      </c>
      <c r="C1421" s="16">
        <f t="shared" si="27"/>
        <v>102</v>
      </c>
      <c r="D1421" s="16" t="str">
        <f>VLOOKUP(C1421,[1]道具配置表!$A:$D,4,FALSE)</f>
        <v>1食物</v>
      </c>
      <c r="E1421" s="16">
        <f>E1417+300</f>
        <v>3100</v>
      </c>
      <c r="J1421" s="16">
        <v>1</v>
      </c>
      <c r="L1421" s="16" t="b">
        <v>1</v>
      </c>
    </row>
    <row r="1422" spans="1:12" x14ac:dyDescent="0.25">
      <c r="C1422" s="16">
        <f t="shared" si="27"/>
        <v>101</v>
      </c>
      <c r="D1422" s="16" t="str">
        <f>VLOOKUP(C1422,[1]道具配置表!$A:$D,4,FALSE)</f>
        <v>1木材</v>
      </c>
      <c r="E1422" s="16">
        <f>E1418+500</f>
        <v>4500</v>
      </c>
      <c r="J1422" s="16">
        <v>1</v>
      </c>
      <c r="L1422" s="16" t="b">
        <v>1</v>
      </c>
    </row>
    <row r="1423" spans="1:12" x14ac:dyDescent="0.25">
      <c r="C1423" s="16">
        <f t="shared" si="27"/>
        <v>103</v>
      </c>
      <c r="D1423" s="16" t="str">
        <f>VLOOKUP(C1423,[1]道具配置表!$A:$D,4,FALSE)</f>
        <v>1石头</v>
      </c>
      <c r="E1423" s="16">
        <f>E1419+500</f>
        <v>4500</v>
      </c>
      <c r="J1423" s="16">
        <v>1</v>
      </c>
      <c r="L1423" s="16" t="b">
        <v>1</v>
      </c>
    </row>
    <row r="1424" spans="1:12" x14ac:dyDescent="0.25">
      <c r="C1424" s="16">
        <f t="shared" si="27"/>
        <v>104</v>
      </c>
      <c r="D1424" s="16" t="str">
        <f>VLOOKUP(C1424,[1]道具配置表!$A:$D,4,FALSE)</f>
        <v>1黄金</v>
      </c>
      <c r="E1424" s="16">
        <f>E1420+500</f>
        <v>4500</v>
      </c>
      <c r="J1424" s="16">
        <v>1</v>
      </c>
      <c r="L1424" s="16" t="b">
        <v>1</v>
      </c>
    </row>
    <row r="1425" spans="1:12" x14ac:dyDescent="0.25">
      <c r="A1425" s="16">
        <v>1920906</v>
      </c>
      <c r="B1425" s="16" t="s">
        <v>693</v>
      </c>
      <c r="C1425" s="16">
        <f t="shared" si="27"/>
        <v>102</v>
      </c>
      <c r="D1425" s="16" t="str">
        <f>VLOOKUP(C1425,[1]道具配置表!$A:$D,4,FALSE)</f>
        <v>1食物</v>
      </c>
      <c r="E1425" s="16">
        <f>E1421+300</f>
        <v>3400</v>
      </c>
      <c r="J1425" s="16">
        <v>1</v>
      </c>
      <c r="L1425" s="16" t="b">
        <v>1</v>
      </c>
    </row>
    <row r="1426" spans="1:12" x14ac:dyDescent="0.25">
      <c r="C1426" s="16">
        <f t="shared" si="27"/>
        <v>101</v>
      </c>
      <c r="D1426" s="16" t="str">
        <f>VLOOKUP(C1426,[1]道具配置表!$A:$D,4,FALSE)</f>
        <v>1木材</v>
      </c>
      <c r="E1426" s="16">
        <f>E1422+500</f>
        <v>5000</v>
      </c>
      <c r="J1426" s="16">
        <v>1</v>
      </c>
      <c r="L1426" s="16" t="b">
        <v>1</v>
      </c>
    </row>
    <row r="1427" spans="1:12" x14ac:dyDescent="0.25">
      <c r="C1427" s="16">
        <f t="shared" si="27"/>
        <v>103</v>
      </c>
      <c r="D1427" s="16" t="str">
        <f>VLOOKUP(C1427,[1]道具配置表!$A:$D,4,FALSE)</f>
        <v>1石头</v>
      </c>
      <c r="E1427" s="16">
        <f>E1423+500</f>
        <v>5000</v>
      </c>
      <c r="J1427" s="16">
        <v>1</v>
      </c>
      <c r="L1427" s="16" t="b">
        <v>1</v>
      </c>
    </row>
    <row r="1428" spans="1:12" x14ac:dyDescent="0.25">
      <c r="C1428" s="16">
        <f t="shared" si="27"/>
        <v>104</v>
      </c>
      <c r="D1428" s="16" t="str">
        <f>VLOOKUP(C1428,[1]道具配置表!$A:$D,4,FALSE)</f>
        <v>1黄金</v>
      </c>
      <c r="E1428" s="16">
        <f>E1424+500</f>
        <v>5000</v>
      </c>
      <c r="J1428" s="16">
        <v>1</v>
      </c>
      <c r="L1428" s="16" t="b">
        <v>1</v>
      </c>
    </row>
    <row r="1429" spans="1:12" x14ac:dyDescent="0.25">
      <c r="A1429" s="16">
        <v>1920907</v>
      </c>
      <c r="B1429" s="16" t="s">
        <v>694</v>
      </c>
      <c r="C1429" s="16">
        <f t="shared" si="27"/>
        <v>102</v>
      </c>
      <c r="D1429" s="16" t="str">
        <f>VLOOKUP(C1429,[1]道具配置表!$A:$D,4,FALSE)</f>
        <v>1食物</v>
      </c>
      <c r="E1429" s="16">
        <f>E1425+300</f>
        <v>3700</v>
      </c>
      <c r="J1429" s="16">
        <v>1</v>
      </c>
      <c r="L1429" s="16" t="b">
        <v>1</v>
      </c>
    </row>
    <row r="1430" spans="1:12" x14ac:dyDescent="0.25">
      <c r="C1430" s="16">
        <f t="shared" si="27"/>
        <v>101</v>
      </c>
      <c r="D1430" s="16" t="str">
        <f>VLOOKUP(C1430,[1]道具配置表!$A:$D,4,FALSE)</f>
        <v>1木材</v>
      </c>
      <c r="E1430" s="16">
        <f>E1426+500</f>
        <v>5500</v>
      </c>
      <c r="J1430" s="16">
        <v>1</v>
      </c>
      <c r="L1430" s="16" t="b">
        <v>1</v>
      </c>
    </row>
    <row r="1431" spans="1:12" x14ac:dyDescent="0.25">
      <c r="C1431" s="16">
        <f t="shared" si="27"/>
        <v>103</v>
      </c>
      <c r="D1431" s="16" t="str">
        <f>VLOOKUP(C1431,[1]道具配置表!$A:$D,4,FALSE)</f>
        <v>1石头</v>
      </c>
      <c r="E1431" s="16">
        <f>E1427+500</f>
        <v>5500</v>
      </c>
      <c r="J1431" s="16">
        <v>1</v>
      </c>
      <c r="L1431" s="16" t="b">
        <v>1</v>
      </c>
    </row>
    <row r="1432" spans="1:12" x14ac:dyDescent="0.25">
      <c r="C1432" s="16">
        <f t="shared" si="27"/>
        <v>104</v>
      </c>
      <c r="D1432" s="16" t="str">
        <f>VLOOKUP(C1432,[1]道具配置表!$A:$D,4,FALSE)</f>
        <v>1黄金</v>
      </c>
      <c r="E1432" s="16">
        <f>E1428+500</f>
        <v>5500</v>
      </c>
      <c r="J1432" s="16">
        <v>1</v>
      </c>
      <c r="L1432" s="16" t="b">
        <v>1</v>
      </c>
    </row>
    <row r="1433" spans="1:12" x14ac:dyDescent="0.25">
      <c r="A1433" s="16">
        <v>1921001</v>
      </c>
      <c r="B1433" s="16" t="s">
        <v>695</v>
      </c>
      <c r="C1433" s="16">
        <f t="shared" si="27"/>
        <v>102</v>
      </c>
      <c r="D1433" s="16" t="str">
        <f>VLOOKUP(C1433,[1]道具配置表!$A:$D,4,FALSE)</f>
        <v>1食物</v>
      </c>
      <c r="E1433" s="16">
        <v>1000</v>
      </c>
      <c r="J1433" s="16">
        <v>1</v>
      </c>
      <c r="L1433" s="16" t="b">
        <v>1</v>
      </c>
    </row>
    <row r="1434" spans="1:12" x14ac:dyDescent="0.25">
      <c r="C1434" s="16">
        <f t="shared" si="27"/>
        <v>101</v>
      </c>
      <c r="D1434" s="16" t="str">
        <f>VLOOKUP(C1434,[1]道具配置表!$A:$D,4,FALSE)</f>
        <v>1木材</v>
      </c>
      <c r="E1434" s="16">
        <v>1000</v>
      </c>
      <c r="J1434" s="16">
        <v>1</v>
      </c>
      <c r="L1434" s="16" t="b">
        <v>1</v>
      </c>
    </row>
    <row r="1435" spans="1:12" x14ac:dyDescent="0.25">
      <c r="C1435" s="16">
        <f t="shared" si="27"/>
        <v>103</v>
      </c>
      <c r="D1435" s="16" t="str">
        <f>VLOOKUP(C1435,[1]道具配置表!$A:$D,4,FALSE)</f>
        <v>1石头</v>
      </c>
      <c r="E1435" s="16">
        <v>1000</v>
      </c>
      <c r="J1435" s="16">
        <v>1</v>
      </c>
      <c r="L1435" s="16" t="b">
        <v>1</v>
      </c>
    </row>
    <row r="1436" spans="1:12" x14ac:dyDescent="0.25">
      <c r="C1436" s="16">
        <f t="shared" si="27"/>
        <v>104</v>
      </c>
      <c r="D1436" s="16" t="str">
        <f>VLOOKUP(C1436,[1]道具配置表!$A:$D,4,FALSE)</f>
        <v>1黄金</v>
      </c>
      <c r="E1436" s="16">
        <v>1000</v>
      </c>
      <c r="J1436" s="16">
        <v>1</v>
      </c>
      <c r="L1436" s="16" t="b">
        <v>1</v>
      </c>
    </row>
    <row r="1437" spans="1:12" x14ac:dyDescent="0.25">
      <c r="A1437" s="16">
        <v>1921002</v>
      </c>
      <c r="B1437" s="16" t="s">
        <v>696</v>
      </c>
      <c r="C1437" s="16">
        <f t="shared" si="27"/>
        <v>102</v>
      </c>
      <c r="D1437" s="16" t="str">
        <f>VLOOKUP(C1437,[1]道具配置表!$A:$D,4,FALSE)</f>
        <v>1食物</v>
      </c>
      <c r="E1437" s="16">
        <f>E1433+300</f>
        <v>1300</v>
      </c>
      <c r="J1437" s="16">
        <v>1</v>
      </c>
      <c r="L1437" s="16" t="b">
        <v>1</v>
      </c>
    </row>
    <row r="1438" spans="1:12" x14ac:dyDescent="0.25">
      <c r="C1438" s="16">
        <f t="shared" si="27"/>
        <v>101</v>
      </c>
      <c r="D1438" s="16" t="str">
        <f>VLOOKUP(C1438,[1]道具配置表!$A:$D,4,FALSE)</f>
        <v>1木材</v>
      </c>
      <c r="E1438" s="16">
        <f>E1434+500</f>
        <v>1500</v>
      </c>
      <c r="J1438" s="16">
        <v>1</v>
      </c>
      <c r="L1438" s="16" t="b">
        <v>1</v>
      </c>
    </row>
    <row r="1439" spans="1:12" x14ac:dyDescent="0.25">
      <c r="C1439" s="16">
        <f t="shared" si="27"/>
        <v>103</v>
      </c>
      <c r="D1439" s="16" t="str">
        <f>VLOOKUP(C1439,[1]道具配置表!$A:$D,4,FALSE)</f>
        <v>1石头</v>
      </c>
      <c r="E1439" s="16">
        <f>E1435+500</f>
        <v>1500</v>
      </c>
      <c r="J1439" s="16">
        <v>1</v>
      </c>
      <c r="L1439" s="16" t="b">
        <v>1</v>
      </c>
    </row>
    <row r="1440" spans="1:12" x14ac:dyDescent="0.25">
      <c r="C1440" s="16">
        <f t="shared" si="27"/>
        <v>104</v>
      </c>
      <c r="D1440" s="16" t="str">
        <f>VLOOKUP(C1440,[1]道具配置表!$A:$D,4,FALSE)</f>
        <v>1黄金</v>
      </c>
      <c r="E1440" s="16">
        <f>E1436+500</f>
        <v>1500</v>
      </c>
      <c r="J1440" s="16">
        <v>1</v>
      </c>
      <c r="L1440" s="16" t="b">
        <v>1</v>
      </c>
    </row>
    <row r="1441" spans="1:12" x14ac:dyDescent="0.25">
      <c r="A1441" s="16">
        <v>1921003</v>
      </c>
      <c r="B1441" s="16" t="s">
        <v>697</v>
      </c>
      <c r="C1441" s="16">
        <f t="shared" si="27"/>
        <v>102</v>
      </c>
      <c r="D1441" s="16" t="str">
        <f>VLOOKUP(C1441,[1]道具配置表!$A:$D,4,FALSE)</f>
        <v>1食物</v>
      </c>
      <c r="E1441" s="16">
        <f>E1437+300</f>
        <v>1600</v>
      </c>
      <c r="J1441" s="16">
        <v>1</v>
      </c>
      <c r="L1441" s="16" t="b">
        <v>1</v>
      </c>
    </row>
    <row r="1442" spans="1:12" x14ac:dyDescent="0.25">
      <c r="C1442" s="16">
        <f t="shared" si="27"/>
        <v>101</v>
      </c>
      <c r="D1442" s="16" t="str">
        <f>VLOOKUP(C1442,[1]道具配置表!$A:$D,4,FALSE)</f>
        <v>1木材</v>
      </c>
      <c r="E1442" s="16">
        <f>E1438+500</f>
        <v>2000</v>
      </c>
      <c r="J1442" s="16">
        <v>1</v>
      </c>
      <c r="L1442" s="16" t="b">
        <v>1</v>
      </c>
    </row>
    <row r="1443" spans="1:12" x14ac:dyDescent="0.25">
      <c r="C1443" s="16">
        <f t="shared" si="27"/>
        <v>103</v>
      </c>
      <c r="D1443" s="16" t="str">
        <f>VLOOKUP(C1443,[1]道具配置表!$A:$D,4,FALSE)</f>
        <v>1石头</v>
      </c>
      <c r="E1443" s="16">
        <f>E1439+500</f>
        <v>2000</v>
      </c>
      <c r="J1443" s="16">
        <v>1</v>
      </c>
      <c r="L1443" s="16" t="b">
        <v>1</v>
      </c>
    </row>
    <row r="1444" spans="1:12" x14ac:dyDescent="0.25">
      <c r="C1444" s="16">
        <f t="shared" si="27"/>
        <v>104</v>
      </c>
      <c r="D1444" s="16" t="str">
        <f>VLOOKUP(C1444,[1]道具配置表!$A:$D,4,FALSE)</f>
        <v>1黄金</v>
      </c>
      <c r="E1444" s="16">
        <f>E1440+500</f>
        <v>2000</v>
      </c>
      <c r="J1444" s="16">
        <v>1</v>
      </c>
      <c r="L1444" s="16" t="b">
        <v>1</v>
      </c>
    </row>
    <row r="1445" spans="1:12" x14ac:dyDescent="0.25">
      <c r="A1445" s="16">
        <v>1921004</v>
      </c>
      <c r="B1445" s="16" t="s">
        <v>698</v>
      </c>
      <c r="C1445" s="16">
        <f t="shared" si="27"/>
        <v>102</v>
      </c>
      <c r="D1445" s="16" t="str">
        <f>VLOOKUP(C1445,[1]道具配置表!$A:$D,4,FALSE)</f>
        <v>1食物</v>
      </c>
      <c r="E1445" s="16">
        <f>E1441+300</f>
        <v>1900</v>
      </c>
      <c r="J1445" s="16">
        <v>1</v>
      </c>
      <c r="L1445" s="16" t="b">
        <v>1</v>
      </c>
    </row>
    <row r="1446" spans="1:12" x14ac:dyDescent="0.25">
      <c r="C1446" s="16">
        <f t="shared" si="27"/>
        <v>101</v>
      </c>
      <c r="D1446" s="16" t="str">
        <f>VLOOKUP(C1446,[1]道具配置表!$A:$D,4,FALSE)</f>
        <v>1木材</v>
      </c>
      <c r="E1446" s="16">
        <f>E1442+500</f>
        <v>2500</v>
      </c>
      <c r="J1446" s="16">
        <v>1</v>
      </c>
      <c r="L1446" s="16" t="b">
        <v>1</v>
      </c>
    </row>
    <row r="1447" spans="1:12" x14ac:dyDescent="0.25">
      <c r="C1447" s="16">
        <f t="shared" si="27"/>
        <v>103</v>
      </c>
      <c r="D1447" s="16" t="str">
        <f>VLOOKUP(C1447,[1]道具配置表!$A:$D,4,FALSE)</f>
        <v>1石头</v>
      </c>
      <c r="E1447" s="16">
        <f>E1443+500</f>
        <v>2500</v>
      </c>
      <c r="J1447" s="16">
        <v>1</v>
      </c>
      <c r="L1447" s="16" t="b">
        <v>1</v>
      </c>
    </row>
    <row r="1448" spans="1:12" x14ac:dyDescent="0.25">
      <c r="C1448" s="16">
        <f t="shared" si="27"/>
        <v>104</v>
      </c>
      <c r="D1448" s="16" t="str">
        <f>VLOOKUP(C1448,[1]道具配置表!$A:$D,4,FALSE)</f>
        <v>1黄金</v>
      </c>
      <c r="E1448" s="16">
        <f>E1444+500</f>
        <v>2500</v>
      </c>
      <c r="J1448" s="16">
        <v>1</v>
      </c>
      <c r="L1448" s="16" t="b">
        <v>1</v>
      </c>
    </row>
    <row r="1449" spans="1:12" x14ac:dyDescent="0.25">
      <c r="A1449" s="16">
        <v>1921005</v>
      </c>
      <c r="B1449" s="16" t="s">
        <v>699</v>
      </c>
      <c r="C1449" s="16">
        <f t="shared" si="27"/>
        <v>102</v>
      </c>
      <c r="D1449" s="16" t="str">
        <f>VLOOKUP(C1449,[1]道具配置表!$A:$D,4,FALSE)</f>
        <v>1食物</v>
      </c>
      <c r="E1449" s="16">
        <f>E1445+300</f>
        <v>2200</v>
      </c>
      <c r="J1449" s="16">
        <v>1</v>
      </c>
      <c r="L1449" s="16" t="b">
        <v>1</v>
      </c>
    </row>
    <row r="1450" spans="1:12" x14ac:dyDescent="0.25">
      <c r="C1450" s="16">
        <f t="shared" si="27"/>
        <v>101</v>
      </c>
      <c r="D1450" s="16" t="str">
        <f>VLOOKUP(C1450,[1]道具配置表!$A:$D,4,FALSE)</f>
        <v>1木材</v>
      </c>
      <c r="E1450" s="16">
        <f>E1446+500</f>
        <v>3000</v>
      </c>
      <c r="J1450" s="16">
        <v>1</v>
      </c>
      <c r="L1450" s="16" t="b">
        <v>1</v>
      </c>
    </row>
    <row r="1451" spans="1:12" x14ac:dyDescent="0.25">
      <c r="C1451" s="16">
        <f t="shared" si="27"/>
        <v>103</v>
      </c>
      <c r="D1451" s="16" t="str">
        <f>VLOOKUP(C1451,[1]道具配置表!$A:$D,4,FALSE)</f>
        <v>1石头</v>
      </c>
      <c r="E1451" s="16">
        <f>E1447+500</f>
        <v>3000</v>
      </c>
      <c r="J1451" s="16">
        <v>1</v>
      </c>
      <c r="L1451" s="16" t="b">
        <v>1</v>
      </c>
    </row>
    <row r="1452" spans="1:12" x14ac:dyDescent="0.25">
      <c r="C1452" s="16">
        <f t="shared" si="27"/>
        <v>104</v>
      </c>
      <c r="D1452" s="16" t="str">
        <f>VLOOKUP(C1452,[1]道具配置表!$A:$D,4,FALSE)</f>
        <v>1黄金</v>
      </c>
      <c r="E1452" s="16">
        <f>E1448+500</f>
        <v>3000</v>
      </c>
      <c r="J1452" s="16">
        <v>1</v>
      </c>
      <c r="L1452" s="16" t="b">
        <v>1</v>
      </c>
    </row>
    <row r="1453" spans="1:12" x14ac:dyDescent="0.25">
      <c r="A1453" s="16">
        <v>1921006</v>
      </c>
      <c r="B1453" s="16" t="s">
        <v>700</v>
      </c>
      <c r="C1453" s="16">
        <f t="shared" si="27"/>
        <v>102</v>
      </c>
      <c r="D1453" s="16" t="str">
        <f>VLOOKUP(C1453,[1]道具配置表!$A:$D,4,FALSE)</f>
        <v>1食物</v>
      </c>
      <c r="E1453" s="16">
        <f>E1449+300</f>
        <v>2500</v>
      </c>
      <c r="J1453" s="16">
        <v>1</v>
      </c>
      <c r="L1453" s="16" t="b">
        <v>1</v>
      </c>
    </row>
    <row r="1454" spans="1:12" x14ac:dyDescent="0.25">
      <c r="C1454" s="16">
        <f t="shared" si="27"/>
        <v>101</v>
      </c>
      <c r="D1454" s="16" t="str">
        <f>VLOOKUP(C1454,[1]道具配置表!$A:$D,4,FALSE)</f>
        <v>1木材</v>
      </c>
      <c r="E1454" s="16">
        <f>E1450+500</f>
        <v>3500</v>
      </c>
      <c r="J1454" s="16">
        <v>1</v>
      </c>
      <c r="L1454" s="16" t="b">
        <v>1</v>
      </c>
    </row>
    <row r="1455" spans="1:12" x14ac:dyDescent="0.25">
      <c r="C1455" s="16">
        <f t="shared" si="27"/>
        <v>103</v>
      </c>
      <c r="D1455" s="16" t="str">
        <f>VLOOKUP(C1455,[1]道具配置表!$A:$D,4,FALSE)</f>
        <v>1石头</v>
      </c>
      <c r="E1455" s="16">
        <f>E1451+500</f>
        <v>3500</v>
      </c>
      <c r="J1455" s="16">
        <v>1</v>
      </c>
      <c r="L1455" s="16" t="b">
        <v>1</v>
      </c>
    </row>
    <row r="1456" spans="1:12" x14ac:dyDescent="0.25">
      <c r="C1456" s="16">
        <f t="shared" si="27"/>
        <v>104</v>
      </c>
      <c r="D1456" s="16" t="str">
        <f>VLOOKUP(C1456,[1]道具配置表!$A:$D,4,FALSE)</f>
        <v>1黄金</v>
      </c>
      <c r="E1456" s="16">
        <f>E1452+500</f>
        <v>3500</v>
      </c>
      <c r="J1456" s="16">
        <v>1</v>
      </c>
      <c r="L1456" s="16" t="b">
        <v>1</v>
      </c>
    </row>
    <row r="1457" spans="1:12" x14ac:dyDescent="0.25">
      <c r="A1457" s="16">
        <f>A1453+1</f>
        <v>1921007</v>
      </c>
      <c r="B1457" s="16" t="s">
        <v>701</v>
      </c>
      <c r="C1457" s="16">
        <f t="shared" ref="C1457:C1520" si="28">C1453</f>
        <v>102</v>
      </c>
      <c r="D1457" s="16" t="str">
        <f>VLOOKUP(C1457,[1]道具配置表!$A:$D,4,FALSE)</f>
        <v>1食物</v>
      </c>
      <c r="E1457" s="16">
        <f>E1453+300</f>
        <v>2800</v>
      </c>
      <c r="J1457" s="16">
        <v>1</v>
      </c>
      <c r="L1457" s="16" t="b">
        <v>1</v>
      </c>
    </row>
    <row r="1458" spans="1:12" x14ac:dyDescent="0.25">
      <c r="C1458" s="16">
        <f t="shared" si="28"/>
        <v>101</v>
      </c>
      <c r="D1458" s="16" t="str">
        <f>VLOOKUP(C1458,[1]道具配置表!$A:$D,4,FALSE)</f>
        <v>1木材</v>
      </c>
      <c r="E1458" s="16">
        <f>E1454+500</f>
        <v>4000</v>
      </c>
      <c r="J1458" s="16">
        <v>1</v>
      </c>
      <c r="L1458" s="16" t="b">
        <v>1</v>
      </c>
    </row>
    <row r="1459" spans="1:12" x14ac:dyDescent="0.25">
      <c r="C1459" s="16">
        <f t="shared" si="28"/>
        <v>103</v>
      </c>
      <c r="D1459" s="16" t="str">
        <f>VLOOKUP(C1459,[1]道具配置表!$A:$D,4,FALSE)</f>
        <v>1石头</v>
      </c>
      <c r="E1459" s="16">
        <f>E1455+500</f>
        <v>4000</v>
      </c>
      <c r="J1459" s="16">
        <v>1</v>
      </c>
      <c r="L1459" s="16" t="b">
        <v>1</v>
      </c>
    </row>
    <row r="1460" spans="1:12" x14ac:dyDescent="0.25">
      <c r="C1460" s="16">
        <f t="shared" si="28"/>
        <v>104</v>
      </c>
      <c r="D1460" s="16" t="str">
        <f>VLOOKUP(C1460,[1]道具配置表!$A:$D,4,FALSE)</f>
        <v>1黄金</v>
      </c>
      <c r="E1460" s="16">
        <f>E1456+500</f>
        <v>4000</v>
      </c>
      <c r="J1460" s="16">
        <v>1</v>
      </c>
      <c r="L1460" s="16" t="b">
        <v>1</v>
      </c>
    </row>
    <row r="1461" spans="1:12" x14ac:dyDescent="0.25">
      <c r="A1461" s="16">
        <f>A1457+1</f>
        <v>1921008</v>
      </c>
      <c r="B1461" s="16" t="s">
        <v>702</v>
      </c>
      <c r="C1461" s="16">
        <f t="shared" si="28"/>
        <v>102</v>
      </c>
      <c r="D1461" s="16" t="str">
        <f>VLOOKUP(C1461,[1]道具配置表!$A:$D,4,FALSE)</f>
        <v>1食物</v>
      </c>
      <c r="E1461" s="16">
        <f>E1457+300</f>
        <v>3100</v>
      </c>
      <c r="J1461" s="16">
        <v>1</v>
      </c>
      <c r="L1461" s="16" t="b">
        <v>1</v>
      </c>
    </row>
    <row r="1462" spans="1:12" x14ac:dyDescent="0.25">
      <c r="C1462" s="16">
        <f t="shared" si="28"/>
        <v>101</v>
      </c>
      <c r="D1462" s="16" t="str">
        <f>VLOOKUP(C1462,[1]道具配置表!$A:$D,4,FALSE)</f>
        <v>1木材</v>
      </c>
      <c r="E1462" s="16">
        <f>E1458+500</f>
        <v>4500</v>
      </c>
      <c r="J1462" s="16">
        <v>1</v>
      </c>
      <c r="L1462" s="16" t="b">
        <v>1</v>
      </c>
    </row>
    <row r="1463" spans="1:12" x14ac:dyDescent="0.25">
      <c r="C1463" s="16">
        <f t="shared" si="28"/>
        <v>103</v>
      </c>
      <c r="D1463" s="16" t="str">
        <f>VLOOKUP(C1463,[1]道具配置表!$A:$D,4,FALSE)</f>
        <v>1石头</v>
      </c>
      <c r="E1463" s="16">
        <f>E1459+500</f>
        <v>4500</v>
      </c>
      <c r="J1463" s="16">
        <v>1</v>
      </c>
      <c r="L1463" s="16" t="b">
        <v>1</v>
      </c>
    </row>
    <row r="1464" spans="1:12" x14ac:dyDescent="0.25">
      <c r="C1464" s="16">
        <f t="shared" si="28"/>
        <v>104</v>
      </c>
      <c r="D1464" s="16" t="str">
        <f>VLOOKUP(C1464,[1]道具配置表!$A:$D,4,FALSE)</f>
        <v>1黄金</v>
      </c>
      <c r="E1464" s="16">
        <f>E1460+500</f>
        <v>4500</v>
      </c>
      <c r="J1464" s="16">
        <v>1</v>
      </c>
      <c r="L1464" s="16" t="b">
        <v>1</v>
      </c>
    </row>
    <row r="1465" spans="1:12" x14ac:dyDescent="0.25">
      <c r="A1465" s="16">
        <f>A1461+1</f>
        <v>1921009</v>
      </c>
      <c r="B1465" s="16" t="s">
        <v>703</v>
      </c>
      <c r="C1465" s="16">
        <f t="shared" si="28"/>
        <v>102</v>
      </c>
      <c r="D1465" s="16" t="str">
        <f>VLOOKUP(C1465,[1]道具配置表!$A:$D,4,FALSE)</f>
        <v>1食物</v>
      </c>
      <c r="E1465" s="16">
        <f>E1461+300</f>
        <v>3400</v>
      </c>
      <c r="J1465" s="16">
        <v>1</v>
      </c>
      <c r="L1465" s="16" t="b">
        <v>1</v>
      </c>
    </row>
    <row r="1466" spans="1:12" x14ac:dyDescent="0.25">
      <c r="C1466" s="16">
        <f t="shared" si="28"/>
        <v>101</v>
      </c>
      <c r="D1466" s="16" t="str">
        <f>VLOOKUP(C1466,[1]道具配置表!$A:$D,4,FALSE)</f>
        <v>1木材</v>
      </c>
      <c r="E1466" s="16">
        <f>E1462+500</f>
        <v>5000</v>
      </c>
      <c r="J1466" s="16">
        <v>1</v>
      </c>
      <c r="L1466" s="16" t="b">
        <v>1</v>
      </c>
    </row>
    <row r="1467" spans="1:12" x14ac:dyDescent="0.25">
      <c r="C1467" s="16">
        <f t="shared" si="28"/>
        <v>103</v>
      </c>
      <c r="D1467" s="16" t="str">
        <f>VLOOKUP(C1467,[1]道具配置表!$A:$D,4,FALSE)</f>
        <v>1石头</v>
      </c>
      <c r="E1467" s="16">
        <f>E1463+500</f>
        <v>5000</v>
      </c>
      <c r="J1467" s="16">
        <v>1</v>
      </c>
      <c r="L1467" s="16" t="b">
        <v>1</v>
      </c>
    </row>
    <row r="1468" spans="1:12" x14ac:dyDescent="0.25">
      <c r="C1468" s="16">
        <f t="shared" si="28"/>
        <v>104</v>
      </c>
      <c r="D1468" s="16" t="str">
        <f>VLOOKUP(C1468,[1]道具配置表!$A:$D,4,FALSE)</f>
        <v>1黄金</v>
      </c>
      <c r="E1468" s="16">
        <f>E1464+500</f>
        <v>5000</v>
      </c>
      <c r="J1468" s="16">
        <v>1</v>
      </c>
      <c r="L1468" s="16" t="b">
        <v>1</v>
      </c>
    </row>
    <row r="1469" spans="1:12" x14ac:dyDescent="0.25">
      <c r="A1469" s="16">
        <f>A1465+1</f>
        <v>1921010</v>
      </c>
      <c r="B1469" s="16" t="s">
        <v>704</v>
      </c>
      <c r="C1469" s="16">
        <f t="shared" si="28"/>
        <v>102</v>
      </c>
      <c r="D1469" s="16" t="str">
        <f>VLOOKUP(C1469,[1]道具配置表!$A:$D,4,FALSE)</f>
        <v>1食物</v>
      </c>
      <c r="E1469" s="16">
        <f>E1465+300</f>
        <v>3700</v>
      </c>
      <c r="J1469" s="16">
        <v>1</v>
      </c>
      <c r="L1469" s="16" t="b">
        <v>1</v>
      </c>
    </row>
    <row r="1470" spans="1:12" x14ac:dyDescent="0.25">
      <c r="C1470" s="16">
        <f t="shared" si="28"/>
        <v>101</v>
      </c>
      <c r="D1470" s="16" t="str">
        <f>VLOOKUP(C1470,[1]道具配置表!$A:$D,4,FALSE)</f>
        <v>1木材</v>
      </c>
      <c r="E1470" s="16">
        <f>E1466+500</f>
        <v>5500</v>
      </c>
      <c r="J1470" s="16">
        <v>1</v>
      </c>
      <c r="L1470" s="16" t="b">
        <v>1</v>
      </c>
    </row>
    <row r="1471" spans="1:12" x14ac:dyDescent="0.25">
      <c r="C1471" s="16">
        <f t="shared" si="28"/>
        <v>103</v>
      </c>
      <c r="D1471" s="16" t="str">
        <f>VLOOKUP(C1471,[1]道具配置表!$A:$D,4,FALSE)</f>
        <v>1石头</v>
      </c>
      <c r="E1471" s="16">
        <f>E1467+500</f>
        <v>5500</v>
      </c>
      <c r="J1471" s="16">
        <v>1</v>
      </c>
      <c r="L1471" s="16" t="b">
        <v>1</v>
      </c>
    </row>
    <row r="1472" spans="1:12" x14ac:dyDescent="0.25">
      <c r="C1472" s="16">
        <f t="shared" si="28"/>
        <v>104</v>
      </c>
      <c r="D1472" s="16" t="str">
        <f>VLOOKUP(C1472,[1]道具配置表!$A:$D,4,FALSE)</f>
        <v>1黄金</v>
      </c>
      <c r="E1472" s="16">
        <f>E1468+500</f>
        <v>5500</v>
      </c>
      <c r="J1472" s="16">
        <v>1</v>
      </c>
      <c r="L1472" s="16" t="b">
        <v>1</v>
      </c>
    </row>
    <row r="1473" spans="1:12" x14ac:dyDescent="0.25">
      <c r="A1473" s="16">
        <f>A1469+1</f>
        <v>1921011</v>
      </c>
      <c r="B1473" s="16" t="s">
        <v>705</v>
      </c>
      <c r="C1473" s="16">
        <f t="shared" si="28"/>
        <v>102</v>
      </c>
      <c r="D1473" s="16" t="str">
        <f>VLOOKUP(C1473,[1]道具配置表!$A:$D,4,FALSE)</f>
        <v>1食物</v>
      </c>
      <c r="E1473" s="16">
        <f>E1469+300</f>
        <v>4000</v>
      </c>
      <c r="J1473" s="16">
        <v>1</v>
      </c>
      <c r="L1473" s="16" t="b">
        <v>1</v>
      </c>
    </row>
    <row r="1474" spans="1:12" x14ac:dyDescent="0.25">
      <c r="C1474" s="16">
        <f t="shared" si="28"/>
        <v>101</v>
      </c>
      <c r="D1474" s="16" t="str">
        <f>VLOOKUP(C1474,[1]道具配置表!$A:$D,4,FALSE)</f>
        <v>1木材</v>
      </c>
      <c r="E1474" s="16">
        <f>E1470+500</f>
        <v>6000</v>
      </c>
      <c r="J1474" s="16">
        <v>1</v>
      </c>
      <c r="L1474" s="16" t="b">
        <v>1</v>
      </c>
    </row>
    <row r="1475" spans="1:12" x14ac:dyDescent="0.25">
      <c r="C1475" s="16">
        <f t="shared" si="28"/>
        <v>103</v>
      </c>
      <c r="D1475" s="16" t="str">
        <f>VLOOKUP(C1475,[1]道具配置表!$A:$D,4,FALSE)</f>
        <v>1石头</v>
      </c>
      <c r="E1475" s="16">
        <f>E1471+500</f>
        <v>6000</v>
      </c>
      <c r="J1475" s="16">
        <v>1</v>
      </c>
      <c r="L1475" s="16" t="b">
        <v>1</v>
      </c>
    </row>
    <row r="1476" spans="1:12" x14ac:dyDescent="0.25">
      <c r="C1476" s="16">
        <f t="shared" si="28"/>
        <v>104</v>
      </c>
      <c r="D1476" s="16" t="str">
        <f>VLOOKUP(C1476,[1]道具配置表!$A:$D,4,FALSE)</f>
        <v>1黄金</v>
      </c>
      <c r="E1476" s="16">
        <f>E1472+500</f>
        <v>6000</v>
      </c>
      <c r="J1476" s="16">
        <v>1</v>
      </c>
      <c r="L1476" s="16" t="b">
        <v>1</v>
      </c>
    </row>
    <row r="1477" spans="1:12" x14ac:dyDescent="0.25">
      <c r="A1477" s="16">
        <f>A1473+1</f>
        <v>1921012</v>
      </c>
      <c r="B1477" s="16" t="s">
        <v>706</v>
      </c>
      <c r="C1477" s="16">
        <f t="shared" si="28"/>
        <v>102</v>
      </c>
      <c r="D1477" s="16" t="str">
        <f>VLOOKUP(C1477,[1]道具配置表!$A:$D,4,FALSE)</f>
        <v>1食物</v>
      </c>
      <c r="E1477" s="16">
        <f>E1473+300</f>
        <v>4300</v>
      </c>
      <c r="J1477" s="16">
        <v>1</v>
      </c>
      <c r="L1477" s="16" t="b">
        <v>1</v>
      </c>
    </row>
    <row r="1478" spans="1:12" x14ac:dyDescent="0.25">
      <c r="C1478" s="16">
        <f t="shared" si="28"/>
        <v>101</v>
      </c>
      <c r="D1478" s="16" t="str">
        <f>VLOOKUP(C1478,[1]道具配置表!$A:$D,4,FALSE)</f>
        <v>1木材</v>
      </c>
      <c r="E1478" s="16">
        <f>E1474+500</f>
        <v>6500</v>
      </c>
      <c r="J1478" s="16">
        <v>1</v>
      </c>
      <c r="L1478" s="16" t="b">
        <v>1</v>
      </c>
    </row>
    <row r="1479" spans="1:12" x14ac:dyDescent="0.25">
      <c r="C1479" s="16">
        <f t="shared" si="28"/>
        <v>103</v>
      </c>
      <c r="D1479" s="16" t="str">
        <f>VLOOKUP(C1479,[1]道具配置表!$A:$D,4,FALSE)</f>
        <v>1石头</v>
      </c>
      <c r="E1479" s="16">
        <f>E1475+500</f>
        <v>6500</v>
      </c>
      <c r="J1479" s="16">
        <v>1</v>
      </c>
      <c r="L1479" s="16" t="b">
        <v>1</v>
      </c>
    </row>
    <row r="1480" spans="1:12" x14ac:dyDescent="0.25">
      <c r="C1480" s="16">
        <f t="shared" si="28"/>
        <v>104</v>
      </c>
      <c r="D1480" s="16" t="str">
        <f>VLOOKUP(C1480,[1]道具配置表!$A:$D,4,FALSE)</f>
        <v>1黄金</v>
      </c>
      <c r="E1480" s="16">
        <f>E1476+500</f>
        <v>6500</v>
      </c>
      <c r="J1480" s="16">
        <v>1</v>
      </c>
      <c r="L1480" s="16" t="b">
        <v>1</v>
      </c>
    </row>
    <row r="1481" spans="1:12" x14ac:dyDescent="0.25">
      <c r="A1481" s="16">
        <f>A1477+1</f>
        <v>1921013</v>
      </c>
      <c r="B1481" s="16" t="s">
        <v>707</v>
      </c>
      <c r="C1481" s="16">
        <f t="shared" si="28"/>
        <v>102</v>
      </c>
      <c r="D1481" s="16" t="str">
        <f>VLOOKUP(C1481,[1]道具配置表!$A:$D,4,FALSE)</f>
        <v>1食物</v>
      </c>
      <c r="E1481" s="16">
        <f>E1477+300</f>
        <v>4600</v>
      </c>
      <c r="J1481" s="16">
        <v>1</v>
      </c>
      <c r="L1481" s="16" t="b">
        <v>1</v>
      </c>
    </row>
    <row r="1482" spans="1:12" x14ac:dyDescent="0.25">
      <c r="C1482" s="16">
        <f t="shared" si="28"/>
        <v>101</v>
      </c>
      <c r="D1482" s="16" t="str">
        <f>VLOOKUP(C1482,[1]道具配置表!$A:$D,4,FALSE)</f>
        <v>1木材</v>
      </c>
      <c r="E1482" s="16">
        <f>E1478+500</f>
        <v>7000</v>
      </c>
      <c r="J1482" s="16">
        <v>1</v>
      </c>
      <c r="L1482" s="16" t="b">
        <v>1</v>
      </c>
    </row>
    <row r="1483" spans="1:12" x14ac:dyDescent="0.25">
      <c r="C1483" s="16">
        <f t="shared" si="28"/>
        <v>103</v>
      </c>
      <c r="D1483" s="16" t="str">
        <f>VLOOKUP(C1483,[1]道具配置表!$A:$D,4,FALSE)</f>
        <v>1石头</v>
      </c>
      <c r="E1483" s="16">
        <f>E1479+500</f>
        <v>7000</v>
      </c>
      <c r="J1483" s="16">
        <v>1</v>
      </c>
      <c r="L1483" s="16" t="b">
        <v>1</v>
      </c>
    </row>
    <row r="1484" spans="1:12" x14ac:dyDescent="0.25">
      <c r="C1484" s="16">
        <f t="shared" si="28"/>
        <v>104</v>
      </c>
      <c r="D1484" s="16" t="str">
        <f>VLOOKUP(C1484,[1]道具配置表!$A:$D,4,FALSE)</f>
        <v>1黄金</v>
      </c>
      <c r="E1484" s="16">
        <f>E1480+500</f>
        <v>7000</v>
      </c>
      <c r="J1484" s="16">
        <v>1</v>
      </c>
      <c r="L1484" s="16" t="b">
        <v>1</v>
      </c>
    </row>
    <row r="1485" spans="1:12" x14ac:dyDescent="0.25">
      <c r="A1485" s="16">
        <f>A1481+1</f>
        <v>1921014</v>
      </c>
      <c r="B1485" s="16" t="s">
        <v>708</v>
      </c>
      <c r="C1485" s="16">
        <f t="shared" si="28"/>
        <v>102</v>
      </c>
      <c r="D1485" s="16" t="str">
        <f>VLOOKUP(C1485,[1]道具配置表!$A:$D,4,FALSE)</f>
        <v>1食物</v>
      </c>
      <c r="E1485" s="16">
        <f>E1481+300</f>
        <v>4900</v>
      </c>
      <c r="J1485" s="16">
        <v>1</v>
      </c>
      <c r="L1485" s="16" t="b">
        <v>1</v>
      </c>
    </row>
    <row r="1486" spans="1:12" x14ac:dyDescent="0.25">
      <c r="C1486" s="16">
        <f t="shared" si="28"/>
        <v>101</v>
      </c>
      <c r="D1486" s="16" t="str">
        <f>VLOOKUP(C1486,[1]道具配置表!$A:$D,4,FALSE)</f>
        <v>1木材</v>
      </c>
      <c r="E1486" s="16">
        <f>E1482+500</f>
        <v>7500</v>
      </c>
      <c r="J1486" s="16">
        <v>1</v>
      </c>
      <c r="L1486" s="16" t="b">
        <v>1</v>
      </c>
    </row>
    <row r="1487" spans="1:12" x14ac:dyDescent="0.25">
      <c r="C1487" s="16">
        <f t="shared" si="28"/>
        <v>103</v>
      </c>
      <c r="D1487" s="16" t="str">
        <f>VLOOKUP(C1487,[1]道具配置表!$A:$D,4,FALSE)</f>
        <v>1石头</v>
      </c>
      <c r="E1487" s="16">
        <f>E1483+500</f>
        <v>7500</v>
      </c>
      <c r="J1487" s="16">
        <v>1</v>
      </c>
      <c r="L1487" s="16" t="b">
        <v>1</v>
      </c>
    </row>
    <row r="1488" spans="1:12" x14ac:dyDescent="0.25">
      <c r="C1488" s="16">
        <f t="shared" si="28"/>
        <v>104</v>
      </c>
      <c r="D1488" s="16" t="str">
        <f>VLOOKUP(C1488,[1]道具配置表!$A:$D,4,FALSE)</f>
        <v>1黄金</v>
      </c>
      <c r="E1488" s="16">
        <f>E1484+500</f>
        <v>7500</v>
      </c>
      <c r="J1488" s="16">
        <v>1</v>
      </c>
      <c r="L1488" s="16" t="b">
        <v>1</v>
      </c>
    </row>
    <row r="1489" spans="1:12" x14ac:dyDescent="0.25">
      <c r="A1489" s="16">
        <f>A1485+1</f>
        <v>1921015</v>
      </c>
      <c r="B1489" s="16" t="s">
        <v>709</v>
      </c>
      <c r="C1489" s="16">
        <f t="shared" si="28"/>
        <v>102</v>
      </c>
      <c r="D1489" s="16" t="str">
        <f>VLOOKUP(C1489,[1]道具配置表!$A:$D,4,FALSE)</f>
        <v>1食物</v>
      </c>
      <c r="E1489" s="16">
        <f>E1485+300</f>
        <v>5200</v>
      </c>
      <c r="J1489" s="16">
        <v>1</v>
      </c>
      <c r="L1489" s="16" t="b">
        <v>1</v>
      </c>
    </row>
    <row r="1490" spans="1:12" x14ac:dyDescent="0.25">
      <c r="C1490" s="16">
        <f t="shared" si="28"/>
        <v>101</v>
      </c>
      <c r="D1490" s="16" t="str">
        <f>VLOOKUP(C1490,[1]道具配置表!$A:$D,4,FALSE)</f>
        <v>1木材</v>
      </c>
      <c r="E1490" s="16">
        <f>E1486+500</f>
        <v>8000</v>
      </c>
      <c r="J1490" s="16">
        <v>1</v>
      </c>
      <c r="L1490" s="16" t="b">
        <v>1</v>
      </c>
    </row>
    <row r="1491" spans="1:12" x14ac:dyDescent="0.25">
      <c r="C1491" s="16">
        <f t="shared" si="28"/>
        <v>103</v>
      </c>
      <c r="D1491" s="16" t="str">
        <f>VLOOKUP(C1491,[1]道具配置表!$A:$D,4,FALSE)</f>
        <v>1石头</v>
      </c>
      <c r="E1491" s="16">
        <f>E1487+500</f>
        <v>8000</v>
      </c>
      <c r="J1491" s="16">
        <v>1</v>
      </c>
      <c r="L1491" s="16" t="b">
        <v>1</v>
      </c>
    </row>
    <row r="1492" spans="1:12" x14ac:dyDescent="0.25">
      <c r="C1492" s="16">
        <f t="shared" si="28"/>
        <v>104</v>
      </c>
      <c r="D1492" s="16" t="str">
        <f>VLOOKUP(C1492,[1]道具配置表!$A:$D,4,FALSE)</f>
        <v>1黄金</v>
      </c>
      <c r="E1492" s="16">
        <f>E1488+500</f>
        <v>8000</v>
      </c>
      <c r="J1492" s="16">
        <v>1</v>
      </c>
      <c r="L1492" s="16" t="b">
        <v>1</v>
      </c>
    </row>
    <row r="1493" spans="1:12" x14ac:dyDescent="0.25">
      <c r="A1493" s="16">
        <f>A1489+1</f>
        <v>1921016</v>
      </c>
      <c r="B1493" s="16" t="s">
        <v>710</v>
      </c>
      <c r="C1493" s="16">
        <f t="shared" si="28"/>
        <v>102</v>
      </c>
      <c r="D1493" s="16" t="str">
        <f>VLOOKUP(C1493,[1]道具配置表!$A:$D,4,FALSE)</f>
        <v>1食物</v>
      </c>
      <c r="E1493" s="16">
        <f>E1489+300</f>
        <v>5500</v>
      </c>
      <c r="J1493" s="16">
        <v>1</v>
      </c>
      <c r="L1493" s="16" t="b">
        <v>1</v>
      </c>
    </row>
    <row r="1494" spans="1:12" x14ac:dyDescent="0.25">
      <c r="C1494" s="16">
        <f t="shared" si="28"/>
        <v>101</v>
      </c>
      <c r="D1494" s="16" t="str">
        <f>VLOOKUP(C1494,[1]道具配置表!$A:$D,4,FALSE)</f>
        <v>1木材</v>
      </c>
      <c r="E1494" s="16">
        <f>E1490+500</f>
        <v>8500</v>
      </c>
      <c r="J1494" s="16">
        <v>1</v>
      </c>
      <c r="L1494" s="16" t="b">
        <v>1</v>
      </c>
    </row>
    <row r="1495" spans="1:12" x14ac:dyDescent="0.25">
      <c r="C1495" s="16">
        <f t="shared" si="28"/>
        <v>103</v>
      </c>
      <c r="D1495" s="16" t="str">
        <f>VLOOKUP(C1495,[1]道具配置表!$A:$D,4,FALSE)</f>
        <v>1石头</v>
      </c>
      <c r="E1495" s="16">
        <f>E1491+500</f>
        <v>8500</v>
      </c>
      <c r="J1495" s="16">
        <v>1</v>
      </c>
      <c r="L1495" s="16" t="b">
        <v>1</v>
      </c>
    </row>
    <row r="1496" spans="1:12" x14ac:dyDescent="0.25">
      <c r="C1496" s="16">
        <f t="shared" si="28"/>
        <v>104</v>
      </c>
      <c r="D1496" s="16" t="str">
        <f>VLOOKUP(C1496,[1]道具配置表!$A:$D,4,FALSE)</f>
        <v>1黄金</v>
      </c>
      <c r="E1496" s="16">
        <f>E1492+500</f>
        <v>8500</v>
      </c>
      <c r="J1496" s="16">
        <v>1</v>
      </c>
      <c r="L1496" s="16" t="b">
        <v>1</v>
      </c>
    </row>
    <row r="1497" spans="1:12" x14ac:dyDescent="0.25">
      <c r="A1497" s="16">
        <f>A1493+1</f>
        <v>1921017</v>
      </c>
      <c r="B1497" s="16" t="s">
        <v>711</v>
      </c>
      <c r="C1497" s="16">
        <f t="shared" si="28"/>
        <v>102</v>
      </c>
      <c r="D1497" s="16" t="str">
        <f>VLOOKUP(C1497,[1]道具配置表!$A:$D,4,FALSE)</f>
        <v>1食物</v>
      </c>
      <c r="E1497" s="16">
        <f>E1493+300</f>
        <v>5800</v>
      </c>
      <c r="J1497" s="16">
        <v>1</v>
      </c>
      <c r="L1497" s="16" t="b">
        <v>1</v>
      </c>
    </row>
    <row r="1498" spans="1:12" x14ac:dyDescent="0.25">
      <c r="C1498" s="16">
        <f t="shared" si="28"/>
        <v>101</v>
      </c>
      <c r="D1498" s="16" t="str">
        <f>VLOOKUP(C1498,[1]道具配置表!$A:$D,4,FALSE)</f>
        <v>1木材</v>
      </c>
      <c r="E1498" s="16">
        <f>E1494+500</f>
        <v>9000</v>
      </c>
      <c r="J1498" s="16">
        <v>1</v>
      </c>
      <c r="L1498" s="16" t="b">
        <v>1</v>
      </c>
    </row>
    <row r="1499" spans="1:12" x14ac:dyDescent="0.25">
      <c r="C1499" s="16">
        <f t="shared" si="28"/>
        <v>103</v>
      </c>
      <c r="D1499" s="16" t="str">
        <f>VLOOKUP(C1499,[1]道具配置表!$A:$D,4,FALSE)</f>
        <v>1石头</v>
      </c>
      <c r="E1499" s="16">
        <f>E1495+500</f>
        <v>9000</v>
      </c>
      <c r="J1499" s="16">
        <v>1</v>
      </c>
      <c r="L1499" s="16" t="b">
        <v>1</v>
      </c>
    </row>
    <row r="1500" spans="1:12" x14ac:dyDescent="0.25">
      <c r="C1500" s="16">
        <f t="shared" si="28"/>
        <v>104</v>
      </c>
      <c r="D1500" s="16" t="str">
        <f>VLOOKUP(C1500,[1]道具配置表!$A:$D,4,FALSE)</f>
        <v>1黄金</v>
      </c>
      <c r="E1500" s="16">
        <f>E1496+500</f>
        <v>9000</v>
      </c>
      <c r="J1500" s="16">
        <v>1</v>
      </c>
      <c r="L1500" s="16" t="b">
        <v>1</v>
      </c>
    </row>
    <row r="1501" spans="1:12" x14ac:dyDescent="0.25">
      <c r="A1501" s="16">
        <f>A1497+1</f>
        <v>1921018</v>
      </c>
      <c r="B1501" s="16" t="s">
        <v>712</v>
      </c>
      <c r="C1501" s="16">
        <f t="shared" si="28"/>
        <v>102</v>
      </c>
      <c r="D1501" s="16" t="str">
        <f>VLOOKUP(C1501,[1]道具配置表!$A:$D,4,FALSE)</f>
        <v>1食物</v>
      </c>
      <c r="E1501" s="16">
        <f>E1497+300</f>
        <v>6100</v>
      </c>
      <c r="J1501" s="16">
        <v>1</v>
      </c>
      <c r="L1501" s="16" t="b">
        <v>1</v>
      </c>
    </row>
    <row r="1502" spans="1:12" x14ac:dyDescent="0.25">
      <c r="C1502" s="16">
        <f t="shared" si="28"/>
        <v>101</v>
      </c>
      <c r="D1502" s="16" t="str">
        <f>VLOOKUP(C1502,[1]道具配置表!$A:$D,4,FALSE)</f>
        <v>1木材</v>
      </c>
      <c r="E1502" s="16">
        <f>E1498+500</f>
        <v>9500</v>
      </c>
      <c r="J1502" s="16">
        <v>1</v>
      </c>
      <c r="L1502" s="16" t="b">
        <v>1</v>
      </c>
    </row>
    <row r="1503" spans="1:12" x14ac:dyDescent="0.25">
      <c r="C1503" s="16">
        <f t="shared" si="28"/>
        <v>103</v>
      </c>
      <c r="D1503" s="16" t="str">
        <f>VLOOKUP(C1503,[1]道具配置表!$A:$D,4,FALSE)</f>
        <v>1石头</v>
      </c>
      <c r="E1503" s="16">
        <f>E1499+500</f>
        <v>9500</v>
      </c>
      <c r="J1503" s="16">
        <v>1</v>
      </c>
      <c r="L1503" s="16" t="b">
        <v>1</v>
      </c>
    </row>
    <row r="1504" spans="1:12" x14ac:dyDescent="0.25">
      <c r="C1504" s="16">
        <f t="shared" si="28"/>
        <v>104</v>
      </c>
      <c r="D1504" s="16" t="str">
        <f>VLOOKUP(C1504,[1]道具配置表!$A:$D,4,FALSE)</f>
        <v>1黄金</v>
      </c>
      <c r="E1504" s="16">
        <f>E1500+500</f>
        <v>9500</v>
      </c>
      <c r="J1504" s="16">
        <v>1</v>
      </c>
      <c r="L1504" s="16" t="b">
        <v>1</v>
      </c>
    </row>
    <row r="1505" spans="1:12" x14ac:dyDescent="0.25">
      <c r="A1505" s="16">
        <f>A1501+1</f>
        <v>1921019</v>
      </c>
      <c r="B1505" s="16" t="s">
        <v>713</v>
      </c>
      <c r="C1505" s="16">
        <f t="shared" si="28"/>
        <v>102</v>
      </c>
      <c r="D1505" s="16" t="str">
        <f>VLOOKUP(C1505,[1]道具配置表!$A:$D,4,FALSE)</f>
        <v>1食物</v>
      </c>
      <c r="E1505" s="16">
        <f>E1501+300</f>
        <v>6400</v>
      </c>
      <c r="J1505" s="16">
        <v>1</v>
      </c>
      <c r="L1505" s="16" t="b">
        <v>1</v>
      </c>
    </row>
    <row r="1506" spans="1:12" x14ac:dyDescent="0.25">
      <c r="C1506" s="16">
        <f t="shared" si="28"/>
        <v>101</v>
      </c>
      <c r="D1506" s="16" t="str">
        <f>VLOOKUP(C1506,[1]道具配置表!$A:$D,4,FALSE)</f>
        <v>1木材</v>
      </c>
      <c r="E1506" s="16">
        <f>E1502+500</f>
        <v>10000</v>
      </c>
      <c r="J1506" s="16">
        <v>1</v>
      </c>
      <c r="L1506" s="16" t="b">
        <v>1</v>
      </c>
    </row>
    <row r="1507" spans="1:12" x14ac:dyDescent="0.25">
      <c r="C1507" s="16">
        <f t="shared" si="28"/>
        <v>103</v>
      </c>
      <c r="D1507" s="16" t="str">
        <f>VLOOKUP(C1507,[1]道具配置表!$A:$D,4,FALSE)</f>
        <v>1石头</v>
      </c>
      <c r="E1507" s="16">
        <f>E1503+500</f>
        <v>10000</v>
      </c>
      <c r="J1507" s="16">
        <v>1</v>
      </c>
      <c r="L1507" s="16" t="b">
        <v>1</v>
      </c>
    </row>
    <row r="1508" spans="1:12" x14ac:dyDescent="0.25">
      <c r="C1508" s="16">
        <f t="shared" si="28"/>
        <v>104</v>
      </c>
      <c r="D1508" s="16" t="str">
        <f>VLOOKUP(C1508,[1]道具配置表!$A:$D,4,FALSE)</f>
        <v>1黄金</v>
      </c>
      <c r="E1508" s="16">
        <f>E1504+500</f>
        <v>10000</v>
      </c>
      <c r="J1508" s="16">
        <v>1</v>
      </c>
      <c r="L1508" s="16" t="b">
        <v>1</v>
      </c>
    </row>
    <row r="1509" spans="1:12" x14ac:dyDescent="0.25">
      <c r="A1509" s="16">
        <f>A1505+1</f>
        <v>1921020</v>
      </c>
      <c r="B1509" s="16" t="s">
        <v>714</v>
      </c>
      <c r="C1509" s="16">
        <f t="shared" si="28"/>
        <v>102</v>
      </c>
      <c r="D1509" s="16" t="str">
        <f>VLOOKUP(C1509,[1]道具配置表!$A:$D,4,FALSE)</f>
        <v>1食物</v>
      </c>
      <c r="E1509" s="16">
        <f>E1505+300</f>
        <v>6700</v>
      </c>
      <c r="J1509" s="16">
        <v>1</v>
      </c>
      <c r="L1509" s="16" t="b">
        <v>1</v>
      </c>
    </row>
    <row r="1510" spans="1:12" x14ac:dyDescent="0.25">
      <c r="C1510" s="16">
        <f t="shared" si="28"/>
        <v>101</v>
      </c>
      <c r="D1510" s="16" t="str">
        <f>VLOOKUP(C1510,[1]道具配置表!$A:$D,4,FALSE)</f>
        <v>1木材</v>
      </c>
      <c r="E1510" s="16">
        <f>E1506+500</f>
        <v>10500</v>
      </c>
      <c r="J1510" s="16">
        <v>1</v>
      </c>
      <c r="L1510" s="16" t="b">
        <v>1</v>
      </c>
    </row>
    <row r="1511" spans="1:12" x14ac:dyDescent="0.25">
      <c r="C1511" s="16">
        <f t="shared" si="28"/>
        <v>103</v>
      </c>
      <c r="D1511" s="16" t="str">
        <f>VLOOKUP(C1511,[1]道具配置表!$A:$D,4,FALSE)</f>
        <v>1石头</v>
      </c>
      <c r="E1511" s="16">
        <f>E1507+500</f>
        <v>10500</v>
      </c>
      <c r="J1511" s="16">
        <v>1</v>
      </c>
      <c r="L1511" s="16" t="b">
        <v>1</v>
      </c>
    </row>
    <row r="1512" spans="1:12" x14ac:dyDescent="0.25">
      <c r="C1512" s="16">
        <f t="shared" si="28"/>
        <v>104</v>
      </c>
      <c r="D1512" s="16" t="str">
        <f>VLOOKUP(C1512,[1]道具配置表!$A:$D,4,FALSE)</f>
        <v>1黄金</v>
      </c>
      <c r="E1512" s="16">
        <f>E1508+500</f>
        <v>10500</v>
      </c>
      <c r="J1512" s="16">
        <v>1</v>
      </c>
      <c r="L1512" s="16" t="b">
        <v>1</v>
      </c>
    </row>
    <row r="1513" spans="1:12" x14ac:dyDescent="0.25">
      <c r="A1513" s="16">
        <f>A1509+1</f>
        <v>1921021</v>
      </c>
      <c r="B1513" s="16" t="s">
        <v>715</v>
      </c>
      <c r="C1513" s="16">
        <f t="shared" si="28"/>
        <v>102</v>
      </c>
      <c r="D1513" s="16" t="str">
        <f>VLOOKUP(C1513,[1]道具配置表!$A:$D,4,FALSE)</f>
        <v>1食物</v>
      </c>
      <c r="E1513" s="16">
        <f>E1509+300</f>
        <v>7000</v>
      </c>
      <c r="J1513" s="16">
        <v>1</v>
      </c>
      <c r="L1513" s="16" t="b">
        <v>1</v>
      </c>
    </row>
    <row r="1514" spans="1:12" x14ac:dyDescent="0.25">
      <c r="C1514" s="16">
        <f t="shared" si="28"/>
        <v>101</v>
      </c>
      <c r="D1514" s="16" t="str">
        <f>VLOOKUP(C1514,[1]道具配置表!$A:$D,4,FALSE)</f>
        <v>1木材</v>
      </c>
      <c r="E1514" s="16">
        <f>E1510+500</f>
        <v>11000</v>
      </c>
      <c r="J1514" s="16">
        <v>1</v>
      </c>
      <c r="L1514" s="16" t="b">
        <v>1</v>
      </c>
    </row>
    <row r="1515" spans="1:12" x14ac:dyDescent="0.25">
      <c r="C1515" s="16">
        <f t="shared" si="28"/>
        <v>103</v>
      </c>
      <c r="D1515" s="16" t="str">
        <f>VLOOKUP(C1515,[1]道具配置表!$A:$D,4,FALSE)</f>
        <v>1石头</v>
      </c>
      <c r="E1515" s="16">
        <f>E1511+500</f>
        <v>11000</v>
      </c>
      <c r="J1515" s="16">
        <v>1</v>
      </c>
      <c r="L1515" s="16" t="b">
        <v>1</v>
      </c>
    </row>
    <row r="1516" spans="1:12" x14ac:dyDescent="0.25">
      <c r="C1516" s="16">
        <f t="shared" si="28"/>
        <v>104</v>
      </c>
      <c r="D1516" s="16" t="str">
        <f>VLOOKUP(C1516,[1]道具配置表!$A:$D,4,FALSE)</f>
        <v>1黄金</v>
      </c>
      <c r="E1516" s="16">
        <f>E1512+500</f>
        <v>11000</v>
      </c>
      <c r="J1516" s="16">
        <v>1</v>
      </c>
      <c r="L1516" s="16" t="b">
        <v>1</v>
      </c>
    </row>
    <row r="1517" spans="1:12" x14ac:dyDescent="0.25">
      <c r="A1517" s="16">
        <f>A1513+1</f>
        <v>1921022</v>
      </c>
      <c r="B1517" s="16" t="s">
        <v>716</v>
      </c>
      <c r="C1517" s="16">
        <f t="shared" si="28"/>
        <v>102</v>
      </c>
      <c r="D1517" s="16" t="str">
        <f>VLOOKUP(C1517,[1]道具配置表!$A:$D,4,FALSE)</f>
        <v>1食物</v>
      </c>
      <c r="E1517" s="16">
        <f>E1513+300</f>
        <v>7300</v>
      </c>
      <c r="J1517" s="16">
        <v>1</v>
      </c>
      <c r="L1517" s="16" t="b">
        <v>1</v>
      </c>
    </row>
    <row r="1518" spans="1:12" x14ac:dyDescent="0.25">
      <c r="C1518" s="16">
        <f t="shared" si="28"/>
        <v>101</v>
      </c>
      <c r="D1518" s="16" t="str">
        <f>VLOOKUP(C1518,[1]道具配置表!$A:$D,4,FALSE)</f>
        <v>1木材</v>
      </c>
      <c r="E1518" s="16">
        <f>E1514+500</f>
        <v>11500</v>
      </c>
      <c r="J1518" s="16">
        <v>1</v>
      </c>
      <c r="L1518" s="16" t="b">
        <v>1</v>
      </c>
    </row>
    <row r="1519" spans="1:12" x14ac:dyDescent="0.25">
      <c r="C1519" s="16">
        <f t="shared" si="28"/>
        <v>103</v>
      </c>
      <c r="D1519" s="16" t="str">
        <f>VLOOKUP(C1519,[1]道具配置表!$A:$D,4,FALSE)</f>
        <v>1石头</v>
      </c>
      <c r="E1519" s="16">
        <f>E1515+500</f>
        <v>11500</v>
      </c>
      <c r="J1519" s="16">
        <v>1</v>
      </c>
      <c r="L1519" s="16" t="b">
        <v>1</v>
      </c>
    </row>
    <row r="1520" spans="1:12" x14ac:dyDescent="0.25">
      <c r="C1520" s="16">
        <f t="shared" si="28"/>
        <v>104</v>
      </c>
      <c r="D1520" s="16" t="str">
        <f>VLOOKUP(C1520,[1]道具配置表!$A:$D,4,FALSE)</f>
        <v>1黄金</v>
      </c>
      <c r="E1520" s="16">
        <f>E1516+500</f>
        <v>11500</v>
      </c>
      <c r="J1520" s="16">
        <v>1</v>
      </c>
      <c r="L1520" s="16" t="b">
        <v>1</v>
      </c>
    </row>
    <row r="1521" spans="1:12" x14ac:dyDescent="0.25">
      <c r="A1521" s="16">
        <f>A1517+1</f>
        <v>1921023</v>
      </c>
      <c r="B1521" s="16" t="s">
        <v>717</v>
      </c>
      <c r="C1521" s="16">
        <f t="shared" ref="C1521:C1584" si="29">C1517</f>
        <v>102</v>
      </c>
      <c r="D1521" s="16" t="str">
        <f>VLOOKUP(C1521,[1]道具配置表!$A:$D,4,FALSE)</f>
        <v>1食物</v>
      </c>
      <c r="E1521" s="16">
        <f>E1517+300</f>
        <v>7600</v>
      </c>
      <c r="J1521" s="16">
        <v>1</v>
      </c>
      <c r="L1521" s="16" t="b">
        <v>1</v>
      </c>
    </row>
    <row r="1522" spans="1:12" x14ac:dyDescent="0.25">
      <c r="C1522" s="16">
        <f t="shared" si="29"/>
        <v>101</v>
      </c>
      <c r="D1522" s="16" t="str">
        <f>VLOOKUP(C1522,[1]道具配置表!$A:$D,4,FALSE)</f>
        <v>1木材</v>
      </c>
      <c r="E1522" s="16">
        <f>E1518+500</f>
        <v>12000</v>
      </c>
      <c r="J1522" s="16">
        <v>1</v>
      </c>
      <c r="L1522" s="16" t="b">
        <v>1</v>
      </c>
    </row>
    <row r="1523" spans="1:12" x14ac:dyDescent="0.25">
      <c r="C1523" s="16">
        <f t="shared" si="29"/>
        <v>103</v>
      </c>
      <c r="D1523" s="16" t="str">
        <f>VLOOKUP(C1523,[1]道具配置表!$A:$D,4,FALSE)</f>
        <v>1石头</v>
      </c>
      <c r="E1523" s="16">
        <f>E1519+500</f>
        <v>12000</v>
      </c>
      <c r="J1523" s="16">
        <v>1</v>
      </c>
      <c r="L1523" s="16" t="b">
        <v>1</v>
      </c>
    </row>
    <row r="1524" spans="1:12" x14ac:dyDescent="0.25">
      <c r="C1524" s="16">
        <f t="shared" si="29"/>
        <v>104</v>
      </c>
      <c r="D1524" s="16" t="str">
        <f>VLOOKUP(C1524,[1]道具配置表!$A:$D,4,FALSE)</f>
        <v>1黄金</v>
      </c>
      <c r="E1524" s="16">
        <f>E1520+500</f>
        <v>12000</v>
      </c>
      <c r="J1524" s="16">
        <v>1</v>
      </c>
      <c r="L1524" s="16" t="b">
        <v>1</v>
      </c>
    </row>
    <row r="1525" spans="1:12" x14ac:dyDescent="0.25">
      <c r="A1525" s="16">
        <f>A1521+1</f>
        <v>1921024</v>
      </c>
      <c r="B1525" s="16" t="s">
        <v>718</v>
      </c>
      <c r="C1525" s="16">
        <f t="shared" si="29"/>
        <v>102</v>
      </c>
      <c r="D1525" s="16" t="str">
        <f>VLOOKUP(C1525,[1]道具配置表!$A:$D,4,FALSE)</f>
        <v>1食物</v>
      </c>
      <c r="E1525" s="16">
        <f>E1521+300</f>
        <v>7900</v>
      </c>
      <c r="J1525" s="16">
        <v>1</v>
      </c>
      <c r="L1525" s="16" t="b">
        <v>1</v>
      </c>
    </row>
    <row r="1526" spans="1:12" x14ac:dyDescent="0.25">
      <c r="C1526" s="16">
        <f t="shared" si="29"/>
        <v>101</v>
      </c>
      <c r="D1526" s="16" t="str">
        <f>VLOOKUP(C1526,[1]道具配置表!$A:$D,4,FALSE)</f>
        <v>1木材</v>
      </c>
      <c r="E1526" s="16">
        <f>E1522+500</f>
        <v>12500</v>
      </c>
      <c r="J1526" s="16">
        <v>1</v>
      </c>
      <c r="L1526" s="16" t="b">
        <v>1</v>
      </c>
    </row>
    <row r="1527" spans="1:12" x14ac:dyDescent="0.25">
      <c r="C1527" s="16">
        <f t="shared" si="29"/>
        <v>103</v>
      </c>
      <c r="D1527" s="16" t="str">
        <f>VLOOKUP(C1527,[1]道具配置表!$A:$D,4,FALSE)</f>
        <v>1石头</v>
      </c>
      <c r="E1527" s="16">
        <f>E1523+500</f>
        <v>12500</v>
      </c>
      <c r="J1527" s="16">
        <v>1</v>
      </c>
      <c r="L1527" s="16" t="b">
        <v>1</v>
      </c>
    </row>
    <row r="1528" spans="1:12" x14ac:dyDescent="0.25">
      <c r="C1528" s="16">
        <f t="shared" si="29"/>
        <v>104</v>
      </c>
      <c r="D1528" s="16" t="str">
        <f>VLOOKUP(C1528,[1]道具配置表!$A:$D,4,FALSE)</f>
        <v>1黄金</v>
      </c>
      <c r="E1528" s="16">
        <f>E1524+500</f>
        <v>12500</v>
      </c>
      <c r="J1528" s="16">
        <v>1</v>
      </c>
      <c r="L1528" s="16" t="b">
        <v>1</v>
      </c>
    </row>
    <row r="1529" spans="1:12" x14ac:dyDescent="0.25">
      <c r="A1529" s="16">
        <f>A1525+1</f>
        <v>1921025</v>
      </c>
      <c r="B1529" s="16" t="s">
        <v>719</v>
      </c>
      <c r="C1529" s="16">
        <f t="shared" si="29"/>
        <v>102</v>
      </c>
      <c r="D1529" s="16" t="str">
        <f>VLOOKUP(C1529,[1]道具配置表!$A:$D,4,FALSE)</f>
        <v>1食物</v>
      </c>
      <c r="E1529" s="16">
        <f>E1525+300</f>
        <v>8200</v>
      </c>
      <c r="J1529" s="16">
        <v>1</v>
      </c>
      <c r="L1529" s="16" t="b">
        <v>1</v>
      </c>
    </row>
    <row r="1530" spans="1:12" x14ac:dyDescent="0.25">
      <c r="C1530" s="16">
        <f t="shared" si="29"/>
        <v>101</v>
      </c>
      <c r="D1530" s="16" t="str">
        <f>VLOOKUP(C1530,[1]道具配置表!$A:$D,4,FALSE)</f>
        <v>1木材</v>
      </c>
      <c r="E1530" s="16">
        <f>E1526+500</f>
        <v>13000</v>
      </c>
      <c r="J1530" s="16">
        <v>1</v>
      </c>
      <c r="L1530" s="16" t="b">
        <v>1</v>
      </c>
    </row>
    <row r="1531" spans="1:12" x14ac:dyDescent="0.25">
      <c r="C1531" s="16">
        <f t="shared" si="29"/>
        <v>103</v>
      </c>
      <c r="D1531" s="16" t="str">
        <f>VLOOKUP(C1531,[1]道具配置表!$A:$D,4,FALSE)</f>
        <v>1石头</v>
      </c>
      <c r="E1531" s="16">
        <f>E1527+500</f>
        <v>13000</v>
      </c>
      <c r="J1531" s="16">
        <v>1</v>
      </c>
      <c r="L1531" s="16" t="b">
        <v>1</v>
      </c>
    </row>
    <row r="1532" spans="1:12" x14ac:dyDescent="0.25">
      <c r="C1532" s="16">
        <f t="shared" si="29"/>
        <v>104</v>
      </c>
      <c r="D1532" s="16" t="str">
        <f>VLOOKUP(C1532,[1]道具配置表!$A:$D,4,FALSE)</f>
        <v>1黄金</v>
      </c>
      <c r="E1532" s="16">
        <f>E1528+500</f>
        <v>13000</v>
      </c>
      <c r="J1532" s="16">
        <v>1</v>
      </c>
      <c r="L1532" s="16" t="b">
        <v>1</v>
      </c>
    </row>
    <row r="1533" spans="1:12" x14ac:dyDescent="0.25">
      <c r="A1533" s="16">
        <f>A1529+1</f>
        <v>1921026</v>
      </c>
      <c r="B1533" s="16" t="s">
        <v>720</v>
      </c>
      <c r="C1533" s="16">
        <f t="shared" si="29"/>
        <v>102</v>
      </c>
      <c r="D1533" s="16" t="str">
        <f>VLOOKUP(C1533,[1]道具配置表!$A:$D,4,FALSE)</f>
        <v>1食物</v>
      </c>
      <c r="E1533" s="16">
        <f>E1529+300</f>
        <v>8500</v>
      </c>
      <c r="J1533" s="16">
        <v>1</v>
      </c>
      <c r="L1533" s="16" t="b">
        <v>1</v>
      </c>
    </row>
    <row r="1534" spans="1:12" x14ac:dyDescent="0.25">
      <c r="C1534" s="16">
        <f t="shared" si="29"/>
        <v>101</v>
      </c>
      <c r="D1534" s="16" t="str">
        <f>VLOOKUP(C1534,[1]道具配置表!$A:$D,4,FALSE)</f>
        <v>1木材</v>
      </c>
      <c r="E1534" s="16">
        <f>E1530+500</f>
        <v>13500</v>
      </c>
      <c r="J1534" s="16">
        <v>1</v>
      </c>
      <c r="L1534" s="16" t="b">
        <v>1</v>
      </c>
    </row>
    <row r="1535" spans="1:12" x14ac:dyDescent="0.25">
      <c r="C1535" s="16">
        <f t="shared" si="29"/>
        <v>103</v>
      </c>
      <c r="D1535" s="16" t="str">
        <f>VLOOKUP(C1535,[1]道具配置表!$A:$D,4,FALSE)</f>
        <v>1石头</v>
      </c>
      <c r="E1535" s="16">
        <f>E1531+500</f>
        <v>13500</v>
      </c>
      <c r="J1535" s="16">
        <v>1</v>
      </c>
      <c r="L1535" s="16" t="b">
        <v>1</v>
      </c>
    </row>
    <row r="1536" spans="1:12" x14ac:dyDescent="0.25">
      <c r="C1536" s="16">
        <f t="shared" si="29"/>
        <v>104</v>
      </c>
      <c r="D1536" s="16" t="str">
        <f>VLOOKUP(C1536,[1]道具配置表!$A:$D,4,FALSE)</f>
        <v>1黄金</v>
      </c>
      <c r="E1536" s="16">
        <f>E1532+500</f>
        <v>13500</v>
      </c>
      <c r="J1536" s="16">
        <v>1</v>
      </c>
      <c r="L1536" s="16" t="b">
        <v>1</v>
      </c>
    </row>
    <row r="1537" spans="1:12" x14ac:dyDescent="0.25">
      <c r="A1537" s="16">
        <f>A1533+1</f>
        <v>1921027</v>
      </c>
      <c r="B1537" s="16" t="s">
        <v>721</v>
      </c>
      <c r="C1537" s="16">
        <f t="shared" si="29"/>
        <v>102</v>
      </c>
      <c r="D1537" s="16" t="str">
        <f>VLOOKUP(C1537,[1]道具配置表!$A:$D,4,FALSE)</f>
        <v>1食物</v>
      </c>
      <c r="E1537" s="16">
        <f>E1533+300</f>
        <v>8800</v>
      </c>
      <c r="J1537" s="16">
        <v>1</v>
      </c>
      <c r="L1537" s="16" t="b">
        <v>1</v>
      </c>
    </row>
    <row r="1538" spans="1:12" x14ac:dyDescent="0.25">
      <c r="C1538" s="16">
        <f t="shared" si="29"/>
        <v>101</v>
      </c>
      <c r="D1538" s="16" t="str">
        <f>VLOOKUP(C1538,[1]道具配置表!$A:$D,4,FALSE)</f>
        <v>1木材</v>
      </c>
      <c r="E1538" s="16">
        <f>E1534+500</f>
        <v>14000</v>
      </c>
      <c r="J1538" s="16">
        <v>1</v>
      </c>
      <c r="L1538" s="16" t="b">
        <v>1</v>
      </c>
    </row>
    <row r="1539" spans="1:12" x14ac:dyDescent="0.25">
      <c r="C1539" s="16">
        <f t="shared" si="29"/>
        <v>103</v>
      </c>
      <c r="D1539" s="16" t="str">
        <f>VLOOKUP(C1539,[1]道具配置表!$A:$D,4,FALSE)</f>
        <v>1石头</v>
      </c>
      <c r="E1539" s="16">
        <f>E1535+500</f>
        <v>14000</v>
      </c>
      <c r="J1539" s="16">
        <v>1</v>
      </c>
      <c r="L1539" s="16" t="b">
        <v>1</v>
      </c>
    </row>
    <row r="1540" spans="1:12" x14ac:dyDescent="0.25">
      <c r="C1540" s="16">
        <f t="shared" si="29"/>
        <v>104</v>
      </c>
      <c r="D1540" s="16" t="str">
        <f>VLOOKUP(C1540,[1]道具配置表!$A:$D,4,FALSE)</f>
        <v>1黄金</v>
      </c>
      <c r="E1540" s="16">
        <f>E1536+500</f>
        <v>14000</v>
      </c>
      <c r="J1540" s="16">
        <v>1</v>
      </c>
      <c r="L1540" s="16" t="b">
        <v>1</v>
      </c>
    </row>
    <row r="1541" spans="1:12" x14ac:dyDescent="0.25">
      <c r="A1541" s="16">
        <f>A1537+1</f>
        <v>1921028</v>
      </c>
      <c r="B1541" s="16" t="s">
        <v>722</v>
      </c>
      <c r="C1541" s="16">
        <f t="shared" si="29"/>
        <v>102</v>
      </c>
      <c r="D1541" s="16" t="str">
        <f>VLOOKUP(C1541,[1]道具配置表!$A:$D,4,FALSE)</f>
        <v>1食物</v>
      </c>
      <c r="E1541" s="16">
        <f>E1537+300</f>
        <v>9100</v>
      </c>
      <c r="J1541" s="16">
        <v>1</v>
      </c>
      <c r="L1541" s="16" t="b">
        <v>1</v>
      </c>
    </row>
    <row r="1542" spans="1:12" x14ac:dyDescent="0.25">
      <c r="C1542" s="16">
        <f t="shared" si="29"/>
        <v>101</v>
      </c>
      <c r="D1542" s="16" t="str">
        <f>VLOOKUP(C1542,[1]道具配置表!$A:$D,4,FALSE)</f>
        <v>1木材</v>
      </c>
      <c r="E1542" s="16">
        <f>E1538+500</f>
        <v>14500</v>
      </c>
      <c r="J1542" s="16">
        <v>1</v>
      </c>
      <c r="L1542" s="16" t="b">
        <v>1</v>
      </c>
    </row>
    <row r="1543" spans="1:12" x14ac:dyDescent="0.25">
      <c r="C1543" s="16">
        <f t="shared" si="29"/>
        <v>103</v>
      </c>
      <c r="D1543" s="16" t="str">
        <f>VLOOKUP(C1543,[1]道具配置表!$A:$D,4,FALSE)</f>
        <v>1石头</v>
      </c>
      <c r="E1543" s="16">
        <f>E1539+500</f>
        <v>14500</v>
      </c>
      <c r="J1543" s="16">
        <v>1</v>
      </c>
      <c r="L1543" s="16" t="b">
        <v>1</v>
      </c>
    </row>
    <row r="1544" spans="1:12" x14ac:dyDescent="0.25">
      <c r="C1544" s="16">
        <f t="shared" si="29"/>
        <v>104</v>
      </c>
      <c r="D1544" s="16" t="str">
        <f>VLOOKUP(C1544,[1]道具配置表!$A:$D,4,FALSE)</f>
        <v>1黄金</v>
      </c>
      <c r="E1544" s="16">
        <f>E1540+500</f>
        <v>14500</v>
      </c>
      <c r="J1544" s="16">
        <v>1</v>
      </c>
      <c r="L1544" s="16" t="b">
        <v>1</v>
      </c>
    </row>
    <row r="1545" spans="1:12" x14ac:dyDescent="0.25">
      <c r="A1545" s="16">
        <f>A1541+1</f>
        <v>1921029</v>
      </c>
      <c r="B1545" s="16" t="s">
        <v>723</v>
      </c>
      <c r="C1545" s="16">
        <f t="shared" si="29"/>
        <v>102</v>
      </c>
      <c r="D1545" s="16" t="str">
        <f>VLOOKUP(C1545,[1]道具配置表!$A:$D,4,FALSE)</f>
        <v>1食物</v>
      </c>
      <c r="E1545" s="16">
        <f>E1541+300</f>
        <v>9400</v>
      </c>
      <c r="J1545" s="16">
        <v>1</v>
      </c>
      <c r="L1545" s="16" t="b">
        <v>1</v>
      </c>
    </row>
    <row r="1546" spans="1:12" x14ac:dyDescent="0.25">
      <c r="C1546" s="16">
        <f t="shared" si="29"/>
        <v>101</v>
      </c>
      <c r="D1546" s="16" t="str">
        <f>VLOOKUP(C1546,[1]道具配置表!$A:$D,4,FALSE)</f>
        <v>1木材</v>
      </c>
      <c r="E1546" s="16">
        <f>E1542+500</f>
        <v>15000</v>
      </c>
      <c r="J1546" s="16">
        <v>1</v>
      </c>
      <c r="L1546" s="16" t="b">
        <v>1</v>
      </c>
    </row>
    <row r="1547" spans="1:12" x14ac:dyDescent="0.25">
      <c r="C1547" s="16">
        <f t="shared" si="29"/>
        <v>103</v>
      </c>
      <c r="D1547" s="16" t="str">
        <f>VLOOKUP(C1547,[1]道具配置表!$A:$D,4,FALSE)</f>
        <v>1石头</v>
      </c>
      <c r="E1547" s="16">
        <f>E1543+500</f>
        <v>15000</v>
      </c>
      <c r="J1547" s="16">
        <v>1</v>
      </c>
      <c r="L1547" s="16" t="b">
        <v>1</v>
      </c>
    </row>
    <row r="1548" spans="1:12" x14ac:dyDescent="0.25">
      <c r="C1548" s="16">
        <f t="shared" si="29"/>
        <v>104</v>
      </c>
      <c r="D1548" s="16" t="str">
        <f>VLOOKUP(C1548,[1]道具配置表!$A:$D,4,FALSE)</f>
        <v>1黄金</v>
      </c>
      <c r="E1548" s="16">
        <f>E1544+500</f>
        <v>15000</v>
      </c>
      <c r="J1548" s="16">
        <v>1</v>
      </c>
      <c r="L1548" s="16" t="b">
        <v>1</v>
      </c>
    </row>
    <row r="1549" spans="1:12" x14ac:dyDescent="0.25">
      <c r="A1549" s="16">
        <f>A1545+1</f>
        <v>1921030</v>
      </c>
      <c r="B1549" s="16" t="s">
        <v>724</v>
      </c>
      <c r="C1549" s="16">
        <f t="shared" si="29"/>
        <v>102</v>
      </c>
      <c r="D1549" s="16" t="str">
        <f>VLOOKUP(C1549,[1]道具配置表!$A:$D,4,FALSE)</f>
        <v>1食物</v>
      </c>
      <c r="E1549" s="16">
        <f>E1545+300</f>
        <v>9700</v>
      </c>
      <c r="J1549" s="16">
        <v>1</v>
      </c>
      <c r="L1549" s="16" t="b">
        <v>1</v>
      </c>
    </row>
    <row r="1550" spans="1:12" x14ac:dyDescent="0.25">
      <c r="C1550" s="16">
        <f t="shared" si="29"/>
        <v>101</v>
      </c>
      <c r="D1550" s="16" t="str">
        <f>VLOOKUP(C1550,[1]道具配置表!$A:$D,4,FALSE)</f>
        <v>1木材</v>
      </c>
      <c r="E1550" s="16">
        <f>E1546+500</f>
        <v>15500</v>
      </c>
      <c r="J1550" s="16">
        <v>1</v>
      </c>
      <c r="L1550" s="16" t="b">
        <v>1</v>
      </c>
    </row>
    <row r="1551" spans="1:12" x14ac:dyDescent="0.25">
      <c r="C1551" s="16">
        <f t="shared" si="29"/>
        <v>103</v>
      </c>
      <c r="D1551" s="16" t="str">
        <f>VLOOKUP(C1551,[1]道具配置表!$A:$D,4,FALSE)</f>
        <v>1石头</v>
      </c>
      <c r="E1551" s="16">
        <f>E1547+500</f>
        <v>15500</v>
      </c>
      <c r="J1551" s="16">
        <v>1</v>
      </c>
      <c r="L1551" s="16" t="b">
        <v>1</v>
      </c>
    </row>
    <row r="1552" spans="1:12" x14ac:dyDescent="0.25">
      <c r="C1552" s="16">
        <f t="shared" si="29"/>
        <v>104</v>
      </c>
      <c r="D1552" s="16" t="str">
        <f>VLOOKUP(C1552,[1]道具配置表!$A:$D,4,FALSE)</f>
        <v>1黄金</v>
      </c>
      <c r="E1552" s="16">
        <f>E1548+500</f>
        <v>15500</v>
      </c>
      <c r="J1552" s="16">
        <v>1</v>
      </c>
      <c r="L1552" s="16" t="b">
        <v>1</v>
      </c>
    </row>
    <row r="1553" spans="1:12" x14ac:dyDescent="0.25">
      <c r="A1553" s="16">
        <f>A1549+1</f>
        <v>1921031</v>
      </c>
      <c r="B1553" s="16" t="s">
        <v>725</v>
      </c>
      <c r="C1553" s="16">
        <f t="shared" si="29"/>
        <v>102</v>
      </c>
      <c r="D1553" s="16" t="str">
        <f>VLOOKUP(C1553,[1]道具配置表!$A:$D,4,FALSE)</f>
        <v>1食物</v>
      </c>
      <c r="E1553" s="16">
        <f>E1549+300</f>
        <v>10000</v>
      </c>
      <c r="J1553" s="16">
        <v>1</v>
      </c>
      <c r="L1553" s="16" t="b">
        <v>1</v>
      </c>
    </row>
    <row r="1554" spans="1:12" x14ac:dyDescent="0.25">
      <c r="C1554" s="16">
        <f t="shared" si="29"/>
        <v>101</v>
      </c>
      <c r="D1554" s="16" t="str">
        <f>VLOOKUP(C1554,[1]道具配置表!$A:$D,4,FALSE)</f>
        <v>1木材</v>
      </c>
      <c r="E1554" s="16">
        <f>E1550+500</f>
        <v>16000</v>
      </c>
      <c r="J1554" s="16">
        <v>1</v>
      </c>
      <c r="L1554" s="16" t="b">
        <v>1</v>
      </c>
    </row>
    <row r="1555" spans="1:12" x14ac:dyDescent="0.25">
      <c r="C1555" s="16">
        <f t="shared" si="29"/>
        <v>103</v>
      </c>
      <c r="D1555" s="16" t="str">
        <f>VLOOKUP(C1555,[1]道具配置表!$A:$D,4,FALSE)</f>
        <v>1石头</v>
      </c>
      <c r="E1555" s="16">
        <f>E1551+500</f>
        <v>16000</v>
      </c>
      <c r="J1555" s="16">
        <v>1</v>
      </c>
      <c r="L1555" s="16" t="b">
        <v>1</v>
      </c>
    </row>
    <row r="1556" spans="1:12" x14ac:dyDescent="0.25">
      <c r="C1556" s="16">
        <f t="shared" si="29"/>
        <v>104</v>
      </c>
      <c r="D1556" s="16" t="str">
        <f>VLOOKUP(C1556,[1]道具配置表!$A:$D,4,FALSE)</f>
        <v>1黄金</v>
      </c>
      <c r="E1556" s="16">
        <f>E1552+500</f>
        <v>16000</v>
      </c>
      <c r="J1556" s="16">
        <v>1</v>
      </c>
      <c r="L1556" s="16" t="b">
        <v>1</v>
      </c>
    </row>
    <row r="1557" spans="1:12" x14ac:dyDescent="0.25">
      <c r="A1557" s="16">
        <f>A1553+1</f>
        <v>1921032</v>
      </c>
      <c r="B1557" s="16" t="s">
        <v>726</v>
      </c>
      <c r="C1557" s="16">
        <f t="shared" si="29"/>
        <v>102</v>
      </c>
      <c r="D1557" s="16" t="str">
        <f>VLOOKUP(C1557,[1]道具配置表!$A:$D,4,FALSE)</f>
        <v>1食物</v>
      </c>
      <c r="E1557" s="16">
        <f>E1553+300</f>
        <v>10300</v>
      </c>
      <c r="J1557" s="16">
        <v>1</v>
      </c>
      <c r="L1557" s="16" t="b">
        <v>1</v>
      </c>
    </row>
    <row r="1558" spans="1:12" x14ac:dyDescent="0.25">
      <c r="C1558" s="16">
        <f t="shared" si="29"/>
        <v>101</v>
      </c>
      <c r="D1558" s="16" t="str">
        <f>VLOOKUP(C1558,[1]道具配置表!$A:$D,4,FALSE)</f>
        <v>1木材</v>
      </c>
      <c r="E1558" s="16">
        <f>E1554+500</f>
        <v>16500</v>
      </c>
      <c r="J1558" s="16">
        <v>1</v>
      </c>
      <c r="L1558" s="16" t="b">
        <v>1</v>
      </c>
    </row>
    <row r="1559" spans="1:12" x14ac:dyDescent="0.25">
      <c r="C1559" s="16">
        <f t="shared" si="29"/>
        <v>103</v>
      </c>
      <c r="D1559" s="16" t="str">
        <f>VLOOKUP(C1559,[1]道具配置表!$A:$D,4,FALSE)</f>
        <v>1石头</v>
      </c>
      <c r="E1559" s="16">
        <f>E1555+500</f>
        <v>16500</v>
      </c>
      <c r="J1559" s="16">
        <v>1</v>
      </c>
      <c r="L1559" s="16" t="b">
        <v>1</v>
      </c>
    </row>
    <row r="1560" spans="1:12" x14ac:dyDescent="0.25">
      <c r="C1560" s="16">
        <f t="shared" si="29"/>
        <v>104</v>
      </c>
      <c r="D1560" s="16" t="str">
        <f>VLOOKUP(C1560,[1]道具配置表!$A:$D,4,FALSE)</f>
        <v>1黄金</v>
      </c>
      <c r="E1560" s="16">
        <f>E1556+500</f>
        <v>16500</v>
      </c>
      <c r="J1560" s="16">
        <v>1</v>
      </c>
      <c r="L1560" s="16" t="b">
        <v>1</v>
      </c>
    </row>
    <row r="1561" spans="1:12" x14ac:dyDescent="0.25">
      <c r="A1561" s="16">
        <f>A1557+1</f>
        <v>1921033</v>
      </c>
      <c r="B1561" s="16" t="s">
        <v>727</v>
      </c>
      <c r="C1561" s="16">
        <f t="shared" si="29"/>
        <v>102</v>
      </c>
      <c r="D1561" s="16" t="str">
        <f>VLOOKUP(C1561,[1]道具配置表!$A:$D,4,FALSE)</f>
        <v>1食物</v>
      </c>
      <c r="E1561" s="16">
        <f>E1557+300</f>
        <v>10600</v>
      </c>
      <c r="J1561" s="16">
        <v>1</v>
      </c>
      <c r="L1561" s="16" t="b">
        <v>1</v>
      </c>
    </row>
    <row r="1562" spans="1:12" x14ac:dyDescent="0.25">
      <c r="C1562" s="16">
        <f t="shared" si="29"/>
        <v>101</v>
      </c>
      <c r="D1562" s="16" t="str">
        <f>VLOOKUP(C1562,[1]道具配置表!$A:$D,4,FALSE)</f>
        <v>1木材</v>
      </c>
      <c r="E1562" s="16">
        <f>E1558+500</f>
        <v>17000</v>
      </c>
      <c r="J1562" s="16">
        <v>1</v>
      </c>
      <c r="L1562" s="16" t="b">
        <v>1</v>
      </c>
    </row>
    <row r="1563" spans="1:12" x14ac:dyDescent="0.25">
      <c r="C1563" s="16">
        <f t="shared" si="29"/>
        <v>103</v>
      </c>
      <c r="D1563" s="16" t="str">
        <f>VLOOKUP(C1563,[1]道具配置表!$A:$D,4,FALSE)</f>
        <v>1石头</v>
      </c>
      <c r="E1563" s="16">
        <f>E1559+500</f>
        <v>17000</v>
      </c>
      <c r="J1563" s="16">
        <v>1</v>
      </c>
      <c r="L1563" s="16" t="b">
        <v>1</v>
      </c>
    </row>
    <row r="1564" spans="1:12" x14ac:dyDescent="0.25">
      <c r="C1564" s="16">
        <f t="shared" si="29"/>
        <v>104</v>
      </c>
      <c r="D1564" s="16" t="str">
        <f>VLOOKUP(C1564,[1]道具配置表!$A:$D,4,FALSE)</f>
        <v>1黄金</v>
      </c>
      <c r="E1564" s="16">
        <f>E1560+500</f>
        <v>17000</v>
      </c>
      <c r="J1564" s="16">
        <v>1</v>
      </c>
      <c r="L1564" s="16" t="b">
        <v>1</v>
      </c>
    </row>
    <row r="1565" spans="1:12" x14ac:dyDescent="0.25">
      <c r="A1565" s="16">
        <f>A1561+1</f>
        <v>1921034</v>
      </c>
      <c r="B1565" s="16" t="s">
        <v>728</v>
      </c>
      <c r="C1565" s="16">
        <f t="shared" si="29"/>
        <v>102</v>
      </c>
      <c r="D1565" s="16" t="str">
        <f>VLOOKUP(C1565,[1]道具配置表!$A:$D,4,FALSE)</f>
        <v>1食物</v>
      </c>
      <c r="E1565" s="16">
        <f>E1561+300</f>
        <v>10900</v>
      </c>
      <c r="J1565" s="16">
        <v>1</v>
      </c>
      <c r="L1565" s="16" t="b">
        <v>1</v>
      </c>
    </row>
    <row r="1566" spans="1:12" x14ac:dyDescent="0.25">
      <c r="C1566" s="16">
        <f t="shared" si="29"/>
        <v>101</v>
      </c>
      <c r="D1566" s="16" t="str">
        <f>VLOOKUP(C1566,[1]道具配置表!$A:$D,4,FALSE)</f>
        <v>1木材</v>
      </c>
      <c r="E1566" s="16">
        <f>E1562+500</f>
        <v>17500</v>
      </c>
      <c r="J1566" s="16">
        <v>1</v>
      </c>
      <c r="L1566" s="16" t="b">
        <v>1</v>
      </c>
    </row>
    <row r="1567" spans="1:12" x14ac:dyDescent="0.25">
      <c r="C1567" s="16">
        <f t="shared" si="29"/>
        <v>103</v>
      </c>
      <c r="D1567" s="16" t="str">
        <f>VLOOKUP(C1567,[1]道具配置表!$A:$D,4,FALSE)</f>
        <v>1石头</v>
      </c>
      <c r="E1567" s="16">
        <f>E1563+500</f>
        <v>17500</v>
      </c>
      <c r="J1567" s="16">
        <v>1</v>
      </c>
      <c r="L1567" s="16" t="b">
        <v>1</v>
      </c>
    </row>
    <row r="1568" spans="1:12" x14ac:dyDescent="0.25">
      <c r="C1568" s="16">
        <f t="shared" si="29"/>
        <v>104</v>
      </c>
      <c r="D1568" s="16" t="str">
        <f>VLOOKUP(C1568,[1]道具配置表!$A:$D,4,FALSE)</f>
        <v>1黄金</v>
      </c>
      <c r="E1568" s="16">
        <f>E1564+500</f>
        <v>17500</v>
      </c>
      <c r="J1568" s="16">
        <v>1</v>
      </c>
      <c r="L1568" s="16" t="b">
        <v>1</v>
      </c>
    </row>
    <row r="1569" spans="1:12" x14ac:dyDescent="0.25">
      <c r="A1569" s="16">
        <f>A1565+1</f>
        <v>1921035</v>
      </c>
      <c r="B1569" s="16" t="s">
        <v>729</v>
      </c>
      <c r="C1569" s="16">
        <f t="shared" si="29"/>
        <v>102</v>
      </c>
      <c r="D1569" s="16" t="str">
        <f>VLOOKUP(C1569,[1]道具配置表!$A:$D,4,FALSE)</f>
        <v>1食物</v>
      </c>
      <c r="E1569" s="16">
        <f>E1565+300</f>
        <v>11200</v>
      </c>
      <c r="J1569" s="16">
        <v>1</v>
      </c>
      <c r="L1569" s="16" t="b">
        <v>1</v>
      </c>
    </row>
    <row r="1570" spans="1:12" x14ac:dyDescent="0.25">
      <c r="C1570" s="16">
        <f t="shared" si="29"/>
        <v>101</v>
      </c>
      <c r="D1570" s="16" t="str">
        <f>VLOOKUP(C1570,[1]道具配置表!$A:$D,4,FALSE)</f>
        <v>1木材</v>
      </c>
      <c r="E1570" s="16">
        <f>E1566+500</f>
        <v>18000</v>
      </c>
      <c r="J1570" s="16">
        <v>1</v>
      </c>
      <c r="L1570" s="16" t="b">
        <v>1</v>
      </c>
    </row>
    <row r="1571" spans="1:12" x14ac:dyDescent="0.25">
      <c r="C1571" s="16">
        <f t="shared" si="29"/>
        <v>103</v>
      </c>
      <c r="D1571" s="16" t="str">
        <f>VLOOKUP(C1571,[1]道具配置表!$A:$D,4,FALSE)</f>
        <v>1石头</v>
      </c>
      <c r="E1571" s="16">
        <f>E1567+500</f>
        <v>18000</v>
      </c>
      <c r="J1571" s="16">
        <v>1</v>
      </c>
      <c r="L1571" s="16" t="b">
        <v>1</v>
      </c>
    </row>
    <row r="1572" spans="1:12" x14ac:dyDescent="0.25">
      <c r="C1572" s="16">
        <f t="shared" si="29"/>
        <v>104</v>
      </c>
      <c r="D1572" s="16" t="str">
        <f>VLOOKUP(C1572,[1]道具配置表!$A:$D,4,FALSE)</f>
        <v>1黄金</v>
      </c>
      <c r="E1572" s="16">
        <f>E1568+500</f>
        <v>18000</v>
      </c>
      <c r="J1572" s="16">
        <v>1</v>
      </c>
      <c r="L1572" s="16" t="b">
        <v>1</v>
      </c>
    </row>
    <row r="1573" spans="1:12" x14ac:dyDescent="0.25">
      <c r="A1573" s="16">
        <f>A1569+1</f>
        <v>1921036</v>
      </c>
      <c r="B1573" s="16" t="s">
        <v>730</v>
      </c>
      <c r="C1573" s="16">
        <f t="shared" si="29"/>
        <v>102</v>
      </c>
      <c r="D1573" s="16" t="str">
        <f>VLOOKUP(C1573,[1]道具配置表!$A:$D,4,FALSE)</f>
        <v>1食物</v>
      </c>
      <c r="E1573" s="16">
        <f>E1569+300</f>
        <v>11500</v>
      </c>
      <c r="J1573" s="16">
        <v>1</v>
      </c>
      <c r="L1573" s="16" t="b">
        <v>1</v>
      </c>
    </row>
    <row r="1574" spans="1:12" x14ac:dyDescent="0.25">
      <c r="C1574" s="16">
        <f t="shared" si="29"/>
        <v>101</v>
      </c>
      <c r="D1574" s="16" t="str">
        <f>VLOOKUP(C1574,[1]道具配置表!$A:$D,4,FALSE)</f>
        <v>1木材</v>
      </c>
      <c r="E1574" s="16">
        <f>E1570+500</f>
        <v>18500</v>
      </c>
      <c r="J1574" s="16">
        <v>1</v>
      </c>
      <c r="L1574" s="16" t="b">
        <v>1</v>
      </c>
    </row>
    <row r="1575" spans="1:12" x14ac:dyDescent="0.25">
      <c r="C1575" s="16">
        <f t="shared" si="29"/>
        <v>103</v>
      </c>
      <c r="D1575" s="16" t="str">
        <f>VLOOKUP(C1575,[1]道具配置表!$A:$D,4,FALSE)</f>
        <v>1石头</v>
      </c>
      <c r="E1575" s="16">
        <f>E1571+500</f>
        <v>18500</v>
      </c>
      <c r="J1575" s="16">
        <v>1</v>
      </c>
      <c r="L1575" s="16" t="b">
        <v>1</v>
      </c>
    </row>
    <row r="1576" spans="1:12" x14ac:dyDescent="0.25">
      <c r="C1576" s="16">
        <f t="shared" si="29"/>
        <v>104</v>
      </c>
      <c r="D1576" s="16" t="str">
        <f>VLOOKUP(C1576,[1]道具配置表!$A:$D,4,FALSE)</f>
        <v>1黄金</v>
      </c>
      <c r="E1576" s="16">
        <f>E1572+500</f>
        <v>18500</v>
      </c>
      <c r="J1576" s="16">
        <v>1</v>
      </c>
      <c r="L1576" s="16" t="b">
        <v>1</v>
      </c>
    </row>
    <row r="1577" spans="1:12" x14ac:dyDescent="0.25">
      <c r="A1577" s="16">
        <f>A1573+1</f>
        <v>1921037</v>
      </c>
      <c r="B1577" s="16" t="s">
        <v>731</v>
      </c>
      <c r="C1577" s="16">
        <f t="shared" si="29"/>
        <v>102</v>
      </c>
      <c r="D1577" s="16" t="str">
        <f>VLOOKUP(C1577,[1]道具配置表!$A:$D,4,FALSE)</f>
        <v>1食物</v>
      </c>
      <c r="E1577" s="16">
        <f>E1573+300</f>
        <v>11800</v>
      </c>
      <c r="J1577" s="16">
        <v>1</v>
      </c>
      <c r="L1577" s="16" t="b">
        <v>1</v>
      </c>
    </row>
    <row r="1578" spans="1:12" x14ac:dyDescent="0.25">
      <c r="C1578" s="16">
        <f t="shared" si="29"/>
        <v>101</v>
      </c>
      <c r="D1578" s="16" t="str">
        <f>VLOOKUP(C1578,[1]道具配置表!$A:$D,4,FALSE)</f>
        <v>1木材</v>
      </c>
      <c r="E1578" s="16">
        <f>E1574+500</f>
        <v>19000</v>
      </c>
      <c r="J1578" s="16">
        <v>1</v>
      </c>
      <c r="L1578" s="16" t="b">
        <v>1</v>
      </c>
    </row>
    <row r="1579" spans="1:12" x14ac:dyDescent="0.25">
      <c r="C1579" s="16">
        <f t="shared" si="29"/>
        <v>103</v>
      </c>
      <c r="D1579" s="16" t="str">
        <f>VLOOKUP(C1579,[1]道具配置表!$A:$D,4,FALSE)</f>
        <v>1石头</v>
      </c>
      <c r="E1579" s="16">
        <f>E1575+500</f>
        <v>19000</v>
      </c>
      <c r="J1579" s="16">
        <v>1</v>
      </c>
      <c r="L1579" s="16" t="b">
        <v>1</v>
      </c>
    </row>
    <row r="1580" spans="1:12" x14ac:dyDescent="0.25">
      <c r="C1580" s="16">
        <f t="shared" si="29"/>
        <v>104</v>
      </c>
      <c r="D1580" s="16" t="str">
        <f>VLOOKUP(C1580,[1]道具配置表!$A:$D,4,FALSE)</f>
        <v>1黄金</v>
      </c>
      <c r="E1580" s="16">
        <f>E1576+500</f>
        <v>19000</v>
      </c>
      <c r="J1580" s="16">
        <v>1</v>
      </c>
      <c r="L1580" s="16" t="b">
        <v>1</v>
      </c>
    </row>
    <row r="1581" spans="1:12" x14ac:dyDescent="0.25">
      <c r="A1581" s="16">
        <f>A1577+1</f>
        <v>1921038</v>
      </c>
      <c r="B1581" s="16" t="s">
        <v>732</v>
      </c>
      <c r="C1581" s="16">
        <f t="shared" si="29"/>
        <v>102</v>
      </c>
      <c r="D1581" s="16" t="str">
        <f>VLOOKUP(C1581,[1]道具配置表!$A:$D,4,FALSE)</f>
        <v>1食物</v>
      </c>
      <c r="E1581" s="16">
        <f>E1577+300</f>
        <v>12100</v>
      </c>
      <c r="J1581" s="16">
        <v>1</v>
      </c>
      <c r="L1581" s="16" t="b">
        <v>1</v>
      </c>
    </row>
    <row r="1582" spans="1:12" x14ac:dyDescent="0.25">
      <c r="C1582" s="16">
        <f t="shared" si="29"/>
        <v>101</v>
      </c>
      <c r="D1582" s="16" t="str">
        <f>VLOOKUP(C1582,[1]道具配置表!$A:$D,4,FALSE)</f>
        <v>1木材</v>
      </c>
      <c r="E1582" s="16">
        <f>E1578+500</f>
        <v>19500</v>
      </c>
      <c r="J1582" s="16">
        <v>1</v>
      </c>
      <c r="L1582" s="16" t="b">
        <v>1</v>
      </c>
    </row>
    <row r="1583" spans="1:12" x14ac:dyDescent="0.25">
      <c r="C1583" s="16">
        <f t="shared" si="29"/>
        <v>103</v>
      </c>
      <c r="D1583" s="16" t="str">
        <f>VLOOKUP(C1583,[1]道具配置表!$A:$D,4,FALSE)</f>
        <v>1石头</v>
      </c>
      <c r="E1583" s="16">
        <f>E1579+500</f>
        <v>19500</v>
      </c>
      <c r="J1583" s="16">
        <v>1</v>
      </c>
      <c r="L1583" s="16" t="b">
        <v>1</v>
      </c>
    </row>
    <row r="1584" spans="1:12" x14ac:dyDescent="0.25">
      <c r="C1584" s="16">
        <f t="shared" si="29"/>
        <v>104</v>
      </c>
      <c r="D1584" s="16" t="str">
        <f>VLOOKUP(C1584,[1]道具配置表!$A:$D,4,FALSE)</f>
        <v>1黄金</v>
      </c>
      <c r="E1584" s="16">
        <f>E1580+500</f>
        <v>19500</v>
      </c>
      <c r="J1584" s="16">
        <v>1</v>
      </c>
      <c r="L1584" s="16" t="b">
        <v>1</v>
      </c>
    </row>
    <row r="1585" spans="1:12" x14ac:dyDescent="0.25">
      <c r="A1585" s="16">
        <f>A1581+1</f>
        <v>1921039</v>
      </c>
      <c r="B1585" s="16" t="s">
        <v>733</v>
      </c>
      <c r="C1585" s="16">
        <f t="shared" ref="C1585:C1648" si="30">C1581</f>
        <v>102</v>
      </c>
      <c r="D1585" s="16" t="str">
        <f>VLOOKUP(C1585,[1]道具配置表!$A:$D,4,FALSE)</f>
        <v>1食物</v>
      </c>
      <c r="E1585" s="16">
        <f>E1581+300</f>
        <v>12400</v>
      </c>
      <c r="J1585" s="16">
        <v>1</v>
      </c>
      <c r="L1585" s="16" t="b">
        <v>1</v>
      </c>
    </row>
    <row r="1586" spans="1:12" x14ac:dyDescent="0.25">
      <c r="C1586" s="16">
        <f t="shared" si="30"/>
        <v>101</v>
      </c>
      <c r="D1586" s="16" t="str">
        <f>VLOOKUP(C1586,[1]道具配置表!$A:$D,4,FALSE)</f>
        <v>1木材</v>
      </c>
      <c r="E1586" s="16">
        <f>E1582+500</f>
        <v>20000</v>
      </c>
      <c r="J1586" s="16">
        <v>1</v>
      </c>
      <c r="L1586" s="16" t="b">
        <v>1</v>
      </c>
    </row>
    <row r="1587" spans="1:12" x14ac:dyDescent="0.25">
      <c r="C1587" s="16">
        <f t="shared" si="30"/>
        <v>103</v>
      </c>
      <c r="D1587" s="16" t="str">
        <f>VLOOKUP(C1587,[1]道具配置表!$A:$D,4,FALSE)</f>
        <v>1石头</v>
      </c>
      <c r="E1587" s="16">
        <f>E1583+500</f>
        <v>20000</v>
      </c>
      <c r="J1587" s="16">
        <v>1</v>
      </c>
      <c r="L1587" s="16" t="b">
        <v>1</v>
      </c>
    </row>
    <row r="1588" spans="1:12" x14ac:dyDescent="0.25">
      <c r="C1588" s="16">
        <f t="shared" si="30"/>
        <v>104</v>
      </c>
      <c r="D1588" s="16" t="str">
        <f>VLOOKUP(C1588,[1]道具配置表!$A:$D,4,FALSE)</f>
        <v>1黄金</v>
      </c>
      <c r="E1588" s="16">
        <f>E1584+500</f>
        <v>20000</v>
      </c>
      <c r="J1588" s="16">
        <v>1</v>
      </c>
      <c r="L1588" s="16" t="b">
        <v>1</v>
      </c>
    </row>
    <row r="1589" spans="1:12" x14ac:dyDescent="0.25">
      <c r="A1589" s="16">
        <f>A1585+1</f>
        <v>1921040</v>
      </c>
      <c r="B1589" s="16" t="s">
        <v>734</v>
      </c>
      <c r="C1589" s="16">
        <f t="shared" si="30"/>
        <v>102</v>
      </c>
      <c r="D1589" s="16" t="str">
        <f>VLOOKUP(C1589,[1]道具配置表!$A:$D,4,FALSE)</f>
        <v>1食物</v>
      </c>
      <c r="E1589" s="16">
        <f>E1585+300</f>
        <v>12700</v>
      </c>
      <c r="J1589" s="16">
        <v>1</v>
      </c>
      <c r="L1589" s="16" t="b">
        <v>1</v>
      </c>
    </row>
    <row r="1590" spans="1:12" x14ac:dyDescent="0.25">
      <c r="C1590" s="16">
        <f t="shared" si="30"/>
        <v>101</v>
      </c>
      <c r="D1590" s="16" t="str">
        <f>VLOOKUP(C1590,[1]道具配置表!$A:$D,4,FALSE)</f>
        <v>1木材</v>
      </c>
      <c r="E1590" s="16">
        <f>E1586+500</f>
        <v>20500</v>
      </c>
      <c r="J1590" s="16">
        <v>1</v>
      </c>
      <c r="L1590" s="16" t="b">
        <v>1</v>
      </c>
    </row>
    <row r="1591" spans="1:12" x14ac:dyDescent="0.25">
      <c r="C1591" s="16">
        <f t="shared" si="30"/>
        <v>103</v>
      </c>
      <c r="D1591" s="16" t="str">
        <f>VLOOKUP(C1591,[1]道具配置表!$A:$D,4,FALSE)</f>
        <v>1石头</v>
      </c>
      <c r="E1591" s="16">
        <f>E1587+500</f>
        <v>20500</v>
      </c>
      <c r="J1591" s="16">
        <v>1</v>
      </c>
      <c r="L1591" s="16" t="b">
        <v>1</v>
      </c>
    </row>
    <row r="1592" spans="1:12" x14ac:dyDescent="0.25">
      <c r="C1592" s="16">
        <f t="shared" si="30"/>
        <v>104</v>
      </c>
      <c r="D1592" s="16" t="str">
        <f>VLOOKUP(C1592,[1]道具配置表!$A:$D,4,FALSE)</f>
        <v>1黄金</v>
      </c>
      <c r="E1592" s="16">
        <f>E1588+500</f>
        <v>20500</v>
      </c>
      <c r="J1592" s="16">
        <v>1</v>
      </c>
      <c r="L1592" s="16" t="b">
        <v>1</v>
      </c>
    </row>
    <row r="1593" spans="1:12" x14ac:dyDescent="0.25">
      <c r="A1593" s="16">
        <f>A1589+1</f>
        <v>1921041</v>
      </c>
      <c r="B1593" s="16" t="s">
        <v>735</v>
      </c>
      <c r="C1593" s="16">
        <f t="shared" si="30"/>
        <v>102</v>
      </c>
      <c r="D1593" s="16" t="str">
        <f>VLOOKUP(C1593,[1]道具配置表!$A:$D,4,FALSE)</f>
        <v>1食物</v>
      </c>
      <c r="E1593" s="16">
        <f>E1589+300</f>
        <v>13000</v>
      </c>
      <c r="J1593" s="16">
        <v>1</v>
      </c>
      <c r="L1593" s="16" t="b">
        <v>1</v>
      </c>
    </row>
    <row r="1594" spans="1:12" x14ac:dyDescent="0.25">
      <c r="C1594" s="16">
        <f t="shared" si="30"/>
        <v>101</v>
      </c>
      <c r="D1594" s="16" t="str">
        <f>VLOOKUP(C1594,[1]道具配置表!$A:$D,4,FALSE)</f>
        <v>1木材</v>
      </c>
      <c r="E1594" s="16">
        <f>E1590+500</f>
        <v>21000</v>
      </c>
      <c r="J1594" s="16">
        <v>1</v>
      </c>
      <c r="L1594" s="16" t="b">
        <v>1</v>
      </c>
    </row>
    <row r="1595" spans="1:12" x14ac:dyDescent="0.25">
      <c r="C1595" s="16">
        <f t="shared" si="30"/>
        <v>103</v>
      </c>
      <c r="D1595" s="16" t="str">
        <f>VLOOKUP(C1595,[1]道具配置表!$A:$D,4,FALSE)</f>
        <v>1石头</v>
      </c>
      <c r="E1595" s="16">
        <f>E1591+500</f>
        <v>21000</v>
      </c>
      <c r="J1595" s="16">
        <v>1</v>
      </c>
      <c r="L1595" s="16" t="b">
        <v>1</v>
      </c>
    </row>
    <row r="1596" spans="1:12" x14ac:dyDescent="0.25">
      <c r="C1596" s="16">
        <f t="shared" si="30"/>
        <v>104</v>
      </c>
      <c r="D1596" s="16" t="str">
        <f>VLOOKUP(C1596,[1]道具配置表!$A:$D,4,FALSE)</f>
        <v>1黄金</v>
      </c>
      <c r="E1596" s="16">
        <f>E1592+500</f>
        <v>21000</v>
      </c>
      <c r="J1596" s="16">
        <v>1</v>
      </c>
      <c r="L1596" s="16" t="b">
        <v>1</v>
      </c>
    </row>
    <row r="1597" spans="1:12" x14ac:dyDescent="0.25">
      <c r="A1597" s="16">
        <f>A1593+1</f>
        <v>1921042</v>
      </c>
      <c r="B1597" s="16" t="s">
        <v>736</v>
      </c>
      <c r="C1597" s="16">
        <f t="shared" si="30"/>
        <v>102</v>
      </c>
      <c r="D1597" s="16" t="str">
        <f>VLOOKUP(C1597,[1]道具配置表!$A:$D,4,FALSE)</f>
        <v>1食物</v>
      </c>
      <c r="E1597" s="16">
        <f>E1593+300</f>
        <v>13300</v>
      </c>
      <c r="J1597" s="16">
        <v>1</v>
      </c>
      <c r="L1597" s="16" t="b">
        <v>1</v>
      </c>
    </row>
    <row r="1598" spans="1:12" x14ac:dyDescent="0.25">
      <c r="C1598" s="16">
        <f t="shared" si="30"/>
        <v>101</v>
      </c>
      <c r="D1598" s="16" t="str">
        <f>VLOOKUP(C1598,[1]道具配置表!$A:$D,4,FALSE)</f>
        <v>1木材</v>
      </c>
      <c r="E1598" s="16">
        <f>E1594+500</f>
        <v>21500</v>
      </c>
      <c r="J1598" s="16">
        <v>1</v>
      </c>
      <c r="L1598" s="16" t="b">
        <v>1</v>
      </c>
    </row>
    <row r="1599" spans="1:12" x14ac:dyDescent="0.25">
      <c r="C1599" s="16">
        <f t="shared" si="30"/>
        <v>103</v>
      </c>
      <c r="D1599" s="16" t="str">
        <f>VLOOKUP(C1599,[1]道具配置表!$A:$D,4,FALSE)</f>
        <v>1石头</v>
      </c>
      <c r="E1599" s="16">
        <f>E1595+500</f>
        <v>21500</v>
      </c>
      <c r="J1599" s="16">
        <v>1</v>
      </c>
      <c r="L1599" s="16" t="b">
        <v>1</v>
      </c>
    </row>
    <row r="1600" spans="1:12" x14ac:dyDescent="0.25">
      <c r="C1600" s="16">
        <f t="shared" si="30"/>
        <v>104</v>
      </c>
      <c r="D1600" s="16" t="str">
        <f>VLOOKUP(C1600,[1]道具配置表!$A:$D,4,FALSE)</f>
        <v>1黄金</v>
      </c>
      <c r="E1600" s="16">
        <f>E1596+500</f>
        <v>21500</v>
      </c>
      <c r="J1600" s="16">
        <v>1</v>
      </c>
      <c r="L1600" s="16" t="b">
        <v>1</v>
      </c>
    </row>
    <row r="1601" spans="1:12" x14ac:dyDescent="0.25">
      <c r="A1601" s="16">
        <v>1921201</v>
      </c>
      <c r="B1601" s="16" t="s">
        <v>737</v>
      </c>
      <c r="C1601" s="16">
        <f t="shared" si="30"/>
        <v>102</v>
      </c>
      <c r="D1601" s="16" t="str">
        <f>VLOOKUP(C1601,[1]道具配置表!$A:$D,4,FALSE)</f>
        <v>1食物</v>
      </c>
      <c r="E1601" s="16">
        <v>1000</v>
      </c>
      <c r="J1601" s="16">
        <v>1</v>
      </c>
      <c r="L1601" s="16" t="b">
        <v>1</v>
      </c>
    </row>
    <row r="1602" spans="1:12" x14ac:dyDescent="0.25">
      <c r="C1602" s="16">
        <f t="shared" si="30"/>
        <v>101</v>
      </c>
      <c r="D1602" s="16" t="str">
        <f>VLOOKUP(C1602,[1]道具配置表!$A:$D,4,FALSE)</f>
        <v>1木材</v>
      </c>
      <c r="E1602" s="16">
        <v>1000</v>
      </c>
      <c r="J1602" s="16">
        <v>1</v>
      </c>
      <c r="L1602" s="16" t="b">
        <v>1</v>
      </c>
    </row>
    <row r="1603" spans="1:12" x14ac:dyDescent="0.25">
      <c r="C1603" s="16">
        <f t="shared" si="30"/>
        <v>103</v>
      </c>
      <c r="D1603" s="16" t="str">
        <f>VLOOKUP(C1603,[1]道具配置表!$A:$D,4,FALSE)</f>
        <v>1石头</v>
      </c>
      <c r="E1603" s="16">
        <v>1000</v>
      </c>
      <c r="J1603" s="16">
        <v>1</v>
      </c>
      <c r="L1603" s="16" t="b">
        <v>1</v>
      </c>
    </row>
    <row r="1604" spans="1:12" x14ac:dyDescent="0.25">
      <c r="C1604" s="16">
        <f t="shared" si="30"/>
        <v>104</v>
      </c>
      <c r="D1604" s="16" t="str">
        <f>VLOOKUP(C1604,[1]道具配置表!$A:$D,4,FALSE)</f>
        <v>1黄金</v>
      </c>
      <c r="E1604" s="16">
        <v>1000</v>
      </c>
      <c r="J1604" s="16">
        <v>1</v>
      </c>
      <c r="L1604" s="16" t="b">
        <v>1</v>
      </c>
    </row>
    <row r="1605" spans="1:12" x14ac:dyDescent="0.25">
      <c r="A1605" s="16">
        <v>1921202</v>
      </c>
      <c r="B1605" s="16" t="s">
        <v>738</v>
      </c>
      <c r="C1605" s="16">
        <f t="shared" si="30"/>
        <v>102</v>
      </c>
      <c r="D1605" s="16" t="str">
        <f>VLOOKUP(C1605,[1]道具配置表!$A:$D,4,FALSE)</f>
        <v>1食物</v>
      </c>
      <c r="E1605" s="16">
        <f>E1601+1000</f>
        <v>2000</v>
      </c>
      <c r="J1605" s="16">
        <v>1</v>
      </c>
      <c r="L1605" s="16" t="b">
        <v>1</v>
      </c>
    </row>
    <row r="1606" spans="1:12" x14ac:dyDescent="0.25">
      <c r="C1606" s="16">
        <f t="shared" si="30"/>
        <v>101</v>
      </c>
      <c r="D1606" s="16" t="str">
        <f>VLOOKUP(C1606,[1]道具配置表!$A:$D,4,FALSE)</f>
        <v>1木材</v>
      </c>
      <c r="E1606" s="16">
        <f>E1602+500</f>
        <v>1500</v>
      </c>
      <c r="J1606" s="16">
        <v>1</v>
      </c>
      <c r="L1606" s="16" t="b">
        <v>1</v>
      </c>
    </row>
    <row r="1607" spans="1:12" x14ac:dyDescent="0.25">
      <c r="C1607" s="16">
        <f t="shared" si="30"/>
        <v>103</v>
      </c>
      <c r="D1607" s="16" t="str">
        <f>VLOOKUP(C1607,[1]道具配置表!$A:$D,4,FALSE)</f>
        <v>1石头</v>
      </c>
      <c r="E1607" s="16">
        <f>E1603+500</f>
        <v>1500</v>
      </c>
      <c r="J1607" s="16">
        <v>1</v>
      </c>
      <c r="L1607" s="16" t="b">
        <v>1</v>
      </c>
    </row>
    <row r="1608" spans="1:12" x14ac:dyDescent="0.25">
      <c r="C1608" s="16">
        <f t="shared" si="30"/>
        <v>104</v>
      </c>
      <c r="D1608" s="16" t="str">
        <f>VLOOKUP(C1608,[1]道具配置表!$A:$D,4,FALSE)</f>
        <v>1黄金</v>
      </c>
      <c r="E1608" s="16">
        <f>E1604+500</f>
        <v>1500</v>
      </c>
      <c r="J1608" s="16">
        <v>1</v>
      </c>
      <c r="L1608" s="16" t="b">
        <v>1</v>
      </c>
    </row>
    <row r="1609" spans="1:12" x14ac:dyDescent="0.25">
      <c r="A1609" s="16">
        <v>1921203</v>
      </c>
      <c r="B1609" s="16" t="s">
        <v>739</v>
      </c>
      <c r="C1609" s="16">
        <f t="shared" si="30"/>
        <v>102</v>
      </c>
      <c r="D1609" s="16" t="str">
        <f>VLOOKUP(C1609,[1]道具配置表!$A:$D,4,FALSE)</f>
        <v>1食物</v>
      </c>
      <c r="E1609" s="16">
        <f>E1605+1000</f>
        <v>3000</v>
      </c>
      <c r="J1609" s="16">
        <v>1</v>
      </c>
      <c r="L1609" s="16" t="b">
        <v>1</v>
      </c>
    </row>
    <row r="1610" spans="1:12" x14ac:dyDescent="0.25">
      <c r="C1610" s="16">
        <f t="shared" si="30"/>
        <v>101</v>
      </c>
      <c r="D1610" s="16" t="str">
        <f>VLOOKUP(C1610,[1]道具配置表!$A:$D,4,FALSE)</f>
        <v>1木材</v>
      </c>
      <c r="E1610" s="16">
        <f>E1606+500</f>
        <v>2000</v>
      </c>
      <c r="J1610" s="16">
        <v>1</v>
      </c>
      <c r="L1610" s="16" t="b">
        <v>1</v>
      </c>
    </row>
    <row r="1611" spans="1:12" x14ac:dyDescent="0.25">
      <c r="C1611" s="16">
        <f t="shared" si="30"/>
        <v>103</v>
      </c>
      <c r="D1611" s="16" t="str">
        <f>VLOOKUP(C1611,[1]道具配置表!$A:$D,4,FALSE)</f>
        <v>1石头</v>
      </c>
      <c r="E1611" s="16">
        <f>E1607+500</f>
        <v>2000</v>
      </c>
      <c r="J1611" s="16">
        <v>1</v>
      </c>
      <c r="L1611" s="16" t="b">
        <v>1</v>
      </c>
    </row>
    <row r="1612" spans="1:12" x14ac:dyDescent="0.25">
      <c r="C1612" s="16">
        <f t="shared" si="30"/>
        <v>104</v>
      </c>
      <c r="D1612" s="16" t="str">
        <f>VLOOKUP(C1612,[1]道具配置表!$A:$D,4,FALSE)</f>
        <v>1黄金</v>
      </c>
      <c r="E1612" s="16">
        <f>E1608+500</f>
        <v>2000</v>
      </c>
      <c r="J1612" s="16">
        <v>1</v>
      </c>
      <c r="L1612" s="16" t="b">
        <v>1</v>
      </c>
    </row>
    <row r="1613" spans="1:12" x14ac:dyDescent="0.25">
      <c r="A1613" s="16">
        <v>1921204</v>
      </c>
      <c r="B1613" s="16" t="s">
        <v>740</v>
      </c>
      <c r="C1613" s="16">
        <f t="shared" si="30"/>
        <v>102</v>
      </c>
      <c r="D1613" s="16" t="str">
        <f>VLOOKUP(C1613,[1]道具配置表!$A:$D,4,FALSE)</f>
        <v>1食物</v>
      </c>
      <c r="E1613" s="16">
        <f>E1609+1000</f>
        <v>4000</v>
      </c>
      <c r="J1613" s="16">
        <v>1</v>
      </c>
      <c r="L1613" s="16" t="b">
        <v>1</v>
      </c>
    </row>
    <row r="1614" spans="1:12" x14ac:dyDescent="0.25">
      <c r="C1614" s="16">
        <f t="shared" si="30"/>
        <v>101</v>
      </c>
      <c r="D1614" s="16" t="str">
        <f>VLOOKUP(C1614,[1]道具配置表!$A:$D,4,FALSE)</f>
        <v>1木材</v>
      </c>
      <c r="E1614" s="16">
        <f>E1610+500</f>
        <v>2500</v>
      </c>
      <c r="J1614" s="16">
        <v>1</v>
      </c>
      <c r="L1614" s="16" t="b">
        <v>1</v>
      </c>
    </row>
    <row r="1615" spans="1:12" x14ac:dyDescent="0.25">
      <c r="C1615" s="16">
        <f t="shared" si="30"/>
        <v>103</v>
      </c>
      <c r="D1615" s="16" t="str">
        <f>VLOOKUP(C1615,[1]道具配置表!$A:$D,4,FALSE)</f>
        <v>1石头</v>
      </c>
      <c r="E1615" s="16">
        <f>E1611+500</f>
        <v>2500</v>
      </c>
      <c r="J1615" s="16">
        <v>1</v>
      </c>
      <c r="L1615" s="16" t="b">
        <v>1</v>
      </c>
    </row>
    <row r="1616" spans="1:12" x14ac:dyDescent="0.25">
      <c r="C1616" s="16">
        <f t="shared" si="30"/>
        <v>104</v>
      </c>
      <c r="D1616" s="16" t="str">
        <f>VLOOKUP(C1616,[1]道具配置表!$A:$D,4,FALSE)</f>
        <v>1黄金</v>
      </c>
      <c r="E1616" s="16">
        <f>E1612+500</f>
        <v>2500</v>
      </c>
      <c r="J1616" s="16">
        <v>1</v>
      </c>
      <c r="L1616" s="16" t="b">
        <v>1</v>
      </c>
    </row>
    <row r="1617" spans="1:12" x14ac:dyDescent="0.25">
      <c r="A1617" s="16">
        <v>1921205</v>
      </c>
      <c r="B1617" s="16" t="s">
        <v>741</v>
      </c>
      <c r="C1617" s="16">
        <f t="shared" si="30"/>
        <v>102</v>
      </c>
      <c r="D1617" s="16" t="str">
        <f>VLOOKUP(C1617,[1]道具配置表!$A:$D,4,FALSE)</f>
        <v>1食物</v>
      </c>
      <c r="E1617" s="16">
        <f>E1613+1000</f>
        <v>5000</v>
      </c>
      <c r="J1617" s="16">
        <v>1</v>
      </c>
      <c r="L1617" s="16" t="b">
        <v>1</v>
      </c>
    </row>
    <row r="1618" spans="1:12" x14ac:dyDescent="0.25">
      <c r="C1618" s="16">
        <f t="shared" si="30"/>
        <v>101</v>
      </c>
      <c r="D1618" s="16" t="str">
        <f>VLOOKUP(C1618,[1]道具配置表!$A:$D,4,FALSE)</f>
        <v>1木材</v>
      </c>
      <c r="E1618" s="16">
        <f>E1614+500</f>
        <v>3000</v>
      </c>
      <c r="J1618" s="16">
        <v>1</v>
      </c>
      <c r="L1618" s="16" t="b">
        <v>1</v>
      </c>
    </row>
    <row r="1619" spans="1:12" x14ac:dyDescent="0.25">
      <c r="C1619" s="16">
        <f t="shared" si="30"/>
        <v>103</v>
      </c>
      <c r="D1619" s="16" t="str">
        <f>VLOOKUP(C1619,[1]道具配置表!$A:$D,4,FALSE)</f>
        <v>1石头</v>
      </c>
      <c r="E1619" s="16">
        <f>E1615+500</f>
        <v>3000</v>
      </c>
      <c r="J1619" s="16">
        <v>1</v>
      </c>
      <c r="L1619" s="16" t="b">
        <v>1</v>
      </c>
    </row>
    <row r="1620" spans="1:12" x14ac:dyDescent="0.25">
      <c r="C1620" s="16">
        <f t="shared" si="30"/>
        <v>104</v>
      </c>
      <c r="D1620" s="16" t="str">
        <f>VLOOKUP(C1620,[1]道具配置表!$A:$D,4,FALSE)</f>
        <v>1黄金</v>
      </c>
      <c r="E1620" s="16">
        <f>E1616+500</f>
        <v>3000</v>
      </c>
      <c r="J1620" s="16">
        <v>1</v>
      </c>
      <c r="L1620" s="16" t="b">
        <v>1</v>
      </c>
    </row>
    <row r="1621" spans="1:12" x14ac:dyDescent="0.25">
      <c r="A1621" s="16">
        <v>1921206</v>
      </c>
      <c r="B1621" s="16" t="s">
        <v>742</v>
      </c>
      <c r="C1621" s="16">
        <f t="shared" si="30"/>
        <v>102</v>
      </c>
      <c r="D1621" s="16" t="str">
        <f>VLOOKUP(C1621,[1]道具配置表!$A:$D,4,FALSE)</f>
        <v>1食物</v>
      </c>
      <c r="E1621" s="16">
        <f>E1617+1000</f>
        <v>6000</v>
      </c>
      <c r="J1621" s="16">
        <v>1</v>
      </c>
      <c r="L1621" s="16" t="b">
        <v>1</v>
      </c>
    </row>
    <row r="1622" spans="1:12" x14ac:dyDescent="0.25">
      <c r="C1622" s="16">
        <f t="shared" si="30"/>
        <v>101</v>
      </c>
      <c r="D1622" s="16" t="str">
        <f>VLOOKUP(C1622,[1]道具配置表!$A:$D,4,FALSE)</f>
        <v>1木材</v>
      </c>
      <c r="E1622" s="16">
        <f>E1618+500</f>
        <v>3500</v>
      </c>
      <c r="J1622" s="16">
        <v>1</v>
      </c>
      <c r="L1622" s="16" t="b">
        <v>1</v>
      </c>
    </row>
    <row r="1623" spans="1:12" x14ac:dyDescent="0.25">
      <c r="C1623" s="16">
        <f t="shared" si="30"/>
        <v>103</v>
      </c>
      <c r="D1623" s="16" t="str">
        <f>VLOOKUP(C1623,[1]道具配置表!$A:$D,4,FALSE)</f>
        <v>1石头</v>
      </c>
      <c r="E1623" s="16">
        <f>E1619+500</f>
        <v>3500</v>
      </c>
      <c r="J1623" s="16">
        <v>1</v>
      </c>
      <c r="L1623" s="16" t="b">
        <v>1</v>
      </c>
    </row>
    <row r="1624" spans="1:12" x14ac:dyDescent="0.25">
      <c r="C1624" s="16">
        <f t="shared" si="30"/>
        <v>104</v>
      </c>
      <c r="D1624" s="16" t="str">
        <f>VLOOKUP(C1624,[1]道具配置表!$A:$D,4,FALSE)</f>
        <v>1黄金</v>
      </c>
      <c r="E1624" s="16">
        <f>E1620+500</f>
        <v>3500</v>
      </c>
      <c r="J1624" s="16">
        <v>1</v>
      </c>
      <c r="L1624" s="16" t="b">
        <v>1</v>
      </c>
    </row>
    <row r="1625" spans="1:12" x14ac:dyDescent="0.25">
      <c r="A1625" s="16">
        <v>1921207</v>
      </c>
      <c r="B1625" s="16" t="s">
        <v>743</v>
      </c>
      <c r="C1625" s="16">
        <f t="shared" si="30"/>
        <v>102</v>
      </c>
      <c r="D1625" s="16" t="str">
        <f>VLOOKUP(C1625,[1]道具配置表!$A:$D,4,FALSE)</f>
        <v>1食物</v>
      </c>
      <c r="E1625" s="16">
        <f>E1621+1000</f>
        <v>7000</v>
      </c>
      <c r="J1625" s="16">
        <v>1</v>
      </c>
      <c r="L1625" s="16" t="b">
        <v>1</v>
      </c>
    </row>
    <row r="1626" spans="1:12" x14ac:dyDescent="0.25">
      <c r="C1626" s="16">
        <f t="shared" si="30"/>
        <v>101</v>
      </c>
      <c r="D1626" s="16" t="str">
        <f>VLOOKUP(C1626,[1]道具配置表!$A:$D,4,FALSE)</f>
        <v>1木材</v>
      </c>
      <c r="E1626" s="16">
        <f>E1622+500</f>
        <v>4000</v>
      </c>
      <c r="J1626" s="16">
        <v>1</v>
      </c>
      <c r="L1626" s="16" t="b">
        <v>1</v>
      </c>
    </row>
    <row r="1627" spans="1:12" x14ac:dyDescent="0.25">
      <c r="C1627" s="16">
        <f t="shared" si="30"/>
        <v>103</v>
      </c>
      <c r="D1627" s="16" t="str">
        <f>VLOOKUP(C1627,[1]道具配置表!$A:$D,4,FALSE)</f>
        <v>1石头</v>
      </c>
      <c r="E1627" s="16">
        <f>E1623+500</f>
        <v>4000</v>
      </c>
      <c r="J1627" s="16">
        <v>1</v>
      </c>
      <c r="L1627" s="16" t="b">
        <v>1</v>
      </c>
    </row>
    <row r="1628" spans="1:12" x14ac:dyDescent="0.25">
      <c r="C1628" s="16">
        <f t="shared" si="30"/>
        <v>104</v>
      </c>
      <c r="D1628" s="16" t="str">
        <f>VLOOKUP(C1628,[1]道具配置表!$A:$D,4,FALSE)</f>
        <v>1黄金</v>
      </c>
      <c r="E1628" s="16">
        <f>E1624+500</f>
        <v>4000</v>
      </c>
      <c r="J1628" s="16">
        <v>1</v>
      </c>
      <c r="L1628" s="16" t="b">
        <v>1</v>
      </c>
    </row>
    <row r="1629" spans="1:12" x14ac:dyDescent="0.25">
      <c r="A1629" s="16">
        <v>1921208</v>
      </c>
      <c r="B1629" s="16" t="s">
        <v>744</v>
      </c>
      <c r="C1629" s="16">
        <f t="shared" si="30"/>
        <v>102</v>
      </c>
      <c r="D1629" s="16" t="str">
        <f>VLOOKUP(C1629,[1]道具配置表!$A:$D,4,FALSE)</f>
        <v>1食物</v>
      </c>
      <c r="E1629" s="16">
        <f>E1625+1000</f>
        <v>8000</v>
      </c>
      <c r="J1629" s="16">
        <v>1</v>
      </c>
      <c r="L1629" s="16" t="b">
        <v>1</v>
      </c>
    </row>
    <row r="1630" spans="1:12" x14ac:dyDescent="0.25">
      <c r="C1630" s="16">
        <f t="shared" si="30"/>
        <v>101</v>
      </c>
      <c r="D1630" s="16" t="str">
        <f>VLOOKUP(C1630,[1]道具配置表!$A:$D,4,FALSE)</f>
        <v>1木材</v>
      </c>
      <c r="E1630" s="16">
        <f>E1626+500</f>
        <v>4500</v>
      </c>
      <c r="J1630" s="16">
        <v>1</v>
      </c>
      <c r="L1630" s="16" t="b">
        <v>1</v>
      </c>
    </row>
    <row r="1631" spans="1:12" x14ac:dyDescent="0.25">
      <c r="C1631" s="16">
        <f t="shared" si="30"/>
        <v>103</v>
      </c>
      <c r="D1631" s="16" t="str">
        <f>VLOOKUP(C1631,[1]道具配置表!$A:$D,4,FALSE)</f>
        <v>1石头</v>
      </c>
      <c r="E1631" s="16">
        <f>E1627+500</f>
        <v>4500</v>
      </c>
      <c r="J1631" s="16">
        <v>1</v>
      </c>
      <c r="L1631" s="16" t="b">
        <v>1</v>
      </c>
    </row>
    <row r="1632" spans="1:12" x14ac:dyDescent="0.25">
      <c r="C1632" s="16">
        <f t="shared" si="30"/>
        <v>104</v>
      </c>
      <c r="D1632" s="16" t="str">
        <f>VLOOKUP(C1632,[1]道具配置表!$A:$D,4,FALSE)</f>
        <v>1黄金</v>
      </c>
      <c r="E1632" s="16">
        <f>E1628+500</f>
        <v>4500</v>
      </c>
      <c r="J1632" s="16">
        <v>1</v>
      </c>
      <c r="L1632" s="16" t="b">
        <v>1</v>
      </c>
    </row>
    <row r="1633" spans="1:12" x14ac:dyDescent="0.25">
      <c r="A1633" s="16">
        <v>1921209</v>
      </c>
      <c r="B1633" s="16" t="s">
        <v>745</v>
      </c>
      <c r="C1633" s="16">
        <f t="shared" si="30"/>
        <v>102</v>
      </c>
      <c r="D1633" s="16" t="str">
        <f>VLOOKUP(C1633,[1]道具配置表!$A:$D,4,FALSE)</f>
        <v>1食物</v>
      </c>
      <c r="E1633" s="16">
        <f>E1629+1000</f>
        <v>9000</v>
      </c>
      <c r="J1633" s="16">
        <v>1</v>
      </c>
      <c r="L1633" s="16" t="b">
        <v>1</v>
      </c>
    </row>
    <row r="1634" spans="1:12" x14ac:dyDescent="0.25">
      <c r="C1634" s="16">
        <f t="shared" si="30"/>
        <v>101</v>
      </c>
      <c r="D1634" s="16" t="str">
        <f>VLOOKUP(C1634,[1]道具配置表!$A:$D,4,FALSE)</f>
        <v>1木材</v>
      </c>
      <c r="E1634" s="16">
        <f>E1630+500</f>
        <v>5000</v>
      </c>
      <c r="J1634" s="16">
        <v>1</v>
      </c>
      <c r="L1634" s="16" t="b">
        <v>1</v>
      </c>
    </row>
    <row r="1635" spans="1:12" x14ac:dyDescent="0.25">
      <c r="C1635" s="16">
        <f t="shared" si="30"/>
        <v>103</v>
      </c>
      <c r="D1635" s="16" t="str">
        <f>VLOOKUP(C1635,[1]道具配置表!$A:$D,4,FALSE)</f>
        <v>1石头</v>
      </c>
      <c r="E1635" s="16">
        <f>E1631+500</f>
        <v>5000</v>
      </c>
      <c r="J1635" s="16">
        <v>1</v>
      </c>
      <c r="L1635" s="16" t="b">
        <v>1</v>
      </c>
    </row>
    <row r="1636" spans="1:12" x14ac:dyDescent="0.25">
      <c r="C1636" s="16">
        <f t="shared" si="30"/>
        <v>104</v>
      </c>
      <c r="D1636" s="16" t="str">
        <f>VLOOKUP(C1636,[1]道具配置表!$A:$D,4,FALSE)</f>
        <v>1黄金</v>
      </c>
      <c r="E1636" s="16">
        <f>E1632+500</f>
        <v>5000</v>
      </c>
      <c r="J1636" s="16">
        <v>1</v>
      </c>
      <c r="L1636" s="16" t="b">
        <v>1</v>
      </c>
    </row>
    <row r="1637" spans="1:12" x14ac:dyDescent="0.25">
      <c r="A1637" s="16">
        <v>1921210</v>
      </c>
      <c r="B1637" s="16" t="s">
        <v>746</v>
      </c>
      <c r="C1637" s="16">
        <f t="shared" si="30"/>
        <v>102</v>
      </c>
      <c r="D1637" s="16" t="str">
        <f>VLOOKUP(C1637,[1]道具配置表!$A:$D,4,FALSE)</f>
        <v>1食物</v>
      </c>
      <c r="E1637" s="16">
        <f>E1633+1000</f>
        <v>10000</v>
      </c>
      <c r="J1637" s="16">
        <v>1</v>
      </c>
      <c r="L1637" s="16" t="b">
        <v>1</v>
      </c>
    </row>
    <row r="1638" spans="1:12" x14ac:dyDescent="0.25">
      <c r="C1638" s="16">
        <f t="shared" si="30"/>
        <v>101</v>
      </c>
      <c r="D1638" s="16" t="str">
        <f>VLOOKUP(C1638,[1]道具配置表!$A:$D,4,FALSE)</f>
        <v>1木材</v>
      </c>
      <c r="E1638" s="16">
        <f>E1634+500</f>
        <v>5500</v>
      </c>
      <c r="J1638" s="16">
        <v>1</v>
      </c>
      <c r="L1638" s="16" t="b">
        <v>1</v>
      </c>
    </row>
    <row r="1639" spans="1:12" x14ac:dyDescent="0.25">
      <c r="C1639" s="16">
        <f t="shared" si="30"/>
        <v>103</v>
      </c>
      <c r="D1639" s="16" t="str">
        <f>VLOOKUP(C1639,[1]道具配置表!$A:$D,4,FALSE)</f>
        <v>1石头</v>
      </c>
      <c r="E1639" s="16">
        <f>E1635+500</f>
        <v>5500</v>
      </c>
      <c r="J1639" s="16">
        <v>1</v>
      </c>
      <c r="L1639" s="16" t="b">
        <v>1</v>
      </c>
    </row>
    <row r="1640" spans="1:12" x14ac:dyDescent="0.25">
      <c r="C1640" s="16">
        <f t="shared" si="30"/>
        <v>104</v>
      </c>
      <c r="D1640" s="16" t="str">
        <f>VLOOKUP(C1640,[1]道具配置表!$A:$D,4,FALSE)</f>
        <v>1黄金</v>
      </c>
      <c r="E1640" s="16">
        <f>E1636+500</f>
        <v>5500</v>
      </c>
      <c r="J1640" s="16">
        <v>1</v>
      </c>
      <c r="L1640" s="16" t="b">
        <v>1</v>
      </c>
    </row>
    <row r="1641" spans="1:12" x14ac:dyDescent="0.25">
      <c r="A1641" s="16">
        <v>1921211</v>
      </c>
      <c r="B1641" s="16" t="s">
        <v>747</v>
      </c>
      <c r="C1641" s="16">
        <f t="shared" si="30"/>
        <v>102</v>
      </c>
      <c r="D1641" s="16" t="str">
        <f>VLOOKUP(C1641,[1]道具配置表!$A:$D,4,FALSE)</f>
        <v>1食物</v>
      </c>
      <c r="E1641" s="16">
        <f>E1637+1000</f>
        <v>11000</v>
      </c>
      <c r="J1641" s="16">
        <v>1</v>
      </c>
      <c r="L1641" s="16" t="b">
        <v>1</v>
      </c>
    </row>
    <row r="1642" spans="1:12" x14ac:dyDescent="0.25">
      <c r="C1642" s="16">
        <f t="shared" si="30"/>
        <v>101</v>
      </c>
      <c r="D1642" s="16" t="str">
        <f>VLOOKUP(C1642,[1]道具配置表!$A:$D,4,FALSE)</f>
        <v>1木材</v>
      </c>
      <c r="E1642" s="16">
        <f>E1638+500</f>
        <v>6000</v>
      </c>
      <c r="J1642" s="16">
        <v>1</v>
      </c>
      <c r="L1642" s="16" t="b">
        <v>1</v>
      </c>
    </row>
    <row r="1643" spans="1:12" x14ac:dyDescent="0.25">
      <c r="C1643" s="16">
        <f t="shared" si="30"/>
        <v>103</v>
      </c>
      <c r="D1643" s="16" t="str">
        <f>VLOOKUP(C1643,[1]道具配置表!$A:$D,4,FALSE)</f>
        <v>1石头</v>
      </c>
      <c r="E1643" s="16">
        <f>E1639+500</f>
        <v>6000</v>
      </c>
      <c r="J1643" s="16">
        <v>1</v>
      </c>
      <c r="L1643" s="16" t="b">
        <v>1</v>
      </c>
    </row>
    <row r="1644" spans="1:12" x14ac:dyDescent="0.25">
      <c r="C1644" s="16">
        <f t="shared" si="30"/>
        <v>104</v>
      </c>
      <c r="D1644" s="16" t="str">
        <f>VLOOKUP(C1644,[1]道具配置表!$A:$D,4,FALSE)</f>
        <v>1黄金</v>
      </c>
      <c r="E1644" s="16">
        <f>E1640+500</f>
        <v>6000</v>
      </c>
      <c r="J1644" s="16">
        <v>1</v>
      </c>
      <c r="L1644" s="16" t="b">
        <v>1</v>
      </c>
    </row>
    <row r="1645" spans="1:12" x14ac:dyDescent="0.25">
      <c r="A1645" s="16">
        <v>1921212</v>
      </c>
      <c r="B1645" s="16" t="s">
        <v>748</v>
      </c>
      <c r="C1645" s="16">
        <f t="shared" si="30"/>
        <v>102</v>
      </c>
      <c r="D1645" s="16" t="str">
        <f>VLOOKUP(C1645,[1]道具配置表!$A:$D,4,FALSE)</f>
        <v>1食物</v>
      </c>
      <c r="E1645" s="16">
        <f>E1641+1000</f>
        <v>12000</v>
      </c>
      <c r="J1645" s="16">
        <v>1</v>
      </c>
      <c r="L1645" s="16" t="b">
        <v>1</v>
      </c>
    </row>
    <row r="1646" spans="1:12" x14ac:dyDescent="0.25">
      <c r="C1646" s="16">
        <f t="shared" si="30"/>
        <v>101</v>
      </c>
      <c r="D1646" s="16" t="str">
        <f>VLOOKUP(C1646,[1]道具配置表!$A:$D,4,FALSE)</f>
        <v>1木材</v>
      </c>
      <c r="E1646" s="16">
        <f>E1642+500</f>
        <v>6500</v>
      </c>
      <c r="J1646" s="16">
        <v>1</v>
      </c>
      <c r="L1646" s="16" t="b">
        <v>1</v>
      </c>
    </row>
    <row r="1647" spans="1:12" x14ac:dyDescent="0.25">
      <c r="C1647" s="16">
        <f t="shared" si="30"/>
        <v>103</v>
      </c>
      <c r="D1647" s="16" t="str">
        <f>VLOOKUP(C1647,[1]道具配置表!$A:$D,4,FALSE)</f>
        <v>1石头</v>
      </c>
      <c r="E1647" s="16">
        <f>E1643+500</f>
        <v>6500</v>
      </c>
      <c r="J1647" s="16">
        <v>1</v>
      </c>
      <c r="L1647" s="16" t="b">
        <v>1</v>
      </c>
    </row>
    <row r="1648" spans="1:12" x14ac:dyDescent="0.25">
      <c r="C1648" s="16">
        <f t="shared" si="30"/>
        <v>104</v>
      </c>
      <c r="D1648" s="16" t="str">
        <f>VLOOKUP(C1648,[1]道具配置表!$A:$D,4,FALSE)</f>
        <v>1黄金</v>
      </c>
      <c r="E1648" s="16">
        <f>E1644+500</f>
        <v>6500</v>
      </c>
      <c r="J1648" s="16">
        <v>1</v>
      </c>
      <c r="L1648" s="16" t="b">
        <v>1</v>
      </c>
    </row>
    <row r="1649" spans="1:12" x14ac:dyDescent="0.25">
      <c r="A1649" s="16">
        <v>1921213</v>
      </c>
      <c r="B1649" s="16" t="s">
        <v>749</v>
      </c>
      <c r="C1649" s="16">
        <f t="shared" ref="C1649:C1712" si="31">C1645</f>
        <v>102</v>
      </c>
      <c r="D1649" s="16" t="str">
        <f>VLOOKUP(C1649,[1]道具配置表!$A:$D,4,FALSE)</f>
        <v>1食物</v>
      </c>
      <c r="E1649" s="16">
        <f>E1645+1000</f>
        <v>13000</v>
      </c>
      <c r="J1649" s="16">
        <v>1</v>
      </c>
      <c r="L1649" s="16" t="b">
        <v>1</v>
      </c>
    </row>
    <row r="1650" spans="1:12" x14ac:dyDescent="0.25">
      <c r="C1650" s="16">
        <f t="shared" si="31"/>
        <v>101</v>
      </c>
      <c r="D1650" s="16" t="str">
        <f>VLOOKUP(C1650,[1]道具配置表!$A:$D,4,FALSE)</f>
        <v>1木材</v>
      </c>
      <c r="E1650" s="16">
        <f>E1646+500</f>
        <v>7000</v>
      </c>
      <c r="J1650" s="16">
        <v>1</v>
      </c>
      <c r="L1650" s="16" t="b">
        <v>1</v>
      </c>
    </row>
    <row r="1651" spans="1:12" x14ac:dyDescent="0.25">
      <c r="C1651" s="16">
        <f t="shared" si="31"/>
        <v>103</v>
      </c>
      <c r="D1651" s="16" t="str">
        <f>VLOOKUP(C1651,[1]道具配置表!$A:$D,4,FALSE)</f>
        <v>1石头</v>
      </c>
      <c r="E1651" s="16">
        <f>E1647+500</f>
        <v>7000</v>
      </c>
      <c r="J1651" s="16">
        <v>1</v>
      </c>
      <c r="L1651" s="16" t="b">
        <v>1</v>
      </c>
    </row>
    <row r="1652" spans="1:12" x14ac:dyDescent="0.25">
      <c r="C1652" s="16">
        <f t="shared" si="31"/>
        <v>104</v>
      </c>
      <c r="D1652" s="16" t="str">
        <f>VLOOKUP(C1652,[1]道具配置表!$A:$D,4,FALSE)</f>
        <v>1黄金</v>
      </c>
      <c r="E1652" s="16">
        <f>E1648+500</f>
        <v>7000</v>
      </c>
      <c r="J1652" s="16">
        <v>1</v>
      </c>
      <c r="L1652" s="16" t="b">
        <v>1</v>
      </c>
    </row>
    <row r="1653" spans="1:12" x14ac:dyDescent="0.25">
      <c r="A1653" s="16">
        <v>1921301</v>
      </c>
      <c r="B1653" s="16" t="s">
        <v>750</v>
      </c>
      <c r="C1653" s="16">
        <f t="shared" si="31"/>
        <v>102</v>
      </c>
      <c r="D1653" s="16" t="str">
        <f>VLOOKUP(C1653,[1]道具配置表!$A:$D,4,FALSE)</f>
        <v>1食物</v>
      </c>
      <c r="E1653" s="16">
        <v>2800</v>
      </c>
      <c r="J1653" s="16">
        <v>1</v>
      </c>
      <c r="L1653" s="16" t="b">
        <v>1</v>
      </c>
    </row>
    <row r="1654" spans="1:12" x14ac:dyDescent="0.25">
      <c r="C1654" s="16">
        <f t="shared" si="31"/>
        <v>101</v>
      </c>
      <c r="D1654" s="16" t="str">
        <f>VLOOKUP(C1654,[1]道具配置表!$A:$D,4,FALSE)</f>
        <v>1木材</v>
      </c>
      <c r="E1654" s="16">
        <v>4000</v>
      </c>
      <c r="J1654" s="16">
        <v>1</v>
      </c>
      <c r="L1654" s="16" t="b">
        <v>1</v>
      </c>
    </row>
    <row r="1655" spans="1:12" x14ac:dyDescent="0.25">
      <c r="C1655" s="16">
        <f t="shared" si="31"/>
        <v>103</v>
      </c>
      <c r="D1655" s="16" t="str">
        <f>VLOOKUP(C1655,[1]道具配置表!$A:$D,4,FALSE)</f>
        <v>1石头</v>
      </c>
      <c r="E1655" s="16">
        <v>4000</v>
      </c>
      <c r="J1655" s="16">
        <v>1</v>
      </c>
      <c r="L1655" s="16" t="b">
        <v>1</v>
      </c>
    </row>
    <row r="1656" spans="1:12" x14ac:dyDescent="0.25">
      <c r="C1656" s="16">
        <f t="shared" si="31"/>
        <v>104</v>
      </c>
      <c r="D1656" s="16" t="str">
        <f>VLOOKUP(C1656,[1]道具配置表!$A:$D,4,FALSE)</f>
        <v>1黄金</v>
      </c>
      <c r="E1656" s="16">
        <v>4000</v>
      </c>
      <c r="J1656" s="16">
        <v>1</v>
      </c>
      <c r="L1656" s="16" t="b">
        <v>1</v>
      </c>
    </row>
    <row r="1657" spans="1:12" x14ac:dyDescent="0.25">
      <c r="A1657" s="16">
        <v>1921302</v>
      </c>
      <c r="B1657" s="16" t="s">
        <v>751</v>
      </c>
      <c r="C1657" s="16">
        <f t="shared" si="31"/>
        <v>102</v>
      </c>
      <c r="D1657" s="16" t="str">
        <f>VLOOKUP(C1657,[1]道具配置表!$A:$D,4,FALSE)</f>
        <v>1食物</v>
      </c>
      <c r="E1657" s="16">
        <f>E1653+300</f>
        <v>3100</v>
      </c>
      <c r="J1657" s="16">
        <v>1</v>
      </c>
      <c r="L1657" s="16" t="b">
        <v>1</v>
      </c>
    </row>
    <row r="1658" spans="1:12" x14ac:dyDescent="0.25">
      <c r="C1658" s="16">
        <f t="shared" si="31"/>
        <v>101</v>
      </c>
      <c r="D1658" s="16" t="str">
        <f>VLOOKUP(C1658,[1]道具配置表!$A:$D,4,FALSE)</f>
        <v>1木材</v>
      </c>
      <c r="E1658" s="16">
        <f>E1654+500</f>
        <v>4500</v>
      </c>
      <c r="J1658" s="16">
        <v>1</v>
      </c>
      <c r="L1658" s="16" t="b">
        <v>1</v>
      </c>
    </row>
    <row r="1659" spans="1:12" x14ac:dyDescent="0.25">
      <c r="C1659" s="16">
        <f t="shared" si="31"/>
        <v>103</v>
      </c>
      <c r="D1659" s="16" t="str">
        <f>VLOOKUP(C1659,[1]道具配置表!$A:$D,4,FALSE)</f>
        <v>1石头</v>
      </c>
      <c r="E1659" s="16">
        <f>E1655+500</f>
        <v>4500</v>
      </c>
      <c r="J1659" s="16">
        <v>1</v>
      </c>
      <c r="L1659" s="16" t="b">
        <v>1</v>
      </c>
    </row>
    <row r="1660" spans="1:12" x14ac:dyDescent="0.25">
      <c r="C1660" s="16">
        <f t="shared" si="31"/>
        <v>104</v>
      </c>
      <c r="D1660" s="16" t="str">
        <f>VLOOKUP(C1660,[1]道具配置表!$A:$D,4,FALSE)</f>
        <v>1黄金</v>
      </c>
      <c r="E1660" s="16">
        <f>E1656+500</f>
        <v>4500</v>
      </c>
      <c r="J1660" s="16">
        <v>1</v>
      </c>
      <c r="L1660" s="16" t="b">
        <v>1</v>
      </c>
    </row>
    <row r="1661" spans="1:12" x14ac:dyDescent="0.25">
      <c r="A1661" s="16">
        <v>1921303</v>
      </c>
      <c r="B1661" s="16" t="s">
        <v>752</v>
      </c>
      <c r="C1661" s="16">
        <f t="shared" si="31"/>
        <v>102</v>
      </c>
      <c r="D1661" s="16" t="str">
        <f>VLOOKUP(C1661,[1]道具配置表!$A:$D,4,FALSE)</f>
        <v>1食物</v>
      </c>
      <c r="E1661" s="16">
        <f>E1657+300</f>
        <v>3400</v>
      </c>
      <c r="J1661" s="16">
        <v>1</v>
      </c>
      <c r="L1661" s="16" t="b">
        <v>1</v>
      </c>
    </row>
    <row r="1662" spans="1:12" x14ac:dyDescent="0.25">
      <c r="C1662" s="16">
        <f t="shared" si="31"/>
        <v>101</v>
      </c>
      <c r="D1662" s="16" t="str">
        <f>VLOOKUP(C1662,[1]道具配置表!$A:$D,4,FALSE)</f>
        <v>1木材</v>
      </c>
      <c r="E1662" s="16">
        <f>E1658+500</f>
        <v>5000</v>
      </c>
      <c r="J1662" s="16">
        <v>1</v>
      </c>
      <c r="L1662" s="16" t="b">
        <v>1</v>
      </c>
    </row>
    <row r="1663" spans="1:12" x14ac:dyDescent="0.25">
      <c r="C1663" s="16">
        <f t="shared" si="31"/>
        <v>103</v>
      </c>
      <c r="D1663" s="16" t="str">
        <f>VLOOKUP(C1663,[1]道具配置表!$A:$D,4,FALSE)</f>
        <v>1石头</v>
      </c>
      <c r="E1663" s="16">
        <f>E1659+500</f>
        <v>5000</v>
      </c>
      <c r="J1663" s="16">
        <v>1</v>
      </c>
      <c r="L1663" s="16" t="b">
        <v>1</v>
      </c>
    </row>
    <row r="1664" spans="1:12" x14ac:dyDescent="0.25">
      <c r="C1664" s="16">
        <f t="shared" si="31"/>
        <v>104</v>
      </c>
      <c r="D1664" s="16" t="str">
        <f>VLOOKUP(C1664,[1]道具配置表!$A:$D,4,FALSE)</f>
        <v>1黄金</v>
      </c>
      <c r="E1664" s="16">
        <f>E1660+500</f>
        <v>5000</v>
      </c>
      <c r="J1664" s="16">
        <v>1</v>
      </c>
      <c r="L1664" s="16" t="b">
        <v>1</v>
      </c>
    </row>
    <row r="1665" spans="1:12" x14ac:dyDescent="0.25">
      <c r="A1665" s="16">
        <v>1921304</v>
      </c>
      <c r="B1665" s="16" t="s">
        <v>753</v>
      </c>
      <c r="C1665" s="16">
        <f t="shared" si="31"/>
        <v>102</v>
      </c>
      <c r="D1665" s="16" t="str">
        <f>VLOOKUP(C1665,[1]道具配置表!$A:$D,4,FALSE)</f>
        <v>1食物</v>
      </c>
      <c r="E1665" s="16">
        <f>E1661+300</f>
        <v>3700</v>
      </c>
      <c r="J1665" s="16">
        <v>1</v>
      </c>
      <c r="L1665" s="16" t="b">
        <v>1</v>
      </c>
    </row>
    <row r="1666" spans="1:12" x14ac:dyDescent="0.25">
      <c r="C1666" s="16">
        <f t="shared" si="31"/>
        <v>101</v>
      </c>
      <c r="D1666" s="16" t="str">
        <f>VLOOKUP(C1666,[1]道具配置表!$A:$D,4,FALSE)</f>
        <v>1木材</v>
      </c>
      <c r="E1666" s="16">
        <f>E1662+500</f>
        <v>5500</v>
      </c>
      <c r="J1666" s="16">
        <v>1</v>
      </c>
      <c r="L1666" s="16" t="b">
        <v>1</v>
      </c>
    </row>
    <row r="1667" spans="1:12" x14ac:dyDescent="0.25">
      <c r="C1667" s="16">
        <f t="shared" si="31"/>
        <v>103</v>
      </c>
      <c r="D1667" s="16" t="str">
        <f>VLOOKUP(C1667,[1]道具配置表!$A:$D,4,FALSE)</f>
        <v>1石头</v>
      </c>
      <c r="E1667" s="16">
        <f>E1663+500</f>
        <v>5500</v>
      </c>
      <c r="J1667" s="16">
        <v>1</v>
      </c>
      <c r="L1667" s="16" t="b">
        <v>1</v>
      </c>
    </row>
    <row r="1668" spans="1:12" x14ac:dyDescent="0.25">
      <c r="C1668" s="16">
        <f t="shared" si="31"/>
        <v>104</v>
      </c>
      <c r="D1668" s="16" t="str">
        <f>VLOOKUP(C1668,[1]道具配置表!$A:$D,4,FALSE)</f>
        <v>1黄金</v>
      </c>
      <c r="E1668" s="16">
        <f>E1664+500</f>
        <v>5500</v>
      </c>
      <c r="J1668" s="16">
        <v>1</v>
      </c>
      <c r="L1668" s="16" t="b">
        <v>1</v>
      </c>
    </row>
    <row r="1669" spans="1:12" x14ac:dyDescent="0.25">
      <c r="A1669" s="16">
        <v>1921305</v>
      </c>
      <c r="B1669" s="16" t="s">
        <v>754</v>
      </c>
      <c r="C1669" s="16">
        <f t="shared" si="31"/>
        <v>102</v>
      </c>
      <c r="D1669" s="16" t="str">
        <f>VLOOKUP(C1669,[1]道具配置表!$A:$D,4,FALSE)</f>
        <v>1食物</v>
      </c>
      <c r="E1669" s="16">
        <f>E1665+300</f>
        <v>4000</v>
      </c>
      <c r="J1669" s="16">
        <v>1</v>
      </c>
      <c r="L1669" s="16" t="b">
        <v>1</v>
      </c>
    </row>
    <row r="1670" spans="1:12" x14ac:dyDescent="0.25">
      <c r="C1670" s="16">
        <f t="shared" si="31"/>
        <v>101</v>
      </c>
      <c r="D1670" s="16" t="str">
        <f>VLOOKUP(C1670,[1]道具配置表!$A:$D,4,FALSE)</f>
        <v>1木材</v>
      </c>
      <c r="E1670" s="16">
        <f>E1666+500</f>
        <v>6000</v>
      </c>
      <c r="J1670" s="16">
        <v>1</v>
      </c>
      <c r="L1670" s="16" t="b">
        <v>1</v>
      </c>
    </row>
    <row r="1671" spans="1:12" x14ac:dyDescent="0.25">
      <c r="C1671" s="16">
        <f t="shared" si="31"/>
        <v>103</v>
      </c>
      <c r="D1671" s="16" t="str">
        <f>VLOOKUP(C1671,[1]道具配置表!$A:$D,4,FALSE)</f>
        <v>1石头</v>
      </c>
      <c r="E1671" s="16">
        <f>E1667+500</f>
        <v>6000</v>
      </c>
      <c r="J1671" s="16">
        <v>1</v>
      </c>
      <c r="L1671" s="16" t="b">
        <v>1</v>
      </c>
    </row>
    <row r="1672" spans="1:12" x14ac:dyDescent="0.25">
      <c r="C1672" s="16">
        <f t="shared" si="31"/>
        <v>104</v>
      </c>
      <c r="D1672" s="16" t="str">
        <f>VLOOKUP(C1672,[1]道具配置表!$A:$D,4,FALSE)</f>
        <v>1黄金</v>
      </c>
      <c r="E1672" s="16">
        <f>E1668+500</f>
        <v>6000</v>
      </c>
      <c r="J1672" s="16">
        <v>1</v>
      </c>
      <c r="L1672" s="16" t="b">
        <v>1</v>
      </c>
    </row>
    <row r="1673" spans="1:12" x14ac:dyDescent="0.25">
      <c r="A1673" s="16">
        <v>1921306</v>
      </c>
      <c r="B1673" s="16" t="s">
        <v>755</v>
      </c>
      <c r="C1673" s="16">
        <f t="shared" si="31"/>
        <v>102</v>
      </c>
      <c r="D1673" s="16" t="str">
        <f>VLOOKUP(C1673,[1]道具配置表!$A:$D,4,FALSE)</f>
        <v>1食物</v>
      </c>
      <c r="E1673" s="16">
        <f>E1669+300</f>
        <v>4300</v>
      </c>
      <c r="J1673" s="16">
        <v>1</v>
      </c>
      <c r="L1673" s="16" t="b">
        <v>1</v>
      </c>
    </row>
    <row r="1674" spans="1:12" x14ac:dyDescent="0.25">
      <c r="C1674" s="16">
        <f t="shared" si="31"/>
        <v>101</v>
      </c>
      <c r="D1674" s="16" t="str">
        <f>VLOOKUP(C1674,[1]道具配置表!$A:$D,4,FALSE)</f>
        <v>1木材</v>
      </c>
      <c r="E1674" s="16">
        <f>E1670+500</f>
        <v>6500</v>
      </c>
      <c r="J1674" s="16">
        <v>1</v>
      </c>
      <c r="L1674" s="16" t="b">
        <v>1</v>
      </c>
    </row>
    <row r="1675" spans="1:12" x14ac:dyDescent="0.25">
      <c r="C1675" s="16">
        <f t="shared" si="31"/>
        <v>103</v>
      </c>
      <c r="D1675" s="16" t="str">
        <f>VLOOKUP(C1675,[1]道具配置表!$A:$D,4,FALSE)</f>
        <v>1石头</v>
      </c>
      <c r="E1675" s="16">
        <f>E1671+500</f>
        <v>6500</v>
      </c>
      <c r="J1675" s="16">
        <v>1</v>
      </c>
      <c r="L1675" s="16" t="b">
        <v>1</v>
      </c>
    </row>
    <row r="1676" spans="1:12" x14ac:dyDescent="0.25">
      <c r="C1676" s="16">
        <f t="shared" si="31"/>
        <v>104</v>
      </c>
      <c r="D1676" s="16" t="str">
        <f>VLOOKUP(C1676,[1]道具配置表!$A:$D,4,FALSE)</f>
        <v>1黄金</v>
      </c>
      <c r="E1676" s="16">
        <f>E1672+500</f>
        <v>6500</v>
      </c>
      <c r="J1676" s="16">
        <v>1</v>
      </c>
      <c r="L1676" s="16" t="b">
        <v>1</v>
      </c>
    </row>
    <row r="1677" spans="1:12" x14ac:dyDescent="0.25">
      <c r="A1677" s="16">
        <v>1921307</v>
      </c>
      <c r="B1677" s="16" t="s">
        <v>756</v>
      </c>
      <c r="C1677" s="16">
        <f t="shared" si="31"/>
        <v>102</v>
      </c>
      <c r="D1677" s="16" t="str">
        <f>VLOOKUP(C1677,[1]道具配置表!$A:$D,4,FALSE)</f>
        <v>1食物</v>
      </c>
      <c r="E1677" s="16">
        <f>E1673+300</f>
        <v>4600</v>
      </c>
      <c r="J1677" s="16">
        <v>1</v>
      </c>
      <c r="L1677" s="16" t="b">
        <v>1</v>
      </c>
    </row>
    <row r="1678" spans="1:12" x14ac:dyDescent="0.25">
      <c r="C1678" s="16">
        <f t="shared" si="31"/>
        <v>101</v>
      </c>
      <c r="D1678" s="16" t="str">
        <f>VLOOKUP(C1678,[1]道具配置表!$A:$D,4,FALSE)</f>
        <v>1木材</v>
      </c>
      <c r="E1678" s="16">
        <f>E1674+500</f>
        <v>7000</v>
      </c>
      <c r="J1678" s="16">
        <v>1</v>
      </c>
      <c r="L1678" s="16" t="b">
        <v>1</v>
      </c>
    </row>
    <row r="1679" spans="1:12" x14ac:dyDescent="0.25">
      <c r="C1679" s="16">
        <f t="shared" si="31"/>
        <v>103</v>
      </c>
      <c r="D1679" s="16" t="str">
        <f>VLOOKUP(C1679,[1]道具配置表!$A:$D,4,FALSE)</f>
        <v>1石头</v>
      </c>
      <c r="E1679" s="16">
        <f>E1675+500</f>
        <v>7000</v>
      </c>
      <c r="J1679" s="16">
        <v>1</v>
      </c>
      <c r="L1679" s="16" t="b">
        <v>1</v>
      </c>
    </row>
    <row r="1680" spans="1:12" x14ac:dyDescent="0.25">
      <c r="C1680" s="16">
        <f t="shared" si="31"/>
        <v>104</v>
      </c>
      <c r="D1680" s="16" t="str">
        <f>VLOOKUP(C1680,[1]道具配置表!$A:$D,4,FALSE)</f>
        <v>1黄金</v>
      </c>
      <c r="E1680" s="16">
        <f>E1676+500</f>
        <v>7000</v>
      </c>
      <c r="J1680" s="16">
        <v>1</v>
      </c>
      <c r="L1680" s="16" t="b">
        <v>1</v>
      </c>
    </row>
    <row r="1681" spans="1:12" x14ac:dyDescent="0.25">
      <c r="A1681" s="16">
        <v>1921308</v>
      </c>
      <c r="B1681" s="16" t="s">
        <v>757</v>
      </c>
      <c r="C1681" s="16">
        <f t="shared" si="31"/>
        <v>102</v>
      </c>
      <c r="D1681" s="16" t="str">
        <f>VLOOKUP(C1681,[1]道具配置表!$A:$D,4,FALSE)</f>
        <v>1食物</v>
      </c>
      <c r="E1681" s="16">
        <f>E1677+300</f>
        <v>4900</v>
      </c>
      <c r="J1681" s="16">
        <v>1</v>
      </c>
      <c r="L1681" s="16" t="b">
        <v>1</v>
      </c>
    </row>
    <row r="1682" spans="1:12" x14ac:dyDescent="0.25">
      <c r="C1682" s="16">
        <f t="shared" si="31"/>
        <v>101</v>
      </c>
      <c r="D1682" s="16" t="str">
        <f>VLOOKUP(C1682,[1]道具配置表!$A:$D,4,FALSE)</f>
        <v>1木材</v>
      </c>
      <c r="E1682" s="16">
        <f>E1678+500</f>
        <v>7500</v>
      </c>
      <c r="J1682" s="16">
        <v>1</v>
      </c>
      <c r="L1682" s="16" t="b">
        <v>1</v>
      </c>
    </row>
    <row r="1683" spans="1:12" x14ac:dyDescent="0.25">
      <c r="C1683" s="16">
        <f t="shared" si="31"/>
        <v>103</v>
      </c>
      <c r="D1683" s="16" t="str">
        <f>VLOOKUP(C1683,[1]道具配置表!$A:$D,4,FALSE)</f>
        <v>1石头</v>
      </c>
      <c r="E1683" s="16">
        <f>E1679+500</f>
        <v>7500</v>
      </c>
      <c r="J1683" s="16">
        <v>1</v>
      </c>
      <c r="L1683" s="16" t="b">
        <v>1</v>
      </c>
    </row>
    <row r="1684" spans="1:12" x14ac:dyDescent="0.25">
      <c r="C1684" s="16">
        <f t="shared" si="31"/>
        <v>104</v>
      </c>
      <c r="D1684" s="16" t="str">
        <f>VLOOKUP(C1684,[1]道具配置表!$A:$D,4,FALSE)</f>
        <v>1黄金</v>
      </c>
      <c r="E1684" s="16">
        <f>E1680+500</f>
        <v>7500</v>
      </c>
      <c r="J1684" s="16">
        <v>1</v>
      </c>
      <c r="L1684" s="16" t="b">
        <v>1</v>
      </c>
    </row>
    <row r="1685" spans="1:12" x14ac:dyDescent="0.25">
      <c r="A1685" s="16">
        <v>1921309</v>
      </c>
      <c r="B1685" s="16" t="s">
        <v>758</v>
      </c>
      <c r="C1685" s="16">
        <f t="shared" si="31"/>
        <v>102</v>
      </c>
      <c r="D1685" s="16" t="str">
        <f>VLOOKUP(C1685,[1]道具配置表!$A:$D,4,FALSE)</f>
        <v>1食物</v>
      </c>
      <c r="E1685" s="16">
        <f>E1681+300</f>
        <v>5200</v>
      </c>
      <c r="J1685" s="16">
        <v>1</v>
      </c>
      <c r="L1685" s="16" t="b">
        <v>1</v>
      </c>
    </row>
    <row r="1686" spans="1:12" x14ac:dyDescent="0.25">
      <c r="C1686" s="16">
        <f t="shared" si="31"/>
        <v>101</v>
      </c>
      <c r="D1686" s="16" t="str">
        <f>VLOOKUP(C1686,[1]道具配置表!$A:$D,4,FALSE)</f>
        <v>1木材</v>
      </c>
      <c r="E1686" s="16">
        <f>E1682+500</f>
        <v>8000</v>
      </c>
      <c r="J1686" s="16">
        <v>1</v>
      </c>
      <c r="L1686" s="16" t="b">
        <v>1</v>
      </c>
    </row>
    <row r="1687" spans="1:12" x14ac:dyDescent="0.25">
      <c r="C1687" s="16">
        <f t="shared" si="31"/>
        <v>103</v>
      </c>
      <c r="D1687" s="16" t="str">
        <f>VLOOKUP(C1687,[1]道具配置表!$A:$D,4,FALSE)</f>
        <v>1石头</v>
      </c>
      <c r="E1687" s="16">
        <f>E1683+500</f>
        <v>8000</v>
      </c>
      <c r="J1687" s="16">
        <v>1</v>
      </c>
      <c r="L1687" s="16" t="b">
        <v>1</v>
      </c>
    </row>
    <row r="1688" spans="1:12" x14ac:dyDescent="0.25">
      <c r="C1688" s="16">
        <f t="shared" si="31"/>
        <v>104</v>
      </c>
      <c r="D1688" s="16" t="str">
        <f>VLOOKUP(C1688,[1]道具配置表!$A:$D,4,FALSE)</f>
        <v>1黄金</v>
      </c>
      <c r="E1688" s="16">
        <f>E1684+500</f>
        <v>8000</v>
      </c>
      <c r="J1688" s="16">
        <v>1</v>
      </c>
      <c r="L1688" s="16" t="b">
        <v>1</v>
      </c>
    </row>
    <row r="1689" spans="1:12" x14ac:dyDescent="0.25">
      <c r="A1689" s="16">
        <v>1921310</v>
      </c>
      <c r="B1689" s="16" t="s">
        <v>759</v>
      </c>
      <c r="C1689" s="16">
        <f t="shared" si="31"/>
        <v>102</v>
      </c>
      <c r="D1689" s="16" t="str">
        <f>VLOOKUP(C1689,[1]道具配置表!$A:$D,4,FALSE)</f>
        <v>1食物</v>
      </c>
      <c r="E1689" s="16">
        <f>E1685+300</f>
        <v>5500</v>
      </c>
      <c r="J1689" s="16">
        <v>1</v>
      </c>
      <c r="L1689" s="16" t="b">
        <v>1</v>
      </c>
    </row>
    <row r="1690" spans="1:12" x14ac:dyDescent="0.25">
      <c r="C1690" s="16">
        <f t="shared" si="31"/>
        <v>101</v>
      </c>
      <c r="D1690" s="16" t="str">
        <f>VLOOKUP(C1690,[1]道具配置表!$A:$D,4,FALSE)</f>
        <v>1木材</v>
      </c>
      <c r="E1690" s="16">
        <f>E1686+500</f>
        <v>8500</v>
      </c>
      <c r="J1690" s="16">
        <v>1</v>
      </c>
      <c r="L1690" s="16" t="b">
        <v>1</v>
      </c>
    </row>
    <row r="1691" spans="1:12" x14ac:dyDescent="0.25">
      <c r="C1691" s="16">
        <f t="shared" si="31"/>
        <v>103</v>
      </c>
      <c r="D1691" s="16" t="str">
        <f>VLOOKUP(C1691,[1]道具配置表!$A:$D,4,FALSE)</f>
        <v>1石头</v>
      </c>
      <c r="E1691" s="16">
        <f>E1687+500</f>
        <v>8500</v>
      </c>
      <c r="J1691" s="16">
        <v>1</v>
      </c>
      <c r="L1691" s="16" t="b">
        <v>1</v>
      </c>
    </row>
    <row r="1692" spans="1:12" x14ac:dyDescent="0.25">
      <c r="C1692" s="16">
        <f t="shared" si="31"/>
        <v>104</v>
      </c>
      <c r="D1692" s="16" t="str">
        <f>VLOOKUP(C1692,[1]道具配置表!$A:$D,4,FALSE)</f>
        <v>1黄金</v>
      </c>
      <c r="E1692" s="16">
        <f>E1688+500</f>
        <v>8500</v>
      </c>
      <c r="J1692" s="16">
        <v>1</v>
      </c>
      <c r="L1692" s="16" t="b">
        <v>1</v>
      </c>
    </row>
    <row r="1693" spans="1:12" x14ac:dyDescent="0.25">
      <c r="A1693" s="16">
        <v>1921311</v>
      </c>
      <c r="B1693" s="16" t="s">
        <v>760</v>
      </c>
      <c r="C1693" s="16">
        <f t="shared" si="31"/>
        <v>102</v>
      </c>
      <c r="D1693" s="16" t="str">
        <f>VLOOKUP(C1693,[1]道具配置表!$A:$D,4,FALSE)</f>
        <v>1食物</v>
      </c>
      <c r="E1693" s="16">
        <f>E1689+300</f>
        <v>5800</v>
      </c>
      <c r="J1693" s="16">
        <v>1</v>
      </c>
      <c r="L1693" s="16" t="b">
        <v>1</v>
      </c>
    </row>
    <row r="1694" spans="1:12" x14ac:dyDescent="0.25">
      <c r="C1694" s="16">
        <f t="shared" si="31"/>
        <v>101</v>
      </c>
      <c r="D1694" s="16" t="str">
        <f>VLOOKUP(C1694,[1]道具配置表!$A:$D,4,FALSE)</f>
        <v>1木材</v>
      </c>
      <c r="E1694" s="16">
        <f>E1690+500</f>
        <v>9000</v>
      </c>
      <c r="J1694" s="16">
        <v>1</v>
      </c>
      <c r="L1694" s="16" t="b">
        <v>1</v>
      </c>
    </row>
    <row r="1695" spans="1:12" x14ac:dyDescent="0.25">
      <c r="C1695" s="16">
        <f t="shared" si="31"/>
        <v>103</v>
      </c>
      <c r="D1695" s="16" t="str">
        <f>VLOOKUP(C1695,[1]道具配置表!$A:$D,4,FALSE)</f>
        <v>1石头</v>
      </c>
      <c r="E1695" s="16">
        <f>E1691+500</f>
        <v>9000</v>
      </c>
      <c r="J1695" s="16">
        <v>1</v>
      </c>
      <c r="L1695" s="16" t="b">
        <v>1</v>
      </c>
    </row>
    <row r="1696" spans="1:12" x14ac:dyDescent="0.25">
      <c r="C1696" s="16">
        <f t="shared" si="31"/>
        <v>104</v>
      </c>
      <c r="D1696" s="16" t="str">
        <f>VLOOKUP(C1696,[1]道具配置表!$A:$D,4,FALSE)</f>
        <v>1黄金</v>
      </c>
      <c r="E1696" s="16">
        <f>E1692+500</f>
        <v>9000</v>
      </c>
      <c r="J1696" s="16">
        <v>1</v>
      </c>
      <c r="L1696" s="16" t="b">
        <v>1</v>
      </c>
    </row>
    <row r="1697" spans="1:12" x14ac:dyDescent="0.25">
      <c r="A1697" s="16">
        <v>1921312</v>
      </c>
      <c r="B1697" s="16" t="s">
        <v>761</v>
      </c>
      <c r="C1697" s="16">
        <f t="shared" si="31"/>
        <v>102</v>
      </c>
      <c r="D1697" s="16" t="str">
        <f>VLOOKUP(C1697,[1]道具配置表!$A:$D,4,FALSE)</f>
        <v>1食物</v>
      </c>
      <c r="E1697" s="16">
        <f>E1693+300</f>
        <v>6100</v>
      </c>
      <c r="J1697" s="16">
        <v>1</v>
      </c>
      <c r="L1697" s="16" t="b">
        <v>1</v>
      </c>
    </row>
    <row r="1698" spans="1:12" x14ac:dyDescent="0.25">
      <c r="C1698" s="16">
        <f t="shared" si="31"/>
        <v>101</v>
      </c>
      <c r="D1698" s="16" t="str">
        <f>VLOOKUP(C1698,[1]道具配置表!$A:$D,4,FALSE)</f>
        <v>1木材</v>
      </c>
      <c r="E1698" s="16">
        <f>E1694+500</f>
        <v>9500</v>
      </c>
      <c r="J1698" s="16">
        <v>1</v>
      </c>
      <c r="L1698" s="16" t="b">
        <v>1</v>
      </c>
    </row>
    <row r="1699" spans="1:12" x14ac:dyDescent="0.25">
      <c r="C1699" s="16">
        <f t="shared" si="31"/>
        <v>103</v>
      </c>
      <c r="D1699" s="16" t="str">
        <f>VLOOKUP(C1699,[1]道具配置表!$A:$D,4,FALSE)</f>
        <v>1石头</v>
      </c>
      <c r="E1699" s="16">
        <f>E1695+500</f>
        <v>9500</v>
      </c>
      <c r="J1699" s="16">
        <v>1</v>
      </c>
      <c r="L1699" s="16" t="b">
        <v>1</v>
      </c>
    </row>
    <row r="1700" spans="1:12" x14ac:dyDescent="0.25">
      <c r="C1700" s="16">
        <f t="shared" si="31"/>
        <v>104</v>
      </c>
      <c r="D1700" s="16" t="str">
        <f>VLOOKUP(C1700,[1]道具配置表!$A:$D,4,FALSE)</f>
        <v>1黄金</v>
      </c>
      <c r="E1700" s="16">
        <f>E1696+500</f>
        <v>9500</v>
      </c>
      <c r="J1700" s="16">
        <v>1</v>
      </c>
      <c r="L1700" s="16" t="b">
        <v>1</v>
      </c>
    </row>
    <row r="1701" spans="1:12" x14ac:dyDescent="0.25">
      <c r="A1701" s="16">
        <v>1921313</v>
      </c>
      <c r="B1701" s="16" t="s">
        <v>762</v>
      </c>
      <c r="C1701" s="16">
        <f t="shared" si="31"/>
        <v>102</v>
      </c>
      <c r="D1701" s="16" t="str">
        <f>VLOOKUP(C1701,[1]道具配置表!$A:$D,4,FALSE)</f>
        <v>1食物</v>
      </c>
      <c r="E1701" s="16">
        <f>E1697+300</f>
        <v>6400</v>
      </c>
      <c r="J1701" s="16">
        <v>1</v>
      </c>
      <c r="L1701" s="16" t="b">
        <v>1</v>
      </c>
    </row>
    <row r="1702" spans="1:12" x14ac:dyDescent="0.25">
      <c r="C1702" s="16">
        <f t="shared" si="31"/>
        <v>101</v>
      </c>
      <c r="D1702" s="16" t="str">
        <f>VLOOKUP(C1702,[1]道具配置表!$A:$D,4,FALSE)</f>
        <v>1木材</v>
      </c>
      <c r="E1702" s="16">
        <f>E1698+500</f>
        <v>10000</v>
      </c>
      <c r="J1702" s="16">
        <v>1</v>
      </c>
      <c r="L1702" s="16" t="b">
        <v>1</v>
      </c>
    </row>
    <row r="1703" spans="1:12" x14ac:dyDescent="0.25">
      <c r="C1703" s="16">
        <f t="shared" si="31"/>
        <v>103</v>
      </c>
      <c r="D1703" s="16" t="str">
        <f>VLOOKUP(C1703,[1]道具配置表!$A:$D,4,FALSE)</f>
        <v>1石头</v>
      </c>
      <c r="E1703" s="16">
        <f>E1699+500</f>
        <v>10000</v>
      </c>
      <c r="J1703" s="16">
        <v>1</v>
      </c>
      <c r="L1703" s="16" t="b">
        <v>1</v>
      </c>
    </row>
    <row r="1704" spans="1:12" x14ac:dyDescent="0.25">
      <c r="C1704" s="16">
        <f t="shared" si="31"/>
        <v>104</v>
      </c>
      <c r="D1704" s="16" t="str">
        <f>VLOOKUP(C1704,[1]道具配置表!$A:$D,4,FALSE)</f>
        <v>1黄金</v>
      </c>
      <c r="E1704" s="16">
        <f>E1700+500</f>
        <v>10000</v>
      </c>
      <c r="J1704" s="16">
        <v>1</v>
      </c>
      <c r="L1704" s="16" t="b">
        <v>1</v>
      </c>
    </row>
    <row r="1705" spans="1:12" x14ac:dyDescent="0.25">
      <c r="A1705" s="16">
        <v>1921314</v>
      </c>
      <c r="B1705" s="16" t="s">
        <v>763</v>
      </c>
      <c r="C1705" s="16">
        <f t="shared" si="31"/>
        <v>102</v>
      </c>
      <c r="D1705" s="16" t="str">
        <f>VLOOKUP(C1705,[1]道具配置表!$A:$D,4,FALSE)</f>
        <v>1食物</v>
      </c>
      <c r="E1705" s="16">
        <f>E1701+300</f>
        <v>6700</v>
      </c>
      <c r="J1705" s="16">
        <v>1</v>
      </c>
      <c r="L1705" s="16" t="b">
        <v>1</v>
      </c>
    </row>
    <row r="1706" spans="1:12" x14ac:dyDescent="0.25">
      <c r="C1706" s="16">
        <f t="shared" si="31"/>
        <v>101</v>
      </c>
      <c r="D1706" s="16" t="str">
        <f>VLOOKUP(C1706,[1]道具配置表!$A:$D,4,FALSE)</f>
        <v>1木材</v>
      </c>
      <c r="E1706" s="16">
        <f>E1702+500</f>
        <v>10500</v>
      </c>
      <c r="J1706" s="16">
        <v>1</v>
      </c>
      <c r="L1706" s="16" t="b">
        <v>1</v>
      </c>
    </row>
    <row r="1707" spans="1:12" x14ac:dyDescent="0.25">
      <c r="C1707" s="16">
        <f t="shared" si="31"/>
        <v>103</v>
      </c>
      <c r="D1707" s="16" t="str">
        <f>VLOOKUP(C1707,[1]道具配置表!$A:$D,4,FALSE)</f>
        <v>1石头</v>
      </c>
      <c r="E1707" s="16">
        <f>E1703+500</f>
        <v>10500</v>
      </c>
      <c r="J1707" s="16">
        <v>1</v>
      </c>
      <c r="L1707" s="16" t="b">
        <v>1</v>
      </c>
    </row>
    <row r="1708" spans="1:12" x14ac:dyDescent="0.25">
      <c r="C1708" s="16">
        <f t="shared" si="31"/>
        <v>104</v>
      </c>
      <c r="D1708" s="16" t="str">
        <f>VLOOKUP(C1708,[1]道具配置表!$A:$D,4,FALSE)</f>
        <v>1黄金</v>
      </c>
      <c r="E1708" s="16">
        <f>E1704+500</f>
        <v>10500</v>
      </c>
      <c r="J1708" s="16">
        <v>1</v>
      </c>
      <c r="L1708" s="16" t="b">
        <v>1</v>
      </c>
    </row>
    <row r="1709" spans="1:12" x14ac:dyDescent="0.25">
      <c r="A1709" s="16">
        <v>1921315</v>
      </c>
      <c r="B1709" s="16" t="s">
        <v>764</v>
      </c>
      <c r="C1709" s="16">
        <f t="shared" si="31"/>
        <v>102</v>
      </c>
      <c r="D1709" s="16" t="str">
        <f>VLOOKUP(C1709,[1]道具配置表!$A:$D,4,FALSE)</f>
        <v>1食物</v>
      </c>
      <c r="E1709" s="16">
        <f>E1705+300</f>
        <v>7000</v>
      </c>
      <c r="J1709" s="16">
        <v>1</v>
      </c>
      <c r="L1709" s="16" t="b">
        <v>1</v>
      </c>
    </row>
    <row r="1710" spans="1:12" x14ac:dyDescent="0.25">
      <c r="C1710" s="16">
        <f t="shared" si="31"/>
        <v>101</v>
      </c>
      <c r="D1710" s="16" t="str">
        <f>VLOOKUP(C1710,[1]道具配置表!$A:$D,4,FALSE)</f>
        <v>1木材</v>
      </c>
      <c r="E1710" s="16">
        <f>E1706+500</f>
        <v>11000</v>
      </c>
      <c r="J1710" s="16">
        <v>1</v>
      </c>
      <c r="L1710" s="16" t="b">
        <v>1</v>
      </c>
    </row>
    <row r="1711" spans="1:12" x14ac:dyDescent="0.25">
      <c r="C1711" s="16">
        <f t="shared" si="31"/>
        <v>103</v>
      </c>
      <c r="D1711" s="16" t="str">
        <f>VLOOKUP(C1711,[1]道具配置表!$A:$D,4,FALSE)</f>
        <v>1石头</v>
      </c>
      <c r="E1711" s="16">
        <f>E1707+500</f>
        <v>11000</v>
      </c>
      <c r="J1711" s="16">
        <v>1</v>
      </c>
      <c r="L1711" s="16" t="b">
        <v>1</v>
      </c>
    </row>
    <row r="1712" spans="1:12" x14ac:dyDescent="0.25">
      <c r="C1712" s="16">
        <f t="shared" si="31"/>
        <v>104</v>
      </c>
      <c r="D1712" s="16" t="str">
        <f>VLOOKUP(C1712,[1]道具配置表!$A:$D,4,FALSE)</f>
        <v>1黄金</v>
      </c>
      <c r="E1712" s="16">
        <f>E1708+500</f>
        <v>11000</v>
      </c>
      <c r="J1712" s="16">
        <v>1</v>
      </c>
      <c r="L1712" s="16" t="b">
        <v>1</v>
      </c>
    </row>
    <row r="1713" spans="1:12" x14ac:dyDescent="0.25">
      <c r="A1713" s="16">
        <v>1921316</v>
      </c>
      <c r="B1713" s="16" t="s">
        <v>765</v>
      </c>
      <c r="C1713" s="16">
        <f t="shared" ref="C1713:C1776" si="32">C1709</f>
        <v>102</v>
      </c>
      <c r="D1713" s="16" t="str">
        <f>VLOOKUP(C1713,[1]道具配置表!$A:$D,4,FALSE)</f>
        <v>1食物</v>
      </c>
      <c r="E1713" s="16">
        <f>E1709+300</f>
        <v>7300</v>
      </c>
      <c r="J1713" s="16">
        <v>1</v>
      </c>
      <c r="L1713" s="16" t="b">
        <v>1</v>
      </c>
    </row>
    <row r="1714" spans="1:12" x14ac:dyDescent="0.25">
      <c r="C1714" s="16">
        <f t="shared" si="32"/>
        <v>101</v>
      </c>
      <c r="D1714" s="16" t="str">
        <f>VLOOKUP(C1714,[1]道具配置表!$A:$D,4,FALSE)</f>
        <v>1木材</v>
      </c>
      <c r="E1714" s="16">
        <f>E1710+500</f>
        <v>11500</v>
      </c>
      <c r="J1714" s="16">
        <v>1</v>
      </c>
      <c r="L1714" s="16" t="b">
        <v>1</v>
      </c>
    </row>
    <row r="1715" spans="1:12" x14ac:dyDescent="0.25">
      <c r="C1715" s="16">
        <f t="shared" si="32"/>
        <v>103</v>
      </c>
      <c r="D1715" s="16" t="str">
        <f>VLOOKUP(C1715,[1]道具配置表!$A:$D,4,FALSE)</f>
        <v>1石头</v>
      </c>
      <c r="E1715" s="16">
        <f>E1711+500</f>
        <v>11500</v>
      </c>
      <c r="J1715" s="16">
        <v>1</v>
      </c>
      <c r="L1715" s="16" t="b">
        <v>1</v>
      </c>
    </row>
    <row r="1716" spans="1:12" x14ac:dyDescent="0.25">
      <c r="C1716" s="16">
        <f t="shared" si="32"/>
        <v>104</v>
      </c>
      <c r="D1716" s="16" t="str">
        <f>VLOOKUP(C1716,[1]道具配置表!$A:$D,4,FALSE)</f>
        <v>1黄金</v>
      </c>
      <c r="E1716" s="16">
        <f>E1712+500</f>
        <v>11500</v>
      </c>
      <c r="J1716" s="16">
        <v>1</v>
      </c>
      <c r="L1716" s="16" t="b">
        <v>1</v>
      </c>
    </row>
    <row r="1717" spans="1:12" x14ac:dyDescent="0.25">
      <c r="A1717" s="16">
        <v>1921317</v>
      </c>
      <c r="B1717" s="16" t="s">
        <v>766</v>
      </c>
      <c r="C1717" s="16">
        <f t="shared" si="32"/>
        <v>102</v>
      </c>
      <c r="D1717" s="16" t="str">
        <f>VLOOKUP(C1717,[1]道具配置表!$A:$D,4,FALSE)</f>
        <v>1食物</v>
      </c>
      <c r="E1717" s="16">
        <f>E1713+300</f>
        <v>7600</v>
      </c>
      <c r="J1717" s="16">
        <v>1</v>
      </c>
      <c r="L1717" s="16" t="b">
        <v>1</v>
      </c>
    </row>
    <row r="1718" spans="1:12" x14ac:dyDescent="0.25">
      <c r="C1718" s="16">
        <f t="shared" si="32"/>
        <v>101</v>
      </c>
      <c r="D1718" s="16" t="str">
        <f>VLOOKUP(C1718,[1]道具配置表!$A:$D,4,FALSE)</f>
        <v>1木材</v>
      </c>
      <c r="E1718" s="16">
        <f>E1714+500</f>
        <v>12000</v>
      </c>
      <c r="J1718" s="16">
        <v>1</v>
      </c>
      <c r="L1718" s="16" t="b">
        <v>1</v>
      </c>
    </row>
    <row r="1719" spans="1:12" x14ac:dyDescent="0.25">
      <c r="C1719" s="16">
        <f t="shared" si="32"/>
        <v>103</v>
      </c>
      <c r="D1719" s="16" t="str">
        <f>VLOOKUP(C1719,[1]道具配置表!$A:$D,4,FALSE)</f>
        <v>1石头</v>
      </c>
      <c r="E1719" s="16">
        <f>E1715+500</f>
        <v>12000</v>
      </c>
      <c r="J1719" s="16">
        <v>1</v>
      </c>
      <c r="L1719" s="16" t="b">
        <v>1</v>
      </c>
    </row>
    <row r="1720" spans="1:12" x14ac:dyDescent="0.25">
      <c r="C1720" s="16">
        <f t="shared" si="32"/>
        <v>104</v>
      </c>
      <c r="D1720" s="16" t="str">
        <f>VLOOKUP(C1720,[1]道具配置表!$A:$D,4,FALSE)</f>
        <v>1黄金</v>
      </c>
      <c r="E1720" s="16">
        <f>E1716+500</f>
        <v>12000</v>
      </c>
      <c r="J1720" s="16">
        <v>1</v>
      </c>
      <c r="L1720" s="16" t="b">
        <v>1</v>
      </c>
    </row>
    <row r="1721" spans="1:12" x14ac:dyDescent="0.25">
      <c r="A1721" s="16">
        <v>1921318</v>
      </c>
      <c r="B1721" s="16" t="s">
        <v>767</v>
      </c>
      <c r="C1721" s="16">
        <f t="shared" si="32"/>
        <v>102</v>
      </c>
      <c r="D1721" s="16" t="str">
        <f>VLOOKUP(C1721,[1]道具配置表!$A:$D,4,FALSE)</f>
        <v>1食物</v>
      </c>
      <c r="E1721" s="16">
        <f>E1717+300</f>
        <v>7900</v>
      </c>
      <c r="J1721" s="16">
        <v>1</v>
      </c>
      <c r="L1721" s="16" t="b">
        <v>1</v>
      </c>
    </row>
    <row r="1722" spans="1:12" x14ac:dyDescent="0.25">
      <c r="C1722" s="16">
        <f t="shared" si="32"/>
        <v>101</v>
      </c>
      <c r="D1722" s="16" t="str">
        <f>VLOOKUP(C1722,[1]道具配置表!$A:$D,4,FALSE)</f>
        <v>1木材</v>
      </c>
      <c r="E1722" s="16">
        <f>E1718+500</f>
        <v>12500</v>
      </c>
      <c r="J1722" s="16">
        <v>1</v>
      </c>
      <c r="L1722" s="16" t="b">
        <v>1</v>
      </c>
    </row>
    <row r="1723" spans="1:12" x14ac:dyDescent="0.25">
      <c r="C1723" s="16">
        <f t="shared" si="32"/>
        <v>103</v>
      </c>
      <c r="D1723" s="16" t="str">
        <f>VLOOKUP(C1723,[1]道具配置表!$A:$D,4,FALSE)</f>
        <v>1石头</v>
      </c>
      <c r="E1723" s="16">
        <f>E1719+500</f>
        <v>12500</v>
      </c>
      <c r="J1723" s="16">
        <v>1</v>
      </c>
      <c r="L1723" s="16" t="b">
        <v>1</v>
      </c>
    </row>
    <row r="1724" spans="1:12" x14ac:dyDescent="0.25">
      <c r="C1724" s="16">
        <f t="shared" si="32"/>
        <v>104</v>
      </c>
      <c r="D1724" s="16" t="str">
        <f>VLOOKUP(C1724,[1]道具配置表!$A:$D,4,FALSE)</f>
        <v>1黄金</v>
      </c>
      <c r="E1724" s="16">
        <f>E1720+500</f>
        <v>12500</v>
      </c>
      <c r="J1724" s="16">
        <v>1</v>
      </c>
      <c r="L1724" s="16" t="b">
        <v>1</v>
      </c>
    </row>
    <row r="1725" spans="1:12" x14ac:dyDescent="0.25">
      <c r="A1725" s="16">
        <v>1921319</v>
      </c>
      <c r="B1725" s="16" t="s">
        <v>768</v>
      </c>
      <c r="C1725" s="16">
        <f t="shared" si="32"/>
        <v>102</v>
      </c>
      <c r="D1725" s="16" t="str">
        <f>VLOOKUP(C1725,[1]道具配置表!$A:$D,4,FALSE)</f>
        <v>1食物</v>
      </c>
      <c r="E1725" s="16">
        <f>E1721+300</f>
        <v>8200</v>
      </c>
      <c r="J1725" s="16">
        <v>1</v>
      </c>
      <c r="L1725" s="16" t="b">
        <v>1</v>
      </c>
    </row>
    <row r="1726" spans="1:12" x14ac:dyDescent="0.25">
      <c r="C1726" s="16">
        <f t="shared" si="32"/>
        <v>101</v>
      </c>
      <c r="D1726" s="16" t="str">
        <f>VLOOKUP(C1726,[1]道具配置表!$A:$D,4,FALSE)</f>
        <v>1木材</v>
      </c>
      <c r="E1726" s="16">
        <f>E1722+500</f>
        <v>13000</v>
      </c>
      <c r="J1726" s="16">
        <v>1</v>
      </c>
      <c r="L1726" s="16" t="b">
        <v>1</v>
      </c>
    </row>
    <row r="1727" spans="1:12" x14ac:dyDescent="0.25">
      <c r="C1727" s="16">
        <f t="shared" si="32"/>
        <v>103</v>
      </c>
      <c r="D1727" s="16" t="str">
        <f>VLOOKUP(C1727,[1]道具配置表!$A:$D,4,FALSE)</f>
        <v>1石头</v>
      </c>
      <c r="E1727" s="16">
        <f>E1723+500</f>
        <v>13000</v>
      </c>
      <c r="J1727" s="16">
        <v>1</v>
      </c>
      <c r="L1727" s="16" t="b">
        <v>1</v>
      </c>
    </row>
    <row r="1728" spans="1:12" x14ac:dyDescent="0.25">
      <c r="C1728" s="16">
        <f t="shared" si="32"/>
        <v>104</v>
      </c>
      <c r="D1728" s="16" t="str">
        <f>VLOOKUP(C1728,[1]道具配置表!$A:$D,4,FALSE)</f>
        <v>1黄金</v>
      </c>
      <c r="E1728" s="16">
        <f>E1724+500</f>
        <v>13000</v>
      </c>
      <c r="J1728" s="16">
        <v>1</v>
      </c>
      <c r="L1728" s="16" t="b">
        <v>1</v>
      </c>
    </row>
    <row r="1729" spans="1:12" x14ac:dyDescent="0.25">
      <c r="A1729" s="16">
        <v>1921320</v>
      </c>
      <c r="B1729" s="16" t="s">
        <v>769</v>
      </c>
      <c r="C1729" s="16">
        <f t="shared" si="32"/>
        <v>102</v>
      </c>
      <c r="D1729" s="16" t="str">
        <f>VLOOKUP(C1729,[1]道具配置表!$A:$D,4,FALSE)</f>
        <v>1食物</v>
      </c>
      <c r="E1729" s="16">
        <f>E1725+300</f>
        <v>8500</v>
      </c>
      <c r="J1729" s="16">
        <v>1</v>
      </c>
      <c r="L1729" s="16" t="b">
        <v>1</v>
      </c>
    </row>
    <row r="1730" spans="1:12" x14ac:dyDescent="0.25">
      <c r="C1730" s="16">
        <f t="shared" si="32"/>
        <v>101</v>
      </c>
      <c r="D1730" s="16" t="str">
        <f>VLOOKUP(C1730,[1]道具配置表!$A:$D,4,FALSE)</f>
        <v>1木材</v>
      </c>
      <c r="E1730" s="16">
        <f>E1726+500</f>
        <v>13500</v>
      </c>
      <c r="J1730" s="16">
        <v>1</v>
      </c>
      <c r="L1730" s="16" t="b">
        <v>1</v>
      </c>
    </row>
    <row r="1731" spans="1:12" x14ac:dyDescent="0.25">
      <c r="C1731" s="16">
        <f t="shared" si="32"/>
        <v>103</v>
      </c>
      <c r="D1731" s="16" t="str">
        <f>VLOOKUP(C1731,[1]道具配置表!$A:$D,4,FALSE)</f>
        <v>1石头</v>
      </c>
      <c r="E1731" s="16">
        <f>E1727+500</f>
        <v>13500</v>
      </c>
      <c r="J1731" s="16">
        <v>1</v>
      </c>
      <c r="L1731" s="16" t="b">
        <v>1</v>
      </c>
    </row>
    <row r="1732" spans="1:12" x14ac:dyDescent="0.25">
      <c r="C1732" s="16">
        <f t="shared" si="32"/>
        <v>104</v>
      </c>
      <c r="D1732" s="16" t="str">
        <f>VLOOKUP(C1732,[1]道具配置表!$A:$D,4,FALSE)</f>
        <v>1黄金</v>
      </c>
      <c r="E1732" s="16">
        <f>E1728+500</f>
        <v>13500</v>
      </c>
      <c r="J1732" s="16">
        <v>1</v>
      </c>
      <c r="L1732" s="16" t="b">
        <v>1</v>
      </c>
    </row>
    <row r="1733" spans="1:12" x14ac:dyDescent="0.25">
      <c r="A1733" s="16">
        <v>1921321</v>
      </c>
      <c r="B1733" s="16" t="s">
        <v>770</v>
      </c>
      <c r="C1733" s="16">
        <f t="shared" si="32"/>
        <v>102</v>
      </c>
      <c r="D1733" s="16" t="str">
        <f>VLOOKUP(C1733,[1]道具配置表!$A:$D,4,FALSE)</f>
        <v>1食物</v>
      </c>
      <c r="E1733" s="16">
        <f>E1729+300</f>
        <v>8800</v>
      </c>
      <c r="J1733" s="16">
        <v>1</v>
      </c>
      <c r="L1733" s="16" t="b">
        <v>1</v>
      </c>
    </row>
    <row r="1734" spans="1:12" x14ac:dyDescent="0.25">
      <c r="C1734" s="16">
        <f t="shared" si="32"/>
        <v>101</v>
      </c>
      <c r="D1734" s="16" t="str">
        <f>VLOOKUP(C1734,[1]道具配置表!$A:$D,4,FALSE)</f>
        <v>1木材</v>
      </c>
      <c r="E1734" s="16">
        <f>E1730+500</f>
        <v>14000</v>
      </c>
      <c r="J1734" s="16">
        <v>1</v>
      </c>
      <c r="L1734" s="16" t="b">
        <v>1</v>
      </c>
    </row>
    <row r="1735" spans="1:12" x14ac:dyDescent="0.25">
      <c r="C1735" s="16">
        <f t="shared" si="32"/>
        <v>103</v>
      </c>
      <c r="D1735" s="16" t="str">
        <f>VLOOKUP(C1735,[1]道具配置表!$A:$D,4,FALSE)</f>
        <v>1石头</v>
      </c>
      <c r="E1735" s="16">
        <f>E1731+500</f>
        <v>14000</v>
      </c>
      <c r="J1735" s="16">
        <v>1</v>
      </c>
      <c r="L1735" s="16" t="b">
        <v>1</v>
      </c>
    </row>
    <row r="1736" spans="1:12" x14ac:dyDescent="0.25">
      <c r="C1736" s="16">
        <f t="shared" si="32"/>
        <v>104</v>
      </c>
      <c r="D1736" s="16" t="str">
        <f>VLOOKUP(C1736,[1]道具配置表!$A:$D,4,FALSE)</f>
        <v>1黄金</v>
      </c>
      <c r="E1736" s="16">
        <f>E1732+500</f>
        <v>14000</v>
      </c>
      <c r="J1736" s="16">
        <v>1</v>
      </c>
      <c r="L1736" s="16" t="b">
        <v>1</v>
      </c>
    </row>
    <row r="1737" spans="1:12" x14ac:dyDescent="0.25">
      <c r="A1737" s="16">
        <v>1921322</v>
      </c>
      <c r="B1737" s="16" t="s">
        <v>771</v>
      </c>
      <c r="C1737" s="16">
        <f t="shared" si="32"/>
        <v>102</v>
      </c>
      <c r="D1737" s="16" t="str">
        <f>VLOOKUP(C1737,[1]道具配置表!$A:$D,4,FALSE)</f>
        <v>1食物</v>
      </c>
      <c r="E1737" s="16">
        <f>E1733+300</f>
        <v>9100</v>
      </c>
      <c r="J1737" s="16">
        <v>1</v>
      </c>
      <c r="L1737" s="16" t="b">
        <v>1</v>
      </c>
    </row>
    <row r="1738" spans="1:12" x14ac:dyDescent="0.25">
      <c r="C1738" s="16">
        <f t="shared" si="32"/>
        <v>101</v>
      </c>
      <c r="D1738" s="16" t="str">
        <f>VLOOKUP(C1738,[1]道具配置表!$A:$D,4,FALSE)</f>
        <v>1木材</v>
      </c>
      <c r="E1738" s="16">
        <f>E1734+500</f>
        <v>14500</v>
      </c>
      <c r="J1738" s="16">
        <v>1</v>
      </c>
      <c r="L1738" s="16" t="b">
        <v>1</v>
      </c>
    </row>
    <row r="1739" spans="1:12" x14ac:dyDescent="0.25">
      <c r="C1739" s="16">
        <f t="shared" si="32"/>
        <v>103</v>
      </c>
      <c r="D1739" s="16" t="str">
        <f>VLOOKUP(C1739,[1]道具配置表!$A:$D,4,FALSE)</f>
        <v>1石头</v>
      </c>
      <c r="E1739" s="16">
        <f>E1735+500</f>
        <v>14500</v>
      </c>
      <c r="J1739" s="16">
        <v>1</v>
      </c>
      <c r="L1739" s="16" t="b">
        <v>1</v>
      </c>
    </row>
    <row r="1740" spans="1:12" x14ac:dyDescent="0.25">
      <c r="C1740" s="16">
        <f t="shared" si="32"/>
        <v>104</v>
      </c>
      <c r="D1740" s="16" t="str">
        <f>VLOOKUP(C1740,[1]道具配置表!$A:$D,4,FALSE)</f>
        <v>1黄金</v>
      </c>
      <c r="E1740" s="16">
        <f>E1736+500</f>
        <v>14500</v>
      </c>
      <c r="J1740" s="16">
        <v>1</v>
      </c>
      <c r="L1740" s="16" t="b">
        <v>1</v>
      </c>
    </row>
    <row r="1741" spans="1:12" x14ac:dyDescent="0.25">
      <c r="A1741" s="16">
        <v>1921323</v>
      </c>
      <c r="B1741" s="16" t="s">
        <v>772</v>
      </c>
      <c r="C1741" s="16">
        <f t="shared" si="32"/>
        <v>102</v>
      </c>
      <c r="D1741" s="16" t="str">
        <f>VLOOKUP(C1741,[1]道具配置表!$A:$D,4,FALSE)</f>
        <v>1食物</v>
      </c>
      <c r="E1741" s="16">
        <f>E1737+300</f>
        <v>9400</v>
      </c>
      <c r="J1741" s="16">
        <v>1</v>
      </c>
      <c r="L1741" s="16" t="b">
        <v>1</v>
      </c>
    </row>
    <row r="1742" spans="1:12" x14ac:dyDescent="0.25">
      <c r="C1742" s="16">
        <f t="shared" si="32"/>
        <v>101</v>
      </c>
      <c r="D1742" s="16" t="str">
        <f>VLOOKUP(C1742,[1]道具配置表!$A:$D,4,FALSE)</f>
        <v>1木材</v>
      </c>
      <c r="E1742" s="16">
        <f>E1738+500</f>
        <v>15000</v>
      </c>
      <c r="J1742" s="16">
        <v>1</v>
      </c>
      <c r="L1742" s="16" t="b">
        <v>1</v>
      </c>
    </row>
    <row r="1743" spans="1:12" x14ac:dyDescent="0.25">
      <c r="C1743" s="16">
        <f t="shared" si="32"/>
        <v>103</v>
      </c>
      <c r="D1743" s="16" t="str">
        <f>VLOOKUP(C1743,[1]道具配置表!$A:$D,4,FALSE)</f>
        <v>1石头</v>
      </c>
      <c r="E1743" s="16">
        <f>E1739+500</f>
        <v>15000</v>
      </c>
      <c r="J1743" s="16">
        <v>1</v>
      </c>
      <c r="L1743" s="16" t="b">
        <v>1</v>
      </c>
    </row>
    <row r="1744" spans="1:12" x14ac:dyDescent="0.25">
      <c r="C1744" s="16">
        <f t="shared" si="32"/>
        <v>104</v>
      </c>
      <c r="D1744" s="16" t="str">
        <f>VLOOKUP(C1744,[1]道具配置表!$A:$D,4,FALSE)</f>
        <v>1黄金</v>
      </c>
      <c r="E1744" s="16">
        <f>E1740+500</f>
        <v>15000</v>
      </c>
      <c r="J1744" s="16">
        <v>1</v>
      </c>
      <c r="L1744" s="16" t="b">
        <v>1</v>
      </c>
    </row>
    <row r="1745" spans="1:12" x14ac:dyDescent="0.25">
      <c r="A1745" s="16">
        <v>1921324</v>
      </c>
      <c r="B1745" s="16" t="s">
        <v>773</v>
      </c>
      <c r="C1745" s="16">
        <f t="shared" si="32"/>
        <v>102</v>
      </c>
      <c r="D1745" s="16" t="str">
        <f>VLOOKUP(C1745,[1]道具配置表!$A:$D,4,FALSE)</f>
        <v>1食物</v>
      </c>
      <c r="E1745" s="16">
        <f>E1741+300</f>
        <v>9700</v>
      </c>
      <c r="J1745" s="16">
        <v>1</v>
      </c>
      <c r="L1745" s="16" t="b">
        <v>1</v>
      </c>
    </row>
    <row r="1746" spans="1:12" x14ac:dyDescent="0.25">
      <c r="C1746" s="16">
        <f t="shared" si="32"/>
        <v>101</v>
      </c>
      <c r="D1746" s="16" t="str">
        <f>VLOOKUP(C1746,[1]道具配置表!$A:$D,4,FALSE)</f>
        <v>1木材</v>
      </c>
      <c r="E1746" s="16">
        <f>E1742+500</f>
        <v>15500</v>
      </c>
      <c r="J1746" s="16">
        <v>1</v>
      </c>
      <c r="L1746" s="16" t="b">
        <v>1</v>
      </c>
    </row>
    <row r="1747" spans="1:12" x14ac:dyDescent="0.25">
      <c r="C1747" s="16">
        <f t="shared" si="32"/>
        <v>103</v>
      </c>
      <c r="D1747" s="16" t="str">
        <f>VLOOKUP(C1747,[1]道具配置表!$A:$D,4,FALSE)</f>
        <v>1石头</v>
      </c>
      <c r="E1747" s="16">
        <f>E1743+500</f>
        <v>15500</v>
      </c>
      <c r="J1747" s="16">
        <v>1</v>
      </c>
      <c r="L1747" s="16" t="b">
        <v>1</v>
      </c>
    </row>
    <row r="1748" spans="1:12" x14ac:dyDescent="0.25">
      <c r="C1748" s="16">
        <f t="shared" si="32"/>
        <v>104</v>
      </c>
      <c r="D1748" s="16" t="str">
        <f>VLOOKUP(C1748,[1]道具配置表!$A:$D,4,FALSE)</f>
        <v>1黄金</v>
      </c>
      <c r="E1748" s="16">
        <f>E1744+500</f>
        <v>15500</v>
      </c>
      <c r="J1748" s="16">
        <v>1</v>
      </c>
      <c r="L1748" s="16" t="b">
        <v>1</v>
      </c>
    </row>
    <row r="1749" spans="1:12" x14ac:dyDescent="0.25">
      <c r="A1749" s="16">
        <v>1921325</v>
      </c>
      <c r="B1749" s="16" t="s">
        <v>774</v>
      </c>
      <c r="C1749" s="16">
        <f t="shared" si="32"/>
        <v>102</v>
      </c>
      <c r="D1749" s="16" t="str">
        <f>VLOOKUP(C1749,[1]道具配置表!$A:$D,4,FALSE)</f>
        <v>1食物</v>
      </c>
      <c r="E1749" s="16">
        <f>E1745+300</f>
        <v>10000</v>
      </c>
      <c r="J1749" s="16">
        <v>1</v>
      </c>
      <c r="L1749" s="16" t="b">
        <v>1</v>
      </c>
    </row>
    <row r="1750" spans="1:12" x14ac:dyDescent="0.25">
      <c r="C1750" s="16">
        <f t="shared" si="32"/>
        <v>101</v>
      </c>
      <c r="D1750" s="16" t="str">
        <f>VLOOKUP(C1750,[1]道具配置表!$A:$D,4,FALSE)</f>
        <v>1木材</v>
      </c>
      <c r="E1750" s="16">
        <f>E1746+500</f>
        <v>16000</v>
      </c>
      <c r="J1750" s="16">
        <v>1</v>
      </c>
      <c r="L1750" s="16" t="b">
        <v>1</v>
      </c>
    </row>
    <row r="1751" spans="1:12" x14ac:dyDescent="0.25">
      <c r="C1751" s="16">
        <f t="shared" si="32"/>
        <v>103</v>
      </c>
      <c r="D1751" s="16" t="str">
        <f>VLOOKUP(C1751,[1]道具配置表!$A:$D,4,FALSE)</f>
        <v>1石头</v>
      </c>
      <c r="E1751" s="16">
        <f>E1747+500</f>
        <v>16000</v>
      </c>
      <c r="J1751" s="16">
        <v>1</v>
      </c>
      <c r="L1751" s="16" t="b">
        <v>1</v>
      </c>
    </row>
    <row r="1752" spans="1:12" x14ac:dyDescent="0.25">
      <c r="C1752" s="16">
        <f t="shared" si="32"/>
        <v>104</v>
      </c>
      <c r="D1752" s="16" t="str">
        <f>VLOOKUP(C1752,[1]道具配置表!$A:$D,4,FALSE)</f>
        <v>1黄金</v>
      </c>
      <c r="E1752" s="16">
        <f>E1748+500</f>
        <v>16000</v>
      </c>
      <c r="J1752" s="16">
        <v>1</v>
      </c>
      <c r="L1752" s="16" t="b">
        <v>1</v>
      </c>
    </row>
    <row r="1753" spans="1:12" x14ac:dyDescent="0.25">
      <c r="A1753" s="16">
        <v>1921401</v>
      </c>
      <c r="B1753" s="16" t="s">
        <v>775</v>
      </c>
      <c r="C1753" s="16">
        <f t="shared" si="32"/>
        <v>102</v>
      </c>
      <c r="D1753" s="16" t="str">
        <f>VLOOKUP(C1753,[1]道具配置表!$A:$D,4,FALSE)</f>
        <v>1食物</v>
      </c>
      <c r="E1753" s="16">
        <v>1900</v>
      </c>
      <c r="J1753" s="16">
        <v>1</v>
      </c>
      <c r="L1753" s="16" t="b">
        <v>1</v>
      </c>
    </row>
    <row r="1754" spans="1:12" x14ac:dyDescent="0.25">
      <c r="C1754" s="16">
        <f t="shared" si="32"/>
        <v>101</v>
      </c>
      <c r="D1754" s="16" t="str">
        <f>VLOOKUP(C1754,[1]道具配置表!$A:$D,4,FALSE)</f>
        <v>1木材</v>
      </c>
      <c r="E1754" s="16">
        <v>2500</v>
      </c>
      <c r="J1754" s="16">
        <v>1</v>
      </c>
      <c r="L1754" s="16" t="b">
        <v>1</v>
      </c>
    </row>
    <row r="1755" spans="1:12" x14ac:dyDescent="0.25">
      <c r="C1755" s="16">
        <f t="shared" si="32"/>
        <v>103</v>
      </c>
      <c r="D1755" s="16" t="str">
        <f>VLOOKUP(C1755,[1]道具配置表!$A:$D,4,FALSE)</f>
        <v>1石头</v>
      </c>
      <c r="E1755" s="16">
        <v>2500</v>
      </c>
      <c r="J1755" s="16">
        <v>1</v>
      </c>
      <c r="L1755" s="16" t="b">
        <v>1</v>
      </c>
    </row>
    <row r="1756" spans="1:12" x14ac:dyDescent="0.25">
      <c r="C1756" s="16">
        <f t="shared" si="32"/>
        <v>104</v>
      </c>
      <c r="D1756" s="16" t="str">
        <f>VLOOKUP(C1756,[1]道具配置表!$A:$D,4,FALSE)</f>
        <v>1黄金</v>
      </c>
      <c r="E1756" s="16">
        <v>2500</v>
      </c>
      <c r="J1756" s="16">
        <v>1</v>
      </c>
      <c r="L1756" s="16" t="b">
        <v>1</v>
      </c>
    </row>
    <row r="1757" spans="1:12" x14ac:dyDescent="0.25">
      <c r="A1757" s="16">
        <v>1921402</v>
      </c>
      <c r="B1757" s="16" t="s">
        <v>776</v>
      </c>
      <c r="C1757" s="16">
        <f t="shared" si="32"/>
        <v>102</v>
      </c>
      <c r="D1757" s="16" t="str">
        <f>VLOOKUP(C1757,[1]道具配置表!$A:$D,4,FALSE)</f>
        <v>1食物</v>
      </c>
      <c r="E1757" s="16">
        <f>E1753+300</f>
        <v>2200</v>
      </c>
      <c r="J1757" s="16">
        <v>1</v>
      </c>
      <c r="L1757" s="16" t="b">
        <v>1</v>
      </c>
    </row>
    <row r="1758" spans="1:12" x14ac:dyDescent="0.25">
      <c r="C1758" s="16">
        <f t="shared" si="32"/>
        <v>101</v>
      </c>
      <c r="D1758" s="16" t="str">
        <f>VLOOKUP(C1758,[1]道具配置表!$A:$D,4,FALSE)</f>
        <v>1木材</v>
      </c>
      <c r="E1758" s="16">
        <f>E1754+500</f>
        <v>3000</v>
      </c>
      <c r="J1758" s="16">
        <v>1</v>
      </c>
      <c r="L1758" s="16" t="b">
        <v>1</v>
      </c>
    </row>
    <row r="1759" spans="1:12" x14ac:dyDescent="0.25">
      <c r="C1759" s="16">
        <f t="shared" si="32"/>
        <v>103</v>
      </c>
      <c r="D1759" s="16" t="str">
        <f>VLOOKUP(C1759,[1]道具配置表!$A:$D,4,FALSE)</f>
        <v>1石头</v>
      </c>
      <c r="E1759" s="16">
        <f>E1755+500</f>
        <v>3000</v>
      </c>
      <c r="J1759" s="16">
        <v>1</v>
      </c>
      <c r="L1759" s="16" t="b">
        <v>1</v>
      </c>
    </row>
    <row r="1760" spans="1:12" x14ac:dyDescent="0.25">
      <c r="C1760" s="16">
        <f t="shared" si="32"/>
        <v>104</v>
      </c>
      <c r="D1760" s="16" t="str">
        <f>VLOOKUP(C1760,[1]道具配置表!$A:$D,4,FALSE)</f>
        <v>1黄金</v>
      </c>
      <c r="E1760" s="16">
        <f>E1756+500</f>
        <v>3000</v>
      </c>
      <c r="J1760" s="16">
        <v>1</v>
      </c>
      <c r="L1760" s="16" t="b">
        <v>1</v>
      </c>
    </row>
    <row r="1761" spans="1:12" x14ac:dyDescent="0.25">
      <c r="A1761" s="16">
        <v>1921403</v>
      </c>
      <c r="B1761" s="16" t="s">
        <v>777</v>
      </c>
      <c r="C1761" s="16">
        <f t="shared" si="32"/>
        <v>102</v>
      </c>
      <c r="D1761" s="16" t="str">
        <f>VLOOKUP(C1761,[1]道具配置表!$A:$D,4,FALSE)</f>
        <v>1食物</v>
      </c>
      <c r="E1761" s="16">
        <f>E1757+300</f>
        <v>2500</v>
      </c>
      <c r="J1761" s="16">
        <v>1</v>
      </c>
      <c r="L1761" s="16" t="b">
        <v>1</v>
      </c>
    </row>
    <row r="1762" spans="1:12" x14ac:dyDescent="0.25">
      <c r="C1762" s="16">
        <f t="shared" si="32"/>
        <v>101</v>
      </c>
      <c r="D1762" s="16" t="str">
        <f>VLOOKUP(C1762,[1]道具配置表!$A:$D,4,FALSE)</f>
        <v>1木材</v>
      </c>
      <c r="E1762" s="16">
        <f>E1758+500</f>
        <v>3500</v>
      </c>
      <c r="J1762" s="16">
        <v>1</v>
      </c>
      <c r="L1762" s="16" t="b">
        <v>1</v>
      </c>
    </row>
    <row r="1763" spans="1:12" x14ac:dyDescent="0.25">
      <c r="C1763" s="16">
        <f t="shared" si="32"/>
        <v>103</v>
      </c>
      <c r="D1763" s="16" t="str">
        <f>VLOOKUP(C1763,[1]道具配置表!$A:$D,4,FALSE)</f>
        <v>1石头</v>
      </c>
      <c r="E1763" s="16">
        <f>E1759+500</f>
        <v>3500</v>
      </c>
      <c r="J1763" s="16">
        <v>1</v>
      </c>
      <c r="L1763" s="16" t="b">
        <v>1</v>
      </c>
    </row>
    <row r="1764" spans="1:12" x14ac:dyDescent="0.25">
      <c r="C1764" s="16">
        <f t="shared" si="32"/>
        <v>104</v>
      </c>
      <c r="D1764" s="16" t="str">
        <f>VLOOKUP(C1764,[1]道具配置表!$A:$D,4,FALSE)</f>
        <v>1黄金</v>
      </c>
      <c r="E1764" s="16">
        <f>E1760+500</f>
        <v>3500</v>
      </c>
      <c r="J1764" s="16">
        <v>1</v>
      </c>
      <c r="L1764" s="16" t="b">
        <v>1</v>
      </c>
    </row>
    <row r="1765" spans="1:12" x14ac:dyDescent="0.25">
      <c r="A1765" s="16">
        <v>1921404</v>
      </c>
      <c r="B1765" s="16" t="s">
        <v>778</v>
      </c>
      <c r="C1765" s="16">
        <f t="shared" si="32"/>
        <v>102</v>
      </c>
      <c r="D1765" s="16" t="str">
        <f>VLOOKUP(C1765,[1]道具配置表!$A:$D,4,FALSE)</f>
        <v>1食物</v>
      </c>
      <c r="E1765" s="16">
        <f>E1761+300</f>
        <v>2800</v>
      </c>
      <c r="J1765" s="16">
        <v>1</v>
      </c>
      <c r="L1765" s="16" t="b">
        <v>1</v>
      </c>
    </row>
    <row r="1766" spans="1:12" x14ac:dyDescent="0.25">
      <c r="C1766" s="16">
        <f t="shared" si="32"/>
        <v>101</v>
      </c>
      <c r="D1766" s="16" t="str">
        <f>VLOOKUP(C1766,[1]道具配置表!$A:$D,4,FALSE)</f>
        <v>1木材</v>
      </c>
      <c r="E1766" s="16">
        <f>E1762+500</f>
        <v>4000</v>
      </c>
      <c r="J1766" s="16">
        <v>1</v>
      </c>
      <c r="L1766" s="16" t="b">
        <v>1</v>
      </c>
    </row>
    <row r="1767" spans="1:12" x14ac:dyDescent="0.25">
      <c r="C1767" s="16">
        <f t="shared" si="32"/>
        <v>103</v>
      </c>
      <c r="D1767" s="16" t="str">
        <f>VLOOKUP(C1767,[1]道具配置表!$A:$D,4,FALSE)</f>
        <v>1石头</v>
      </c>
      <c r="E1767" s="16">
        <f>E1763+500</f>
        <v>4000</v>
      </c>
      <c r="J1767" s="16">
        <v>1</v>
      </c>
      <c r="L1767" s="16" t="b">
        <v>1</v>
      </c>
    </row>
    <row r="1768" spans="1:12" x14ac:dyDescent="0.25">
      <c r="C1768" s="16">
        <f t="shared" si="32"/>
        <v>104</v>
      </c>
      <c r="D1768" s="16" t="str">
        <f>VLOOKUP(C1768,[1]道具配置表!$A:$D,4,FALSE)</f>
        <v>1黄金</v>
      </c>
      <c r="E1768" s="16">
        <f>E1764+500</f>
        <v>4000</v>
      </c>
      <c r="J1768" s="16">
        <v>1</v>
      </c>
      <c r="L1768" s="16" t="b">
        <v>1</v>
      </c>
    </row>
    <row r="1769" spans="1:12" x14ac:dyDescent="0.25">
      <c r="A1769" s="16">
        <v>1921405</v>
      </c>
      <c r="B1769" s="16" t="s">
        <v>779</v>
      </c>
      <c r="C1769" s="16">
        <f t="shared" si="32"/>
        <v>102</v>
      </c>
      <c r="D1769" s="16" t="str">
        <f>VLOOKUP(C1769,[1]道具配置表!$A:$D,4,FALSE)</f>
        <v>1食物</v>
      </c>
      <c r="E1769" s="16">
        <f>E1765+300</f>
        <v>3100</v>
      </c>
      <c r="J1769" s="16">
        <v>1</v>
      </c>
      <c r="L1769" s="16" t="b">
        <v>1</v>
      </c>
    </row>
    <row r="1770" spans="1:12" x14ac:dyDescent="0.25">
      <c r="C1770" s="16">
        <f t="shared" si="32"/>
        <v>101</v>
      </c>
      <c r="D1770" s="16" t="str">
        <f>VLOOKUP(C1770,[1]道具配置表!$A:$D,4,FALSE)</f>
        <v>1木材</v>
      </c>
      <c r="E1770" s="16">
        <f>E1766+500</f>
        <v>4500</v>
      </c>
      <c r="J1770" s="16">
        <v>1</v>
      </c>
      <c r="L1770" s="16" t="b">
        <v>1</v>
      </c>
    </row>
    <row r="1771" spans="1:12" x14ac:dyDescent="0.25">
      <c r="C1771" s="16">
        <f t="shared" si="32"/>
        <v>103</v>
      </c>
      <c r="D1771" s="16" t="str">
        <f>VLOOKUP(C1771,[1]道具配置表!$A:$D,4,FALSE)</f>
        <v>1石头</v>
      </c>
      <c r="E1771" s="16">
        <f>E1767+500</f>
        <v>4500</v>
      </c>
      <c r="J1771" s="16">
        <v>1</v>
      </c>
      <c r="L1771" s="16" t="b">
        <v>1</v>
      </c>
    </row>
    <row r="1772" spans="1:12" x14ac:dyDescent="0.25">
      <c r="C1772" s="16">
        <f t="shared" si="32"/>
        <v>104</v>
      </c>
      <c r="D1772" s="16" t="str">
        <f>VLOOKUP(C1772,[1]道具配置表!$A:$D,4,FALSE)</f>
        <v>1黄金</v>
      </c>
      <c r="E1772" s="16">
        <f>E1768+500</f>
        <v>4500</v>
      </c>
      <c r="J1772" s="16">
        <v>1</v>
      </c>
      <c r="L1772" s="16" t="b">
        <v>1</v>
      </c>
    </row>
    <row r="1773" spans="1:12" x14ac:dyDescent="0.25">
      <c r="A1773" s="16">
        <v>1921406</v>
      </c>
      <c r="B1773" s="16" t="s">
        <v>780</v>
      </c>
      <c r="C1773" s="16">
        <f t="shared" si="32"/>
        <v>102</v>
      </c>
      <c r="D1773" s="16" t="str">
        <f>VLOOKUP(C1773,[1]道具配置表!$A:$D,4,FALSE)</f>
        <v>1食物</v>
      </c>
      <c r="E1773" s="16">
        <f>E1769+300</f>
        <v>3400</v>
      </c>
      <c r="J1773" s="16">
        <v>1</v>
      </c>
      <c r="L1773" s="16" t="b">
        <v>1</v>
      </c>
    </row>
    <row r="1774" spans="1:12" x14ac:dyDescent="0.25">
      <c r="C1774" s="16">
        <f t="shared" si="32"/>
        <v>101</v>
      </c>
      <c r="D1774" s="16" t="str">
        <f>VLOOKUP(C1774,[1]道具配置表!$A:$D,4,FALSE)</f>
        <v>1木材</v>
      </c>
      <c r="E1774" s="16">
        <f>E1770+500</f>
        <v>5000</v>
      </c>
      <c r="J1774" s="16">
        <v>1</v>
      </c>
      <c r="L1774" s="16" t="b">
        <v>1</v>
      </c>
    </row>
    <row r="1775" spans="1:12" x14ac:dyDescent="0.25">
      <c r="C1775" s="16">
        <f t="shared" si="32"/>
        <v>103</v>
      </c>
      <c r="D1775" s="16" t="str">
        <f>VLOOKUP(C1775,[1]道具配置表!$A:$D,4,FALSE)</f>
        <v>1石头</v>
      </c>
      <c r="E1775" s="16">
        <f>E1771+500</f>
        <v>5000</v>
      </c>
      <c r="J1775" s="16">
        <v>1</v>
      </c>
      <c r="L1775" s="16" t="b">
        <v>1</v>
      </c>
    </row>
    <row r="1776" spans="1:12" x14ac:dyDescent="0.25">
      <c r="C1776" s="16">
        <f t="shared" si="32"/>
        <v>104</v>
      </c>
      <c r="D1776" s="16" t="str">
        <f>VLOOKUP(C1776,[1]道具配置表!$A:$D,4,FALSE)</f>
        <v>1黄金</v>
      </c>
      <c r="E1776" s="16">
        <f>E1772+500</f>
        <v>5000</v>
      </c>
      <c r="J1776" s="16">
        <v>1</v>
      </c>
      <c r="L1776" s="16" t="b">
        <v>1</v>
      </c>
    </row>
    <row r="1777" spans="1:12" x14ac:dyDescent="0.25">
      <c r="A1777" s="16">
        <v>1921407</v>
      </c>
      <c r="B1777" s="16" t="s">
        <v>781</v>
      </c>
      <c r="C1777" s="16">
        <f t="shared" ref="C1777:C1840" si="33">C1773</f>
        <v>102</v>
      </c>
      <c r="D1777" s="16" t="str">
        <f>VLOOKUP(C1777,[1]道具配置表!$A:$D,4,FALSE)</f>
        <v>1食物</v>
      </c>
      <c r="E1777" s="16">
        <f>E1773+300</f>
        <v>3700</v>
      </c>
      <c r="J1777" s="16">
        <v>1</v>
      </c>
      <c r="L1777" s="16" t="b">
        <v>1</v>
      </c>
    </row>
    <row r="1778" spans="1:12" x14ac:dyDescent="0.25">
      <c r="C1778" s="16">
        <f t="shared" si="33"/>
        <v>101</v>
      </c>
      <c r="D1778" s="16" t="str">
        <f>VLOOKUP(C1778,[1]道具配置表!$A:$D,4,FALSE)</f>
        <v>1木材</v>
      </c>
      <c r="E1778" s="16">
        <f>E1774+500</f>
        <v>5500</v>
      </c>
      <c r="J1778" s="16">
        <v>1</v>
      </c>
      <c r="L1778" s="16" t="b">
        <v>1</v>
      </c>
    </row>
    <row r="1779" spans="1:12" x14ac:dyDescent="0.25">
      <c r="C1779" s="16">
        <f t="shared" si="33"/>
        <v>103</v>
      </c>
      <c r="D1779" s="16" t="str">
        <f>VLOOKUP(C1779,[1]道具配置表!$A:$D,4,FALSE)</f>
        <v>1石头</v>
      </c>
      <c r="E1779" s="16">
        <f>E1775+500</f>
        <v>5500</v>
      </c>
      <c r="J1779" s="16">
        <v>1</v>
      </c>
      <c r="L1779" s="16" t="b">
        <v>1</v>
      </c>
    </row>
    <row r="1780" spans="1:12" x14ac:dyDescent="0.25">
      <c r="C1780" s="16">
        <f t="shared" si="33"/>
        <v>104</v>
      </c>
      <c r="D1780" s="16" t="str">
        <f>VLOOKUP(C1780,[1]道具配置表!$A:$D,4,FALSE)</f>
        <v>1黄金</v>
      </c>
      <c r="E1780" s="16">
        <f>E1776+500</f>
        <v>5500</v>
      </c>
      <c r="J1780" s="16">
        <v>1</v>
      </c>
      <c r="L1780" s="16" t="b">
        <v>1</v>
      </c>
    </row>
    <row r="1781" spans="1:12" x14ac:dyDescent="0.25">
      <c r="A1781" s="16">
        <v>1921408</v>
      </c>
      <c r="B1781" s="16" t="s">
        <v>782</v>
      </c>
      <c r="C1781" s="16">
        <f t="shared" si="33"/>
        <v>102</v>
      </c>
      <c r="D1781" s="16" t="str">
        <f>VLOOKUP(C1781,[1]道具配置表!$A:$D,4,FALSE)</f>
        <v>1食物</v>
      </c>
      <c r="E1781" s="16">
        <f>E1777+300</f>
        <v>4000</v>
      </c>
      <c r="J1781" s="16">
        <v>1</v>
      </c>
      <c r="L1781" s="16" t="b">
        <v>1</v>
      </c>
    </row>
    <row r="1782" spans="1:12" x14ac:dyDescent="0.25">
      <c r="C1782" s="16">
        <f t="shared" si="33"/>
        <v>101</v>
      </c>
      <c r="D1782" s="16" t="str">
        <f>VLOOKUP(C1782,[1]道具配置表!$A:$D,4,FALSE)</f>
        <v>1木材</v>
      </c>
      <c r="E1782" s="16">
        <f>E1778+500</f>
        <v>6000</v>
      </c>
      <c r="J1782" s="16">
        <v>1</v>
      </c>
      <c r="L1782" s="16" t="b">
        <v>1</v>
      </c>
    </row>
    <row r="1783" spans="1:12" x14ac:dyDescent="0.25">
      <c r="C1783" s="16">
        <f t="shared" si="33"/>
        <v>103</v>
      </c>
      <c r="D1783" s="16" t="str">
        <f>VLOOKUP(C1783,[1]道具配置表!$A:$D,4,FALSE)</f>
        <v>1石头</v>
      </c>
      <c r="E1783" s="16">
        <f>E1779+500</f>
        <v>6000</v>
      </c>
      <c r="J1783" s="16">
        <v>1</v>
      </c>
      <c r="L1783" s="16" t="b">
        <v>1</v>
      </c>
    </row>
    <row r="1784" spans="1:12" x14ac:dyDescent="0.25">
      <c r="C1784" s="16">
        <f t="shared" si="33"/>
        <v>104</v>
      </c>
      <c r="D1784" s="16" t="str">
        <f>VLOOKUP(C1784,[1]道具配置表!$A:$D,4,FALSE)</f>
        <v>1黄金</v>
      </c>
      <c r="E1784" s="16">
        <f>E1780+500</f>
        <v>6000</v>
      </c>
      <c r="J1784" s="16">
        <v>1</v>
      </c>
      <c r="L1784" s="16" t="b">
        <v>1</v>
      </c>
    </row>
    <row r="1785" spans="1:12" x14ac:dyDescent="0.25">
      <c r="A1785" s="16">
        <v>1921409</v>
      </c>
      <c r="B1785" s="16" t="s">
        <v>783</v>
      </c>
      <c r="C1785" s="16">
        <f t="shared" si="33"/>
        <v>102</v>
      </c>
      <c r="D1785" s="16" t="str">
        <f>VLOOKUP(C1785,[1]道具配置表!$A:$D,4,FALSE)</f>
        <v>1食物</v>
      </c>
      <c r="E1785" s="16">
        <f>E1781+300</f>
        <v>4300</v>
      </c>
      <c r="J1785" s="16">
        <v>1</v>
      </c>
      <c r="L1785" s="16" t="b">
        <v>1</v>
      </c>
    </row>
    <row r="1786" spans="1:12" x14ac:dyDescent="0.25">
      <c r="C1786" s="16">
        <f t="shared" si="33"/>
        <v>101</v>
      </c>
      <c r="D1786" s="16" t="str">
        <f>VLOOKUP(C1786,[1]道具配置表!$A:$D,4,FALSE)</f>
        <v>1木材</v>
      </c>
      <c r="E1786" s="16">
        <f>E1782+500</f>
        <v>6500</v>
      </c>
      <c r="J1786" s="16">
        <v>1</v>
      </c>
      <c r="L1786" s="16" t="b">
        <v>1</v>
      </c>
    </row>
    <row r="1787" spans="1:12" x14ac:dyDescent="0.25">
      <c r="C1787" s="16">
        <f t="shared" si="33"/>
        <v>103</v>
      </c>
      <c r="D1787" s="16" t="str">
        <f>VLOOKUP(C1787,[1]道具配置表!$A:$D,4,FALSE)</f>
        <v>1石头</v>
      </c>
      <c r="E1787" s="16">
        <f>E1783+500</f>
        <v>6500</v>
      </c>
      <c r="J1787" s="16">
        <v>1</v>
      </c>
      <c r="L1787" s="16" t="b">
        <v>1</v>
      </c>
    </row>
    <row r="1788" spans="1:12" x14ac:dyDescent="0.25">
      <c r="C1788" s="16">
        <f t="shared" si="33"/>
        <v>104</v>
      </c>
      <c r="D1788" s="16" t="str">
        <f>VLOOKUP(C1788,[1]道具配置表!$A:$D,4,FALSE)</f>
        <v>1黄金</v>
      </c>
      <c r="E1788" s="16">
        <f>E1784+500</f>
        <v>6500</v>
      </c>
      <c r="J1788" s="16">
        <v>1</v>
      </c>
      <c r="L1788" s="16" t="b">
        <v>1</v>
      </c>
    </row>
    <row r="1789" spans="1:12" x14ac:dyDescent="0.25">
      <c r="A1789" s="16">
        <v>1921410</v>
      </c>
      <c r="B1789" s="16" t="s">
        <v>784</v>
      </c>
      <c r="C1789" s="16">
        <f t="shared" si="33"/>
        <v>102</v>
      </c>
      <c r="D1789" s="16" t="str">
        <f>VLOOKUP(C1789,[1]道具配置表!$A:$D,4,FALSE)</f>
        <v>1食物</v>
      </c>
      <c r="E1789" s="16">
        <f>E1785+300</f>
        <v>4600</v>
      </c>
      <c r="J1789" s="16">
        <v>1</v>
      </c>
      <c r="L1789" s="16" t="b">
        <v>1</v>
      </c>
    </row>
    <row r="1790" spans="1:12" x14ac:dyDescent="0.25">
      <c r="C1790" s="16">
        <f t="shared" si="33"/>
        <v>101</v>
      </c>
      <c r="D1790" s="16" t="str">
        <f>VLOOKUP(C1790,[1]道具配置表!$A:$D,4,FALSE)</f>
        <v>1木材</v>
      </c>
      <c r="E1790" s="16">
        <f>E1786+500</f>
        <v>7000</v>
      </c>
      <c r="J1790" s="16">
        <v>1</v>
      </c>
      <c r="L1790" s="16" t="b">
        <v>1</v>
      </c>
    </row>
    <row r="1791" spans="1:12" x14ac:dyDescent="0.25">
      <c r="C1791" s="16">
        <f t="shared" si="33"/>
        <v>103</v>
      </c>
      <c r="D1791" s="16" t="str">
        <f>VLOOKUP(C1791,[1]道具配置表!$A:$D,4,FALSE)</f>
        <v>1石头</v>
      </c>
      <c r="E1791" s="16">
        <f>E1787+500</f>
        <v>7000</v>
      </c>
      <c r="J1791" s="16">
        <v>1</v>
      </c>
      <c r="L1791" s="16" t="b">
        <v>1</v>
      </c>
    </row>
    <row r="1792" spans="1:12" x14ac:dyDescent="0.25">
      <c r="C1792" s="16">
        <f t="shared" si="33"/>
        <v>104</v>
      </c>
      <c r="D1792" s="16" t="str">
        <f>VLOOKUP(C1792,[1]道具配置表!$A:$D,4,FALSE)</f>
        <v>1黄金</v>
      </c>
      <c r="E1792" s="16">
        <f>E1788+500</f>
        <v>7000</v>
      </c>
      <c r="J1792" s="16">
        <v>1</v>
      </c>
      <c r="L1792" s="16" t="b">
        <v>1</v>
      </c>
    </row>
    <row r="1793" spans="1:12" x14ac:dyDescent="0.25">
      <c r="A1793" s="16">
        <v>1921411</v>
      </c>
      <c r="B1793" s="16" t="s">
        <v>785</v>
      </c>
      <c r="C1793" s="16">
        <f t="shared" si="33"/>
        <v>102</v>
      </c>
      <c r="D1793" s="16" t="str">
        <f>VLOOKUP(C1793,[1]道具配置表!$A:$D,4,FALSE)</f>
        <v>1食物</v>
      </c>
      <c r="E1793" s="16">
        <f>E1789+300</f>
        <v>4900</v>
      </c>
      <c r="J1793" s="16">
        <v>1</v>
      </c>
      <c r="L1793" s="16" t="b">
        <v>1</v>
      </c>
    </row>
    <row r="1794" spans="1:12" x14ac:dyDescent="0.25">
      <c r="C1794" s="16">
        <f t="shared" si="33"/>
        <v>101</v>
      </c>
      <c r="D1794" s="16" t="str">
        <f>VLOOKUP(C1794,[1]道具配置表!$A:$D,4,FALSE)</f>
        <v>1木材</v>
      </c>
      <c r="E1794" s="16">
        <f>E1790+500</f>
        <v>7500</v>
      </c>
      <c r="J1794" s="16">
        <v>1</v>
      </c>
      <c r="L1794" s="16" t="b">
        <v>1</v>
      </c>
    </row>
    <row r="1795" spans="1:12" x14ac:dyDescent="0.25">
      <c r="C1795" s="16">
        <f t="shared" si="33"/>
        <v>103</v>
      </c>
      <c r="D1795" s="16" t="str">
        <f>VLOOKUP(C1795,[1]道具配置表!$A:$D,4,FALSE)</f>
        <v>1石头</v>
      </c>
      <c r="E1795" s="16">
        <f>E1791+500</f>
        <v>7500</v>
      </c>
      <c r="J1795" s="16">
        <v>1</v>
      </c>
      <c r="L1795" s="16" t="b">
        <v>1</v>
      </c>
    </row>
    <row r="1796" spans="1:12" x14ac:dyDescent="0.25">
      <c r="C1796" s="16">
        <f t="shared" si="33"/>
        <v>104</v>
      </c>
      <c r="D1796" s="16" t="str">
        <f>VLOOKUP(C1796,[1]道具配置表!$A:$D,4,FALSE)</f>
        <v>1黄金</v>
      </c>
      <c r="E1796" s="16">
        <f>E1792+500</f>
        <v>7500</v>
      </c>
      <c r="J1796" s="16">
        <v>1</v>
      </c>
      <c r="L1796" s="16" t="b">
        <v>1</v>
      </c>
    </row>
    <row r="1797" spans="1:12" x14ac:dyDescent="0.25">
      <c r="A1797" s="16">
        <v>1921412</v>
      </c>
      <c r="B1797" s="16" t="s">
        <v>786</v>
      </c>
      <c r="C1797" s="16">
        <f t="shared" si="33"/>
        <v>102</v>
      </c>
      <c r="D1797" s="16" t="str">
        <f>VLOOKUP(C1797,[1]道具配置表!$A:$D,4,FALSE)</f>
        <v>1食物</v>
      </c>
      <c r="E1797" s="16">
        <f>E1793+300</f>
        <v>5200</v>
      </c>
      <c r="J1797" s="16">
        <v>1</v>
      </c>
      <c r="L1797" s="16" t="b">
        <v>1</v>
      </c>
    </row>
    <row r="1798" spans="1:12" x14ac:dyDescent="0.25">
      <c r="C1798" s="16">
        <f t="shared" si="33"/>
        <v>101</v>
      </c>
      <c r="D1798" s="16" t="str">
        <f>VLOOKUP(C1798,[1]道具配置表!$A:$D,4,FALSE)</f>
        <v>1木材</v>
      </c>
      <c r="E1798" s="16">
        <f>E1794+500</f>
        <v>8000</v>
      </c>
      <c r="J1798" s="16">
        <v>1</v>
      </c>
      <c r="L1798" s="16" t="b">
        <v>1</v>
      </c>
    </row>
    <row r="1799" spans="1:12" x14ac:dyDescent="0.25">
      <c r="C1799" s="16">
        <f t="shared" si="33"/>
        <v>103</v>
      </c>
      <c r="D1799" s="16" t="str">
        <f>VLOOKUP(C1799,[1]道具配置表!$A:$D,4,FALSE)</f>
        <v>1石头</v>
      </c>
      <c r="E1799" s="16">
        <f>E1795+500</f>
        <v>8000</v>
      </c>
      <c r="J1799" s="16">
        <v>1</v>
      </c>
      <c r="L1799" s="16" t="b">
        <v>1</v>
      </c>
    </row>
    <row r="1800" spans="1:12" x14ac:dyDescent="0.25">
      <c r="C1800" s="16">
        <f t="shared" si="33"/>
        <v>104</v>
      </c>
      <c r="D1800" s="16" t="str">
        <f>VLOOKUP(C1800,[1]道具配置表!$A:$D,4,FALSE)</f>
        <v>1黄金</v>
      </c>
      <c r="E1800" s="16">
        <f>E1796+500</f>
        <v>8000</v>
      </c>
      <c r="J1800" s="16">
        <v>1</v>
      </c>
      <c r="L1800" s="16" t="b">
        <v>1</v>
      </c>
    </row>
    <row r="1801" spans="1:12" x14ac:dyDescent="0.25">
      <c r="A1801" s="16">
        <v>1921413</v>
      </c>
      <c r="B1801" s="16" t="s">
        <v>787</v>
      </c>
      <c r="C1801" s="16">
        <f t="shared" si="33"/>
        <v>102</v>
      </c>
      <c r="D1801" s="16" t="str">
        <f>VLOOKUP(C1801,[1]道具配置表!$A:$D,4,FALSE)</f>
        <v>1食物</v>
      </c>
      <c r="E1801" s="16">
        <f>E1797+300</f>
        <v>5500</v>
      </c>
      <c r="J1801" s="16">
        <v>1</v>
      </c>
      <c r="L1801" s="16" t="b">
        <v>1</v>
      </c>
    </row>
    <row r="1802" spans="1:12" x14ac:dyDescent="0.25">
      <c r="C1802" s="16">
        <f t="shared" si="33"/>
        <v>101</v>
      </c>
      <c r="D1802" s="16" t="str">
        <f>VLOOKUP(C1802,[1]道具配置表!$A:$D,4,FALSE)</f>
        <v>1木材</v>
      </c>
      <c r="E1802" s="16">
        <f>E1798+500</f>
        <v>8500</v>
      </c>
      <c r="J1802" s="16">
        <v>1</v>
      </c>
      <c r="L1802" s="16" t="b">
        <v>1</v>
      </c>
    </row>
    <row r="1803" spans="1:12" x14ac:dyDescent="0.25">
      <c r="C1803" s="16">
        <f t="shared" si="33"/>
        <v>103</v>
      </c>
      <c r="D1803" s="16" t="str">
        <f>VLOOKUP(C1803,[1]道具配置表!$A:$D,4,FALSE)</f>
        <v>1石头</v>
      </c>
      <c r="E1803" s="16">
        <f>E1799+500</f>
        <v>8500</v>
      </c>
      <c r="J1803" s="16">
        <v>1</v>
      </c>
      <c r="L1803" s="16" t="b">
        <v>1</v>
      </c>
    </row>
    <row r="1804" spans="1:12" x14ac:dyDescent="0.25">
      <c r="C1804" s="16">
        <f t="shared" si="33"/>
        <v>104</v>
      </c>
      <c r="D1804" s="16" t="str">
        <f>VLOOKUP(C1804,[1]道具配置表!$A:$D,4,FALSE)</f>
        <v>1黄金</v>
      </c>
      <c r="E1804" s="16">
        <f>E1800+500</f>
        <v>8500</v>
      </c>
      <c r="J1804" s="16">
        <v>1</v>
      </c>
      <c r="L1804" s="16" t="b">
        <v>1</v>
      </c>
    </row>
    <row r="1805" spans="1:12" x14ac:dyDescent="0.25">
      <c r="A1805" s="16">
        <v>1921414</v>
      </c>
      <c r="B1805" s="16" t="s">
        <v>788</v>
      </c>
      <c r="C1805" s="16">
        <f t="shared" si="33"/>
        <v>102</v>
      </c>
      <c r="D1805" s="16" t="str">
        <f>VLOOKUP(C1805,[1]道具配置表!$A:$D,4,FALSE)</f>
        <v>1食物</v>
      </c>
      <c r="E1805" s="16">
        <f>E1801+300</f>
        <v>5800</v>
      </c>
      <c r="J1805" s="16">
        <v>1</v>
      </c>
      <c r="L1805" s="16" t="b">
        <v>1</v>
      </c>
    </row>
    <row r="1806" spans="1:12" x14ac:dyDescent="0.25">
      <c r="C1806" s="16">
        <f t="shared" si="33"/>
        <v>101</v>
      </c>
      <c r="D1806" s="16" t="str">
        <f>VLOOKUP(C1806,[1]道具配置表!$A:$D,4,FALSE)</f>
        <v>1木材</v>
      </c>
      <c r="E1806" s="16">
        <f>E1802+500</f>
        <v>9000</v>
      </c>
      <c r="J1806" s="16">
        <v>1</v>
      </c>
      <c r="L1806" s="16" t="b">
        <v>1</v>
      </c>
    </row>
    <row r="1807" spans="1:12" x14ac:dyDescent="0.25">
      <c r="C1807" s="16">
        <f t="shared" si="33"/>
        <v>103</v>
      </c>
      <c r="D1807" s="16" t="str">
        <f>VLOOKUP(C1807,[1]道具配置表!$A:$D,4,FALSE)</f>
        <v>1石头</v>
      </c>
      <c r="E1807" s="16">
        <f>E1803+500</f>
        <v>9000</v>
      </c>
      <c r="J1807" s="16">
        <v>1</v>
      </c>
      <c r="L1807" s="16" t="b">
        <v>1</v>
      </c>
    </row>
    <row r="1808" spans="1:12" x14ac:dyDescent="0.25">
      <c r="C1808" s="16">
        <f t="shared" si="33"/>
        <v>104</v>
      </c>
      <c r="D1808" s="16" t="str">
        <f>VLOOKUP(C1808,[1]道具配置表!$A:$D,4,FALSE)</f>
        <v>1黄金</v>
      </c>
      <c r="E1808" s="16">
        <f>E1804+500</f>
        <v>9000</v>
      </c>
      <c r="J1808" s="16">
        <v>1</v>
      </c>
      <c r="L1808" s="16" t="b">
        <v>1</v>
      </c>
    </row>
    <row r="1809" spans="1:12" x14ac:dyDescent="0.25">
      <c r="A1809" s="16">
        <v>1921415</v>
      </c>
      <c r="B1809" s="16" t="s">
        <v>789</v>
      </c>
      <c r="C1809" s="16">
        <f t="shared" si="33"/>
        <v>102</v>
      </c>
      <c r="D1809" s="16" t="str">
        <f>VLOOKUP(C1809,[1]道具配置表!$A:$D,4,FALSE)</f>
        <v>1食物</v>
      </c>
      <c r="E1809" s="16">
        <f>E1805+300</f>
        <v>6100</v>
      </c>
      <c r="J1809" s="16">
        <v>1</v>
      </c>
      <c r="L1809" s="16" t="b">
        <v>1</v>
      </c>
    </row>
    <row r="1810" spans="1:12" x14ac:dyDescent="0.25">
      <c r="C1810" s="16">
        <f t="shared" si="33"/>
        <v>101</v>
      </c>
      <c r="D1810" s="16" t="str">
        <f>VLOOKUP(C1810,[1]道具配置表!$A:$D,4,FALSE)</f>
        <v>1木材</v>
      </c>
      <c r="E1810" s="16">
        <f>E1806+500</f>
        <v>9500</v>
      </c>
      <c r="J1810" s="16">
        <v>1</v>
      </c>
      <c r="L1810" s="16" t="b">
        <v>1</v>
      </c>
    </row>
    <row r="1811" spans="1:12" x14ac:dyDescent="0.25">
      <c r="C1811" s="16">
        <f t="shared" si="33"/>
        <v>103</v>
      </c>
      <c r="D1811" s="16" t="str">
        <f>VLOOKUP(C1811,[1]道具配置表!$A:$D,4,FALSE)</f>
        <v>1石头</v>
      </c>
      <c r="E1811" s="16">
        <f>E1807+500</f>
        <v>9500</v>
      </c>
      <c r="J1811" s="16">
        <v>1</v>
      </c>
      <c r="L1811" s="16" t="b">
        <v>1</v>
      </c>
    </row>
    <row r="1812" spans="1:12" x14ac:dyDescent="0.25">
      <c r="C1812" s="16">
        <f t="shared" si="33"/>
        <v>104</v>
      </c>
      <c r="D1812" s="16" t="str">
        <f>VLOOKUP(C1812,[1]道具配置表!$A:$D,4,FALSE)</f>
        <v>1黄金</v>
      </c>
      <c r="E1812" s="16">
        <f>E1808+500</f>
        <v>9500</v>
      </c>
      <c r="J1812" s="16">
        <v>1</v>
      </c>
      <c r="L1812" s="16" t="b">
        <v>1</v>
      </c>
    </row>
    <row r="1813" spans="1:12" x14ac:dyDescent="0.25">
      <c r="A1813" s="16">
        <v>1921416</v>
      </c>
      <c r="B1813" s="16" t="s">
        <v>790</v>
      </c>
      <c r="C1813" s="16">
        <f t="shared" si="33"/>
        <v>102</v>
      </c>
      <c r="D1813" s="16" t="str">
        <f>VLOOKUP(C1813,[1]道具配置表!$A:$D,4,FALSE)</f>
        <v>1食物</v>
      </c>
      <c r="E1813" s="16">
        <f>E1809+300</f>
        <v>6400</v>
      </c>
      <c r="J1813" s="16">
        <v>1</v>
      </c>
      <c r="L1813" s="16" t="b">
        <v>1</v>
      </c>
    </row>
    <row r="1814" spans="1:12" x14ac:dyDescent="0.25">
      <c r="C1814" s="16">
        <f t="shared" si="33"/>
        <v>101</v>
      </c>
      <c r="D1814" s="16" t="str">
        <f>VLOOKUP(C1814,[1]道具配置表!$A:$D,4,FALSE)</f>
        <v>1木材</v>
      </c>
      <c r="E1814" s="16">
        <f>E1810+500</f>
        <v>10000</v>
      </c>
      <c r="J1814" s="16">
        <v>1</v>
      </c>
      <c r="L1814" s="16" t="b">
        <v>1</v>
      </c>
    </row>
    <row r="1815" spans="1:12" x14ac:dyDescent="0.25">
      <c r="C1815" s="16">
        <f t="shared" si="33"/>
        <v>103</v>
      </c>
      <c r="D1815" s="16" t="str">
        <f>VLOOKUP(C1815,[1]道具配置表!$A:$D,4,FALSE)</f>
        <v>1石头</v>
      </c>
      <c r="E1815" s="16">
        <f>E1811+500</f>
        <v>10000</v>
      </c>
      <c r="J1815" s="16">
        <v>1</v>
      </c>
      <c r="L1815" s="16" t="b">
        <v>1</v>
      </c>
    </row>
    <row r="1816" spans="1:12" x14ac:dyDescent="0.25">
      <c r="C1816" s="16">
        <f t="shared" si="33"/>
        <v>104</v>
      </c>
      <c r="D1816" s="16" t="str">
        <f>VLOOKUP(C1816,[1]道具配置表!$A:$D,4,FALSE)</f>
        <v>1黄金</v>
      </c>
      <c r="E1816" s="16">
        <f>E1812+500</f>
        <v>10000</v>
      </c>
      <c r="J1816" s="16">
        <v>1</v>
      </c>
      <c r="L1816" s="16" t="b">
        <v>1</v>
      </c>
    </row>
    <row r="1817" spans="1:12" x14ac:dyDescent="0.25">
      <c r="A1817" s="16">
        <v>1921417</v>
      </c>
      <c r="B1817" s="16" t="s">
        <v>791</v>
      </c>
      <c r="C1817" s="16">
        <f t="shared" si="33"/>
        <v>102</v>
      </c>
      <c r="D1817" s="16" t="str">
        <f>VLOOKUP(C1817,[1]道具配置表!$A:$D,4,FALSE)</f>
        <v>1食物</v>
      </c>
      <c r="E1817" s="16">
        <f>E1813+300</f>
        <v>6700</v>
      </c>
      <c r="J1817" s="16">
        <v>1</v>
      </c>
      <c r="L1817" s="16" t="b">
        <v>1</v>
      </c>
    </row>
    <row r="1818" spans="1:12" x14ac:dyDescent="0.25">
      <c r="C1818" s="16">
        <f t="shared" si="33"/>
        <v>101</v>
      </c>
      <c r="D1818" s="16" t="str">
        <f>VLOOKUP(C1818,[1]道具配置表!$A:$D,4,FALSE)</f>
        <v>1木材</v>
      </c>
      <c r="E1818" s="16">
        <f>E1814+500</f>
        <v>10500</v>
      </c>
      <c r="J1818" s="16">
        <v>1</v>
      </c>
      <c r="L1818" s="16" t="b">
        <v>1</v>
      </c>
    </row>
    <row r="1819" spans="1:12" x14ac:dyDescent="0.25">
      <c r="C1819" s="16">
        <f t="shared" si="33"/>
        <v>103</v>
      </c>
      <c r="D1819" s="16" t="str">
        <f>VLOOKUP(C1819,[1]道具配置表!$A:$D,4,FALSE)</f>
        <v>1石头</v>
      </c>
      <c r="E1819" s="16">
        <f>E1815+500</f>
        <v>10500</v>
      </c>
      <c r="J1819" s="16">
        <v>1</v>
      </c>
      <c r="L1819" s="16" t="b">
        <v>1</v>
      </c>
    </row>
    <row r="1820" spans="1:12" x14ac:dyDescent="0.25">
      <c r="C1820" s="16">
        <f t="shared" si="33"/>
        <v>104</v>
      </c>
      <c r="D1820" s="16" t="str">
        <f>VLOOKUP(C1820,[1]道具配置表!$A:$D,4,FALSE)</f>
        <v>1黄金</v>
      </c>
      <c r="E1820" s="16">
        <f>E1816+500</f>
        <v>10500</v>
      </c>
      <c r="J1820" s="16">
        <v>1</v>
      </c>
      <c r="L1820" s="16" t="b">
        <v>1</v>
      </c>
    </row>
    <row r="1821" spans="1:12" x14ac:dyDescent="0.25">
      <c r="A1821" s="16">
        <v>1921418</v>
      </c>
      <c r="B1821" s="16" t="s">
        <v>792</v>
      </c>
      <c r="C1821" s="16">
        <f t="shared" si="33"/>
        <v>102</v>
      </c>
      <c r="D1821" s="16" t="str">
        <f>VLOOKUP(C1821,[1]道具配置表!$A:$D,4,FALSE)</f>
        <v>1食物</v>
      </c>
      <c r="E1821" s="16">
        <f>E1817+300</f>
        <v>7000</v>
      </c>
      <c r="J1821" s="16">
        <v>1</v>
      </c>
      <c r="L1821" s="16" t="b">
        <v>1</v>
      </c>
    </row>
    <row r="1822" spans="1:12" x14ac:dyDescent="0.25">
      <c r="C1822" s="16">
        <f t="shared" si="33"/>
        <v>101</v>
      </c>
      <c r="D1822" s="16" t="str">
        <f>VLOOKUP(C1822,[1]道具配置表!$A:$D,4,FALSE)</f>
        <v>1木材</v>
      </c>
      <c r="E1822" s="16">
        <f>E1818+500</f>
        <v>11000</v>
      </c>
      <c r="J1822" s="16">
        <v>1</v>
      </c>
      <c r="L1822" s="16" t="b">
        <v>1</v>
      </c>
    </row>
    <row r="1823" spans="1:12" x14ac:dyDescent="0.25">
      <c r="C1823" s="16">
        <f t="shared" si="33"/>
        <v>103</v>
      </c>
      <c r="D1823" s="16" t="str">
        <f>VLOOKUP(C1823,[1]道具配置表!$A:$D,4,FALSE)</f>
        <v>1石头</v>
      </c>
      <c r="E1823" s="16">
        <f>E1819+500</f>
        <v>11000</v>
      </c>
      <c r="J1823" s="16">
        <v>1</v>
      </c>
      <c r="L1823" s="16" t="b">
        <v>1</v>
      </c>
    </row>
    <row r="1824" spans="1:12" x14ac:dyDescent="0.25">
      <c r="C1824" s="16">
        <f t="shared" si="33"/>
        <v>104</v>
      </c>
      <c r="D1824" s="16" t="str">
        <f>VLOOKUP(C1824,[1]道具配置表!$A:$D,4,FALSE)</f>
        <v>1黄金</v>
      </c>
      <c r="E1824" s="16">
        <f>E1820+500</f>
        <v>11000</v>
      </c>
      <c r="J1824" s="16">
        <v>1</v>
      </c>
      <c r="L1824" s="16" t="b">
        <v>1</v>
      </c>
    </row>
    <row r="1825" spans="1:12" x14ac:dyDescent="0.25">
      <c r="A1825" s="16">
        <v>1921419</v>
      </c>
      <c r="B1825" s="16" t="s">
        <v>793</v>
      </c>
      <c r="C1825" s="16">
        <f t="shared" si="33"/>
        <v>102</v>
      </c>
      <c r="D1825" s="16" t="str">
        <f>VLOOKUP(C1825,[1]道具配置表!$A:$D,4,FALSE)</f>
        <v>1食物</v>
      </c>
      <c r="E1825" s="16">
        <f>E1821+300</f>
        <v>7300</v>
      </c>
      <c r="J1825" s="16">
        <v>1</v>
      </c>
      <c r="L1825" s="16" t="b">
        <v>1</v>
      </c>
    </row>
    <row r="1826" spans="1:12" x14ac:dyDescent="0.25">
      <c r="C1826" s="16">
        <f t="shared" si="33"/>
        <v>101</v>
      </c>
      <c r="D1826" s="16" t="str">
        <f>VLOOKUP(C1826,[1]道具配置表!$A:$D,4,FALSE)</f>
        <v>1木材</v>
      </c>
      <c r="E1826" s="16">
        <f>E1822+500</f>
        <v>11500</v>
      </c>
      <c r="J1826" s="16">
        <v>1</v>
      </c>
      <c r="L1826" s="16" t="b">
        <v>1</v>
      </c>
    </row>
    <row r="1827" spans="1:12" x14ac:dyDescent="0.25">
      <c r="C1827" s="16">
        <f t="shared" si="33"/>
        <v>103</v>
      </c>
      <c r="D1827" s="16" t="str">
        <f>VLOOKUP(C1827,[1]道具配置表!$A:$D,4,FALSE)</f>
        <v>1石头</v>
      </c>
      <c r="E1827" s="16">
        <f>E1823+500</f>
        <v>11500</v>
      </c>
      <c r="J1827" s="16">
        <v>1</v>
      </c>
      <c r="L1827" s="16" t="b">
        <v>1</v>
      </c>
    </row>
    <row r="1828" spans="1:12" x14ac:dyDescent="0.25">
      <c r="C1828" s="16">
        <f t="shared" si="33"/>
        <v>104</v>
      </c>
      <c r="D1828" s="16" t="str">
        <f>VLOOKUP(C1828,[1]道具配置表!$A:$D,4,FALSE)</f>
        <v>1黄金</v>
      </c>
      <c r="E1828" s="16">
        <f>E1824+500</f>
        <v>11500</v>
      </c>
      <c r="J1828" s="16">
        <v>1</v>
      </c>
      <c r="L1828" s="16" t="b">
        <v>1</v>
      </c>
    </row>
    <row r="1829" spans="1:12" x14ac:dyDescent="0.25">
      <c r="A1829" s="16">
        <v>1921420</v>
      </c>
      <c r="B1829" s="16" t="s">
        <v>794</v>
      </c>
      <c r="C1829" s="16">
        <f t="shared" si="33"/>
        <v>102</v>
      </c>
      <c r="D1829" s="16" t="str">
        <f>VLOOKUP(C1829,[1]道具配置表!$A:$D,4,FALSE)</f>
        <v>1食物</v>
      </c>
      <c r="E1829" s="16">
        <f>E1825+300</f>
        <v>7600</v>
      </c>
      <c r="J1829" s="16">
        <v>1</v>
      </c>
      <c r="L1829" s="16" t="b">
        <v>1</v>
      </c>
    </row>
    <row r="1830" spans="1:12" x14ac:dyDescent="0.25">
      <c r="C1830" s="16">
        <f t="shared" si="33"/>
        <v>101</v>
      </c>
      <c r="D1830" s="16" t="str">
        <f>VLOOKUP(C1830,[1]道具配置表!$A:$D,4,FALSE)</f>
        <v>1木材</v>
      </c>
      <c r="E1830" s="16">
        <f>E1826+500</f>
        <v>12000</v>
      </c>
      <c r="J1830" s="16">
        <v>1</v>
      </c>
      <c r="L1830" s="16" t="b">
        <v>1</v>
      </c>
    </row>
    <row r="1831" spans="1:12" x14ac:dyDescent="0.25">
      <c r="C1831" s="16">
        <f t="shared" si="33"/>
        <v>103</v>
      </c>
      <c r="D1831" s="16" t="str">
        <f>VLOOKUP(C1831,[1]道具配置表!$A:$D,4,FALSE)</f>
        <v>1石头</v>
      </c>
      <c r="E1831" s="16">
        <f>E1827+500</f>
        <v>12000</v>
      </c>
      <c r="J1831" s="16">
        <v>1</v>
      </c>
      <c r="L1831" s="16" t="b">
        <v>1</v>
      </c>
    </row>
    <row r="1832" spans="1:12" x14ac:dyDescent="0.25">
      <c r="C1832" s="16">
        <f t="shared" si="33"/>
        <v>104</v>
      </c>
      <c r="D1832" s="16" t="str">
        <f>VLOOKUP(C1832,[1]道具配置表!$A:$D,4,FALSE)</f>
        <v>1黄金</v>
      </c>
      <c r="E1832" s="16">
        <f>E1828+500</f>
        <v>12000</v>
      </c>
      <c r="J1832" s="16">
        <v>1</v>
      </c>
      <c r="L1832" s="16" t="b">
        <v>1</v>
      </c>
    </row>
    <row r="1833" spans="1:12" x14ac:dyDescent="0.25">
      <c r="A1833" s="16">
        <v>1921501</v>
      </c>
      <c r="B1833" s="16" t="s">
        <v>795</v>
      </c>
      <c r="C1833" s="16">
        <f t="shared" si="33"/>
        <v>102</v>
      </c>
      <c r="D1833" s="16" t="str">
        <f>VLOOKUP(C1833,[1]道具配置表!$A:$D,4,FALSE)</f>
        <v>1食物</v>
      </c>
      <c r="E1833" s="16">
        <v>2800</v>
      </c>
      <c r="J1833" s="16">
        <v>1</v>
      </c>
      <c r="L1833" s="16" t="b">
        <v>1</v>
      </c>
    </row>
    <row r="1834" spans="1:12" x14ac:dyDescent="0.25">
      <c r="C1834" s="16">
        <f t="shared" si="33"/>
        <v>101</v>
      </c>
      <c r="D1834" s="16" t="str">
        <f>VLOOKUP(C1834,[1]道具配置表!$A:$D,4,FALSE)</f>
        <v>1木材</v>
      </c>
      <c r="E1834" s="16">
        <v>4000</v>
      </c>
      <c r="J1834" s="16">
        <v>1</v>
      </c>
      <c r="L1834" s="16" t="b">
        <v>1</v>
      </c>
    </row>
    <row r="1835" spans="1:12" x14ac:dyDescent="0.25">
      <c r="C1835" s="16">
        <f t="shared" si="33"/>
        <v>103</v>
      </c>
      <c r="D1835" s="16" t="str">
        <f>VLOOKUP(C1835,[1]道具配置表!$A:$D,4,FALSE)</f>
        <v>1石头</v>
      </c>
      <c r="E1835" s="16">
        <v>4000</v>
      </c>
      <c r="J1835" s="16">
        <v>1</v>
      </c>
      <c r="L1835" s="16" t="b">
        <v>1</v>
      </c>
    </row>
    <row r="1836" spans="1:12" x14ac:dyDescent="0.25">
      <c r="C1836" s="16">
        <f t="shared" si="33"/>
        <v>104</v>
      </c>
      <c r="D1836" s="16" t="str">
        <f>VLOOKUP(C1836,[1]道具配置表!$A:$D,4,FALSE)</f>
        <v>1黄金</v>
      </c>
      <c r="E1836" s="16">
        <v>4000</v>
      </c>
      <c r="J1836" s="16">
        <v>1</v>
      </c>
      <c r="L1836" s="16" t="b">
        <v>1</v>
      </c>
    </row>
    <row r="1837" spans="1:12" x14ac:dyDescent="0.25">
      <c r="A1837" s="16">
        <v>1921502</v>
      </c>
      <c r="B1837" s="16" t="s">
        <v>796</v>
      </c>
      <c r="C1837" s="16">
        <f t="shared" si="33"/>
        <v>102</v>
      </c>
      <c r="D1837" s="16" t="str">
        <f>VLOOKUP(C1837,[1]道具配置表!$A:$D,4,FALSE)</f>
        <v>1食物</v>
      </c>
      <c r="E1837" s="16">
        <f>E1833+300</f>
        <v>3100</v>
      </c>
      <c r="J1837" s="16">
        <v>1</v>
      </c>
      <c r="L1837" s="16" t="b">
        <v>1</v>
      </c>
    </row>
    <row r="1838" spans="1:12" x14ac:dyDescent="0.25">
      <c r="C1838" s="16">
        <f t="shared" si="33"/>
        <v>101</v>
      </c>
      <c r="D1838" s="16" t="str">
        <f>VLOOKUP(C1838,[1]道具配置表!$A:$D,4,FALSE)</f>
        <v>1木材</v>
      </c>
      <c r="E1838" s="16">
        <f>E1834+500</f>
        <v>4500</v>
      </c>
      <c r="J1838" s="16">
        <v>1</v>
      </c>
      <c r="L1838" s="16" t="b">
        <v>1</v>
      </c>
    </row>
    <row r="1839" spans="1:12" x14ac:dyDescent="0.25">
      <c r="C1839" s="16">
        <f t="shared" si="33"/>
        <v>103</v>
      </c>
      <c r="D1839" s="16" t="str">
        <f>VLOOKUP(C1839,[1]道具配置表!$A:$D,4,FALSE)</f>
        <v>1石头</v>
      </c>
      <c r="E1839" s="16">
        <f>E1835+500</f>
        <v>4500</v>
      </c>
      <c r="J1839" s="16">
        <v>1</v>
      </c>
      <c r="L1839" s="16" t="b">
        <v>1</v>
      </c>
    </row>
    <row r="1840" spans="1:12" x14ac:dyDescent="0.25">
      <c r="C1840" s="16">
        <f t="shared" si="33"/>
        <v>104</v>
      </c>
      <c r="D1840" s="16" t="str">
        <f>VLOOKUP(C1840,[1]道具配置表!$A:$D,4,FALSE)</f>
        <v>1黄金</v>
      </c>
      <c r="E1840" s="16">
        <f>E1836+500</f>
        <v>4500</v>
      </c>
      <c r="J1840" s="16">
        <v>1</v>
      </c>
      <c r="L1840" s="16" t="b">
        <v>1</v>
      </c>
    </row>
    <row r="1841" spans="1:12" x14ac:dyDescent="0.25">
      <c r="A1841" s="16">
        <v>1921503</v>
      </c>
      <c r="B1841" s="16" t="s">
        <v>797</v>
      </c>
      <c r="C1841" s="16">
        <f t="shared" ref="C1841:C1904" si="34">C1837</f>
        <v>102</v>
      </c>
      <c r="D1841" s="16" t="str">
        <f>VLOOKUP(C1841,[1]道具配置表!$A:$D,4,FALSE)</f>
        <v>1食物</v>
      </c>
      <c r="E1841" s="16">
        <f>E1837+300</f>
        <v>3400</v>
      </c>
      <c r="J1841" s="16">
        <v>1</v>
      </c>
      <c r="L1841" s="16" t="b">
        <v>1</v>
      </c>
    </row>
    <row r="1842" spans="1:12" x14ac:dyDescent="0.25">
      <c r="C1842" s="16">
        <f t="shared" si="34"/>
        <v>101</v>
      </c>
      <c r="D1842" s="16" t="str">
        <f>VLOOKUP(C1842,[1]道具配置表!$A:$D,4,FALSE)</f>
        <v>1木材</v>
      </c>
      <c r="E1842" s="16">
        <f>E1838+500</f>
        <v>5000</v>
      </c>
      <c r="J1842" s="16">
        <v>1</v>
      </c>
      <c r="L1842" s="16" t="b">
        <v>1</v>
      </c>
    </row>
    <row r="1843" spans="1:12" x14ac:dyDescent="0.25">
      <c r="C1843" s="16">
        <f t="shared" si="34"/>
        <v>103</v>
      </c>
      <c r="D1843" s="16" t="str">
        <f>VLOOKUP(C1843,[1]道具配置表!$A:$D,4,FALSE)</f>
        <v>1石头</v>
      </c>
      <c r="E1843" s="16">
        <f>E1839+500</f>
        <v>5000</v>
      </c>
      <c r="J1843" s="16">
        <v>1</v>
      </c>
      <c r="L1843" s="16" t="b">
        <v>1</v>
      </c>
    </row>
    <row r="1844" spans="1:12" x14ac:dyDescent="0.25">
      <c r="C1844" s="16">
        <f t="shared" si="34"/>
        <v>104</v>
      </c>
      <c r="D1844" s="16" t="str">
        <f>VLOOKUP(C1844,[1]道具配置表!$A:$D,4,FALSE)</f>
        <v>1黄金</v>
      </c>
      <c r="E1844" s="16">
        <f>E1840+500</f>
        <v>5000</v>
      </c>
      <c r="J1844" s="16">
        <v>1</v>
      </c>
      <c r="L1844" s="16" t="b">
        <v>1</v>
      </c>
    </row>
    <row r="1845" spans="1:12" x14ac:dyDescent="0.25">
      <c r="A1845" s="16">
        <v>1921504</v>
      </c>
      <c r="B1845" s="16" t="s">
        <v>798</v>
      </c>
      <c r="C1845" s="16">
        <f t="shared" si="34"/>
        <v>102</v>
      </c>
      <c r="D1845" s="16" t="str">
        <f>VLOOKUP(C1845,[1]道具配置表!$A:$D,4,FALSE)</f>
        <v>1食物</v>
      </c>
      <c r="E1845" s="16">
        <f>E1841+300</f>
        <v>3700</v>
      </c>
      <c r="J1845" s="16">
        <v>1</v>
      </c>
      <c r="L1845" s="16" t="b">
        <v>1</v>
      </c>
    </row>
    <row r="1846" spans="1:12" x14ac:dyDescent="0.25">
      <c r="C1846" s="16">
        <f t="shared" si="34"/>
        <v>101</v>
      </c>
      <c r="D1846" s="16" t="str">
        <f>VLOOKUP(C1846,[1]道具配置表!$A:$D,4,FALSE)</f>
        <v>1木材</v>
      </c>
      <c r="E1846" s="16">
        <f>E1842+500</f>
        <v>5500</v>
      </c>
      <c r="J1846" s="16">
        <v>1</v>
      </c>
      <c r="L1846" s="16" t="b">
        <v>1</v>
      </c>
    </row>
    <row r="1847" spans="1:12" x14ac:dyDescent="0.25">
      <c r="C1847" s="16">
        <f t="shared" si="34"/>
        <v>103</v>
      </c>
      <c r="D1847" s="16" t="str">
        <f>VLOOKUP(C1847,[1]道具配置表!$A:$D,4,FALSE)</f>
        <v>1石头</v>
      </c>
      <c r="E1847" s="16">
        <f>E1843+500</f>
        <v>5500</v>
      </c>
      <c r="J1847" s="16">
        <v>1</v>
      </c>
      <c r="L1847" s="16" t="b">
        <v>1</v>
      </c>
    </row>
    <row r="1848" spans="1:12" x14ac:dyDescent="0.25">
      <c r="C1848" s="16">
        <f t="shared" si="34"/>
        <v>104</v>
      </c>
      <c r="D1848" s="16" t="str">
        <f>VLOOKUP(C1848,[1]道具配置表!$A:$D,4,FALSE)</f>
        <v>1黄金</v>
      </c>
      <c r="E1848" s="16">
        <f>E1844+500</f>
        <v>5500</v>
      </c>
      <c r="J1848" s="16">
        <v>1</v>
      </c>
      <c r="L1848" s="16" t="b">
        <v>1</v>
      </c>
    </row>
    <row r="1849" spans="1:12" x14ac:dyDescent="0.25">
      <c r="A1849" s="16">
        <v>1921505</v>
      </c>
      <c r="B1849" s="16" t="s">
        <v>799</v>
      </c>
      <c r="C1849" s="16">
        <f t="shared" si="34"/>
        <v>102</v>
      </c>
      <c r="D1849" s="16" t="str">
        <f>VLOOKUP(C1849,[1]道具配置表!$A:$D,4,FALSE)</f>
        <v>1食物</v>
      </c>
      <c r="E1849" s="16">
        <f>E1845+300</f>
        <v>4000</v>
      </c>
      <c r="J1849" s="16">
        <v>1</v>
      </c>
      <c r="L1849" s="16" t="b">
        <v>1</v>
      </c>
    </row>
    <row r="1850" spans="1:12" x14ac:dyDescent="0.25">
      <c r="C1850" s="16">
        <f t="shared" si="34"/>
        <v>101</v>
      </c>
      <c r="D1850" s="16" t="str">
        <f>VLOOKUP(C1850,[1]道具配置表!$A:$D,4,FALSE)</f>
        <v>1木材</v>
      </c>
      <c r="E1850" s="16">
        <f>E1846+500</f>
        <v>6000</v>
      </c>
      <c r="J1850" s="16">
        <v>1</v>
      </c>
      <c r="L1850" s="16" t="b">
        <v>1</v>
      </c>
    </row>
    <row r="1851" spans="1:12" x14ac:dyDescent="0.25">
      <c r="C1851" s="16">
        <f t="shared" si="34"/>
        <v>103</v>
      </c>
      <c r="D1851" s="16" t="str">
        <f>VLOOKUP(C1851,[1]道具配置表!$A:$D,4,FALSE)</f>
        <v>1石头</v>
      </c>
      <c r="E1851" s="16">
        <f>E1847+500</f>
        <v>6000</v>
      </c>
      <c r="J1851" s="16">
        <v>1</v>
      </c>
      <c r="L1851" s="16" t="b">
        <v>1</v>
      </c>
    </row>
    <row r="1852" spans="1:12" x14ac:dyDescent="0.25">
      <c r="C1852" s="16">
        <f t="shared" si="34"/>
        <v>104</v>
      </c>
      <c r="D1852" s="16" t="str">
        <f>VLOOKUP(C1852,[1]道具配置表!$A:$D,4,FALSE)</f>
        <v>1黄金</v>
      </c>
      <c r="E1852" s="16">
        <f>E1848+500</f>
        <v>6000</v>
      </c>
      <c r="J1852" s="16">
        <v>1</v>
      </c>
      <c r="L1852" s="16" t="b">
        <v>1</v>
      </c>
    </row>
    <row r="1853" spans="1:12" x14ac:dyDescent="0.25">
      <c r="A1853" s="16">
        <v>1921506</v>
      </c>
      <c r="B1853" s="16" t="s">
        <v>800</v>
      </c>
      <c r="C1853" s="16">
        <f t="shared" si="34"/>
        <v>102</v>
      </c>
      <c r="D1853" s="16" t="str">
        <f>VLOOKUP(C1853,[1]道具配置表!$A:$D,4,FALSE)</f>
        <v>1食物</v>
      </c>
      <c r="E1853" s="16">
        <f>E1849+300</f>
        <v>4300</v>
      </c>
      <c r="J1853" s="16">
        <v>1</v>
      </c>
      <c r="L1853" s="16" t="b">
        <v>1</v>
      </c>
    </row>
    <row r="1854" spans="1:12" x14ac:dyDescent="0.25">
      <c r="C1854" s="16">
        <f t="shared" si="34"/>
        <v>101</v>
      </c>
      <c r="D1854" s="16" t="str">
        <f>VLOOKUP(C1854,[1]道具配置表!$A:$D,4,FALSE)</f>
        <v>1木材</v>
      </c>
      <c r="E1854" s="16">
        <f>E1850+500</f>
        <v>6500</v>
      </c>
      <c r="J1854" s="16">
        <v>1</v>
      </c>
      <c r="L1854" s="16" t="b">
        <v>1</v>
      </c>
    </row>
    <row r="1855" spans="1:12" x14ac:dyDescent="0.25">
      <c r="C1855" s="16">
        <f t="shared" si="34"/>
        <v>103</v>
      </c>
      <c r="D1855" s="16" t="str">
        <f>VLOOKUP(C1855,[1]道具配置表!$A:$D,4,FALSE)</f>
        <v>1石头</v>
      </c>
      <c r="E1855" s="16">
        <f>E1851+500</f>
        <v>6500</v>
      </c>
      <c r="J1855" s="16">
        <v>1</v>
      </c>
      <c r="L1855" s="16" t="b">
        <v>1</v>
      </c>
    </row>
    <row r="1856" spans="1:12" x14ac:dyDescent="0.25">
      <c r="C1856" s="16">
        <f t="shared" si="34"/>
        <v>104</v>
      </c>
      <c r="D1856" s="16" t="str">
        <f>VLOOKUP(C1856,[1]道具配置表!$A:$D,4,FALSE)</f>
        <v>1黄金</v>
      </c>
      <c r="E1856" s="16">
        <f>E1852+500</f>
        <v>6500</v>
      </c>
      <c r="J1856" s="16">
        <v>1</v>
      </c>
      <c r="L1856" s="16" t="b">
        <v>1</v>
      </c>
    </row>
    <row r="1857" spans="1:12" x14ac:dyDescent="0.25">
      <c r="A1857" s="16">
        <v>1921507</v>
      </c>
      <c r="B1857" s="16" t="s">
        <v>801</v>
      </c>
      <c r="C1857" s="16">
        <f t="shared" si="34"/>
        <v>102</v>
      </c>
      <c r="D1857" s="16" t="str">
        <f>VLOOKUP(C1857,[1]道具配置表!$A:$D,4,FALSE)</f>
        <v>1食物</v>
      </c>
      <c r="E1857" s="16">
        <f>E1853+300</f>
        <v>4600</v>
      </c>
      <c r="J1857" s="16">
        <v>1</v>
      </c>
      <c r="L1857" s="16" t="b">
        <v>1</v>
      </c>
    </row>
    <row r="1858" spans="1:12" x14ac:dyDescent="0.25">
      <c r="C1858" s="16">
        <f t="shared" si="34"/>
        <v>101</v>
      </c>
      <c r="D1858" s="16" t="str">
        <f>VLOOKUP(C1858,[1]道具配置表!$A:$D,4,FALSE)</f>
        <v>1木材</v>
      </c>
      <c r="E1858" s="16">
        <f>E1854+500</f>
        <v>7000</v>
      </c>
      <c r="J1858" s="16">
        <v>1</v>
      </c>
      <c r="L1858" s="16" t="b">
        <v>1</v>
      </c>
    </row>
    <row r="1859" spans="1:12" x14ac:dyDescent="0.25">
      <c r="C1859" s="16">
        <f t="shared" si="34"/>
        <v>103</v>
      </c>
      <c r="D1859" s="16" t="str">
        <f>VLOOKUP(C1859,[1]道具配置表!$A:$D,4,FALSE)</f>
        <v>1石头</v>
      </c>
      <c r="E1859" s="16">
        <f>E1855+500</f>
        <v>7000</v>
      </c>
      <c r="J1859" s="16">
        <v>1</v>
      </c>
      <c r="L1859" s="16" t="b">
        <v>1</v>
      </c>
    </row>
    <row r="1860" spans="1:12" x14ac:dyDescent="0.25">
      <c r="C1860" s="16">
        <f t="shared" si="34"/>
        <v>104</v>
      </c>
      <c r="D1860" s="16" t="str">
        <f>VLOOKUP(C1860,[1]道具配置表!$A:$D,4,FALSE)</f>
        <v>1黄金</v>
      </c>
      <c r="E1860" s="16">
        <f>E1856+500</f>
        <v>7000</v>
      </c>
      <c r="J1860" s="16">
        <v>1</v>
      </c>
      <c r="L1860" s="16" t="b">
        <v>1</v>
      </c>
    </row>
    <row r="1861" spans="1:12" x14ac:dyDescent="0.25">
      <c r="A1861" s="16">
        <v>1921508</v>
      </c>
      <c r="B1861" s="16" t="s">
        <v>802</v>
      </c>
      <c r="C1861" s="16">
        <f t="shared" si="34"/>
        <v>102</v>
      </c>
      <c r="D1861" s="16" t="str">
        <f>VLOOKUP(C1861,[1]道具配置表!$A:$D,4,FALSE)</f>
        <v>1食物</v>
      </c>
      <c r="E1861" s="16">
        <f>E1857+300</f>
        <v>4900</v>
      </c>
      <c r="J1861" s="16">
        <v>1</v>
      </c>
      <c r="L1861" s="16" t="b">
        <v>1</v>
      </c>
    </row>
    <row r="1862" spans="1:12" x14ac:dyDescent="0.25">
      <c r="C1862" s="16">
        <f t="shared" si="34"/>
        <v>101</v>
      </c>
      <c r="D1862" s="16" t="str">
        <f>VLOOKUP(C1862,[1]道具配置表!$A:$D,4,FALSE)</f>
        <v>1木材</v>
      </c>
      <c r="E1862" s="16">
        <f>E1858+500</f>
        <v>7500</v>
      </c>
      <c r="J1862" s="16">
        <v>1</v>
      </c>
      <c r="L1862" s="16" t="b">
        <v>1</v>
      </c>
    </row>
    <row r="1863" spans="1:12" x14ac:dyDescent="0.25">
      <c r="C1863" s="16">
        <f t="shared" si="34"/>
        <v>103</v>
      </c>
      <c r="D1863" s="16" t="str">
        <f>VLOOKUP(C1863,[1]道具配置表!$A:$D,4,FALSE)</f>
        <v>1石头</v>
      </c>
      <c r="E1863" s="16">
        <f>E1859+500</f>
        <v>7500</v>
      </c>
      <c r="J1863" s="16">
        <v>1</v>
      </c>
      <c r="L1863" s="16" t="b">
        <v>1</v>
      </c>
    </row>
    <row r="1864" spans="1:12" x14ac:dyDescent="0.25">
      <c r="C1864" s="16">
        <f t="shared" si="34"/>
        <v>104</v>
      </c>
      <c r="D1864" s="16" t="str">
        <f>VLOOKUP(C1864,[1]道具配置表!$A:$D,4,FALSE)</f>
        <v>1黄金</v>
      </c>
      <c r="E1864" s="16">
        <f>E1860+500</f>
        <v>7500</v>
      </c>
      <c r="J1864" s="16">
        <v>1</v>
      </c>
      <c r="L1864" s="16" t="b">
        <v>1</v>
      </c>
    </row>
    <row r="1865" spans="1:12" x14ac:dyDescent="0.25">
      <c r="A1865" s="16">
        <v>1921509</v>
      </c>
      <c r="B1865" s="16" t="s">
        <v>803</v>
      </c>
      <c r="C1865" s="16">
        <f t="shared" si="34"/>
        <v>102</v>
      </c>
      <c r="D1865" s="16" t="str">
        <f>VLOOKUP(C1865,[1]道具配置表!$A:$D,4,FALSE)</f>
        <v>1食物</v>
      </c>
      <c r="E1865" s="16">
        <f>E1861+300</f>
        <v>5200</v>
      </c>
      <c r="J1865" s="16">
        <v>1</v>
      </c>
      <c r="L1865" s="16" t="b">
        <v>1</v>
      </c>
    </row>
    <row r="1866" spans="1:12" x14ac:dyDescent="0.25">
      <c r="C1866" s="16">
        <f t="shared" si="34"/>
        <v>101</v>
      </c>
      <c r="D1866" s="16" t="str">
        <f>VLOOKUP(C1866,[1]道具配置表!$A:$D,4,FALSE)</f>
        <v>1木材</v>
      </c>
      <c r="E1866" s="16">
        <f>E1862+500</f>
        <v>8000</v>
      </c>
      <c r="J1866" s="16">
        <v>1</v>
      </c>
      <c r="L1866" s="16" t="b">
        <v>1</v>
      </c>
    </row>
    <row r="1867" spans="1:12" x14ac:dyDescent="0.25">
      <c r="C1867" s="16">
        <f t="shared" si="34"/>
        <v>103</v>
      </c>
      <c r="D1867" s="16" t="str">
        <f>VLOOKUP(C1867,[1]道具配置表!$A:$D,4,FALSE)</f>
        <v>1石头</v>
      </c>
      <c r="E1867" s="16">
        <f>E1863+500</f>
        <v>8000</v>
      </c>
      <c r="J1867" s="16">
        <v>1</v>
      </c>
      <c r="L1867" s="16" t="b">
        <v>1</v>
      </c>
    </row>
    <row r="1868" spans="1:12" x14ac:dyDescent="0.25">
      <c r="C1868" s="16">
        <f t="shared" si="34"/>
        <v>104</v>
      </c>
      <c r="D1868" s="16" t="str">
        <f>VLOOKUP(C1868,[1]道具配置表!$A:$D,4,FALSE)</f>
        <v>1黄金</v>
      </c>
      <c r="E1868" s="16">
        <f>E1864+500</f>
        <v>8000</v>
      </c>
      <c r="J1868" s="16">
        <v>1</v>
      </c>
      <c r="L1868" s="16" t="b">
        <v>1</v>
      </c>
    </row>
    <row r="1869" spans="1:12" x14ac:dyDescent="0.25">
      <c r="A1869" s="16">
        <v>1921510</v>
      </c>
      <c r="B1869" s="16" t="s">
        <v>804</v>
      </c>
      <c r="C1869" s="16">
        <f t="shared" si="34"/>
        <v>102</v>
      </c>
      <c r="D1869" s="16" t="str">
        <f>VLOOKUP(C1869,[1]道具配置表!$A:$D,4,FALSE)</f>
        <v>1食物</v>
      </c>
      <c r="E1869" s="16">
        <f>E1865+300</f>
        <v>5500</v>
      </c>
      <c r="J1869" s="16">
        <v>1</v>
      </c>
      <c r="L1869" s="16" t="b">
        <v>1</v>
      </c>
    </row>
    <row r="1870" spans="1:12" x14ac:dyDescent="0.25">
      <c r="C1870" s="16">
        <f t="shared" si="34"/>
        <v>101</v>
      </c>
      <c r="D1870" s="16" t="str">
        <f>VLOOKUP(C1870,[1]道具配置表!$A:$D,4,FALSE)</f>
        <v>1木材</v>
      </c>
      <c r="E1870" s="16">
        <f>E1866+500</f>
        <v>8500</v>
      </c>
      <c r="J1870" s="16">
        <v>1</v>
      </c>
      <c r="L1870" s="16" t="b">
        <v>1</v>
      </c>
    </row>
    <row r="1871" spans="1:12" x14ac:dyDescent="0.25">
      <c r="C1871" s="16">
        <f t="shared" si="34"/>
        <v>103</v>
      </c>
      <c r="D1871" s="16" t="str">
        <f>VLOOKUP(C1871,[1]道具配置表!$A:$D,4,FALSE)</f>
        <v>1石头</v>
      </c>
      <c r="E1871" s="16">
        <f>E1867+500</f>
        <v>8500</v>
      </c>
      <c r="J1871" s="16">
        <v>1</v>
      </c>
      <c r="L1871" s="16" t="b">
        <v>1</v>
      </c>
    </row>
    <row r="1872" spans="1:12" x14ac:dyDescent="0.25">
      <c r="C1872" s="16">
        <f t="shared" si="34"/>
        <v>104</v>
      </c>
      <c r="D1872" s="16" t="str">
        <f>VLOOKUP(C1872,[1]道具配置表!$A:$D,4,FALSE)</f>
        <v>1黄金</v>
      </c>
      <c r="E1872" s="16">
        <f>E1868+500</f>
        <v>8500</v>
      </c>
      <c r="J1872" s="16">
        <v>1</v>
      </c>
      <c r="L1872" s="16" t="b">
        <v>1</v>
      </c>
    </row>
    <row r="1873" spans="1:12" x14ac:dyDescent="0.25">
      <c r="A1873" s="16">
        <v>1921511</v>
      </c>
      <c r="B1873" s="16" t="s">
        <v>805</v>
      </c>
      <c r="C1873" s="16">
        <f t="shared" si="34"/>
        <v>102</v>
      </c>
      <c r="D1873" s="16" t="str">
        <f>VLOOKUP(C1873,[1]道具配置表!$A:$D,4,FALSE)</f>
        <v>1食物</v>
      </c>
      <c r="E1873" s="16">
        <f>E1869+300</f>
        <v>5800</v>
      </c>
      <c r="J1873" s="16">
        <v>1</v>
      </c>
      <c r="L1873" s="16" t="b">
        <v>1</v>
      </c>
    </row>
    <row r="1874" spans="1:12" x14ac:dyDescent="0.25">
      <c r="C1874" s="16">
        <f t="shared" si="34"/>
        <v>101</v>
      </c>
      <c r="D1874" s="16" t="str">
        <f>VLOOKUP(C1874,[1]道具配置表!$A:$D,4,FALSE)</f>
        <v>1木材</v>
      </c>
      <c r="E1874" s="16">
        <f>E1870+500</f>
        <v>9000</v>
      </c>
      <c r="J1874" s="16">
        <v>1</v>
      </c>
      <c r="L1874" s="16" t="b">
        <v>1</v>
      </c>
    </row>
    <row r="1875" spans="1:12" x14ac:dyDescent="0.25">
      <c r="C1875" s="16">
        <f t="shared" si="34"/>
        <v>103</v>
      </c>
      <c r="D1875" s="16" t="str">
        <f>VLOOKUP(C1875,[1]道具配置表!$A:$D,4,FALSE)</f>
        <v>1石头</v>
      </c>
      <c r="E1875" s="16">
        <f>E1871+500</f>
        <v>9000</v>
      </c>
      <c r="J1875" s="16">
        <v>1</v>
      </c>
      <c r="L1875" s="16" t="b">
        <v>1</v>
      </c>
    </row>
    <row r="1876" spans="1:12" x14ac:dyDescent="0.25">
      <c r="C1876" s="16">
        <f t="shared" si="34"/>
        <v>104</v>
      </c>
      <c r="D1876" s="16" t="str">
        <f>VLOOKUP(C1876,[1]道具配置表!$A:$D,4,FALSE)</f>
        <v>1黄金</v>
      </c>
      <c r="E1876" s="16">
        <f>E1872+500</f>
        <v>9000</v>
      </c>
      <c r="J1876" s="16">
        <v>1</v>
      </c>
      <c r="L1876" s="16" t="b">
        <v>1</v>
      </c>
    </row>
    <row r="1877" spans="1:12" x14ac:dyDescent="0.25">
      <c r="A1877" s="16">
        <v>1921512</v>
      </c>
      <c r="B1877" s="16" t="s">
        <v>806</v>
      </c>
      <c r="C1877" s="16">
        <f t="shared" si="34"/>
        <v>102</v>
      </c>
      <c r="D1877" s="16" t="str">
        <f>VLOOKUP(C1877,[1]道具配置表!$A:$D,4,FALSE)</f>
        <v>1食物</v>
      </c>
      <c r="E1877" s="16">
        <f>E1873+300</f>
        <v>6100</v>
      </c>
      <c r="J1877" s="16">
        <v>1</v>
      </c>
      <c r="L1877" s="16" t="b">
        <v>1</v>
      </c>
    </row>
    <row r="1878" spans="1:12" x14ac:dyDescent="0.25">
      <c r="C1878" s="16">
        <f t="shared" si="34"/>
        <v>101</v>
      </c>
      <c r="D1878" s="16" t="str">
        <f>VLOOKUP(C1878,[1]道具配置表!$A:$D,4,FALSE)</f>
        <v>1木材</v>
      </c>
      <c r="E1878" s="16">
        <f>E1874+500</f>
        <v>9500</v>
      </c>
      <c r="J1878" s="16">
        <v>1</v>
      </c>
      <c r="L1878" s="16" t="b">
        <v>1</v>
      </c>
    </row>
    <row r="1879" spans="1:12" x14ac:dyDescent="0.25">
      <c r="C1879" s="16">
        <f t="shared" si="34"/>
        <v>103</v>
      </c>
      <c r="D1879" s="16" t="str">
        <f>VLOOKUP(C1879,[1]道具配置表!$A:$D,4,FALSE)</f>
        <v>1石头</v>
      </c>
      <c r="E1879" s="16">
        <f>E1875+500</f>
        <v>9500</v>
      </c>
      <c r="J1879" s="16">
        <v>1</v>
      </c>
      <c r="L1879" s="16" t="b">
        <v>1</v>
      </c>
    </row>
    <row r="1880" spans="1:12" x14ac:dyDescent="0.25">
      <c r="C1880" s="16">
        <f t="shared" si="34"/>
        <v>104</v>
      </c>
      <c r="D1880" s="16" t="str">
        <f>VLOOKUP(C1880,[1]道具配置表!$A:$D,4,FALSE)</f>
        <v>1黄金</v>
      </c>
      <c r="E1880" s="16">
        <f>E1876+500</f>
        <v>9500</v>
      </c>
      <c r="J1880" s="16">
        <v>1</v>
      </c>
      <c r="L1880" s="16" t="b">
        <v>1</v>
      </c>
    </row>
    <row r="1881" spans="1:12" x14ac:dyDescent="0.25">
      <c r="A1881" s="16">
        <v>1921513</v>
      </c>
      <c r="B1881" s="16" t="s">
        <v>807</v>
      </c>
      <c r="C1881" s="16">
        <f t="shared" si="34"/>
        <v>102</v>
      </c>
      <c r="D1881" s="16" t="str">
        <f>VLOOKUP(C1881,[1]道具配置表!$A:$D,4,FALSE)</f>
        <v>1食物</v>
      </c>
      <c r="E1881" s="16">
        <f>E1877+300</f>
        <v>6400</v>
      </c>
      <c r="J1881" s="16">
        <v>1</v>
      </c>
      <c r="L1881" s="16" t="b">
        <v>1</v>
      </c>
    </row>
    <row r="1882" spans="1:12" x14ac:dyDescent="0.25">
      <c r="C1882" s="16">
        <f t="shared" si="34"/>
        <v>101</v>
      </c>
      <c r="D1882" s="16" t="str">
        <f>VLOOKUP(C1882,[1]道具配置表!$A:$D,4,FALSE)</f>
        <v>1木材</v>
      </c>
      <c r="E1882" s="16">
        <f>E1878+500</f>
        <v>10000</v>
      </c>
      <c r="J1882" s="16">
        <v>1</v>
      </c>
      <c r="L1882" s="16" t="b">
        <v>1</v>
      </c>
    </row>
    <row r="1883" spans="1:12" x14ac:dyDescent="0.25">
      <c r="C1883" s="16">
        <f t="shared" si="34"/>
        <v>103</v>
      </c>
      <c r="D1883" s="16" t="str">
        <f>VLOOKUP(C1883,[1]道具配置表!$A:$D,4,FALSE)</f>
        <v>1石头</v>
      </c>
      <c r="E1883" s="16">
        <f>E1879+500</f>
        <v>10000</v>
      </c>
      <c r="J1883" s="16">
        <v>1</v>
      </c>
      <c r="L1883" s="16" t="b">
        <v>1</v>
      </c>
    </row>
    <row r="1884" spans="1:12" x14ac:dyDescent="0.25">
      <c r="C1884" s="16">
        <f t="shared" si="34"/>
        <v>104</v>
      </c>
      <c r="D1884" s="16" t="str">
        <f>VLOOKUP(C1884,[1]道具配置表!$A:$D,4,FALSE)</f>
        <v>1黄金</v>
      </c>
      <c r="E1884" s="16">
        <f>E1880+500</f>
        <v>10000</v>
      </c>
      <c r="J1884" s="16">
        <v>1</v>
      </c>
      <c r="L1884" s="16" t="b">
        <v>1</v>
      </c>
    </row>
    <row r="1885" spans="1:12" x14ac:dyDescent="0.25">
      <c r="A1885" s="16">
        <v>1921514</v>
      </c>
      <c r="B1885" s="16" t="s">
        <v>808</v>
      </c>
      <c r="C1885" s="16">
        <f t="shared" si="34"/>
        <v>102</v>
      </c>
      <c r="D1885" s="16" t="str">
        <f>VLOOKUP(C1885,[1]道具配置表!$A:$D,4,FALSE)</f>
        <v>1食物</v>
      </c>
      <c r="E1885" s="16">
        <f>E1881+300</f>
        <v>6700</v>
      </c>
      <c r="J1885" s="16">
        <v>1</v>
      </c>
      <c r="L1885" s="16" t="b">
        <v>1</v>
      </c>
    </row>
    <row r="1886" spans="1:12" x14ac:dyDescent="0.25">
      <c r="C1886" s="16">
        <f t="shared" si="34"/>
        <v>101</v>
      </c>
      <c r="D1886" s="16" t="str">
        <f>VLOOKUP(C1886,[1]道具配置表!$A:$D,4,FALSE)</f>
        <v>1木材</v>
      </c>
      <c r="E1886" s="16">
        <f>E1882+500</f>
        <v>10500</v>
      </c>
      <c r="J1886" s="16">
        <v>1</v>
      </c>
      <c r="L1886" s="16" t="b">
        <v>1</v>
      </c>
    </row>
    <row r="1887" spans="1:12" x14ac:dyDescent="0.25">
      <c r="C1887" s="16">
        <f t="shared" si="34"/>
        <v>103</v>
      </c>
      <c r="D1887" s="16" t="str">
        <f>VLOOKUP(C1887,[1]道具配置表!$A:$D,4,FALSE)</f>
        <v>1石头</v>
      </c>
      <c r="E1887" s="16">
        <f>E1883+500</f>
        <v>10500</v>
      </c>
      <c r="J1887" s="16">
        <v>1</v>
      </c>
      <c r="L1887" s="16" t="b">
        <v>1</v>
      </c>
    </row>
    <row r="1888" spans="1:12" x14ac:dyDescent="0.25">
      <c r="C1888" s="16">
        <f t="shared" si="34"/>
        <v>104</v>
      </c>
      <c r="D1888" s="16" t="str">
        <f>VLOOKUP(C1888,[1]道具配置表!$A:$D,4,FALSE)</f>
        <v>1黄金</v>
      </c>
      <c r="E1888" s="16">
        <f>E1884+500</f>
        <v>10500</v>
      </c>
      <c r="J1888" s="16">
        <v>1</v>
      </c>
      <c r="L1888" s="16" t="b">
        <v>1</v>
      </c>
    </row>
    <row r="1889" spans="1:12" x14ac:dyDescent="0.25">
      <c r="A1889" s="16">
        <v>1921515</v>
      </c>
      <c r="B1889" s="16" t="s">
        <v>809</v>
      </c>
      <c r="C1889" s="16">
        <f t="shared" si="34"/>
        <v>102</v>
      </c>
      <c r="D1889" s="16" t="str">
        <f>VLOOKUP(C1889,[1]道具配置表!$A:$D,4,FALSE)</f>
        <v>1食物</v>
      </c>
      <c r="E1889" s="16">
        <f>E1885+300</f>
        <v>7000</v>
      </c>
      <c r="J1889" s="16">
        <v>1</v>
      </c>
      <c r="L1889" s="16" t="b">
        <v>1</v>
      </c>
    </row>
    <row r="1890" spans="1:12" x14ac:dyDescent="0.25">
      <c r="C1890" s="16">
        <f t="shared" si="34"/>
        <v>101</v>
      </c>
      <c r="D1890" s="16" t="str">
        <f>VLOOKUP(C1890,[1]道具配置表!$A:$D,4,FALSE)</f>
        <v>1木材</v>
      </c>
      <c r="E1890" s="16">
        <f>E1886+500</f>
        <v>11000</v>
      </c>
      <c r="J1890" s="16">
        <v>1</v>
      </c>
      <c r="L1890" s="16" t="b">
        <v>1</v>
      </c>
    </row>
    <row r="1891" spans="1:12" x14ac:dyDescent="0.25">
      <c r="C1891" s="16">
        <f t="shared" si="34"/>
        <v>103</v>
      </c>
      <c r="D1891" s="16" t="str">
        <f>VLOOKUP(C1891,[1]道具配置表!$A:$D,4,FALSE)</f>
        <v>1石头</v>
      </c>
      <c r="E1891" s="16">
        <f>E1887+500</f>
        <v>11000</v>
      </c>
      <c r="J1891" s="16">
        <v>1</v>
      </c>
      <c r="L1891" s="16" t="b">
        <v>1</v>
      </c>
    </row>
    <row r="1892" spans="1:12" x14ac:dyDescent="0.25">
      <c r="C1892" s="16">
        <f t="shared" si="34"/>
        <v>104</v>
      </c>
      <c r="D1892" s="16" t="str">
        <f>VLOOKUP(C1892,[1]道具配置表!$A:$D,4,FALSE)</f>
        <v>1黄金</v>
      </c>
      <c r="E1892" s="16">
        <f>E1888+500</f>
        <v>11000</v>
      </c>
      <c r="J1892" s="16">
        <v>1</v>
      </c>
      <c r="L1892" s="16" t="b">
        <v>1</v>
      </c>
    </row>
    <row r="1893" spans="1:12" x14ac:dyDescent="0.25">
      <c r="A1893" s="16">
        <v>1921516</v>
      </c>
      <c r="B1893" s="16" t="s">
        <v>810</v>
      </c>
      <c r="C1893" s="16">
        <f t="shared" si="34"/>
        <v>102</v>
      </c>
      <c r="D1893" s="16" t="str">
        <f>VLOOKUP(C1893,[1]道具配置表!$A:$D,4,FALSE)</f>
        <v>1食物</v>
      </c>
      <c r="E1893" s="16">
        <f>E1889+300</f>
        <v>7300</v>
      </c>
      <c r="J1893" s="16">
        <v>1</v>
      </c>
      <c r="L1893" s="16" t="b">
        <v>1</v>
      </c>
    </row>
    <row r="1894" spans="1:12" x14ac:dyDescent="0.25">
      <c r="C1894" s="16">
        <f t="shared" si="34"/>
        <v>101</v>
      </c>
      <c r="D1894" s="16" t="str">
        <f>VLOOKUP(C1894,[1]道具配置表!$A:$D,4,FALSE)</f>
        <v>1木材</v>
      </c>
      <c r="E1894" s="16">
        <f>E1890+500</f>
        <v>11500</v>
      </c>
      <c r="J1894" s="16">
        <v>1</v>
      </c>
      <c r="L1894" s="16" t="b">
        <v>1</v>
      </c>
    </row>
    <row r="1895" spans="1:12" x14ac:dyDescent="0.25">
      <c r="C1895" s="16">
        <f t="shared" si="34"/>
        <v>103</v>
      </c>
      <c r="D1895" s="16" t="str">
        <f>VLOOKUP(C1895,[1]道具配置表!$A:$D,4,FALSE)</f>
        <v>1石头</v>
      </c>
      <c r="E1895" s="16">
        <f>E1891+500</f>
        <v>11500</v>
      </c>
      <c r="J1895" s="16">
        <v>1</v>
      </c>
      <c r="L1895" s="16" t="b">
        <v>1</v>
      </c>
    </row>
    <row r="1896" spans="1:12" x14ac:dyDescent="0.25">
      <c r="C1896" s="16">
        <f t="shared" si="34"/>
        <v>104</v>
      </c>
      <c r="D1896" s="16" t="str">
        <f>VLOOKUP(C1896,[1]道具配置表!$A:$D,4,FALSE)</f>
        <v>1黄金</v>
      </c>
      <c r="E1896" s="16">
        <f>E1892+500</f>
        <v>11500</v>
      </c>
      <c r="J1896" s="16">
        <v>1</v>
      </c>
      <c r="L1896" s="16" t="b">
        <v>1</v>
      </c>
    </row>
    <row r="1897" spans="1:12" x14ac:dyDescent="0.25">
      <c r="A1897" s="16">
        <v>1921517</v>
      </c>
      <c r="B1897" s="16" t="s">
        <v>811</v>
      </c>
      <c r="C1897" s="16">
        <f t="shared" si="34"/>
        <v>102</v>
      </c>
      <c r="D1897" s="16" t="str">
        <f>VLOOKUP(C1897,[1]道具配置表!$A:$D,4,FALSE)</f>
        <v>1食物</v>
      </c>
      <c r="E1897" s="16">
        <f>E1893+300</f>
        <v>7600</v>
      </c>
      <c r="J1897" s="16">
        <v>1</v>
      </c>
      <c r="L1897" s="16" t="b">
        <v>1</v>
      </c>
    </row>
    <row r="1898" spans="1:12" x14ac:dyDescent="0.25">
      <c r="C1898" s="16">
        <f t="shared" si="34"/>
        <v>101</v>
      </c>
      <c r="D1898" s="16" t="str">
        <f>VLOOKUP(C1898,[1]道具配置表!$A:$D,4,FALSE)</f>
        <v>1木材</v>
      </c>
      <c r="E1898" s="16">
        <f>E1894+500</f>
        <v>12000</v>
      </c>
      <c r="J1898" s="16">
        <v>1</v>
      </c>
      <c r="L1898" s="16" t="b">
        <v>1</v>
      </c>
    </row>
    <row r="1899" spans="1:12" x14ac:dyDescent="0.25">
      <c r="C1899" s="16">
        <f t="shared" si="34"/>
        <v>103</v>
      </c>
      <c r="D1899" s="16" t="str">
        <f>VLOOKUP(C1899,[1]道具配置表!$A:$D,4,FALSE)</f>
        <v>1石头</v>
      </c>
      <c r="E1899" s="16">
        <f>E1895+500</f>
        <v>12000</v>
      </c>
      <c r="J1899" s="16">
        <v>1</v>
      </c>
      <c r="L1899" s="16" t="b">
        <v>1</v>
      </c>
    </row>
    <row r="1900" spans="1:12" x14ac:dyDescent="0.25">
      <c r="C1900" s="16">
        <f t="shared" si="34"/>
        <v>104</v>
      </c>
      <c r="D1900" s="16" t="str">
        <f>VLOOKUP(C1900,[1]道具配置表!$A:$D,4,FALSE)</f>
        <v>1黄金</v>
      </c>
      <c r="E1900" s="16">
        <f>E1896+500</f>
        <v>12000</v>
      </c>
      <c r="J1900" s="16">
        <v>1</v>
      </c>
      <c r="L1900" s="16" t="b">
        <v>1</v>
      </c>
    </row>
    <row r="1901" spans="1:12" x14ac:dyDescent="0.25">
      <c r="A1901" s="16">
        <v>1921518</v>
      </c>
      <c r="B1901" s="16" t="s">
        <v>812</v>
      </c>
      <c r="C1901" s="16">
        <f t="shared" si="34"/>
        <v>102</v>
      </c>
      <c r="D1901" s="16" t="str">
        <f>VLOOKUP(C1901,[1]道具配置表!$A:$D,4,FALSE)</f>
        <v>1食物</v>
      </c>
      <c r="E1901" s="16">
        <f>E1897+300</f>
        <v>7900</v>
      </c>
      <c r="J1901" s="16">
        <v>1</v>
      </c>
      <c r="L1901" s="16" t="b">
        <v>1</v>
      </c>
    </row>
    <row r="1902" spans="1:12" x14ac:dyDescent="0.25">
      <c r="C1902" s="16">
        <f t="shared" si="34"/>
        <v>101</v>
      </c>
      <c r="D1902" s="16" t="str">
        <f>VLOOKUP(C1902,[1]道具配置表!$A:$D,4,FALSE)</f>
        <v>1木材</v>
      </c>
      <c r="E1902" s="16">
        <f>E1898+500</f>
        <v>12500</v>
      </c>
      <c r="J1902" s="16">
        <v>1</v>
      </c>
      <c r="L1902" s="16" t="b">
        <v>1</v>
      </c>
    </row>
    <row r="1903" spans="1:12" x14ac:dyDescent="0.25">
      <c r="C1903" s="16">
        <f t="shared" si="34"/>
        <v>103</v>
      </c>
      <c r="D1903" s="16" t="str">
        <f>VLOOKUP(C1903,[1]道具配置表!$A:$D,4,FALSE)</f>
        <v>1石头</v>
      </c>
      <c r="E1903" s="16">
        <f>E1899+500</f>
        <v>12500</v>
      </c>
      <c r="J1903" s="16">
        <v>1</v>
      </c>
      <c r="L1903" s="16" t="b">
        <v>1</v>
      </c>
    </row>
    <row r="1904" spans="1:12" x14ac:dyDescent="0.25">
      <c r="C1904" s="16">
        <f t="shared" si="34"/>
        <v>104</v>
      </c>
      <c r="D1904" s="16" t="str">
        <f>VLOOKUP(C1904,[1]道具配置表!$A:$D,4,FALSE)</f>
        <v>1黄金</v>
      </c>
      <c r="E1904" s="16">
        <f>E1900+500</f>
        <v>12500</v>
      </c>
      <c r="J1904" s="16">
        <v>1</v>
      </c>
      <c r="L1904" s="16" t="b">
        <v>1</v>
      </c>
    </row>
    <row r="1905" spans="1:12" x14ac:dyDescent="0.25">
      <c r="A1905" s="16">
        <v>1921519</v>
      </c>
      <c r="B1905" s="16" t="s">
        <v>813</v>
      </c>
      <c r="C1905" s="16">
        <f t="shared" ref="C1905:C1968" si="35">C1901</f>
        <v>102</v>
      </c>
      <c r="D1905" s="16" t="str">
        <f>VLOOKUP(C1905,[1]道具配置表!$A:$D,4,FALSE)</f>
        <v>1食物</v>
      </c>
      <c r="E1905" s="16">
        <f>E1901+300</f>
        <v>8200</v>
      </c>
      <c r="J1905" s="16">
        <v>1</v>
      </c>
      <c r="L1905" s="16" t="b">
        <v>1</v>
      </c>
    </row>
    <row r="1906" spans="1:12" x14ac:dyDescent="0.25">
      <c r="C1906" s="16">
        <f t="shared" si="35"/>
        <v>101</v>
      </c>
      <c r="D1906" s="16" t="str">
        <f>VLOOKUP(C1906,[1]道具配置表!$A:$D,4,FALSE)</f>
        <v>1木材</v>
      </c>
      <c r="E1906" s="16">
        <f>E1902+500</f>
        <v>13000</v>
      </c>
      <c r="J1906" s="16">
        <v>1</v>
      </c>
      <c r="L1906" s="16" t="b">
        <v>1</v>
      </c>
    </row>
    <row r="1907" spans="1:12" x14ac:dyDescent="0.25">
      <c r="C1907" s="16">
        <f t="shared" si="35"/>
        <v>103</v>
      </c>
      <c r="D1907" s="16" t="str">
        <f>VLOOKUP(C1907,[1]道具配置表!$A:$D,4,FALSE)</f>
        <v>1石头</v>
      </c>
      <c r="E1907" s="16">
        <f>E1903+500</f>
        <v>13000</v>
      </c>
      <c r="J1907" s="16">
        <v>1</v>
      </c>
      <c r="L1907" s="16" t="b">
        <v>1</v>
      </c>
    </row>
    <row r="1908" spans="1:12" x14ac:dyDescent="0.25">
      <c r="C1908" s="16">
        <f t="shared" si="35"/>
        <v>104</v>
      </c>
      <c r="D1908" s="16" t="str">
        <f>VLOOKUP(C1908,[1]道具配置表!$A:$D,4,FALSE)</f>
        <v>1黄金</v>
      </c>
      <c r="E1908" s="16">
        <f>E1904+500</f>
        <v>13000</v>
      </c>
      <c r="J1908" s="16">
        <v>1</v>
      </c>
      <c r="L1908" s="16" t="b">
        <v>1</v>
      </c>
    </row>
    <row r="1909" spans="1:12" x14ac:dyDescent="0.25">
      <c r="A1909" s="16">
        <v>1921520</v>
      </c>
      <c r="B1909" s="16" t="s">
        <v>814</v>
      </c>
      <c r="C1909" s="16">
        <f t="shared" si="35"/>
        <v>102</v>
      </c>
      <c r="D1909" s="16" t="str">
        <f>VLOOKUP(C1909,[1]道具配置表!$A:$D,4,FALSE)</f>
        <v>1食物</v>
      </c>
      <c r="E1909" s="16">
        <f>E1905+300</f>
        <v>8500</v>
      </c>
      <c r="J1909" s="16">
        <v>1</v>
      </c>
      <c r="L1909" s="16" t="b">
        <v>1</v>
      </c>
    </row>
    <row r="1910" spans="1:12" x14ac:dyDescent="0.25">
      <c r="C1910" s="16">
        <f t="shared" si="35"/>
        <v>101</v>
      </c>
      <c r="D1910" s="16" t="str">
        <f>VLOOKUP(C1910,[1]道具配置表!$A:$D,4,FALSE)</f>
        <v>1木材</v>
      </c>
      <c r="E1910" s="16">
        <f>E1906+500</f>
        <v>13500</v>
      </c>
      <c r="J1910" s="16">
        <v>1</v>
      </c>
      <c r="L1910" s="16" t="b">
        <v>1</v>
      </c>
    </row>
    <row r="1911" spans="1:12" x14ac:dyDescent="0.25">
      <c r="C1911" s="16">
        <f t="shared" si="35"/>
        <v>103</v>
      </c>
      <c r="D1911" s="16" t="str">
        <f>VLOOKUP(C1911,[1]道具配置表!$A:$D,4,FALSE)</f>
        <v>1石头</v>
      </c>
      <c r="E1911" s="16">
        <f>E1907+500</f>
        <v>13500</v>
      </c>
      <c r="J1911" s="16">
        <v>1</v>
      </c>
      <c r="L1911" s="16" t="b">
        <v>1</v>
      </c>
    </row>
    <row r="1912" spans="1:12" x14ac:dyDescent="0.25">
      <c r="C1912" s="16">
        <f t="shared" si="35"/>
        <v>104</v>
      </c>
      <c r="D1912" s="16" t="str">
        <f>VLOOKUP(C1912,[1]道具配置表!$A:$D,4,FALSE)</f>
        <v>1黄金</v>
      </c>
      <c r="E1912" s="16">
        <f>E1908+500</f>
        <v>13500</v>
      </c>
      <c r="J1912" s="16">
        <v>1</v>
      </c>
      <c r="L1912" s="16" t="b">
        <v>1</v>
      </c>
    </row>
    <row r="1913" spans="1:12" x14ac:dyDescent="0.25">
      <c r="A1913" s="16">
        <v>1921521</v>
      </c>
      <c r="B1913" s="16" t="s">
        <v>815</v>
      </c>
      <c r="C1913" s="16">
        <f t="shared" si="35"/>
        <v>102</v>
      </c>
      <c r="D1913" s="16" t="str">
        <f>VLOOKUP(C1913,[1]道具配置表!$A:$D,4,FALSE)</f>
        <v>1食物</v>
      </c>
      <c r="E1913" s="16">
        <f>E1909+300</f>
        <v>8800</v>
      </c>
      <c r="J1913" s="16">
        <v>1</v>
      </c>
      <c r="L1913" s="16" t="b">
        <v>1</v>
      </c>
    </row>
    <row r="1914" spans="1:12" x14ac:dyDescent="0.25">
      <c r="C1914" s="16">
        <f t="shared" si="35"/>
        <v>101</v>
      </c>
      <c r="D1914" s="16" t="str">
        <f>VLOOKUP(C1914,[1]道具配置表!$A:$D,4,FALSE)</f>
        <v>1木材</v>
      </c>
      <c r="E1914" s="16">
        <f>E1910+500</f>
        <v>14000</v>
      </c>
      <c r="J1914" s="16">
        <v>1</v>
      </c>
      <c r="L1914" s="16" t="b">
        <v>1</v>
      </c>
    </row>
    <row r="1915" spans="1:12" x14ac:dyDescent="0.25">
      <c r="C1915" s="16">
        <f t="shared" si="35"/>
        <v>103</v>
      </c>
      <c r="D1915" s="16" t="str">
        <f>VLOOKUP(C1915,[1]道具配置表!$A:$D,4,FALSE)</f>
        <v>1石头</v>
      </c>
      <c r="E1915" s="16">
        <f>E1911+500</f>
        <v>14000</v>
      </c>
      <c r="J1915" s="16">
        <v>1</v>
      </c>
      <c r="L1915" s="16" t="b">
        <v>1</v>
      </c>
    </row>
    <row r="1916" spans="1:12" x14ac:dyDescent="0.25">
      <c r="C1916" s="16">
        <f t="shared" si="35"/>
        <v>104</v>
      </c>
      <c r="D1916" s="16" t="str">
        <f>VLOOKUP(C1916,[1]道具配置表!$A:$D,4,FALSE)</f>
        <v>1黄金</v>
      </c>
      <c r="E1916" s="16">
        <f>E1912+500</f>
        <v>14000</v>
      </c>
      <c r="J1916" s="16">
        <v>1</v>
      </c>
      <c r="L1916" s="16" t="b">
        <v>1</v>
      </c>
    </row>
    <row r="1917" spans="1:12" x14ac:dyDescent="0.25">
      <c r="A1917" s="16">
        <v>1921522</v>
      </c>
      <c r="B1917" s="16" t="s">
        <v>816</v>
      </c>
      <c r="C1917" s="16">
        <f t="shared" si="35"/>
        <v>102</v>
      </c>
      <c r="D1917" s="16" t="str">
        <f>VLOOKUP(C1917,[1]道具配置表!$A:$D,4,FALSE)</f>
        <v>1食物</v>
      </c>
      <c r="E1917" s="16">
        <f>E1913+300</f>
        <v>9100</v>
      </c>
      <c r="J1917" s="16">
        <v>1</v>
      </c>
      <c r="L1917" s="16" t="b">
        <v>1</v>
      </c>
    </row>
    <row r="1918" spans="1:12" x14ac:dyDescent="0.25">
      <c r="C1918" s="16">
        <f t="shared" si="35"/>
        <v>101</v>
      </c>
      <c r="D1918" s="16" t="str">
        <f>VLOOKUP(C1918,[1]道具配置表!$A:$D,4,FALSE)</f>
        <v>1木材</v>
      </c>
      <c r="E1918" s="16">
        <f>E1914+500</f>
        <v>14500</v>
      </c>
      <c r="J1918" s="16">
        <v>1</v>
      </c>
      <c r="L1918" s="16" t="b">
        <v>1</v>
      </c>
    </row>
    <row r="1919" spans="1:12" x14ac:dyDescent="0.25">
      <c r="C1919" s="16">
        <f t="shared" si="35"/>
        <v>103</v>
      </c>
      <c r="D1919" s="16" t="str">
        <f>VLOOKUP(C1919,[1]道具配置表!$A:$D,4,FALSE)</f>
        <v>1石头</v>
      </c>
      <c r="E1919" s="16">
        <f>E1915+500</f>
        <v>14500</v>
      </c>
      <c r="J1919" s="16">
        <v>1</v>
      </c>
      <c r="L1919" s="16" t="b">
        <v>1</v>
      </c>
    </row>
    <row r="1920" spans="1:12" x14ac:dyDescent="0.25">
      <c r="C1920" s="16">
        <f t="shared" si="35"/>
        <v>104</v>
      </c>
      <c r="D1920" s="16" t="str">
        <f>VLOOKUP(C1920,[1]道具配置表!$A:$D,4,FALSE)</f>
        <v>1黄金</v>
      </c>
      <c r="E1920" s="16">
        <f>E1916+500</f>
        <v>14500</v>
      </c>
      <c r="J1920" s="16">
        <v>1</v>
      </c>
      <c r="L1920" s="16" t="b">
        <v>1</v>
      </c>
    </row>
    <row r="1921" spans="1:12" x14ac:dyDescent="0.25">
      <c r="A1921" s="16">
        <v>1921601</v>
      </c>
      <c r="B1921" s="16" t="s">
        <v>817</v>
      </c>
      <c r="C1921" s="16">
        <f t="shared" si="35"/>
        <v>102</v>
      </c>
      <c r="D1921" s="16" t="str">
        <f>VLOOKUP(C1921,[1]道具配置表!$A:$D,4,FALSE)</f>
        <v>1食物</v>
      </c>
      <c r="E1921" s="16">
        <v>1000</v>
      </c>
      <c r="J1921" s="16">
        <v>1</v>
      </c>
      <c r="L1921" s="16" t="b">
        <v>1</v>
      </c>
    </row>
    <row r="1922" spans="1:12" x14ac:dyDescent="0.25">
      <c r="C1922" s="16">
        <f t="shared" si="35"/>
        <v>101</v>
      </c>
      <c r="D1922" s="16" t="str">
        <f>VLOOKUP(C1922,[1]道具配置表!$A:$D,4,FALSE)</f>
        <v>1木材</v>
      </c>
      <c r="E1922" s="16">
        <v>1000</v>
      </c>
      <c r="J1922" s="16">
        <v>1</v>
      </c>
      <c r="L1922" s="16" t="b">
        <v>1</v>
      </c>
    </row>
    <row r="1923" spans="1:12" x14ac:dyDescent="0.25">
      <c r="C1923" s="16">
        <f t="shared" si="35"/>
        <v>103</v>
      </c>
      <c r="D1923" s="16" t="str">
        <f>VLOOKUP(C1923,[1]道具配置表!$A:$D,4,FALSE)</f>
        <v>1石头</v>
      </c>
      <c r="E1923" s="16">
        <v>1000</v>
      </c>
      <c r="J1923" s="16">
        <v>1</v>
      </c>
      <c r="L1923" s="16" t="b">
        <v>1</v>
      </c>
    </row>
    <row r="1924" spans="1:12" x14ac:dyDescent="0.25">
      <c r="C1924" s="16">
        <f t="shared" si="35"/>
        <v>104</v>
      </c>
      <c r="D1924" s="16" t="str">
        <f>VLOOKUP(C1924,[1]道具配置表!$A:$D,4,FALSE)</f>
        <v>1黄金</v>
      </c>
      <c r="E1924" s="16">
        <v>1000</v>
      </c>
      <c r="J1924" s="16">
        <v>1</v>
      </c>
      <c r="L1924" s="16" t="b">
        <v>1</v>
      </c>
    </row>
    <row r="1925" spans="1:12" x14ac:dyDescent="0.25">
      <c r="A1925" s="16">
        <v>1921602</v>
      </c>
      <c r="B1925" s="16" t="s">
        <v>818</v>
      </c>
      <c r="C1925" s="16">
        <f t="shared" si="35"/>
        <v>102</v>
      </c>
      <c r="D1925" s="16" t="str">
        <f>VLOOKUP(C1925,[1]道具配置表!$A:$D,4,FALSE)</f>
        <v>1食物</v>
      </c>
      <c r="E1925" s="16">
        <f>E1921+300</f>
        <v>1300</v>
      </c>
      <c r="J1925" s="16">
        <v>1</v>
      </c>
      <c r="L1925" s="16" t="b">
        <v>1</v>
      </c>
    </row>
    <row r="1926" spans="1:12" x14ac:dyDescent="0.25">
      <c r="C1926" s="16">
        <f t="shared" si="35"/>
        <v>101</v>
      </c>
      <c r="D1926" s="16" t="str">
        <f>VLOOKUP(C1926,[1]道具配置表!$A:$D,4,FALSE)</f>
        <v>1木材</v>
      </c>
      <c r="E1926" s="16">
        <f>E1922+500</f>
        <v>1500</v>
      </c>
      <c r="J1926" s="16">
        <v>1</v>
      </c>
      <c r="L1926" s="16" t="b">
        <v>1</v>
      </c>
    </row>
    <row r="1927" spans="1:12" x14ac:dyDescent="0.25">
      <c r="C1927" s="16">
        <f t="shared" si="35"/>
        <v>103</v>
      </c>
      <c r="D1927" s="16" t="str">
        <f>VLOOKUP(C1927,[1]道具配置表!$A:$D,4,FALSE)</f>
        <v>1石头</v>
      </c>
      <c r="E1927" s="16">
        <f>E1923+500</f>
        <v>1500</v>
      </c>
      <c r="J1927" s="16">
        <v>1</v>
      </c>
      <c r="L1927" s="16" t="b">
        <v>1</v>
      </c>
    </row>
    <row r="1928" spans="1:12" x14ac:dyDescent="0.25">
      <c r="C1928" s="16">
        <f t="shared" si="35"/>
        <v>104</v>
      </c>
      <c r="D1928" s="16" t="str">
        <f>VLOOKUP(C1928,[1]道具配置表!$A:$D,4,FALSE)</f>
        <v>1黄金</v>
      </c>
      <c r="E1928" s="16">
        <f>E1924+500</f>
        <v>1500</v>
      </c>
      <c r="J1928" s="16">
        <v>1</v>
      </c>
      <c r="L1928" s="16" t="b">
        <v>1</v>
      </c>
    </row>
    <row r="1929" spans="1:12" x14ac:dyDescent="0.25">
      <c r="A1929" s="16">
        <v>1921603</v>
      </c>
      <c r="B1929" s="16" t="s">
        <v>819</v>
      </c>
      <c r="C1929" s="16">
        <f t="shared" si="35"/>
        <v>102</v>
      </c>
      <c r="D1929" s="16" t="str">
        <f>VLOOKUP(C1929,[1]道具配置表!$A:$D,4,FALSE)</f>
        <v>1食物</v>
      </c>
      <c r="E1929" s="16">
        <f>E1925+300</f>
        <v>1600</v>
      </c>
      <c r="J1929" s="16">
        <v>1</v>
      </c>
      <c r="L1929" s="16" t="b">
        <v>1</v>
      </c>
    </row>
    <row r="1930" spans="1:12" x14ac:dyDescent="0.25">
      <c r="C1930" s="16">
        <f t="shared" si="35"/>
        <v>101</v>
      </c>
      <c r="D1930" s="16" t="str">
        <f>VLOOKUP(C1930,[1]道具配置表!$A:$D,4,FALSE)</f>
        <v>1木材</v>
      </c>
      <c r="E1930" s="16">
        <f>E1926+500</f>
        <v>2000</v>
      </c>
      <c r="J1930" s="16">
        <v>1</v>
      </c>
      <c r="L1930" s="16" t="b">
        <v>1</v>
      </c>
    </row>
    <row r="1931" spans="1:12" x14ac:dyDescent="0.25">
      <c r="C1931" s="16">
        <f t="shared" si="35"/>
        <v>103</v>
      </c>
      <c r="D1931" s="16" t="str">
        <f>VLOOKUP(C1931,[1]道具配置表!$A:$D,4,FALSE)</f>
        <v>1石头</v>
      </c>
      <c r="E1931" s="16">
        <f>E1927+500</f>
        <v>2000</v>
      </c>
      <c r="J1931" s="16">
        <v>1</v>
      </c>
      <c r="L1931" s="16" t="b">
        <v>1</v>
      </c>
    </row>
    <row r="1932" spans="1:12" x14ac:dyDescent="0.25">
      <c r="C1932" s="16">
        <f t="shared" si="35"/>
        <v>104</v>
      </c>
      <c r="D1932" s="16" t="str">
        <f>VLOOKUP(C1932,[1]道具配置表!$A:$D,4,FALSE)</f>
        <v>1黄金</v>
      </c>
      <c r="E1932" s="16">
        <f>E1928+500</f>
        <v>2000</v>
      </c>
      <c r="J1932" s="16">
        <v>1</v>
      </c>
      <c r="L1932" s="16" t="b">
        <v>1</v>
      </c>
    </row>
    <row r="1933" spans="1:12" x14ac:dyDescent="0.25">
      <c r="A1933" s="16">
        <v>1921604</v>
      </c>
      <c r="B1933" s="16" t="s">
        <v>820</v>
      </c>
      <c r="C1933" s="16">
        <f t="shared" si="35"/>
        <v>102</v>
      </c>
      <c r="D1933" s="16" t="str">
        <f>VLOOKUP(C1933,[1]道具配置表!$A:$D,4,FALSE)</f>
        <v>1食物</v>
      </c>
      <c r="E1933" s="16">
        <f>E1929+300</f>
        <v>1900</v>
      </c>
      <c r="J1933" s="16">
        <v>1</v>
      </c>
      <c r="L1933" s="16" t="b">
        <v>1</v>
      </c>
    </row>
    <row r="1934" spans="1:12" x14ac:dyDescent="0.25">
      <c r="C1934" s="16">
        <f t="shared" si="35"/>
        <v>101</v>
      </c>
      <c r="D1934" s="16" t="str">
        <f>VLOOKUP(C1934,[1]道具配置表!$A:$D,4,FALSE)</f>
        <v>1木材</v>
      </c>
      <c r="E1934" s="16">
        <f>E1930+500</f>
        <v>2500</v>
      </c>
      <c r="J1934" s="16">
        <v>1</v>
      </c>
      <c r="L1934" s="16" t="b">
        <v>1</v>
      </c>
    </row>
    <row r="1935" spans="1:12" x14ac:dyDescent="0.25">
      <c r="C1935" s="16">
        <f t="shared" si="35"/>
        <v>103</v>
      </c>
      <c r="D1935" s="16" t="str">
        <f>VLOOKUP(C1935,[1]道具配置表!$A:$D,4,FALSE)</f>
        <v>1石头</v>
      </c>
      <c r="E1935" s="16">
        <f>E1931+500</f>
        <v>2500</v>
      </c>
      <c r="J1935" s="16">
        <v>1</v>
      </c>
      <c r="L1935" s="16" t="b">
        <v>1</v>
      </c>
    </row>
    <row r="1936" spans="1:12" x14ac:dyDescent="0.25">
      <c r="C1936" s="16">
        <f t="shared" si="35"/>
        <v>104</v>
      </c>
      <c r="D1936" s="16" t="str">
        <f>VLOOKUP(C1936,[1]道具配置表!$A:$D,4,FALSE)</f>
        <v>1黄金</v>
      </c>
      <c r="E1936" s="16">
        <f>E1932+500</f>
        <v>2500</v>
      </c>
      <c r="J1936" s="16">
        <v>1</v>
      </c>
      <c r="L1936" s="16" t="b">
        <v>1</v>
      </c>
    </row>
    <row r="1937" spans="1:12" x14ac:dyDescent="0.25">
      <c r="A1937" s="16">
        <v>1921605</v>
      </c>
      <c r="B1937" s="16" t="s">
        <v>821</v>
      </c>
      <c r="C1937" s="16">
        <f t="shared" si="35"/>
        <v>102</v>
      </c>
      <c r="D1937" s="16" t="str">
        <f>VLOOKUP(C1937,[1]道具配置表!$A:$D,4,FALSE)</f>
        <v>1食物</v>
      </c>
      <c r="E1937" s="16">
        <f>E1933+300</f>
        <v>2200</v>
      </c>
      <c r="J1937" s="16">
        <v>1</v>
      </c>
      <c r="L1937" s="16" t="b">
        <v>1</v>
      </c>
    </row>
    <row r="1938" spans="1:12" x14ac:dyDescent="0.25">
      <c r="C1938" s="16">
        <f t="shared" si="35"/>
        <v>101</v>
      </c>
      <c r="D1938" s="16" t="str">
        <f>VLOOKUP(C1938,[1]道具配置表!$A:$D,4,FALSE)</f>
        <v>1木材</v>
      </c>
      <c r="E1938" s="16">
        <f>E1934+500</f>
        <v>3000</v>
      </c>
      <c r="J1938" s="16">
        <v>1</v>
      </c>
      <c r="L1938" s="16" t="b">
        <v>1</v>
      </c>
    </row>
    <row r="1939" spans="1:12" x14ac:dyDescent="0.25">
      <c r="C1939" s="16">
        <f t="shared" si="35"/>
        <v>103</v>
      </c>
      <c r="D1939" s="16" t="str">
        <f>VLOOKUP(C1939,[1]道具配置表!$A:$D,4,FALSE)</f>
        <v>1石头</v>
      </c>
      <c r="E1939" s="16">
        <f>E1935+500</f>
        <v>3000</v>
      </c>
      <c r="J1939" s="16">
        <v>1</v>
      </c>
      <c r="L1939" s="16" t="b">
        <v>1</v>
      </c>
    </row>
    <row r="1940" spans="1:12" x14ac:dyDescent="0.25">
      <c r="C1940" s="16">
        <f t="shared" si="35"/>
        <v>104</v>
      </c>
      <c r="D1940" s="16" t="str">
        <f>VLOOKUP(C1940,[1]道具配置表!$A:$D,4,FALSE)</f>
        <v>1黄金</v>
      </c>
      <c r="E1940" s="16">
        <f>E1936+500</f>
        <v>3000</v>
      </c>
      <c r="J1940" s="16">
        <v>1</v>
      </c>
      <c r="L1940" s="16" t="b">
        <v>1</v>
      </c>
    </row>
    <row r="1941" spans="1:12" x14ac:dyDescent="0.25">
      <c r="A1941" s="16">
        <v>1921606</v>
      </c>
      <c r="B1941" s="16" t="s">
        <v>822</v>
      </c>
      <c r="C1941" s="16">
        <f t="shared" si="35"/>
        <v>102</v>
      </c>
      <c r="D1941" s="16" t="str">
        <f>VLOOKUP(C1941,[1]道具配置表!$A:$D,4,FALSE)</f>
        <v>1食物</v>
      </c>
      <c r="E1941" s="16">
        <f>E1937+300</f>
        <v>2500</v>
      </c>
      <c r="J1941" s="16">
        <v>1</v>
      </c>
      <c r="L1941" s="16" t="b">
        <v>1</v>
      </c>
    </row>
    <row r="1942" spans="1:12" x14ac:dyDescent="0.25">
      <c r="C1942" s="16">
        <f t="shared" si="35"/>
        <v>101</v>
      </c>
      <c r="D1942" s="16" t="str">
        <f>VLOOKUP(C1942,[1]道具配置表!$A:$D,4,FALSE)</f>
        <v>1木材</v>
      </c>
      <c r="E1942" s="16">
        <f>E1938+500</f>
        <v>3500</v>
      </c>
      <c r="J1942" s="16">
        <v>1</v>
      </c>
      <c r="L1942" s="16" t="b">
        <v>1</v>
      </c>
    </row>
    <row r="1943" spans="1:12" x14ac:dyDescent="0.25">
      <c r="C1943" s="16">
        <f t="shared" si="35"/>
        <v>103</v>
      </c>
      <c r="D1943" s="16" t="str">
        <f>VLOOKUP(C1943,[1]道具配置表!$A:$D,4,FALSE)</f>
        <v>1石头</v>
      </c>
      <c r="E1943" s="16">
        <f>E1939+500</f>
        <v>3500</v>
      </c>
      <c r="J1943" s="16">
        <v>1</v>
      </c>
      <c r="L1943" s="16" t="b">
        <v>1</v>
      </c>
    </row>
    <row r="1944" spans="1:12" x14ac:dyDescent="0.25">
      <c r="C1944" s="16">
        <f t="shared" si="35"/>
        <v>104</v>
      </c>
      <c r="D1944" s="16" t="str">
        <f>VLOOKUP(C1944,[1]道具配置表!$A:$D,4,FALSE)</f>
        <v>1黄金</v>
      </c>
      <c r="E1944" s="16">
        <f>E1940+500</f>
        <v>3500</v>
      </c>
      <c r="J1944" s="16">
        <v>1</v>
      </c>
      <c r="L1944" s="16" t="b">
        <v>1</v>
      </c>
    </row>
    <row r="1945" spans="1:12" x14ac:dyDescent="0.25">
      <c r="A1945" s="16">
        <v>1921607</v>
      </c>
      <c r="B1945" s="16" t="s">
        <v>823</v>
      </c>
      <c r="C1945" s="16">
        <f t="shared" si="35"/>
        <v>102</v>
      </c>
      <c r="D1945" s="16" t="str">
        <f>VLOOKUP(C1945,[1]道具配置表!$A:$D,4,FALSE)</f>
        <v>1食物</v>
      </c>
      <c r="E1945" s="16">
        <f>E1941+300</f>
        <v>2800</v>
      </c>
      <c r="J1945" s="16">
        <v>1</v>
      </c>
      <c r="L1945" s="16" t="b">
        <v>1</v>
      </c>
    </row>
    <row r="1946" spans="1:12" x14ac:dyDescent="0.25">
      <c r="C1946" s="16">
        <f t="shared" si="35"/>
        <v>101</v>
      </c>
      <c r="D1946" s="16" t="str">
        <f>VLOOKUP(C1946,[1]道具配置表!$A:$D,4,FALSE)</f>
        <v>1木材</v>
      </c>
      <c r="E1946" s="16">
        <f>E1942+500</f>
        <v>4000</v>
      </c>
      <c r="J1946" s="16">
        <v>1</v>
      </c>
      <c r="L1946" s="16" t="b">
        <v>1</v>
      </c>
    </row>
    <row r="1947" spans="1:12" x14ac:dyDescent="0.25">
      <c r="C1947" s="16">
        <f t="shared" si="35"/>
        <v>103</v>
      </c>
      <c r="D1947" s="16" t="str">
        <f>VLOOKUP(C1947,[1]道具配置表!$A:$D,4,FALSE)</f>
        <v>1石头</v>
      </c>
      <c r="E1947" s="16">
        <f>E1943+500</f>
        <v>4000</v>
      </c>
      <c r="J1947" s="16">
        <v>1</v>
      </c>
      <c r="L1947" s="16" t="b">
        <v>1</v>
      </c>
    </row>
    <row r="1948" spans="1:12" x14ac:dyDescent="0.25">
      <c r="C1948" s="16">
        <f t="shared" si="35"/>
        <v>104</v>
      </c>
      <c r="D1948" s="16" t="str">
        <f>VLOOKUP(C1948,[1]道具配置表!$A:$D,4,FALSE)</f>
        <v>1黄金</v>
      </c>
      <c r="E1948" s="16">
        <f>E1944+500</f>
        <v>4000</v>
      </c>
      <c r="J1948" s="16">
        <v>1</v>
      </c>
      <c r="L1948" s="16" t="b">
        <v>1</v>
      </c>
    </row>
    <row r="1949" spans="1:12" x14ac:dyDescent="0.25">
      <c r="A1949" s="16">
        <v>1921608</v>
      </c>
      <c r="B1949" s="16" t="s">
        <v>824</v>
      </c>
      <c r="C1949" s="16">
        <f t="shared" si="35"/>
        <v>102</v>
      </c>
      <c r="D1949" s="16" t="str">
        <f>VLOOKUP(C1949,[1]道具配置表!$A:$D,4,FALSE)</f>
        <v>1食物</v>
      </c>
      <c r="E1949" s="16">
        <f>E1945+300</f>
        <v>3100</v>
      </c>
      <c r="J1949" s="16">
        <v>1</v>
      </c>
      <c r="L1949" s="16" t="b">
        <v>1</v>
      </c>
    </row>
    <row r="1950" spans="1:12" x14ac:dyDescent="0.25">
      <c r="C1950" s="16">
        <f t="shared" si="35"/>
        <v>101</v>
      </c>
      <c r="D1950" s="16" t="str">
        <f>VLOOKUP(C1950,[1]道具配置表!$A:$D,4,FALSE)</f>
        <v>1木材</v>
      </c>
      <c r="E1950" s="16">
        <f>E1946+500</f>
        <v>4500</v>
      </c>
      <c r="J1950" s="16">
        <v>1</v>
      </c>
      <c r="L1950" s="16" t="b">
        <v>1</v>
      </c>
    </row>
    <row r="1951" spans="1:12" x14ac:dyDescent="0.25">
      <c r="C1951" s="16">
        <f t="shared" si="35"/>
        <v>103</v>
      </c>
      <c r="D1951" s="16" t="str">
        <f>VLOOKUP(C1951,[1]道具配置表!$A:$D,4,FALSE)</f>
        <v>1石头</v>
      </c>
      <c r="E1951" s="16">
        <f>E1947+500</f>
        <v>4500</v>
      </c>
      <c r="J1951" s="16">
        <v>1</v>
      </c>
      <c r="L1951" s="16" t="b">
        <v>1</v>
      </c>
    </row>
    <row r="1952" spans="1:12" x14ac:dyDescent="0.25">
      <c r="C1952" s="16">
        <f t="shared" si="35"/>
        <v>104</v>
      </c>
      <c r="D1952" s="16" t="str">
        <f>VLOOKUP(C1952,[1]道具配置表!$A:$D,4,FALSE)</f>
        <v>1黄金</v>
      </c>
      <c r="E1952" s="16">
        <f>E1948+500</f>
        <v>4500</v>
      </c>
      <c r="J1952" s="16">
        <v>1</v>
      </c>
      <c r="L1952" s="16" t="b">
        <v>1</v>
      </c>
    </row>
    <row r="1953" spans="1:12" x14ac:dyDescent="0.25">
      <c r="A1953" s="16">
        <v>1921609</v>
      </c>
      <c r="B1953" s="16" t="s">
        <v>825</v>
      </c>
      <c r="C1953" s="16">
        <f t="shared" si="35"/>
        <v>102</v>
      </c>
      <c r="D1953" s="16" t="str">
        <f>VLOOKUP(C1953,[1]道具配置表!$A:$D,4,FALSE)</f>
        <v>1食物</v>
      </c>
      <c r="E1953" s="16">
        <f>E1949+300</f>
        <v>3400</v>
      </c>
      <c r="J1953" s="16">
        <v>1</v>
      </c>
      <c r="L1953" s="16" t="b">
        <v>1</v>
      </c>
    </row>
    <row r="1954" spans="1:12" x14ac:dyDescent="0.25">
      <c r="C1954" s="16">
        <f t="shared" si="35"/>
        <v>101</v>
      </c>
      <c r="D1954" s="16" t="str">
        <f>VLOOKUP(C1954,[1]道具配置表!$A:$D,4,FALSE)</f>
        <v>1木材</v>
      </c>
      <c r="E1954" s="16">
        <f>E1950+500</f>
        <v>5000</v>
      </c>
      <c r="J1954" s="16">
        <v>1</v>
      </c>
      <c r="L1954" s="16" t="b">
        <v>1</v>
      </c>
    </row>
    <row r="1955" spans="1:12" x14ac:dyDescent="0.25">
      <c r="C1955" s="16">
        <f t="shared" si="35"/>
        <v>103</v>
      </c>
      <c r="D1955" s="16" t="str">
        <f>VLOOKUP(C1955,[1]道具配置表!$A:$D,4,FALSE)</f>
        <v>1石头</v>
      </c>
      <c r="E1955" s="16">
        <f>E1951+500</f>
        <v>5000</v>
      </c>
      <c r="J1955" s="16">
        <v>1</v>
      </c>
      <c r="L1955" s="16" t="b">
        <v>1</v>
      </c>
    </row>
    <row r="1956" spans="1:12" x14ac:dyDescent="0.25">
      <c r="C1956" s="16">
        <f t="shared" si="35"/>
        <v>104</v>
      </c>
      <c r="D1956" s="16" t="str">
        <f>VLOOKUP(C1956,[1]道具配置表!$A:$D,4,FALSE)</f>
        <v>1黄金</v>
      </c>
      <c r="E1956" s="16">
        <f>E1952+500</f>
        <v>5000</v>
      </c>
      <c r="J1956" s="16">
        <v>1</v>
      </c>
      <c r="L1956" s="16" t="b">
        <v>1</v>
      </c>
    </row>
    <row r="1957" spans="1:12" x14ac:dyDescent="0.25">
      <c r="A1957" s="16">
        <v>1921610</v>
      </c>
      <c r="B1957" s="16" t="s">
        <v>826</v>
      </c>
      <c r="C1957" s="16">
        <f t="shared" si="35"/>
        <v>102</v>
      </c>
      <c r="D1957" s="16" t="str">
        <f>VLOOKUP(C1957,[1]道具配置表!$A:$D,4,FALSE)</f>
        <v>1食物</v>
      </c>
      <c r="E1957" s="16">
        <f>E1953+300</f>
        <v>3700</v>
      </c>
      <c r="J1957" s="16">
        <v>1</v>
      </c>
      <c r="L1957" s="16" t="b">
        <v>1</v>
      </c>
    </row>
    <row r="1958" spans="1:12" x14ac:dyDescent="0.25">
      <c r="C1958" s="16">
        <f t="shared" si="35"/>
        <v>101</v>
      </c>
      <c r="D1958" s="16" t="str">
        <f>VLOOKUP(C1958,[1]道具配置表!$A:$D,4,FALSE)</f>
        <v>1木材</v>
      </c>
      <c r="E1958" s="16">
        <f>E1954+500</f>
        <v>5500</v>
      </c>
      <c r="J1958" s="16">
        <v>1</v>
      </c>
      <c r="L1958" s="16" t="b">
        <v>1</v>
      </c>
    </row>
    <row r="1959" spans="1:12" x14ac:dyDescent="0.25">
      <c r="C1959" s="16">
        <f t="shared" si="35"/>
        <v>103</v>
      </c>
      <c r="D1959" s="16" t="str">
        <f>VLOOKUP(C1959,[1]道具配置表!$A:$D,4,FALSE)</f>
        <v>1石头</v>
      </c>
      <c r="E1959" s="16">
        <f>E1955+500</f>
        <v>5500</v>
      </c>
      <c r="J1959" s="16">
        <v>1</v>
      </c>
      <c r="L1959" s="16" t="b">
        <v>1</v>
      </c>
    </row>
    <row r="1960" spans="1:12" x14ac:dyDescent="0.25">
      <c r="C1960" s="16">
        <f t="shared" si="35"/>
        <v>104</v>
      </c>
      <c r="D1960" s="16" t="str">
        <f>VLOOKUP(C1960,[1]道具配置表!$A:$D,4,FALSE)</f>
        <v>1黄金</v>
      </c>
      <c r="E1960" s="16">
        <f>E1956+500</f>
        <v>5500</v>
      </c>
      <c r="J1960" s="16">
        <v>1</v>
      </c>
      <c r="L1960" s="16" t="b">
        <v>1</v>
      </c>
    </row>
    <row r="1961" spans="1:12" x14ac:dyDescent="0.25">
      <c r="A1961" s="16">
        <v>1921611</v>
      </c>
      <c r="B1961" s="16" t="s">
        <v>827</v>
      </c>
      <c r="C1961" s="16">
        <f t="shared" si="35"/>
        <v>102</v>
      </c>
      <c r="D1961" s="16" t="str">
        <f>VLOOKUP(C1961,[1]道具配置表!$A:$D,4,FALSE)</f>
        <v>1食物</v>
      </c>
      <c r="E1961" s="16">
        <f>E1957+300</f>
        <v>4000</v>
      </c>
      <c r="J1961" s="16">
        <v>1</v>
      </c>
      <c r="L1961" s="16" t="b">
        <v>1</v>
      </c>
    </row>
    <row r="1962" spans="1:12" x14ac:dyDescent="0.25">
      <c r="C1962" s="16">
        <f t="shared" si="35"/>
        <v>101</v>
      </c>
      <c r="D1962" s="16" t="str">
        <f>VLOOKUP(C1962,[1]道具配置表!$A:$D,4,FALSE)</f>
        <v>1木材</v>
      </c>
      <c r="E1962" s="16">
        <f>E1958+500</f>
        <v>6000</v>
      </c>
      <c r="J1962" s="16">
        <v>1</v>
      </c>
      <c r="L1962" s="16" t="b">
        <v>1</v>
      </c>
    </row>
    <row r="1963" spans="1:12" x14ac:dyDescent="0.25">
      <c r="C1963" s="16">
        <f t="shared" si="35"/>
        <v>103</v>
      </c>
      <c r="D1963" s="16" t="str">
        <f>VLOOKUP(C1963,[1]道具配置表!$A:$D,4,FALSE)</f>
        <v>1石头</v>
      </c>
      <c r="E1963" s="16">
        <f>E1959+500</f>
        <v>6000</v>
      </c>
      <c r="J1963" s="16">
        <v>1</v>
      </c>
      <c r="L1963" s="16" t="b">
        <v>1</v>
      </c>
    </row>
    <row r="1964" spans="1:12" x14ac:dyDescent="0.25">
      <c r="C1964" s="16">
        <f t="shared" si="35"/>
        <v>104</v>
      </c>
      <c r="D1964" s="16" t="str">
        <f>VLOOKUP(C1964,[1]道具配置表!$A:$D,4,FALSE)</f>
        <v>1黄金</v>
      </c>
      <c r="E1964" s="16">
        <f>E1960+500</f>
        <v>6000</v>
      </c>
      <c r="J1964" s="16">
        <v>1</v>
      </c>
      <c r="L1964" s="16" t="b">
        <v>1</v>
      </c>
    </row>
    <row r="1965" spans="1:12" x14ac:dyDescent="0.25">
      <c r="A1965" s="16">
        <v>1921612</v>
      </c>
      <c r="B1965" s="16" t="s">
        <v>828</v>
      </c>
      <c r="C1965" s="16">
        <f t="shared" si="35"/>
        <v>102</v>
      </c>
      <c r="D1965" s="16" t="str">
        <f>VLOOKUP(C1965,[1]道具配置表!$A:$D,4,FALSE)</f>
        <v>1食物</v>
      </c>
      <c r="E1965" s="16">
        <f>E1961+300</f>
        <v>4300</v>
      </c>
      <c r="J1965" s="16">
        <v>1</v>
      </c>
      <c r="L1965" s="16" t="b">
        <v>1</v>
      </c>
    </row>
    <row r="1966" spans="1:12" x14ac:dyDescent="0.25">
      <c r="C1966" s="16">
        <f t="shared" si="35"/>
        <v>101</v>
      </c>
      <c r="D1966" s="16" t="str">
        <f>VLOOKUP(C1966,[1]道具配置表!$A:$D,4,FALSE)</f>
        <v>1木材</v>
      </c>
      <c r="E1966" s="16">
        <f>E1962+500</f>
        <v>6500</v>
      </c>
      <c r="J1966" s="16">
        <v>1</v>
      </c>
      <c r="L1966" s="16" t="b">
        <v>1</v>
      </c>
    </row>
    <row r="1967" spans="1:12" x14ac:dyDescent="0.25">
      <c r="C1967" s="16">
        <f t="shared" si="35"/>
        <v>103</v>
      </c>
      <c r="D1967" s="16" t="str">
        <f>VLOOKUP(C1967,[1]道具配置表!$A:$D,4,FALSE)</f>
        <v>1石头</v>
      </c>
      <c r="E1967" s="16">
        <f>E1963+500</f>
        <v>6500</v>
      </c>
      <c r="J1967" s="16">
        <v>1</v>
      </c>
      <c r="L1967" s="16" t="b">
        <v>1</v>
      </c>
    </row>
    <row r="1968" spans="1:12" x14ac:dyDescent="0.25">
      <c r="C1968" s="16">
        <f t="shared" si="35"/>
        <v>104</v>
      </c>
      <c r="D1968" s="16" t="str">
        <f>VLOOKUP(C1968,[1]道具配置表!$A:$D,4,FALSE)</f>
        <v>1黄金</v>
      </c>
      <c r="E1968" s="16">
        <f>E1964+500</f>
        <v>6500</v>
      </c>
      <c r="J1968" s="16">
        <v>1</v>
      </c>
      <c r="L1968" s="16" t="b">
        <v>1</v>
      </c>
    </row>
    <row r="1969" spans="1:12" x14ac:dyDescent="0.25">
      <c r="A1969" s="16">
        <v>1921613</v>
      </c>
      <c r="B1969" s="16" t="s">
        <v>829</v>
      </c>
      <c r="C1969" s="16">
        <f t="shared" ref="C1969:C2032" si="36">C1965</f>
        <v>102</v>
      </c>
      <c r="D1969" s="16" t="str">
        <f>VLOOKUP(C1969,[1]道具配置表!$A:$D,4,FALSE)</f>
        <v>1食物</v>
      </c>
      <c r="E1969" s="16">
        <f>E1965+300</f>
        <v>4600</v>
      </c>
      <c r="J1969" s="16">
        <v>1</v>
      </c>
      <c r="L1969" s="16" t="b">
        <v>1</v>
      </c>
    </row>
    <row r="1970" spans="1:12" x14ac:dyDescent="0.25">
      <c r="C1970" s="16">
        <f t="shared" si="36"/>
        <v>101</v>
      </c>
      <c r="D1970" s="16" t="str">
        <f>VLOOKUP(C1970,[1]道具配置表!$A:$D,4,FALSE)</f>
        <v>1木材</v>
      </c>
      <c r="E1970" s="16">
        <f>E1966+500</f>
        <v>7000</v>
      </c>
      <c r="J1970" s="16">
        <v>1</v>
      </c>
      <c r="L1970" s="16" t="b">
        <v>1</v>
      </c>
    </row>
    <row r="1971" spans="1:12" x14ac:dyDescent="0.25">
      <c r="C1971" s="16">
        <f t="shared" si="36"/>
        <v>103</v>
      </c>
      <c r="D1971" s="16" t="str">
        <f>VLOOKUP(C1971,[1]道具配置表!$A:$D,4,FALSE)</f>
        <v>1石头</v>
      </c>
      <c r="E1971" s="16">
        <f>E1967+500</f>
        <v>7000</v>
      </c>
      <c r="J1971" s="16">
        <v>1</v>
      </c>
      <c r="L1971" s="16" t="b">
        <v>1</v>
      </c>
    </row>
    <row r="1972" spans="1:12" x14ac:dyDescent="0.25">
      <c r="C1972" s="16">
        <f t="shared" si="36"/>
        <v>104</v>
      </c>
      <c r="D1972" s="16" t="str">
        <f>VLOOKUP(C1972,[1]道具配置表!$A:$D,4,FALSE)</f>
        <v>1黄金</v>
      </c>
      <c r="E1972" s="16">
        <f>E1968+500</f>
        <v>7000</v>
      </c>
      <c r="J1972" s="16">
        <v>1</v>
      </c>
      <c r="L1972" s="16" t="b">
        <v>1</v>
      </c>
    </row>
    <row r="1973" spans="1:12" x14ac:dyDescent="0.25">
      <c r="A1973" s="16">
        <v>1921614</v>
      </c>
      <c r="B1973" s="16" t="s">
        <v>830</v>
      </c>
      <c r="C1973" s="16">
        <f t="shared" si="36"/>
        <v>102</v>
      </c>
      <c r="D1973" s="16" t="str">
        <f>VLOOKUP(C1973,[1]道具配置表!$A:$D,4,FALSE)</f>
        <v>1食物</v>
      </c>
      <c r="E1973" s="16">
        <f>E1969+300</f>
        <v>4900</v>
      </c>
      <c r="J1973" s="16">
        <v>1</v>
      </c>
      <c r="L1973" s="16" t="b">
        <v>1</v>
      </c>
    </row>
    <row r="1974" spans="1:12" x14ac:dyDescent="0.25">
      <c r="C1974" s="16">
        <f t="shared" si="36"/>
        <v>101</v>
      </c>
      <c r="D1974" s="16" t="str">
        <f>VLOOKUP(C1974,[1]道具配置表!$A:$D,4,FALSE)</f>
        <v>1木材</v>
      </c>
      <c r="E1974" s="16">
        <f>E1970+500</f>
        <v>7500</v>
      </c>
      <c r="J1974" s="16">
        <v>1</v>
      </c>
      <c r="L1974" s="16" t="b">
        <v>1</v>
      </c>
    </row>
    <row r="1975" spans="1:12" x14ac:dyDescent="0.25">
      <c r="C1975" s="16">
        <f t="shared" si="36"/>
        <v>103</v>
      </c>
      <c r="D1975" s="16" t="str">
        <f>VLOOKUP(C1975,[1]道具配置表!$A:$D,4,FALSE)</f>
        <v>1石头</v>
      </c>
      <c r="E1975" s="16">
        <f>E1971+500</f>
        <v>7500</v>
      </c>
      <c r="J1975" s="16">
        <v>1</v>
      </c>
      <c r="L1975" s="16" t="b">
        <v>1</v>
      </c>
    </row>
    <row r="1976" spans="1:12" x14ac:dyDescent="0.25">
      <c r="C1976" s="16">
        <f t="shared" si="36"/>
        <v>104</v>
      </c>
      <c r="D1976" s="16" t="str">
        <f>VLOOKUP(C1976,[1]道具配置表!$A:$D,4,FALSE)</f>
        <v>1黄金</v>
      </c>
      <c r="E1976" s="16">
        <f>E1972+500</f>
        <v>7500</v>
      </c>
      <c r="J1976" s="16">
        <v>1</v>
      </c>
      <c r="L1976" s="16" t="b">
        <v>1</v>
      </c>
    </row>
    <row r="1977" spans="1:12" x14ac:dyDescent="0.25">
      <c r="A1977" s="16">
        <v>1921615</v>
      </c>
      <c r="B1977" s="16" t="s">
        <v>831</v>
      </c>
      <c r="C1977" s="16">
        <f t="shared" si="36"/>
        <v>102</v>
      </c>
      <c r="D1977" s="16" t="str">
        <f>VLOOKUP(C1977,[1]道具配置表!$A:$D,4,FALSE)</f>
        <v>1食物</v>
      </c>
      <c r="E1977" s="16">
        <f>E1973+300</f>
        <v>5200</v>
      </c>
      <c r="J1977" s="16">
        <v>1</v>
      </c>
      <c r="L1977" s="16" t="b">
        <v>1</v>
      </c>
    </row>
    <row r="1978" spans="1:12" x14ac:dyDescent="0.25">
      <c r="C1978" s="16">
        <f t="shared" si="36"/>
        <v>101</v>
      </c>
      <c r="D1978" s="16" t="str">
        <f>VLOOKUP(C1978,[1]道具配置表!$A:$D,4,FALSE)</f>
        <v>1木材</v>
      </c>
      <c r="E1978" s="16">
        <f>E1974+500</f>
        <v>8000</v>
      </c>
      <c r="J1978" s="16">
        <v>1</v>
      </c>
      <c r="L1978" s="16" t="b">
        <v>1</v>
      </c>
    </row>
    <row r="1979" spans="1:12" x14ac:dyDescent="0.25">
      <c r="C1979" s="16">
        <f t="shared" si="36"/>
        <v>103</v>
      </c>
      <c r="D1979" s="16" t="str">
        <f>VLOOKUP(C1979,[1]道具配置表!$A:$D,4,FALSE)</f>
        <v>1石头</v>
      </c>
      <c r="E1979" s="16">
        <f>E1975+500</f>
        <v>8000</v>
      </c>
      <c r="J1979" s="16">
        <v>1</v>
      </c>
      <c r="L1979" s="16" t="b">
        <v>1</v>
      </c>
    </row>
    <row r="1980" spans="1:12" x14ac:dyDescent="0.25">
      <c r="C1980" s="16">
        <f t="shared" si="36"/>
        <v>104</v>
      </c>
      <c r="D1980" s="16" t="str">
        <f>VLOOKUP(C1980,[1]道具配置表!$A:$D,4,FALSE)</f>
        <v>1黄金</v>
      </c>
      <c r="E1980" s="16">
        <f>E1976+500</f>
        <v>8000</v>
      </c>
      <c r="J1980" s="16">
        <v>1</v>
      </c>
      <c r="L1980" s="16" t="b">
        <v>1</v>
      </c>
    </row>
    <row r="1981" spans="1:12" x14ac:dyDescent="0.25">
      <c r="A1981" s="16">
        <v>1921616</v>
      </c>
      <c r="B1981" s="16" t="s">
        <v>832</v>
      </c>
      <c r="C1981" s="16">
        <f t="shared" si="36"/>
        <v>102</v>
      </c>
      <c r="D1981" s="16" t="str">
        <f>VLOOKUP(C1981,[1]道具配置表!$A:$D,4,FALSE)</f>
        <v>1食物</v>
      </c>
      <c r="E1981" s="16">
        <f>E1977+300</f>
        <v>5500</v>
      </c>
      <c r="J1981" s="16">
        <v>1</v>
      </c>
      <c r="L1981" s="16" t="b">
        <v>1</v>
      </c>
    </row>
    <row r="1982" spans="1:12" x14ac:dyDescent="0.25">
      <c r="C1982" s="16">
        <f t="shared" si="36"/>
        <v>101</v>
      </c>
      <c r="D1982" s="16" t="str">
        <f>VLOOKUP(C1982,[1]道具配置表!$A:$D,4,FALSE)</f>
        <v>1木材</v>
      </c>
      <c r="E1982" s="16">
        <f>E1978+500</f>
        <v>8500</v>
      </c>
      <c r="J1982" s="16">
        <v>1</v>
      </c>
      <c r="L1982" s="16" t="b">
        <v>1</v>
      </c>
    </row>
    <row r="1983" spans="1:12" x14ac:dyDescent="0.25">
      <c r="C1983" s="16">
        <f t="shared" si="36"/>
        <v>103</v>
      </c>
      <c r="D1983" s="16" t="str">
        <f>VLOOKUP(C1983,[1]道具配置表!$A:$D,4,FALSE)</f>
        <v>1石头</v>
      </c>
      <c r="E1983" s="16">
        <f>E1979+500</f>
        <v>8500</v>
      </c>
      <c r="J1983" s="16">
        <v>1</v>
      </c>
      <c r="L1983" s="16" t="b">
        <v>1</v>
      </c>
    </row>
    <row r="1984" spans="1:12" x14ac:dyDescent="0.25">
      <c r="C1984" s="16">
        <f t="shared" si="36"/>
        <v>104</v>
      </c>
      <c r="D1984" s="16" t="str">
        <f>VLOOKUP(C1984,[1]道具配置表!$A:$D,4,FALSE)</f>
        <v>1黄金</v>
      </c>
      <c r="E1984" s="16">
        <f>E1980+500</f>
        <v>8500</v>
      </c>
      <c r="J1984" s="16">
        <v>1</v>
      </c>
      <c r="L1984" s="16" t="b">
        <v>1</v>
      </c>
    </row>
    <row r="1985" spans="1:12" x14ac:dyDescent="0.25">
      <c r="A1985" s="16">
        <v>1921617</v>
      </c>
      <c r="B1985" s="16" t="s">
        <v>833</v>
      </c>
      <c r="C1985" s="16">
        <f t="shared" si="36"/>
        <v>102</v>
      </c>
      <c r="D1985" s="16" t="str">
        <f>VLOOKUP(C1985,[1]道具配置表!$A:$D,4,FALSE)</f>
        <v>1食物</v>
      </c>
      <c r="E1985" s="16">
        <f>E1981+300</f>
        <v>5800</v>
      </c>
      <c r="J1985" s="16">
        <v>1</v>
      </c>
      <c r="L1985" s="16" t="b">
        <v>1</v>
      </c>
    </row>
    <row r="1986" spans="1:12" x14ac:dyDescent="0.25">
      <c r="C1986" s="16">
        <f t="shared" si="36"/>
        <v>101</v>
      </c>
      <c r="D1986" s="16" t="str">
        <f>VLOOKUP(C1986,[1]道具配置表!$A:$D,4,FALSE)</f>
        <v>1木材</v>
      </c>
      <c r="E1986" s="16">
        <f>E1982+500</f>
        <v>9000</v>
      </c>
      <c r="J1986" s="16">
        <v>1</v>
      </c>
      <c r="L1986" s="16" t="b">
        <v>1</v>
      </c>
    </row>
    <row r="1987" spans="1:12" x14ac:dyDescent="0.25">
      <c r="C1987" s="16">
        <f t="shared" si="36"/>
        <v>103</v>
      </c>
      <c r="D1987" s="16" t="str">
        <f>VLOOKUP(C1987,[1]道具配置表!$A:$D,4,FALSE)</f>
        <v>1石头</v>
      </c>
      <c r="E1987" s="16">
        <f>E1983+500</f>
        <v>9000</v>
      </c>
      <c r="J1987" s="16">
        <v>1</v>
      </c>
      <c r="L1987" s="16" t="b">
        <v>1</v>
      </c>
    </row>
    <row r="1988" spans="1:12" x14ac:dyDescent="0.25">
      <c r="C1988" s="16">
        <f t="shared" si="36"/>
        <v>104</v>
      </c>
      <c r="D1988" s="16" t="str">
        <f>VLOOKUP(C1988,[1]道具配置表!$A:$D,4,FALSE)</f>
        <v>1黄金</v>
      </c>
      <c r="E1988" s="16">
        <f>E1984+500</f>
        <v>9000</v>
      </c>
      <c r="J1988" s="16">
        <v>1</v>
      </c>
      <c r="L1988" s="16" t="b">
        <v>1</v>
      </c>
    </row>
    <row r="1989" spans="1:12" x14ac:dyDescent="0.25">
      <c r="A1989" s="16">
        <v>1921618</v>
      </c>
      <c r="B1989" s="16" t="s">
        <v>834</v>
      </c>
      <c r="C1989" s="16">
        <f t="shared" si="36"/>
        <v>102</v>
      </c>
      <c r="D1989" s="16" t="str">
        <f>VLOOKUP(C1989,[1]道具配置表!$A:$D,4,FALSE)</f>
        <v>1食物</v>
      </c>
      <c r="E1989" s="16">
        <f>E1985+300</f>
        <v>6100</v>
      </c>
      <c r="J1989" s="16">
        <v>1</v>
      </c>
      <c r="L1989" s="16" t="b">
        <v>1</v>
      </c>
    </row>
    <row r="1990" spans="1:12" x14ac:dyDescent="0.25">
      <c r="C1990" s="16">
        <f t="shared" si="36"/>
        <v>101</v>
      </c>
      <c r="D1990" s="16" t="str">
        <f>VLOOKUP(C1990,[1]道具配置表!$A:$D,4,FALSE)</f>
        <v>1木材</v>
      </c>
      <c r="E1990" s="16">
        <f>E1986+500</f>
        <v>9500</v>
      </c>
      <c r="J1990" s="16">
        <v>1</v>
      </c>
      <c r="L1990" s="16" t="b">
        <v>1</v>
      </c>
    </row>
    <row r="1991" spans="1:12" x14ac:dyDescent="0.25">
      <c r="C1991" s="16">
        <f t="shared" si="36"/>
        <v>103</v>
      </c>
      <c r="D1991" s="16" t="str">
        <f>VLOOKUP(C1991,[1]道具配置表!$A:$D,4,FALSE)</f>
        <v>1石头</v>
      </c>
      <c r="E1991" s="16">
        <f>E1987+500</f>
        <v>9500</v>
      </c>
      <c r="J1991" s="16">
        <v>1</v>
      </c>
      <c r="L1991" s="16" t="b">
        <v>1</v>
      </c>
    </row>
    <row r="1992" spans="1:12" x14ac:dyDescent="0.25">
      <c r="C1992" s="16">
        <f t="shared" si="36"/>
        <v>104</v>
      </c>
      <c r="D1992" s="16" t="str">
        <f>VLOOKUP(C1992,[1]道具配置表!$A:$D,4,FALSE)</f>
        <v>1黄金</v>
      </c>
      <c r="E1992" s="16">
        <f>E1988+500</f>
        <v>9500</v>
      </c>
      <c r="J1992" s="16">
        <v>1</v>
      </c>
      <c r="L1992" s="16" t="b">
        <v>1</v>
      </c>
    </row>
    <row r="1993" spans="1:12" x14ac:dyDescent="0.25">
      <c r="A1993" s="16">
        <v>1921619</v>
      </c>
      <c r="B1993" s="16" t="s">
        <v>835</v>
      </c>
      <c r="C1993" s="16">
        <f t="shared" si="36"/>
        <v>102</v>
      </c>
      <c r="D1993" s="16" t="str">
        <f>VLOOKUP(C1993,[1]道具配置表!$A:$D,4,FALSE)</f>
        <v>1食物</v>
      </c>
      <c r="E1993" s="16">
        <f>E1989+300</f>
        <v>6400</v>
      </c>
      <c r="J1993" s="16">
        <v>1</v>
      </c>
      <c r="L1993" s="16" t="b">
        <v>1</v>
      </c>
    </row>
    <row r="1994" spans="1:12" x14ac:dyDescent="0.25">
      <c r="C1994" s="16">
        <f t="shared" si="36"/>
        <v>101</v>
      </c>
      <c r="D1994" s="16" t="str">
        <f>VLOOKUP(C1994,[1]道具配置表!$A:$D,4,FALSE)</f>
        <v>1木材</v>
      </c>
      <c r="E1994" s="16">
        <f>E1990+500</f>
        <v>10000</v>
      </c>
      <c r="J1994" s="16">
        <v>1</v>
      </c>
      <c r="L1994" s="16" t="b">
        <v>1</v>
      </c>
    </row>
    <row r="1995" spans="1:12" x14ac:dyDescent="0.25">
      <c r="C1995" s="16">
        <f t="shared" si="36"/>
        <v>103</v>
      </c>
      <c r="D1995" s="16" t="str">
        <f>VLOOKUP(C1995,[1]道具配置表!$A:$D,4,FALSE)</f>
        <v>1石头</v>
      </c>
      <c r="E1995" s="16">
        <f>E1991+500</f>
        <v>10000</v>
      </c>
      <c r="J1995" s="16">
        <v>1</v>
      </c>
      <c r="L1995" s="16" t="b">
        <v>1</v>
      </c>
    </row>
    <row r="1996" spans="1:12" x14ac:dyDescent="0.25">
      <c r="C1996" s="16">
        <f t="shared" si="36"/>
        <v>104</v>
      </c>
      <c r="D1996" s="16" t="str">
        <f>VLOOKUP(C1996,[1]道具配置表!$A:$D,4,FALSE)</f>
        <v>1黄金</v>
      </c>
      <c r="E1996" s="16">
        <f>E1992+500</f>
        <v>10000</v>
      </c>
      <c r="J1996" s="16">
        <v>1</v>
      </c>
      <c r="L1996" s="16" t="b">
        <v>1</v>
      </c>
    </row>
    <row r="1997" spans="1:12" x14ac:dyDescent="0.25">
      <c r="A1997" s="16">
        <v>1921620</v>
      </c>
      <c r="B1997" s="16" t="s">
        <v>836</v>
      </c>
      <c r="C1997" s="16">
        <f t="shared" si="36"/>
        <v>102</v>
      </c>
      <c r="D1997" s="16" t="str">
        <f>VLOOKUP(C1997,[1]道具配置表!$A:$D,4,FALSE)</f>
        <v>1食物</v>
      </c>
      <c r="E1997" s="16">
        <f>E1993+300</f>
        <v>6700</v>
      </c>
      <c r="J1997" s="16">
        <v>1</v>
      </c>
      <c r="L1997" s="16" t="b">
        <v>1</v>
      </c>
    </row>
    <row r="1998" spans="1:12" x14ac:dyDescent="0.25">
      <c r="C1998" s="16">
        <f t="shared" si="36"/>
        <v>101</v>
      </c>
      <c r="D1998" s="16" t="str">
        <f>VLOOKUP(C1998,[1]道具配置表!$A:$D,4,FALSE)</f>
        <v>1木材</v>
      </c>
      <c r="E1998" s="16">
        <f>E1994+500</f>
        <v>10500</v>
      </c>
      <c r="J1998" s="16">
        <v>1</v>
      </c>
      <c r="L1998" s="16" t="b">
        <v>1</v>
      </c>
    </row>
    <row r="1999" spans="1:12" x14ac:dyDescent="0.25">
      <c r="C1999" s="16">
        <f t="shared" si="36"/>
        <v>103</v>
      </c>
      <c r="D1999" s="16" t="str">
        <f>VLOOKUP(C1999,[1]道具配置表!$A:$D,4,FALSE)</f>
        <v>1石头</v>
      </c>
      <c r="E1999" s="16">
        <f>E1995+500</f>
        <v>10500</v>
      </c>
      <c r="J1999" s="16">
        <v>1</v>
      </c>
      <c r="L1999" s="16" t="b">
        <v>1</v>
      </c>
    </row>
    <row r="2000" spans="1:12" x14ac:dyDescent="0.25">
      <c r="C2000" s="16">
        <f t="shared" si="36"/>
        <v>104</v>
      </c>
      <c r="D2000" s="16" t="str">
        <f>VLOOKUP(C2000,[1]道具配置表!$A:$D,4,FALSE)</f>
        <v>1黄金</v>
      </c>
      <c r="E2000" s="16">
        <f>E1996+500</f>
        <v>10500</v>
      </c>
      <c r="J2000" s="16">
        <v>1</v>
      </c>
      <c r="L2000" s="16" t="b">
        <v>1</v>
      </c>
    </row>
    <row r="2001" spans="1:12" x14ac:dyDescent="0.25">
      <c r="A2001" s="16">
        <v>1921621</v>
      </c>
      <c r="B2001" s="16" t="s">
        <v>837</v>
      </c>
      <c r="C2001" s="16">
        <f t="shared" si="36"/>
        <v>102</v>
      </c>
      <c r="D2001" s="16" t="str">
        <f>VLOOKUP(C2001,[1]道具配置表!$A:$D,4,FALSE)</f>
        <v>1食物</v>
      </c>
      <c r="E2001" s="16">
        <f>E1997+300</f>
        <v>7000</v>
      </c>
      <c r="J2001" s="16">
        <v>1</v>
      </c>
      <c r="L2001" s="16" t="b">
        <v>1</v>
      </c>
    </row>
    <row r="2002" spans="1:12" x14ac:dyDescent="0.25">
      <c r="C2002" s="16">
        <f t="shared" si="36"/>
        <v>101</v>
      </c>
      <c r="D2002" s="16" t="str">
        <f>VLOOKUP(C2002,[1]道具配置表!$A:$D,4,FALSE)</f>
        <v>1木材</v>
      </c>
      <c r="E2002" s="16">
        <f>E1998+500</f>
        <v>11000</v>
      </c>
      <c r="J2002" s="16">
        <v>1</v>
      </c>
      <c r="L2002" s="16" t="b">
        <v>1</v>
      </c>
    </row>
    <row r="2003" spans="1:12" x14ac:dyDescent="0.25">
      <c r="C2003" s="16">
        <f t="shared" si="36"/>
        <v>103</v>
      </c>
      <c r="D2003" s="16" t="str">
        <f>VLOOKUP(C2003,[1]道具配置表!$A:$D,4,FALSE)</f>
        <v>1石头</v>
      </c>
      <c r="E2003" s="16">
        <f>E1999+500</f>
        <v>11000</v>
      </c>
      <c r="J2003" s="16">
        <v>1</v>
      </c>
      <c r="L2003" s="16" t="b">
        <v>1</v>
      </c>
    </row>
    <row r="2004" spans="1:12" x14ac:dyDescent="0.25">
      <c r="C2004" s="16">
        <f t="shared" si="36"/>
        <v>104</v>
      </c>
      <c r="D2004" s="16" t="str">
        <f>VLOOKUP(C2004,[1]道具配置表!$A:$D,4,FALSE)</f>
        <v>1黄金</v>
      </c>
      <c r="E2004" s="16">
        <f>E2000+500</f>
        <v>11000</v>
      </c>
      <c r="J2004" s="16">
        <v>1</v>
      </c>
      <c r="L2004" s="16" t="b">
        <v>1</v>
      </c>
    </row>
    <row r="2005" spans="1:12" x14ac:dyDescent="0.25">
      <c r="A2005" s="16">
        <v>1921622</v>
      </c>
      <c r="B2005" s="16" t="s">
        <v>838</v>
      </c>
      <c r="C2005" s="16">
        <f t="shared" si="36"/>
        <v>102</v>
      </c>
      <c r="D2005" s="16" t="str">
        <f>VLOOKUP(C2005,[1]道具配置表!$A:$D,4,FALSE)</f>
        <v>1食物</v>
      </c>
      <c r="E2005" s="16">
        <f>E2001+300</f>
        <v>7300</v>
      </c>
      <c r="J2005" s="16">
        <v>1</v>
      </c>
      <c r="L2005" s="16" t="b">
        <v>1</v>
      </c>
    </row>
    <row r="2006" spans="1:12" x14ac:dyDescent="0.25">
      <c r="C2006" s="16">
        <f t="shared" si="36"/>
        <v>101</v>
      </c>
      <c r="D2006" s="16" t="str">
        <f>VLOOKUP(C2006,[1]道具配置表!$A:$D,4,FALSE)</f>
        <v>1木材</v>
      </c>
      <c r="E2006" s="16">
        <f>E2002+500</f>
        <v>11500</v>
      </c>
      <c r="J2006" s="16">
        <v>1</v>
      </c>
      <c r="L2006" s="16" t="b">
        <v>1</v>
      </c>
    </row>
    <row r="2007" spans="1:12" x14ac:dyDescent="0.25">
      <c r="C2007" s="16">
        <f t="shared" si="36"/>
        <v>103</v>
      </c>
      <c r="D2007" s="16" t="str">
        <f>VLOOKUP(C2007,[1]道具配置表!$A:$D,4,FALSE)</f>
        <v>1石头</v>
      </c>
      <c r="E2007" s="16">
        <f>E2003+500</f>
        <v>11500</v>
      </c>
      <c r="J2007" s="16">
        <v>1</v>
      </c>
      <c r="L2007" s="16" t="b">
        <v>1</v>
      </c>
    </row>
    <row r="2008" spans="1:12" x14ac:dyDescent="0.25">
      <c r="C2008" s="16">
        <f t="shared" si="36"/>
        <v>104</v>
      </c>
      <c r="D2008" s="16" t="str">
        <f>VLOOKUP(C2008,[1]道具配置表!$A:$D,4,FALSE)</f>
        <v>1黄金</v>
      </c>
      <c r="E2008" s="16">
        <f>E2004+500</f>
        <v>11500</v>
      </c>
      <c r="J2008" s="16">
        <v>1</v>
      </c>
      <c r="L2008" s="16" t="b">
        <v>1</v>
      </c>
    </row>
    <row r="2009" spans="1:12" x14ac:dyDescent="0.25">
      <c r="A2009" s="16">
        <v>1921623</v>
      </c>
      <c r="B2009" s="16" t="s">
        <v>839</v>
      </c>
      <c r="C2009" s="16">
        <f t="shared" si="36"/>
        <v>102</v>
      </c>
      <c r="D2009" s="16" t="str">
        <f>VLOOKUP(C2009,[1]道具配置表!$A:$D,4,FALSE)</f>
        <v>1食物</v>
      </c>
      <c r="E2009" s="16">
        <f>E2005+300</f>
        <v>7600</v>
      </c>
      <c r="J2009" s="16">
        <v>1</v>
      </c>
      <c r="L2009" s="16" t="b">
        <v>1</v>
      </c>
    </row>
    <row r="2010" spans="1:12" x14ac:dyDescent="0.25">
      <c r="C2010" s="16">
        <f t="shared" si="36"/>
        <v>101</v>
      </c>
      <c r="D2010" s="16" t="str">
        <f>VLOOKUP(C2010,[1]道具配置表!$A:$D,4,FALSE)</f>
        <v>1木材</v>
      </c>
      <c r="E2010" s="16">
        <f>E2006+500</f>
        <v>12000</v>
      </c>
      <c r="J2010" s="16">
        <v>1</v>
      </c>
      <c r="L2010" s="16" t="b">
        <v>1</v>
      </c>
    </row>
    <row r="2011" spans="1:12" x14ac:dyDescent="0.25">
      <c r="C2011" s="16">
        <f t="shared" si="36"/>
        <v>103</v>
      </c>
      <c r="D2011" s="16" t="str">
        <f>VLOOKUP(C2011,[1]道具配置表!$A:$D,4,FALSE)</f>
        <v>1石头</v>
      </c>
      <c r="E2011" s="16">
        <f>E2007+500</f>
        <v>12000</v>
      </c>
      <c r="J2011" s="16">
        <v>1</v>
      </c>
      <c r="L2011" s="16" t="b">
        <v>1</v>
      </c>
    </row>
    <row r="2012" spans="1:12" x14ac:dyDescent="0.25">
      <c r="C2012" s="16">
        <f t="shared" si="36"/>
        <v>104</v>
      </c>
      <c r="D2012" s="16" t="str">
        <f>VLOOKUP(C2012,[1]道具配置表!$A:$D,4,FALSE)</f>
        <v>1黄金</v>
      </c>
      <c r="E2012" s="16">
        <f>E2008+500</f>
        <v>12000</v>
      </c>
      <c r="J2012" s="16">
        <v>1</v>
      </c>
      <c r="L2012" s="16" t="b">
        <v>1</v>
      </c>
    </row>
    <row r="2013" spans="1:12" x14ac:dyDescent="0.25">
      <c r="A2013" s="16">
        <v>1921624</v>
      </c>
      <c r="B2013" s="16" t="s">
        <v>840</v>
      </c>
      <c r="C2013" s="16">
        <f t="shared" si="36"/>
        <v>102</v>
      </c>
      <c r="D2013" s="16" t="str">
        <f>VLOOKUP(C2013,[1]道具配置表!$A:$D,4,FALSE)</f>
        <v>1食物</v>
      </c>
      <c r="E2013" s="16">
        <f>E2009+300</f>
        <v>7900</v>
      </c>
      <c r="J2013" s="16">
        <v>1</v>
      </c>
      <c r="L2013" s="16" t="b">
        <v>1</v>
      </c>
    </row>
    <row r="2014" spans="1:12" x14ac:dyDescent="0.25">
      <c r="C2014" s="16">
        <f t="shared" si="36"/>
        <v>101</v>
      </c>
      <c r="D2014" s="16" t="str">
        <f>VLOOKUP(C2014,[1]道具配置表!$A:$D,4,FALSE)</f>
        <v>1木材</v>
      </c>
      <c r="E2014" s="16">
        <f>E2010+500</f>
        <v>12500</v>
      </c>
      <c r="J2014" s="16">
        <v>1</v>
      </c>
      <c r="L2014" s="16" t="b">
        <v>1</v>
      </c>
    </row>
    <row r="2015" spans="1:12" x14ac:dyDescent="0.25">
      <c r="C2015" s="16">
        <f t="shared" si="36"/>
        <v>103</v>
      </c>
      <c r="D2015" s="16" t="str">
        <f>VLOOKUP(C2015,[1]道具配置表!$A:$D,4,FALSE)</f>
        <v>1石头</v>
      </c>
      <c r="E2015" s="16">
        <f>E2011+500</f>
        <v>12500</v>
      </c>
      <c r="J2015" s="16">
        <v>1</v>
      </c>
      <c r="L2015" s="16" t="b">
        <v>1</v>
      </c>
    </row>
    <row r="2016" spans="1:12" x14ac:dyDescent="0.25">
      <c r="C2016" s="16">
        <f t="shared" si="36"/>
        <v>104</v>
      </c>
      <c r="D2016" s="16" t="str">
        <f>VLOOKUP(C2016,[1]道具配置表!$A:$D,4,FALSE)</f>
        <v>1黄金</v>
      </c>
      <c r="E2016" s="16">
        <f>E2012+500</f>
        <v>12500</v>
      </c>
      <c r="J2016" s="16">
        <v>1</v>
      </c>
      <c r="L2016" s="16" t="b">
        <v>1</v>
      </c>
    </row>
    <row r="2017" spans="1:12" x14ac:dyDescent="0.25">
      <c r="A2017" s="16">
        <v>1921625</v>
      </c>
      <c r="B2017" s="16" t="s">
        <v>841</v>
      </c>
      <c r="C2017" s="16">
        <f t="shared" si="36"/>
        <v>102</v>
      </c>
      <c r="D2017" s="16" t="str">
        <f>VLOOKUP(C2017,[1]道具配置表!$A:$D,4,FALSE)</f>
        <v>1食物</v>
      </c>
      <c r="E2017" s="16">
        <f>E2013+300</f>
        <v>8200</v>
      </c>
      <c r="J2017" s="16">
        <v>1</v>
      </c>
      <c r="L2017" s="16" t="b">
        <v>1</v>
      </c>
    </row>
    <row r="2018" spans="1:12" x14ac:dyDescent="0.25">
      <c r="C2018" s="16">
        <f t="shared" si="36"/>
        <v>101</v>
      </c>
      <c r="D2018" s="16" t="str">
        <f>VLOOKUP(C2018,[1]道具配置表!$A:$D,4,FALSE)</f>
        <v>1木材</v>
      </c>
      <c r="E2018" s="16">
        <f>E2014+500</f>
        <v>13000</v>
      </c>
      <c r="J2018" s="16">
        <v>1</v>
      </c>
      <c r="L2018" s="16" t="b">
        <v>1</v>
      </c>
    </row>
    <row r="2019" spans="1:12" x14ac:dyDescent="0.25">
      <c r="C2019" s="16">
        <f t="shared" si="36"/>
        <v>103</v>
      </c>
      <c r="D2019" s="16" t="str">
        <f>VLOOKUP(C2019,[1]道具配置表!$A:$D,4,FALSE)</f>
        <v>1石头</v>
      </c>
      <c r="E2019" s="16">
        <f>E2015+500</f>
        <v>13000</v>
      </c>
      <c r="J2019" s="16">
        <v>1</v>
      </c>
      <c r="L2019" s="16" t="b">
        <v>1</v>
      </c>
    </row>
    <row r="2020" spans="1:12" x14ac:dyDescent="0.25">
      <c r="C2020" s="16">
        <f t="shared" si="36"/>
        <v>104</v>
      </c>
      <c r="D2020" s="16" t="str">
        <f>VLOOKUP(C2020,[1]道具配置表!$A:$D,4,FALSE)</f>
        <v>1黄金</v>
      </c>
      <c r="E2020" s="16">
        <f>E2016+500</f>
        <v>13000</v>
      </c>
      <c r="J2020" s="16">
        <v>1</v>
      </c>
      <c r="L2020" s="16" t="b">
        <v>1</v>
      </c>
    </row>
    <row r="2021" spans="1:12" x14ac:dyDescent="0.25">
      <c r="A2021" s="16">
        <v>1921626</v>
      </c>
      <c r="B2021" s="16" t="s">
        <v>842</v>
      </c>
      <c r="C2021" s="16">
        <f t="shared" si="36"/>
        <v>102</v>
      </c>
      <c r="D2021" s="16" t="str">
        <f>VLOOKUP(C2021,[1]道具配置表!$A:$D,4,FALSE)</f>
        <v>1食物</v>
      </c>
      <c r="E2021" s="16">
        <f>E2017+300</f>
        <v>8500</v>
      </c>
      <c r="J2021" s="16">
        <v>1</v>
      </c>
      <c r="L2021" s="16" t="b">
        <v>1</v>
      </c>
    </row>
    <row r="2022" spans="1:12" x14ac:dyDescent="0.25">
      <c r="C2022" s="16">
        <f t="shared" si="36"/>
        <v>101</v>
      </c>
      <c r="D2022" s="16" t="str">
        <f>VLOOKUP(C2022,[1]道具配置表!$A:$D,4,FALSE)</f>
        <v>1木材</v>
      </c>
      <c r="E2022" s="16">
        <f>E2018+500</f>
        <v>13500</v>
      </c>
      <c r="J2022" s="16">
        <v>1</v>
      </c>
      <c r="L2022" s="16" t="b">
        <v>1</v>
      </c>
    </row>
    <row r="2023" spans="1:12" x14ac:dyDescent="0.25">
      <c r="C2023" s="16">
        <f t="shared" si="36"/>
        <v>103</v>
      </c>
      <c r="D2023" s="16" t="str">
        <f>VLOOKUP(C2023,[1]道具配置表!$A:$D,4,FALSE)</f>
        <v>1石头</v>
      </c>
      <c r="E2023" s="16">
        <f>E2019+500</f>
        <v>13500</v>
      </c>
      <c r="J2023" s="16">
        <v>1</v>
      </c>
      <c r="L2023" s="16" t="b">
        <v>1</v>
      </c>
    </row>
    <row r="2024" spans="1:12" x14ac:dyDescent="0.25">
      <c r="C2024" s="16">
        <f t="shared" si="36"/>
        <v>104</v>
      </c>
      <c r="D2024" s="16" t="str">
        <f>VLOOKUP(C2024,[1]道具配置表!$A:$D,4,FALSE)</f>
        <v>1黄金</v>
      </c>
      <c r="E2024" s="16">
        <f>E2020+500</f>
        <v>13500</v>
      </c>
      <c r="J2024" s="16">
        <v>1</v>
      </c>
      <c r="L2024" s="16" t="b">
        <v>1</v>
      </c>
    </row>
    <row r="2025" spans="1:12" x14ac:dyDescent="0.25">
      <c r="A2025" s="16">
        <v>1921627</v>
      </c>
      <c r="B2025" s="16" t="s">
        <v>843</v>
      </c>
      <c r="C2025" s="16">
        <f t="shared" si="36"/>
        <v>102</v>
      </c>
      <c r="D2025" s="16" t="str">
        <f>VLOOKUP(C2025,[1]道具配置表!$A:$D,4,FALSE)</f>
        <v>1食物</v>
      </c>
      <c r="E2025" s="16">
        <f>E2021+300</f>
        <v>8800</v>
      </c>
      <c r="J2025" s="16">
        <v>1</v>
      </c>
      <c r="L2025" s="16" t="b">
        <v>1</v>
      </c>
    </row>
    <row r="2026" spans="1:12" x14ac:dyDescent="0.25">
      <c r="C2026" s="16">
        <f t="shared" si="36"/>
        <v>101</v>
      </c>
      <c r="D2026" s="16" t="str">
        <f>VLOOKUP(C2026,[1]道具配置表!$A:$D,4,FALSE)</f>
        <v>1木材</v>
      </c>
      <c r="E2026" s="16">
        <f>E2022+500</f>
        <v>14000</v>
      </c>
      <c r="J2026" s="16">
        <v>1</v>
      </c>
      <c r="L2026" s="16" t="b">
        <v>1</v>
      </c>
    </row>
    <row r="2027" spans="1:12" x14ac:dyDescent="0.25">
      <c r="C2027" s="16">
        <f t="shared" si="36"/>
        <v>103</v>
      </c>
      <c r="D2027" s="16" t="str">
        <f>VLOOKUP(C2027,[1]道具配置表!$A:$D,4,FALSE)</f>
        <v>1石头</v>
      </c>
      <c r="E2027" s="16">
        <f>E2023+500</f>
        <v>14000</v>
      </c>
      <c r="J2027" s="16">
        <v>1</v>
      </c>
      <c r="L2027" s="16" t="b">
        <v>1</v>
      </c>
    </row>
    <row r="2028" spans="1:12" x14ac:dyDescent="0.25">
      <c r="C2028" s="16">
        <f t="shared" si="36"/>
        <v>104</v>
      </c>
      <c r="D2028" s="16" t="str">
        <f>VLOOKUP(C2028,[1]道具配置表!$A:$D,4,FALSE)</f>
        <v>1黄金</v>
      </c>
      <c r="E2028" s="16">
        <f>E2024+500</f>
        <v>14000</v>
      </c>
      <c r="J2028" s="16">
        <v>1</v>
      </c>
      <c r="L2028" s="16" t="b">
        <v>1</v>
      </c>
    </row>
    <row r="2029" spans="1:12" x14ac:dyDescent="0.25">
      <c r="A2029" s="16">
        <v>1921628</v>
      </c>
      <c r="B2029" s="16" t="s">
        <v>844</v>
      </c>
      <c r="C2029" s="16">
        <f t="shared" si="36"/>
        <v>102</v>
      </c>
      <c r="D2029" s="16" t="str">
        <f>VLOOKUP(C2029,[1]道具配置表!$A:$D,4,FALSE)</f>
        <v>1食物</v>
      </c>
      <c r="E2029" s="16">
        <f>E2025+300</f>
        <v>9100</v>
      </c>
      <c r="J2029" s="16">
        <v>1</v>
      </c>
      <c r="L2029" s="16" t="b">
        <v>1</v>
      </c>
    </row>
    <row r="2030" spans="1:12" x14ac:dyDescent="0.25">
      <c r="C2030" s="16">
        <f t="shared" si="36"/>
        <v>101</v>
      </c>
      <c r="D2030" s="16" t="str">
        <f>VLOOKUP(C2030,[1]道具配置表!$A:$D,4,FALSE)</f>
        <v>1木材</v>
      </c>
      <c r="E2030" s="16">
        <f>E2026+500</f>
        <v>14500</v>
      </c>
      <c r="J2030" s="16">
        <v>1</v>
      </c>
      <c r="L2030" s="16" t="b">
        <v>1</v>
      </c>
    </row>
    <row r="2031" spans="1:12" x14ac:dyDescent="0.25">
      <c r="C2031" s="16">
        <f t="shared" si="36"/>
        <v>103</v>
      </c>
      <c r="D2031" s="16" t="str">
        <f>VLOOKUP(C2031,[1]道具配置表!$A:$D,4,FALSE)</f>
        <v>1石头</v>
      </c>
      <c r="E2031" s="16">
        <f>E2027+500</f>
        <v>14500</v>
      </c>
      <c r="J2031" s="16">
        <v>1</v>
      </c>
      <c r="L2031" s="16" t="b">
        <v>1</v>
      </c>
    </row>
    <row r="2032" spans="1:12" x14ac:dyDescent="0.25">
      <c r="C2032" s="16">
        <f t="shared" si="36"/>
        <v>104</v>
      </c>
      <c r="D2032" s="16" t="str">
        <f>VLOOKUP(C2032,[1]道具配置表!$A:$D,4,FALSE)</f>
        <v>1黄金</v>
      </c>
      <c r="E2032" s="16">
        <f>E2028+500</f>
        <v>14500</v>
      </c>
      <c r="J2032" s="16">
        <v>1</v>
      </c>
      <c r="L2032" s="16" t="b">
        <v>1</v>
      </c>
    </row>
    <row r="2033" spans="1:12" x14ac:dyDescent="0.25">
      <c r="A2033" s="16">
        <v>1921629</v>
      </c>
      <c r="B2033" s="16" t="s">
        <v>845</v>
      </c>
      <c r="C2033" s="16">
        <f t="shared" ref="C2033:C2096" si="37">C2029</f>
        <v>102</v>
      </c>
      <c r="D2033" s="16" t="str">
        <f>VLOOKUP(C2033,[1]道具配置表!$A:$D,4,FALSE)</f>
        <v>1食物</v>
      </c>
      <c r="E2033" s="16">
        <f>E2029+300</f>
        <v>9400</v>
      </c>
      <c r="J2033" s="16">
        <v>1</v>
      </c>
      <c r="L2033" s="16" t="b">
        <v>1</v>
      </c>
    </row>
    <row r="2034" spans="1:12" x14ac:dyDescent="0.25">
      <c r="C2034" s="16">
        <f t="shared" si="37"/>
        <v>101</v>
      </c>
      <c r="D2034" s="16" t="str">
        <f>VLOOKUP(C2034,[1]道具配置表!$A:$D,4,FALSE)</f>
        <v>1木材</v>
      </c>
      <c r="E2034" s="16">
        <f>E2030+500</f>
        <v>15000</v>
      </c>
      <c r="J2034" s="16">
        <v>1</v>
      </c>
      <c r="L2034" s="16" t="b">
        <v>1</v>
      </c>
    </row>
    <row r="2035" spans="1:12" x14ac:dyDescent="0.25">
      <c r="C2035" s="16">
        <f t="shared" si="37"/>
        <v>103</v>
      </c>
      <c r="D2035" s="16" t="str">
        <f>VLOOKUP(C2035,[1]道具配置表!$A:$D,4,FALSE)</f>
        <v>1石头</v>
      </c>
      <c r="E2035" s="16">
        <f>E2031+500</f>
        <v>15000</v>
      </c>
      <c r="J2035" s="16">
        <v>1</v>
      </c>
      <c r="L2035" s="16" t="b">
        <v>1</v>
      </c>
    </row>
    <row r="2036" spans="1:12" x14ac:dyDescent="0.25">
      <c r="C2036" s="16">
        <f t="shared" si="37"/>
        <v>104</v>
      </c>
      <c r="D2036" s="16" t="str">
        <f>VLOOKUP(C2036,[1]道具配置表!$A:$D,4,FALSE)</f>
        <v>1黄金</v>
      </c>
      <c r="E2036" s="16">
        <f>E2032+500</f>
        <v>15000</v>
      </c>
      <c r="J2036" s="16">
        <v>1</v>
      </c>
      <c r="L2036" s="16" t="b">
        <v>1</v>
      </c>
    </row>
    <row r="2037" spans="1:12" x14ac:dyDescent="0.25">
      <c r="A2037" s="16">
        <v>1921630</v>
      </c>
      <c r="B2037" s="16" t="s">
        <v>846</v>
      </c>
      <c r="C2037" s="16">
        <f t="shared" si="37"/>
        <v>102</v>
      </c>
      <c r="D2037" s="16" t="str">
        <f>VLOOKUP(C2037,[1]道具配置表!$A:$D,4,FALSE)</f>
        <v>1食物</v>
      </c>
      <c r="E2037" s="16">
        <f>E2033+300</f>
        <v>9700</v>
      </c>
      <c r="J2037" s="16">
        <v>1</v>
      </c>
      <c r="L2037" s="16" t="b">
        <v>1</v>
      </c>
    </row>
    <row r="2038" spans="1:12" x14ac:dyDescent="0.25">
      <c r="C2038" s="16">
        <f t="shared" si="37"/>
        <v>101</v>
      </c>
      <c r="D2038" s="16" t="str">
        <f>VLOOKUP(C2038,[1]道具配置表!$A:$D,4,FALSE)</f>
        <v>1木材</v>
      </c>
      <c r="E2038" s="16">
        <f>E2034+500</f>
        <v>15500</v>
      </c>
      <c r="J2038" s="16">
        <v>1</v>
      </c>
      <c r="L2038" s="16" t="b">
        <v>1</v>
      </c>
    </row>
    <row r="2039" spans="1:12" x14ac:dyDescent="0.25">
      <c r="C2039" s="16">
        <f t="shared" si="37"/>
        <v>103</v>
      </c>
      <c r="D2039" s="16" t="str">
        <f>VLOOKUP(C2039,[1]道具配置表!$A:$D,4,FALSE)</f>
        <v>1石头</v>
      </c>
      <c r="E2039" s="16">
        <f>E2035+500</f>
        <v>15500</v>
      </c>
      <c r="J2039" s="16">
        <v>1</v>
      </c>
      <c r="L2039" s="16" t="b">
        <v>1</v>
      </c>
    </row>
    <row r="2040" spans="1:12" x14ac:dyDescent="0.25">
      <c r="C2040" s="16">
        <f t="shared" si="37"/>
        <v>104</v>
      </c>
      <c r="D2040" s="16" t="str">
        <f>VLOOKUP(C2040,[1]道具配置表!$A:$D,4,FALSE)</f>
        <v>1黄金</v>
      </c>
      <c r="E2040" s="16">
        <f>E2036+500</f>
        <v>15500</v>
      </c>
      <c r="J2040" s="16">
        <v>1</v>
      </c>
      <c r="L2040" s="16" t="b">
        <v>1</v>
      </c>
    </row>
    <row r="2041" spans="1:12" x14ac:dyDescent="0.25">
      <c r="A2041" s="16">
        <v>1921631</v>
      </c>
      <c r="B2041" s="16" t="s">
        <v>847</v>
      </c>
      <c r="C2041" s="16">
        <f t="shared" si="37"/>
        <v>102</v>
      </c>
      <c r="D2041" s="16" t="str">
        <f>VLOOKUP(C2041,[1]道具配置表!$A:$D,4,FALSE)</f>
        <v>1食物</v>
      </c>
      <c r="E2041" s="16">
        <f>E2037+300</f>
        <v>10000</v>
      </c>
      <c r="J2041" s="16">
        <v>1</v>
      </c>
      <c r="L2041" s="16" t="b">
        <v>1</v>
      </c>
    </row>
    <row r="2042" spans="1:12" x14ac:dyDescent="0.25">
      <c r="C2042" s="16">
        <f t="shared" si="37"/>
        <v>101</v>
      </c>
      <c r="D2042" s="16" t="str">
        <f>VLOOKUP(C2042,[1]道具配置表!$A:$D,4,FALSE)</f>
        <v>1木材</v>
      </c>
      <c r="E2042" s="16">
        <f>E2038+500</f>
        <v>16000</v>
      </c>
      <c r="J2042" s="16">
        <v>1</v>
      </c>
      <c r="L2042" s="16" t="b">
        <v>1</v>
      </c>
    </row>
    <row r="2043" spans="1:12" x14ac:dyDescent="0.25">
      <c r="C2043" s="16">
        <f t="shared" si="37"/>
        <v>103</v>
      </c>
      <c r="D2043" s="16" t="str">
        <f>VLOOKUP(C2043,[1]道具配置表!$A:$D,4,FALSE)</f>
        <v>1石头</v>
      </c>
      <c r="E2043" s="16">
        <f>E2039+500</f>
        <v>16000</v>
      </c>
      <c r="J2043" s="16">
        <v>1</v>
      </c>
      <c r="L2043" s="16" t="b">
        <v>1</v>
      </c>
    </row>
    <row r="2044" spans="1:12" x14ac:dyDescent="0.25">
      <c r="C2044" s="16">
        <f t="shared" si="37"/>
        <v>104</v>
      </c>
      <c r="D2044" s="16" t="str">
        <f>VLOOKUP(C2044,[1]道具配置表!$A:$D,4,FALSE)</f>
        <v>1黄金</v>
      </c>
      <c r="E2044" s="16">
        <f>E2040+500</f>
        <v>16000</v>
      </c>
      <c r="J2044" s="16">
        <v>1</v>
      </c>
      <c r="L2044" s="16" t="b">
        <v>1</v>
      </c>
    </row>
    <row r="2045" spans="1:12" x14ac:dyDescent="0.25">
      <c r="A2045" s="16">
        <v>1921632</v>
      </c>
      <c r="B2045" s="16" t="s">
        <v>848</v>
      </c>
      <c r="C2045" s="16">
        <f t="shared" si="37"/>
        <v>102</v>
      </c>
      <c r="D2045" s="16" t="str">
        <f>VLOOKUP(C2045,[1]道具配置表!$A:$D,4,FALSE)</f>
        <v>1食物</v>
      </c>
      <c r="E2045" s="16">
        <f>E2041+300</f>
        <v>10300</v>
      </c>
      <c r="J2045" s="16">
        <v>1</v>
      </c>
      <c r="L2045" s="16" t="b">
        <v>1</v>
      </c>
    </row>
    <row r="2046" spans="1:12" x14ac:dyDescent="0.25">
      <c r="C2046" s="16">
        <f t="shared" si="37"/>
        <v>101</v>
      </c>
      <c r="D2046" s="16" t="str">
        <f>VLOOKUP(C2046,[1]道具配置表!$A:$D,4,FALSE)</f>
        <v>1木材</v>
      </c>
      <c r="E2046" s="16">
        <f>E2042+500</f>
        <v>16500</v>
      </c>
      <c r="J2046" s="16">
        <v>1</v>
      </c>
      <c r="L2046" s="16" t="b">
        <v>1</v>
      </c>
    </row>
    <row r="2047" spans="1:12" x14ac:dyDescent="0.25">
      <c r="C2047" s="16">
        <f t="shared" si="37"/>
        <v>103</v>
      </c>
      <c r="D2047" s="16" t="str">
        <f>VLOOKUP(C2047,[1]道具配置表!$A:$D,4,FALSE)</f>
        <v>1石头</v>
      </c>
      <c r="E2047" s="16">
        <f>E2043+500</f>
        <v>16500</v>
      </c>
      <c r="J2047" s="16">
        <v>1</v>
      </c>
      <c r="L2047" s="16" t="b">
        <v>1</v>
      </c>
    </row>
    <row r="2048" spans="1:12" x14ac:dyDescent="0.25">
      <c r="C2048" s="16">
        <f t="shared" si="37"/>
        <v>104</v>
      </c>
      <c r="D2048" s="16" t="str">
        <f>VLOOKUP(C2048,[1]道具配置表!$A:$D,4,FALSE)</f>
        <v>1黄金</v>
      </c>
      <c r="E2048" s="16">
        <f>E2044+500</f>
        <v>16500</v>
      </c>
      <c r="J2048" s="16">
        <v>1</v>
      </c>
      <c r="L2048" s="16" t="b">
        <v>1</v>
      </c>
    </row>
    <row r="2049" spans="1:12" x14ac:dyDescent="0.25">
      <c r="A2049" s="16">
        <v>1921633</v>
      </c>
      <c r="B2049" s="16" t="s">
        <v>849</v>
      </c>
      <c r="C2049" s="16">
        <f t="shared" si="37"/>
        <v>102</v>
      </c>
      <c r="D2049" s="16" t="str">
        <f>VLOOKUP(C2049,[1]道具配置表!$A:$D,4,FALSE)</f>
        <v>1食物</v>
      </c>
      <c r="E2049" s="16">
        <f>E2045+300</f>
        <v>10600</v>
      </c>
      <c r="J2049" s="16">
        <v>1</v>
      </c>
      <c r="L2049" s="16" t="b">
        <v>1</v>
      </c>
    </row>
    <row r="2050" spans="1:12" x14ac:dyDescent="0.25">
      <c r="C2050" s="16">
        <f t="shared" si="37"/>
        <v>101</v>
      </c>
      <c r="D2050" s="16" t="str">
        <f>VLOOKUP(C2050,[1]道具配置表!$A:$D,4,FALSE)</f>
        <v>1木材</v>
      </c>
      <c r="E2050" s="16">
        <f>E2046+500</f>
        <v>17000</v>
      </c>
      <c r="J2050" s="16">
        <v>1</v>
      </c>
      <c r="L2050" s="16" t="b">
        <v>1</v>
      </c>
    </row>
    <row r="2051" spans="1:12" x14ac:dyDescent="0.25">
      <c r="C2051" s="16">
        <f t="shared" si="37"/>
        <v>103</v>
      </c>
      <c r="D2051" s="16" t="str">
        <f>VLOOKUP(C2051,[1]道具配置表!$A:$D,4,FALSE)</f>
        <v>1石头</v>
      </c>
      <c r="E2051" s="16">
        <f>E2047+500</f>
        <v>17000</v>
      </c>
      <c r="J2051" s="16">
        <v>1</v>
      </c>
      <c r="L2051" s="16" t="b">
        <v>1</v>
      </c>
    </row>
    <row r="2052" spans="1:12" x14ac:dyDescent="0.25">
      <c r="C2052" s="16">
        <f t="shared" si="37"/>
        <v>104</v>
      </c>
      <c r="D2052" s="16" t="str">
        <f>VLOOKUP(C2052,[1]道具配置表!$A:$D,4,FALSE)</f>
        <v>1黄金</v>
      </c>
      <c r="E2052" s="16">
        <f>E2048+500</f>
        <v>17000</v>
      </c>
      <c r="J2052" s="16">
        <v>1</v>
      </c>
      <c r="L2052" s="16" t="b">
        <v>1</v>
      </c>
    </row>
    <row r="2053" spans="1:12" x14ac:dyDescent="0.25">
      <c r="A2053" s="16">
        <v>1921634</v>
      </c>
      <c r="B2053" s="16" t="s">
        <v>850</v>
      </c>
      <c r="C2053" s="16">
        <f t="shared" si="37"/>
        <v>102</v>
      </c>
      <c r="D2053" s="16" t="str">
        <f>VLOOKUP(C2053,[1]道具配置表!$A:$D,4,FALSE)</f>
        <v>1食物</v>
      </c>
      <c r="E2053" s="16">
        <f>E2049+300</f>
        <v>10900</v>
      </c>
      <c r="J2053" s="16">
        <v>1</v>
      </c>
      <c r="L2053" s="16" t="b">
        <v>1</v>
      </c>
    </row>
    <row r="2054" spans="1:12" x14ac:dyDescent="0.25">
      <c r="C2054" s="16">
        <f t="shared" si="37"/>
        <v>101</v>
      </c>
      <c r="D2054" s="16" t="str">
        <f>VLOOKUP(C2054,[1]道具配置表!$A:$D,4,FALSE)</f>
        <v>1木材</v>
      </c>
      <c r="E2054" s="16">
        <f>E2050+500</f>
        <v>17500</v>
      </c>
      <c r="J2054" s="16">
        <v>1</v>
      </c>
      <c r="L2054" s="16" t="b">
        <v>1</v>
      </c>
    </row>
    <row r="2055" spans="1:12" x14ac:dyDescent="0.25">
      <c r="C2055" s="16">
        <f t="shared" si="37"/>
        <v>103</v>
      </c>
      <c r="D2055" s="16" t="str">
        <f>VLOOKUP(C2055,[1]道具配置表!$A:$D,4,FALSE)</f>
        <v>1石头</v>
      </c>
      <c r="E2055" s="16">
        <f>E2051+500</f>
        <v>17500</v>
      </c>
      <c r="J2055" s="16">
        <v>1</v>
      </c>
      <c r="L2055" s="16" t="b">
        <v>1</v>
      </c>
    </row>
    <row r="2056" spans="1:12" x14ac:dyDescent="0.25">
      <c r="C2056" s="16">
        <f t="shared" si="37"/>
        <v>104</v>
      </c>
      <c r="D2056" s="16" t="str">
        <f>VLOOKUP(C2056,[1]道具配置表!$A:$D,4,FALSE)</f>
        <v>1黄金</v>
      </c>
      <c r="E2056" s="16">
        <f>E2052+500</f>
        <v>17500</v>
      </c>
      <c r="J2056" s="16">
        <v>1</v>
      </c>
      <c r="L2056" s="16" t="b">
        <v>1</v>
      </c>
    </row>
    <row r="2057" spans="1:12" x14ac:dyDescent="0.25">
      <c r="A2057" s="16">
        <v>1921635</v>
      </c>
      <c r="B2057" s="16" t="s">
        <v>851</v>
      </c>
      <c r="C2057" s="16">
        <f t="shared" si="37"/>
        <v>102</v>
      </c>
      <c r="D2057" s="16" t="str">
        <f>VLOOKUP(C2057,[1]道具配置表!$A:$D,4,FALSE)</f>
        <v>1食物</v>
      </c>
      <c r="E2057" s="16">
        <f>E2053+300</f>
        <v>11200</v>
      </c>
      <c r="J2057" s="16">
        <v>1</v>
      </c>
      <c r="L2057" s="16" t="b">
        <v>1</v>
      </c>
    </row>
    <row r="2058" spans="1:12" x14ac:dyDescent="0.25">
      <c r="C2058" s="16">
        <f t="shared" si="37"/>
        <v>101</v>
      </c>
      <c r="D2058" s="16" t="str">
        <f>VLOOKUP(C2058,[1]道具配置表!$A:$D,4,FALSE)</f>
        <v>1木材</v>
      </c>
      <c r="E2058" s="16">
        <f>E2054+500</f>
        <v>18000</v>
      </c>
      <c r="J2058" s="16">
        <v>1</v>
      </c>
      <c r="L2058" s="16" t="b">
        <v>1</v>
      </c>
    </row>
    <row r="2059" spans="1:12" x14ac:dyDescent="0.25">
      <c r="C2059" s="16">
        <f t="shared" si="37"/>
        <v>103</v>
      </c>
      <c r="D2059" s="16" t="str">
        <f>VLOOKUP(C2059,[1]道具配置表!$A:$D,4,FALSE)</f>
        <v>1石头</v>
      </c>
      <c r="E2059" s="16">
        <f>E2055+500</f>
        <v>18000</v>
      </c>
      <c r="J2059" s="16">
        <v>1</v>
      </c>
      <c r="L2059" s="16" t="b">
        <v>1</v>
      </c>
    </row>
    <row r="2060" spans="1:12" x14ac:dyDescent="0.25">
      <c r="C2060" s="16">
        <f t="shared" si="37"/>
        <v>104</v>
      </c>
      <c r="D2060" s="16" t="str">
        <f>VLOOKUP(C2060,[1]道具配置表!$A:$D,4,FALSE)</f>
        <v>1黄金</v>
      </c>
      <c r="E2060" s="16">
        <f>E2056+500</f>
        <v>18000</v>
      </c>
      <c r="J2060" s="16">
        <v>1</v>
      </c>
      <c r="L2060" s="16" t="b">
        <v>1</v>
      </c>
    </row>
    <row r="2061" spans="1:12" x14ac:dyDescent="0.25">
      <c r="A2061" s="16">
        <v>1921636</v>
      </c>
      <c r="B2061" s="16" t="s">
        <v>852</v>
      </c>
      <c r="C2061" s="16">
        <f t="shared" si="37"/>
        <v>102</v>
      </c>
      <c r="D2061" s="16" t="str">
        <f>VLOOKUP(C2061,[1]道具配置表!$A:$D,4,FALSE)</f>
        <v>1食物</v>
      </c>
      <c r="E2061" s="16">
        <f>E2057+300</f>
        <v>11500</v>
      </c>
      <c r="J2061" s="16">
        <v>1</v>
      </c>
      <c r="L2061" s="16" t="b">
        <v>1</v>
      </c>
    </row>
    <row r="2062" spans="1:12" x14ac:dyDescent="0.25">
      <c r="C2062" s="16">
        <f t="shared" si="37"/>
        <v>101</v>
      </c>
      <c r="D2062" s="16" t="str">
        <f>VLOOKUP(C2062,[1]道具配置表!$A:$D,4,FALSE)</f>
        <v>1木材</v>
      </c>
      <c r="E2062" s="16">
        <f>E2058+500</f>
        <v>18500</v>
      </c>
      <c r="J2062" s="16">
        <v>1</v>
      </c>
      <c r="L2062" s="16" t="b">
        <v>1</v>
      </c>
    </row>
    <row r="2063" spans="1:12" x14ac:dyDescent="0.25">
      <c r="C2063" s="16">
        <f t="shared" si="37"/>
        <v>103</v>
      </c>
      <c r="D2063" s="16" t="str">
        <f>VLOOKUP(C2063,[1]道具配置表!$A:$D,4,FALSE)</f>
        <v>1石头</v>
      </c>
      <c r="E2063" s="16">
        <f>E2059+500</f>
        <v>18500</v>
      </c>
      <c r="J2063" s="16">
        <v>1</v>
      </c>
      <c r="L2063" s="16" t="b">
        <v>1</v>
      </c>
    </row>
    <row r="2064" spans="1:12" x14ac:dyDescent="0.25">
      <c r="C2064" s="16">
        <f t="shared" si="37"/>
        <v>104</v>
      </c>
      <c r="D2064" s="16" t="str">
        <f>VLOOKUP(C2064,[1]道具配置表!$A:$D,4,FALSE)</f>
        <v>1黄金</v>
      </c>
      <c r="E2064" s="16">
        <f>E2060+500</f>
        <v>18500</v>
      </c>
      <c r="J2064" s="16">
        <v>1</v>
      </c>
      <c r="L2064" s="16" t="b">
        <v>1</v>
      </c>
    </row>
    <row r="2065" spans="1:12" x14ac:dyDescent="0.25">
      <c r="A2065" s="16">
        <v>1921637</v>
      </c>
      <c r="B2065" s="16" t="s">
        <v>853</v>
      </c>
      <c r="C2065" s="16">
        <f t="shared" si="37"/>
        <v>102</v>
      </c>
      <c r="D2065" s="16" t="str">
        <f>VLOOKUP(C2065,[1]道具配置表!$A:$D,4,FALSE)</f>
        <v>1食物</v>
      </c>
      <c r="E2065" s="16">
        <f>E2061+300</f>
        <v>11800</v>
      </c>
      <c r="J2065" s="16">
        <v>1</v>
      </c>
      <c r="L2065" s="16" t="b">
        <v>1</v>
      </c>
    </row>
    <row r="2066" spans="1:12" x14ac:dyDescent="0.25">
      <c r="C2066" s="16">
        <f t="shared" si="37"/>
        <v>101</v>
      </c>
      <c r="D2066" s="16" t="str">
        <f>VLOOKUP(C2066,[1]道具配置表!$A:$D,4,FALSE)</f>
        <v>1木材</v>
      </c>
      <c r="E2066" s="16">
        <f>E2062+500</f>
        <v>19000</v>
      </c>
      <c r="J2066" s="16">
        <v>1</v>
      </c>
      <c r="L2066" s="16" t="b">
        <v>1</v>
      </c>
    </row>
    <row r="2067" spans="1:12" x14ac:dyDescent="0.25">
      <c r="C2067" s="16">
        <f t="shared" si="37"/>
        <v>103</v>
      </c>
      <c r="D2067" s="16" t="str">
        <f>VLOOKUP(C2067,[1]道具配置表!$A:$D,4,FALSE)</f>
        <v>1石头</v>
      </c>
      <c r="E2067" s="16">
        <f>E2063+500</f>
        <v>19000</v>
      </c>
      <c r="J2067" s="16">
        <v>1</v>
      </c>
      <c r="L2067" s="16" t="b">
        <v>1</v>
      </c>
    </row>
    <row r="2068" spans="1:12" x14ac:dyDescent="0.25">
      <c r="C2068" s="16">
        <f t="shared" si="37"/>
        <v>104</v>
      </c>
      <c r="D2068" s="16" t="str">
        <f>VLOOKUP(C2068,[1]道具配置表!$A:$D,4,FALSE)</f>
        <v>1黄金</v>
      </c>
      <c r="E2068" s="16">
        <f>E2064+500</f>
        <v>19000</v>
      </c>
      <c r="J2068" s="16">
        <v>1</v>
      </c>
      <c r="L2068" s="16" t="b">
        <v>1</v>
      </c>
    </row>
    <row r="2069" spans="1:12" x14ac:dyDescent="0.25">
      <c r="A2069" s="16">
        <v>1921638</v>
      </c>
      <c r="B2069" s="16" t="s">
        <v>854</v>
      </c>
      <c r="C2069" s="16">
        <f t="shared" si="37"/>
        <v>102</v>
      </c>
      <c r="D2069" s="16" t="str">
        <f>VLOOKUP(C2069,[1]道具配置表!$A:$D,4,FALSE)</f>
        <v>1食物</v>
      </c>
      <c r="E2069" s="16">
        <f>E2065+300</f>
        <v>12100</v>
      </c>
      <c r="J2069" s="16">
        <v>1</v>
      </c>
      <c r="L2069" s="16" t="b">
        <v>1</v>
      </c>
    </row>
    <row r="2070" spans="1:12" x14ac:dyDescent="0.25">
      <c r="C2070" s="16">
        <f t="shared" si="37"/>
        <v>101</v>
      </c>
      <c r="D2070" s="16" t="str">
        <f>VLOOKUP(C2070,[1]道具配置表!$A:$D,4,FALSE)</f>
        <v>1木材</v>
      </c>
      <c r="E2070" s="16">
        <f>E2066+500</f>
        <v>19500</v>
      </c>
      <c r="J2070" s="16">
        <v>1</v>
      </c>
      <c r="L2070" s="16" t="b">
        <v>1</v>
      </c>
    </row>
    <row r="2071" spans="1:12" x14ac:dyDescent="0.25">
      <c r="C2071" s="16">
        <f t="shared" si="37"/>
        <v>103</v>
      </c>
      <c r="D2071" s="16" t="str">
        <f>VLOOKUP(C2071,[1]道具配置表!$A:$D,4,FALSE)</f>
        <v>1石头</v>
      </c>
      <c r="E2071" s="16">
        <f>E2067+500</f>
        <v>19500</v>
      </c>
      <c r="J2071" s="16">
        <v>1</v>
      </c>
      <c r="L2071" s="16" t="b">
        <v>1</v>
      </c>
    </row>
    <row r="2072" spans="1:12" x14ac:dyDescent="0.25">
      <c r="C2072" s="16">
        <f t="shared" si="37"/>
        <v>104</v>
      </c>
      <c r="D2072" s="16" t="str">
        <f>VLOOKUP(C2072,[1]道具配置表!$A:$D,4,FALSE)</f>
        <v>1黄金</v>
      </c>
      <c r="E2072" s="16">
        <f>E2068+500</f>
        <v>19500</v>
      </c>
      <c r="J2072" s="16">
        <v>1</v>
      </c>
      <c r="L2072" s="16" t="b">
        <v>1</v>
      </c>
    </row>
    <row r="2073" spans="1:12" x14ac:dyDescent="0.25">
      <c r="A2073" s="16">
        <v>1921639</v>
      </c>
      <c r="B2073" s="16" t="s">
        <v>855</v>
      </c>
      <c r="C2073" s="16">
        <f t="shared" si="37"/>
        <v>102</v>
      </c>
      <c r="D2073" s="16" t="str">
        <f>VLOOKUP(C2073,[1]道具配置表!$A:$D,4,FALSE)</f>
        <v>1食物</v>
      </c>
      <c r="E2073" s="16">
        <f>E2069+300</f>
        <v>12400</v>
      </c>
      <c r="J2073" s="16">
        <v>1</v>
      </c>
      <c r="L2073" s="16" t="b">
        <v>1</v>
      </c>
    </row>
    <row r="2074" spans="1:12" x14ac:dyDescent="0.25">
      <c r="C2074" s="16">
        <f t="shared" si="37"/>
        <v>101</v>
      </c>
      <c r="D2074" s="16" t="str">
        <f>VLOOKUP(C2074,[1]道具配置表!$A:$D,4,FALSE)</f>
        <v>1木材</v>
      </c>
      <c r="E2074" s="16">
        <f>E2070+500</f>
        <v>20000</v>
      </c>
      <c r="J2074" s="16">
        <v>1</v>
      </c>
      <c r="L2074" s="16" t="b">
        <v>1</v>
      </c>
    </row>
    <row r="2075" spans="1:12" x14ac:dyDescent="0.25">
      <c r="C2075" s="16">
        <f t="shared" si="37"/>
        <v>103</v>
      </c>
      <c r="D2075" s="16" t="str">
        <f>VLOOKUP(C2075,[1]道具配置表!$A:$D,4,FALSE)</f>
        <v>1石头</v>
      </c>
      <c r="E2075" s="16">
        <f>E2071+500</f>
        <v>20000</v>
      </c>
      <c r="J2075" s="16">
        <v>1</v>
      </c>
      <c r="L2075" s="16" t="b">
        <v>1</v>
      </c>
    </row>
    <row r="2076" spans="1:12" x14ac:dyDescent="0.25">
      <c r="C2076" s="16">
        <f t="shared" si="37"/>
        <v>104</v>
      </c>
      <c r="D2076" s="16" t="str">
        <f>VLOOKUP(C2076,[1]道具配置表!$A:$D,4,FALSE)</f>
        <v>1黄金</v>
      </c>
      <c r="E2076" s="16">
        <f>E2072+500</f>
        <v>20000</v>
      </c>
      <c r="J2076" s="16">
        <v>1</v>
      </c>
      <c r="L2076" s="16" t="b">
        <v>1</v>
      </c>
    </row>
    <row r="2077" spans="1:12" x14ac:dyDescent="0.25">
      <c r="A2077" s="16">
        <v>1921640</v>
      </c>
      <c r="B2077" s="16" t="s">
        <v>856</v>
      </c>
      <c r="C2077" s="16">
        <f t="shared" si="37"/>
        <v>102</v>
      </c>
      <c r="D2077" s="16" t="str">
        <f>VLOOKUP(C2077,[1]道具配置表!$A:$D,4,FALSE)</f>
        <v>1食物</v>
      </c>
      <c r="E2077" s="16">
        <f>E2073+300</f>
        <v>12700</v>
      </c>
      <c r="J2077" s="16">
        <v>1</v>
      </c>
      <c r="L2077" s="16" t="b">
        <v>1</v>
      </c>
    </row>
    <row r="2078" spans="1:12" x14ac:dyDescent="0.25">
      <c r="C2078" s="16">
        <f t="shared" si="37"/>
        <v>101</v>
      </c>
      <c r="D2078" s="16" t="str">
        <f>VLOOKUP(C2078,[1]道具配置表!$A:$D,4,FALSE)</f>
        <v>1木材</v>
      </c>
      <c r="E2078" s="16">
        <f>E2074+500</f>
        <v>20500</v>
      </c>
      <c r="J2078" s="16">
        <v>1</v>
      </c>
      <c r="L2078" s="16" t="b">
        <v>1</v>
      </c>
    </row>
    <row r="2079" spans="1:12" x14ac:dyDescent="0.25">
      <c r="C2079" s="16">
        <f t="shared" si="37"/>
        <v>103</v>
      </c>
      <c r="D2079" s="16" t="str">
        <f>VLOOKUP(C2079,[1]道具配置表!$A:$D,4,FALSE)</f>
        <v>1石头</v>
      </c>
      <c r="E2079" s="16">
        <f>E2075+500</f>
        <v>20500</v>
      </c>
      <c r="J2079" s="16">
        <v>1</v>
      </c>
      <c r="L2079" s="16" t="b">
        <v>1</v>
      </c>
    </row>
    <row r="2080" spans="1:12" x14ac:dyDescent="0.25">
      <c r="C2080" s="16">
        <f t="shared" si="37"/>
        <v>104</v>
      </c>
      <c r="D2080" s="16" t="str">
        <f>VLOOKUP(C2080,[1]道具配置表!$A:$D,4,FALSE)</f>
        <v>1黄金</v>
      </c>
      <c r="E2080" s="16">
        <f>E2076+500</f>
        <v>20500</v>
      </c>
      <c r="J2080" s="16">
        <v>1</v>
      </c>
      <c r="L2080" s="16" t="b">
        <v>1</v>
      </c>
    </row>
    <row r="2081" spans="1:12" x14ac:dyDescent="0.25">
      <c r="A2081" s="16">
        <v>1921641</v>
      </c>
      <c r="B2081" s="16" t="s">
        <v>857</v>
      </c>
      <c r="C2081" s="16">
        <f t="shared" si="37"/>
        <v>102</v>
      </c>
      <c r="D2081" s="16" t="str">
        <f>VLOOKUP(C2081,[1]道具配置表!$A:$D,4,FALSE)</f>
        <v>1食物</v>
      </c>
      <c r="E2081" s="16">
        <f>E2077+300</f>
        <v>13000</v>
      </c>
      <c r="J2081" s="16">
        <v>1</v>
      </c>
      <c r="L2081" s="16" t="b">
        <v>1</v>
      </c>
    </row>
    <row r="2082" spans="1:12" x14ac:dyDescent="0.25">
      <c r="C2082" s="16">
        <f t="shared" si="37"/>
        <v>101</v>
      </c>
      <c r="D2082" s="16" t="str">
        <f>VLOOKUP(C2082,[1]道具配置表!$A:$D,4,FALSE)</f>
        <v>1木材</v>
      </c>
      <c r="E2082" s="16">
        <f>E2078+500</f>
        <v>21000</v>
      </c>
      <c r="J2082" s="16">
        <v>1</v>
      </c>
      <c r="L2082" s="16" t="b">
        <v>1</v>
      </c>
    </row>
    <row r="2083" spans="1:12" x14ac:dyDescent="0.25">
      <c r="C2083" s="16">
        <f t="shared" si="37"/>
        <v>103</v>
      </c>
      <c r="D2083" s="16" t="str">
        <f>VLOOKUP(C2083,[1]道具配置表!$A:$D,4,FALSE)</f>
        <v>1石头</v>
      </c>
      <c r="E2083" s="16">
        <f>E2079+500</f>
        <v>21000</v>
      </c>
      <c r="J2083" s="16">
        <v>1</v>
      </c>
      <c r="L2083" s="16" t="b">
        <v>1</v>
      </c>
    </row>
    <row r="2084" spans="1:12" x14ac:dyDescent="0.25">
      <c r="C2084" s="16">
        <f t="shared" si="37"/>
        <v>104</v>
      </c>
      <c r="D2084" s="16" t="str">
        <f>VLOOKUP(C2084,[1]道具配置表!$A:$D,4,FALSE)</f>
        <v>1黄金</v>
      </c>
      <c r="E2084" s="16">
        <f>E2080+500</f>
        <v>21000</v>
      </c>
      <c r="J2084" s="16">
        <v>1</v>
      </c>
      <c r="L2084" s="16" t="b">
        <v>1</v>
      </c>
    </row>
    <row r="2085" spans="1:12" x14ac:dyDescent="0.25">
      <c r="A2085" s="16">
        <v>1921642</v>
      </c>
      <c r="B2085" s="16" t="s">
        <v>858</v>
      </c>
      <c r="C2085" s="16">
        <f t="shared" si="37"/>
        <v>102</v>
      </c>
      <c r="D2085" s="16" t="str">
        <f>VLOOKUP(C2085,[1]道具配置表!$A:$D,4,FALSE)</f>
        <v>1食物</v>
      </c>
      <c r="E2085" s="16">
        <f>E2081+300</f>
        <v>13300</v>
      </c>
      <c r="J2085" s="16">
        <v>1</v>
      </c>
      <c r="L2085" s="16" t="b">
        <v>1</v>
      </c>
    </row>
    <row r="2086" spans="1:12" x14ac:dyDescent="0.25">
      <c r="C2086" s="16">
        <f t="shared" si="37"/>
        <v>101</v>
      </c>
      <c r="D2086" s="16" t="str">
        <f>VLOOKUP(C2086,[1]道具配置表!$A:$D,4,FALSE)</f>
        <v>1木材</v>
      </c>
      <c r="E2086" s="16">
        <f>E2082+500</f>
        <v>21500</v>
      </c>
      <c r="J2086" s="16">
        <v>1</v>
      </c>
      <c r="L2086" s="16" t="b">
        <v>1</v>
      </c>
    </row>
    <row r="2087" spans="1:12" x14ac:dyDescent="0.25">
      <c r="C2087" s="16">
        <f t="shared" si="37"/>
        <v>103</v>
      </c>
      <c r="D2087" s="16" t="str">
        <f>VLOOKUP(C2087,[1]道具配置表!$A:$D,4,FALSE)</f>
        <v>1石头</v>
      </c>
      <c r="E2087" s="16">
        <f>E2083+500</f>
        <v>21500</v>
      </c>
      <c r="J2087" s="16">
        <v>1</v>
      </c>
      <c r="L2087" s="16" t="b">
        <v>1</v>
      </c>
    </row>
    <row r="2088" spans="1:12" x14ac:dyDescent="0.25">
      <c r="C2088" s="16">
        <f t="shared" si="37"/>
        <v>104</v>
      </c>
      <c r="D2088" s="16" t="str">
        <f>VLOOKUP(C2088,[1]道具配置表!$A:$D,4,FALSE)</f>
        <v>1黄金</v>
      </c>
      <c r="E2088" s="16">
        <f>E2084+500</f>
        <v>21500</v>
      </c>
      <c r="J2088" s="16">
        <v>1</v>
      </c>
      <c r="L2088" s="16" t="b">
        <v>1</v>
      </c>
    </row>
    <row r="2089" spans="1:12" x14ac:dyDescent="0.25">
      <c r="A2089" s="16">
        <v>1921643</v>
      </c>
      <c r="B2089" s="16" t="s">
        <v>859</v>
      </c>
      <c r="C2089" s="16">
        <f t="shared" si="37"/>
        <v>102</v>
      </c>
      <c r="D2089" s="16" t="str">
        <f>VLOOKUP(C2089,[1]道具配置表!$A:$D,4,FALSE)</f>
        <v>1食物</v>
      </c>
      <c r="E2089" s="16">
        <f>E2085+300</f>
        <v>13600</v>
      </c>
      <c r="J2089" s="16">
        <v>1</v>
      </c>
      <c r="L2089" s="16" t="b">
        <v>1</v>
      </c>
    </row>
    <row r="2090" spans="1:12" x14ac:dyDescent="0.25">
      <c r="C2090" s="16">
        <f t="shared" si="37"/>
        <v>101</v>
      </c>
      <c r="D2090" s="16" t="str">
        <f>VLOOKUP(C2090,[1]道具配置表!$A:$D,4,FALSE)</f>
        <v>1木材</v>
      </c>
      <c r="E2090" s="16">
        <f>E2086+500</f>
        <v>22000</v>
      </c>
      <c r="J2090" s="16">
        <v>1</v>
      </c>
      <c r="L2090" s="16" t="b">
        <v>1</v>
      </c>
    </row>
    <row r="2091" spans="1:12" x14ac:dyDescent="0.25">
      <c r="C2091" s="16">
        <f t="shared" si="37"/>
        <v>103</v>
      </c>
      <c r="D2091" s="16" t="str">
        <f>VLOOKUP(C2091,[1]道具配置表!$A:$D,4,FALSE)</f>
        <v>1石头</v>
      </c>
      <c r="E2091" s="16">
        <f>E2087+500</f>
        <v>22000</v>
      </c>
      <c r="J2091" s="16">
        <v>1</v>
      </c>
      <c r="L2091" s="16" t="b">
        <v>1</v>
      </c>
    </row>
    <row r="2092" spans="1:12" x14ac:dyDescent="0.25">
      <c r="C2092" s="16">
        <f t="shared" si="37"/>
        <v>104</v>
      </c>
      <c r="D2092" s="16" t="str">
        <f>VLOOKUP(C2092,[1]道具配置表!$A:$D,4,FALSE)</f>
        <v>1黄金</v>
      </c>
      <c r="E2092" s="16">
        <f>E2088+500</f>
        <v>22000</v>
      </c>
      <c r="J2092" s="16">
        <v>1</v>
      </c>
      <c r="L2092" s="16" t="b">
        <v>1</v>
      </c>
    </row>
    <row r="2093" spans="1:12" x14ac:dyDescent="0.25">
      <c r="A2093" s="16">
        <v>1921644</v>
      </c>
      <c r="B2093" s="16" t="s">
        <v>860</v>
      </c>
      <c r="C2093" s="16">
        <f t="shared" si="37"/>
        <v>102</v>
      </c>
      <c r="D2093" s="16" t="str">
        <f>VLOOKUP(C2093,[1]道具配置表!$A:$D,4,FALSE)</f>
        <v>1食物</v>
      </c>
      <c r="E2093" s="16">
        <f>E2089+300</f>
        <v>13900</v>
      </c>
      <c r="J2093" s="16">
        <v>1</v>
      </c>
      <c r="L2093" s="16" t="b">
        <v>1</v>
      </c>
    </row>
    <row r="2094" spans="1:12" x14ac:dyDescent="0.25">
      <c r="C2094" s="16">
        <f t="shared" si="37"/>
        <v>101</v>
      </c>
      <c r="D2094" s="16" t="str">
        <f>VLOOKUP(C2094,[1]道具配置表!$A:$D,4,FALSE)</f>
        <v>1木材</v>
      </c>
      <c r="E2094" s="16">
        <f>E2090+500</f>
        <v>22500</v>
      </c>
      <c r="J2094" s="16">
        <v>1</v>
      </c>
      <c r="L2094" s="16" t="b">
        <v>1</v>
      </c>
    </row>
    <row r="2095" spans="1:12" x14ac:dyDescent="0.25">
      <c r="C2095" s="16">
        <f t="shared" si="37"/>
        <v>103</v>
      </c>
      <c r="D2095" s="16" t="str">
        <f>VLOOKUP(C2095,[1]道具配置表!$A:$D,4,FALSE)</f>
        <v>1石头</v>
      </c>
      <c r="E2095" s="16">
        <f>E2091+500</f>
        <v>22500</v>
      </c>
      <c r="J2095" s="16">
        <v>1</v>
      </c>
      <c r="L2095" s="16" t="b">
        <v>1</v>
      </c>
    </row>
    <row r="2096" spans="1:12" x14ac:dyDescent="0.25">
      <c r="C2096" s="16">
        <f t="shared" si="37"/>
        <v>104</v>
      </c>
      <c r="D2096" s="16" t="str">
        <f>VLOOKUP(C2096,[1]道具配置表!$A:$D,4,FALSE)</f>
        <v>1黄金</v>
      </c>
      <c r="E2096" s="16">
        <f>E2092+500</f>
        <v>22500</v>
      </c>
      <c r="J2096" s="16">
        <v>1</v>
      </c>
      <c r="L2096" s="16" t="b">
        <v>1</v>
      </c>
    </row>
    <row r="2097" spans="1:12" x14ac:dyDescent="0.25">
      <c r="A2097" s="16">
        <v>1921645</v>
      </c>
      <c r="B2097" s="16" t="s">
        <v>861</v>
      </c>
      <c r="C2097" s="16">
        <f t="shared" ref="C2097:C2160" si="38">C2093</f>
        <v>102</v>
      </c>
      <c r="D2097" s="16" t="str">
        <f>VLOOKUP(C2097,[1]道具配置表!$A:$D,4,FALSE)</f>
        <v>1食物</v>
      </c>
      <c r="E2097" s="16">
        <f>E2093+300</f>
        <v>14200</v>
      </c>
      <c r="J2097" s="16">
        <v>1</v>
      </c>
      <c r="L2097" s="16" t="b">
        <v>1</v>
      </c>
    </row>
    <row r="2098" spans="1:12" x14ac:dyDescent="0.25">
      <c r="C2098" s="16">
        <f t="shared" si="38"/>
        <v>101</v>
      </c>
      <c r="D2098" s="16" t="str">
        <f>VLOOKUP(C2098,[1]道具配置表!$A:$D,4,FALSE)</f>
        <v>1木材</v>
      </c>
      <c r="E2098" s="16">
        <f>E2094+500</f>
        <v>23000</v>
      </c>
      <c r="J2098" s="16">
        <v>1</v>
      </c>
      <c r="L2098" s="16" t="b">
        <v>1</v>
      </c>
    </row>
    <row r="2099" spans="1:12" x14ac:dyDescent="0.25">
      <c r="C2099" s="16">
        <f t="shared" si="38"/>
        <v>103</v>
      </c>
      <c r="D2099" s="16" t="str">
        <f>VLOOKUP(C2099,[1]道具配置表!$A:$D,4,FALSE)</f>
        <v>1石头</v>
      </c>
      <c r="E2099" s="16">
        <f>E2095+500</f>
        <v>23000</v>
      </c>
      <c r="J2099" s="16">
        <v>1</v>
      </c>
      <c r="L2099" s="16" t="b">
        <v>1</v>
      </c>
    </row>
    <row r="2100" spans="1:12" x14ac:dyDescent="0.25">
      <c r="C2100" s="16">
        <f t="shared" si="38"/>
        <v>104</v>
      </c>
      <c r="D2100" s="16" t="str">
        <f>VLOOKUP(C2100,[1]道具配置表!$A:$D,4,FALSE)</f>
        <v>1黄金</v>
      </c>
      <c r="E2100" s="16">
        <f>E2096+500</f>
        <v>23000</v>
      </c>
      <c r="J2100" s="16">
        <v>1</v>
      </c>
      <c r="L2100" s="16" t="b">
        <v>1</v>
      </c>
    </row>
    <row r="2101" spans="1:12" x14ac:dyDescent="0.25">
      <c r="A2101" s="16">
        <v>1921646</v>
      </c>
      <c r="B2101" s="16" t="s">
        <v>862</v>
      </c>
      <c r="C2101" s="16">
        <f t="shared" si="38"/>
        <v>102</v>
      </c>
      <c r="D2101" s="16" t="str">
        <f>VLOOKUP(C2101,[1]道具配置表!$A:$D,4,FALSE)</f>
        <v>1食物</v>
      </c>
      <c r="E2101" s="16">
        <f>E2097+300</f>
        <v>14500</v>
      </c>
      <c r="J2101" s="16">
        <v>1</v>
      </c>
      <c r="L2101" s="16" t="b">
        <v>1</v>
      </c>
    </row>
    <row r="2102" spans="1:12" x14ac:dyDescent="0.25">
      <c r="C2102" s="16">
        <f t="shared" si="38"/>
        <v>101</v>
      </c>
      <c r="D2102" s="16" t="str">
        <f>VLOOKUP(C2102,[1]道具配置表!$A:$D,4,FALSE)</f>
        <v>1木材</v>
      </c>
      <c r="E2102" s="16">
        <f>E2098+500</f>
        <v>23500</v>
      </c>
      <c r="J2102" s="16">
        <v>1</v>
      </c>
      <c r="L2102" s="16" t="b">
        <v>1</v>
      </c>
    </row>
    <row r="2103" spans="1:12" x14ac:dyDescent="0.25">
      <c r="C2103" s="16">
        <f t="shared" si="38"/>
        <v>103</v>
      </c>
      <c r="D2103" s="16" t="str">
        <f>VLOOKUP(C2103,[1]道具配置表!$A:$D,4,FALSE)</f>
        <v>1石头</v>
      </c>
      <c r="E2103" s="16">
        <f>E2099+500</f>
        <v>23500</v>
      </c>
      <c r="J2103" s="16">
        <v>1</v>
      </c>
      <c r="L2103" s="16" t="b">
        <v>1</v>
      </c>
    </row>
    <row r="2104" spans="1:12" x14ac:dyDescent="0.25">
      <c r="C2104" s="16">
        <f t="shared" si="38"/>
        <v>104</v>
      </c>
      <c r="D2104" s="16" t="str">
        <f>VLOOKUP(C2104,[1]道具配置表!$A:$D,4,FALSE)</f>
        <v>1黄金</v>
      </c>
      <c r="E2104" s="16">
        <f>E2100+500</f>
        <v>23500</v>
      </c>
      <c r="J2104" s="16">
        <v>1</v>
      </c>
      <c r="L2104" s="16" t="b">
        <v>1</v>
      </c>
    </row>
    <row r="2105" spans="1:12" x14ac:dyDescent="0.25">
      <c r="A2105" s="16">
        <v>1921647</v>
      </c>
      <c r="B2105" s="16" t="s">
        <v>863</v>
      </c>
      <c r="C2105" s="16">
        <f t="shared" si="38"/>
        <v>102</v>
      </c>
      <c r="D2105" s="16" t="str">
        <f>VLOOKUP(C2105,[1]道具配置表!$A:$D,4,FALSE)</f>
        <v>1食物</v>
      </c>
      <c r="E2105" s="16">
        <f>E2101+300</f>
        <v>14800</v>
      </c>
      <c r="J2105" s="16">
        <v>1</v>
      </c>
      <c r="L2105" s="16" t="b">
        <v>1</v>
      </c>
    </row>
    <row r="2106" spans="1:12" x14ac:dyDescent="0.25">
      <c r="C2106" s="16">
        <f t="shared" si="38"/>
        <v>101</v>
      </c>
      <c r="D2106" s="16" t="str">
        <f>VLOOKUP(C2106,[1]道具配置表!$A:$D,4,FALSE)</f>
        <v>1木材</v>
      </c>
      <c r="E2106" s="16">
        <f>E2102+500</f>
        <v>24000</v>
      </c>
      <c r="J2106" s="16">
        <v>1</v>
      </c>
      <c r="L2106" s="16" t="b">
        <v>1</v>
      </c>
    </row>
    <row r="2107" spans="1:12" x14ac:dyDescent="0.25">
      <c r="C2107" s="16">
        <f t="shared" si="38"/>
        <v>103</v>
      </c>
      <c r="D2107" s="16" t="str">
        <f>VLOOKUP(C2107,[1]道具配置表!$A:$D,4,FALSE)</f>
        <v>1石头</v>
      </c>
      <c r="E2107" s="16">
        <f>E2103+500</f>
        <v>24000</v>
      </c>
      <c r="J2107" s="16">
        <v>1</v>
      </c>
      <c r="L2107" s="16" t="b">
        <v>1</v>
      </c>
    </row>
    <row r="2108" spans="1:12" x14ac:dyDescent="0.25">
      <c r="C2108" s="16">
        <f t="shared" si="38"/>
        <v>104</v>
      </c>
      <c r="D2108" s="16" t="str">
        <f>VLOOKUP(C2108,[1]道具配置表!$A:$D,4,FALSE)</f>
        <v>1黄金</v>
      </c>
      <c r="E2108" s="16">
        <f>E2104+500</f>
        <v>24000</v>
      </c>
      <c r="J2108" s="16">
        <v>1</v>
      </c>
      <c r="L2108" s="16" t="b">
        <v>1</v>
      </c>
    </row>
    <row r="2109" spans="1:12" x14ac:dyDescent="0.25">
      <c r="A2109" s="16">
        <v>1921648</v>
      </c>
      <c r="B2109" s="16" t="s">
        <v>864</v>
      </c>
      <c r="C2109" s="16">
        <f t="shared" si="38"/>
        <v>102</v>
      </c>
      <c r="D2109" s="16" t="str">
        <f>VLOOKUP(C2109,[1]道具配置表!$A:$D,4,FALSE)</f>
        <v>1食物</v>
      </c>
      <c r="E2109" s="16">
        <f>E2105+300</f>
        <v>15100</v>
      </c>
      <c r="J2109" s="16">
        <v>1</v>
      </c>
      <c r="L2109" s="16" t="b">
        <v>1</v>
      </c>
    </row>
    <row r="2110" spans="1:12" x14ac:dyDescent="0.25">
      <c r="C2110" s="16">
        <f t="shared" si="38"/>
        <v>101</v>
      </c>
      <c r="D2110" s="16" t="str">
        <f>VLOOKUP(C2110,[1]道具配置表!$A:$D,4,FALSE)</f>
        <v>1木材</v>
      </c>
      <c r="E2110" s="16">
        <f>E2106+500</f>
        <v>24500</v>
      </c>
      <c r="J2110" s="16">
        <v>1</v>
      </c>
      <c r="L2110" s="16" t="b">
        <v>1</v>
      </c>
    </row>
    <row r="2111" spans="1:12" x14ac:dyDescent="0.25">
      <c r="C2111" s="16">
        <f t="shared" si="38"/>
        <v>103</v>
      </c>
      <c r="D2111" s="16" t="str">
        <f>VLOOKUP(C2111,[1]道具配置表!$A:$D,4,FALSE)</f>
        <v>1石头</v>
      </c>
      <c r="E2111" s="16">
        <f>E2107+500</f>
        <v>24500</v>
      </c>
      <c r="J2111" s="16">
        <v>1</v>
      </c>
      <c r="L2111" s="16" t="b">
        <v>1</v>
      </c>
    </row>
    <row r="2112" spans="1:12" x14ac:dyDescent="0.25">
      <c r="C2112" s="16">
        <f t="shared" si="38"/>
        <v>104</v>
      </c>
      <c r="D2112" s="16" t="str">
        <f>VLOOKUP(C2112,[1]道具配置表!$A:$D,4,FALSE)</f>
        <v>1黄金</v>
      </c>
      <c r="E2112" s="16">
        <f>E2108+500</f>
        <v>24500</v>
      </c>
      <c r="J2112" s="16">
        <v>1</v>
      </c>
      <c r="L2112" s="16" t="b">
        <v>1</v>
      </c>
    </row>
    <row r="2113" spans="1:12" x14ac:dyDescent="0.25">
      <c r="A2113" s="16">
        <v>1921649</v>
      </c>
      <c r="B2113" s="16" t="s">
        <v>865</v>
      </c>
      <c r="C2113" s="16">
        <f t="shared" si="38"/>
        <v>102</v>
      </c>
      <c r="D2113" s="16" t="str">
        <f>VLOOKUP(C2113,[1]道具配置表!$A:$D,4,FALSE)</f>
        <v>1食物</v>
      </c>
      <c r="E2113" s="16">
        <f>E2109+300</f>
        <v>15400</v>
      </c>
      <c r="J2113" s="16">
        <v>1</v>
      </c>
      <c r="L2113" s="16" t="b">
        <v>1</v>
      </c>
    </row>
    <row r="2114" spans="1:12" x14ac:dyDescent="0.25">
      <c r="C2114" s="16">
        <f t="shared" si="38"/>
        <v>101</v>
      </c>
      <c r="D2114" s="16" t="str">
        <f>VLOOKUP(C2114,[1]道具配置表!$A:$D,4,FALSE)</f>
        <v>1木材</v>
      </c>
      <c r="E2114" s="16">
        <f>E2110+500</f>
        <v>25000</v>
      </c>
      <c r="J2114" s="16">
        <v>1</v>
      </c>
      <c r="L2114" s="16" t="b">
        <v>1</v>
      </c>
    </row>
    <row r="2115" spans="1:12" x14ac:dyDescent="0.25">
      <c r="C2115" s="16">
        <f t="shared" si="38"/>
        <v>103</v>
      </c>
      <c r="D2115" s="16" t="str">
        <f>VLOOKUP(C2115,[1]道具配置表!$A:$D,4,FALSE)</f>
        <v>1石头</v>
      </c>
      <c r="E2115" s="16">
        <f>E2111+500</f>
        <v>25000</v>
      </c>
      <c r="J2115" s="16">
        <v>1</v>
      </c>
      <c r="L2115" s="16" t="b">
        <v>1</v>
      </c>
    </row>
    <row r="2116" spans="1:12" x14ac:dyDescent="0.25">
      <c r="C2116" s="16">
        <f t="shared" si="38"/>
        <v>104</v>
      </c>
      <c r="D2116" s="16" t="str">
        <f>VLOOKUP(C2116,[1]道具配置表!$A:$D,4,FALSE)</f>
        <v>1黄金</v>
      </c>
      <c r="E2116" s="16">
        <f>E2112+500</f>
        <v>25000</v>
      </c>
      <c r="J2116" s="16">
        <v>1</v>
      </c>
      <c r="L2116" s="16" t="b">
        <v>1</v>
      </c>
    </row>
    <row r="2117" spans="1:12" x14ac:dyDescent="0.25">
      <c r="A2117" s="16">
        <v>1921650</v>
      </c>
      <c r="B2117" s="16" t="s">
        <v>866</v>
      </c>
      <c r="C2117" s="16">
        <f t="shared" si="38"/>
        <v>102</v>
      </c>
      <c r="D2117" s="16" t="str">
        <f>VLOOKUP(C2117,[1]道具配置表!$A:$D,4,FALSE)</f>
        <v>1食物</v>
      </c>
      <c r="E2117" s="16">
        <f>E2113+300</f>
        <v>15700</v>
      </c>
      <c r="J2117" s="16">
        <v>1</v>
      </c>
      <c r="L2117" s="16" t="b">
        <v>1</v>
      </c>
    </row>
    <row r="2118" spans="1:12" x14ac:dyDescent="0.25">
      <c r="C2118" s="16">
        <f t="shared" si="38"/>
        <v>101</v>
      </c>
      <c r="D2118" s="16" t="str">
        <f>VLOOKUP(C2118,[1]道具配置表!$A:$D,4,FALSE)</f>
        <v>1木材</v>
      </c>
      <c r="E2118" s="16">
        <f>E2114+500</f>
        <v>25500</v>
      </c>
      <c r="J2118" s="16">
        <v>1</v>
      </c>
      <c r="L2118" s="16" t="b">
        <v>1</v>
      </c>
    </row>
    <row r="2119" spans="1:12" x14ac:dyDescent="0.25">
      <c r="C2119" s="16">
        <f t="shared" si="38"/>
        <v>103</v>
      </c>
      <c r="D2119" s="16" t="str">
        <f>VLOOKUP(C2119,[1]道具配置表!$A:$D,4,FALSE)</f>
        <v>1石头</v>
      </c>
      <c r="E2119" s="16">
        <f>E2115+500</f>
        <v>25500</v>
      </c>
      <c r="J2119" s="16">
        <v>1</v>
      </c>
      <c r="L2119" s="16" t="b">
        <v>1</v>
      </c>
    </row>
    <row r="2120" spans="1:12" x14ac:dyDescent="0.25">
      <c r="C2120" s="16">
        <f t="shared" si="38"/>
        <v>104</v>
      </c>
      <c r="D2120" s="16" t="str">
        <f>VLOOKUP(C2120,[1]道具配置表!$A:$D,4,FALSE)</f>
        <v>1黄金</v>
      </c>
      <c r="E2120" s="16">
        <f>E2116+500</f>
        <v>25500</v>
      </c>
      <c r="J2120" s="16">
        <v>1</v>
      </c>
      <c r="L2120" s="16" t="b">
        <v>1</v>
      </c>
    </row>
    <row r="2121" spans="1:12" x14ac:dyDescent="0.25">
      <c r="A2121" s="16">
        <v>1921651</v>
      </c>
      <c r="B2121" s="16" t="s">
        <v>867</v>
      </c>
      <c r="C2121" s="16">
        <f t="shared" si="38"/>
        <v>102</v>
      </c>
      <c r="D2121" s="16" t="str">
        <f>VLOOKUP(C2121,[1]道具配置表!$A:$D,4,FALSE)</f>
        <v>1食物</v>
      </c>
      <c r="E2121" s="16">
        <f>E2117+300</f>
        <v>16000</v>
      </c>
      <c r="J2121" s="16">
        <v>1</v>
      </c>
      <c r="L2121" s="16" t="b">
        <v>1</v>
      </c>
    </row>
    <row r="2122" spans="1:12" x14ac:dyDescent="0.25">
      <c r="C2122" s="16">
        <f t="shared" si="38"/>
        <v>101</v>
      </c>
      <c r="D2122" s="16" t="str">
        <f>VLOOKUP(C2122,[1]道具配置表!$A:$D,4,FALSE)</f>
        <v>1木材</v>
      </c>
      <c r="E2122" s="16">
        <f>E2118+500</f>
        <v>26000</v>
      </c>
      <c r="J2122" s="16">
        <v>1</v>
      </c>
      <c r="L2122" s="16" t="b">
        <v>1</v>
      </c>
    </row>
    <row r="2123" spans="1:12" x14ac:dyDescent="0.25">
      <c r="C2123" s="16">
        <f t="shared" si="38"/>
        <v>103</v>
      </c>
      <c r="D2123" s="16" t="str">
        <f>VLOOKUP(C2123,[1]道具配置表!$A:$D,4,FALSE)</f>
        <v>1石头</v>
      </c>
      <c r="E2123" s="16">
        <f>E2119+500</f>
        <v>26000</v>
      </c>
      <c r="J2123" s="16">
        <v>1</v>
      </c>
      <c r="L2123" s="16" t="b">
        <v>1</v>
      </c>
    </row>
    <row r="2124" spans="1:12" x14ac:dyDescent="0.25">
      <c r="C2124" s="16">
        <f t="shared" si="38"/>
        <v>104</v>
      </c>
      <c r="D2124" s="16" t="str">
        <f>VLOOKUP(C2124,[1]道具配置表!$A:$D,4,FALSE)</f>
        <v>1黄金</v>
      </c>
      <c r="E2124" s="16">
        <f>E2120+500</f>
        <v>26000</v>
      </c>
      <c r="J2124" s="16">
        <v>1</v>
      </c>
      <c r="L2124" s="16" t="b">
        <v>1</v>
      </c>
    </row>
    <row r="2125" spans="1:12" x14ac:dyDescent="0.25">
      <c r="A2125" s="16">
        <v>1921652</v>
      </c>
      <c r="B2125" s="16" t="s">
        <v>868</v>
      </c>
      <c r="C2125" s="16">
        <f t="shared" si="38"/>
        <v>102</v>
      </c>
      <c r="D2125" s="16" t="str">
        <f>VLOOKUP(C2125,[1]道具配置表!$A:$D,4,FALSE)</f>
        <v>1食物</v>
      </c>
      <c r="E2125" s="16">
        <f>E2121+300</f>
        <v>16300</v>
      </c>
      <c r="J2125" s="16">
        <v>1</v>
      </c>
      <c r="L2125" s="16" t="b">
        <v>1</v>
      </c>
    </row>
    <row r="2126" spans="1:12" x14ac:dyDescent="0.25">
      <c r="C2126" s="16">
        <f t="shared" si="38"/>
        <v>101</v>
      </c>
      <c r="D2126" s="16" t="str">
        <f>VLOOKUP(C2126,[1]道具配置表!$A:$D,4,FALSE)</f>
        <v>1木材</v>
      </c>
      <c r="E2126" s="16">
        <f>E2122+500</f>
        <v>26500</v>
      </c>
      <c r="J2126" s="16">
        <v>1</v>
      </c>
      <c r="L2126" s="16" t="b">
        <v>1</v>
      </c>
    </row>
    <row r="2127" spans="1:12" x14ac:dyDescent="0.25">
      <c r="C2127" s="16">
        <f t="shared" si="38"/>
        <v>103</v>
      </c>
      <c r="D2127" s="16" t="str">
        <f>VLOOKUP(C2127,[1]道具配置表!$A:$D,4,FALSE)</f>
        <v>1石头</v>
      </c>
      <c r="E2127" s="16">
        <f>E2123+500</f>
        <v>26500</v>
      </c>
      <c r="J2127" s="16">
        <v>1</v>
      </c>
      <c r="L2127" s="16" t="b">
        <v>1</v>
      </c>
    </row>
    <row r="2128" spans="1:12" x14ac:dyDescent="0.25">
      <c r="C2128" s="16">
        <f t="shared" si="38"/>
        <v>104</v>
      </c>
      <c r="D2128" s="16" t="str">
        <f>VLOOKUP(C2128,[1]道具配置表!$A:$D,4,FALSE)</f>
        <v>1黄金</v>
      </c>
      <c r="E2128" s="16">
        <f>E2124+500</f>
        <v>26500</v>
      </c>
      <c r="J2128" s="16">
        <v>1</v>
      </c>
      <c r="L2128" s="16" t="b">
        <v>1</v>
      </c>
    </row>
    <row r="2129" spans="1:12" x14ac:dyDescent="0.25">
      <c r="A2129" s="16">
        <v>1921653</v>
      </c>
      <c r="B2129" s="16" t="s">
        <v>869</v>
      </c>
      <c r="C2129" s="16">
        <f t="shared" si="38"/>
        <v>102</v>
      </c>
      <c r="D2129" s="16" t="str">
        <f>VLOOKUP(C2129,[1]道具配置表!$A:$D,4,FALSE)</f>
        <v>1食物</v>
      </c>
      <c r="E2129" s="16">
        <f>E2125+300</f>
        <v>16600</v>
      </c>
      <c r="J2129" s="16">
        <v>1</v>
      </c>
      <c r="L2129" s="16" t="b">
        <v>1</v>
      </c>
    </row>
    <row r="2130" spans="1:12" x14ac:dyDescent="0.25">
      <c r="C2130" s="16">
        <f t="shared" si="38"/>
        <v>101</v>
      </c>
      <c r="D2130" s="16" t="str">
        <f>VLOOKUP(C2130,[1]道具配置表!$A:$D,4,FALSE)</f>
        <v>1木材</v>
      </c>
      <c r="E2130" s="16">
        <f>E2126+500</f>
        <v>27000</v>
      </c>
      <c r="J2130" s="16">
        <v>1</v>
      </c>
      <c r="L2130" s="16" t="b">
        <v>1</v>
      </c>
    </row>
    <row r="2131" spans="1:12" x14ac:dyDescent="0.25">
      <c r="C2131" s="16">
        <f t="shared" si="38"/>
        <v>103</v>
      </c>
      <c r="D2131" s="16" t="str">
        <f>VLOOKUP(C2131,[1]道具配置表!$A:$D,4,FALSE)</f>
        <v>1石头</v>
      </c>
      <c r="E2131" s="16">
        <f>E2127+500</f>
        <v>27000</v>
      </c>
      <c r="J2131" s="16">
        <v>1</v>
      </c>
      <c r="L2131" s="16" t="b">
        <v>1</v>
      </c>
    </row>
    <row r="2132" spans="1:12" x14ac:dyDescent="0.25">
      <c r="C2132" s="16">
        <f t="shared" si="38"/>
        <v>104</v>
      </c>
      <c r="D2132" s="16" t="str">
        <f>VLOOKUP(C2132,[1]道具配置表!$A:$D,4,FALSE)</f>
        <v>1黄金</v>
      </c>
      <c r="E2132" s="16">
        <f>E2128+500</f>
        <v>27000</v>
      </c>
      <c r="J2132" s="16">
        <v>1</v>
      </c>
      <c r="L2132" s="16" t="b">
        <v>1</v>
      </c>
    </row>
    <row r="2133" spans="1:12" x14ac:dyDescent="0.25">
      <c r="A2133" s="16">
        <v>1921654</v>
      </c>
      <c r="B2133" s="16" t="s">
        <v>870</v>
      </c>
      <c r="C2133" s="16">
        <f t="shared" si="38"/>
        <v>102</v>
      </c>
      <c r="D2133" s="16" t="str">
        <f>VLOOKUP(C2133,[1]道具配置表!$A:$D,4,FALSE)</f>
        <v>1食物</v>
      </c>
      <c r="E2133" s="16">
        <f>E2129+300</f>
        <v>16900</v>
      </c>
      <c r="J2133" s="16">
        <v>1</v>
      </c>
      <c r="L2133" s="16" t="b">
        <v>1</v>
      </c>
    </row>
    <row r="2134" spans="1:12" x14ac:dyDescent="0.25">
      <c r="C2134" s="16">
        <f t="shared" si="38"/>
        <v>101</v>
      </c>
      <c r="D2134" s="16" t="str">
        <f>VLOOKUP(C2134,[1]道具配置表!$A:$D,4,FALSE)</f>
        <v>1木材</v>
      </c>
      <c r="E2134" s="16">
        <f>E2130+500</f>
        <v>27500</v>
      </c>
      <c r="J2134" s="16">
        <v>1</v>
      </c>
      <c r="L2134" s="16" t="b">
        <v>1</v>
      </c>
    </row>
    <row r="2135" spans="1:12" x14ac:dyDescent="0.25">
      <c r="C2135" s="16">
        <f t="shared" si="38"/>
        <v>103</v>
      </c>
      <c r="D2135" s="16" t="str">
        <f>VLOOKUP(C2135,[1]道具配置表!$A:$D,4,FALSE)</f>
        <v>1石头</v>
      </c>
      <c r="E2135" s="16">
        <f>E2131+500</f>
        <v>27500</v>
      </c>
      <c r="J2135" s="16">
        <v>1</v>
      </c>
      <c r="L2135" s="16" t="b">
        <v>1</v>
      </c>
    </row>
    <row r="2136" spans="1:12" x14ac:dyDescent="0.25">
      <c r="C2136" s="16">
        <f t="shared" si="38"/>
        <v>104</v>
      </c>
      <c r="D2136" s="16" t="str">
        <f>VLOOKUP(C2136,[1]道具配置表!$A:$D,4,FALSE)</f>
        <v>1黄金</v>
      </c>
      <c r="E2136" s="16">
        <f>E2132+500</f>
        <v>27500</v>
      </c>
      <c r="J2136" s="16">
        <v>1</v>
      </c>
      <c r="L2136" s="16" t="b">
        <v>1</v>
      </c>
    </row>
    <row r="2137" spans="1:12" x14ac:dyDescent="0.25">
      <c r="A2137" s="16">
        <v>1921655</v>
      </c>
      <c r="B2137" s="16" t="s">
        <v>871</v>
      </c>
      <c r="C2137" s="16">
        <f t="shared" si="38"/>
        <v>102</v>
      </c>
      <c r="D2137" s="16" t="str">
        <f>VLOOKUP(C2137,[1]道具配置表!$A:$D,4,FALSE)</f>
        <v>1食物</v>
      </c>
      <c r="E2137" s="16">
        <f>E2133+300</f>
        <v>17200</v>
      </c>
      <c r="J2137" s="16">
        <v>1</v>
      </c>
      <c r="L2137" s="16" t="b">
        <v>1</v>
      </c>
    </row>
    <row r="2138" spans="1:12" x14ac:dyDescent="0.25">
      <c r="C2138" s="16">
        <f t="shared" si="38"/>
        <v>101</v>
      </c>
      <c r="D2138" s="16" t="str">
        <f>VLOOKUP(C2138,[1]道具配置表!$A:$D,4,FALSE)</f>
        <v>1木材</v>
      </c>
      <c r="E2138" s="16">
        <f>E2134+500</f>
        <v>28000</v>
      </c>
      <c r="J2138" s="16">
        <v>1</v>
      </c>
      <c r="L2138" s="16" t="b">
        <v>1</v>
      </c>
    </row>
    <row r="2139" spans="1:12" x14ac:dyDescent="0.25">
      <c r="C2139" s="16">
        <f t="shared" si="38"/>
        <v>103</v>
      </c>
      <c r="D2139" s="16" t="str">
        <f>VLOOKUP(C2139,[1]道具配置表!$A:$D,4,FALSE)</f>
        <v>1石头</v>
      </c>
      <c r="E2139" s="16">
        <f>E2135+500</f>
        <v>28000</v>
      </c>
      <c r="J2139" s="16">
        <v>1</v>
      </c>
      <c r="L2139" s="16" t="b">
        <v>1</v>
      </c>
    </row>
    <row r="2140" spans="1:12" x14ac:dyDescent="0.25">
      <c r="C2140" s="16">
        <f t="shared" si="38"/>
        <v>104</v>
      </c>
      <c r="D2140" s="16" t="str">
        <f>VLOOKUP(C2140,[1]道具配置表!$A:$D,4,FALSE)</f>
        <v>1黄金</v>
      </c>
      <c r="E2140" s="16">
        <f>E2136+500</f>
        <v>28000</v>
      </c>
      <c r="J2140" s="16">
        <v>1</v>
      </c>
      <c r="L2140" s="16" t="b">
        <v>1</v>
      </c>
    </row>
    <row r="2141" spans="1:12" x14ac:dyDescent="0.25">
      <c r="A2141" s="16">
        <v>1921656</v>
      </c>
      <c r="B2141" s="16" t="s">
        <v>872</v>
      </c>
      <c r="C2141" s="16">
        <f t="shared" si="38"/>
        <v>102</v>
      </c>
      <c r="D2141" s="16" t="str">
        <f>VLOOKUP(C2141,[1]道具配置表!$A:$D,4,FALSE)</f>
        <v>1食物</v>
      </c>
      <c r="E2141" s="16">
        <f>E2137+300</f>
        <v>17500</v>
      </c>
      <c r="J2141" s="16">
        <v>1</v>
      </c>
      <c r="L2141" s="16" t="b">
        <v>1</v>
      </c>
    </row>
    <row r="2142" spans="1:12" x14ac:dyDescent="0.25">
      <c r="C2142" s="16">
        <f t="shared" si="38"/>
        <v>101</v>
      </c>
      <c r="D2142" s="16" t="str">
        <f>VLOOKUP(C2142,[1]道具配置表!$A:$D,4,FALSE)</f>
        <v>1木材</v>
      </c>
      <c r="E2142" s="16">
        <f>E2138+500</f>
        <v>28500</v>
      </c>
      <c r="J2142" s="16">
        <v>1</v>
      </c>
      <c r="L2142" s="16" t="b">
        <v>1</v>
      </c>
    </row>
    <row r="2143" spans="1:12" x14ac:dyDescent="0.25">
      <c r="C2143" s="16">
        <f t="shared" si="38"/>
        <v>103</v>
      </c>
      <c r="D2143" s="16" t="str">
        <f>VLOOKUP(C2143,[1]道具配置表!$A:$D,4,FALSE)</f>
        <v>1石头</v>
      </c>
      <c r="E2143" s="16">
        <f>E2139+500</f>
        <v>28500</v>
      </c>
      <c r="J2143" s="16">
        <v>1</v>
      </c>
      <c r="L2143" s="16" t="b">
        <v>1</v>
      </c>
    </row>
    <row r="2144" spans="1:12" x14ac:dyDescent="0.25">
      <c r="C2144" s="16">
        <f t="shared" si="38"/>
        <v>104</v>
      </c>
      <c r="D2144" s="16" t="str">
        <f>VLOOKUP(C2144,[1]道具配置表!$A:$D,4,FALSE)</f>
        <v>1黄金</v>
      </c>
      <c r="E2144" s="16">
        <f>E2140+500</f>
        <v>28500</v>
      </c>
      <c r="J2144" s="16">
        <v>1</v>
      </c>
      <c r="L2144" s="16" t="b">
        <v>1</v>
      </c>
    </row>
    <row r="2145" spans="1:12" x14ac:dyDescent="0.25">
      <c r="A2145" s="16">
        <v>1921701</v>
      </c>
      <c r="B2145" s="16" t="s">
        <v>873</v>
      </c>
      <c r="C2145" s="16">
        <f t="shared" si="38"/>
        <v>102</v>
      </c>
      <c r="D2145" s="16" t="str">
        <f>VLOOKUP(C2145,[1]道具配置表!$A:$D,4,FALSE)</f>
        <v>1食物</v>
      </c>
      <c r="E2145" s="16">
        <v>1000</v>
      </c>
      <c r="J2145" s="16">
        <v>1</v>
      </c>
      <c r="L2145" s="16" t="b">
        <v>1</v>
      </c>
    </row>
    <row r="2146" spans="1:12" x14ac:dyDescent="0.25">
      <c r="C2146" s="16">
        <f t="shared" si="38"/>
        <v>101</v>
      </c>
      <c r="D2146" s="16" t="str">
        <f>VLOOKUP(C2146,[1]道具配置表!$A:$D,4,FALSE)</f>
        <v>1木材</v>
      </c>
      <c r="E2146" s="16">
        <v>1000</v>
      </c>
      <c r="J2146" s="16">
        <v>1</v>
      </c>
      <c r="L2146" s="16" t="b">
        <v>1</v>
      </c>
    </row>
    <row r="2147" spans="1:12" x14ac:dyDescent="0.25">
      <c r="C2147" s="16">
        <f t="shared" si="38"/>
        <v>103</v>
      </c>
      <c r="D2147" s="16" t="str">
        <f>VLOOKUP(C2147,[1]道具配置表!$A:$D,4,FALSE)</f>
        <v>1石头</v>
      </c>
      <c r="E2147" s="16">
        <v>1000</v>
      </c>
      <c r="J2147" s="16">
        <v>1</v>
      </c>
      <c r="L2147" s="16" t="b">
        <v>1</v>
      </c>
    </row>
    <row r="2148" spans="1:12" x14ac:dyDescent="0.25">
      <c r="C2148" s="16">
        <f t="shared" si="38"/>
        <v>104</v>
      </c>
      <c r="D2148" s="16" t="str">
        <f>VLOOKUP(C2148,[1]道具配置表!$A:$D,4,FALSE)</f>
        <v>1黄金</v>
      </c>
      <c r="E2148" s="16">
        <v>1000</v>
      </c>
      <c r="J2148" s="16">
        <v>1</v>
      </c>
      <c r="L2148" s="16" t="b">
        <v>1</v>
      </c>
    </row>
    <row r="2149" spans="1:12" x14ac:dyDescent="0.25">
      <c r="A2149" s="16">
        <v>1921702</v>
      </c>
      <c r="B2149" s="16" t="s">
        <v>874</v>
      </c>
      <c r="C2149" s="16">
        <f t="shared" si="38"/>
        <v>102</v>
      </c>
      <c r="D2149" s="16" t="str">
        <f>VLOOKUP(C2149,[1]道具配置表!$A:$D,4,FALSE)</f>
        <v>1食物</v>
      </c>
      <c r="E2149" s="16">
        <f>E2145+300</f>
        <v>1300</v>
      </c>
      <c r="J2149" s="16">
        <v>1</v>
      </c>
      <c r="L2149" s="16" t="b">
        <v>1</v>
      </c>
    </row>
    <row r="2150" spans="1:12" x14ac:dyDescent="0.25">
      <c r="C2150" s="16">
        <f t="shared" si="38"/>
        <v>101</v>
      </c>
      <c r="D2150" s="16" t="str">
        <f>VLOOKUP(C2150,[1]道具配置表!$A:$D,4,FALSE)</f>
        <v>1木材</v>
      </c>
      <c r="E2150" s="16">
        <f>E2146+500</f>
        <v>1500</v>
      </c>
      <c r="J2150" s="16">
        <v>1</v>
      </c>
      <c r="L2150" s="16" t="b">
        <v>1</v>
      </c>
    </row>
    <row r="2151" spans="1:12" x14ac:dyDescent="0.25">
      <c r="C2151" s="16">
        <f t="shared" si="38"/>
        <v>103</v>
      </c>
      <c r="D2151" s="16" t="str">
        <f>VLOOKUP(C2151,[1]道具配置表!$A:$D,4,FALSE)</f>
        <v>1石头</v>
      </c>
      <c r="E2151" s="16">
        <f>E2147+500</f>
        <v>1500</v>
      </c>
      <c r="J2151" s="16">
        <v>1</v>
      </c>
      <c r="L2151" s="16" t="b">
        <v>1</v>
      </c>
    </row>
    <row r="2152" spans="1:12" x14ac:dyDescent="0.25">
      <c r="C2152" s="16">
        <f t="shared" si="38"/>
        <v>104</v>
      </c>
      <c r="D2152" s="16" t="str">
        <f>VLOOKUP(C2152,[1]道具配置表!$A:$D,4,FALSE)</f>
        <v>1黄金</v>
      </c>
      <c r="E2152" s="16">
        <f>E2148+500</f>
        <v>1500</v>
      </c>
      <c r="J2152" s="16">
        <v>1</v>
      </c>
      <c r="L2152" s="16" t="b">
        <v>1</v>
      </c>
    </row>
    <row r="2153" spans="1:12" x14ac:dyDescent="0.25">
      <c r="A2153" s="16">
        <v>1921703</v>
      </c>
      <c r="B2153" s="16" t="s">
        <v>875</v>
      </c>
      <c r="C2153" s="16">
        <f t="shared" si="38"/>
        <v>102</v>
      </c>
      <c r="D2153" s="16" t="str">
        <f>VLOOKUP(C2153,[1]道具配置表!$A:$D,4,FALSE)</f>
        <v>1食物</v>
      </c>
      <c r="E2153" s="16">
        <f>E2149+300</f>
        <v>1600</v>
      </c>
      <c r="J2153" s="16">
        <v>1</v>
      </c>
      <c r="L2153" s="16" t="b">
        <v>1</v>
      </c>
    </row>
    <row r="2154" spans="1:12" x14ac:dyDescent="0.25">
      <c r="C2154" s="16">
        <f t="shared" si="38"/>
        <v>101</v>
      </c>
      <c r="D2154" s="16" t="str">
        <f>VLOOKUP(C2154,[1]道具配置表!$A:$D,4,FALSE)</f>
        <v>1木材</v>
      </c>
      <c r="E2154" s="16">
        <f>E2150+500</f>
        <v>2000</v>
      </c>
      <c r="J2154" s="16">
        <v>1</v>
      </c>
      <c r="L2154" s="16" t="b">
        <v>1</v>
      </c>
    </row>
    <row r="2155" spans="1:12" x14ac:dyDescent="0.25">
      <c r="C2155" s="16">
        <f t="shared" si="38"/>
        <v>103</v>
      </c>
      <c r="D2155" s="16" t="str">
        <f>VLOOKUP(C2155,[1]道具配置表!$A:$D,4,FALSE)</f>
        <v>1石头</v>
      </c>
      <c r="E2155" s="16">
        <f>E2151+500</f>
        <v>2000</v>
      </c>
      <c r="J2155" s="16">
        <v>1</v>
      </c>
      <c r="L2155" s="16" t="b">
        <v>1</v>
      </c>
    </row>
    <row r="2156" spans="1:12" x14ac:dyDescent="0.25">
      <c r="C2156" s="16">
        <f t="shared" si="38"/>
        <v>104</v>
      </c>
      <c r="D2156" s="16" t="str">
        <f>VLOOKUP(C2156,[1]道具配置表!$A:$D,4,FALSE)</f>
        <v>1黄金</v>
      </c>
      <c r="E2156" s="16">
        <f>E2152+500</f>
        <v>2000</v>
      </c>
      <c r="J2156" s="16">
        <v>1</v>
      </c>
      <c r="L2156" s="16" t="b">
        <v>1</v>
      </c>
    </row>
    <row r="2157" spans="1:12" x14ac:dyDescent="0.25">
      <c r="A2157" s="16">
        <v>1921704</v>
      </c>
      <c r="B2157" s="16" t="s">
        <v>876</v>
      </c>
      <c r="C2157" s="16">
        <f t="shared" si="38"/>
        <v>102</v>
      </c>
      <c r="D2157" s="16" t="str">
        <f>VLOOKUP(C2157,[1]道具配置表!$A:$D,4,FALSE)</f>
        <v>1食物</v>
      </c>
      <c r="E2157" s="16">
        <f>E2153+300</f>
        <v>1900</v>
      </c>
      <c r="J2157" s="16">
        <v>1</v>
      </c>
      <c r="L2157" s="16" t="b">
        <v>1</v>
      </c>
    </row>
    <row r="2158" spans="1:12" x14ac:dyDescent="0.25">
      <c r="C2158" s="16">
        <f t="shared" si="38"/>
        <v>101</v>
      </c>
      <c r="D2158" s="16" t="str">
        <f>VLOOKUP(C2158,[1]道具配置表!$A:$D,4,FALSE)</f>
        <v>1木材</v>
      </c>
      <c r="E2158" s="16">
        <f>E2154+500</f>
        <v>2500</v>
      </c>
      <c r="J2158" s="16">
        <v>1</v>
      </c>
      <c r="L2158" s="16" t="b">
        <v>1</v>
      </c>
    </row>
    <row r="2159" spans="1:12" x14ac:dyDescent="0.25">
      <c r="C2159" s="16">
        <f t="shared" si="38"/>
        <v>103</v>
      </c>
      <c r="D2159" s="16" t="str">
        <f>VLOOKUP(C2159,[1]道具配置表!$A:$D,4,FALSE)</f>
        <v>1石头</v>
      </c>
      <c r="E2159" s="16">
        <f>E2155+500</f>
        <v>2500</v>
      </c>
      <c r="J2159" s="16">
        <v>1</v>
      </c>
      <c r="L2159" s="16" t="b">
        <v>1</v>
      </c>
    </row>
    <row r="2160" spans="1:12" x14ac:dyDescent="0.25">
      <c r="C2160" s="16">
        <f t="shared" si="38"/>
        <v>104</v>
      </c>
      <c r="D2160" s="16" t="str">
        <f>VLOOKUP(C2160,[1]道具配置表!$A:$D,4,FALSE)</f>
        <v>1黄金</v>
      </c>
      <c r="E2160" s="16">
        <f>E2156+500</f>
        <v>2500</v>
      </c>
      <c r="J2160" s="16">
        <v>1</v>
      </c>
      <c r="L2160" s="16" t="b">
        <v>1</v>
      </c>
    </row>
    <row r="2161" spans="1:12" x14ac:dyDescent="0.25">
      <c r="A2161" s="16">
        <v>1921705</v>
      </c>
      <c r="B2161" s="16" t="s">
        <v>877</v>
      </c>
      <c r="C2161" s="16">
        <f t="shared" ref="C2161:C2224" si="39">C2157</f>
        <v>102</v>
      </c>
      <c r="D2161" s="16" t="str">
        <f>VLOOKUP(C2161,[1]道具配置表!$A:$D,4,FALSE)</f>
        <v>1食物</v>
      </c>
      <c r="E2161" s="16">
        <f>E2157+300</f>
        <v>2200</v>
      </c>
      <c r="J2161" s="16">
        <v>1</v>
      </c>
      <c r="L2161" s="16" t="b">
        <v>1</v>
      </c>
    </row>
    <row r="2162" spans="1:12" x14ac:dyDescent="0.25">
      <c r="C2162" s="16">
        <f t="shared" si="39"/>
        <v>101</v>
      </c>
      <c r="D2162" s="16" t="str">
        <f>VLOOKUP(C2162,[1]道具配置表!$A:$D,4,FALSE)</f>
        <v>1木材</v>
      </c>
      <c r="E2162" s="16">
        <f>E2158+500</f>
        <v>3000</v>
      </c>
      <c r="J2162" s="16">
        <v>1</v>
      </c>
      <c r="L2162" s="16" t="b">
        <v>1</v>
      </c>
    </row>
    <row r="2163" spans="1:12" x14ac:dyDescent="0.25">
      <c r="C2163" s="16">
        <f t="shared" si="39"/>
        <v>103</v>
      </c>
      <c r="D2163" s="16" t="str">
        <f>VLOOKUP(C2163,[1]道具配置表!$A:$D,4,FALSE)</f>
        <v>1石头</v>
      </c>
      <c r="E2163" s="16">
        <f>E2159+500</f>
        <v>3000</v>
      </c>
      <c r="J2163" s="16">
        <v>1</v>
      </c>
      <c r="L2163" s="16" t="b">
        <v>1</v>
      </c>
    </row>
    <row r="2164" spans="1:12" x14ac:dyDescent="0.25">
      <c r="C2164" s="16">
        <f t="shared" si="39"/>
        <v>104</v>
      </c>
      <c r="D2164" s="16" t="str">
        <f>VLOOKUP(C2164,[1]道具配置表!$A:$D,4,FALSE)</f>
        <v>1黄金</v>
      </c>
      <c r="E2164" s="16">
        <f>E2160+500</f>
        <v>3000</v>
      </c>
      <c r="J2164" s="16">
        <v>1</v>
      </c>
      <c r="L2164" s="16" t="b">
        <v>1</v>
      </c>
    </row>
    <row r="2165" spans="1:12" x14ac:dyDescent="0.25">
      <c r="A2165" s="16">
        <v>1921706</v>
      </c>
      <c r="B2165" s="16" t="s">
        <v>878</v>
      </c>
      <c r="C2165" s="16">
        <f t="shared" si="39"/>
        <v>102</v>
      </c>
      <c r="D2165" s="16" t="str">
        <f>VLOOKUP(C2165,[1]道具配置表!$A:$D,4,FALSE)</f>
        <v>1食物</v>
      </c>
      <c r="E2165" s="16">
        <f>E2161+300</f>
        <v>2500</v>
      </c>
      <c r="J2165" s="16">
        <v>1</v>
      </c>
      <c r="L2165" s="16" t="b">
        <v>1</v>
      </c>
    </row>
    <row r="2166" spans="1:12" x14ac:dyDescent="0.25">
      <c r="C2166" s="16">
        <f t="shared" si="39"/>
        <v>101</v>
      </c>
      <c r="D2166" s="16" t="str">
        <f>VLOOKUP(C2166,[1]道具配置表!$A:$D,4,FALSE)</f>
        <v>1木材</v>
      </c>
      <c r="E2166" s="16">
        <f>E2162+500</f>
        <v>3500</v>
      </c>
      <c r="J2166" s="16">
        <v>1</v>
      </c>
      <c r="L2166" s="16" t="b">
        <v>1</v>
      </c>
    </row>
    <row r="2167" spans="1:12" x14ac:dyDescent="0.25">
      <c r="C2167" s="16">
        <f t="shared" si="39"/>
        <v>103</v>
      </c>
      <c r="D2167" s="16" t="str">
        <f>VLOOKUP(C2167,[1]道具配置表!$A:$D,4,FALSE)</f>
        <v>1石头</v>
      </c>
      <c r="E2167" s="16">
        <f>E2163+500</f>
        <v>3500</v>
      </c>
      <c r="J2167" s="16">
        <v>1</v>
      </c>
      <c r="L2167" s="16" t="b">
        <v>1</v>
      </c>
    </row>
    <row r="2168" spans="1:12" x14ac:dyDescent="0.25">
      <c r="C2168" s="16">
        <f t="shared" si="39"/>
        <v>104</v>
      </c>
      <c r="D2168" s="16" t="str">
        <f>VLOOKUP(C2168,[1]道具配置表!$A:$D,4,FALSE)</f>
        <v>1黄金</v>
      </c>
      <c r="E2168" s="16">
        <f>E2164+500</f>
        <v>3500</v>
      </c>
      <c r="J2168" s="16">
        <v>1</v>
      </c>
      <c r="L2168" s="16" t="b">
        <v>1</v>
      </c>
    </row>
    <row r="2169" spans="1:12" x14ac:dyDescent="0.25">
      <c r="A2169" s="16">
        <v>1921707</v>
      </c>
      <c r="B2169" s="16" t="s">
        <v>879</v>
      </c>
      <c r="C2169" s="16">
        <f t="shared" si="39"/>
        <v>102</v>
      </c>
      <c r="D2169" s="16" t="str">
        <f>VLOOKUP(C2169,[1]道具配置表!$A:$D,4,FALSE)</f>
        <v>1食物</v>
      </c>
      <c r="E2169" s="16">
        <f>E2165+300</f>
        <v>2800</v>
      </c>
      <c r="J2169" s="16">
        <v>1</v>
      </c>
      <c r="L2169" s="16" t="b">
        <v>1</v>
      </c>
    </row>
    <row r="2170" spans="1:12" x14ac:dyDescent="0.25">
      <c r="C2170" s="16">
        <f t="shared" si="39"/>
        <v>101</v>
      </c>
      <c r="D2170" s="16" t="str">
        <f>VLOOKUP(C2170,[1]道具配置表!$A:$D,4,FALSE)</f>
        <v>1木材</v>
      </c>
      <c r="E2170" s="16">
        <f>E2166+500</f>
        <v>4000</v>
      </c>
      <c r="J2170" s="16">
        <v>1</v>
      </c>
      <c r="L2170" s="16" t="b">
        <v>1</v>
      </c>
    </row>
    <row r="2171" spans="1:12" x14ac:dyDescent="0.25">
      <c r="C2171" s="16">
        <f t="shared" si="39"/>
        <v>103</v>
      </c>
      <c r="D2171" s="16" t="str">
        <f>VLOOKUP(C2171,[1]道具配置表!$A:$D,4,FALSE)</f>
        <v>1石头</v>
      </c>
      <c r="E2171" s="16">
        <f>E2167+500</f>
        <v>4000</v>
      </c>
      <c r="J2171" s="16">
        <v>1</v>
      </c>
      <c r="L2171" s="16" t="b">
        <v>1</v>
      </c>
    </row>
    <row r="2172" spans="1:12" x14ac:dyDescent="0.25">
      <c r="C2172" s="16">
        <f t="shared" si="39"/>
        <v>104</v>
      </c>
      <c r="D2172" s="16" t="str">
        <f>VLOOKUP(C2172,[1]道具配置表!$A:$D,4,FALSE)</f>
        <v>1黄金</v>
      </c>
      <c r="E2172" s="16">
        <f>E2168+500</f>
        <v>4000</v>
      </c>
      <c r="J2172" s="16">
        <v>1</v>
      </c>
      <c r="L2172" s="16" t="b">
        <v>1</v>
      </c>
    </row>
    <row r="2173" spans="1:12" x14ac:dyDescent="0.25">
      <c r="A2173" s="16">
        <v>1921708</v>
      </c>
      <c r="B2173" s="16" t="s">
        <v>880</v>
      </c>
      <c r="C2173" s="16">
        <f t="shared" si="39"/>
        <v>102</v>
      </c>
      <c r="D2173" s="16" t="str">
        <f>VLOOKUP(C2173,[1]道具配置表!$A:$D,4,FALSE)</f>
        <v>1食物</v>
      </c>
      <c r="E2173" s="16">
        <f>E2169+300</f>
        <v>3100</v>
      </c>
      <c r="J2173" s="16">
        <v>1</v>
      </c>
      <c r="L2173" s="16" t="b">
        <v>1</v>
      </c>
    </row>
    <row r="2174" spans="1:12" x14ac:dyDescent="0.25">
      <c r="C2174" s="16">
        <f t="shared" si="39"/>
        <v>101</v>
      </c>
      <c r="D2174" s="16" t="str">
        <f>VLOOKUP(C2174,[1]道具配置表!$A:$D,4,FALSE)</f>
        <v>1木材</v>
      </c>
      <c r="E2174" s="16">
        <f>E2170+500</f>
        <v>4500</v>
      </c>
      <c r="J2174" s="16">
        <v>1</v>
      </c>
      <c r="L2174" s="16" t="b">
        <v>1</v>
      </c>
    </row>
    <row r="2175" spans="1:12" x14ac:dyDescent="0.25">
      <c r="C2175" s="16">
        <f t="shared" si="39"/>
        <v>103</v>
      </c>
      <c r="D2175" s="16" t="str">
        <f>VLOOKUP(C2175,[1]道具配置表!$A:$D,4,FALSE)</f>
        <v>1石头</v>
      </c>
      <c r="E2175" s="16">
        <f>E2171+500</f>
        <v>4500</v>
      </c>
      <c r="J2175" s="16">
        <v>1</v>
      </c>
      <c r="L2175" s="16" t="b">
        <v>1</v>
      </c>
    </row>
    <row r="2176" spans="1:12" x14ac:dyDescent="0.25">
      <c r="C2176" s="16">
        <f t="shared" si="39"/>
        <v>104</v>
      </c>
      <c r="D2176" s="16" t="str">
        <f>VLOOKUP(C2176,[1]道具配置表!$A:$D,4,FALSE)</f>
        <v>1黄金</v>
      </c>
      <c r="E2176" s="16">
        <f>E2172+500</f>
        <v>4500</v>
      </c>
      <c r="J2176" s="16">
        <v>1</v>
      </c>
      <c r="L2176" s="16" t="b">
        <v>1</v>
      </c>
    </row>
    <row r="2177" spans="1:12" x14ac:dyDescent="0.25">
      <c r="A2177" s="16">
        <v>1921709</v>
      </c>
      <c r="B2177" s="16" t="s">
        <v>881</v>
      </c>
      <c r="C2177" s="16">
        <f t="shared" si="39"/>
        <v>102</v>
      </c>
      <c r="D2177" s="16" t="str">
        <f>VLOOKUP(C2177,[1]道具配置表!$A:$D,4,FALSE)</f>
        <v>1食物</v>
      </c>
      <c r="E2177" s="16">
        <f>E2173+300</f>
        <v>3400</v>
      </c>
      <c r="J2177" s="16">
        <v>1</v>
      </c>
      <c r="L2177" s="16" t="b">
        <v>1</v>
      </c>
    </row>
    <row r="2178" spans="1:12" x14ac:dyDescent="0.25">
      <c r="C2178" s="16">
        <f t="shared" si="39"/>
        <v>101</v>
      </c>
      <c r="D2178" s="16" t="str">
        <f>VLOOKUP(C2178,[1]道具配置表!$A:$D,4,FALSE)</f>
        <v>1木材</v>
      </c>
      <c r="E2178" s="16">
        <f>E2174+500</f>
        <v>5000</v>
      </c>
      <c r="J2178" s="16">
        <v>1</v>
      </c>
      <c r="L2178" s="16" t="b">
        <v>1</v>
      </c>
    </row>
    <row r="2179" spans="1:12" x14ac:dyDescent="0.25">
      <c r="C2179" s="16">
        <f t="shared" si="39"/>
        <v>103</v>
      </c>
      <c r="D2179" s="16" t="str">
        <f>VLOOKUP(C2179,[1]道具配置表!$A:$D,4,FALSE)</f>
        <v>1石头</v>
      </c>
      <c r="E2179" s="16">
        <f>E2175+500</f>
        <v>5000</v>
      </c>
      <c r="J2179" s="16">
        <v>1</v>
      </c>
      <c r="L2179" s="16" t="b">
        <v>1</v>
      </c>
    </row>
    <row r="2180" spans="1:12" x14ac:dyDescent="0.25">
      <c r="C2180" s="16">
        <f t="shared" si="39"/>
        <v>104</v>
      </c>
      <c r="D2180" s="16" t="str">
        <f>VLOOKUP(C2180,[1]道具配置表!$A:$D,4,FALSE)</f>
        <v>1黄金</v>
      </c>
      <c r="E2180" s="16">
        <f>E2176+500</f>
        <v>5000</v>
      </c>
      <c r="J2180" s="16">
        <v>1</v>
      </c>
      <c r="L2180" s="16" t="b">
        <v>1</v>
      </c>
    </row>
    <row r="2181" spans="1:12" x14ac:dyDescent="0.25">
      <c r="A2181" s="16">
        <v>1921710</v>
      </c>
      <c r="B2181" s="16" t="s">
        <v>882</v>
      </c>
      <c r="C2181" s="16">
        <f t="shared" si="39"/>
        <v>102</v>
      </c>
      <c r="D2181" s="16" t="str">
        <f>VLOOKUP(C2181,[1]道具配置表!$A:$D,4,FALSE)</f>
        <v>1食物</v>
      </c>
      <c r="E2181" s="16">
        <f>E2177+300</f>
        <v>3700</v>
      </c>
      <c r="J2181" s="16">
        <v>1</v>
      </c>
      <c r="L2181" s="16" t="b">
        <v>1</v>
      </c>
    </row>
    <row r="2182" spans="1:12" x14ac:dyDescent="0.25">
      <c r="C2182" s="16">
        <f t="shared" si="39"/>
        <v>101</v>
      </c>
      <c r="D2182" s="16" t="str">
        <f>VLOOKUP(C2182,[1]道具配置表!$A:$D,4,FALSE)</f>
        <v>1木材</v>
      </c>
      <c r="E2182" s="16">
        <f>E2178+500</f>
        <v>5500</v>
      </c>
      <c r="J2182" s="16">
        <v>1</v>
      </c>
      <c r="L2182" s="16" t="b">
        <v>1</v>
      </c>
    </row>
    <row r="2183" spans="1:12" x14ac:dyDescent="0.25">
      <c r="C2183" s="16">
        <f t="shared" si="39"/>
        <v>103</v>
      </c>
      <c r="D2183" s="16" t="str">
        <f>VLOOKUP(C2183,[1]道具配置表!$A:$D,4,FALSE)</f>
        <v>1石头</v>
      </c>
      <c r="E2183" s="16">
        <f>E2179+500</f>
        <v>5500</v>
      </c>
      <c r="J2183" s="16">
        <v>1</v>
      </c>
      <c r="L2183" s="16" t="b">
        <v>1</v>
      </c>
    </row>
    <row r="2184" spans="1:12" x14ac:dyDescent="0.25">
      <c r="C2184" s="16">
        <f t="shared" si="39"/>
        <v>104</v>
      </c>
      <c r="D2184" s="16" t="str">
        <f>VLOOKUP(C2184,[1]道具配置表!$A:$D,4,FALSE)</f>
        <v>1黄金</v>
      </c>
      <c r="E2184" s="16">
        <f>E2180+500</f>
        <v>5500</v>
      </c>
      <c r="J2184" s="16">
        <v>1</v>
      </c>
      <c r="L2184" s="16" t="b">
        <v>1</v>
      </c>
    </row>
    <row r="2185" spans="1:12" x14ac:dyDescent="0.25">
      <c r="A2185" s="16">
        <v>1921711</v>
      </c>
      <c r="B2185" s="16" t="s">
        <v>883</v>
      </c>
      <c r="C2185" s="16">
        <f t="shared" si="39"/>
        <v>102</v>
      </c>
      <c r="D2185" s="16" t="str">
        <f>VLOOKUP(C2185,[1]道具配置表!$A:$D,4,FALSE)</f>
        <v>1食物</v>
      </c>
      <c r="E2185" s="16">
        <f>E2181+300</f>
        <v>4000</v>
      </c>
      <c r="J2185" s="16">
        <v>1</v>
      </c>
      <c r="L2185" s="16" t="b">
        <v>1</v>
      </c>
    </row>
    <row r="2186" spans="1:12" x14ac:dyDescent="0.25">
      <c r="C2186" s="16">
        <f t="shared" si="39"/>
        <v>101</v>
      </c>
      <c r="D2186" s="16" t="str">
        <f>VLOOKUP(C2186,[1]道具配置表!$A:$D,4,FALSE)</f>
        <v>1木材</v>
      </c>
      <c r="E2186" s="16">
        <f>E2182+500</f>
        <v>6000</v>
      </c>
      <c r="J2186" s="16">
        <v>1</v>
      </c>
      <c r="L2186" s="16" t="b">
        <v>1</v>
      </c>
    </row>
    <row r="2187" spans="1:12" x14ac:dyDescent="0.25">
      <c r="C2187" s="16">
        <f t="shared" si="39"/>
        <v>103</v>
      </c>
      <c r="D2187" s="16" t="str">
        <f>VLOOKUP(C2187,[1]道具配置表!$A:$D,4,FALSE)</f>
        <v>1石头</v>
      </c>
      <c r="E2187" s="16">
        <f>E2183+500</f>
        <v>6000</v>
      </c>
      <c r="J2187" s="16">
        <v>1</v>
      </c>
      <c r="L2187" s="16" t="b">
        <v>1</v>
      </c>
    </row>
    <row r="2188" spans="1:12" x14ac:dyDescent="0.25">
      <c r="C2188" s="16">
        <f t="shared" si="39"/>
        <v>104</v>
      </c>
      <c r="D2188" s="16" t="str">
        <f>VLOOKUP(C2188,[1]道具配置表!$A:$D,4,FALSE)</f>
        <v>1黄金</v>
      </c>
      <c r="E2188" s="16">
        <f>E2184+500</f>
        <v>6000</v>
      </c>
      <c r="J2188" s="16">
        <v>1</v>
      </c>
      <c r="L2188" s="16" t="b">
        <v>1</v>
      </c>
    </row>
    <row r="2189" spans="1:12" x14ac:dyDescent="0.25">
      <c r="A2189" s="16">
        <v>1921712</v>
      </c>
      <c r="B2189" s="16" t="s">
        <v>884</v>
      </c>
      <c r="C2189" s="16">
        <f t="shared" si="39"/>
        <v>102</v>
      </c>
      <c r="D2189" s="16" t="str">
        <f>VLOOKUP(C2189,[1]道具配置表!$A:$D,4,FALSE)</f>
        <v>1食物</v>
      </c>
      <c r="E2189" s="16">
        <f>E2185+300</f>
        <v>4300</v>
      </c>
      <c r="J2189" s="16">
        <v>1</v>
      </c>
      <c r="L2189" s="16" t="b">
        <v>1</v>
      </c>
    </row>
    <row r="2190" spans="1:12" x14ac:dyDescent="0.25">
      <c r="C2190" s="16">
        <f t="shared" si="39"/>
        <v>101</v>
      </c>
      <c r="D2190" s="16" t="str">
        <f>VLOOKUP(C2190,[1]道具配置表!$A:$D,4,FALSE)</f>
        <v>1木材</v>
      </c>
      <c r="E2190" s="16">
        <f>E2186+500</f>
        <v>6500</v>
      </c>
      <c r="J2190" s="16">
        <v>1</v>
      </c>
      <c r="L2190" s="16" t="b">
        <v>1</v>
      </c>
    </row>
    <row r="2191" spans="1:12" x14ac:dyDescent="0.25">
      <c r="C2191" s="16">
        <f t="shared" si="39"/>
        <v>103</v>
      </c>
      <c r="D2191" s="16" t="str">
        <f>VLOOKUP(C2191,[1]道具配置表!$A:$D,4,FALSE)</f>
        <v>1石头</v>
      </c>
      <c r="E2191" s="16">
        <f>E2187+500</f>
        <v>6500</v>
      </c>
      <c r="J2191" s="16">
        <v>1</v>
      </c>
      <c r="L2191" s="16" t="b">
        <v>1</v>
      </c>
    </row>
    <row r="2192" spans="1:12" x14ac:dyDescent="0.25">
      <c r="C2192" s="16">
        <f t="shared" si="39"/>
        <v>104</v>
      </c>
      <c r="D2192" s="16" t="str">
        <f>VLOOKUP(C2192,[1]道具配置表!$A:$D,4,FALSE)</f>
        <v>1黄金</v>
      </c>
      <c r="E2192" s="16">
        <f>E2188+500</f>
        <v>6500</v>
      </c>
      <c r="J2192" s="16">
        <v>1</v>
      </c>
      <c r="L2192" s="16" t="b">
        <v>1</v>
      </c>
    </row>
    <row r="2193" spans="1:12" x14ac:dyDescent="0.25">
      <c r="A2193" s="16">
        <v>1921713</v>
      </c>
      <c r="B2193" s="16" t="s">
        <v>885</v>
      </c>
      <c r="C2193" s="16">
        <f t="shared" si="39"/>
        <v>102</v>
      </c>
      <c r="D2193" s="16" t="str">
        <f>VLOOKUP(C2193,[1]道具配置表!$A:$D,4,FALSE)</f>
        <v>1食物</v>
      </c>
      <c r="E2193" s="16">
        <f>E2189+300</f>
        <v>4600</v>
      </c>
      <c r="J2193" s="16">
        <v>1</v>
      </c>
      <c r="L2193" s="16" t="b">
        <v>1</v>
      </c>
    </row>
    <row r="2194" spans="1:12" x14ac:dyDescent="0.25">
      <c r="C2194" s="16">
        <f t="shared" si="39"/>
        <v>101</v>
      </c>
      <c r="D2194" s="16" t="str">
        <f>VLOOKUP(C2194,[1]道具配置表!$A:$D,4,FALSE)</f>
        <v>1木材</v>
      </c>
      <c r="E2194" s="16">
        <f>E2190+500</f>
        <v>7000</v>
      </c>
      <c r="J2194" s="16">
        <v>1</v>
      </c>
      <c r="L2194" s="16" t="b">
        <v>1</v>
      </c>
    </row>
    <row r="2195" spans="1:12" x14ac:dyDescent="0.25">
      <c r="C2195" s="16">
        <f t="shared" si="39"/>
        <v>103</v>
      </c>
      <c r="D2195" s="16" t="str">
        <f>VLOOKUP(C2195,[1]道具配置表!$A:$D,4,FALSE)</f>
        <v>1石头</v>
      </c>
      <c r="E2195" s="16">
        <f>E2191+500</f>
        <v>7000</v>
      </c>
      <c r="J2195" s="16">
        <v>1</v>
      </c>
      <c r="L2195" s="16" t="b">
        <v>1</v>
      </c>
    </row>
    <row r="2196" spans="1:12" x14ac:dyDescent="0.25">
      <c r="C2196" s="16">
        <f t="shared" si="39"/>
        <v>104</v>
      </c>
      <c r="D2196" s="16" t="str">
        <f>VLOOKUP(C2196,[1]道具配置表!$A:$D,4,FALSE)</f>
        <v>1黄金</v>
      </c>
      <c r="E2196" s="16">
        <f>E2192+500</f>
        <v>7000</v>
      </c>
      <c r="J2196" s="16">
        <v>1</v>
      </c>
      <c r="L2196" s="16" t="b">
        <v>1</v>
      </c>
    </row>
    <row r="2197" spans="1:12" x14ac:dyDescent="0.25">
      <c r="A2197" s="16">
        <v>1921714</v>
      </c>
      <c r="B2197" s="16" t="s">
        <v>886</v>
      </c>
      <c r="C2197" s="16">
        <f t="shared" si="39"/>
        <v>102</v>
      </c>
      <c r="D2197" s="16" t="str">
        <f>VLOOKUP(C2197,[1]道具配置表!$A:$D,4,FALSE)</f>
        <v>1食物</v>
      </c>
      <c r="E2197" s="16">
        <f>E2193+300</f>
        <v>4900</v>
      </c>
      <c r="J2197" s="16">
        <v>1</v>
      </c>
      <c r="L2197" s="16" t="b">
        <v>1</v>
      </c>
    </row>
    <row r="2198" spans="1:12" x14ac:dyDescent="0.25">
      <c r="C2198" s="16">
        <f t="shared" si="39"/>
        <v>101</v>
      </c>
      <c r="D2198" s="16" t="str">
        <f>VLOOKUP(C2198,[1]道具配置表!$A:$D,4,FALSE)</f>
        <v>1木材</v>
      </c>
      <c r="E2198" s="16">
        <f>E2194+500</f>
        <v>7500</v>
      </c>
      <c r="J2198" s="16">
        <v>1</v>
      </c>
      <c r="L2198" s="16" t="b">
        <v>1</v>
      </c>
    </row>
    <row r="2199" spans="1:12" x14ac:dyDescent="0.25">
      <c r="C2199" s="16">
        <f t="shared" si="39"/>
        <v>103</v>
      </c>
      <c r="D2199" s="16" t="str">
        <f>VLOOKUP(C2199,[1]道具配置表!$A:$D,4,FALSE)</f>
        <v>1石头</v>
      </c>
      <c r="E2199" s="16">
        <f>E2195+500</f>
        <v>7500</v>
      </c>
      <c r="J2199" s="16">
        <v>1</v>
      </c>
      <c r="L2199" s="16" t="b">
        <v>1</v>
      </c>
    </row>
    <row r="2200" spans="1:12" x14ac:dyDescent="0.25">
      <c r="C2200" s="16">
        <f t="shared" si="39"/>
        <v>104</v>
      </c>
      <c r="D2200" s="16" t="str">
        <f>VLOOKUP(C2200,[1]道具配置表!$A:$D,4,FALSE)</f>
        <v>1黄金</v>
      </c>
      <c r="E2200" s="16">
        <f>E2196+500</f>
        <v>7500</v>
      </c>
      <c r="J2200" s="16">
        <v>1</v>
      </c>
      <c r="L2200" s="16" t="b">
        <v>1</v>
      </c>
    </row>
    <row r="2201" spans="1:12" x14ac:dyDescent="0.25">
      <c r="A2201" s="16">
        <v>1921715</v>
      </c>
      <c r="B2201" s="16" t="s">
        <v>887</v>
      </c>
      <c r="C2201" s="16">
        <f t="shared" si="39"/>
        <v>102</v>
      </c>
      <c r="D2201" s="16" t="str">
        <f>VLOOKUP(C2201,[1]道具配置表!$A:$D,4,FALSE)</f>
        <v>1食物</v>
      </c>
      <c r="E2201" s="16">
        <f>E2197+300</f>
        <v>5200</v>
      </c>
      <c r="J2201" s="16">
        <v>1</v>
      </c>
      <c r="L2201" s="16" t="b">
        <v>1</v>
      </c>
    </row>
    <row r="2202" spans="1:12" x14ac:dyDescent="0.25">
      <c r="C2202" s="16">
        <f t="shared" si="39"/>
        <v>101</v>
      </c>
      <c r="D2202" s="16" t="str">
        <f>VLOOKUP(C2202,[1]道具配置表!$A:$D,4,FALSE)</f>
        <v>1木材</v>
      </c>
      <c r="E2202" s="16">
        <f>E2198+500</f>
        <v>8000</v>
      </c>
      <c r="J2202" s="16">
        <v>1</v>
      </c>
      <c r="L2202" s="16" t="b">
        <v>1</v>
      </c>
    </row>
    <row r="2203" spans="1:12" x14ac:dyDescent="0.25">
      <c r="C2203" s="16">
        <f t="shared" si="39"/>
        <v>103</v>
      </c>
      <c r="D2203" s="16" t="str">
        <f>VLOOKUP(C2203,[1]道具配置表!$A:$D,4,FALSE)</f>
        <v>1石头</v>
      </c>
      <c r="E2203" s="16">
        <f>E2199+500</f>
        <v>8000</v>
      </c>
      <c r="J2203" s="16">
        <v>1</v>
      </c>
      <c r="L2203" s="16" t="b">
        <v>1</v>
      </c>
    </row>
    <row r="2204" spans="1:12" x14ac:dyDescent="0.25">
      <c r="C2204" s="16">
        <f t="shared" si="39"/>
        <v>104</v>
      </c>
      <c r="D2204" s="16" t="str">
        <f>VLOOKUP(C2204,[1]道具配置表!$A:$D,4,FALSE)</f>
        <v>1黄金</v>
      </c>
      <c r="E2204" s="16">
        <f>E2200+500</f>
        <v>8000</v>
      </c>
      <c r="J2204" s="16">
        <v>1</v>
      </c>
      <c r="L2204" s="16" t="b">
        <v>1</v>
      </c>
    </row>
    <row r="2205" spans="1:12" x14ac:dyDescent="0.25">
      <c r="A2205" s="16">
        <v>1921716</v>
      </c>
      <c r="B2205" s="16" t="s">
        <v>888</v>
      </c>
      <c r="C2205" s="16">
        <f t="shared" si="39"/>
        <v>102</v>
      </c>
      <c r="D2205" s="16" t="str">
        <f>VLOOKUP(C2205,[1]道具配置表!$A:$D,4,FALSE)</f>
        <v>1食物</v>
      </c>
      <c r="E2205" s="16">
        <f>E2201+300</f>
        <v>5500</v>
      </c>
      <c r="J2205" s="16">
        <v>1</v>
      </c>
      <c r="L2205" s="16" t="b">
        <v>1</v>
      </c>
    </row>
    <row r="2206" spans="1:12" x14ac:dyDescent="0.25">
      <c r="C2206" s="16">
        <f t="shared" si="39"/>
        <v>101</v>
      </c>
      <c r="D2206" s="16" t="str">
        <f>VLOOKUP(C2206,[1]道具配置表!$A:$D,4,FALSE)</f>
        <v>1木材</v>
      </c>
      <c r="E2206" s="16">
        <f>E2202+500</f>
        <v>8500</v>
      </c>
      <c r="J2206" s="16">
        <v>1</v>
      </c>
      <c r="L2206" s="16" t="b">
        <v>1</v>
      </c>
    </row>
    <row r="2207" spans="1:12" x14ac:dyDescent="0.25">
      <c r="C2207" s="16">
        <f t="shared" si="39"/>
        <v>103</v>
      </c>
      <c r="D2207" s="16" t="str">
        <f>VLOOKUP(C2207,[1]道具配置表!$A:$D,4,FALSE)</f>
        <v>1石头</v>
      </c>
      <c r="E2207" s="16">
        <f>E2203+500</f>
        <v>8500</v>
      </c>
      <c r="J2207" s="16">
        <v>1</v>
      </c>
      <c r="L2207" s="16" t="b">
        <v>1</v>
      </c>
    </row>
    <row r="2208" spans="1:12" x14ac:dyDescent="0.25">
      <c r="C2208" s="16">
        <f t="shared" si="39"/>
        <v>104</v>
      </c>
      <c r="D2208" s="16" t="str">
        <f>VLOOKUP(C2208,[1]道具配置表!$A:$D,4,FALSE)</f>
        <v>1黄金</v>
      </c>
      <c r="E2208" s="16">
        <f>E2204+500</f>
        <v>8500</v>
      </c>
      <c r="J2208" s="16">
        <v>1</v>
      </c>
      <c r="L2208" s="16" t="b">
        <v>1</v>
      </c>
    </row>
    <row r="2209" spans="1:12" x14ac:dyDescent="0.25">
      <c r="A2209" s="16">
        <v>1921717</v>
      </c>
      <c r="B2209" s="16" t="s">
        <v>889</v>
      </c>
      <c r="C2209" s="16">
        <f t="shared" si="39"/>
        <v>102</v>
      </c>
      <c r="D2209" s="16" t="str">
        <f>VLOOKUP(C2209,[1]道具配置表!$A:$D,4,FALSE)</f>
        <v>1食物</v>
      </c>
      <c r="E2209" s="16">
        <f>E2205+300</f>
        <v>5800</v>
      </c>
      <c r="J2209" s="16">
        <v>1</v>
      </c>
      <c r="L2209" s="16" t="b">
        <v>1</v>
      </c>
    </row>
    <row r="2210" spans="1:12" x14ac:dyDescent="0.25">
      <c r="C2210" s="16">
        <f t="shared" si="39"/>
        <v>101</v>
      </c>
      <c r="D2210" s="16" t="str">
        <f>VLOOKUP(C2210,[1]道具配置表!$A:$D,4,FALSE)</f>
        <v>1木材</v>
      </c>
      <c r="E2210" s="16">
        <f>E2206+500</f>
        <v>9000</v>
      </c>
      <c r="J2210" s="16">
        <v>1</v>
      </c>
      <c r="L2210" s="16" t="b">
        <v>1</v>
      </c>
    </row>
    <row r="2211" spans="1:12" x14ac:dyDescent="0.25">
      <c r="C2211" s="16">
        <f t="shared" si="39"/>
        <v>103</v>
      </c>
      <c r="D2211" s="16" t="str">
        <f>VLOOKUP(C2211,[1]道具配置表!$A:$D,4,FALSE)</f>
        <v>1石头</v>
      </c>
      <c r="E2211" s="16">
        <f>E2207+500</f>
        <v>9000</v>
      </c>
      <c r="J2211" s="16">
        <v>1</v>
      </c>
      <c r="L2211" s="16" t="b">
        <v>1</v>
      </c>
    </row>
    <row r="2212" spans="1:12" x14ac:dyDescent="0.25">
      <c r="C2212" s="16">
        <f t="shared" si="39"/>
        <v>104</v>
      </c>
      <c r="D2212" s="16" t="str">
        <f>VLOOKUP(C2212,[1]道具配置表!$A:$D,4,FALSE)</f>
        <v>1黄金</v>
      </c>
      <c r="E2212" s="16">
        <f>E2208+500</f>
        <v>9000</v>
      </c>
      <c r="J2212" s="16">
        <v>1</v>
      </c>
      <c r="L2212" s="16" t="b">
        <v>1</v>
      </c>
    </row>
    <row r="2213" spans="1:12" x14ac:dyDescent="0.25">
      <c r="A2213" s="16">
        <v>1921718</v>
      </c>
      <c r="B2213" s="16" t="s">
        <v>890</v>
      </c>
      <c r="C2213" s="16">
        <f t="shared" si="39"/>
        <v>102</v>
      </c>
      <c r="D2213" s="16" t="str">
        <f>VLOOKUP(C2213,[1]道具配置表!$A:$D,4,FALSE)</f>
        <v>1食物</v>
      </c>
      <c r="E2213" s="16">
        <f>E2209+300</f>
        <v>6100</v>
      </c>
      <c r="J2213" s="16">
        <v>1</v>
      </c>
      <c r="L2213" s="16" t="b">
        <v>1</v>
      </c>
    </row>
    <row r="2214" spans="1:12" x14ac:dyDescent="0.25">
      <c r="C2214" s="16">
        <f t="shared" si="39"/>
        <v>101</v>
      </c>
      <c r="D2214" s="16" t="str">
        <f>VLOOKUP(C2214,[1]道具配置表!$A:$D,4,FALSE)</f>
        <v>1木材</v>
      </c>
      <c r="E2214" s="16">
        <f>E2210+500</f>
        <v>9500</v>
      </c>
      <c r="J2214" s="16">
        <v>1</v>
      </c>
      <c r="L2214" s="16" t="b">
        <v>1</v>
      </c>
    </row>
    <row r="2215" spans="1:12" x14ac:dyDescent="0.25">
      <c r="C2215" s="16">
        <f t="shared" si="39"/>
        <v>103</v>
      </c>
      <c r="D2215" s="16" t="str">
        <f>VLOOKUP(C2215,[1]道具配置表!$A:$D,4,FALSE)</f>
        <v>1石头</v>
      </c>
      <c r="E2215" s="16">
        <f>E2211+500</f>
        <v>9500</v>
      </c>
      <c r="J2215" s="16">
        <v>1</v>
      </c>
      <c r="L2215" s="16" t="b">
        <v>1</v>
      </c>
    </row>
    <row r="2216" spans="1:12" x14ac:dyDescent="0.25">
      <c r="C2216" s="16">
        <f t="shared" si="39"/>
        <v>104</v>
      </c>
      <c r="D2216" s="16" t="str">
        <f>VLOOKUP(C2216,[1]道具配置表!$A:$D,4,FALSE)</f>
        <v>1黄金</v>
      </c>
      <c r="E2216" s="16">
        <f>E2212+500</f>
        <v>9500</v>
      </c>
      <c r="J2216" s="16">
        <v>1</v>
      </c>
      <c r="L2216" s="16" t="b">
        <v>1</v>
      </c>
    </row>
    <row r="2217" spans="1:12" x14ac:dyDescent="0.25">
      <c r="A2217" s="16">
        <v>1921719</v>
      </c>
      <c r="B2217" s="16" t="s">
        <v>891</v>
      </c>
      <c r="C2217" s="16">
        <f t="shared" si="39"/>
        <v>102</v>
      </c>
      <c r="D2217" s="16" t="str">
        <f>VLOOKUP(C2217,[1]道具配置表!$A:$D,4,FALSE)</f>
        <v>1食物</v>
      </c>
      <c r="E2217" s="16">
        <f>E2213+300</f>
        <v>6400</v>
      </c>
      <c r="J2217" s="16">
        <v>1</v>
      </c>
      <c r="L2217" s="16" t="b">
        <v>1</v>
      </c>
    </row>
    <row r="2218" spans="1:12" x14ac:dyDescent="0.25">
      <c r="C2218" s="16">
        <f t="shared" si="39"/>
        <v>101</v>
      </c>
      <c r="D2218" s="16" t="str">
        <f>VLOOKUP(C2218,[1]道具配置表!$A:$D,4,FALSE)</f>
        <v>1木材</v>
      </c>
      <c r="E2218" s="16">
        <f>E2214+500</f>
        <v>10000</v>
      </c>
      <c r="J2218" s="16">
        <v>1</v>
      </c>
      <c r="L2218" s="16" t="b">
        <v>1</v>
      </c>
    </row>
    <row r="2219" spans="1:12" x14ac:dyDescent="0.25">
      <c r="C2219" s="16">
        <f t="shared" si="39"/>
        <v>103</v>
      </c>
      <c r="D2219" s="16" t="str">
        <f>VLOOKUP(C2219,[1]道具配置表!$A:$D,4,FALSE)</f>
        <v>1石头</v>
      </c>
      <c r="E2219" s="16">
        <f>E2215+500</f>
        <v>10000</v>
      </c>
      <c r="J2219" s="16">
        <v>1</v>
      </c>
      <c r="L2219" s="16" t="b">
        <v>1</v>
      </c>
    </row>
    <row r="2220" spans="1:12" x14ac:dyDescent="0.25">
      <c r="C2220" s="16">
        <f t="shared" si="39"/>
        <v>104</v>
      </c>
      <c r="D2220" s="16" t="str">
        <f>VLOOKUP(C2220,[1]道具配置表!$A:$D,4,FALSE)</f>
        <v>1黄金</v>
      </c>
      <c r="E2220" s="16">
        <f>E2216+500</f>
        <v>10000</v>
      </c>
      <c r="J2220" s="16">
        <v>1</v>
      </c>
      <c r="L2220" s="16" t="b">
        <v>1</v>
      </c>
    </row>
    <row r="2221" spans="1:12" x14ac:dyDescent="0.25">
      <c r="A2221" s="16">
        <v>1921720</v>
      </c>
      <c r="B2221" s="16" t="s">
        <v>892</v>
      </c>
      <c r="C2221" s="16">
        <f t="shared" si="39"/>
        <v>102</v>
      </c>
      <c r="D2221" s="16" t="str">
        <f>VLOOKUP(C2221,[1]道具配置表!$A:$D,4,FALSE)</f>
        <v>1食物</v>
      </c>
      <c r="E2221" s="16">
        <f>E2217+300</f>
        <v>6700</v>
      </c>
      <c r="J2221" s="16">
        <v>1</v>
      </c>
      <c r="L2221" s="16" t="b">
        <v>1</v>
      </c>
    </row>
    <row r="2222" spans="1:12" x14ac:dyDescent="0.25">
      <c r="C2222" s="16">
        <f t="shared" si="39"/>
        <v>101</v>
      </c>
      <c r="D2222" s="16" t="str">
        <f>VLOOKUP(C2222,[1]道具配置表!$A:$D,4,FALSE)</f>
        <v>1木材</v>
      </c>
      <c r="E2222" s="16">
        <f>E2218+500</f>
        <v>10500</v>
      </c>
      <c r="J2222" s="16">
        <v>1</v>
      </c>
      <c r="L2222" s="16" t="b">
        <v>1</v>
      </c>
    </row>
    <row r="2223" spans="1:12" x14ac:dyDescent="0.25">
      <c r="C2223" s="16">
        <f t="shared" si="39"/>
        <v>103</v>
      </c>
      <c r="D2223" s="16" t="str">
        <f>VLOOKUP(C2223,[1]道具配置表!$A:$D,4,FALSE)</f>
        <v>1石头</v>
      </c>
      <c r="E2223" s="16">
        <f>E2219+500</f>
        <v>10500</v>
      </c>
      <c r="J2223" s="16">
        <v>1</v>
      </c>
      <c r="L2223" s="16" t="b">
        <v>1</v>
      </c>
    </row>
    <row r="2224" spans="1:12" x14ac:dyDescent="0.25">
      <c r="C2224" s="16">
        <f t="shared" si="39"/>
        <v>104</v>
      </c>
      <c r="D2224" s="16" t="str">
        <f>VLOOKUP(C2224,[1]道具配置表!$A:$D,4,FALSE)</f>
        <v>1黄金</v>
      </c>
      <c r="E2224" s="16">
        <f>E2220+500</f>
        <v>10500</v>
      </c>
      <c r="J2224" s="16">
        <v>1</v>
      </c>
      <c r="L2224" s="16" t="b">
        <v>1</v>
      </c>
    </row>
    <row r="2225" spans="1:12" x14ac:dyDescent="0.25">
      <c r="A2225" s="16">
        <v>1921721</v>
      </c>
      <c r="B2225" s="16" t="s">
        <v>893</v>
      </c>
      <c r="C2225" s="16">
        <f t="shared" ref="C2225:C2288" si="40">C2221</f>
        <v>102</v>
      </c>
      <c r="D2225" s="16" t="str">
        <f>VLOOKUP(C2225,[1]道具配置表!$A:$D,4,FALSE)</f>
        <v>1食物</v>
      </c>
      <c r="E2225" s="16">
        <f>E2221+300</f>
        <v>7000</v>
      </c>
      <c r="J2225" s="16">
        <v>1</v>
      </c>
      <c r="L2225" s="16" t="b">
        <v>1</v>
      </c>
    </row>
    <row r="2226" spans="1:12" x14ac:dyDescent="0.25">
      <c r="C2226" s="16">
        <f t="shared" si="40"/>
        <v>101</v>
      </c>
      <c r="D2226" s="16" t="str">
        <f>VLOOKUP(C2226,[1]道具配置表!$A:$D,4,FALSE)</f>
        <v>1木材</v>
      </c>
      <c r="E2226" s="16">
        <f>E2222+500</f>
        <v>11000</v>
      </c>
      <c r="J2226" s="16">
        <v>1</v>
      </c>
      <c r="L2226" s="16" t="b">
        <v>1</v>
      </c>
    </row>
    <row r="2227" spans="1:12" x14ac:dyDescent="0.25">
      <c r="C2227" s="16">
        <f t="shared" si="40"/>
        <v>103</v>
      </c>
      <c r="D2227" s="16" t="str">
        <f>VLOOKUP(C2227,[1]道具配置表!$A:$D,4,FALSE)</f>
        <v>1石头</v>
      </c>
      <c r="E2227" s="16">
        <f>E2223+500</f>
        <v>11000</v>
      </c>
      <c r="J2227" s="16">
        <v>1</v>
      </c>
      <c r="L2227" s="16" t="b">
        <v>1</v>
      </c>
    </row>
    <row r="2228" spans="1:12" x14ac:dyDescent="0.25">
      <c r="C2228" s="16">
        <f t="shared" si="40"/>
        <v>104</v>
      </c>
      <c r="D2228" s="16" t="str">
        <f>VLOOKUP(C2228,[1]道具配置表!$A:$D,4,FALSE)</f>
        <v>1黄金</v>
      </c>
      <c r="E2228" s="16">
        <f>E2224+500</f>
        <v>11000</v>
      </c>
      <c r="J2228" s="16">
        <v>1</v>
      </c>
      <c r="L2228" s="16" t="b">
        <v>1</v>
      </c>
    </row>
    <row r="2229" spans="1:12" x14ac:dyDescent="0.25">
      <c r="A2229" s="16">
        <v>1921722</v>
      </c>
      <c r="B2229" s="16" t="s">
        <v>894</v>
      </c>
      <c r="C2229" s="16">
        <f t="shared" si="40"/>
        <v>102</v>
      </c>
      <c r="D2229" s="16" t="str">
        <f>VLOOKUP(C2229,[1]道具配置表!$A:$D,4,FALSE)</f>
        <v>1食物</v>
      </c>
      <c r="E2229" s="16">
        <f>E2225+300</f>
        <v>7300</v>
      </c>
      <c r="J2229" s="16">
        <v>1</v>
      </c>
      <c r="L2229" s="16" t="b">
        <v>1</v>
      </c>
    </row>
    <row r="2230" spans="1:12" x14ac:dyDescent="0.25">
      <c r="C2230" s="16">
        <f t="shared" si="40"/>
        <v>101</v>
      </c>
      <c r="D2230" s="16" t="str">
        <f>VLOOKUP(C2230,[1]道具配置表!$A:$D,4,FALSE)</f>
        <v>1木材</v>
      </c>
      <c r="E2230" s="16">
        <f>E2226+500</f>
        <v>11500</v>
      </c>
      <c r="J2230" s="16">
        <v>1</v>
      </c>
      <c r="L2230" s="16" t="b">
        <v>1</v>
      </c>
    </row>
    <row r="2231" spans="1:12" x14ac:dyDescent="0.25">
      <c r="C2231" s="16">
        <f t="shared" si="40"/>
        <v>103</v>
      </c>
      <c r="D2231" s="16" t="str">
        <f>VLOOKUP(C2231,[1]道具配置表!$A:$D,4,FALSE)</f>
        <v>1石头</v>
      </c>
      <c r="E2231" s="16">
        <f>E2227+500</f>
        <v>11500</v>
      </c>
      <c r="J2231" s="16">
        <v>1</v>
      </c>
      <c r="L2231" s="16" t="b">
        <v>1</v>
      </c>
    </row>
    <row r="2232" spans="1:12" x14ac:dyDescent="0.25">
      <c r="C2232" s="16">
        <f t="shared" si="40"/>
        <v>104</v>
      </c>
      <c r="D2232" s="16" t="str">
        <f>VLOOKUP(C2232,[1]道具配置表!$A:$D,4,FALSE)</f>
        <v>1黄金</v>
      </c>
      <c r="E2232" s="16">
        <f>E2228+500</f>
        <v>11500</v>
      </c>
      <c r="J2232" s="16">
        <v>1</v>
      </c>
      <c r="L2232" s="16" t="b">
        <v>1</v>
      </c>
    </row>
    <row r="2233" spans="1:12" x14ac:dyDescent="0.25">
      <c r="A2233" s="16">
        <v>1921723</v>
      </c>
      <c r="B2233" s="16" t="s">
        <v>895</v>
      </c>
      <c r="C2233" s="16">
        <f t="shared" si="40"/>
        <v>102</v>
      </c>
      <c r="D2233" s="16" t="str">
        <f>VLOOKUP(C2233,[1]道具配置表!$A:$D,4,FALSE)</f>
        <v>1食物</v>
      </c>
      <c r="E2233" s="16">
        <f>E2229+300</f>
        <v>7600</v>
      </c>
      <c r="J2233" s="16">
        <v>1</v>
      </c>
      <c r="L2233" s="16" t="b">
        <v>1</v>
      </c>
    </row>
    <row r="2234" spans="1:12" x14ac:dyDescent="0.25">
      <c r="C2234" s="16">
        <f t="shared" si="40"/>
        <v>101</v>
      </c>
      <c r="D2234" s="16" t="str">
        <f>VLOOKUP(C2234,[1]道具配置表!$A:$D,4,FALSE)</f>
        <v>1木材</v>
      </c>
      <c r="E2234" s="16">
        <f>E2230+500</f>
        <v>12000</v>
      </c>
      <c r="J2234" s="16">
        <v>1</v>
      </c>
      <c r="L2234" s="16" t="b">
        <v>1</v>
      </c>
    </row>
    <row r="2235" spans="1:12" x14ac:dyDescent="0.25">
      <c r="C2235" s="16">
        <f t="shared" si="40"/>
        <v>103</v>
      </c>
      <c r="D2235" s="16" t="str">
        <f>VLOOKUP(C2235,[1]道具配置表!$A:$D,4,FALSE)</f>
        <v>1石头</v>
      </c>
      <c r="E2235" s="16">
        <f>E2231+500</f>
        <v>12000</v>
      </c>
      <c r="J2235" s="16">
        <v>1</v>
      </c>
      <c r="L2235" s="16" t="b">
        <v>1</v>
      </c>
    </row>
    <row r="2236" spans="1:12" x14ac:dyDescent="0.25">
      <c r="C2236" s="16">
        <f t="shared" si="40"/>
        <v>104</v>
      </c>
      <c r="D2236" s="16" t="str">
        <f>VLOOKUP(C2236,[1]道具配置表!$A:$D,4,FALSE)</f>
        <v>1黄金</v>
      </c>
      <c r="E2236" s="16">
        <f>E2232+500</f>
        <v>12000</v>
      </c>
      <c r="J2236" s="16">
        <v>1</v>
      </c>
      <c r="L2236" s="16" t="b">
        <v>1</v>
      </c>
    </row>
    <row r="2237" spans="1:12" x14ac:dyDescent="0.25">
      <c r="A2237" s="16">
        <v>1921724</v>
      </c>
      <c r="B2237" s="16" t="s">
        <v>896</v>
      </c>
      <c r="C2237" s="16">
        <f t="shared" si="40"/>
        <v>102</v>
      </c>
      <c r="D2237" s="16" t="str">
        <f>VLOOKUP(C2237,[1]道具配置表!$A:$D,4,FALSE)</f>
        <v>1食物</v>
      </c>
      <c r="E2237" s="16">
        <f>E2233+300</f>
        <v>7900</v>
      </c>
      <c r="J2237" s="16">
        <v>1</v>
      </c>
      <c r="L2237" s="16" t="b">
        <v>1</v>
      </c>
    </row>
    <row r="2238" spans="1:12" x14ac:dyDescent="0.25">
      <c r="C2238" s="16">
        <f t="shared" si="40"/>
        <v>101</v>
      </c>
      <c r="D2238" s="16" t="str">
        <f>VLOOKUP(C2238,[1]道具配置表!$A:$D,4,FALSE)</f>
        <v>1木材</v>
      </c>
      <c r="E2238" s="16">
        <f>E2234+500</f>
        <v>12500</v>
      </c>
      <c r="J2238" s="16">
        <v>1</v>
      </c>
      <c r="L2238" s="16" t="b">
        <v>1</v>
      </c>
    </row>
    <row r="2239" spans="1:12" x14ac:dyDescent="0.25">
      <c r="C2239" s="16">
        <f t="shared" si="40"/>
        <v>103</v>
      </c>
      <c r="D2239" s="16" t="str">
        <f>VLOOKUP(C2239,[1]道具配置表!$A:$D,4,FALSE)</f>
        <v>1石头</v>
      </c>
      <c r="E2239" s="16">
        <f>E2235+500</f>
        <v>12500</v>
      </c>
      <c r="J2239" s="16">
        <v>1</v>
      </c>
      <c r="L2239" s="16" t="b">
        <v>1</v>
      </c>
    </row>
    <row r="2240" spans="1:12" x14ac:dyDescent="0.25">
      <c r="C2240" s="16">
        <f t="shared" si="40"/>
        <v>104</v>
      </c>
      <c r="D2240" s="16" t="str">
        <f>VLOOKUP(C2240,[1]道具配置表!$A:$D,4,FALSE)</f>
        <v>1黄金</v>
      </c>
      <c r="E2240" s="16">
        <f>E2236+500</f>
        <v>12500</v>
      </c>
      <c r="J2240" s="16">
        <v>1</v>
      </c>
      <c r="L2240" s="16" t="b">
        <v>1</v>
      </c>
    </row>
    <row r="2241" spans="1:12" x14ac:dyDescent="0.25">
      <c r="A2241" s="16">
        <v>1921725</v>
      </c>
      <c r="B2241" s="16" t="s">
        <v>897</v>
      </c>
      <c r="C2241" s="16">
        <f t="shared" si="40"/>
        <v>102</v>
      </c>
      <c r="D2241" s="16" t="str">
        <f>VLOOKUP(C2241,[1]道具配置表!$A:$D,4,FALSE)</f>
        <v>1食物</v>
      </c>
      <c r="E2241" s="16">
        <f>E2237+300</f>
        <v>8200</v>
      </c>
      <c r="J2241" s="16">
        <v>1</v>
      </c>
      <c r="L2241" s="16" t="b">
        <v>1</v>
      </c>
    </row>
    <row r="2242" spans="1:12" x14ac:dyDescent="0.25">
      <c r="C2242" s="16">
        <f t="shared" si="40"/>
        <v>101</v>
      </c>
      <c r="D2242" s="16" t="str">
        <f>VLOOKUP(C2242,[1]道具配置表!$A:$D,4,FALSE)</f>
        <v>1木材</v>
      </c>
      <c r="E2242" s="16">
        <f>E2238+500</f>
        <v>13000</v>
      </c>
      <c r="J2242" s="16">
        <v>1</v>
      </c>
      <c r="L2242" s="16" t="b">
        <v>1</v>
      </c>
    </row>
    <row r="2243" spans="1:12" x14ac:dyDescent="0.25">
      <c r="C2243" s="16">
        <f t="shared" si="40"/>
        <v>103</v>
      </c>
      <c r="D2243" s="16" t="str">
        <f>VLOOKUP(C2243,[1]道具配置表!$A:$D,4,FALSE)</f>
        <v>1石头</v>
      </c>
      <c r="E2243" s="16">
        <f>E2239+500</f>
        <v>13000</v>
      </c>
      <c r="J2243" s="16">
        <v>1</v>
      </c>
      <c r="L2243" s="16" t="b">
        <v>1</v>
      </c>
    </row>
    <row r="2244" spans="1:12" x14ac:dyDescent="0.25">
      <c r="C2244" s="16">
        <f t="shared" si="40"/>
        <v>104</v>
      </c>
      <c r="D2244" s="16" t="str">
        <f>VLOOKUP(C2244,[1]道具配置表!$A:$D,4,FALSE)</f>
        <v>1黄金</v>
      </c>
      <c r="E2244" s="16">
        <f>E2240+500</f>
        <v>13000</v>
      </c>
      <c r="J2244" s="16">
        <v>1</v>
      </c>
      <c r="L2244" s="16" t="b">
        <v>1</v>
      </c>
    </row>
    <row r="2245" spans="1:12" x14ac:dyDescent="0.25">
      <c r="A2245" s="16">
        <v>1921726</v>
      </c>
      <c r="B2245" s="16" t="s">
        <v>898</v>
      </c>
      <c r="C2245" s="16">
        <f t="shared" si="40"/>
        <v>102</v>
      </c>
      <c r="D2245" s="16" t="str">
        <f>VLOOKUP(C2245,[1]道具配置表!$A:$D,4,FALSE)</f>
        <v>1食物</v>
      </c>
      <c r="E2245" s="16">
        <f>E2241+300</f>
        <v>8500</v>
      </c>
      <c r="J2245" s="16">
        <v>1</v>
      </c>
      <c r="L2245" s="16" t="b">
        <v>1</v>
      </c>
    </row>
    <row r="2246" spans="1:12" x14ac:dyDescent="0.25">
      <c r="C2246" s="16">
        <f t="shared" si="40"/>
        <v>101</v>
      </c>
      <c r="D2246" s="16" t="str">
        <f>VLOOKUP(C2246,[1]道具配置表!$A:$D,4,FALSE)</f>
        <v>1木材</v>
      </c>
      <c r="E2246" s="16">
        <f>E2242+500</f>
        <v>13500</v>
      </c>
      <c r="J2246" s="16">
        <v>1</v>
      </c>
      <c r="L2246" s="16" t="b">
        <v>1</v>
      </c>
    </row>
    <row r="2247" spans="1:12" x14ac:dyDescent="0.25">
      <c r="C2247" s="16">
        <f t="shared" si="40"/>
        <v>103</v>
      </c>
      <c r="D2247" s="16" t="str">
        <f>VLOOKUP(C2247,[1]道具配置表!$A:$D,4,FALSE)</f>
        <v>1石头</v>
      </c>
      <c r="E2247" s="16">
        <f>E2243+500</f>
        <v>13500</v>
      </c>
      <c r="J2247" s="16">
        <v>1</v>
      </c>
      <c r="L2247" s="16" t="b">
        <v>1</v>
      </c>
    </row>
    <row r="2248" spans="1:12" x14ac:dyDescent="0.25">
      <c r="C2248" s="16">
        <f t="shared" si="40"/>
        <v>104</v>
      </c>
      <c r="D2248" s="16" t="str">
        <f>VLOOKUP(C2248,[1]道具配置表!$A:$D,4,FALSE)</f>
        <v>1黄金</v>
      </c>
      <c r="E2248" s="16">
        <f>E2244+500</f>
        <v>13500</v>
      </c>
      <c r="J2248" s="16">
        <v>1</v>
      </c>
      <c r="L2248" s="16" t="b">
        <v>1</v>
      </c>
    </row>
    <row r="2249" spans="1:12" x14ac:dyDescent="0.25">
      <c r="A2249" s="16">
        <v>1921727</v>
      </c>
      <c r="B2249" s="16" t="s">
        <v>899</v>
      </c>
      <c r="C2249" s="16">
        <f t="shared" si="40"/>
        <v>102</v>
      </c>
      <c r="D2249" s="16" t="str">
        <f>VLOOKUP(C2249,[1]道具配置表!$A:$D,4,FALSE)</f>
        <v>1食物</v>
      </c>
      <c r="E2249" s="16">
        <f>E2245+300</f>
        <v>8800</v>
      </c>
      <c r="J2249" s="16">
        <v>1</v>
      </c>
      <c r="L2249" s="16" t="b">
        <v>1</v>
      </c>
    </row>
    <row r="2250" spans="1:12" x14ac:dyDescent="0.25">
      <c r="C2250" s="16">
        <f t="shared" si="40"/>
        <v>101</v>
      </c>
      <c r="D2250" s="16" t="str">
        <f>VLOOKUP(C2250,[1]道具配置表!$A:$D,4,FALSE)</f>
        <v>1木材</v>
      </c>
      <c r="E2250" s="16">
        <f>E2246+500</f>
        <v>14000</v>
      </c>
      <c r="J2250" s="16">
        <v>1</v>
      </c>
      <c r="L2250" s="16" t="b">
        <v>1</v>
      </c>
    </row>
    <row r="2251" spans="1:12" x14ac:dyDescent="0.25">
      <c r="C2251" s="16">
        <f t="shared" si="40"/>
        <v>103</v>
      </c>
      <c r="D2251" s="16" t="str">
        <f>VLOOKUP(C2251,[1]道具配置表!$A:$D,4,FALSE)</f>
        <v>1石头</v>
      </c>
      <c r="E2251" s="16">
        <f>E2247+500</f>
        <v>14000</v>
      </c>
      <c r="J2251" s="16">
        <v>1</v>
      </c>
      <c r="L2251" s="16" t="b">
        <v>1</v>
      </c>
    </row>
    <row r="2252" spans="1:12" x14ac:dyDescent="0.25">
      <c r="C2252" s="16">
        <f t="shared" si="40"/>
        <v>104</v>
      </c>
      <c r="D2252" s="16" t="str">
        <f>VLOOKUP(C2252,[1]道具配置表!$A:$D,4,FALSE)</f>
        <v>1黄金</v>
      </c>
      <c r="E2252" s="16">
        <f>E2248+500</f>
        <v>14000</v>
      </c>
      <c r="J2252" s="16">
        <v>1</v>
      </c>
      <c r="L2252" s="16" t="b">
        <v>1</v>
      </c>
    </row>
    <row r="2253" spans="1:12" x14ac:dyDescent="0.25">
      <c r="A2253" s="16">
        <v>1921728</v>
      </c>
      <c r="B2253" s="16" t="s">
        <v>900</v>
      </c>
      <c r="C2253" s="16">
        <f t="shared" si="40"/>
        <v>102</v>
      </c>
      <c r="D2253" s="16" t="str">
        <f>VLOOKUP(C2253,[1]道具配置表!$A:$D,4,FALSE)</f>
        <v>1食物</v>
      </c>
      <c r="E2253" s="16">
        <f>E2249+300</f>
        <v>9100</v>
      </c>
      <c r="J2253" s="16">
        <v>1</v>
      </c>
      <c r="L2253" s="16" t="b">
        <v>1</v>
      </c>
    </row>
    <row r="2254" spans="1:12" x14ac:dyDescent="0.25">
      <c r="C2254" s="16">
        <f t="shared" si="40"/>
        <v>101</v>
      </c>
      <c r="D2254" s="16" t="str">
        <f>VLOOKUP(C2254,[1]道具配置表!$A:$D,4,FALSE)</f>
        <v>1木材</v>
      </c>
      <c r="E2254" s="16">
        <f>E2250+500</f>
        <v>14500</v>
      </c>
      <c r="J2254" s="16">
        <v>1</v>
      </c>
      <c r="L2254" s="16" t="b">
        <v>1</v>
      </c>
    </row>
    <row r="2255" spans="1:12" x14ac:dyDescent="0.25">
      <c r="C2255" s="16">
        <f t="shared" si="40"/>
        <v>103</v>
      </c>
      <c r="D2255" s="16" t="str">
        <f>VLOOKUP(C2255,[1]道具配置表!$A:$D,4,FALSE)</f>
        <v>1石头</v>
      </c>
      <c r="E2255" s="16">
        <f>E2251+500</f>
        <v>14500</v>
      </c>
      <c r="J2255" s="16">
        <v>1</v>
      </c>
      <c r="L2255" s="16" t="b">
        <v>1</v>
      </c>
    </row>
    <row r="2256" spans="1:12" x14ac:dyDescent="0.25">
      <c r="C2256" s="16">
        <f t="shared" si="40"/>
        <v>104</v>
      </c>
      <c r="D2256" s="16" t="str">
        <f>VLOOKUP(C2256,[1]道具配置表!$A:$D,4,FALSE)</f>
        <v>1黄金</v>
      </c>
      <c r="E2256" s="16">
        <f>E2252+500</f>
        <v>14500</v>
      </c>
      <c r="J2256" s="16">
        <v>1</v>
      </c>
      <c r="L2256" s="16" t="b">
        <v>1</v>
      </c>
    </row>
    <row r="2257" spans="1:12" x14ac:dyDescent="0.25">
      <c r="A2257" s="16">
        <v>1921729</v>
      </c>
      <c r="B2257" s="16" t="s">
        <v>901</v>
      </c>
      <c r="C2257" s="16">
        <f t="shared" si="40"/>
        <v>102</v>
      </c>
      <c r="D2257" s="16" t="str">
        <f>VLOOKUP(C2257,[1]道具配置表!$A:$D,4,FALSE)</f>
        <v>1食物</v>
      </c>
      <c r="E2257" s="16">
        <f>E2253+300</f>
        <v>9400</v>
      </c>
      <c r="J2257" s="16">
        <v>1</v>
      </c>
      <c r="L2257" s="16" t="b">
        <v>1</v>
      </c>
    </row>
    <row r="2258" spans="1:12" x14ac:dyDescent="0.25">
      <c r="C2258" s="16">
        <f t="shared" si="40"/>
        <v>101</v>
      </c>
      <c r="D2258" s="16" t="str">
        <f>VLOOKUP(C2258,[1]道具配置表!$A:$D,4,FALSE)</f>
        <v>1木材</v>
      </c>
      <c r="E2258" s="16">
        <f>E2254+500</f>
        <v>15000</v>
      </c>
      <c r="J2258" s="16">
        <v>1</v>
      </c>
      <c r="L2258" s="16" t="b">
        <v>1</v>
      </c>
    </row>
    <row r="2259" spans="1:12" x14ac:dyDescent="0.25">
      <c r="C2259" s="16">
        <f t="shared" si="40"/>
        <v>103</v>
      </c>
      <c r="D2259" s="16" t="str">
        <f>VLOOKUP(C2259,[1]道具配置表!$A:$D,4,FALSE)</f>
        <v>1石头</v>
      </c>
      <c r="E2259" s="16">
        <f>E2255+500</f>
        <v>15000</v>
      </c>
      <c r="J2259" s="16">
        <v>1</v>
      </c>
      <c r="L2259" s="16" t="b">
        <v>1</v>
      </c>
    </row>
    <row r="2260" spans="1:12" x14ac:dyDescent="0.25">
      <c r="C2260" s="16">
        <f t="shared" si="40"/>
        <v>104</v>
      </c>
      <c r="D2260" s="16" t="str">
        <f>VLOOKUP(C2260,[1]道具配置表!$A:$D,4,FALSE)</f>
        <v>1黄金</v>
      </c>
      <c r="E2260" s="16">
        <f>E2256+500</f>
        <v>15000</v>
      </c>
      <c r="J2260" s="16">
        <v>1</v>
      </c>
      <c r="L2260" s="16" t="b">
        <v>1</v>
      </c>
    </row>
    <row r="2261" spans="1:12" x14ac:dyDescent="0.25">
      <c r="A2261" s="16">
        <v>1921730</v>
      </c>
      <c r="B2261" s="16" t="s">
        <v>902</v>
      </c>
      <c r="C2261" s="16">
        <f t="shared" si="40"/>
        <v>102</v>
      </c>
      <c r="D2261" s="16" t="str">
        <f>VLOOKUP(C2261,[1]道具配置表!$A:$D,4,FALSE)</f>
        <v>1食物</v>
      </c>
      <c r="E2261" s="16">
        <f>E2257+300</f>
        <v>9700</v>
      </c>
      <c r="J2261" s="16">
        <v>1</v>
      </c>
      <c r="L2261" s="16" t="b">
        <v>1</v>
      </c>
    </row>
    <row r="2262" spans="1:12" x14ac:dyDescent="0.25">
      <c r="C2262" s="16">
        <f t="shared" si="40"/>
        <v>101</v>
      </c>
      <c r="D2262" s="16" t="str">
        <f>VLOOKUP(C2262,[1]道具配置表!$A:$D,4,FALSE)</f>
        <v>1木材</v>
      </c>
      <c r="E2262" s="16">
        <f>E2258+500</f>
        <v>15500</v>
      </c>
      <c r="J2262" s="16">
        <v>1</v>
      </c>
      <c r="L2262" s="16" t="b">
        <v>1</v>
      </c>
    </row>
    <row r="2263" spans="1:12" x14ac:dyDescent="0.25">
      <c r="C2263" s="16">
        <f t="shared" si="40"/>
        <v>103</v>
      </c>
      <c r="D2263" s="16" t="str">
        <f>VLOOKUP(C2263,[1]道具配置表!$A:$D,4,FALSE)</f>
        <v>1石头</v>
      </c>
      <c r="E2263" s="16">
        <f>E2259+500</f>
        <v>15500</v>
      </c>
      <c r="J2263" s="16">
        <v>1</v>
      </c>
      <c r="L2263" s="16" t="b">
        <v>1</v>
      </c>
    </row>
    <row r="2264" spans="1:12" x14ac:dyDescent="0.25">
      <c r="C2264" s="16">
        <f t="shared" si="40"/>
        <v>104</v>
      </c>
      <c r="D2264" s="16" t="str">
        <f>VLOOKUP(C2264,[1]道具配置表!$A:$D,4,FALSE)</f>
        <v>1黄金</v>
      </c>
      <c r="E2264" s="16">
        <f>E2260+500</f>
        <v>15500</v>
      </c>
      <c r="J2264" s="16">
        <v>1</v>
      </c>
      <c r="L2264" s="16" t="b">
        <v>1</v>
      </c>
    </row>
    <row r="2265" spans="1:12" x14ac:dyDescent="0.25">
      <c r="A2265" s="16">
        <v>1921731</v>
      </c>
      <c r="B2265" s="16" t="s">
        <v>903</v>
      </c>
      <c r="C2265" s="16">
        <f t="shared" si="40"/>
        <v>102</v>
      </c>
      <c r="D2265" s="16" t="str">
        <f>VLOOKUP(C2265,[1]道具配置表!$A:$D,4,FALSE)</f>
        <v>1食物</v>
      </c>
      <c r="E2265" s="16">
        <f>E2261+300</f>
        <v>10000</v>
      </c>
      <c r="J2265" s="16">
        <v>1</v>
      </c>
      <c r="L2265" s="16" t="b">
        <v>1</v>
      </c>
    </row>
    <row r="2266" spans="1:12" x14ac:dyDescent="0.25">
      <c r="C2266" s="16">
        <f t="shared" si="40"/>
        <v>101</v>
      </c>
      <c r="D2266" s="16" t="str">
        <f>VLOOKUP(C2266,[1]道具配置表!$A:$D,4,FALSE)</f>
        <v>1木材</v>
      </c>
      <c r="E2266" s="16">
        <f>E2262+500</f>
        <v>16000</v>
      </c>
      <c r="J2266" s="16">
        <v>1</v>
      </c>
      <c r="L2266" s="16" t="b">
        <v>1</v>
      </c>
    </row>
    <row r="2267" spans="1:12" x14ac:dyDescent="0.25">
      <c r="C2267" s="16">
        <f t="shared" si="40"/>
        <v>103</v>
      </c>
      <c r="D2267" s="16" t="str">
        <f>VLOOKUP(C2267,[1]道具配置表!$A:$D,4,FALSE)</f>
        <v>1石头</v>
      </c>
      <c r="E2267" s="16">
        <f>E2263+500</f>
        <v>16000</v>
      </c>
      <c r="J2267" s="16">
        <v>1</v>
      </c>
      <c r="L2267" s="16" t="b">
        <v>1</v>
      </c>
    </row>
    <row r="2268" spans="1:12" x14ac:dyDescent="0.25">
      <c r="C2268" s="16">
        <f t="shared" si="40"/>
        <v>104</v>
      </c>
      <c r="D2268" s="16" t="str">
        <f>VLOOKUP(C2268,[1]道具配置表!$A:$D,4,FALSE)</f>
        <v>1黄金</v>
      </c>
      <c r="E2268" s="16">
        <f>E2264+500</f>
        <v>16000</v>
      </c>
      <c r="J2268" s="16">
        <v>1</v>
      </c>
      <c r="L2268" s="16" t="b">
        <v>1</v>
      </c>
    </row>
    <row r="2269" spans="1:12" x14ac:dyDescent="0.25">
      <c r="A2269" s="16">
        <v>1921732</v>
      </c>
      <c r="B2269" s="16" t="s">
        <v>904</v>
      </c>
      <c r="C2269" s="16">
        <f t="shared" si="40"/>
        <v>102</v>
      </c>
      <c r="D2269" s="16" t="str">
        <f>VLOOKUP(C2269,[1]道具配置表!$A:$D,4,FALSE)</f>
        <v>1食物</v>
      </c>
      <c r="E2269" s="16">
        <f>E2265+300</f>
        <v>10300</v>
      </c>
      <c r="J2269" s="16">
        <v>1</v>
      </c>
      <c r="L2269" s="16" t="b">
        <v>1</v>
      </c>
    </row>
    <row r="2270" spans="1:12" x14ac:dyDescent="0.25">
      <c r="C2270" s="16">
        <f t="shared" si="40"/>
        <v>101</v>
      </c>
      <c r="D2270" s="16" t="str">
        <f>VLOOKUP(C2270,[1]道具配置表!$A:$D,4,FALSE)</f>
        <v>1木材</v>
      </c>
      <c r="E2270" s="16">
        <f>E2266+500</f>
        <v>16500</v>
      </c>
      <c r="J2270" s="16">
        <v>1</v>
      </c>
      <c r="L2270" s="16" t="b">
        <v>1</v>
      </c>
    </row>
    <row r="2271" spans="1:12" x14ac:dyDescent="0.25">
      <c r="C2271" s="16">
        <f t="shared" si="40"/>
        <v>103</v>
      </c>
      <c r="D2271" s="16" t="str">
        <f>VLOOKUP(C2271,[1]道具配置表!$A:$D,4,FALSE)</f>
        <v>1石头</v>
      </c>
      <c r="E2271" s="16">
        <f>E2267+500</f>
        <v>16500</v>
      </c>
      <c r="J2271" s="16">
        <v>1</v>
      </c>
      <c r="L2271" s="16" t="b">
        <v>1</v>
      </c>
    </row>
    <row r="2272" spans="1:12" x14ac:dyDescent="0.25">
      <c r="C2272" s="16">
        <f t="shared" si="40"/>
        <v>104</v>
      </c>
      <c r="D2272" s="16" t="str">
        <f>VLOOKUP(C2272,[1]道具配置表!$A:$D,4,FALSE)</f>
        <v>1黄金</v>
      </c>
      <c r="E2272" s="16">
        <f>E2268+500</f>
        <v>16500</v>
      </c>
      <c r="J2272" s="16">
        <v>1</v>
      </c>
      <c r="L2272" s="16" t="b">
        <v>1</v>
      </c>
    </row>
    <row r="2273" spans="1:12" x14ac:dyDescent="0.25">
      <c r="A2273" s="16">
        <v>1921733</v>
      </c>
      <c r="B2273" s="16" t="s">
        <v>905</v>
      </c>
      <c r="C2273" s="16">
        <f t="shared" si="40"/>
        <v>102</v>
      </c>
      <c r="D2273" s="16" t="str">
        <f>VLOOKUP(C2273,[1]道具配置表!$A:$D,4,FALSE)</f>
        <v>1食物</v>
      </c>
      <c r="E2273" s="16">
        <f>E2269+300</f>
        <v>10600</v>
      </c>
      <c r="J2273" s="16">
        <v>1</v>
      </c>
      <c r="L2273" s="16" t="b">
        <v>1</v>
      </c>
    </row>
    <row r="2274" spans="1:12" x14ac:dyDescent="0.25">
      <c r="C2274" s="16">
        <f t="shared" si="40"/>
        <v>101</v>
      </c>
      <c r="D2274" s="16" t="str">
        <f>VLOOKUP(C2274,[1]道具配置表!$A:$D,4,FALSE)</f>
        <v>1木材</v>
      </c>
      <c r="E2274" s="16">
        <f>E2270+500</f>
        <v>17000</v>
      </c>
      <c r="J2274" s="16">
        <v>1</v>
      </c>
      <c r="L2274" s="16" t="b">
        <v>1</v>
      </c>
    </row>
    <row r="2275" spans="1:12" x14ac:dyDescent="0.25">
      <c r="C2275" s="16">
        <f t="shared" si="40"/>
        <v>103</v>
      </c>
      <c r="D2275" s="16" t="str">
        <f>VLOOKUP(C2275,[1]道具配置表!$A:$D,4,FALSE)</f>
        <v>1石头</v>
      </c>
      <c r="E2275" s="16">
        <f>E2271+500</f>
        <v>17000</v>
      </c>
      <c r="J2275" s="16">
        <v>1</v>
      </c>
      <c r="L2275" s="16" t="b">
        <v>1</v>
      </c>
    </row>
    <row r="2276" spans="1:12" x14ac:dyDescent="0.25">
      <c r="C2276" s="16">
        <f t="shared" si="40"/>
        <v>104</v>
      </c>
      <c r="D2276" s="16" t="str">
        <f>VLOOKUP(C2276,[1]道具配置表!$A:$D,4,FALSE)</f>
        <v>1黄金</v>
      </c>
      <c r="E2276" s="16">
        <f>E2272+500</f>
        <v>17000</v>
      </c>
      <c r="J2276" s="16">
        <v>1</v>
      </c>
      <c r="L2276" s="16" t="b">
        <v>1</v>
      </c>
    </row>
    <row r="2277" spans="1:12" x14ac:dyDescent="0.25">
      <c r="A2277" s="16">
        <v>1921734</v>
      </c>
      <c r="B2277" s="16" t="s">
        <v>906</v>
      </c>
      <c r="C2277" s="16">
        <f t="shared" si="40"/>
        <v>102</v>
      </c>
      <c r="D2277" s="16" t="str">
        <f>VLOOKUP(C2277,[1]道具配置表!$A:$D,4,FALSE)</f>
        <v>1食物</v>
      </c>
      <c r="E2277" s="16">
        <f>E2273+300</f>
        <v>10900</v>
      </c>
      <c r="J2277" s="16">
        <v>1</v>
      </c>
      <c r="L2277" s="16" t="b">
        <v>1</v>
      </c>
    </row>
    <row r="2278" spans="1:12" x14ac:dyDescent="0.25">
      <c r="C2278" s="16">
        <f t="shared" si="40"/>
        <v>101</v>
      </c>
      <c r="D2278" s="16" t="str">
        <f>VLOOKUP(C2278,[1]道具配置表!$A:$D,4,FALSE)</f>
        <v>1木材</v>
      </c>
      <c r="E2278" s="16">
        <f>E2274+500</f>
        <v>17500</v>
      </c>
      <c r="J2278" s="16">
        <v>1</v>
      </c>
      <c r="L2278" s="16" t="b">
        <v>1</v>
      </c>
    </row>
    <row r="2279" spans="1:12" x14ac:dyDescent="0.25">
      <c r="C2279" s="16">
        <f t="shared" si="40"/>
        <v>103</v>
      </c>
      <c r="D2279" s="16" t="str">
        <f>VLOOKUP(C2279,[1]道具配置表!$A:$D,4,FALSE)</f>
        <v>1石头</v>
      </c>
      <c r="E2279" s="16">
        <f>E2275+500</f>
        <v>17500</v>
      </c>
      <c r="J2279" s="16">
        <v>1</v>
      </c>
      <c r="L2279" s="16" t="b">
        <v>1</v>
      </c>
    </row>
    <row r="2280" spans="1:12" x14ac:dyDescent="0.25">
      <c r="C2280" s="16">
        <f t="shared" si="40"/>
        <v>104</v>
      </c>
      <c r="D2280" s="16" t="str">
        <f>VLOOKUP(C2280,[1]道具配置表!$A:$D,4,FALSE)</f>
        <v>1黄金</v>
      </c>
      <c r="E2280" s="16">
        <f>E2276+500</f>
        <v>17500</v>
      </c>
      <c r="J2280" s="16">
        <v>1</v>
      </c>
      <c r="L2280" s="16" t="b">
        <v>1</v>
      </c>
    </row>
    <row r="2281" spans="1:12" x14ac:dyDescent="0.25">
      <c r="A2281" s="16">
        <v>1921735</v>
      </c>
      <c r="B2281" s="16" t="s">
        <v>907</v>
      </c>
      <c r="C2281" s="16">
        <f t="shared" si="40"/>
        <v>102</v>
      </c>
      <c r="D2281" s="16" t="str">
        <f>VLOOKUP(C2281,[1]道具配置表!$A:$D,4,FALSE)</f>
        <v>1食物</v>
      </c>
      <c r="E2281" s="16">
        <f>E2277+300</f>
        <v>11200</v>
      </c>
      <c r="J2281" s="16">
        <v>1</v>
      </c>
      <c r="L2281" s="16" t="b">
        <v>1</v>
      </c>
    </row>
    <row r="2282" spans="1:12" x14ac:dyDescent="0.25">
      <c r="C2282" s="16">
        <f t="shared" si="40"/>
        <v>101</v>
      </c>
      <c r="D2282" s="16" t="str">
        <f>VLOOKUP(C2282,[1]道具配置表!$A:$D,4,FALSE)</f>
        <v>1木材</v>
      </c>
      <c r="E2282" s="16">
        <f>E2278+500</f>
        <v>18000</v>
      </c>
      <c r="J2282" s="16">
        <v>1</v>
      </c>
      <c r="L2282" s="16" t="b">
        <v>1</v>
      </c>
    </row>
    <row r="2283" spans="1:12" x14ac:dyDescent="0.25">
      <c r="C2283" s="16">
        <f t="shared" si="40"/>
        <v>103</v>
      </c>
      <c r="D2283" s="16" t="str">
        <f>VLOOKUP(C2283,[1]道具配置表!$A:$D,4,FALSE)</f>
        <v>1石头</v>
      </c>
      <c r="E2283" s="16">
        <f>E2279+500</f>
        <v>18000</v>
      </c>
      <c r="J2283" s="16">
        <v>1</v>
      </c>
      <c r="L2283" s="16" t="b">
        <v>1</v>
      </c>
    </row>
    <row r="2284" spans="1:12" x14ac:dyDescent="0.25">
      <c r="C2284" s="16">
        <f t="shared" si="40"/>
        <v>104</v>
      </c>
      <c r="D2284" s="16" t="str">
        <f>VLOOKUP(C2284,[1]道具配置表!$A:$D,4,FALSE)</f>
        <v>1黄金</v>
      </c>
      <c r="E2284" s="16">
        <f>E2280+500</f>
        <v>18000</v>
      </c>
      <c r="J2284" s="16">
        <v>1</v>
      </c>
      <c r="L2284" s="16" t="b">
        <v>1</v>
      </c>
    </row>
    <row r="2285" spans="1:12" x14ac:dyDescent="0.25">
      <c r="A2285" s="16">
        <v>1921736</v>
      </c>
      <c r="B2285" s="16" t="s">
        <v>908</v>
      </c>
      <c r="C2285" s="16">
        <f t="shared" si="40"/>
        <v>102</v>
      </c>
      <c r="D2285" s="16" t="str">
        <f>VLOOKUP(C2285,[1]道具配置表!$A:$D,4,FALSE)</f>
        <v>1食物</v>
      </c>
      <c r="E2285" s="16">
        <f>E2281+300</f>
        <v>11500</v>
      </c>
      <c r="J2285" s="16">
        <v>1</v>
      </c>
      <c r="L2285" s="16" t="b">
        <v>1</v>
      </c>
    </row>
    <row r="2286" spans="1:12" x14ac:dyDescent="0.25">
      <c r="C2286" s="16">
        <f t="shared" si="40"/>
        <v>101</v>
      </c>
      <c r="D2286" s="16" t="str">
        <f>VLOOKUP(C2286,[1]道具配置表!$A:$D,4,FALSE)</f>
        <v>1木材</v>
      </c>
      <c r="E2286" s="16">
        <f>E2282+500</f>
        <v>18500</v>
      </c>
      <c r="J2286" s="16">
        <v>1</v>
      </c>
      <c r="L2286" s="16" t="b">
        <v>1</v>
      </c>
    </row>
    <row r="2287" spans="1:12" x14ac:dyDescent="0.25">
      <c r="C2287" s="16">
        <f t="shared" si="40"/>
        <v>103</v>
      </c>
      <c r="D2287" s="16" t="str">
        <f>VLOOKUP(C2287,[1]道具配置表!$A:$D,4,FALSE)</f>
        <v>1石头</v>
      </c>
      <c r="E2287" s="16">
        <f>E2283+500</f>
        <v>18500</v>
      </c>
      <c r="J2287" s="16">
        <v>1</v>
      </c>
      <c r="L2287" s="16" t="b">
        <v>1</v>
      </c>
    </row>
    <row r="2288" spans="1:12" x14ac:dyDescent="0.25">
      <c r="C2288" s="16">
        <f t="shared" si="40"/>
        <v>104</v>
      </c>
      <c r="D2288" s="16" t="str">
        <f>VLOOKUP(C2288,[1]道具配置表!$A:$D,4,FALSE)</f>
        <v>1黄金</v>
      </c>
      <c r="E2288" s="16">
        <f>E2284+500</f>
        <v>18500</v>
      </c>
      <c r="J2288" s="16">
        <v>1</v>
      </c>
      <c r="L2288" s="16" t="b">
        <v>1</v>
      </c>
    </row>
    <row r="2289" spans="1:12" x14ac:dyDescent="0.25">
      <c r="A2289" s="16">
        <v>1921737</v>
      </c>
      <c r="B2289" s="16" t="s">
        <v>909</v>
      </c>
      <c r="C2289" s="16">
        <f t="shared" ref="C2289:C2352" si="41">C2285</f>
        <v>102</v>
      </c>
      <c r="D2289" s="16" t="str">
        <f>VLOOKUP(C2289,[1]道具配置表!$A:$D,4,FALSE)</f>
        <v>1食物</v>
      </c>
      <c r="E2289" s="16">
        <f>E2285+300</f>
        <v>11800</v>
      </c>
      <c r="J2289" s="16">
        <v>1</v>
      </c>
      <c r="L2289" s="16" t="b">
        <v>1</v>
      </c>
    </row>
    <row r="2290" spans="1:12" x14ac:dyDescent="0.25">
      <c r="C2290" s="16">
        <f t="shared" si="41"/>
        <v>101</v>
      </c>
      <c r="D2290" s="16" t="str">
        <f>VLOOKUP(C2290,[1]道具配置表!$A:$D,4,FALSE)</f>
        <v>1木材</v>
      </c>
      <c r="E2290" s="16">
        <f>E2286+500</f>
        <v>19000</v>
      </c>
      <c r="J2290" s="16">
        <v>1</v>
      </c>
      <c r="L2290" s="16" t="b">
        <v>1</v>
      </c>
    </row>
    <row r="2291" spans="1:12" x14ac:dyDescent="0.25">
      <c r="C2291" s="16">
        <f t="shared" si="41"/>
        <v>103</v>
      </c>
      <c r="D2291" s="16" t="str">
        <f>VLOOKUP(C2291,[1]道具配置表!$A:$D,4,FALSE)</f>
        <v>1石头</v>
      </c>
      <c r="E2291" s="16">
        <f>E2287+500</f>
        <v>19000</v>
      </c>
      <c r="J2291" s="16">
        <v>1</v>
      </c>
      <c r="L2291" s="16" t="b">
        <v>1</v>
      </c>
    </row>
    <row r="2292" spans="1:12" x14ac:dyDescent="0.25">
      <c r="C2292" s="16">
        <f t="shared" si="41"/>
        <v>104</v>
      </c>
      <c r="D2292" s="16" t="str">
        <f>VLOOKUP(C2292,[1]道具配置表!$A:$D,4,FALSE)</f>
        <v>1黄金</v>
      </c>
      <c r="E2292" s="16">
        <f>E2288+500</f>
        <v>19000</v>
      </c>
      <c r="J2292" s="16">
        <v>1</v>
      </c>
      <c r="L2292" s="16" t="b">
        <v>1</v>
      </c>
    </row>
    <row r="2293" spans="1:12" x14ac:dyDescent="0.25">
      <c r="A2293" s="16">
        <v>1921738</v>
      </c>
      <c r="B2293" s="16" t="s">
        <v>910</v>
      </c>
      <c r="C2293" s="16">
        <f t="shared" si="41"/>
        <v>102</v>
      </c>
      <c r="D2293" s="16" t="str">
        <f>VLOOKUP(C2293,[1]道具配置表!$A:$D,4,FALSE)</f>
        <v>1食物</v>
      </c>
      <c r="E2293" s="16">
        <f>E2289+300</f>
        <v>12100</v>
      </c>
      <c r="J2293" s="16">
        <v>1</v>
      </c>
      <c r="L2293" s="16" t="b">
        <v>1</v>
      </c>
    </row>
    <row r="2294" spans="1:12" x14ac:dyDescent="0.25">
      <c r="C2294" s="16">
        <f t="shared" si="41"/>
        <v>101</v>
      </c>
      <c r="D2294" s="16" t="str">
        <f>VLOOKUP(C2294,[1]道具配置表!$A:$D,4,FALSE)</f>
        <v>1木材</v>
      </c>
      <c r="E2294" s="16">
        <f>E2290+500</f>
        <v>19500</v>
      </c>
      <c r="J2294" s="16">
        <v>1</v>
      </c>
      <c r="L2294" s="16" t="b">
        <v>1</v>
      </c>
    </row>
    <row r="2295" spans="1:12" x14ac:dyDescent="0.25">
      <c r="C2295" s="16">
        <f t="shared" si="41"/>
        <v>103</v>
      </c>
      <c r="D2295" s="16" t="str">
        <f>VLOOKUP(C2295,[1]道具配置表!$A:$D,4,FALSE)</f>
        <v>1石头</v>
      </c>
      <c r="E2295" s="16">
        <f>E2291+500</f>
        <v>19500</v>
      </c>
      <c r="J2295" s="16">
        <v>1</v>
      </c>
      <c r="L2295" s="16" t="b">
        <v>1</v>
      </c>
    </row>
    <row r="2296" spans="1:12" x14ac:dyDescent="0.25">
      <c r="C2296" s="16">
        <f t="shared" si="41"/>
        <v>104</v>
      </c>
      <c r="D2296" s="16" t="str">
        <f>VLOOKUP(C2296,[1]道具配置表!$A:$D,4,FALSE)</f>
        <v>1黄金</v>
      </c>
      <c r="E2296" s="16">
        <f>E2292+500</f>
        <v>19500</v>
      </c>
      <c r="J2296" s="16">
        <v>1</v>
      </c>
      <c r="L2296" s="16" t="b">
        <v>1</v>
      </c>
    </row>
    <row r="2297" spans="1:12" x14ac:dyDescent="0.25">
      <c r="A2297" s="16">
        <v>1921739</v>
      </c>
      <c r="B2297" s="16" t="s">
        <v>911</v>
      </c>
      <c r="C2297" s="16">
        <f t="shared" si="41"/>
        <v>102</v>
      </c>
      <c r="D2297" s="16" t="str">
        <f>VLOOKUP(C2297,[1]道具配置表!$A:$D,4,FALSE)</f>
        <v>1食物</v>
      </c>
      <c r="E2297" s="16">
        <f>E2293+300</f>
        <v>12400</v>
      </c>
      <c r="J2297" s="16">
        <v>1</v>
      </c>
      <c r="L2297" s="16" t="b">
        <v>1</v>
      </c>
    </row>
    <row r="2298" spans="1:12" x14ac:dyDescent="0.25">
      <c r="C2298" s="16">
        <f t="shared" si="41"/>
        <v>101</v>
      </c>
      <c r="D2298" s="16" t="str">
        <f>VLOOKUP(C2298,[1]道具配置表!$A:$D,4,FALSE)</f>
        <v>1木材</v>
      </c>
      <c r="E2298" s="16">
        <f>E2294+500</f>
        <v>20000</v>
      </c>
      <c r="J2298" s="16">
        <v>1</v>
      </c>
      <c r="L2298" s="16" t="b">
        <v>1</v>
      </c>
    </row>
    <row r="2299" spans="1:12" x14ac:dyDescent="0.25">
      <c r="C2299" s="16">
        <f t="shared" si="41"/>
        <v>103</v>
      </c>
      <c r="D2299" s="16" t="str">
        <f>VLOOKUP(C2299,[1]道具配置表!$A:$D,4,FALSE)</f>
        <v>1石头</v>
      </c>
      <c r="E2299" s="16">
        <f>E2295+500</f>
        <v>20000</v>
      </c>
      <c r="J2299" s="16">
        <v>1</v>
      </c>
      <c r="L2299" s="16" t="b">
        <v>1</v>
      </c>
    </row>
    <row r="2300" spans="1:12" x14ac:dyDescent="0.25">
      <c r="C2300" s="16">
        <f t="shared" si="41"/>
        <v>104</v>
      </c>
      <c r="D2300" s="16" t="str">
        <f>VLOOKUP(C2300,[1]道具配置表!$A:$D,4,FALSE)</f>
        <v>1黄金</v>
      </c>
      <c r="E2300" s="16">
        <f>E2296+500</f>
        <v>20000</v>
      </c>
      <c r="J2300" s="16">
        <v>1</v>
      </c>
      <c r="L2300" s="16" t="b">
        <v>1</v>
      </c>
    </row>
    <row r="2301" spans="1:12" x14ac:dyDescent="0.25">
      <c r="A2301" s="16">
        <v>1921740</v>
      </c>
      <c r="B2301" s="16" t="s">
        <v>912</v>
      </c>
      <c r="C2301" s="16">
        <f t="shared" si="41"/>
        <v>102</v>
      </c>
      <c r="D2301" s="16" t="str">
        <f>VLOOKUP(C2301,[1]道具配置表!$A:$D,4,FALSE)</f>
        <v>1食物</v>
      </c>
      <c r="E2301" s="16">
        <f>E2297+300</f>
        <v>12700</v>
      </c>
      <c r="J2301" s="16">
        <v>1</v>
      </c>
      <c r="L2301" s="16" t="b">
        <v>1</v>
      </c>
    </row>
    <row r="2302" spans="1:12" x14ac:dyDescent="0.25">
      <c r="C2302" s="16">
        <f t="shared" si="41"/>
        <v>101</v>
      </c>
      <c r="D2302" s="16" t="str">
        <f>VLOOKUP(C2302,[1]道具配置表!$A:$D,4,FALSE)</f>
        <v>1木材</v>
      </c>
      <c r="E2302" s="16">
        <f>E2298+500</f>
        <v>20500</v>
      </c>
      <c r="J2302" s="16">
        <v>1</v>
      </c>
      <c r="L2302" s="16" t="b">
        <v>1</v>
      </c>
    </row>
    <row r="2303" spans="1:12" x14ac:dyDescent="0.25">
      <c r="C2303" s="16">
        <f t="shared" si="41"/>
        <v>103</v>
      </c>
      <c r="D2303" s="16" t="str">
        <f>VLOOKUP(C2303,[1]道具配置表!$A:$D,4,FALSE)</f>
        <v>1石头</v>
      </c>
      <c r="E2303" s="16">
        <f>E2299+500</f>
        <v>20500</v>
      </c>
      <c r="J2303" s="16">
        <v>1</v>
      </c>
      <c r="L2303" s="16" t="b">
        <v>1</v>
      </c>
    </row>
    <row r="2304" spans="1:12" x14ac:dyDescent="0.25">
      <c r="C2304" s="16">
        <f t="shared" si="41"/>
        <v>104</v>
      </c>
      <c r="D2304" s="16" t="str">
        <f>VLOOKUP(C2304,[1]道具配置表!$A:$D,4,FALSE)</f>
        <v>1黄金</v>
      </c>
      <c r="E2304" s="16">
        <f>E2300+500</f>
        <v>20500</v>
      </c>
      <c r="J2304" s="16">
        <v>1</v>
      </c>
      <c r="L2304" s="16" t="b">
        <v>1</v>
      </c>
    </row>
    <row r="2305" spans="1:12" x14ac:dyDescent="0.25">
      <c r="A2305" s="16">
        <v>1921741</v>
      </c>
      <c r="B2305" s="16" t="s">
        <v>913</v>
      </c>
      <c r="C2305" s="16">
        <f t="shared" si="41"/>
        <v>102</v>
      </c>
      <c r="D2305" s="16" t="str">
        <f>VLOOKUP(C2305,[1]道具配置表!$A:$D,4,FALSE)</f>
        <v>1食物</v>
      </c>
      <c r="E2305" s="16">
        <f>E2301+300</f>
        <v>13000</v>
      </c>
      <c r="J2305" s="16">
        <v>1</v>
      </c>
      <c r="L2305" s="16" t="b">
        <v>1</v>
      </c>
    </row>
    <row r="2306" spans="1:12" x14ac:dyDescent="0.25">
      <c r="C2306" s="16">
        <f t="shared" si="41"/>
        <v>101</v>
      </c>
      <c r="D2306" s="16" t="str">
        <f>VLOOKUP(C2306,[1]道具配置表!$A:$D,4,FALSE)</f>
        <v>1木材</v>
      </c>
      <c r="E2306" s="16">
        <f>E2302+500</f>
        <v>21000</v>
      </c>
      <c r="J2306" s="16">
        <v>1</v>
      </c>
      <c r="L2306" s="16" t="b">
        <v>1</v>
      </c>
    </row>
    <row r="2307" spans="1:12" x14ac:dyDescent="0.25">
      <c r="C2307" s="16">
        <f t="shared" si="41"/>
        <v>103</v>
      </c>
      <c r="D2307" s="16" t="str">
        <f>VLOOKUP(C2307,[1]道具配置表!$A:$D,4,FALSE)</f>
        <v>1石头</v>
      </c>
      <c r="E2307" s="16">
        <f>E2303+500</f>
        <v>21000</v>
      </c>
      <c r="J2307" s="16">
        <v>1</v>
      </c>
      <c r="L2307" s="16" t="b">
        <v>1</v>
      </c>
    </row>
    <row r="2308" spans="1:12" x14ac:dyDescent="0.25">
      <c r="C2308" s="16">
        <f t="shared" si="41"/>
        <v>104</v>
      </c>
      <c r="D2308" s="16" t="str">
        <f>VLOOKUP(C2308,[1]道具配置表!$A:$D,4,FALSE)</f>
        <v>1黄金</v>
      </c>
      <c r="E2308" s="16">
        <f>E2304+500</f>
        <v>21000</v>
      </c>
      <c r="J2308" s="16">
        <v>1</v>
      </c>
      <c r="L2308" s="16" t="b">
        <v>1</v>
      </c>
    </row>
    <row r="2309" spans="1:12" x14ac:dyDescent="0.25">
      <c r="A2309" s="16">
        <v>1921742</v>
      </c>
      <c r="B2309" s="16" t="s">
        <v>914</v>
      </c>
      <c r="C2309" s="16">
        <f t="shared" si="41"/>
        <v>102</v>
      </c>
      <c r="D2309" s="16" t="str">
        <f>VLOOKUP(C2309,[1]道具配置表!$A:$D,4,FALSE)</f>
        <v>1食物</v>
      </c>
      <c r="E2309" s="16">
        <f>E2305+300</f>
        <v>13300</v>
      </c>
      <c r="J2309" s="16">
        <v>1</v>
      </c>
      <c r="L2309" s="16" t="b">
        <v>1</v>
      </c>
    </row>
    <row r="2310" spans="1:12" x14ac:dyDescent="0.25">
      <c r="C2310" s="16">
        <f t="shared" si="41"/>
        <v>101</v>
      </c>
      <c r="D2310" s="16" t="str">
        <f>VLOOKUP(C2310,[1]道具配置表!$A:$D,4,FALSE)</f>
        <v>1木材</v>
      </c>
      <c r="E2310" s="16">
        <f>E2306+500</f>
        <v>21500</v>
      </c>
      <c r="J2310" s="16">
        <v>1</v>
      </c>
      <c r="L2310" s="16" t="b">
        <v>1</v>
      </c>
    </row>
    <row r="2311" spans="1:12" x14ac:dyDescent="0.25">
      <c r="C2311" s="16">
        <f t="shared" si="41"/>
        <v>103</v>
      </c>
      <c r="D2311" s="16" t="str">
        <f>VLOOKUP(C2311,[1]道具配置表!$A:$D,4,FALSE)</f>
        <v>1石头</v>
      </c>
      <c r="E2311" s="16">
        <f>E2307+500</f>
        <v>21500</v>
      </c>
      <c r="J2311" s="16">
        <v>1</v>
      </c>
      <c r="L2311" s="16" t="b">
        <v>1</v>
      </c>
    </row>
    <row r="2312" spans="1:12" x14ac:dyDescent="0.25">
      <c r="C2312" s="16">
        <f t="shared" si="41"/>
        <v>104</v>
      </c>
      <c r="D2312" s="16" t="str">
        <f>VLOOKUP(C2312,[1]道具配置表!$A:$D,4,FALSE)</f>
        <v>1黄金</v>
      </c>
      <c r="E2312" s="16">
        <f>E2308+500</f>
        <v>21500</v>
      </c>
      <c r="J2312" s="16">
        <v>1</v>
      </c>
      <c r="L2312" s="16" t="b">
        <v>1</v>
      </c>
    </row>
    <row r="2313" spans="1:12" x14ac:dyDescent="0.25">
      <c r="A2313" s="16">
        <v>1921743</v>
      </c>
      <c r="B2313" s="16" t="s">
        <v>915</v>
      </c>
      <c r="C2313" s="16">
        <f t="shared" si="41"/>
        <v>102</v>
      </c>
      <c r="D2313" s="16" t="str">
        <f>VLOOKUP(C2313,[1]道具配置表!$A:$D,4,FALSE)</f>
        <v>1食物</v>
      </c>
      <c r="E2313" s="16">
        <f>E2309+300</f>
        <v>13600</v>
      </c>
      <c r="J2313" s="16">
        <v>1</v>
      </c>
      <c r="L2313" s="16" t="b">
        <v>1</v>
      </c>
    </row>
    <row r="2314" spans="1:12" x14ac:dyDescent="0.25">
      <c r="C2314" s="16">
        <f t="shared" si="41"/>
        <v>101</v>
      </c>
      <c r="D2314" s="16" t="str">
        <f>VLOOKUP(C2314,[1]道具配置表!$A:$D,4,FALSE)</f>
        <v>1木材</v>
      </c>
      <c r="E2314" s="16">
        <f>E2310+500</f>
        <v>22000</v>
      </c>
      <c r="J2314" s="16">
        <v>1</v>
      </c>
      <c r="L2314" s="16" t="b">
        <v>1</v>
      </c>
    </row>
    <row r="2315" spans="1:12" x14ac:dyDescent="0.25">
      <c r="C2315" s="16">
        <f t="shared" si="41"/>
        <v>103</v>
      </c>
      <c r="D2315" s="16" t="str">
        <f>VLOOKUP(C2315,[1]道具配置表!$A:$D,4,FALSE)</f>
        <v>1石头</v>
      </c>
      <c r="E2315" s="16">
        <f>E2311+500</f>
        <v>22000</v>
      </c>
      <c r="J2315" s="16">
        <v>1</v>
      </c>
      <c r="L2315" s="16" t="b">
        <v>1</v>
      </c>
    </row>
    <row r="2316" spans="1:12" x14ac:dyDescent="0.25">
      <c r="C2316" s="16">
        <f t="shared" si="41"/>
        <v>104</v>
      </c>
      <c r="D2316" s="16" t="str">
        <f>VLOOKUP(C2316,[1]道具配置表!$A:$D,4,FALSE)</f>
        <v>1黄金</v>
      </c>
      <c r="E2316" s="16">
        <f>E2312+500</f>
        <v>22000</v>
      </c>
      <c r="J2316" s="16">
        <v>1</v>
      </c>
      <c r="L2316" s="16" t="b">
        <v>1</v>
      </c>
    </row>
    <row r="2317" spans="1:12" x14ac:dyDescent="0.25">
      <c r="A2317" s="16">
        <v>1921744</v>
      </c>
      <c r="B2317" s="16" t="s">
        <v>916</v>
      </c>
      <c r="C2317" s="16">
        <f t="shared" si="41"/>
        <v>102</v>
      </c>
      <c r="D2317" s="16" t="str">
        <f>VLOOKUP(C2317,[1]道具配置表!$A:$D,4,FALSE)</f>
        <v>1食物</v>
      </c>
      <c r="E2317" s="16">
        <f>E2313+300</f>
        <v>13900</v>
      </c>
      <c r="J2317" s="16">
        <v>1</v>
      </c>
      <c r="L2317" s="16" t="b">
        <v>1</v>
      </c>
    </row>
    <row r="2318" spans="1:12" x14ac:dyDescent="0.25">
      <c r="C2318" s="16">
        <f t="shared" si="41"/>
        <v>101</v>
      </c>
      <c r="D2318" s="16" t="str">
        <f>VLOOKUP(C2318,[1]道具配置表!$A:$D,4,FALSE)</f>
        <v>1木材</v>
      </c>
      <c r="E2318" s="16">
        <f>E2314+500</f>
        <v>22500</v>
      </c>
      <c r="J2318" s="16">
        <v>1</v>
      </c>
      <c r="L2318" s="16" t="b">
        <v>1</v>
      </c>
    </row>
    <row r="2319" spans="1:12" x14ac:dyDescent="0.25">
      <c r="C2319" s="16">
        <f t="shared" si="41"/>
        <v>103</v>
      </c>
      <c r="D2319" s="16" t="str">
        <f>VLOOKUP(C2319,[1]道具配置表!$A:$D,4,FALSE)</f>
        <v>1石头</v>
      </c>
      <c r="E2319" s="16">
        <f>E2315+500</f>
        <v>22500</v>
      </c>
      <c r="J2319" s="16">
        <v>1</v>
      </c>
      <c r="L2319" s="16" t="b">
        <v>1</v>
      </c>
    </row>
    <row r="2320" spans="1:12" x14ac:dyDescent="0.25">
      <c r="C2320" s="16">
        <f t="shared" si="41"/>
        <v>104</v>
      </c>
      <c r="D2320" s="16" t="str">
        <f>VLOOKUP(C2320,[1]道具配置表!$A:$D,4,FALSE)</f>
        <v>1黄金</v>
      </c>
      <c r="E2320" s="16">
        <f>E2316+500</f>
        <v>22500</v>
      </c>
      <c r="J2320" s="16">
        <v>1</v>
      </c>
      <c r="L2320" s="16" t="b">
        <v>1</v>
      </c>
    </row>
    <row r="2321" spans="1:12" x14ac:dyDescent="0.25">
      <c r="A2321" s="16">
        <v>1921745</v>
      </c>
      <c r="B2321" s="16" t="s">
        <v>917</v>
      </c>
      <c r="C2321" s="16">
        <f t="shared" si="41"/>
        <v>102</v>
      </c>
      <c r="D2321" s="16" t="str">
        <f>VLOOKUP(C2321,[1]道具配置表!$A:$D,4,FALSE)</f>
        <v>1食物</v>
      </c>
      <c r="E2321" s="16">
        <f>E2317+300</f>
        <v>14200</v>
      </c>
      <c r="J2321" s="16">
        <v>1</v>
      </c>
      <c r="L2321" s="16" t="b">
        <v>1</v>
      </c>
    </row>
    <row r="2322" spans="1:12" x14ac:dyDescent="0.25">
      <c r="C2322" s="16">
        <f t="shared" si="41"/>
        <v>101</v>
      </c>
      <c r="D2322" s="16" t="str">
        <f>VLOOKUP(C2322,[1]道具配置表!$A:$D,4,FALSE)</f>
        <v>1木材</v>
      </c>
      <c r="E2322" s="16">
        <f>E2318+500</f>
        <v>23000</v>
      </c>
      <c r="J2322" s="16">
        <v>1</v>
      </c>
      <c r="L2322" s="16" t="b">
        <v>1</v>
      </c>
    </row>
    <row r="2323" spans="1:12" x14ac:dyDescent="0.25">
      <c r="C2323" s="16">
        <f t="shared" si="41"/>
        <v>103</v>
      </c>
      <c r="D2323" s="16" t="str">
        <f>VLOOKUP(C2323,[1]道具配置表!$A:$D,4,FALSE)</f>
        <v>1石头</v>
      </c>
      <c r="E2323" s="16">
        <f>E2319+500</f>
        <v>23000</v>
      </c>
      <c r="J2323" s="16">
        <v>1</v>
      </c>
      <c r="L2323" s="16" t="b">
        <v>1</v>
      </c>
    </row>
    <row r="2324" spans="1:12" x14ac:dyDescent="0.25">
      <c r="C2324" s="16">
        <f t="shared" si="41"/>
        <v>104</v>
      </c>
      <c r="D2324" s="16" t="str">
        <f>VLOOKUP(C2324,[1]道具配置表!$A:$D,4,FALSE)</f>
        <v>1黄金</v>
      </c>
      <c r="E2324" s="16">
        <f>E2320+500</f>
        <v>23000</v>
      </c>
      <c r="J2324" s="16">
        <v>1</v>
      </c>
      <c r="L2324" s="16" t="b">
        <v>1</v>
      </c>
    </row>
    <row r="2325" spans="1:12" x14ac:dyDescent="0.25">
      <c r="A2325" s="16">
        <v>1921746</v>
      </c>
      <c r="B2325" s="16" t="s">
        <v>918</v>
      </c>
      <c r="C2325" s="16">
        <f t="shared" si="41"/>
        <v>102</v>
      </c>
      <c r="D2325" s="16" t="str">
        <f>VLOOKUP(C2325,[1]道具配置表!$A:$D,4,FALSE)</f>
        <v>1食物</v>
      </c>
      <c r="E2325" s="16">
        <f>E2321+300</f>
        <v>14500</v>
      </c>
      <c r="J2325" s="16">
        <v>1</v>
      </c>
      <c r="L2325" s="16" t="b">
        <v>1</v>
      </c>
    </row>
    <row r="2326" spans="1:12" x14ac:dyDescent="0.25">
      <c r="C2326" s="16">
        <f t="shared" si="41"/>
        <v>101</v>
      </c>
      <c r="D2326" s="16" t="str">
        <f>VLOOKUP(C2326,[1]道具配置表!$A:$D,4,FALSE)</f>
        <v>1木材</v>
      </c>
      <c r="E2326" s="16">
        <f>E2322+500</f>
        <v>23500</v>
      </c>
      <c r="J2326" s="16">
        <v>1</v>
      </c>
      <c r="L2326" s="16" t="b">
        <v>1</v>
      </c>
    </row>
    <row r="2327" spans="1:12" x14ac:dyDescent="0.25">
      <c r="C2327" s="16">
        <f t="shared" si="41"/>
        <v>103</v>
      </c>
      <c r="D2327" s="16" t="str">
        <f>VLOOKUP(C2327,[1]道具配置表!$A:$D,4,FALSE)</f>
        <v>1石头</v>
      </c>
      <c r="E2327" s="16">
        <f>E2323+500</f>
        <v>23500</v>
      </c>
      <c r="J2327" s="16">
        <v>1</v>
      </c>
      <c r="L2327" s="16" t="b">
        <v>1</v>
      </c>
    </row>
    <row r="2328" spans="1:12" x14ac:dyDescent="0.25">
      <c r="C2328" s="16">
        <f t="shared" si="41"/>
        <v>104</v>
      </c>
      <c r="D2328" s="16" t="str">
        <f>VLOOKUP(C2328,[1]道具配置表!$A:$D,4,FALSE)</f>
        <v>1黄金</v>
      </c>
      <c r="E2328" s="16">
        <f>E2324+500</f>
        <v>23500</v>
      </c>
      <c r="J2328" s="16">
        <v>1</v>
      </c>
      <c r="L2328" s="16" t="b">
        <v>1</v>
      </c>
    </row>
    <row r="2329" spans="1:12" x14ac:dyDescent="0.25">
      <c r="A2329" s="16">
        <v>1921747</v>
      </c>
      <c r="B2329" s="16" t="s">
        <v>919</v>
      </c>
      <c r="C2329" s="16">
        <f t="shared" si="41"/>
        <v>102</v>
      </c>
      <c r="D2329" s="16" t="str">
        <f>VLOOKUP(C2329,[1]道具配置表!$A:$D,4,FALSE)</f>
        <v>1食物</v>
      </c>
      <c r="E2329" s="16">
        <f>E2325+300</f>
        <v>14800</v>
      </c>
      <c r="J2329" s="16">
        <v>1</v>
      </c>
      <c r="L2329" s="16" t="b">
        <v>1</v>
      </c>
    </row>
    <row r="2330" spans="1:12" x14ac:dyDescent="0.25">
      <c r="C2330" s="16">
        <f t="shared" si="41"/>
        <v>101</v>
      </c>
      <c r="D2330" s="16" t="str">
        <f>VLOOKUP(C2330,[1]道具配置表!$A:$D,4,FALSE)</f>
        <v>1木材</v>
      </c>
      <c r="E2330" s="16">
        <f>E2326+500</f>
        <v>24000</v>
      </c>
      <c r="J2330" s="16">
        <v>1</v>
      </c>
      <c r="L2330" s="16" t="b">
        <v>1</v>
      </c>
    </row>
    <row r="2331" spans="1:12" x14ac:dyDescent="0.25">
      <c r="C2331" s="16">
        <f t="shared" si="41"/>
        <v>103</v>
      </c>
      <c r="D2331" s="16" t="str">
        <f>VLOOKUP(C2331,[1]道具配置表!$A:$D,4,FALSE)</f>
        <v>1石头</v>
      </c>
      <c r="E2331" s="16">
        <f>E2327+500</f>
        <v>24000</v>
      </c>
      <c r="J2331" s="16">
        <v>1</v>
      </c>
      <c r="L2331" s="16" t="b">
        <v>1</v>
      </c>
    </row>
    <row r="2332" spans="1:12" x14ac:dyDescent="0.25">
      <c r="C2332" s="16">
        <f t="shared" si="41"/>
        <v>104</v>
      </c>
      <c r="D2332" s="16" t="str">
        <f>VLOOKUP(C2332,[1]道具配置表!$A:$D,4,FALSE)</f>
        <v>1黄金</v>
      </c>
      <c r="E2332" s="16">
        <f>E2328+500</f>
        <v>24000</v>
      </c>
      <c r="J2332" s="16">
        <v>1</v>
      </c>
      <c r="L2332" s="16" t="b">
        <v>1</v>
      </c>
    </row>
    <row r="2333" spans="1:12" x14ac:dyDescent="0.25">
      <c r="A2333" s="16">
        <v>1921748</v>
      </c>
      <c r="B2333" s="16" t="s">
        <v>920</v>
      </c>
      <c r="C2333" s="16">
        <f t="shared" si="41"/>
        <v>102</v>
      </c>
      <c r="D2333" s="16" t="str">
        <f>VLOOKUP(C2333,[1]道具配置表!$A:$D,4,FALSE)</f>
        <v>1食物</v>
      </c>
      <c r="E2333" s="16">
        <f>E2329+300</f>
        <v>15100</v>
      </c>
      <c r="J2333" s="16">
        <v>1</v>
      </c>
      <c r="L2333" s="16" t="b">
        <v>1</v>
      </c>
    </row>
    <row r="2334" spans="1:12" x14ac:dyDescent="0.25">
      <c r="C2334" s="16">
        <f t="shared" si="41"/>
        <v>101</v>
      </c>
      <c r="D2334" s="16" t="str">
        <f>VLOOKUP(C2334,[1]道具配置表!$A:$D,4,FALSE)</f>
        <v>1木材</v>
      </c>
      <c r="E2334" s="16">
        <f>E2330+500</f>
        <v>24500</v>
      </c>
      <c r="J2334" s="16">
        <v>1</v>
      </c>
      <c r="L2334" s="16" t="b">
        <v>1</v>
      </c>
    </row>
    <row r="2335" spans="1:12" x14ac:dyDescent="0.25">
      <c r="C2335" s="16">
        <f t="shared" si="41"/>
        <v>103</v>
      </c>
      <c r="D2335" s="16" t="str">
        <f>VLOOKUP(C2335,[1]道具配置表!$A:$D,4,FALSE)</f>
        <v>1石头</v>
      </c>
      <c r="E2335" s="16">
        <f>E2331+500</f>
        <v>24500</v>
      </c>
      <c r="J2335" s="16">
        <v>1</v>
      </c>
      <c r="L2335" s="16" t="b">
        <v>1</v>
      </c>
    </row>
    <row r="2336" spans="1:12" x14ac:dyDescent="0.25">
      <c r="C2336" s="16">
        <f t="shared" si="41"/>
        <v>104</v>
      </c>
      <c r="D2336" s="16" t="str">
        <f>VLOOKUP(C2336,[1]道具配置表!$A:$D,4,FALSE)</f>
        <v>1黄金</v>
      </c>
      <c r="E2336" s="16">
        <f>E2332+500</f>
        <v>24500</v>
      </c>
      <c r="J2336" s="16">
        <v>1</v>
      </c>
      <c r="L2336" s="16" t="b">
        <v>1</v>
      </c>
    </row>
    <row r="2337" spans="1:12" x14ac:dyDescent="0.25">
      <c r="A2337" s="16">
        <v>1921749</v>
      </c>
      <c r="B2337" s="16" t="s">
        <v>921</v>
      </c>
      <c r="C2337" s="16">
        <f t="shared" si="41"/>
        <v>102</v>
      </c>
      <c r="D2337" s="16" t="str">
        <f>VLOOKUP(C2337,[1]道具配置表!$A:$D,4,FALSE)</f>
        <v>1食物</v>
      </c>
      <c r="E2337" s="16">
        <f>E2333+300</f>
        <v>15400</v>
      </c>
      <c r="J2337" s="16">
        <v>1</v>
      </c>
      <c r="L2337" s="16" t="b">
        <v>1</v>
      </c>
    </row>
    <row r="2338" spans="1:12" x14ac:dyDescent="0.25">
      <c r="C2338" s="16">
        <f t="shared" si="41"/>
        <v>101</v>
      </c>
      <c r="D2338" s="16" t="str">
        <f>VLOOKUP(C2338,[1]道具配置表!$A:$D,4,FALSE)</f>
        <v>1木材</v>
      </c>
      <c r="E2338" s="16">
        <f>E2334+500</f>
        <v>25000</v>
      </c>
      <c r="J2338" s="16">
        <v>1</v>
      </c>
      <c r="L2338" s="16" t="b">
        <v>1</v>
      </c>
    </row>
    <row r="2339" spans="1:12" x14ac:dyDescent="0.25">
      <c r="C2339" s="16">
        <f t="shared" si="41"/>
        <v>103</v>
      </c>
      <c r="D2339" s="16" t="str">
        <f>VLOOKUP(C2339,[1]道具配置表!$A:$D,4,FALSE)</f>
        <v>1石头</v>
      </c>
      <c r="E2339" s="16">
        <f>E2335+500</f>
        <v>25000</v>
      </c>
      <c r="J2339" s="16">
        <v>1</v>
      </c>
      <c r="L2339" s="16" t="b">
        <v>1</v>
      </c>
    </row>
    <row r="2340" spans="1:12" x14ac:dyDescent="0.25">
      <c r="C2340" s="16">
        <f t="shared" si="41"/>
        <v>104</v>
      </c>
      <c r="D2340" s="16" t="str">
        <f>VLOOKUP(C2340,[1]道具配置表!$A:$D,4,FALSE)</f>
        <v>1黄金</v>
      </c>
      <c r="E2340" s="16">
        <f>E2336+500</f>
        <v>25000</v>
      </c>
      <c r="J2340" s="16">
        <v>1</v>
      </c>
      <c r="L2340" s="16" t="b">
        <v>1</v>
      </c>
    </row>
    <row r="2341" spans="1:12" x14ac:dyDescent="0.25">
      <c r="A2341" s="16">
        <v>1921750</v>
      </c>
      <c r="B2341" s="16" t="s">
        <v>922</v>
      </c>
      <c r="C2341" s="16">
        <f t="shared" si="41"/>
        <v>102</v>
      </c>
      <c r="D2341" s="16" t="str">
        <f>VLOOKUP(C2341,[1]道具配置表!$A:$D,4,FALSE)</f>
        <v>1食物</v>
      </c>
      <c r="E2341" s="16">
        <f>E2337+300</f>
        <v>15700</v>
      </c>
      <c r="J2341" s="16">
        <v>1</v>
      </c>
      <c r="L2341" s="16" t="b">
        <v>1</v>
      </c>
    </row>
    <row r="2342" spans="1:12" x14ac:dyDescent="0.25">
      <c r="C2342" s="16">
        <f t="shared" si="41"/>
        <v>101</v>
      </c>
      <c r="D2342" s="16" t="str">
        <f>VLOOKUP(C2342,[1]道具配置表!$A:$D,4,FALSE)</f>
        <v>1木材</v>
      </c>
      <c r="E2342" s="16">
        <f>E2338+500</f>
        <v>25500</v>
      </c>
      <c r="J2342" s="16">
        <v>1</v>
      </c>
      <c r="L2342" s="16" t="b">
        <v>1</v>
      </c>
    </row>
    <row r="2343" spans="1:12" x14ac:dyDescent="0.25">
      <c r="C2343" s="16">
        <f t="shared" si="41"/>
        <v>103</v>
      </c>
      <c r="D2343" s="16" t="str">
        <f>VLOOKUP(C2343,[1]道具配置表!$A:$D,4,FALSE)</f>
        <v>1石头</v>
      </c>
      <c r="E2343" s="16">
        <f>E2339+500</f>
        <v>25500</v>
      </c>
      <c r="J2343" s="16">
        <v>1</v>
      </c>
      <c r="L2343" s="16" t="b">
        <v>1</v>
      </c>
    </row>
    <row r="2344" spans="1:12" x14ac:dyDescent="0.25">
      <c r="C2344" s="16">
        <f t="shared" si="41"/>
        <v>104</v>
      </c>
      <c r="D2344" s="16" t="str">
        <f>VLOOKUP(C2344,[1]道具配置表!$A:$D,4,FALSE)</f>
        <v>1黄金</v>
      </c>
      <c r="E2344" s="16">
        <f>E2340+500</f>
        <v>25500</v>
      </c>
      <c r="J2344" s="16">
        <v>1</v>
      </c>
      <c r="L2344" s="16" t="b">
        <v>1</v>
      </c>
    </row>
    <row r="2345" spans="1:12" x14ac:dyDescent="0.25">
      <c r="A2345" s="16">
        <v>1921751</v>
      </c>
      <c r="B2345" s="16" t="s">
        <v>923</v>
      </c>
      <c r="C2345" s="16">
        <f t="shared" si="41"/>
        <v>102</v>
      </c>
      <c r="D2345" s="16" t="str">
        <f>VLOOKUP(C2345,[1]道具配置表!$A:$D,4,FALSE)</f>
        <v>1食物</v>
      </c>
      <c r="E2345" s="16">
        <f>E2341+300</f>
        <v>16000</v>
      </c>
      <c r="J2345" s="16">
        <v>1</v>
      </c>
      <c r="L2345" s="16" t="b">
        <v>1</v>
      </c>
    </row>
    <row r="2346" spans="1:12" x14ac:dyDescent="0.25">
      <c r="C2346" s="16">
        <f t="shared" si="41"/>
        <v>101</v>
      </c>
      <c r="D2346" s="16" t="str">
        <f>VLOOKUP(C2346,[1]道具配置表!$A:$D,4,FALSE)</f>
        <v>1木材</v>
      </c>
      <c r="E2346" s="16">
        <f>E2342+500</f>
        <v>26000</v>
      </c>
      <c r="J2346" s="16">
        <v>1</v>
      </c>
      <c r="L2346" s="16" t="b">
        <v>1</v>
      </c>
    </row>
    <row r="2347" spans="1:12" x14ac:dyDescent="0.25">
      <c r="C2347" s="16">
        <f t="shared" si="41"/>
        <v>103</v>
      </c>
      <c r="D2347" s="16" t="str">
        <f>VLOOKUP(C2347,[1]道具配置表!$A:$D,4,FALSE)</f>
        <v>1石头</v>
      </c>
      <c r="E2347" s="16">
        <f>E2343+500</f>
        <v>26000</v>
      </c>
      <c r="J2347" s="16">
        <v>1</v>
      </c>
      <c r="L2347" s="16" t="b">
        <v>1</v>
      </c>
    </row>
    <row r="2348" spans="1:12" x14ac:dyDescent="0.25">
      <c r="C2348" s="16">
        <f t="shared" si="41"/>
        <v>104</v>
      </c>
      <c r="D2348" s="16" t="str">
        <f>VLOOKUP(C2348,[1]道具配置表!$A:$D,4,FALSE)</f>
        <v>1黄金</v>
      </c>
      <c r="E2348" s="16">
        <f>E2344+500</f>
        <v>26000</v>
      </c>
      <c r="J2348" s="16">
        <v>1</v>
      </c>
      <c r="L2348" s="16" t="b">
        <v>1</v>
      </c>
    </row>
    <row r="2349" spans="1:12" x14ac:dyDescent="0.25">
      <c r="A2349" s="16">
        <v>1921752</v>
      </c>
      <c r="B2349" s="16" t="s">
        <v>924</v>
      </c>
      <c r="C2349" s="16">
        <f t="shared" si="41"/>
        <v>102</v>
      </c>
      <c r="D2349" s="16" t="str">
        <f>VLOOKUP(C2349,[1]道具配置表!$A:$D,4,FALSE)</f>
        <v>1食物</v>
      </c>
      <c r="E2349" s="16">
        <f>E2345+300</f>
        <v>16300</v>
      </c>
      <c r="J2349" s="16">
        <v>1</v>
      </c>
      <c r="L2349" s="16" t="b">
        <v>1</v>
      </c>
    </row>
    <row r="2350" spans="1:12" x14ac:dyDescent="0.25">
      <c r="C2350" s="16">
        <f t="shared" si="41"/>
        <v>101</v>
      </c>
      <c r="D2350" s="16" t="str">
        <f>VLOOKUP(C2350,[1]道具配置表!$A:$D,4,FALSE)</f>
        <v>1木材</v>
      </c>
      <c r="E2350" s="16">
        <f>E2346+500</f>
        <v>26500</v>
      </c>
      <c r="J2350" s="16">
        <v>1</v>
      </c>
      <c r="L2350" s="16" t="b">
        <v>1</v>
      </c>
    </row>
    <row r="2351" spans="1:12" x14ac:dyDescent="0.25">
      <c r="C2351" s="16">
        <f t="shared" si="41"/>
        <v>103</v>
      </c>
      <c r="D2351" s="16" t="str">
        <f>VLOOKUP(C2351,[1]道具配置表!$A:$D,4,FALSE)</f>
        <v>1石头</v>
      </c>
      <c r="E2351" s="16">
        <f>E2347+500</f>
        <v>26500</v>
      </c>
      <c r="J2351" s="16">
        <v>1</v>
      </c>
      <c r="L2351" s="16" t="b">
        <v>1</v>
      </c>
    </row>
    <row r="2352" spans="1:12" x14ac:dyDescent="0.25">
      <c r="C2352" s="16">
        <f t="shared" si="41"/>
        <v>104</v>
      </c>
      <c r="D2352" s="16" t="str">
        <f>VLOOKUP(C2352,[1]道具配置表!$A:$D,4,FALSE)</f>
        <v>1黄金</v>
      </c>
      <c r="E2352" s="16">
        <f>E2348+500</f>
        <v>26500</v>
      </c>
      <c r="J2352" s="16">
        <v>1</v>
      </c>
      <c r="L2352" s="16" t="b">
        <v>1</v>
      </c>
    </row>
    <row r="2353" spans="1:12" x14ac:dyDescent="0.25">
      <c r="A2353" s="16">
        <v>1921753</v>
      </c>
      <c r="B2353" s="16" t="s">
        <v>925</v>
      </c>
      <c r="C2353" s="16">
        <f t="shared" ref="C2353:C2416" si="42">C2349</f>
        <v>102</v>
      </c>
      <c r="D2353" s="16" t="str">
        <f>VLOOKUP(C2353,[1]道具配置表!$A:$D,4,FALSE)</f>
        <v>1食物</v>
      </c>
      <c r="E2353" s="16">
        <f>E2349+300</f>
        <v>16600</v>
      </c>
      <c r="J2353" s="16">
        <v>1</v>
      </c>
      <c r="L2353" s="16" t="b">
        <v>1</v>
      </c>
    </row>
    <row r="2354" spans="1:12" x14ac:dyDescent="0.25">
      <c r="C2354" s="16">
        <f t="shared" si="42"/>
        <v>101</v>
      </c>
      <c r="D2354" s="16" t="str">
        <f>VLOOKUP(C2354,[1]道具配置表!$A:$D,4,FALSE)</f>
        <v>1木材</v>
      </c>
      <c r="E2354" s="16">
        <f>E2350+500</f>
        <v>27000</v>
      </c>
      <c r="J2354" s="16">
        <v>1</v>
      </c>
      <c r="L2354" s="16" t="b">
        <v>1</v>
      </c>
    </row>
    <row r="2355" spans="1:12" x14ac:dyDescent="0.25">
      <c r="C2355" s="16">
        <f t="shared" si="42"/>
        <v>103</v>
      </c>
      <c r="D2355" s="16" t="str">
        <f>VLOOKUP(C2355,[1]道具配置表!$A:$D,4,FALSE)</f>
        <v>1石头</v>
      </c>
      <c r="E2355" s="16">
        <f>E2351+500</f>
        <v>27000</v>
      </c>
      <c r="J2355" s="16">
        <v>1</v>
      </c>
      <c r="L2355" s="16" t="b">
        <v>1</v>
      </c>
    </row>
    <row r="2356" spans="1:12" x14ac:dyDescent="0.25">
      <c r="C2356" s="16">
        <f t="shared" si="42"/>
        <v>104</v>
      </c>
      <c r="D2356" s="16" t="str">
        <f>VLOOKUP(C2356,[1]道具配置表!$A:$D,4,FALSE)</f>
        <v>1黄金</v>
      </c>
      <c r="E2356" s="16">
        <f>E2352+500</f>
        <v>27000</v>
      </c>
      <c r="J2356" s="16">
        <v>1</v>
      </c>
      <c r="L2356" s="16" t="b">
        <v>1</v>
      </c>
    </row>
    <row r="2357" spans="1:12" x14ac:dyDescent="0.25">
      <c r="A2357" s="16">
        <v>1921754</v>
      </c>
      <c r="B2357" s="16" t="s">
        <v>926</v>
      </c>
      <c r="C2357" s="16">
        <f t="shared" si="42"/>
        <v>102</v>
      </c>
      <c r="D2357" s="16" t="str">
        <f>VLOOKUP(C2357,[1]道具配置表!$A:$D,4,FALSE)</f>
        <v>1食物</v>
      </c>
      <c r="E2357" s="16">
        <f>E2353+300</f>
        <v>16900</v>
      </c>
      <c r="J2357" s="16">
        <v>1</v>
      </c>
      <c r="L2357" s="16" t="b">
        <v>1</v>
      </c>
    </row>
    <row r="2358" spans="1:12" x14ac:dyDescent="0.25">
      <c r="C2358" s="16">
        <f t="shared" si="42"/>
        <v>101</v>
      </c>
      <c r="D2358" s="16" t="str">
        <f>VLOOKUP(C2358,[1]道具配置表!$A:$D,4,FALSE)</f>
        <v>1木材</v>
      </c>
      <c r="E2358" s="16">
        <f>E2354+500</f>
        <v>27500</v>
      </c>
      <c r="J2358" s="16">
        <v>1</v>
      </c>
      <c r="L2358" s="16" t="b">
        <v>1</v>
      </c>
    </row>
    <row r="2359" spans="1:12" x14ac:dyDescent="0.25">
      <c r="C2359" s="16">
        <f t="shared" si="42"/>
        <v>103</v>
      </c>
      <c r="D2359" s="16" t="str">
        <f>VLOOKUP(C2359,[1]道具配置表!$A:$D,4,FALSE)</f>
        <v>1石头</v>
      </c>
      <c r="E2359" s="16">
        <f>E2355+500</f>
        <v>27500</v>
      </c>
      <c r="J2359" s="16">
        <v>1</v>
      </c>
      <c r="L2359" s="16" t="b">
        <v>1</v>
      </c>
    </row>
    <row r="2360" spans="1:12" x14ac:dyDescent="0.25">
      <c r="C2360" s="16">
        <f t="shared" si="42"/>
        <v>104</v>
      </c>
      <c r="D2360" s="16" t="str">
        <f>VLOOKUP(C2360,[1]道具配置表!$A:$D,4,FALSE)</f>
        <v>1黄金</v>
      </c>
      <c r="E2360" s="16">
        <f>E2356+500</f>
        <v>27500</v>
      </c>
      <c r="J2360" s="16">
        <v>1</v>
      </c>
      <c r="L2360" s="16" t="b">
        <v>1</v>
      </c>
    </row>
    <row r="2361" spans="1:12" x14ac:dyDescent="0.25">
      <c r="A2361" s="16">
        <v>1921755</v>
      </c>
      <c r="B2361" s="16" t="s">
        <v>927</v>
      </c>
      <c r="C2361" s="16">
        <f t="shared" si="42"/>
        <v>102</v>
      </c>
      <c r="D2361" s="16" t="str">
        <f>VLOOKUP(C2361,[1]道具配置表!$A:$D,4,FALSE)</f>
        <v>1食物</v>
      </c>
      <c r="E2361" s="16">
        <f>E2357+300</f>
        <v>17200</v>
      </c>
      <c r="J2361" s="16">
        <v>1</v>
      </c>
      <c r="L2361" s="16" t="b">
        <v>1</v>
      </c>
    </row>
    <row r="2362" spans="1:12" x14ac:dyDescent="0.25">
      <c r="C2362" s="16">
        <f t="shared" si="42"/>
        <v>101</v>
      </c>
      <c r="D2362" s="16" t="str">
        <f>VLOOKUP(C2362,[1]道具配置表!$A:$D,4,FALSE)</f>
        <v>1木材</v>
      </c>
      <c r="E2362" s="16">
        <f>E2358+500</f>
        <v>28000</v>
      </c>
      <c r="J2362" s="16">
        <v>1</v>
      </c>
      <c r="L2362" s="16" t="b">
        <v>1</v>
      </c>
    </row>
    <row r="2363" spans="1:12" x14ac:dyDescent="0.25">
      <c r="C2363" s="16">
        <f t="shared" si="42"/>
        <v>103</v>
      </c>
      <c r="D2363" s="16" t="str">
        <f>VLOOKUP(C2363,[1]道具配置表!$A:$D,4,FALSE)</f>
        <v>1石头</v>
      </c>
      <c r="E2363" s="16">
        <f>E2359+500</f>
        <v>28000</v>
      </c>
      <c r="J2363" s="16">
        <v>1</v>
      </c>
      <c r="L2363" s="16" t="b">
        <v>1</v>
      </c>
    </row>
    <row r="2364" spans="1:12" x14ac:dyDescent="0.25">
      <c r="C2364" s="16">
        <f t="shared" si="42"/>
        <v>104</v>
      </c>
      <c r="D2364" s="16" t="str">
        <f>VLOOKUP(C2364,[1]道具配置表!$A:$D,4,FALSE)</f>
        <v>1黄金</v>
      </c>
      <c r="E2364" s="16">
        <f>E2360+500</f>
        <v>28000</v>
      </c>
      <c r="J2364" s="16">
        <v>1</v>
      </c>
      <c r="L2364" s="16" t="b">
        <v>1</v>
      </c>
    </row>
    <row r="2365" spans="1:12" x14ac:dyDescent="0.25">
      <c r="A2365" s="16">
        <v>1921756</v>
      </c>
      <c r="B2365" s="16" t="s">
        <v>928</v>
      </c>
      <c r="C2365" s="16">
        <f t="shared" si="42"/>
        <v>102</v>
      </c>
      <c r="D2365" s="16" t="str">
        <f>VLOOKUP(C2365,[1]道具配置表!$A:$D,4,FALSE)</f>
        <v>1食物</v>
      </c>
      <c r="E2365" s="16">
        <f>E2361+300</f>
        <v>17500</v>
      </c>
      <c r="J2365" s="16">
        <v>1</v>
      </c>
      <c r="L2365" s="16" t="b">
        <v>1</v>
      </c>
    </row>
    <row r="2366" spans="1:12" x14ac:dyDescent="0.25">
      <c r="C2366" s="16">
        <f t="shared" si="42"/>
        <v>101</v>
      </c>
      <c r="D2366" s="16" t="str">
        <f>VLOOKUP(C2366,[1]道具配置表!$A:$D,4,FALSE)</f>
        <v>1木材</v>
      </c>
      <c r="E2366" s="16">
        <f>E2362+500</f>
        <v>28500</v>
      </c>
      <c r="J2366" s="16">
        <v>1</v>
      </c>
      <c r="L2366" s="16" t="b">
        <v>1</v>
      </c>
    </row>
    <row r="2367" spans="1:12" x14ac:dyDescent="0.25">
      <c r="C2367" s="16">
        <f t="shared" si="42"/>
        <v>103</v>
      </c>
      <c r="D2367" s="16" t="str">
        <f>VLOOKUP(C2367,[1]道具配置表!$A:$D,4,FALSE)</f>
        <v>1石头</v>
      </c>
      <c r="E2367" s="16">
        <f>E2363+500</f>
        <v>28500</v>
      </c>
      <c r="J2367" s="16">
        <v>1</v>
      </c>
      <c r="L2367" s="16" t="b">
        <v>1</v>
      </c>
    </row>
    <row r="2368" spans="1:12" x14ac:dyDescent="0.25">
      <c r="C2368" s="16">
        <f t="shared" si="42"/>
        <v>104</v>
      </c>
      <c r="D2368" s="16" t="str">
        <f>VLOOKUP(C2368,[1]道具配置表!$A:$D,4,FALSE)</f>
        <v>1黄金</v>
      </c>
      <c r="E2368" s="16">
        <f>E2364+500</f>
        <v>28500</v>
      </c>
      <c r="J2368" s="16">
        <v>1</v>
      </c>
      <c r="L2368" s="16" t="b">
        <v>1</v>
      </c>
    </row>
    <row r="2369" spans="1:12" x14ac:dyDescent="0.25">
      <c r="A2369" s="16">
        <v>1921757</v>
      </c>
      <c r="B2369" s="16" t="s">
        <v>929</v>
      </c>
      <c r="C2369" s="16">
        <f t="shared" si="42"/>
        <v>102</v>
      </c>
      <c r="D2369" s="16" t="str">
        <f>VLOOKUP(C2369,[1]道具配置表!$A:$D,4,FALSE)</f>
        <v>1食物</v>
      </c>
      <c r="E2369" s="16">
        <f>E2365+300</f>
        <v>17800</v>
      </c>
      <c r="J2369" s="16">
        <v>1</v>
      </c>
      <c r="L2369" s="16" t="b">
        <v>1</v>
      </c>
    </row>
    <row r="2370" spans="1:12" x14ac:dyDescent="0.25">
      <c r="C2370" s="16">
        <f t="shared" si="42"/>
        <v>101</v>
      </c>
      <c r="D2370" s="16" t="str">
        <f>VLOOKUP(C2370,[1]道具配置表!$A:$D,4,FALSE)</f>
        <v>1木材</v>
      </c>
      <c r="E2370" s="16">
        <f>E2366+500</f>
        <v>29000</v>
      </c>
      <c r="J2370" s="16">
        <v>1</v>
      </c>
      <c r="L2370" s="16" t="b">
        <v>1</v>
      </c>
    </row>
    <row r="2371" spans="1:12" x14ac:dyDescent="0.25">
      <c r="C2371" s="16">
        <f t="shared" si="42"/>
        <v>103</v>
      </c>
      <c r="D2371" s="16" t="str">
        <f>VLOOKUP(C2371,[1]道具配置表!$A:$D,4,FALSE)</f>
        <v>1石头</v>
      </c>
      <c r="E2371" s="16">
        <f>E2367+500</f>
        <v>29000</v>
      </c>
      <c r="J2371" s="16">
        <v>1</v>
      </c>
      <c r="L2371" s="16" t="b">
        <v>1</v>
      </c>
    </row>
    <row r="2372" spans="1:12" x14ac:dyDescent="0.25">
      <c r="C2372" s="16">
        <f t="shared" si="42"/>
        <v>104</v>
      </c>
      <c r="D2372" s="16" t="str">
        <f>VLOOKUP(C2372,[1]道具配置表!$A:$D,4,FALSE)</f>
        <v>1黄金</v>
      </c>
      <c r="E2372" s="16">
        <f>E2368+500</f>
        <v>29000</v>
      </c>
      <c r="J2372" s="16">
        <v>1</v>
      </c>
      <c r="L2372" s="16" t="b">
        <v>1</v>
      </c>
    </row>
    <row r="2373" spans="1:12" x14ac:dyDescent="0.25">
      <c r="A2373" s="16">
        <v>1921758</v>
      </c>
      <c r="B2373" s="16" t="s">
        <v>930</v>
      </c>
      <c r="C2373" s="16">
        <f t="shared" si="42"/>
        <v>102</v>
      </c>
      <c r="D2373" s="16" t="str">
        <f>VLOOKUP(C2373,[1]道具配置表!$A:$D,4,FALSE)</f>
        <v>1食物</v>
      </c>
      <c r="E2373" s="16">
        <f>E2369+300</f>
        <v>18100</v>
      </c>
      <c r="J2373" s="16">
        <v>1</v>
      </c>
      <c r="L2373" s="16" t="b">
        <v>1</v>
      </c>
    </row>
    <row r="2374" spans="1:12" x14ac:dyDescent="0.25">
      <c r="C2374" s="16">
        <f t="shared" si="42"/>
        <v>101</v>
      </c>
      <c r="D2374" s="16" t="str">
        <f>VLOOKUP(C2374,[1]道具配置表!$A:$D,4,FALSE)</f>
        <v>1木材</v>
      </c>
      <c r="E2374" s="16">
        <f>E2370+500</f>
        <v>29500</v>
      </c>
      <c r="J2374" s="16">
        <v>1</v>
      </c>
      <c r="L2374" s="16" t="b">
        <v>1</v>
      </c>
    </row>
    <row r="2375" spans="1:12" x14ac:dyDescent="0.25">
      <c r="C2375" s="16">
        <f t="shared" si="42"/>
        <v>103</v>
      </c>
      <c r="D2375" s="16" t="str">
        <f>VLOOKUP(C2375,[1]道具配置表!$A:$D,4,FALSE)</f>
        <v>1石头</v>
      </c>
      <c r="E2375" s="16">
        <f>E2371+500</f>
        <v>29500</v>
      </c>
      <c r="J2375" s="16">
        <v>1</v>
      </c>
      <c r="L2375" s="16" t="b">
        <v>1</v>
      </c>
    </row>
    <row r="2376" spans="1:12" x14ac:dyDescent="0.25">
      <c r="C2376" s="16">
        <f t="shared" si="42"/>
        <v>104</v>
      </c>
      <c r="D2376" s="16" t="str">
        <f>VLOOKUP(C2376,[1]道具配置表!$A:$D,4,FALSE)</f>
        <v>1黄金</v>
      </c>
      <c r="E2376" s="16">
        <f>E2372+500</f>
        <v>29500</v>
      </c>
      <c r="J2376" s="16">
        <v>1</v>
      </c>
      <c r="L2376" s="16" t="b">
        <v>1</v>
      </c>
    </row>
    <row r="2377" spans="1:12" x14ac:dyDescent="0.25">
      <c r="A2377" s="16">
        <v>1921759</v>
      </c>
      <c r="B2377" s="16" t="s">
        <v>931</v>
      </c>
      <c r="C2377" s="16">
        <f t="shared" si="42"/>
        <v>102</v>
      </c>
      <c r="D2377" s="16" t="str">
        <f>VLOOKUP(C2377,[1]道具配置表!$A:$D,4,FALSE)</f>
        <v>1食物</v>
      </c>
      <c r="E2377" s="16">
        <f>E2373+300</f>
        <v>18400</v>
      </c>
      <c r="J2377" s="16">
        <v>1</v>
      </c>
      <c r="L2377" s="16" t="b">
        <v>1</v>
      </c>
    </row>
    <row r="2378" spans="1:12" x14ac:dyDescent="0.25">
      <c r="C2378" s="16">
        <f t="shared" si="42"/>
        <v>101</v>
      </c>
      <c r="D2378" s="16" t="str">
        <f>VLOOKUP(C2378,[1]道具配置表!$A:$D,4,FALSE)</f>
        <v>1木材</v>
      </c>
      <c r="E2378" s="16">
        <f>E2374+500</f>
        <v>30000</v>
      </c>
      <c r="J2378" s="16">
        <v>1</v>
      </c>
      <c r="L2378" s="16" t="b">
        <v>1</v>
      </c>
    </row>
    <row r="2379" spans="1:12" x14ac:dyDescent="0.25">
      <c r="C2379" s="16">
        <f t="shared" si="42"/>
        <v>103</v>
      </c>
      <c r="D2379" s="16" t="str">
        <f>VLOOKUP(C2379,[1]道具配置表!$A:$D,4,FALSE)</f>
        <v>1石头</v>
      </c>
      <c r="E2379" s="16">
        <f>E2375+500</f>
        <v>30000</v>
      </c>
      <c r="J2379" s="16">
        <v>1</v>
      </c>
      <c r="L2379" s="16" t="b">
        <v>1</v>
      </c>
    </row>
    <row r="2380" spans="1:12" x14ac:dyDescent="0.25">
      <c r="C2380" s="16">
        <f t="shared" si="42"/>
        <v>104</v>
      </c>
      <c r="D2380" s="16" t="str">
        <f>VLOOKUP(C2380,[1]道具配置表!$A:$D,4,FALSE)</f>
        <v>1黄金</v>
      </c>
      <c r="E2380" s="16">
        <f>E2376+500</f>
        <v>30000</v>
      </c>
      <c r="J2380" s="16">
        <v>1</v>
      </c>
      <c r="L2380" s="16" t="b">
        <v>1</v>
      </c>
    </row>
    <row r="2381" spans="1:12" x14ac:dyDescent="0.25">
      <c r="A2381" s="16">
        <v>1921760</v>
      </c>
      <c r="B2381" s="16" t="s">
        <v>932</v>
      </c>
      <c r="C2381" s="16">
        <f t="shared" si="42"/>
        <v>102</v>
      </c>
      <c r="D2381" s="16" t="str">
        <f>VLOOKUP(C2381,[1]道具配置表!$A:$D,4,FALSE)</f>
        <v>1食物</v>
      </c>
      <c r="E2381" s="16">
        <f>E2377+300</f>
        <v>18700</v>
      </c>
      <c r="J2381" s="16">
        <v>1</v>
      </c>
      <c r="L2381" s="16" t="b">
        <v>1</v>
      </c>
    </row>
    <row r="2382" spans="1:12" x14ac:dyDescent="0.25">
      <c r="C2382" s="16">
        <f t="shared" si="42"/>
        <v>101</v>
      </c>
      <c r="D2382" s="16" t="str">
        <f>VLOOKUP(C2382,[1]道具配置表!$A:$D,4,FALSE)</f>
        <v>1木材</v>
      </c>
      <c r="E2382" s="16">
        <f>E2378+500</f>
        <v>30500</v>
      </c>
      <c r="J2382" s="16">
        <v>1</v>
      </c>
      <c r="L2382" s="16" t="b">
        <v>1</v>
      </c>
    </row>
    <row r="2383" spans="1:12" x14ac:dyDescent="0.25">
      <c r="C2383" s="16">
        <f t="shared" si="42"/>
        <v>103</v>
      </c>
      <c r="D2383" s="16" t="str">
        <f>VLOOKUP(C2383,[1]道具配置表!$A:$D,4,FALSE)</f>
        <v>1石头</v>
      </c>
      <c r="E2383" s="16">
        <f>E2379+500</f>
        <v>30500</v>
      </c>
      <c r="J2383" s="16">
        <v>1</v>
      </c>
      <c r="L2383" s="16" t="b">
        <v>1</v>
      </c>
    </row>
    <row r="2384" spans="1:12" x14ac:dyDescent="0.25">
      <c r="C2384" s="16">
        <f t="shared" si="42"/>
        <v>104</v>
      </c>
      <c r="D2384" s="16" t="str">
        <f>VLOOKUP(C2384,[1]道具配置表!$A:$D,4,FALSE)</f>
        <v>1黄金</v>
      </c>
      <c r="E2384" s="16">
        <f>E2380+500</f>
        <v>30500</v>
      </c>
      <c r="J2384" s="16">
        <v>1</v>
      </c>
      <c r="L2384" s="16" t="b">
        <v>1</v>
      </c>
    </row>
    <row r="2385" spans="1:12" x14ac:dyDescent="0.25">
      <c r="A2385" s="16">
        <v>1921761</v>
      </c>
      <c r="B2385" s="16" t="s">
        <v>933</v>
      </c>
      <c r="C2385" s="16">
        <f t="shared" si="42"/>
        <v>102</v>
      </c>
      <c r="D2385" s="16" t="str">
        <f>VLOOKUP(C2385,[1]道具配置表!$A:$D,4,FALSE)</f>
        <v>1食物</v>
      </c>
      <c r="E2385" s="16">
        <f>E2381+300</f>
        <v>19000</v>
      </c>
      <c r="J2385" s="16">
        <v>1</v>
      </c>
      <c r="L2385" s="16" t="b">
        <v>1</v>
      </c>
    </row>
    <row r="2386" spans="1:12" x14ac:dyDescent="0.25">
      <c r="C2386" s="16">
        <f t="shared" si="42"/>
        <v>101</v>
      </c>
      <c r="D2386" s="16" t="str">
        <f>VLOOKUP(C2386,[1]道具配置表!$A:$D,4,FALSE)</f>
        <v>1木材</v>
      </c>
      <c r="E2386" s="16">
        <f>E2382+500</f>
        <v>31000</v>
      </c>
      <c r="J2386" s="16">
        <v>1</v>
      </c>
      <c r="L2386" s="16" t="b">
        <v>1</v>
      </c>
    </row>
    <row r="2387" spans="1:12" x14ac:dyDescent="0.25">
      <c r="C2387" s="16">
        <f t="shared" si="42"/>
        <v>103</v>
      </c>
      <c r="D2387" s="16" t="str">
        <f>VLOOKUP(C2387,[1]道具配置表!$A:$D,4,FALSE)</f>
        <v>1石头</v>
      </c>
      <c r="E2387" s="16">
        <f>E2383+500</f>
        <v>31000</v>
      </c>
      <c r="J2387" s="16">
        <v>1</v>
      </c>
      <c r="L2387" s="16" t="b">
        <v>1</v>
      </c>
    </row>
    <row r="2388" spans="1:12" x14ac:dyDescent="0.25">
      <c r="C2388" s="16">
        <f t="shared" si="42"/>
        <v>104</v>
      </c>
      <c r="D2388" s="16" t="str">
        <f>VLOOKUP(C2388,[1]道具配置表!$A:$D,4,FALSE)</f>
        <v>1黄金</v>
      </c>
      <c r="E2388" s="16">
        <f>E2384+500</f>
        <v>31000</v>
      </c>
      <c r="J2388" s="16">
        <v>1</v>
      </c>
      <c r="L2388" s="16" t="b">
        <v>1</v>
      </c>
    </row>
    <row r="2389" spans="1:12" x14ac:dyDescent="0.25">
      <c r="A2389" s="16">
        <v>1921762</v>
      </c>
      <c r="B2389" s="16" t="s">
        <v>934</v>
      </c>
      <c r="C2389" s="16">
        <f t="shared" si="42"/>
        <v>102</v>
      </c>
      <c r="D2389" s="16" t="str">
        <f>VLOOKUP(C2389,[1]道具配置表!$A:$D,4,FALSE)</f>
        <v>1食物</v>
      </c>
      <c r="E2389" s="16">
        <f>E2385+300</f>
        <v>19300</v>
      </c>
      <c r="J2389" s="16">
        <v>1</v>
      </c>
      <c r="L2389" s="16" t="b">
        <v>1</v>
      </c>
    </row>
    <row r="2390" spans="1:12" x14ac:dyDescent="0.25">
      <c r="C2390" s="16">
        <f t="shared" si="42"/>
        <v>101</v>
      </c>
      <c r="D2390" s="16" t="str">
        <f>VLOOKUP(C2390,[1]道具配置表!$A:$D,4,FALSE)</f>
        <v>1木材</v>
      </c>
      <c r="E2390" s="16">
        <f>E2386+500</f>
        <v>31500</v>
      </c>
      <c r="J2390" s="16">
        <v>1</v>
      </c>
      <c r="L2390" s="16" t="b">
        <v>1</v>
      </c>
    </row>
    <row r="2391" spans="1:12" x14ac:dyDescent="0.25">
      <c r="C2391" s="16">
        <f t="shared" si="42"/>
        <v>103</v>
      </c>
      <c r="D2391" s="16" t="str">
        <f>VLOOKUP(C2391,[1]道具配置表!$A:$D,4,FALSE)</f>
        <v>1石头</v>
      </c>
      <c r="E2391" s="16">
        <f>E2387+500</f>
        <v>31500</v>
      </c>
      <c r="J2391" s="16">
        <v>1</v>
      </c>
      <c r="L2391" s="16" t="b">
        <v>1</v>
      </c>
    </row>
    <row r="2392" spans="1:12" x14ac:dyDescent="0.25">
      <c r="C2392" s="16">
        <f t="shared" si="42"/>
        <v>104</v>
      </c>
      <c r="D2392" s="16" t="str">
        <f>VLOOKUP(C2392,[1]道具配置表!$A:$D,4,FALSE)</f>
        <v>1黄金</v>
      </c>
      <c r="E2392" s="16">
        <f>E2388+500</f>
        <v>31500</v>
      </c>
      <c r="J2392" s="16">
        <v>1</v>
      </c>
      <c r="L2392" s="16" t="b">
        <v>1</v>
      </c>
    </row>
    <row r="2393" spans="1:12" x14ac:dyDescent="0.25">
      <c r="A2393" s="16">
        <v>1921763</v>
      </c>
      <c r="B2393" s="16" t="s">
        <v>935</v>
      </c>
      <c r="C2393" s="16">
        <f t="shared" si="42"/>
        <v>102</v>
      </c>
      <c r="D2393" s="16" t="str">
        <f>VLOOKUP(C2393,[1]道具配置表!$A:$D,4,FALSE)</f>
        <v>1食物</v>
      </c>
      <c r="E2393" s="16">
        <f>E2389+300</f>
        <v>19600</v>
      </c>
      <c r="J2393" s="16">
        <v>1</v>
      </c>
      <c r="L2393" s="16" t="b">
        <v>1</v>
      </c>
    </row>
    <row r="2394" spans="1:12" x14ac:dyDescent="0.25">
      <c r="C2394" s="16">
        <f t="shared" si="42"/>
        <v>101</v>
      </c>
      <c r="D2394" s="16" t="str">
        <f>VLOOKUP(C2394,[1]道具配置表!$A:$D,4,FALSE)</f>
        <v>1木材</v>
      </c>
      <c r="E2394" s="16">
        <f>E2390+500</f>
        <v>32000</v>
      </c>
      <c r="J2394" s="16">
        <v>1</v>
      </c>
      <c r="L2394" s="16" t="b">
        <v>1</v>
      </c>
    </row>
    <row r="2395" spans="1:12" x14ac:dyDescent="0.25">
      <c r="C2395" s="16">
        <f t="shared" si="42"/>
        <v>103</v>
      </c>
      <c r="D2395" s="16" t="str">
        <f>VLOOKUP(C2395,[1]道具配置表!$A:$D,4,FALSE)</f>
        <v>1石头</v>
      </c>
      <c r="E2395" s="16">
        <f>E2391+500</f>
        <v>32000</v>
      </c>
      <c r="J2395" s="16">
        <v>1</v>
      </c>
      <c r="L2395" s="16" t="b">
        <v>1</v>
      </c>
    </row>
    <row r="2396" spans="1:12" x14ac:dyDescent="0.25">
      <c r="C2396" s="16">
        <f t="shared" si="42"/>
        <v>104</v>
      </c>
      <c r="D2396" s="16" t="str">
        <f>VLOOKUP(C2396,[1]道具配置表!$A:$D,4,FALSE)</f>
        <v>1黄金</v>
      </c>
      <c r="E2396" s="16">
        <f>E2392+500</f>
        <v>32000</v>
      </c>
      <c r="J2396" s="16">
        <v>1</v>
      </c>
      <c r="L2396" s="16" t="b">
        <v>1</v>
      </c>
    </row>
    <row r="2397" spans="1:12" x14ac:dyDescent="0.25">
      <c r="A2397" s="16">
        <v>1921764</v>
      </c>
      <c r="B2397" s="16" t="s">
        <v>936</v>
      </c>
      <c r="C2397" s="16">
        <f t="shared" si="42"/>
        <v>102</v>
      </c>
      <c r="D2397" s="16" t="str">
        <f>VLOOKUP(C2397,[1]道具配置表!$A:$D,4,FALSE)</f>
        <v>1食物</v>
      </c>
      <c r="E2397" s="16">
        <f>E2393+300</f>
        <v>19900</v>
      </c>
      <c r="J2397" s="16">
        <v>1</v>
      </c>
      <c r="L2397" s="16" t="b">
        <v>1</v>
      </c>
    </row>
    <row r="2398" spans="1:12" x14ac:dyDescent="0.25">
      <c r="C2398" s="16">
        <f t="shared" si="42"/>
        <v>101</v>
      </c>
      <c r="D2398" s="16" t="str">
        <f>VLOOKUP(C2398,[1]道具配置表!$A:$D,4,FALSE)</f>
        <v>1木材</v>
      </c>
      <c r="E2398" s="16">
        <f>E2394+500</f>
        <v>32500</v>
      </c>
      <c r="J2398" s="16">
        <v>1</v>
      </c>
      <c r="L2398" s="16" t="b">
        <v>1</v>
      </c>
    </row>
    <row r="2399" spans="1:12" x14ac:dyDescent="0.25">
      <c r="C2399" s="16">
        <f t="shared" si="42"/>
        <v>103</v>
      </c>
      <c r="D2399" s="16" t="str">
        <f>VLOOKUP(C2399,[1]道具配置表!$A:$D,4,FALSE)</f>
        <v>1石头</v>
      </c>
      <c r="E2399" s="16">
        <f>E2395+500</f>
        <v>32500</v>
      </c>
      <c r="J2399" s="16">
        <v>1</v>
      </c>
      <c r="L2399" s="16" t="b">
        <v>1</v>
      </c>
    </row>
    <row r="2400" spans="1:12" x14ac:dyDescent="0.25">
      <c r="C2400" s="16">
        <f t="shared" si="42"/>
        <v>104</v>
      </c>
      <c r="D2400" s="16" t="str">
        <f>VLOOKUP(C2400,[1]道具配置表!$A:$D,4,FALSE)</f>
        <v>1黄金</v>
      </c>
      <c r="E2400" s="16">
        <f>E2396+500</f>
        <v>32500</v>
      </c>
      <c r="J2400" s="16">
        <v>1</v>
      </c>
      <c r="L2400" s="16" t="b">
        <v>1</v>
      </c>
    </row>
    <row r="2401" spans="1:12" x14ac:dyDescent="0.25">
      <c r="A2401" s="16">
        <v>1921765</v>
      </c>
      <c r="B2401" s="16" t="s">
        <v>937</v>
      </c>
      <c r="C2401" s="16">
        <f t="shared" si="42"/>
        <v>102</v>
      </c>
      <c r="D2401" s="16" t="str">
        <f>VLOOKUP(C2401,[1]道具配置表!$A:$D,4,FALSE)</f>
        <v>1食物</v>
      </c>
      <c r="E2401" s="16">
        <f>E2397+300</f>
        <v>20200</v>
      </c>
      <c r="J2401" s="16">
        <v>1</v>
      </c>
      <c r="L2401" s="16" t="b">
        <v>1</v>
      </c>
    </row>
    <row r="2402" spans="1:12" x14ac:dyDescent="0.25">
      <c r="C2402" s="16">
        <f t="shared" si="42"/>
        <v>101</v>
      </c>
      <c r="D2402" s="16" t="str">
        <f>VLOOKUP(C2402,[1]道具配置表!$A:$D,4,FALSE)</f>
        <v>1木材</v>
      </c>
      <c r="E2402" s="16">
        <f>E2398+500</f>
        <v>33000</v>
      </c>
      <c r="J2402" s="16">
        <v>1</v>
      </c>
      <c r="L2402" s="16" t="b">
        <v>1</v>
      </c>
    </row>
    <row r="2403" spans="1:12" x14ac:dyDescent="0.25">
      <c r="C2403" s="16">
        <f t="shared" si="42"/>
        <v>103</v>
      </c>
      <c r="D2403" s="16" t="str">
        <f>VLOOKUP(C2403,[1]道具配置表!$A:$D,4,FALSE)</f>
        <v>1石头</v>
      </c>
      <c r="E2403" s="16">
        <f>E2399+500</f>
        <v>33000</v>
      </c>
      <c r="J2403" s="16">
        <v>1</v>
      </c>
      <c r="L2403" s="16" t="b">
        <v>1</v>
      </c>
    </row>
    <row r="2404" spans="1:12" x14ac:dyDescent="0.25">
      <c r="C2404" s="16">
        <f t="shared" si="42"/>
        <v>104</v>
      </c>
      <c r="D2404" s="16" t="str">
        <f>VLOOKUP(C2404,[1]道具配置表!$A:$D,4,FALSE)</f>
        <v>1黄金</v>
      </c>
      <c r="E2404" s="16">
        <f>E2400+500</f>
        <v>33000</v>
      </c>
      <c r="J2404" s="16">
        <v>1</v>
      </c>
      <c r="L2404" s="16" t="b">
        <v>1</v>
      </c>
    </row>
    <row r="2405" spans="1:12" x14ac:dyDescent="0.25">
      <c r="A2405" s="16">
        <v>1921766</v>
      </c>
      <c r="B2405" s="16" t="s">
        <v>938</v>
      </c>
      <c r="C2405" s="16">
        <f t="shared" si="42"/>
        <v>102</v>
      </c>
      <c r="D2405" s="16" t="str">
        <f>VLOOKUP(C2405,[1]道具配置表!$A:$D,4,FALSE)</f>
        <v>1食物</v>
      </c>
      <c r="E2405" s="16">
        <f>E2401+300</f>
        <v>20500</v>
      </c>
      <c r="J2405" s="16">
        <v>1</v>
      </c>
      <c r="L2405" s="16" t="b">
        <v>1</v>
      </c>
    </row>
    <row r="2406" spans="1:12" x14ac:dyDescent="0.25">
      <c r="C2406" s="16">
        <f t="shared" si="42"/>
        <v>101</v>
      </c>
      <c r="D2406" s="16" t="str">
        <f>VLOOKUP(C2406,[1]道具配置表!$A:$D,4,FALSE)</f>
        <v>1木材</v>
      </c>
      <c r="E2406" s="16">
        <f>E2402+500</f>
        <v>33500</v>
      </c>
      <c r="J2406" s="16">
        <v>1</v>
      </c>
      <c r="L2406" s="16" t="b">
        <v>1</v>
      </c>
    </row>
    <row r="2407" spans="1:12" x14ac:dyDescent="0.25">
      <c r="C2407" s="16">
        <f t="shared" si="42"/>
        <v>103</v>
      </c>
      <c r="D2407" s="16" t="str">
        <f>VLOOKUP(C2407,[1]道具配置表!$A:$D,4,FALSE)</f>
        <v>1石头</v>
      </c>
      <c r="E2407" s="16">
        <f>E2403+500</f>
        <v>33500</v>
      </c>
      <c r="J2407" s="16">
        <v>1</v>
      </c>
      <c r="L2407" s="16" t="b">
        <v>1</v>
      </c>
    </row>
    <row r="2408" spans="1:12" x14ac:dyDescent="0.25">
      <c r="C2408" s="16">
        <f t="shared" si="42"/>
        <v>104</v>
      </c>
      <c r="D2408" s="16" t="str">
        <f>VLOOKUP(C2408,[1]道具配置表!$A:$D,4,FALSE)</f>
        <v>1黄金</v>
      </c>
      <c r="E2408" s="16">
        <f>E2404+500</f>
        <v>33500</v>
      </c>
      <c r="J2408" s="16">
        <v>1</v>
      </c>
      <c r="L2408" s="16" t="b">
        <v>1</v>
      </c>
    </row>
    <row r="2409" spans="1:12" x14ac:dyDescent="0.25">
      <c r="A2409" s="16">
        <v>1921767</v>
      </c>
      <c r="B2409" s="16" t="s">
        <v>939</v>
      </c>
      <c r="C2409" s="16">
        <f t="shared" si="42"/>
        <v>102</v>
      </c>
      <c r="D2409" s="16" t="str">
        <f>VLOOKUP(C2409,[1]道具配置表!$A:$D,4,FALSE)</f>
        <v>1食物</v>
      </c>
      <c r="E2409" s="16">
        <f>E2405+300</f>
        <v>20800</v>
      </c>
      <c r="J2409" s="16">
        <v>1</v>
      </c>
      <c r="L2409" s="16" t="b">
        <v>1</v>
      </c>
    </row>
    <row r="2410" spans="1:12" x14ac:dyDescent="0.25">
      <c r="C2410" s="16">
        <f t="shared" si="42"/>
        <v>101</v>
      </c>
      <c r="D2410" s="16" t="str">
        <f>VLOOKUP(C2410,[1]道具配置表!$A:$D,4,FALSE)</f>
        <v>1木材</v>
      </c>
      <c r="E2410" s="16">
        <f>E2406+500</f>
        <v>34000</v>
      </c>
      <c r="J2410" s="16">
        <v>1</v>
      </c>
      <c r="L2410" s="16" t="b">
        <v>1</v>
      </c>
    </row>
    <row r="2411" spans="1:12" x14ac:dyDescent="0.25">
      <c r="C2411" s="16">
        <f t="shared" si="42"/>
        <v>103</v>
      </c>
      <c r="D2411" s="16" t="str">
        <f>VLOOKUP(C2411,[1]道具配置表!$A:$D,4,FALSE)</f>
        <v>1石头</v>
      </c>
      <c r="E2411" s="16">
        <f>E2407+500</f>
        <v>34000</v>
      </c>
      <c r="J2411" s="16">
        <v>1</v>
      </c>
      <c r="L2411" s="16" t="b">
        <v>1</v>
      </c>
    </row>
    <row r="2412" spans="1:12" x14ac:dyDescent="0.25">
      <c r="C2412" s="16">
        <f t="shared" si="42"/>
        <v>104</v>
      </c>
      <c r="D2412" s="16" t="str">
        <f>VLOOKUP(C2412,[1]道具配置表!$A:$D,4,FALSE)</f>
        <v>1黄金</v>
      </c>
      <c r="E2412" s="16">
        <f>E2408+500</f>
        <v>34000</v>
      </c>
      <c r="J2412" s="16">
        <v>1</v>
      </c>
      <c r="L2412" s="16" t="b">
        <v>1</v>
      </c>
    </row>
    <row r="2413" spans="1:12" x14ac:dyDescent="0.25">
      <c r="A2413" s="16">
        <v>1921768</v>
      </c>
      <c r="B2413" s="16" t="s">
        <v>940</v>
      </c>
      <c r="C2413" s="16">
        <f t="shared" si="42"/>
        <v>102</v>
      </c>
      <c r="D2413" s="16" t="str">
        <f>VLOOKUP(C2413,[1]道具配置表!$A:$D,4,FALSE)</f>
        <v>1食物</v>
      </c>
      <c r="E2413" s="16">
        <f>E2409+300</f>
        <v>21100</v>
      </c>
      <c r="J2413" s="16">
        <v>1</v>
      </c>
      <c r="L2413" s="16" t="b">
        <v>1</v>
      </c>
    </row>
    <row r="2414" spans="1:12" x14ac:dyDescent="0.25">
      <c r="C2414" s="16">
        <f t="shared" si="42"/>
        <v>101</v>
      </c>
      <c r="D2414" s="16" t="str">
        <f>VLOOKUP(C2414,[1]道具配置表!$A:$D,4,FALSE)</f>
        <v>1木材</v>
      </c>
      <c r="E2414" s="16">
        <f>E2410+500</f>
        <v>34500</v>
      </c>
      <c r="J2414" s="16">
        <v>1</v>
      </c>
      <c r="L2414" s="16" t="b">
        <v>1</v>
      </c>
    </row>
    <row r="2415" spans="1:12" x14ac:dyDescent="0.25">
      <c r="C2415" s="16">
        <f t="shared" si="42"/>
        <v>103</v>
      </c>
      <c r="D2415" s="16" t="str">
        <f>VLOOKUP(C2415,[1]道具配置表!$A:$D,4,FALSE)</f>
        <v>1石头</v>
      </c>
      <c r="E2415" s="16">
        <f>E2411+500</f>
        <v>34500</v>
      </c>
      <c r="J2415" s="16">
        <v>1</v>
      </c>
      <c r="L2415" s="16" t="b">
        <v>1</v>
      </c>
    </row>
    <row r="2416" spans="1:12" x14ac:dyDescent="0.25">
      <c r="C2416" s="16">
        <f t="shared" si="42"/>
        <v>104</v>
      </c>
      <c r="D2416" s="16" t="str">
        <f>VLOOKUP(C2416,[1]道具配置表!$A:$D,4,FALSE)</f>
        <v>1黄金</v>
      </c>
      <c r="E2416" s="16">
        <f>E2412+500</f>
        <v>34500</v>
      </c>
      <c r="J2416" s="16">
        <v>1</v>
      </c>
      <c r="L2416" s="16" t="b">
        <v>1</v>
      </c>
    </row>
    <row r="2417" spans="1:12" x14ac:dyDescent="0.25">
      <c r="A2417" s="16">
        <v>1921769</v>
      </c>
      <c r="B2417" s="16" t="s">
        <v>941</v>
      </c>
      <c r="C2417" s="16">
        <f t="shared" ref="C2417:C2432" si="43">C2413</f>
        <v>102</v>
      </c>
      <c r="D2417" s="16" t="str">
        <f>VLOOKUP(C2417,[1]道具配置表!$A:$D,4,FALSE)</f>
        <v>1食物</v>
      </c>
      <c r="E2417" s="16">
        <f>E2413+300</f>
        <v>21400</v>
      </c>
      <c r="J2417" s="16">
        <v>1</v>
      </c>
      <c r="L2417" s="16" t="b">
        <v>1</v>
      </c>
    </row>
    <row r="2418" spans="1:12" x14ac:dyDescent="0.25">
      <c r="C2418" s="16">
        <f t="shared" si="43"/>
        <v>101</v>
      </c>
      <c r="D2418" s="16" t="str">
        <f>VLOOKUP(C2418,[1]道具配置表!$A:$D,4,FALSE)</f>
        <v>1木材</v>
      </c>
      <c r="E2418" s="16">
        <f>E2414+500</f>
        <v>35000</v>
      </c>
      <c r="J2418" s="16">
        <v>1</v>
      </c>
      <c r="L2418" s="16" t="b">
        <v>1</v>
      </c>
    </row>
    <row r="2419" spans="1:12" x14ac:dyDescent="0.25">
      <c r="C2419" s="16">
        <f t="shared" si="43"/>
        <v>103</v>
      </c>
      <c r="D2419" s="16" t="str">
        <f>VLOOKUP(C2419,[1]道具配置表!$A:$D,4,FALSE)</f>
        <v>1石头</v>
      </c>
      <c r="E2419" s="16">
        <f>E2415+500</f>
        <v>35000</v>
      </c>
      <c r="J2419" s="16">
        <v>1</v>
      </c>
      <c r="L2419" s="16" t="b">
        <v>1</v>
      </c>
    </row>
    <row r="2420" spans="1:12" x14ac:dyDescent="0.25">
      <c r="C2420" s="16">
        <f t="shared" si="43"/>
        <v>104</v>
      </c>
      <c r="D2420" s="16" t="str">
        <f>VLOOKUP(C2420,[1]道具配置表!$A:$D,4,FALSE)</f>
        <v>1黄金</v>
      </c>
      <c r="E2420" s="16">
        <f>E2416+500</f>
        <v>35000</v>
      </c>
      <c r="J2420" s="16">
        <v>1</v>
      </c>
      <c r="L2420" s="16" t="b">
        <v>1</v>
      </c>
    </row>
    <row r="2421" spans="1:12" x14ac:dyDescent="0.25">
      <c r="A2421" s="16">
        <v>1921770</v>
      </c>
      <c r="B2421" s="16" t="s">
        <v>942</v>
      </c>
      <c r="C2421" s="16">
        <f t="shared" si="43"/>
        <v>102</v>
      </c>
      <c r="D2421" s="16" t="str">
        <f>VLOOKUP(C2421,[1]道具配置表!$A:$D,4,FALSE)</f>
        <v>1食物</v>
      </c>
      <c r="E2421" s="16">
        <f>E2417+300</f>
        <v>21700</v>
      </c>
      <c r="J2421" s="16">
        <v>1</v>
      </c>
      <c r="L2421" s="16" t="b">
        <v>1</v>
      </c>
    </row>
    <row r="2422" spans="1:12" x14ac:dyDescent="0.25">
      <c r="C2422" s="16">
        <f t="shared" si="43"/>
        <v>101</v>
      </c>
      <c r="D2422" s="16" t="str">
        <f>VLOOKUP(C2422,[1]道具配置表!$A:$D,4,FALSE)</f>
        <v>1木材</v>
      </c>
      <c r="E2422" s="16">
        <f>E2418+500</f>
        <v>35500</v>
      </c>
      <c r="J2422" s="16">
        <v>1</v>
      </c>
      <c r="L2422" s="16" t="b">
        <v>1</v>
      </c>
    </row>
    <row r="2423" spans="1:12" x14ac:dyDescent="0.25">
      <c r="C2423" s="16">
        <f t="shared" si="43"/>
        <v>103</v>
      </c>
      <c r="D2423" s="16" t="str">
        <f>VLOOKUP(C2423,[1]道具配置表!$A:$D,4,FALSE)</f>
        <v>1石头</v>
      </c>
      <c r="E2423" s="16">
        <f>E2419+500</f>
        <v>35500</v>
      </c>
      <c r="J2423" s="16">
        <v>1</v>
      </c>
      <c r="L2423" s="16" t="b">
        <v>1</v>
      </c>
    </row>
    <row r="2424" spans="1:12" x14ac:dyDescent="0.25">
      <c r="C2424" s="16">
        <f t="shared" si="43"/>
        <v>104</v>
      </c>
      <c r="D2424" s="16" t="str">
        <f>VLOOKUP(C2424,[1]道具配置表!$A:$D,4,FALSE)</f>
        <v>1黄金</v>
      </c>
      <c r="E2424" s="16">
        <f>E2420+500</f>
        <v>35500</v>
      </c>
      <c r="J2424" s="16">
        <v>1</v>
      </c>
      <c r="L2424" s="16" t="b">
        <v>1</v>
      </c>
    </row>
    <row r="2425" spans="1:12" x14ac:dyDescent="0.25">
      <c r="A2425" s="16">
        <v>1921771</v>
      </c>
      <c r="B2425" s="16" t="s">
        <v>943</v>
      </c>
      <c r="C2425" s="16">
        <f t="shared" si="43"/>
        <v>102</v>
      </c>
      <c r="D2425" s="16" t="str">
        <f>VLOOKUP(C2425,[1]道具配置表!$A:$D,4,FALSE)</f>
        <v>1食物</v>
      </c>
      <c r="E2425" s="16">
        <f>E2421+300</f>
        <v>22000</v>
      </c>
      <c r="J2425" s="16">
        <v>1</v>
      </c>
      <c r="L2425" s="16" t="b">
        <v>1</v>
      </c>
    </row>
    <row r="2426" spans="1:12" x14ac:dyDescent="0.25">
      <c r="C2426" s="16">
        <f t="shared" si="43"/>
        <v>101</v>
      </c>
      <c r="D2426" s="16" t="str">
        <f>VLOOKUP(C2426,[1]道具配置表!$A:$D,4,FALSE)</f>
        <v>1木材</v>
      </c>
      <c r="E2426" s="16">
        <f>E2422+500</f>
        <v>36000</v>
      </c>
      <c r="J2426" s="16">
        <v>1</v>
      </c>
      <c r="L2426" s="16" t="b">
        <v>1</v>
      </c>
    </row>
    <row r="2427" spans="1:12" x14ac:dyDescent="0.25">
      <c r="C2427" s="16">
        <f t="shared" si="43"/>
        <v>103</v>
      </c>
      <c r="D2427" s="16" t="str">
        <f>VLOOKUP(C2427,[1]道具配置表!$A:$D,4,FALSE)</f>
        <v>1石头</v>
      </c>
      <c r="E2427" s="16">
        <f>E2423+500</f>
        <v>36000</v>
      </c>
      <c r="J2427" s="16">
        <v>1</v>
      </c>
      <c r="L2427" s="16" t="b">
        <v>1</v>
      </c>
    </row>
    <row r="2428" spans="1:12" x14ac:dyDescent="0.25">
      <c r="C2428" s="16">
        <f t="shared" si="43"/>
        <v>104</v>
      </c>
      <c r="D2428" s="16" t="str">
        <f>VLOOKUP(C2428,[1]道具配置表!$A:$D,4,FALSE)</f>
        <v>1黄金</v>
      </c>
      <c r="E2428" s="16">
        <f>E2424+500</f>
        <v>36000</v>
      </c>
      <c r="J2428" s="16">
        <v>1</v>
      </c>
      <c r="L2428" s="16" t="b">
        <v>1</v>
      </c>
    </row>
    <row r="2429" spans="1:12" x14ac:dyDescent="0.25">
      <c r="A2429" s="16">
        <v>1921772</v>
      </c>
      <c r="B2429" s="16" t="s">
        <v>944</v>
      </c>
      <c r="C2429" s="16">
        <f t="shared" si="43"/>
        <v>102</v>
      </c>
      <c r="D2429" s="16" t="str">
        <f>VLOOKUP(C2429,[1]道具配置表!$A:$D,4,FALSE)</f>
        <v>1食物</v>
      </c>
      <c r="E2429" s="16">
        <f>E2425+300</f>
        <v>22300</v>
      </c>
      <c r="J2429" s="16">
        <v>1</v>
      </c>
      <c r="L2429" s="16" t="b">
        <v>1</v>
      </c>
    </row>
    <row r="2430" spans="1:12" x14ac:dyDescent="0.25">
      <c r="C2430" s="16">
        <f t="shared" si="43"/>
        <v>101</v>
      </c>
      <c r="D2430" s="16" t="str">
        <f>VLOOKUP(C2430,[1]道具配置表!$A:$D,4,FALSE)</f>
        <v>1木材</v>
      </c>
      <c r="E2430" s="16">
        <f>E2426+500</f>
        <v>36500</v>
      </c>
      <c r="J2430" s="16">
        <v>1</v>
      </c>
      <c r="L2430" s="16" t="b">
        <v>1</v>
      </c>
    </row>
    <row r="2431" spans="1:12" x14ac:dyDescent="0.25">
      <c r="C2431" s="16">
        <f t="shared" si="43"/>
        <v>103</v>
      </c>
      <c r="D2431" s="16" t="str">
        <f>VLOOKUP(C2431,[1]道具配置表!$A:$D,4,FALSE)</f>
        <v>1石头</v>
      </c>
      <c r="E2431" s="16">
        <f>E2427+500</f>
        <v>36500</v>
      </c>
      <c r="J2431" s="16">
        <v>1</v>
      </c>
      <c r="L2431" s="16" t="b">
        <v>1</v>
      </c>
    </row>
    <row r="2432" spans="1:12" x14ac:dyDescent="0.25">
      <c r="C2432" s="16">
        <f t="shared" si="43"/>
        <v>104</v>
      </c>
      <c r="D2432" s="16" t="str">
        <f>VLOOKUP(C2432,[1]道具配置表!$A:$D,4,FALSE)</f>
        <v>1黄金</v>
      </c>
      <c r="E2432" s="16">
        <f>E2428+500</f>
        <v>36500</v>
      </c>
      <c r="J2432" s="16">
        <v>1</v>
      </c>
      <c r="L2432" s="16" t="b">
        <v>1</v>
      </c>
    </row>
    <row r="2433" spans="1:12" x14ac:dyDescent="0.25">
      <c r="A2433" s="16">
        <v>1922001</v>
      </c>
      <c r="B2433" s="16" t="s">
        <v>945</v>
      </c>
      <c r="C2433" s="16">
        <v>7003</v>
      </c>
      <c r="D2433" s="16" t="str">
        <f>VLOOKUP(C2433,[1]道具配置表!$A:$D,4,FALSE)</f>
        <v>1银币（立即使用，不进背包）</v>
      </c>
      <c r="E2433" s="16">
        <v>10</v>
      </c>
      <c r="J2433" s="16">
        <v>1</v>
      </c>
      <c r="L2433" s="16" t="b">
        <v>1</v>
      </c>
    </row>
    <row r="2434" spans="1:12" x14ac:dyDescent="0.25">
      <c r="C2434" s="16">
        <v>102</v>
      </c>
      <c r="D2434" s="16" t="str">
        <f>VLOOKUP(C2434,[1]道具配置表!$A:$D,4,FALSE)</f>
        <v>1食物</v>
      </c>
      <c r="E2434" s="16">
        <v>6000</v>
      </c>
      <c r="J2434" s="16">
        <v>1</v>
      </c>
      <c r="L2434" s="16" t="b">
        <v>1</v>
      </c>
    </row>
    <row r="2435" spans="1:12" x14ac:dyDescent="0.25">
      <c r="C2435" s="16">
        <v>101</v>
      </c>
      <c r="D2435" s="16" t="str">
        <f>VLOOKUP(C2435,[1]道具配置表!$A:$D,4,FALSE)</f>
        <v>1木材</v>
      </c>
      <c r="E2435" s="16">
        <v>2000</v>
      </c>
      <c r="J2435" s="16">
        <v>1</v>
      </c>
      <c r="L2435" s="16" t="b">
        <v>1</v>
      </c>
    </row>
    <row r="2436" spans="1:12" x14ac:dyDescent="0.25">
      <c r="C2436" s="16">
        <v>103</v>
      </c>
      <c r="D2436" s="16" t="str">
        <f>VLOOKUP(C2436,[1]道具配置表!$A:$D,4,FALSE)</f>
        <v>1石头</v>
      </c>
      <c r="E2436" s="16">
        <v>2000</v>
      </c>
      <c r="J2436" s="16">
        <v>1</v>
      </c>
      <c r="L2436" s="16" t="b">
        <v>1</v>
      </c>
    </row>
    <row r="2437" spans="1:12" x14ac:dyDescent="0.25">
      <c r="A2437" s="16">
        <f>A2433+1</f>
        <v>1922002</v>
      </c>
      <c r="B2437" s="16" t="s">
        <v>946</v>
      </c>
      <c r="C2437" s="16">
        <v>7003</v>
      </c>
      <c r="D2437" s="16" t="str">
        <f>VLOOKUP(C2437,[1]道具配置表!$A:$D,4,FALSE)</f>
        <v>1银币（立即使用，不进背包）</v>
      </c>
      <c r="E2437" s="16">
        <f>E2433</f>
        <v>10</v>
      </c>
      <c r="J2437" s="16">
        <v>1</v>
      </c>
      <c r="L2437" s="16" t="b">
        <v>1</v>
      </c>
    </row>
    <row r="2438" spans="1:12" x14ac:dyDescent="0.25">
      <c r="C2438" s="16">
        <v>102</v>
      </c>
      <c r="D2438" s="16" t="str">
        <f>VLOOKUP(C2438,[1]道具配置表!$A:$D,4,FALSE)</f>
        <v>1食物</v>
      </c>
      <c r="E2438" s="16">
        <v>9000</v>
      </c>
      <c r="J2438" s="16">
        <v>1</v>
      </c>
      <c r="L2438" s="16" t="b">
        <v>1</v>
      </c>
    </row>
    <row r="2439" spans="1:12" x14ac:dyDescent="0.25">
      <c r="C2439" s="16">
        <v>101</v>
      </c>
      <c r="D2439" s="16" t="str">
        <f>VLOOKUP(C2439,[1]道具配置表!$A:$D,4,FALSE)</f>
        <v>1木材</v>
      </c>
      <c r="E2439" s="16">
        <f>E2435+1000</f>
        <v>3000</v>
      </c>
      <c r="J2439" s="16">
        <v>1</v>
      </c>
      <c r="L2439" s="16" t="b">
        <v>1</v>
      </c>
    </row>
    <row r="2440" spans="1:12" x14ac:dyDescent="0.25">
      <c r="C2440" s="16">
        <v>103</v>
      </c>
      <c r="D2440" s="16" t="str">
        <f>VLOOKUP(C2440,[1]道具配置表!$A:$D,4,FALSE)</f>
        <v>1石头</v>
      </c>
      <c r="E2440" s="16">
        <f>E2436+1000</f>
        <v>3000</v>
      </c>
      <c r="J2440" s="16">
        <v>1</v>
      </c>
      <c r="L2440" s="16" t="b">
        <v>1</v>
      </c>
    </row>
    <row r="2441" spans="1:12" x14ac:dyDescent="0.25">
      <c r="A2441" s="16">
        <f>A2437+1</f>
        <v>1922003</v>
      </c>
      <c r="B2441" s="16" t="s">
        <v>947</v>
      </c>
      <c r="C2441" s="16">
        <v>7003</v>
      </c>
      <c r="D2441" s="16" t="str">
        <f>VLOOKUP(C2441,[1]道具配置表!$A:$D,4,FALSE)</f>
        <v>1银币（立即使用，不进背包）</v>
      </c>
      <c r="E2441" s="16">
        <f>E2437</f>
        <v>10</v>
      </c>
      <c r="J2441" s="16">
        <v>1</v>
      </c>
      <c r="L2441" s="16" t="b">
        <v>1</v>
      </c>
    </row>
    <row r="2442" spans="1:12" x14ac:dyDescent="0.25">
      <c r="C2442" s="16">
        <v>102</v>
      </c>
      <c r="D2442" s="16" t="str">
        <f>VLOOKUP(C2442,[1]道具配置表!$A:$D,4,FALSE)</f>
        <v>1食物</v>
      </c>
      <c r="E2442" s="16">
        <v>12000</v>
      </c>
      <c r="J2442" s="16">
        <v>1</v>
      </c>
      <c r="L2442" s="16" t="b">
        <v>1</v>
      </c>
    </row>
    <row r="2443" spans="1:12" x14ac:dyDescent="0.25">
      <c r="C2443" s="16">
        <v>101</v>
      </c>
      <c r="D2443" s="16" t="str">
        <f>VLOOKUP(C2443,[1]道具配置表!$A:$D,4,FALSE)</f>
        <v>1木材</v>
      </c>
      <c r="E2443" s="16">
        <f>E2439+1000</f>
        <v>4000</v>
      </c>
      <c r="J2443" s="16">
        <v>1</v>
      </c>
      <c r="L2443" s="16" t="b">
        <v>1</v>
      </c>
    </row>
    <row r="2444" spans="1:12" x14ac:dyDescent="0.25">
      <c r="C2444" s="16">
        <v>103</v>
      </c>
      <c r="D2444" s="16" t="str">
        <f>VLOOKUP(C2444,[1]道具配置表!$A:$D,4,FALSE)</f>
        <v>1石头</v>
      </c>
      <c r="E2444" s="16">
        <f>E2440+1000</f>
        <v>4000</v>
      </c>
      <c r="J2444" s="16">
        <v>1</v>
      </c>
      <c r="L2444" s="16" t="b">
        <v>1</v>
      </c>
    </row>
    <row r="2445" spans="1:12" x14ac:dyDescent="0.25">
      <c r="A2445" s="16">
        <f>A2441+1</f>
        <v>1922004</v>
      </c>
      <c r="B2445" s="16" t="s">
        <v>948</v>
      </c>
      <c r="C2445" s="16">
        <v>7003</v>
      </c>
      <c r="D2445" s="16" t="str">
        <f>VLOOKUP(C2445,[1]道具配置表!$A:$D,4,FALSE)</f>
        <v>1银币（立即使用，不进背包）</v>
      </c>
      <c r="E2445" s="16">
        <f>E2441</f>
        <v>10</v>
      </c>
      <c r="J2445" s="16">
        <v>1</v>
      </c>
      <c r="L2445" s="16" t="b">
        <v>1</v>
      </c>
    </row>
    <row r="2446" spans="1:12" x14ac:dyDescent="0.25">
      <c r="C2446" s="16">
        <v>102</v>
      </c>
      <c r="D2446" s="16" t="str">
        <f>VLOOKUP(C2446,[1]道具配置表!$A:$D,4,FALSE)</f>
        <v>1食物</v>
      </c>
      <c r="E2446" s="23">
        <v>15000</v>
      </c>
      <c r="J2446" s="16">
        <v>1</v>
      </c>
      <c r="L2446" s="16" t="b">
        <v>1</v>
      </c>
    </row>
    <row r="2447" spans="1:12" x14ac:dyDescent="0.25">
      <c r="C2447" s="16">
        <v>101</v>
      </c>
      <c r="D2447" s="16" t="str">
        <f>VLOOKUP(C2447,[1]道具配置表!$A:$D,4,FALSE)</f>
        <v>1木材</v>
      </c>
      <c r="E2447" s="16">
        <f>E2443+1000</f>
        <v>5000</v>
      </c>
      <c r="J2447" s="16">
        <v>1</v>
      </c>
      <c r="L2447" s="16" t="b">
        <v>1</v>
      </c>
    </row>
    <row r="2448" spans="1:12" x14ac:dyDescent="0.25">
      <c r="C2448" s="16">
        <v>103</v>
      </c>
      <c r="D2448" s="16" t="str">
        <f>VLOOKUP(C2448,[1]道具配置表!$A:$D,4,FALSE)</f>
        <v>1石头</v>
      </c>
      <c r="E2448" s="16">
        <f>E2444+1000</f>
        <v>5000</v>
      </c>
      <c r="J2448" s="16">
        <v>1</v>
      </c>
      <c r="L2448" s="16" t="b">
        <v>1</v>
      </c>
    </row>
    <row r="2449" spans="1:12" x14ac:dyDescent="0.25">
      <c r="A2449" s="16">
        <f>A2445+1</f>
        <v>1922005</v>
      </c>
      <c r="B2449" s="16" t="s">
        <v>949</v>
      </c>
      <c r="C2449" s="16">
        <v>7003</v>
      </c>
      <c r="D2449" s="16" t="str">
        <f>VLOOKUP(C2449,[1]道具配置表!$A:$D,4,FALSE)</f>
        <v>1银币（立即使用，不进背包）</v>
      </c>
      <c r="E2449" s="16">
        <f>E2445</f>
        <v>10</v>
      </c>
      <c r="J2449" s="16">
        <v>1</v>
      </c>
      <c r="L2449" s="16" t="b">
        <v>1</v>
      </c>
    </row>
    <row r="2450" spans="1:12" x14ac:dyDescent="0.25">
      <c r="C2450" s="16">
        <v>102</v>
      </c>
      <c r="D2450" s="16" t="str">
        <f>VLOOKUP(C2450,[1]道具配置表!$A:$D,4,FALSE)</f>
        <v>1食物</v>
      </c>
      <c r="E2450" s="23">
        <v>18000</v>
      </c>
      <c r="J2450" s="16">
        <v>1</v>
      </c>
      <c r="L2450" s="16" t="b">
        <v>1</v>
      </c>
    </row>
    <row r="2451" spans="1:12" x14ac:dyDescent="0.25">
      <c r="C2451" s="16">
        <v>101</v>
      </c>
      <c r="D2451" s="16" t="str">
        <f>VLOOKUP(C2451,[1]道具配置表!$A:$D,4,FALSE)</f>
        <v>1木材</v>
      </c>
      <c r="E2451" s="16">
        <f>E2447+1000</f>
        <v>6000</v>
      </c>
      <c r="J2451" s="16">
        <v>1</v>
      </c>
      <c r="L2451" s="16" t="b">
        <v>1</v>
      </c>
    </row>
    <row r="2452" spans="1:12" x14ac:dyDescent="0.25">
      <c r="C2452" s="16">
        <v>103</v>
      </c>
      <c r="D2452" s="16" t="str">
        <f>VLOOKUP(C2452,[1]道具配置表!$A:$D,4,FALSE)</f>
        <v>1石头</v>
      </c>
      <c r="E2452" s="16">
        <f>E2448+1000</f>
        <v>6000</v>
      </c>
      <c r="J2452" s="16">
        <v>1</v>
      </c>
      <c r="L2452" s="16" t="b">
        <v>1</v>
      </c>
    </row>
    <row r="2453" spans="1:12" x14ac:dyDescent="0.25">
      <c r="A2453" s="16">
        <f>A2449+1</f>
        <v>1922006</v>
      </c>
      <c r="B2453" s="16" t="s">
        <v>950</v>
      </c>
      <c r="C2453" s="16">
        <v>7003</v>
      </c>
      <c r="D2453" s="16" t="str">
        <f>VLOOKUP(C2453,[1]道具配置表!$A:$D,4,FALSE)</f>
        <v>1银币（立即使用，不进背包）</v>
      </c>
      <c r="E2453" s="16">
        <f>E2449</f>
        <v>10</v>
      </c>
      <c r="J2453" s="16">
        <v>1</v>
      </c>
      <c r="L2453" s="16" t="b">
        <v>1</v>
      </c>
    </row>
    <row r="2454" spans="1:12" x14ac:dyDescent="0.25">
      <c r="C2454" s="16">
        <v>102</v>
      </c>
      <c r="D2454" s="16" t="str">
        <f>VLOOKUP(C2454,[1]道具配置表!$A:$D,4,FALSE)</f>
        <v>1食物</v>
      </c>
      <c r="E2454" s="23">
        <v>24000</v>
      </c>
      <c r="J2454" s="16">
        <v>1</v>
      </c>
      <c r="L2454" s="16" t="b">
        <v>1</v>
      </c>
    </row>
    <row r="2455" spans="1:12" x14ac:dyDescent="0.25">
      <c r="C2455" s="16">
        <v>101</v>
      </c>
      <c r="D2455" s="16" t="str">
        <f>VLOOKUP(C2455,[1]道具配置表!$A:$D,4,FALSE)</f>
        <v>1木材</v>
      </c>
      <c r="E2455" s="16">
        <v>8000</v>
      </c>
      <c r="J2455" s="16">
        <v>1</v>
      </c>
      <c r="L2455" s="16" t="b">
        <v>1</v>
      </c>
    </row>
    <row r="2456" spans="1:12" x14ac:dyDescent="0.25">
      <c r="C2456" s="16">
        <v>103</v>
      </c>
      <c r="D2456" s="16" t="str">
        <f>VLOOKUP(C2456,[1]道具配置表!$A:$D,4,FALSE)</f>
        <v>1石头</v>
      </c>
      <c r="E2456" s="16">
        <v>8000</v>
      </c>
      <c r="J2456" s="16">
        <v>1</v>
      </c>
      <c r="L2456" s="16" t="b">
        <v>1</v>
      </c>
    </row>
    <row r="2457" spans="1:12" x14ac:dyDescent="0.25">
      <c r="A2457" s="16">
        <f>A2453+1</f>
        <v>1922007</v>
      </c>
      <c r="B2457" s="16" t="s">
        <v>951</v>
      </c>
      <c r="C2457" s="16">
        <v>7003</v>
      </c>
      <c r="D2457" s="16" t="str">
        <f>VLOOKUP(C2457,[1]道具配置表!$A:$D,4,FALSE)</f>
        <v>1银币（立即使用，不进背包）</v>
      </c>
      <c r="E2457" s="16">
        <f>E2453</f>
        <v>10</v>
      </c>
      <c r="J2457" s="16">
        <v>1</v>
      </c>
      <c r="L2457" s="16" t="b">
        <v>1</v>
      </c>
    </row>
    <row r="2458" spans="1:12" x14ac:dyDescent="0.25">
      <c r="C2458" s="16">
        <v>102</v>
      </c>
      <c r="D2458" s="16" t="str">
        <f>VLOOKUP(C2458,[1]道具配置表!$A:$D,4,FALSE)</f>
        <v>1食物</v>
      </c>
      <c r="E2458" s="23">
        <v>30000</v>
      </c>
      <c r="J2458" s="16">
        <v>1</v>
      </c>
      <c r="L2458" s="16" t="b">
        <v>1</v>
      </c>
    </row>
    <row r="2459" spans="1:12" x14ac:dyDescent="0.25">
      <c r="C2459" s="16">
        <v>101</v>
      </c>
      <c r="D2459" s="16" t="str">
        <f>VLOOKUP(C2459,[1]道具配置表!$A:$D,4,FALSE)</f>
        <v>1木材</v>
      </c>
      <c r="E2459" s="16">
        <v>10000</v>
      </c>
      <c r="J2459" s="16">
        <v>1</v>
      </c>
      <c r="L2459" s="16" t="b">
        <v>1</v>
      </c>
    </row>
    <row r="2460" spans="1:12" x14ac:dyDescent="0.25">
      <c r="C2460" s="16">
        <v>103</v>
      </c>
      <c r="D2460" s="16" t="str">
        <f>VLOOKUP(C2460,[1]道具配置表!$A:$D,4,FALSE)</f>
        <v>1石头</v>
      </c>
      <c r="E2460" s="16">
        <v>10000</v>
      </c>
      <c r="J2460" s="16">
        <v>1</v>
      </c>
      <c r="L2460" s="16" t="b">
        <v>1</v>
      </c>
    </row>
    <row r="2461" spans="1:12" x14ac:dyDescent="0.25">
      <c r="C2461" s="16">
        <v>104</v>
      </c>
      <c r="D2461" s="16" t="str">
        <f>VLOOKUP(C2461,[1]道具配置表!$A:$D,4,FALSE)</f>
        <v>1黄金</v>
      </c>
      <c r="E2461" s="16">
        <v>10000</v>
      </c>
      <c r="J2461" s="16">
        <v>1</v>
      </c>
      <c r="L2461" s="16" t="b">
        <v>1</v>
      </c>
    </row>
    <row r="2462" spans="1:12" x14ac:dyDescent="0.25">
      <c r="A2462" s="16">
        <f>A2457+1</f>
        <v>1922008</v>
      </c>
      <c r="B2462" s="16" t="s">
        <v>952</v>
      </c>
      <c r="C2462" s="16">
        <v>7003</v>
      </c>
      <c r="D2462" s="16" t="str">
        <f>VLOOKUP(C2462,[1]道具配置表!$A:$D,4,FALSE)</f>
        <v>1银币（立即使用，不进背包）</v>
      </c>
      <c r="E2462" s="16">
        <f>E2457</f>
        <v>10</v>
      </c>
      <c r="J2462" s="16">
        <v>1</v>
      </c>
      <c r="L2462" s="16" t="b">
        <v>1</v>
      </c>
    </row>
    <row r="2463" spans="1:12" x14ac:dyDescent="0.25">
      <c r="C2463" s="16">
        <v>102</v>
      </c>
      <c r="D2463" s="16" t="str">
        <f>VLOOKUP(C2463,[1]道具配置表!$A:$D,4,FALSE)</f>
        <v>1食物</v>
      </c>
      <c r="E2463" s="16">
        <f>E2458+15000</f>
        <v>45000</v>
      </c>
      <c r="J2463" s="16">
        <v>1</v>
      </c>
      <c r="L2463" s="16" t="b">
        <v>1</v>
      </c>
    </row>
    <row r="2464" spans="1:12" x14ac:dyDescent="0.25">
      <c r="C2464" s="16">
        <v>101</v>
      </c>
      <c r="D2464" s="16" t="str">
        <f>VLOOKUP(C2464,[1]道具配置表!$A:$D,4,FALSE)</f>
        <v>1木材</v>
      </c>
      <c r="E2464" s="16">
        <f>E2459+5000</f>
        <v>15000</v>
      </c>
      <c r="J2464" s="16">
        <v>1</v>
      </c>
      <c r="L2464" s="16" t="b">
        <v>1</v>
      </c>
    </row>
    <row r="2465" spans="1:12" x14ac:dyDescent="0.25">
      <c r="C2465" s="16">
        <v>103</v>
      </c>
      <c r="D2465" s="16" t="str">
        <f>VLOOKUP(C2465,[1]道具配置表!$A:$D,4,FALSE)</f>
        <v>1石头</v>
      </c>
      <c r="E2465" s="28">
        <f t="shared" ref="E2465:E2466" si="44">E2460+5000</f>
        <v>15000</v>
      </c>
      <c r="J2465" s="16">
        <v>1</v>
      </c>
      <c r="L2465" s="16" t="b">
        <v>1</v>
      </c>
    </row>
    <row r="2466" spans="1:12" x14ac:dyDescent="0.25">
      <c r="C2466" s="16">
        <v>104</v>
      </c>
      <c r="D2466" s="16" t="str">
        <f>VLOOKUP(C2466,[1]道具配置表!$A:$D,4,FALSE)</f>
        <v>1黄金</v>
      </c>
      <c r="E2466" s="28">
        <f t="shared" si="44"/>
        <v>15000</v>
      </c>
      <c r="J2466" s="16">
        <v>1</v>
      </c>
      <c r="L2466" s="16" t="b">
        <v>1</v>
      </c>
    </row>
    <row r="2467" spans="1:12" x14ac:dyDescent="0.25">
      <c r="A2467" s="16">
        <f>A2462+1</f>
        <v>1922009</v>
      </c>
      <c r="B2467" s="16" t="s">
        <v>953</v>
      </c>
      <c r="C2467" s="16">
        <v>7003</v>
      </c>
      <c r="D2467" s="16" t="str">
        <f>VLOOKUP(C2467,[1]道具配置表!$A:$D,4,FALSE)</f>
        <v>1银币（立即使用，不进背包）</v>
      </c>
      <c r="E2467" s="28">
        <f>E2462</f>
        <v>10</v>
      </c>
      <c r="J2467" s="16">
        <v>1</v>
      </c>
      <c r="L2467" s="16" t="b">
        <v>1</v>
      </c>
    </row>
    <row r="2468" spans="1:12" x14ac:dyDescent="0.25">
      <c r="C2468" s="16">
        <v>102</v>
      </c>
      <c r="D2468" s="16" t="str">
        <f>VLOOKUP(C2468,[1]道具配置表!$A:$D,4,FALSE)</f>
        <v>1食物</v>
      </c>
      <c r="E2468" s="28">
        <f>E2463+15000</f>
        <v>60000</v>
      </c>
      <c r="J2468" s="16">
        <v>1</v>
      </c>
      <c r="L2468" s="16" t="b">
        <v>1</v>
      </c>
    </row>
    <row r="2469" spans="1:12" x14ac:dyDescent="0.25">
      <c r="C2469" s="16">
        <v>101</v>
      </c>
      <c r="D2469" s="16" t="str">
        <f>VLOOKUP(C2469,[1]道具配置表!$A:$D,4,FALSE)</f>
        <v>1木材</v>
      </c>
      <c r="E2469" s="28">
        <f>E2464+5000</f>
        <v>20000</v>
      </c>
      <c r="J2469" s="16">
        <v>1</v>
      </c>
      <c r="L2469" s="16" t="b">
        <v>1</v>
      </c>
    </row>
    <row r="2470" spans="1:12" x14ac:dyDescent="0.25">
      <c r="C2470" s="16">
        <v>103</v>
      </c>
      <c r="D2470" s="16" t="str">
        <f>VLOOKUP(C2470,[1]道具配置表!$A:$D,4,FALSE)</f>
        <v>1石头</v>
      </c>
      <c r="E2470" s="28">
        <f t="shared" ref="E2470:E2471" si="45">E2465+5000</f>
        <v>20000</v>
      </c>
      <c r="J2470" s="16">
        <v>1</v>
      </c>
      <c r="L2470" s="16" t="b">
        <v>1</v>
      </c>
    </row>
    <row r="2471" spans="1:12" x14ac:dyDescent="0.25">
      <c r="C2471" s="16">
        <v>104</v>
      </c>
      <c r="D2471" s="16" t="str">
        <f>VLOOKUP(C2471,[1]道具配置表!$A:$D,4,FALSE)</f>
        <v>1黄金</v>
      </c>
      <c r="E2471" s="28">
        <f t="shared" si="45"/>
        <v>20000</v>
      </c>
      <c r="J2471" s="16">
        <v>1</v>
      </c>
      <c r="L2471" s="16" t="b">
        <v>1</v>
      </c>
    </row>
    <row r="2472" spans="1:12" x14ac:dyDescent="0.25">
      <c r="A2472" s="16">
        <f>A2467+1</f>
        <v>1922010</v>
      </c>
      <c r="B2472" s="16" t="s">
        <v>954</v>
      </c>
      <c r="C2472" s="16">
        <v>7003</v>
      </c>
      <c r="D2472" s="16" t="str">
        <f>VLOOKUP(C2472,[1]道具配置表!$A:$D,4,FALSE)</f>
        <v>1银币（立即使用，不进背包）</v>
      </c>
      <c r="E2472" s="28">
        <f>E2467</f>
        <v>10</v>
      </c>
      <c r="J2472" s="16">
        <v>1</v>
      </c>
      <c r="L2472" s="16" t="b">
        <v>1</v>
      </c>
    </row>
    <row r="2473" spans="1:12" x14ac:dyDescent="0.25">
      <c r="C2473" s="16">
        <v>102</v>
      </c>
      <c r="D2473" s="16" t="str">
        <f>VLOOKUP(C2473,[1]道具配置表!$A:$D,4,FALSE)</f>
        <v>1食物</v>
      </c>
      <c r="E2473" s="28">
        <f>E2468+15000</f>
        <v>75000</v>
      </c>
      <c r="J2473" s="16">
        <v>1</v>
      </c>
      <c r="L2473" s="16" t="b">
        <v>1</v>
      </c>
    </row>
    <row r="2474" spans="1:12" x14ac:dyDescent="0.25">
      <c r="C2474" s="16">
        <v>101</v>
      </c>
      <c r="D2474" s="16" t="str">
        <f>VLOOKUP(C2474,[1]道具配置表!$A:$D,4,FALSE)</f>
        <v>1木材</v>
      </c>
      <c r="E2474" s="28">
        <f>E2469+5000</f>
        <v>25000</v>
      </c>
      <c r="J2474" s="16">
        <v>1</v>
      </c>
      <c r="L2474" s="16" t="b">
        <v>1</v>
      </c>
    </row>
    <row r="2475" spans="1:12" x14ac:dyDescent="0.25">
      <c r="C2475" s="16">
        <v>103</v>
      </c>
      <c r="D2475" s="16" t="str">
        <f>VLOOKUP(C2475,[1]道具配置表!$A:$D,4,FALSE)</f>
        <v>1石头</v>
      </c>
      <c r="E2475" s="28">
        <f t="shared" ref="E2475:E2476" si="46">E2470+5000</f>
        <v>25000</v>
      </c>
      <c r="J2475" s="16">
        <v>1</v>
      </c>
      <c r="L2475" s="16" t="b">
        <v>1</v>
      </c>
    </row>
    <row r="2476" spans="1:12" x14ac:dyDescent="0.25">
      <c r="C2476" s="16">
        <v>104</v>
      </c>
      <c r="D2476" s="16" t="str">
        <f>VLOOKUP(C2476,[1]道具配置表!$A:$D,4,FALSE)</f>
        <v>1黄金</v>
      </c>
      <c r="E2476" s="28">
        <f t="shared" si="46"/>
        <v>25000</v>
      </c>
      <c r="J2476" s="16">
        <v>1</v>
      </c>
      <c r="L2476" s="16" t="b">
        <v>1</v>
      </c>
    </row>
    <row r="2477" spans="1:12" x14ac:dyDescent="0.25">
      <c r="A2477" s="16">
        <f>A2472+1</f>
        <v>1922011</v>
      </c>
      <c r="B2477" s="16" t="s">
        <v>955</v>
      </c>
      <c r="C2477" s="16">
        <v>7003</v>
      </c>
      <c r="D2477" s="16" t="str">
        <f>VLOOKUP(C2477,[1]道具配置表!$A:$D,4,FALSE)</f>
        <v>1银币（立即使用，不进背包）</v>
      </c>
      <c r="E2477" s="28">
        <f>E2472</f>
        <v>10</v>
      </c>
      <c r="J2477" s="16">
        <v>1</v>
      </c>
      <c r="L2477" s="16" t="b">
        <v>1</v>
      </c>
    </row>
    <row r="2478" spans="1:12" x14ac:dyDescent="0.25">
      <c r="C2478" s="16">
        <v>102</v>
      </c>
      <c r="D2478" s="16" t="str">
        <f>VLOOKUP(C2478,[1]道具配置表!$A:$D,4,FALSE)</f>
        <v>1食物</v>
      </c>
      <c r="E2478" s="28">
        <f>E2473+15000</f>
        <v>90000</v>
      </c>
      <c r="J2478" s="16">
        <v>1</v>
      </c>
      <c r="L2478" s="16" t="b">
        <v>1</v>
      </c>
    </row>
    <row r="2479" spans="1:12" x14ac:dyDescent="0.25">
      <c r="C2479" s="16">
        <v>101</v>
      </c>
      <c r="D2479" s="16" t="str">
        <f>VLOOKUP(C2479,[1]道具配置表!$A:$D,4,FALSE)</f>
        <v>1木材</v>
      </c>
      <c r="E2479" s="28">
        <f>E2474+5000</f>
        <v>30000</v>
      </c>
      <c r="J2479" s="16">
        <v>1</v>
      </c>
      <c r="L2479" s="16" t="b">
        <v>1</v>
      </c>
    </row>
    <row r="2480" spans="1:12" x14ac:dyDescent="0.25">
      <c r="C2480" s="16">
        <v>103</v>
      </c>
      <c r="D2480" s="16" t="str">
        <f>VLOOKUP(C2480,[1]道具配置表!$A:$D,4,FALSE)</f>
        <v>1石头</v>
      </c>
      <c r="E2480" s="28">
        <f t="shared" ref="E2480:E2481" si="47">E2475+5000</f>
        <v>30000</v>
      </c>
      <c r="J2480" s="16">
        <v>1</v>
      </c>
      <c r="L2480" s="16" t="b">
        <v>1</v>
      </c>
    </row>
    <row r="2481" spans="1:12" x14ac:dyDescent="0.25">
      <c r="C2481" s="16">
        <v>104</v>
      </c>
      <c r="D2481" s="16" t="str">
        <f>VLOOKUP(C2481,[1]道具配置表!$A:$D,4,FALSE)</f>
        <v>1黄金</v>
      </c>
      <c r="E2481" s="28">
        <f t="shared" si="47"/>
        <v>30000</v>
      </c>
      <c r="J2481" s="16">
        <v>1</v>
      </c>
      <c r="L2481" s="16" t="b">
        <v>1</v>
      </c>
    </row>
    <row r="2482" spans="1:12" x14ac:dyDescent="0.25">
      <c r="A2482" s="16">
        <f>A2477+1</f>
        <v>1922012</v>
      </c>
      <c r="B2482" s="16" t="s">
        <v>956</v>
      </c>
      <c r="C2482" s="16">
        <v>7003</v>
      </c>
      <c r="D2482" s="16" t="str">
        <f>VLOOKUP(C2482,[1]道具配置表!$A:$D,4,FALSE)</f>
        <v>1银币（立即使用，不进背包）</v>
      </c>
      <c r="E2482" s="28">
        <f>E2477</f>
        <v>10</v>
      </c>
      <c r="J2482" s="16">
        <v>1</v>
      </c>
      <c r="L2482" s="16" t="b">
        <v>1</v>
      </c>
    </row>
    <row r="2483" spans="1:12" x14ac:dyDescent="0.25">
      <c r="C2483" s="16">
        <v>102</v>
      </c>
      <c r="D2483" s="16" t="str">
        <f>VLOOKUP(C2483,[1]道具配置表!$A:$D,4,FALSE)</f>
        <v>1食物</v>
      </c>
      <c r="E2483" s="28">
        <f>E2478+15000</f>
        <v>105000</v>
      </c>
      <c r="J2483" s="16">
        <v>1</v>
      </c>
      <c r="L2483" s="16" t="b">
        <v>1</v>
      </c>
    </row>
    <row r="2484" spans="1:12" x14ac:dyDescent="0.25">
      <c r="C2484" s="16">
        <v>101</v>
      </c>
      <c r="D2484" s="16" t="str">
        <f>VLOOKUP(C2484,[1]道具配置表!$A:$D,4,FALSE)</f>
        <v>1木材</v>
      </c>
      <c r="E2484" s="28">
        <f>E2479+5000</f>
        <v>35000</v>
      </c>
      <c r="J2484" s="16">
        <v>1</v>
      </c>
      <c r="L2484" s="16" t="b">
        <v>1</v>
      </c>
    </row>
    <row r="2485" spans="1:12" x14ac:dyDescent="0.25">
      <c r="C2485" s="16">
        <v>103</v>
      </c>
      <c r="D2485" s="16" t="str">
        <f>VLOOKUP(C2485,[1]道具配置表!$A:$D,4,FALSE)</f>
        <v>1石头</v>
      </c>
      <c r="E2485" s="28">
        <f t="shared" ref="E2485:E2486" si="48">E2480+5000</f>
        <v>35000</v>
      </c>
      <c r="J2485" s="16">
        <v>1</v>
      </c>
      <c r="L2485" s="16" t="b">
        <v>1</v>
      </c>
    </row>
    <row r="2486" spans="1:12" x14ac:dyDescent="0.25">
      <c r="C2486" s="16">
        <v>104</v>
      </c>
      <c r="D2486" s="16" t="str">
        <f>VLOOKUP(C2486,[1]道具配置表!$A:$D,4,FALSE)</f>
        <v>1黄金</v>
      </c>
      <c r="E2486" s="28">
        <f t="shared" si="48"/>
        <v>35000</v>
      </c>
      <c r="J2486" s="16">
        <v>1</v>
      </c>
      <c r="L2486" s="16" t="b">
        <v>1</v>
      </c>
    </row>
    <row r="2487" spans="1:12" x14ac:dyDescent="0.25">
      <c r="A2487" s="16">
        <f>A2482+1</f>
        <v>1922013</v>
      </c>
      <c r="B2487" s="16" t="s">
        <v>957</v>
      </c>
      <c r="C2487" s="16">
        <v>7003</v>
      </c>
      <c r="D2487" s="16" t="str">
        <f>VLOOKUP(C2487,[1]道具配置表!$A:$D,4,FALSE)</f>
        <v>1银币（立即使用，不进背包）</v>
      </c>
      <c r="E2487" s="28">
        <f>E2482</f>
        <v>10</v>
      </c>
      <c r="J2487" s="16">
        <v>1</v>
      </c>
      <c r="L2487" s="16" t="b">
        <v>1</v>
      </c>
    </row>
    <row r="2488" spans="1:12" x14ac:dyDescent="0.25">
      <c r="C2488" s="16">
        <v>102</v>
      </c>
      <c r="D2488" s="16" t="str">
        <f>VLOOKUP(C2488,[1]道具配置表!$A:$D,4,FALSE)</f>
        <v>1食物</v>
      </c>
      <c r="E2488" s="28">
        <f>E2483+15000</f>
        <v>120000</v>
      </c>
      <c r="J2488" s="16">
        <v>1</v>
      </c>
      <c r="L2488" s="16" t="b">
        <v>1</v>
      </c>
    </row>
    <row r="2489" spans="1:12" x14ac:dyDescent="0.25">
      <c r="C2489" s="16">
        <v>101</v>
      </c>
      <c r="D2489" s="16" t="str">
        <f>VLOOKUP(C2489,[1]道具配置表!$A:$D,4,FALSE)</f>
        <v>1木材</v>
      </c>
      <c r="E2489" s="28">
        <f>E2484+5000</f>
        <v>40000</v>
      </c>
      <c r="J2489" s="16">
        <v>1</v>
      </c>
      <c r="L2489" s="16" t="b">
        <v>1</v>
      </c>
    </row>
    <row r="2490" spans="1:12" x14ac:dyDescent="0.25">
      <c r="C2490" s="16">
        <v>103</v>
      </c>
      <c r="D2490" s="16" t="str">
        <f>VLOOKUP(C2490,[1]道具配置表!$A:$D,4,FALSE)</f>
        <v>1石头</v>
      </c>
      <c r="E2490" s="28">
        <f t="shared" ref="E2490:E2491" si="49">E2485+5000</f>
        <v>40000</v>
      </c>
      <c r="J2490" s="16">
        <v>1</v>
      </c>
      <c r="L2490" s="16" t="b">
        <v>1</v>
      </c>
    </row>
    <row r="2491" spans="1:12" x14ac:dyDescent="0.25">
      <c r="C2491" s="16">
        <v>104</v>
      </c>
      <c r="D2491" s="16" t="str">
        <f>VLOOKUP(C2491,[1]道具配置表!$A:$D,4,FALSE)</f>
        <v>1黄金</v>
      </c>
      <c r="E2491" s="28">
        <f t="shared" si="49"/>
        <v>40000</v>
      </c>
      <c r="J2491" s="16">
        <v>1</v>
      </c>
      <c r="L2491" s="16" t="b">
        <v>1</v>
      </c>
    </row>
    <row r="2492" spans="1:12" x14ac:dyDescent="0.25">
      <c r="A2492" s="16">
        <f>A2487+1</f>
        <v>1922014</v>
      </c>
      <c r="B2492" s="16" t="s">
        <v>958</v>
      </c>
      <c r="C2492" s="16">
        <v>7003</v>
      </c>
      <c r="D2492" s="16" t="str">
        <f>VLOOKUP(C2492,[1]道具配置表!$A:$D,4,FALSE)</f>
        <v>1银币（立即使用，不进背包）</v>
      </c>
      <c r="E2492" s="28">
        <f>E2487</f>
        <v>10</v>
      </c>
      <c r="J2492" s="16">
        <v>1</v>
      </c>
      <c r="L2492" s="16" t="b">
        <v>1</v>
      </c>
    </row>
    <row r="2493" spans="1:12" x14ac:dyDescent="0.25">
      <c r="C2493" s="16">
        <v>102</v>
      </c>
      <c r="D2493" s="16" t="str">
        <f>VLOOKUP(C2493,[1]道具配置表!$A:$D,4,FALSE)</f>
        <v>1食物</v>
      </c>
      <c r="E2493" s="28">
        <f>E2488+15000</f>
        <v>135000</v>
      </c>
      <c r="J2493" s="16">
        <v>1</v>
      </c>
      <c r="L2493" s="16" t="b">
        <v>1</v>
      </c>
    </row>
    <row r="2494" spans="1:12" x14ac:dyDescent="0.25">
      <c r="C2494" s="16">
        <v>101</v>
      </c>
      <c r="D2494" s="16" t="str">
        <f>VLOOKUP(C2494,[1]道具配置表!$A:$D,4,FALSE)</f>
        <v>1木材</v>
      </c>
      <c r="E2494" s="28">
        <f>E2489+5000</f>
        <v>45000</v>
      </c>
      <c r="J2494" s="16">
        <v>1</v>
      </c>
      <c r="L2494" s="16" t="b">
        <v>1</v>
      </c>
    </row>
    <row r="2495" spans="1:12" x14ac:dyDescent="0.25">
      <c r="C2495" s="16">
        <v>103</v>
      </c>
      <c r="D2495" s="16" t="str">
        <f>VLOOKUP(C2495,[1]道具配置表!$A:$D,4,FALSE)</f>
        <v>1石头</v>
      </c>
      <c r="E2495" s="28">
        <f t="shared" ref="E2495:E2496" si="50">E2490+5000</f>
        <v>45000</v>
      </c>
      <c r="J2495" s="16">
        <v>1</v>
      </c>
      <c r="L2495" s="16" t="b">
        <v>1</v>
      </c>
    </row>
    <row r="2496" spans="1:12" x14ac:dyDescent="0.25">
      <c r="C2496" s="16">
        <v>104</v>
      </c>
      <c r="D2496" s="16" t="str">
        <f>VLOOKUP(C2496,[1]道具配置表!$A:$D,4,FALSE)</f>
        <v>1黄金</v>
      </c>
      <c r="E2496" s="28">
        <f t="shared" si="50"/>
        <v>45000</v>
      </c>
      <c r="J2496" s="16">
        <v>1</v>
      </c>
      <c r="L2496" s="16" t="b">
        <v>1</v>
      </c>
    </row>
    <row r="2497" spans="1:12" x14ac:dyDescent="0.25">
      <c r="A2497" s="16">
        <f>A2492+1</f>
        <v>1922015</v>
      </c>
      <c r="B2497" s="16" t="s">
        <v>959</v>
      </c>
      <c r="C2497" s="16">
        <v>7003</v>
      </c>
      <c r="D2497" s="16" t="str">
        <f>VLOOKUP(C2497,[1]道具配置表!$A:$D,4,FALSE)</f>
        <v>1银币（立即使用，不进背包）</v>
      </c>
      <c r="E2497" s="28">
        <f>E2492</f>
        <v>10</v>
      </c>
      <c r="J2497" s="16">
        <v>1</v>
      </c>
      <c r="L2497" s="16" t="b">
        <v>1</v>
      </c>
    </row>
    <row r="2498" spans="1:12" x14ac:dyDescent="0.25">
      <c r="C2498" s="16">
        <v>102</v>
      </c>
      <c r="D2498" s="16" t="str">
        <f>VLOOKUP(C2498,[1]道具配置表!$A:$D,4,FALSE)</f>
        <v>1食物</v>
      </c>
      <c r="E2498" s="28">
        <f>E2493+15000</f>
        <v>150000</v>
      </c>
      <c r="J2498" s="16">
        <v>1</v>
      </c>
      <c r="L2498" s="16" t="b">
        <v>1</v>
      </c>
    </row>
    <row r="2499" spans="1:12" x14ac:dyDescent="0.25">
      <c r="C2499" s="16">
        <v>101</v>
      </c>
      <c r="D2499" s="16" t="str">
        <f>VLOOKUP(C2499,[1]道具配置表!$A:$D,4,FALSE)</f>
        <v>1木材</v>
      </c>
      <c r="E2499" s="28">
        <f>E2494+5000</f>
        <v>50000</v>
      </c>
      <c r="J2499" s="16">
        <v>1</v>
      </c>
      <c r="L2499" s="16" t="b">
        <v>1</v>
      </c>
    </row>
    <row r="2500" spans="1:12" x14ac:dyDescent="0.25">
      <c r="C2500" s="16">
        <v>103</v>
      </c>
      <c r="D2500" s="16" t="str">
        <f>VLOOKUP(C2500,[1]道具配置表!$A:$D,4,FALSE)</f>
        <v>1石头</v>
      </c>
      <c r="E2500" s="28">
        <f t="shared" ref="E2500:E2501" si="51">E2495+5000</f>
        <v>50000</v>
      </c>
      <c r="J2500" s="16">
        <v>1</v>
      </c>
      <c r="L2500" s="16" t="b">
        <v>1</v>
      </c>
    </row>
    <row r="2501" spans="1:12" x14ac:dyDescent="0.25">
      <c r="C2501" s="16">
        <v>104</v>
      </c>
      <c r="D2501" s="16" t="str">
        <f>VLOOKUP(C2501,[1]道具配置表!$A:$D,4,FALSE)</f>
        <v>1黄金</v>
      </c>
      <c r="E2501" s="28">
        <f t="shared" si="51"/>
        <v>50000</v>
      </c>
      <c r="J2501" s="16">
        <v>1</v>
      </c>
      <c r="L2501" s="16" t="b">
        <v>1</v>
      </c>
    </row>
    <row r="2502" spans="1:12" x14ac:dyDescent="0.25">
      <c r="A2502" s="16">
        <f>A2497+1</f>
        <v>1922016</v>
      </c>
      <c r="B2502" s="16" t="s">
        <v>960</v>
      </c>
      <c r="C2502" s="16">
        <v>7003</v>
      </c>
      <c r="D2502" s="16" t="str">
        <f>VLOOKUP(C2502,[1]道具配置表!$A:$D,4,FALSE)</f>
        <v>1银币（立即使用，不进背包）</v>
      </c>
      <c r="E2502" s="28">
        <f>E2497</f>
        <v>10</v>
      </c>
      <c r="J2502" s="16">
        <v>1</v>
      </c>
      <c r="L2502" s="16" t="b">
        <v>1</v>
      </c>
    </row>
    <row r="2503" spans="1:12" x14ac:dyDescent="0.25">
      <c r="C2503" s="16">
        <v>102</v>
      </c>
      <c r="D2503" s="16" t="str">
        <f>VLOOKUP(C2503,[1]道具配置表!$A:$D,4,FALSE)</f>
        <v>1食物</v>
      </c>
      <c r="E2503" s="28">
        <f>E2498+15000</f>
        <v>165000</v>
      </c>
      <c r="J2503" s="16">
        <v>1</v>
      </c>
      <c r="L2503" s="16" t="b">
        <v>1</v>
      </c>
    </row>
    <row r="2504" spans="1:12" x14ac:dyDescent="0.25">
      <c r="C2504" s="16">
        <v>101</v>
      </c>
      <c r="D2504" s="16" t="str">
        <f>VLOOKUP(C2504,[1]道具配置表!$A:$D,4,FALSE)</f>
        <v>1木材</v>
      </c>
      <c r="E2504" s="28">
        <f>E2499+5000</f>
        <v>55000</v>
      </c>
      <c r="J2504" s="16">
        <v>1</v>
      </c>
      <c r="L2504" s="16" t="b">
        <v>1</v>
      </c>
    </row>
    <row r="2505" spans="1:12" x14ac:dyDescent="0.25">
      <c r="C2505" s="16">
        <v>103</v>
      </c>
      <c r="D2505" s="16" t="str">
        <f>VLOOKUP(C2505,[1]道具配置表!$A:$D,4,FALSE)</f>
        <v>1石头</v>
      </c>
      <c r="E2505" s="28">
        <f t="shared" ref="E2505:E2506" si="52">E2500+5000</f>
        <v>55000</v>
      </c>
      <c r="J2505" s="16">
        <v>1</v>
      </c>
      <c r="L2505" s="16" t="b">
        <v>1</v>
      </c>
    </row>
    <row r="2506" spans="1:12" x14ac:dyDescent="0.25">
      <c r="C2506" s="16">
        <v>104</v>
      </c>
      <c r="D2506" s="16" t="str">
        <f>VLOOKUP(C2506,[1]道具配置表!$A:$D,4,FALSE)</f>
        <v>1黄金</v>
      </c>
      <c r="E2506" s="28">
        <f t="shared" si="52"/>
        <v>55000</v>
      </c>
      <c r="J2506" s="16">
        <v>1</v>
      </c>
      <c r="L2506" s="16" t="b">
        <v>1</v>
      </c>
    </row>
    <row r="2507" spans="1:12" x14ac:dyDescent="0.25">
      <c r="A2507" s="16">
        <f>A2502+1</f>
        <v>1922017</v>
      </c>
      <c r="B2507" s="16" t="s">
        <v>961</v>
      </c>
      <c r="C2507" s="16">
        <v>7003</v>
      </c>
      <c r="D2507" s="16" t="str">
        <f>VLOOKUP(C2507,[1]道具配置表!$A:$D,4,FALSE)</f>
        <v>1银币（立即使用，不进背包）</v>
      </c>
      <c r="E2507" s="28">
        <f>E2502</f>
        <v>10</v>
      </c>
      <c r="J2507" s="16">
        <v>1</v>
      </c>
      <c r="L2507" s="16" t="b">
        <v>1</v>
      </c>
    </row>
    <row r="2508" spans="1:12" x14ac:dyDescent="0.25">
      <c r="C2508" s="16">
        <v>102</v>
      </c>
      <c r="D2508" s="16" t="str">
        <f>VLOOKUP(C2508,[1]道具配置表!$A:$D,4,FALSE)</f>
        <v>1食物</v>
      </c>
      <c r="E2508" s="28">
        <f>E2503+15000</f>
        <v>180000</v>
      </c>
      <c r="J2508" s="16">
        <v>1</v>
      </c>
      <c r="L2508" s="16" t="b">
        <v>1</v>
      </c>
    </row>
    <row r="2509" spans="1:12" x14ac:dyDescent="0.25">
      <c r="C2509" s="16">
        <v>101</v>
      </c>
      <c r="D2509" s="16" t="str">
        <f>VLOOKUP(C2509,[1]道具配置表!$A:$D,4,FALSE)</f>
        <v>1木材</v>
      </c>
      <c r="E2509" s="28">
        <f>E2504+5000</f>
        <v>60000</v>
      </c>
      <c r="J2509" s="16">
        <v>1</v>
      </c>
      <c r="L2509" s="16" t="b">
        <v>1</v>
      </c>
    </row>
    <row r="2510" spans="1:12" x14ac:dyDescent="0.25">
      <c r="C2510" s="16">
        <v>103</v>
      </c>
      <c r="D2510" s="16" t="str">
        <f>VLOOKUP(C2510,[1]道具配置表!$A:$D,4,FALSE)</f>
        <v>1石头</v>
      </c>
      <c r="E2510" s="28">
        <f t="shared" ref="E2510:E2511" si="53">E2505+5000</f>
        <v>60000</v>
      </c>
      <c r="J2510" s="16">
        <v>1</v>
      </c>
      <c r="L2510" s="16" t="b">
        <v>1</v>
      </c>
    </row>
    <row r="2511" spans="1:12" x14ac:dyDescent="0.25">
      <c r="C2511" s="16">
        <v>104</v>
      </c>
      <c r="D2511" s="16" t="str">
        <f>VLOOKUP(C2511,[1]道具配置表!$A:$D,4,FALSE)</f>
        <v>1黄金</v>
      </c>
      <c r="E2511" s="28">
        <f t="shared" si="53"/>
        <v>60000</v>
      </c>
      <c r="J2511" s="16">
        <v>1</v>
      </c>
      <c r="L2511" s="16" t="b">
        <v>1</v>
      </c>
    </row>
    <row r="2512" spans="1:12" x14ac:dyDescent="0.25">
      <c r="A2512" s="16">
        <v>1922101</v>
      </c>
      <c r="B2512" s="16" t="s">
        <v>962</v>
      </c>
      <c r="C2512" s="36">
        <v>2007</v>
      </c>
      <c r="D2512" s="16" t="str">
        <f>VLOOKUP(C2512,[1]道具配置表!$A:$D,4,FALSE)</f>
        <v>大奖池招募券</v>
      </c>
      <c r="E2512" s="16">
        <v>1</v>
      </c>
      <c r="J2512" s="16">
        <v>1</v>
      </c>
      <c r="L2512" s="16" t="b">
        <v>1</v>
      </c>
    </row>
    <row r="2513" spans="1:12" s="31" customFormat="1" x14ac:dyDescent="0.25">
      <c r="C2513" s="31">
        <v>7227</v>
      </c>
      <c r="D2513" s="31" t="str">
        <f>VLOOKUP(C2513,[1]道具配置表!$A:$D,4,FALSE)</f>
        <v>经验书*1000</v>
      </c>
      <c r="E2513" s="31">
        <v>10</v>
      </c>
      <c r="J2513" s="31">
        <v>1</v>
      </c>
      <c r="L2513" s="31" t="b">
        <v>1</v>
      </c>
    </row>
    <row r="2514" spans="1:12" x14ac:dyDescent="0.25">
      <c r="C2514" s="16">
        <v>9035</v>
      </c>
      <c r="D2514" s="16" t="str">
        <f>VLOOKUP(C2514,[1]道具配置表!$A:$D,4,FALSE)</f>
        <v>最高等级剑士直接使用X1</v>
      </c>
      <c r="E2514" s="16">
        <v>1000</v>
      </c>
      <c r="J2514" s="16">
        <v>1</v>
      </c>
      <c r="L2514" s="16" t="b">
        <v>1</v>
      </c>
    </row>
    <row r="2515" spans="1:12" x14ac:dyDescent="0.25">
      <c r="C2515" s="16">
        <v>9036</v>
      </c>
      <c r="D2515" s="16" t="str">
        <f>VLOOKUP(C2515,[1]道具配置表!$A:$D,4,FALSE)</f>
        <v>最高等级枪兵直接使用X1</v>
      </c>
      <c r="E2515" s="16">
        <v>1000</v>
      </c>
      <c r="J2515" s="16">
        <v>1</v>
      </c>
      <c r="L2515" s="16" t="b">
        <v>1</v>
      </c>
    </row>
    <row r="2516" spans="1:12" x14ac:dyDescent="0.25">
      <c r="C2516" s="16">
        <v>9037</v>
      </c>
      <c r="D2516" s="16" t="str">
        <f>VLOOKUP(C2516,[1]道具配置表!$A:$D,4,FALSE)</f>
        <v>最高等级骑兵直接使用X1</v>
      </c>
      <c r="E2516" s="16">
        <v>1000</v>
      </c>
      <c r="J2516" s="16">
        <v>1</v>
      </c>
      <c r="L2516" s="16" t="b">
        <v>1</v>
      </c>
    </row>
    <row r="2517" spans="1:12" x14ac:dyDescent="0.25">
      <c r="C2517" s="16">
        <v>9038</v>
      </c>
      <c r="D2517" s="16" t="str">
        <f>VLOOKUP(C2517,[1]道具配置表!$A:$D,4,FALSE)</f>
        <v>最高等级弓兵直接使用X1</v>
      </c>
      <c r="E2517" s="16">
        <v>1000</v>
      </c>
      <c r="J2517" s="16">
        <v>1</v>
      </c>
      <c r="L2517" s="16" t="b">
        <v>1</v>
      </c>
    </row>
    <row r="2518" spans="1:12" x14ac:dyDescent="0.25">
      <c r="A2518" s="16">
        <f>A2512+1</f>
        <v>1922102</v>
      </c>
      <c r="B2518" s="16" t="str">
        <f>"核心主线-"&amp;A2518-1922096</f>
        <v>核心主线-6</v>
      </c>
      <c r="C2518" s="36">
        <v>2007</v>
      </c>
      <c r="D2518" s="16" t="str">
        <f>VLOOKUP(C2518,[1]道具配置表!$A:$D,4,FALSE)</f>
        <v>大奖池招募券</v>
      </c>
      <c r="E2518" s="16">
        <v>1</v>
      </c>
      <c r="J2518" s="16">
        <v>1</v>
      </c>
      <c r="L2518" s="16" t="b">
        <v>1</v>
      </c>
    </row>
    <row r="2519" spans="1:12" s="31" customFormat="1" x14ac:dyDescent="0.25">
      <c r="C2519" s="31">
        <v>7228</v>
      </c>
      <c r="D2519" s="31" t="str">
        <f>VLOOKUP(C2519,[1]道具配置表!$A:$D,4,FALSE)</f>
        <v>经验书*10000</v>
      </c>
      <c r="E2519" s="31">
        <v>13</v>
      </c>
      <c r="J2519" s="31">
        <v>1</v>
      </c>
      <c r="L2519" s="31" t="b">
        <v>1</v>
      </c>
    </row>
    <row r="2520" spans="1:12" x14ac:dyDescent="0.25">
      <c r="C2520" s="16">
        <v>9035</v>
      </c>
      <c r="D2520" s="16" t="str">
        <f>VLOOKUP(C2520,[1]道具配置表!$A:$D,4,FALSE)</f>
        <v>最高等级剑士直接使用X1</v>
      </c>
      <c r="E2520" s="16">
        <f>E2514+100</f>
        <v>1100</v>
      </c>
      <c r="J2520" s="16">
        <v>1</v>
      </c>
      <c r="L2520" s="16" t="b">
        <v>1</v>
      </c>
    </row>
    <row r="2521" spans="1:12" x14ac:dyDescent="0.25">
      <c r="C2521" s="16">
        <v>9036</v>
      </c>
      <c r="D2521" s="16" t="str">
        <f>VLOOKUP(C2521,[1]道具配置表!$A:$D,4,FALSE)</f>
        <v>最高等级枪兵直接使用X1</v>
      </c>
      <c r="E2521" s="16">
        <f>E2515+100</f>
        <v>1100</v>
      </c>
      <c r="J2521" s="16">
        <v>1</v>
      </c>
      <c r="L2521" s="16" t="b">
        <v>1</v>
      </c>
    </row>
    <row r="2522" spans="1:12" x14ac:dyDescent="0.25">
      <c r="C2522" s="16">
        <v>9037</v>
      </c>
      <c r="D2522" s="16" t="str">
        <f>VLOOKUP(C2522,[1]道具配置表!$A:$D,4,FALSE)</f>
        <v>最高等级骑兵直接使用X1</v>
      </c>
      <c r="E2522" s="16">
        <f>E2516+100</f>
        <v>1100</v>
      </c>
      <c r="J2522" s="16">
        <v>1</v>
      </c>
      <c r="L2522" s="16" t="b">
        <v>1</v>
      </c>
    </row>
    <row r="2523" spans="1:12" x14ac:dyDescent="0.25">
      <c r="C2523" s="16">
        <v>9038</v>
      </c>
      <c r="D2523" s="16" t="str">
        <f>VLOOKUP(C2523,[1]道具配置表!$A:$D,4,FALSE)</f>
        <v>最高等级弓兵直接使用X1</v>
      </c>
      <c r="E2523" s="16">
        <f>E2517+100</f>
        <v>1100</v>
      </c>
      <c r="J2523" s="16">
        <v>1</v>
      </c>
      <c r="L2523" s="16" t="b">
        <v>1</v>
      </c>
    </row>
    <row r="2524" spans="1:12" x14ac:dyDescent="0.25">
      <c r="A2524" s="16">
        <f>A2518+1</f>
        <v>1922103</v>
      </c>
      <c r="B2524" s="16" t="str">
        <f>"核心主线-"&amp;A2524-1922096</f>
        <v>核心主线-7</v>
      </c>
      <c r="C2524" s="36">
        <v>2007</v>
      </c>
      <c r="D2524" s="16" t="str">
        <f>VLOOKUP(C2524,[1]道具配置表!$A:$D,4,FALSE)</f>
        <v>大奖池招募券</v>
      </c>
      <c r="E2524" s="16">
        <v>1</v>
      </c>
      <c r="J2524" s="16">
        <v>1</v>
      </c>
      <c r="L2524" s="16" t="b">
        <v>1</v>
      </c>
    </row>
    <row r="2525" spans="1:12" s="31" customFormat="1" x14ac:dyDescent="0.25">
      <c r="C2525" s="31">
        <v>7228</v>
      </c>
      <c r="D2525" s="31" t="str">
        <f>VLOOKUP(C2525,[1]道具配置表!$A:$D,4,FALSE)</f>
        <v>经验书*10000</v>
      </c>
      <c r="E2525" s="31">
        <v>13</v>
      </c>
      <c r="J2525" s="31">
        <v>1</v>
      </c>
      <c r="L2525" s="31" t="b">
        <v>1</v>
      </c>
    </row>
    <row r="2526" spans="1:12" x14ac:dyDescent="0.25">
      <c r="C2526" s="16">
        <v>9035</v>
      </c>
      <c r="D2526" s="16" t="str">
        <f>VLOOKUP(C2526,[1]道具配置表!$A:$D,4,FALSE)</f>
        <v>最高等级剑士直接使用X1</v>
      </c>
      <c r="E2526" s="16">
        <f>E2520+100</f>
        <v>1200</v>
      </c>
      <c r="J2526" s="16">
        <v>1</v>
      </c>
      <c r="L2526" s="16" t="b">
        <v>1</v>
      </c>
    </row>
    <row r="2527" spans="1:12" x14ac:dyDescent="0.25">
      <c r="C2527" s="16">
        <v>9036</v>
      </c>
      <c r="D2527" s="16" t="str">
        <f>VLOOKUP(C2527,[1]道具配置表!$A:$D,4,FALSE)</f>
        <v>最高等级枪兵直接使用X1</v>
      </c>
      <c r="E2527" s="16">
        <f>E2521+100</f>
        <v>1200</v>
      </c>
      <c r="J2527" s="16">
        <v>1</v>
      </c>
      <c r="L2527" s="16" t="b">
        <v>1</v>
      </c>
    </row>
    <row r="2528" spans="1:12" x14ac:dyDescent="0.25">
      <c r="C2528" s="16">
        <v>9037</v>
      </c>
      <c r="D2528" s="16" t="str">
        <f>VLOOKUP(C2528,[1]道具配置表!$A:$D,4,FALSE)</f>
        <v>最高等级骑兵直接使用X1</v>
      </c>
      <c r="E2528" s="16">
        <f>E2522+100</f>
        <v>1200</v>
      </c>
      <c r="J2528" s="16">
        <v>1</v>
      </c>
      <c r="L2528" s="16" t="b">
        <v>1</v>
      </c>
    </row>
    <row r="2529" spans="1:12" x14ac:dyDescent="0.25">
      <c r="C2529" s="16">
        <v>9038</v>
      </c>
      <c r="D2529" s="16" t="str">
        <f>VLOOKUP(C2529,[1]道具配置表!$A:$D,4,FALSE)</f>
        <v>最高等级弓兵直接使用X1</v>
      </c>
      <c r="E2529" s="16">
        <f>E2523+100</f>
        <v>1200</v>
      </c>
      <c r="J2529" s="16">
        <v>1</v>
      </c>
      <c r="L2529" s="16" t="b">
        <v>1</v>
      </c>
    </row>
    <row r="2530" spans="1:12" x14ac:dyDescent="0.25">
      <c r="A2530" s="16">
        <f>A2524+1</f>
        <v>1922104</v>
      </c>
      <c r="B2530" s="16" t="str">
        <f>"核心主线-"&amp;A2530-1922096</f>
        <v>核心主线-8</v>
      </c>
      <c r="C2530" s="36">
        <v>2007</v>
      </c>
      <c r="D2530" s="16" t="str">
        <f>VLOOKUP(C2530,[1]道具配置表!$A:$D,4,FALSE)</f>
        <v>大奖池招募券</v>
      </c>
      <c r="E2530" s="16">
        <v>1</v>
      </c>
      <c r="J2530" s="16">
        <v>1</v>
      </c>
      <c r="L2530" s="16" t="b">
        <v>1</v>
      </c>
    </row>
    <row r="2531" spans="1:12" s="31" customFormat="1" x14ac:dyDescent="0.25">
      <c r="C2531" s="31">
        <v>7228</v>
      </c>
      <c r="D2531" s="31" t="str">
        <f>VLOOKUP(C2531,[1]道具配置表!$A:$D,4,FALSE)</f>
        <v>经验书*10000</v>
      </c>
      <c r="E2531" s="31">
        <v>13</v>
      </c>
      <c r="J2531" s="31">
        <v>1</v>
      </c>
      <c r="L2531" s="31" t="b">
        <v>1</v>
      </c>
    </row>
    <row r="2532" spans="1:12" x14ac:dyDescent="0.25">
      <c r="C2532" s="16">
        <v>9035</v>
      </c>
      <c r="D2532" s="16" t="str">
        <f>VLOOKUP(C2532,[1]道具配置表!$A:$D,4,FALSE)</f>
        <v>最高等级剑士直接使用X1</v>
      </c>
      <c r="E2532" s="16">
        <v>1500</v>
      </c>
      <c r="J2532" s="16">
        <v>1</v>
      </c>
      <c r="L2532" s="16" t="b">
        <v>1</v>
      </c>
    </row>
    <row r="2533" spans="1:12" x14ac:dyDescent="0.25">
      <c r="C2533" s="16">
        <v>9036</v>
      </c>
      <c r="D2533" s="16" t="str">
        <f>VLOOKUP(C2533,[1]道具配置表!$A:$D,4,FALSE)</f>
        <v>最高等级枪兵直接使用X1</v>
      </c>
      <c r="E2533" s="24">
        <v>1500</v>
      </c>
      <c r="J2533" s="16">
        <v>1</v>
      </c>
      <c r="L2533" s="16" t="b">
        <v>1</v>
      </c>
    </row>
    <row r="2534" spans="1:12" x14ac:dyDescent="0.25">
      <c r="C2534" s="16">
        <v>9037</v>
      </c>
      <c r="D2534" s="16" t="str">
        <f>VLOOKUP(C2534,[1]道具配置表!$A:$D,4,FALSE)</f>
        <v>最高等级骑兵直接使用X1</v>
      </c>
      <c r="E2534" s="24">
        <v>1500</v>
      </c>
      <c r="J2534" s="16">
        <v>1</v>
      </c>
      <c r="L2534" s="16" t="b">
        <v>1</v>
      </c>
    </row>
    <row r="2535" spans="1:12" x14ac:dyDescent="0.25">
      <c r="C2535" s="16">
        <v>9038</v>
      </c>
      <c r="D2535" s="16" t="str">
        <f>VLOOKUP(C2535,[1]道具配置表!$A:$D,4,FALSE)</f>
        <v>最高等级弓兵直接使用X1</v>
      </c>
      <c r="E2535" s="24">
        <v>1500</v>
      </c>
      <c r="J2535" s="16">
        <v>1</v>
      </c>
      <c r="L2535" s="16" t="b">
        <v>1</v>
      </c>
    </row>
    <row r="2536" spans="1:12" x14ac:dyDescent="0.25">
      <c r="A2536" s="16">
        <f>A2530+1</f>
        <v>1922105</v>
      </c>
      <c r="B2536" s="16" t="str">
        <f>"核心主线-"&amp;A2536-1922096</f>
        <v>核心主线-9</v>
      </c>
      <c r="C2536" s="16">
        <v>2007</v>
      </c>
      <c r="D2536" s="16" t="str">
        <f>VLOOKUP(C2536,[1]道具配置表!$A:$D,4,FALSE)</f>
        <v>大奖池招募券</v>
      </c>
      <c r="E2536" s="16">
        <v>2</v>
      </c>
      <c r="J2536" s="16">
        <v>1</v>
      </c>
      <c r="L2536" s="16" t="b">
        <v>1</v>
      </c>
    </row>
    <row r="2537" spans="1:12" s="31" customFormat="1" x14ac:dyDescent="0.25">
      <c r="C2537" s="31">
        <v>7228</v>
      </c>
      <c r="D2537" s="31" t="str">
        <f>VLOOKUP(C2537,[1]道具配置表!$A:$D,4,FALSE)</f>
        <v>经验书*10000</v>
      </c>
      <c r="E2537" s="31">
        <v>13</v>
      </c>
      <c r="J2537" s="31">
        <v>1</v>
      </c>
      <c r="L2537" s="31" t="b">
        <v>1</v>
      </c>
    </row>
    <row r="2538" spans="1:12" x14ac:dyDescent="0.25">
      <c r="C2538" s="16">
        <v>9035</v>
      </c>
      <c r="D2538" s="16" t="str">
        <f>VLOOKUP(C2538,[1]道具配置表!$A:$D,4,FALSE)</f>
        <v>最高等级剑士直接使用X1</v>
      </c>
      <c r="E2538" s="16">
        <v>1800</v>
      </c>
      <c r="J2538" s="16">
        <v>1</v>
      </c>
      <c r="L2538" s="16" t="b">
        <v>1</v>
      </c>
    </row>
    <row r="2539" spans="1:12" x14ac:dyDescent="0.25">
      <c r="C2539" s="16">
        <v>9036</v>
      </c>
      <c r="D2539" s="16" t="str">
        <f>VLOOKUP(C2539,[1]道具配置表!$A:$D,4,FALSE)</f>
        <v>最高等级枪兵直接使用X1</v>
      </c>
      <c r="E2539" s="24">
        <v>1800</v>
      </c>
      <c r="J2539" s="16">
        <v>1</v>
      </c>
      <c r="L2539" s="16" t="b">
        <v>1</v>
      </c>
    </row>
    <row r="2540" spans="1:12" x14ac:dyDescent="0.25">
      <c r="C2540" s="16">
        <v>9037</v>
      </c>
      <c r="D2540" s="16" t="str">
        <f>VLOOKUP(C2540,[1]道具配置表!$A:$D,4,FALSE)</f>
        <v>最高等级骑兵直接使用X1</v>
      </c>
      <c r="E2540" s="24">
        <v>1800</v>
      </c>
      <c r="J2540" s="16">
        <v>1</v>
      </c>
      <c r="L2540" s="16" t="b">
        <v>1</v>
      </c>
    </row>
    <row r="2541" spans="1:12" x14ac:dyDescent="0.25">
      <c r="C2541" s="16">
        <v>9038</v>
      </c>
      <c r="D2541" s="16" t="str">
        <f>VLOOKUP(C2541,[1]道具配置表!$A:$D,4,FALSE)</f>
        <v>最高等级弓兵直接使用X1</v>
      </c>
      <c r="E2541" s="24">
        <v>1800</v>
      </c>
      <c r="J2541" s="16">
        <v>1</v>
      </c>
      <c r="L2541" s="16" t="b">
        <v>1</v>
      </c>
    </row>
    <row r="2542" spans="1:12" x14ac:dyDescent="0.25">
      <c r="A2542" s="16">
        <f>A2536+1</f>
        <v>1922106</v>
      </c>
      <c r="B2542" s="16" t="str">
        <f>"核心主线-"&amp;A2542-1922096</f>
        <v>核心主线-10</v>
      </c>
      <c r="C2542" s="30">
        <v>2007</v>
      </c>
      <c r="D2542" s="16" t="str">
        <f>VLOOKUP(C2542,[1]道具配置表!$A:$D,4,FALSE)</f>
        <v>大奖池招募券</v>
      </c>
      <c r="E2542" s="16">
        <v>2</v>
      </c>
      <c r="J2542" s="16">
        <v>1</v>
      </c>
      <c r="L2542" s="16" t="b">
        <v>1</v>
      </c>
    </row>
    <row r="2543" spans="1:12" s="31" customFormat="1" x14ac:dyDescent="0.25">
      <c r="C2543" s="31">
        <v>7228</v>
      </c>
      <c r="D2543" s="31" t="str">
        <f>VLOOKUP(C2543,[1]道具配置表!$A:$D,4,FALSE)</f>
        <v>经验书*10000</v>
      </c>
      <c r="E2543" s="31">
        <v>13</v>
      </c>
      <c r="J2543" s="31">
        <v>1</v>
      </c>
      <c r="L2543" s="31" t="b">
        <v>1</v>
      </c>
    </row>
    <row r="2544" spans="1:12" x14ac:dyDescent="0.25">
      <c r="C2544" s="16">
        <v>9035</v>
      </c>
      <c r="D2544" s="16" t="str">
        <f>VLOOKUP(C2544,[1]道具配置表!$A:$D,4,FALSE)</f>
        <v>最高等级剑士直接使用X1</v>
      </c>
      <c r="E2544" s="16">
        <v>2000</v>
      </c>
      <c r="J2544" s="16">
        <v>1</v>
      </c>
      <c r="L2544" s="16" t="b">
        <v>1</v>
      </c>
    </row>
    <row r="2545" spans="1:12" x14ac:dyDescent="0.25">
      <c r="C2545" s="16">
        <v>9036</v>
      </c>
      <c r="D2545" s="16" t="str">
        <f>VLOOKUP(C2545,[1]道具配置表!$A:$D,4,FALSE)</f>
        <v>最高等级枪兵直接使用X1</v>
      </c>
      <c r="E2545" s="24">
        <v>2000</v>
      </c>
      <c r="J2545" s="16">
        <v>1</v>
      </c>
      <c r="L2545" s="16" t="b">
        <v>1</v>
      </c>
    </row>
    <row r="2546" spans="1:12" x14ac:dyDescent="0.25">
      <c r="C2546" s="16">
        <v>9037</v>
      </c>
      <c r="D2546" s="16" t="str">
        <f>VLOOKUP(C2546,[1]道具配置表!$A:$D,4,FALSE)</f>
        <v>最高等级骑兵直接使用X1</v>
      </c>
      <c r="E2546" s="24">
        <v>2000</v>
      </c>
      <c r="J2546" s="16">
        <v>1</v>
      </c>
      <c r="L2546" s="16" t="b">
        <v>1</v>
      </c>
    </row>
    <row r="2547" spans="1:12" x14ac:dyDescent="0.25">
      <c r="C2547" s="16">
        <v>9038</v>
      </c>
      <c r="D2547" s="16" t="str">
        <f>VLOOKUP(C2547,[1]道具配置表!$A:$D,4,FALSE)</f>
        <v>最高等级弓兵直接使用X1</v>
      </c>
      <c r="E2547" s="24">
        <v>2000</v>
      </c>
      <c r="J2547" s="16">
        <v>1</v>
      </c>
      <c r="L2547" s="16" t="b">
        <v>1</v>
      </c>
    </row>
    <row r="2548" spans="1:12" x14ac:dyDescent="0.25">
      <c r="A2548" s="16">
        <f>A2542+1</f>
        <v>1922107</v>
      </c>
      <c r="B2548" s="16" t="str">
        <f>"核心主线-"&amp;A2548-1922096</f>
        <v>核心主线-11</v>
      </c>
      <c r="C2548" s="30">
        <v>2007</v>
      </c>
      <c r="D2548" s="16" t="str">
        <f>VLOOKUP(C2548,[1]道具配置表!$A:$D,4,FALSE)</f>
        <v>大奖池招募券</v>
      </c>
      <c r="E2548" s="16">
        <v>2</v>
      </c>
      <c r="J2548" s="16">
        <v>1</v>
      </c>
      <c r="L2548" s="16" t="b">
        <v>1</v>
      </c>
    </row>
    <row r="2549" spans="1:12" x14ac:dyDescent="0.25">
      <c r="C2549" s="16">
        <v>9035</v>
      </c>
      <c r="D2549" s="16" t="str">
        <f>VLOOKUP(C2549,[1]道具配置表!$A:$D,4,FALSE)</f>
        <v>最高等级剑士直接使用X1</v>
      </c>
      <c r="E2549" s="16">
        <f>E2544+200</f>
        <v>2200</v>
      </c>
      <c r="J2549" s="16">
        <v>1</v>
      </c>
      <c r="L2549" s="16" t="b">
        <v>1</v>
      </c>
    </row>
    <row r="2550" spans="1:12" x14ac:dyDescent="0.25">
      <c r="C2550" s="16">
        <v>9036</v>
      </c>
      <c r="D2550" s="16" t="str">
        <f>VLOOKUP(C2550,[1]道具配置表!$A:$D,4,FALSE)</f>
        <v>最高等级枪兵直接使用X1</v>
      </c>
      <c r="E2550" s="24">
        <f t="shared" ref="E2550:E2552" si="54">E2545+200</f>
        <v>2200</v>
      </c>
      <c r="J2550" s="16">
        <v>1</v>
      </c>
      <c r="L2550" s="16" t="b">
        <v>1</v>
      </c>
    </row>
    <row r="2551" spans="1:12" x14ac:dyDescent="0.25">
      <c r="C2551" s="16">
        <v>9037</v>
      </c>
      <c r="D2551" s="16" t="str">
        <f>VLOOKUP(C2551,[1]道具配置表!$A:$D,4,FALSE)</f>
        <v>最高等级骑兵直接使用X1</v>
      </c>
      <c r="E2551" s="24">
        <f t="shared" si="54"/>
        <v>2200</v>
      </c>
      <c r="J2551" s="16">
        <v>1</v>
      </c>
      <c r="L2551" s="16" t="b">
        <v>1</v>
      </c>
    </row>
    <row r="2552" spans="1:12" x14ac:dyDescent="0.25">
      <c r="C2552" s="16">
        <v>9038</v>
      </c>
      <c r="D2552" s="16" t="str">
        <f>VLOOKUP(C2552,[1]道具配置表!$A:$D,4,FALSE)</f>
        <v>最高等级弓兵直接使用X1</v>
      </c>
      <c r="E2552" s="24">
        <f t="shared" si="54"/>
        <v>2200</v>
      </c>
      <c r="J2552" s="16">
        <v>1</v>
      </c>
      <c r="L2552" s="16" t="b">
        <v>1</v>
      </c>
    </row>
    <row r="2553" spans="1:12" x14ac:dyDescent="0.25">
      <c r="A2553" s="16">
        <f>A2548+1</f>
        <v>1922108</v>
      </c>
      <c r="B2553" s="16" t="str">
        <f>"核心主线-"&amp;A2553-1922096</f>
        <v>核心主线-12</v>
      </c>
      <c r="C2553" s="30">
        <v>2007</v>
      </c>
      <c r="D2553" s="16" t="str">
        <f>VLOOKUP(C2553,[1]道具配置表!$A:$D,4,FALSE)</f>
        <v>大奖池招募券</v>
      </c>
      <c r="E2553" s="16">
        <v>2</v>
      </c>
      <c r="J2553" s="16">
        <v>1</v>
      </c>
      <c r="L2553" s="16" t="b">
        <v>1</v>
      </c>
    </row>
    <row r="2554" spans="1:12" x14ac:dyDescent="0.25">
      <c r="C2554" s="16">
        <v>9035</v>
      </c>
      <c r="D2554" s="16" t="str">
        <f>VLOOKUP(C2554,[1]道具配置表!$A:$D,4,FALSE)</f>
        <v>最高等级剑士直接使用X1</v>
      </c>
      <c r="E2554" s="24">
        <f>E2549+200</f>
        <v>2400</v>
      </c>
      <c r="J2554" s="16">
        <v>1</v>
      </c>
      <c r="L2554" s="16" t="b">
        <v>1</v>
      </c>
    </row>
    <row r="2555" spans="1:12" x14ac:dyDescent="0.25">
      <c r="C2555" s="16">
        <v>9036</v>
      </c>
      <c r="D2555" s="16" t="str">
        <f>VLOOKUP(C2555,[1]道具配置表!$A:$D,4,FALSE)</f>
        <v>最高等级枪兵直接使用X1</v>
      </c>
      <c r="E2555" s="24">
        <f t="shared" ref="E2555:E2557" si="55">E2550+200</f>
        <v>2400</v>
      </c>
      <c r="J2555" s="16">
        <v>1</v>
      </c>
      <c r="L2555" s="16" t="b">
        <v>1</v>
      </c>
    </row>
    <row r="2556" spans="1:12" x14ac:dyDescent="0.25">
      <c r="C2556" s="16">
        <v>9037</v>
      </c>
      <c r="D2556" s="16" t="str">
        <f>VLOOKUP(C2556,[1]道具配置表!$A:$D,4,FALSE)</f>
        <v>最高等级骑兵直接使用X1</v>
      </c>
      <c r="E2556" s="24">
        <f t="shared" si="55"/>
        <v>2400</v>
      </c>
      <c r="J2556" s="16">
        <v>1</v>
      </c>
      <c r="L2556" s="16" t="b">
        <v>1</v>
      </c>
    </row>
    <row r="2557" spans="1:12" x14ac:dyDescent="0.25">
      <c r="C2557" s="16">
        <v>9038</v>
      </c>
      <c r="D2557" s="16" t="str">
        <f>VLOOKUP(C2557,[1]道具配置表!$A:$D,4,FALSE)</f>
        <v>最高等级弓兵直接使用X1</v>
      </c>
      <c r="E2557" s="24">
        <f t="shared" si="55"/>
        <v>2400</v>
      </c>
      <c r="J2557" s="16">
        <v>1</v>
      </c>
      <c r="L2557" s="16" t="b">
        <v>1</v>
      </c>
    </row>
    <row r="2558" spans="1:12" x14ac:dyDescent="0.25">
      <c r="A2558" s="16">
        <f>A2553+1</f>
        <v>1922109</v>
      </c>
      <c r="B2558" s="16" t="str">
        <f>"核心主线-"&amp;A2558-1922096</f>
        <v>核心主线-13</v>
      </c>
      <c r="C2558" s="30">
        <v>2007</v>
      </c>
      <c r="D2558" s="16" t="str">
        <f>VLOOKUP(C2558,[1]道具配置表!$A:$D,4,FALSE)</f>
        <v>大奖池招募券</v>
      </c>
      <c r="E2558" s="16">
        <v>2</v>
      </c>
      <c r="J2558" s="16">
        <v>1</v>
      </c>
      <c r="L2558" s="16" t="b">
        <v>1</v>
      </c>
    </row>
    <row r="2559" spans="1:12" x14ac:dyDescent="0.25">
      <c r="C2559" s="16">
        <v>9035</v>
      </c>
      <c r="D2559" s="16" t="str">
        <f>VLOOKUP(C2559,[1]道具配置表!$A:$D,4,FALSE)</f>
        <v>最高等级剑士直接使用X1</v>
      </c>
      <c r="E2559" s="24">
        <f>E2554+200</f>
        <v>2600</v>
      </c>
      <c r="J2559" s="16">
        <v>1</v>
      </c>
      <c r="L2559" s="16" t="b">
        <v>1</v>
      </c>
    </row>
    <row r="2560" spans="1:12" x14ac:dyDescent="0.25">
      <c r="C2560" s="16">
        <v>9036</v>
      </c>
      <c r="D2560" s="16" t="str">
        <f>VLOOKUP(C2560,[1]道具配置表!$A:$D,4,FALSE)</f>
        <v>最高等级枪兵直接使用X1</v>
      </c>
      <c r="E2560" s="24">
        <f t="shared" ref="E2560:E2562" si="56">E2555+200</f>
        <v>2600</v>
      </c>
      <c r="J2560" s="16">
        <v>1</v>
      </c>
      <c r="L2560" s="16" t="b">
        <v>1</v>
      </c>
    </row>
    <row r="2561" spans="1:12" x14ac:dyDescent="0.25">
      <c r="C2561" s="16">
        <v>9037</v>
      </c>
      <c r="D2561" s="16" t="str">
        <f>VLOOKUP(C2561,[1]道具配置表!$A:$D,4,FALSE)</f>
        <v>最高等级骑兵直接使用X1</v>
      </c>
      <c r="E2561" s="24">
        <f t="shared" si="56"/>
        <v>2600</v>
      </c>
      <c r="J2561" s="16">
        <v>1</v>
      </c>
      <c r="L2561" s="16" t="b">
        <v>1</v>
      </c>
    </row>
    <row r="2562" spans="1:12" x14ac:dyDescent="0.25">
      <c r="C2562" s="16">
        <v>9038</v>
      </c>
      <c r="D2562" s="16" t="str">
        <f>VLOOKUP(C2562,[1]道具配置表!$A:$D,4,FALSE)</f>
        <v>最高等级弓兵直接使用X1</v>
      </c>
      <c r="E2562" s="24">
        <f t="shared" si="56"/>
        <v>2600</v>
      </c>
      <c r="J2562" s="16">
        <v>1</v>
      </c>
      <c r="L2562" s="16" t="b">
        <v>1</v>
      </c>
    </row>
    <row r="2563" spans="1:12" x14ac:dyDescent="0.25">
      <c r="A2563" s="16">
        <f>A2558+1</f>
        <v>1922110</v>
      </c>
      <c r="B2563" s="16" t="str">
        <f>"核心主线-"&amp;A2563-1922096</f>
        <v>核心主线-14</v>
      </c>
      <c r="C2563" s="30">
        <v>2007</v>
      </c>
      <c r="D2563" s="16" t="str">
        <f>VLOOKUP(C2563,[1]道具配置表!$A:$D,4,FALSE)</f>
        <v>大奖池招募券</v>
      </c>
      <c r="E2563" s="16">
        <v>2</v>
      </c>
      <c r="J2563" s="16">
        <v>1</v>
      </c>
      <c r="L2563" s="16" t="b">
        <v>1</v>
      </c>
    </row>
    <row r="2564" spans="1:12" x14ac:dyDescent="0.25">
      <c r="C2564" s="16">
        <v>9035</v>
      </c>
      <c r="D2564" s="16" t="str">
        <f>VLOOKUP(C2564,[1]道具配置表!$A:$D,4,FALSE)</f>
        <v>最高等级剑士直接使用X1</v>
      </c>
      <c r="E2564" s="24">
        <f>E2559+200</f>
        <v>2800</v>
      </c>
      <c r="J2564" s="16">
        <v>1</v>
      </c>
      <c r="L2564" s="16" t="b">
        <v>1</v>
      </c>
    </row>
    <row r="2565" spans="1:12" x14ac:dyDescent="0.25">
      <c r="C2565" s="16">
        <v>9036</v>
      </c>
      <c r="D2565" s="16" t="str">
        <f>VLOOKUP(C2565,[1]道具配置表!$A:$D,4,FALSE)</f>
        <v>最高等级枪兵直接使用X1</v>
      </c>
      <c r="E2565" s="24">
        <f t="shared" ref="E2565:E2567" si="57">E2560+200</f>
        <v>2800</v>
      </c>
      <c r="J2565" s="16">
        <v>1</v>
      </c>
      <c r="L2565" s="16" t="b">
        <v>1</v>
      </c>
    </row>
    <row r="2566" spans="1:12" x14ac:dyDescent="0.25">
      <c r="C2566" s="16">
        <v>9037</v>
      </c>
      <c r="D2566" s="16" t="str">
        <f>VLOOKUP(C2566,[1]道具配置表!$A:$D,4,FALSE)</f>
        <v>最高等级骑兵直接使用X1</v>
      </c>
      <c r="E2566" s="24">
        <f t="shared" si="57"/>
        <v>2800</v>
      </c>
      <c r="J2566" s="16">
        <v>1</v>
      </c>
      <c r="L2566" s="16" t="b">
        <v>1</v>
      </c>
    </row>
    <row r="2567" spans="1:12" x14ac:dyDescent="0.25">
      <c r="C2567" s="16">
        <v>9038</v>
      </c>
      <c r="D2567" s="16" t="str">
        <f>VLOOKUP(C2567,[1]道具配置表!$A:$D,4,FALSE)</f>
        <v>最高等级弓兵直接使用X1</v>
      </c>
      <c r="E2567" s="24">
        <f t="shared" si="57"/>
        <v>2800</v>
      </c>
      <c r="J2567" s="16">
        <v>1</v>
      </c>
      <c r="L2567" s="16" t="b">
        <v>1</v>
      </c>
    </row>
    <row r="2568" spans="1:12" x14ac:dyDescent="0.25">
      <c r="A2568" s="16">
        <f>A2563+1</f>
        <v>1922111</v>
      </c>
      <c r="B2568" s="16" t="str">
        <f>"核心主线-"&amp;A2568-1922096</f>
        <v>核心主线-15</v>
      </c>
      <c r="C2568" s="30">
        <v>2007</v>
      </c>
      <c r="D2568" s="16" t="str">
        <f>VLOOKUP(C2568,[1]道具配置表!$A:$D,4,FALSE)</f>
        <v>大奖池招募券</v>
      </c>
      <c r="E2568" s="16">
        <v>2</v>
      </c>
      <c r="J2568" s="16">
        <v>1</v>
      </c>
      <c r="L2568" s="16" t="b">
        <v>1</v>
      </c>
    </row>
    <row r="2569" spans="1:12" x14ac:dyDescent="0.25">
      <c r="C2569" s="16">
        <v>9035</v>
      </c>
      <c r="D2569" s="16" t="str">
        <f>VLOOKUP(C2569,[1]道具配置表!$A:$D,4,FALSE)</f>
        <v>最高等级剑士直接使用X1</v>
      </c>
      <c r="E2569" s="24">
        <f>E2564+200</f>
        <v>3000</v>
      </c>
      <c r="J2569" s="16">
        <v>1</v>
      </c>
      <c r="L2569" s="16" t="b">
        <v>1</v>
      </c>
    </row>
    <row r="2570" spans="1:12" x14ac:dyDescent="0.25">
      <c r="C2570" s="16">
        <v>9036</v>
      </c>
      <c r="D2570" s="16" t="str">
        <f>VLOOKUP(C2570,[1]道具配置表!$A:$D,4,FALSE)</f>
        <v>最高等级枪兵直接使用X1</v>
      </c>
      <c r="E2570" s="24">
        <f t="shared" ref="E2570:E2572" si="58">E2565+200</f>
        <v>3000</v>
      </c>
      <c r="J2570" s="16">
        <v>1</v>
      </c>
      <c r="L2570" s="16" t="b">
        <v>1</v>
      </c>
    </row>
    <row r="2571" spans="1:12" x14ac:dyDescent="0.25">
      <c r="C2571" s="16">
        <v>9037</v>
      </c>
      <c r="D2571" s="16" t="str">
        <f>VLOOKUP(C2571,[1]道具配置表!$A:$D,4,FALSE)</f>
        <v>最高等级骑兵直接使用X1</v>
      </c>
      <c r="E2571" s="24">
        <f t="shared" si="58"/>
        <v>3000</v>
      </c>
      <c r="J2571" s="16">
        <v>1</v>
      </c>
      <c r="L2571" s="16" t="b">
        <v>1</v>
      </c>
    </row>
    <row r="2572" spans="1:12" x14ac:dyDescent="0.25">
      <c r="C2572" s="16">
        <v>9038</v>
      </c>
      <c r="D2572" s="16" t="str">
        <f>VLOOKUP(C2572,[1]道具配置表!$A:$D,4,FALSE)</f>
        <v>最高等级弓兵直接使用X1</v>
      </c>
      <c r="E2572" s="24">
        <f t="shared" si="58"/>
        <v>3000</v>
      </c>
      <c r="J2572" s="16">
        <v>1</v>
      </c>
      <c r="L2572" s="16" t="b">
        <v>1</v>
      </c>
    </row>
    <row r="2573" spans="1:12" x14ac:dyDescent="0.25">
      <c r="A2573" s="16">
        <f>A2568+1</f>
        <v>1922112</v>
      </c>
      <c r="B2573" s="16" t="str">
        <f>"核心主线-"&amp;A2573-1922096</f>
        <v>核心主线-16</v>
      </c>
      <c r="C2573" s="30">
        <v>2007</v>
      </c>
      <c r="D2573" s="16" t="str">
        <f>VLOOKUP(C2573,[1]道具配置表!$A:$D,4,FALSE)</f>
        <v>大奖池招募券</v>
      </c>
      <c r="E2573" s="16">
        <v>2</v>
      </c>
      <c r="J2573" s="16">
        <v>1</v>
      </c>
      <c r="L2573" s="16" t="b">
        <v>1</v>
      </c>
    </row>
    <row r="2574" spans="1:12" x14ac:dyDescent="0.25">
      <c r="C2574" s="16">
        <v>9035</v>
      </c>
      <c r="D2574" s="16" t="str">
        <f>VLOOKUP(C2574,[1]道具配置表!$A:$D,4,FALSE)</f>
        <v>最高等级剑士直接使用X1</v>
      </c>
      <c r="E2574" s="24">
        <f>E2569+200</f>
        <v>3200</v>
      </c>
      <c r="J2574" s="16">
        <v>1</v>
      </c>
      <c r="L2574" s="16" t="b">
        <v>1</v>
      </c>
    </row>
    <row r="2575" spans="1:12" x14ac:dyDescent="0.25">
      <c r="C2575" s="16">
        <v>9036</v>
      </c>
      <c r="D2575" s="16" t="str">
        <f>VLOOKUP(C2575,[1]道具配置表!$A:$D,4,FALSE)</f>
        <v>最高等级枪兵直接使用X1</v>
      </c>
      <c r="E2575" s="24">
        <f t="shared" ref="E2575:E2577" si="59">E2570+200</f>
        <v>3200</v>
      </c>
      <c r="J2575" s="16">
        <v>1</v>
      </c>
      <c r="L2575" s="16" t="b">
        <v>1</v>
      </c>
    </row>
    <row r="2576" spans="1:12" x14ac:dyDescent="0.25">
      <c r="C2576" s="16">
        <v>9037</v>
      </c>
      <c r="D2576" s="16" t="str">
        <f>VLOOKUP(C2576,[1]道具配置表!$A:$D,4,FALSE)</f>
        <v>最高等级骑兵直接使用X1</v>
      </c>
      <c r="E2576" s="24">
        <f t="shared" si="59"/>
        <v>3200</v>
      </c>
      <c r="J2576" s="16">
        <v>1</v>
      </c>
      <c r="L2576" s="16" t="b">
        <v>1</v>
      </c>
    </row>
    <row r="2577" spans="1:12" x14ac:dyDescent="0.25">
      <c r="C2577" s="16">
        <v>9038</v>
      </c>
      <c r="D2577" s="16" t="str">
        <f>VLOOKUP(C2577,[1]道具配置表!$A:$D,4,FALSE)</f>
        <v>最高等级弓兵直接使用X1</v>
      </c>
      <c r="E2577" s="24">
        <f t="shared" si="59"/>
        <v>3200</v>
      </c>
      <c r="J2577" s="16">
        <v>1</v>
      </c>
      <c r="L2577" s="16" t="b">
        <v>1</v>
      </c>
    </row>
    <row r="2578" spans="1:12" x14ac:dyDescent="0.25">
      <c r="A2578" s="16">
        <f>A2573+1</f>
        <v>1922113</v>
      </c>
      <c r="B2578" s="16" t="str">
        <f>"核心主线-"&amp;A2578-1922096</f>
        <v>核心主线-17</v>
      </c>
      <c r="C2578" s="30">
        <v>2007</v>
      </c>
      <c r="D2578" s="16" t="str">
        <f>VLOOKUP(C2578,[1]道具配置表!$A:$D,4,FALSE)</f>
        <v>大奖池招募券</v>
      </c>
      <c r="E2578" s="16">
        <v>2</v>
      </c>
      <c r="J2578" s="16">
        <v>1</v>
      </c>
      <c r="L2578" s="16" t="b">
        <v>1</v>
      </c>
    </row>
    <row r="2579" spans="1:12" s="32" customFormat="1" x14ac:dyDescent="0.25">
      <c r="C2579" s="32">
        <v>49113</v>
      </c>
      <c r="D2579" s="32" t="s">
        <v>1634</v>
      </c>
      <c r="E2579" s="32">
        <v>1</v>
      </c>
      <c r="J2579" s="32">
        <v>1</v>
      </c>
      <c r="L2579" s="32" t="b">
        <v>1</v>
      </c>
    </row>
    <row r="2580" spans="1:12" s="32" customFormat="1" x14ac:dyDescent="0.25">
      <c r="C2580" s="32">
        <v>49109</v>
      </c>
      <c r="D2580" s="32" t="s">
        <v>1635</v>
      </c>
      <c r="E2580" s="32">
        <v>1</v>
      </c>
      <c r="J2580" s="32">
        <v>1</v>
      </c>
      <c r="L2580" s="32" t="b">
        <v>1</v>
      </c>
    </row>
    <row r="2581" spans="1:12" s="33" customFormat="1" x14ac:dyDescent="0.25">
      <c r="C2581" s="33">
        <v>49080</v>
      </c>
      <c r="D2581" s="33" t="s">
        <v>1641</v>
      </c>
      <c r="E2581" s="33">
        <v>15</v>
      </c>
      <c r="J2581" s="33">
        <v>1</v>
      </c>
      <c r="L2581" s="33" t="b">
        <v>1</v>
      </c>
    </row>
    <row r="2582" spans="1:12" x14ac:dyDescent="0.25">
      <c r="C2582" s="16">
        <v>9035</v>
      </c>
      <c r="D2582" s="16" t="str">
        <f>VLOOKUP(C2582,[1]道具配置表!$A:$D,4,FALSE)</f>
        <v>最高等级剑士直接使用X1</v>
      </c>
      <c r="E2582" s="24">
        <f>E2574+200</f>
        <v>3400</v>
      </c>
      <c r="J2582" s="16">
        <v>1</v>
      </c>
      <c r="L2582" s="16" t="b">
        <v>1</v>
      </c>
    </row>
    <row r="2583" spans="1:12" x14ac:dyDescent="0.25">
      <c r="C2583" s="16">
        <v>9036</v>
      </c>
      <c r="D2583" s="16" t="str">
        <f>VLOOKUP(C2583,[1]道具配置表!$A:$D,4,FALSE)</f>
        <v>最高等级枪兵直接使用X1</v>
      </c>
      <c r="E2583" s="24">
        <f>E2575+200</f>
        <v>3400</v>
      </c>
      <c r="J2583" s="16">
        <v>1</v>
      </c>
      <c r="L2583" s="16" t="b">
        <v>1</v>
      </c>
    </row>
    <row r="2584" spans="1:12" x14ac:dyDescent="0.25">
      <c r="C2584" s="16">
        <v>9037</v>
      </c>
      <c r="D2584" s="16" t="str">
        <f>VLOOKUP(C2584,[1]道具配置表!$A:$D,4,FALSE)</f>
        <v>最高等级骑兵直接使用X1</v>
      </c>
      <c r="E2584" s="24">
        <f>E2576+200</f>
        <v>3400</v>
      </c>
      <c r="J2584" s="16">
        <v>1</v>
      </c>
      <c r="L2584" s="16" t="b">
        <v>1</v>
      </c>
    </row>
    <row r="2585" spans="1:12" x14ac:dyDescent="0.25">
      <c r="C2585" s="16">
        <v>9038</v>
      </c>
      <c r="D2585" s="16" t="str">
        <f>VLOOKUP(C2585,[1]道具配置表!$A:$D,4,FALSE)</f>
        <v>最高等级弓兵直接使用X1</v>
      </c>
      <c r="E2585" s="24">
        <f>E2577+200</f>
        <v>3400</v>
      </c>
      <c r="J2585" s="16">
        <v>1</v>
      </c>
      <c r="L2585" s="16" t="b">
        <v>1</v>
      </c>
    </row>
    <row r="2586" spans="1:12" x14ac:dyDescent="0.25">
      <c r="A2586" s="16">
        <f>A2578+1</f>
        <v>1922114</v>
      </c>
      <c r="B2586" s="16" t="str">
        <f>"核心主线-"&amp;A2586-1922096</f>
        <v>核心主线-18</v>
      </c>
      <c r="C2586" s="30">
        <v>2007</v>
      </c>
      <c r="D2586" s="16" t="str">
        <f>VLOOKUP(C2586,[1]道具配置表!$A:$D,4,FALSE)</f>
        <v>大奖池招募券</v>
      </c>
      <c r="E2586" s="16">
        <v>2</v>
      </c>
      <c r="J2586" s="16">
        <v>1</v>
      </c>
      <c r="L2586" s="16" t="b">
        <v>1</v>
      </c>
    </row>
    <row r="2587" spans="1:12" x14ac:dyDescent="0.25">
      <c r="C2587" s="16">
        <v>9035</v>
      </c>
      <c r="D2587" s="16" t="str">
        <f>VLOOKUP(C2587,[1]道具配置表!$A:$D,4,FALSE)</f>
        <v>最高等级剑士直接使用X1</v>
      </c>
      <c r="E2587" s="24">
        <f>E2582+200</f>
        <v>3600</v>
      </c>
      <c r="J2587" s="16">
        <v>1</v>
      </c>
      <c r="L2587" s="16" t="b">
        <v>1</v>
      </c>
    </row>
    <row r="2588" spans="1:12" x14ac:dyDescent="0.25">
      <c r="C2588" s="16">
        <v>9036</v>
      </c>
      <c r="D2588" s="16" t="str">
        <f>VLOOKUP(C2588,[1]道具配置表!$A:$D,4,FALSE)</f>
        <v>最高等级枪兵直接使用X1</v>
      </c>
      <c r="E2588" s="24">
        <f t="shared" ref="E2588:E2590" si="60">E2583+200</f>
        <v>3600</v>
      </c>
      <c r="J2588" s="16">
        <v>1</v>
      </c>
      <c r="L2588" s="16" t="b">
        <v>1</v>
      </c>
    </row>
    <row r="2589" spans="1:12" x14ac:dyDescent="0.25">
      <c r="C2589" s="16">
        <v>9037</v>
      </c>
      <c r="D2589" s="16" t="str">
        <f>VLOOKUP(C2589,[1]道具配置表!$A:$D,4,FALSE)</f>
        <v>最高等级骑兵直接使用X1</v>
      </c>
      <c r="E2589" s="24">
        <f t="shared" si="60"/>
        <v>3600</v>
      </c>
      <c r="J2589" s="16">
        <v>1</v>
      </c>
      <c r="L2589" s="16" t="b">
        <v>1</v>
      </c>
    </row>
    <row r="2590" spans="1:12" x14ac:dyDescent="0.25">
      <c r="C2590" s="16">
        <v>9038</v>
      </c>
      <c r="D2590" s="16" t="str">
        <f>VLOOKUP(C2590,[1]道具配置表!$A:$D,4,FALSE)</f>
        <v>最高等级弓兵直接使用X1</v>
      </c>
      <c r="E2590" s="24">
        <f t="shared" si="60"/>
        <v>3600</v>
      </c>
      <c r="J2590" s="16">
        <v>1</v>
      </c>
      <c r="L2590" s="16" t="b">
        <v>1</v>
      </c>
    </row>
    <row r="2591" spans="1:12" x14ac:dyDescent="0.25">
      <c r="A2591" s="16">
        <f>A2586+1</f>
        <v>1922115</v>
      </c>
      <c r="B2591" s="16" t="str">
        <f>"核心主线-"&amp;A2591-1922096</f>
        <v>核心主线-19</v>
      </c>
      <c r="C2591" s="30">
        <v>2007</v>
      </c>
      <c r="D2591" s="16" t="str">
        <f>VLOOKUP(C2591,[1]道具配置表!$A:$D,4,FALSE)</f>
        <v>大奖池招募券</v>
      </c>
      <c r="E2591" s="16">
        <v>2</v>
      </c>
      <c r="J2591" s="16">
        <v>1</v>
      </c>
      <c r="L2591" s="16" t="b">
        <v>1</v>
      </c>
    </row>
    <row r="2592" spans="1:12" x14ac:dyDescent="0.25">
      <c r="C2592" s="16">
        <v>9035</v>
      </c>
      <c r="D2592" s="16" t="str">
        <f>VLOOKUP(C2592,[1]道具配置表!$A:$D,4,FALSE)</f>
        <v>最高等级剑士直接使用X1</v>
      </c>
      <c r="E2592" s="24">
        <f>E2587+200</f>
        <v>3800</v>
      </c>
      <c r="J2592" s="16">
        <v>1</v>
      </c>
      <c r="L2592" s="16" t="b">
        <v>1</v>
      </c>
    </row>
    <row r="2593" spans="1:12" x14ac:dyDescent="0.25">
      <c r="C2593" s="16">
        <v>9036</v>
      </c>
      <c r="D2593" s="16" t="str">
        <f>VLOOKUP(C2593,[1]道具配置表!$A:$D,4,FALSE)</f>
        <v>最高等级枪兵直接使用X1</v>
      </c>
      <c r="E2593" s="24">
        <f t="shared" ref="E2593:E2595" si="61">E2588+200</f>
        <v>3800</v>
      </c>
      <c r="J2593" s="16">
        <v>1</v>
      </c>
      <c r="L2593" s="16" t="b">
        <v>1</v>
      </c>
    </row>
    <row r="2594" spans="1:12" x14ac:dyDescent="0.25">
      <c r="C2594" s="16">
        <v>9037</v>
      </c>
      <c r="D2594" s="16" t="str">
        <f>VLOOKUP(C2594,[1]道具配置表!$A:$D,4,FALSE)</f>
        <v>最高等级骑兵直接使用X1</v>
      </c>
      <c r="E2594" s="24">
        <f t="shared" si="61"/>
        <v>3800</v>
      </c>
      <c r="J2594" s="16">
        <v>1</v>
      </c>
      <c r="L2594" s="16" t="b">
        <v>1</v>
      </c>
    </row>
    <row r="2595" spans="1:12" x14ac:dyDescent="0.25">
      <c r="C2595" s="16">
        <v>9038</v>
      </c>
      <c r="D2595" s="16" t="str">
        <f>VLOOKUP(C2595,[1]道具配置表!$A:$D,4,FALSE)</f>
        <v>最高等级弓兵直接使用X1</v>
      </c>
      <c r="E2595" s="24">
        <f t="shared" si="61"/>
        <v>3800</v>
      </c>
      <c r="J2595" s="16">
        <v>1</v>
      </c>
      <c r="L2595" s="16" t="b">
        <v>1</v>
      </c>
    </row>
    <row r="2596" spans="1:12" x14ac:dyDescent="0.25">
      <c r="A2596" s="16">
        <f>A2591+1</f>
        <v>1922116</v>
      </c>
      <c r="B2596" s="16" t="str">
        <f>"核心主线-"&amp;A2596-1922096</f>
        <v>核心主线-20</v>
      </c>
      <c r="C2596" s="30">
        <v>2007</v>
      </c>
      <c r="D2596" s="16" t="str">
        <f>VLOOKUP(C2596,[1]道具配置表!$A:$D,4,FALSE)</f>
        <v>大奖池招募券</v>
      </c>
      <c r="E2596" s="16">
        <v>2</v>
      </c>
      <c r="J2596" s="16">
        <v>1</v>
      </c>
      <c r="L2596" s="16" t="b">
        <v>1</v>
      </c>
    </row>
    <row r="2597" spans="1:12" x14ac:dyDescent="0.25">
      <c r="C2597" s="16">
        <v>9035</v>
      </c>
      <c r="D2597" s="16" t="str">
        <f>VLOOKUP(C2597,[1]道具配置表!$A:$D,4,FALSE)</f>
        <v>最高等级剑士直接使用X1</v>
      </c>
      <c r="E2597" s="24">
        <f>E2592+200</f>
        <v>4000</v>
      </c>
      <c r="J2597" s="16">
        <v>1</v>
      </c>
      <c r="L2597" s="16" t="b">
        <v>1</v>
      </c>
    </row>
    <row r="2598" spans="1:12" x14ac:dyDescent="0.25">
      <c r="C2598" s="16">
        <v>9036</v>
      </c>
      <c r="D2598" s="16" t="str">
        <f>VLOOKUP(C2598,[1]道具配置表!$A:$D,4,FALSE)</f>
        <v>最高等级枪兵直接使用X1</v>
      </c>
      <c r="E2598" s="24">
        <f t="shared" ref="E2598:E2600" si="62">E2593+200</f>
        <v>4000</v>
      </c>
      <c r="J2598" s="16">
        <v>1</v>
      </c>
      <c r="L2598" s="16" t="b">
        <v>1</v>
      </c>
    </row>
    <row r="2599" spans="1:12" x14ac:dyDescent="0.25">
      <c r="C2599" s="16">
        <v>9037</v>
      </c>
      <c r="D2599" s="16" t="str">
        <f>VLOOKUP(C2599,[1]道具配置表!$A:$D,4,FALSE)</f>
        <v>最高等级骑兵直接使用X1</v>
      </c>
      <c r="E2599" s="24">
        <f t="shared" si="62"/>
        <v>4000</v>
      </c>
      <c r="J2599" s="16">
        <v>1</v>
      </c>
      <c r="L2599" s="16" t="b">
        <v>1</v>
      </c>
    </row>
    <row r="2600" spans="1:12" x14ac:dyDescent="0.25">
      <c r="C2600" s="16">
        <v>9038</v>
      </c>
      <c r="D2600" s="16" t="str">
        <f>VLOOKUP(C2600,[1]道具配置表!$A:$D,4,FALSE)</f>
        <v>最高等级弓兵直接使用X1</v>
      </c>
      <c r="E2600" s="24">
        <f t="shared" si="62"/>
        <v>4000</v>
      </c>
      <c r="J2600" s="16">
        <v>1</v>
      </c>
      <c r="L2600" s="16" t="b">
        <v>1</v>
      </c>
    </row>
    <row r="2601" spans="1:12" x14ac:dyDescent="0.25">
      <c r="A2601" s="16">
        <v>1922201</v>
      </c>
      <c r="B2601" s="16" t="s">
        <v>963</v>
      </c>
      <c r="C2601" s="16">
        <v>7003</v>
      </c>
      <c r="D2601" s="16" t="str">
        <f>VLOOKUP(C2601,[1]道具配置表!$A:$D,4,FALSE)</f>
        <v>1银币（立即使用，不进背包）</v>
      </c>
      <c r="E2601" s="16">
        <v>50</v>
      </c>
      <c r="J2601" s="16">
        <v>1</v>
      </c>
      <c r="L2601" s="16" t="b">
        <v>1</v>
      </c>
    </row>
    <row r="2602" spans="1:12" x14ac:dyDescent="0.25">
      <c r="C2602" s="16">
        <v>102</v>
      </c>
      <c r="D2602" s="16" t="str">
        <f>VLOOKUP(C2602,[1]道具配置表!$A:$D,4,FALSE)</f>
        <v>1食物</v>
      </c>
      <c r="E2602" s="16">
        <v>30000</v>
      </c>
      <c r="J2602" s="16">
        <v>1</v>
      </c>
      <c r="L2602" s="16" t="b">
        <v>1</v>
      </c>
    </row>
    <row r="2603" spans="1:12" x14ac:dyDescent="0.25">
      <c r="A2603" s="16">
        <v>1923001</v>
      </c>
      <c r="B2603" s="16" t="s">
        <v>964</v>
      </c>
      <c r="C2603" s="16">
        <v>101</v>
      </c>
      <c r="D2603" s="16" t="str">
        <f>VLOOKUP(C2603,[1]道具配置表!$A:$D,4,FALSE)</f>
        <v>1木材</v>
      </c>
      <c r="E2603" s="16">
        <v>1000</v>
      </c>
      <c r="J2603" s="16">
        <v>1</v>
      </c>
      <c r="L2603" s="16" t="b">
        <v>1</v>
      </c>
    </row>
    <row r="2604" spans="1:12" x14ac:dyDescent="0.25">
      <c r="C2604" s="16">
        <v>103</v>
      </c>
      <c r="D2604" s="16" t="str">
        <f>VLOOKUP(C2604,[1]道具配置表!$A:$D,4,FALSE)</f>
        <v>1石头</v>
      </c>
      <c r="E2604" s="16">
        <v>1000</v>
      </c>
      <c r="J2604" s="16">
        <v>1</v>
      </c>
      <c r="L2604" s="16" t="b">
        <v>1</v>
      </c>
    </row>
    <row r="2605" spans="1:12" x14ac:dyDescent="0.25">
      <c r="C2605" s="16">
        <v>104</v>
      </c>
      <c r="D2605" s="16" t="str">
        <f>VLOOKUP(C2605,[1]道具配置表!$A:$D,4,FALSE)</f>
        <v>1黄金</v>
      </c>
      <c r="E2605" s="16">
        <v>1000</v>
      </c>
      <c r="J2605" s="16">
        <v>1</v>
      </c>
      <c r="L2605" s="16" t="b">
        <v>1</v>
      </c>
    </row>
    <row r="2606" spans="1:12" x14ac:dyDescent="0.25">
      <c r="A2606" s="16">
        <f>A2603+1</f>
        <v>1923002</v>
      </c>
      <c r="B2606" s="16" t="s">
        <v>965</v>
      </c>
      <c r="C2606" s="16">
        <v>101</v>
      </c>
      <c r="D2606" s="16" t="str">
        <f>VLOOKUP(C2606,[1]道具配置表!$A:$D,4,FALSE)</f>
        <v>1木材</v>
      </c>
      <c r="E2606" s="16">
        <v>2000</v>
      </c>
      <c r="J2606" s="16">
        <v>1</v>
      </c>
      <c r="L2606" s="16" t="b">
        <v>1</v>
      </c>
    </row>
    <row r="2607" spans="1:12" x14ac:dyDescent="0.25">
      <c r="C2607" s="16">
        <v>103</v>
      </c>
      <c r="D2607" s="16" t="str">
        <f>VLOOKUP(C2607,[1]道具配置表!$A:$D,4,FALSE)</f>
        <v>1石头</v>
      </c>
      <c r="E2607" s="16">
        <v>2000</v>
      </c>
      <c r="J2607" s="16">
        <v>1</v>
      </c>
      <c r="L2607" s="16" t="b">
        <v>1</v>
      </c>
    </row>
    <row r="2608" spans="1:12" x14ac:dyDescent="0.25">
      <c r="C2608" s="16">
        <v>104</v>
      </c>
      <c r="D2608" s="16" t="str">
        <f>VLOOKUP(C2608,[1]道具配置表!$A:$D,4,FALSE)</f>
        <v>1黄金</v>
      </c>
      <c r="E2608" s="16">
        <v>2000</v>
      </c>
      <c r="J2608" s="16">
        <v>1</v>
      </c>
      <c r="L2608" s="16" t="b">
        <v>1</v>
      </c>
    </row>
    <row r="2609" spans="1:12" x14ac:dyDescent="0.25">
      <c r="A2609" s="16">
        <f>A2606+1</f>
        <v>1923003</v>
      </c>
      <c r="B2609" s="16" t="s">
        <v>966</v>
      </c>
      <c r="C2609" s="16">
        <v>101</v>
      </c>
      <c r="D2609" s="16" t="str">
        <f>VLOOKUP(C2609,[1]道具配置表!$A:$D,4,FALSE)</f>
        <v>1木材</v>
      </c>
      <c r="E2609" s="16">
        <v>4000</v>
      </c>
      <c r="J2609" s="16">
        <v>1</v>
      </c>
      <c r="L2609" s="16" t="b">
        <v>1</v>
      </c>
    </row>
    <row r="2610" spans="1:12" x14ac:dyDescent="0.25">
      <c r="C2610" s="16">
        <v>103</v>
      </c>
      <c r="D2610" s="16" t="str">
        <f>VLOOKUP(C2610,[1]道具配置表!$A:$D,4,FALSE)</f>
        <v>1石头</v>
      </c>
      <c r="E2610" s="16">
        <v>4000</v>
      </c>
      <c r="J2610" s="16">
        <v>1</v>
      </c>
      <c r="L2610" s="16" t="b">
        <v>1</v>
      </c>
    </row>
    <row r="2611" spans="1:12" x14ac:dyDescent="0.25">
      <c r="C2611" s="16">
        <v>104</v>
      </c>
      <c r="D2611" s="16" t="str">
        <f>VLOOKUP(C2611,[1]道具配置表!$A:$D,4,FALSE)</f>
        <v>1黄金</v>
      </c>
      <c r="E2611" s="16">
        <v>4000</v>
      </c>
      <c r="J2611" s="16">
        <v>1</v>
      </c>
      <c r="L2611" s="16" t="b">
        <v>1</v>
      </c>
    </row>
    <row r="2612" spans="1:12" x14ac:dyDescent="0.25">
      <c r="A2612" s="16">
        <f>A2609+1</f>
        <v>1923004</v>
      </c>
      <c r="B2612" s="16" t="s">
        <v>967</v>
      </c>
      <c r="C2612" s="16">
        <v>101</v>
      </c>
      <c r="D2612" s="16" t="str">
        <f>VLOOKUP(C2612,[1]道具配置表!$A:$D,4,FALSE)</f>
        <v>1木材</v>
      </c>
      <c r="E2612" s="16">
        <v>8000</v>
      </c>
      <c r="J2612" s="16">
        <v>1</v>
      </c>
      <c r="L2612" s="16" t="b">
        <v>1</v>
      </c>
    </row>
    <row r="2613" spans="1:12" x14ac:dyDescent="0.25">
      <c r="C2613" s="16">
        <v>103</v>
      </c>
      <c r="D2613" s="16" t="str">
        <f>VLOOKUP(C2613,[1]道具配置表!$A:$D,4,FALSE)</f>
        <v>1石头</v>
      </c>
      <c r="E2613" s="16">
        <v>8000</v>
      </c>
      <c r="J2613" s="16">
        <v>1</v>
      </c>
      <c r="L2613" s="16" t="b">
        <v>1</v>
      </c>
    </row>
    <row r="2614" spans="1:12" x14ac:dyDescent="0.25">
      <c r="C2614" s="16">
        <v>104</v>
      </c>
      <c r="D2614" s="16" t="str">
        <f>VLOOKUP(C2614,[1]道具配置表!$A:$D,4,FALSE)</f>
        <v>1黄金</v>
      </c>
      <c r="E2614" s="16">
        <v>8000</v>
      </c>
      <c r="J2614" s="16">
        <v>1</v>
      </c>
      <c r="L2614" s="16" t="b">
        <v>1</v>
      </c>
    </row>
    <row r="2615" spans="1:12" x14ac:dyDescent="0.25">
      <c r="A2615" s="16">
        <f>A2612+1</f>
        <v>1923005</v>
      </c>
      <c r="B2615" s="16" t="s">
        <v>968</v>
      </c>
      <c r="C2615" s="16">
        <v>101</v>
      </c>
      <c r="D2615" s="16" t="str">
        <f>VLOOKUP(C2615,[1]道具配置表!$A:$D,4,FALSE)</f>
        <v>1木材</v>
      </c>
      <c r="E2615" s="16">
        <v>12000</v>
      </c>
      <c r="J2615" s="16">
        <v>1</v>
      </c>
      <c r="L2615" s="16" t="b">
        <v>1</v>
      </c>
    </row>
    <row r="2616" spans="1:12" x14ac:dyDescent="0.25">
      <c r="C2616" s="16">
        <v>103</v>
      </c>
      <c r="D2616" s="16" t="str">
        <f>VLOOKUP(C2616,[1]道具配置表!$A:$D,4,FALSE)</f>
        <v>1石头</v>
      </c>
      <c r="E2616" s="16">
        <v>12000</v>
      </c>
      <c r="J2616" s="16">
        <v>1</v>
      </c>
      <c r="L2616" s="16" t="b">
        <v>1</v>
      </c>
    </row>
    <row r="2617" spans="1:12" x14ac:dyDescent="0.25">
      <c r="C2617" s="16">
        <v>104</v>
      </c>
      <c r="D2617" s="16" t="str">
        <f>VLOOKUP(C2617,[1]道具配置表!$A:$D,4,FALSE)</f>
        <v>1黄金</v>
      </c>
      <c r="E2617" s="16">
        <v>12000</v>
      </c>
      <c r="J2617" s="16">
        <v>1</v>
      </c>
      <c r="L2617" s="16" t="b">
        <v>1</v>
      </c>
    </row>
    <row r="2618" spans="1:12" x14ac:dyDescent="0.25">
      <c r="A2618" s="16">
        <f>A2615+1</f>
        <v>1923006</v>
      </c>
      <c r="B2618" s="16" t="s">
        <v>969</v>
      </c>
      <c r="C2618" s="16">
        <v>101</v>
      </c>
      <c r="D2618" s="16" t="str">
        <f>VLOOKUP(C2618,[1]道具配置表!$A:$D,4,FALSE)</f>
        <v>1木材</v>
      </c>
      <c r="E2618" s="16">
        <v>16000</v>
      </c>
      <c r="J2618" s="16">
        <v>1</v>
      </c>
      <c r="L2618" s="16" t="b">
        <v>1</v>
      </c>
    </row>
    <row r="2619" spans="1:12" x14ac:dyDescent="0.25">
      <c r="C2619" s="16">
        <v>103</v>
      </c>
      <c r="D2619" s="16" t="str">
        <f>VLOOKUP(C2619,[1]道具配置表!$A:$D,4,FALSE)</f>
        <v>1石头</v>
      </c>
      <c r="E2619" s="16">
        <v>16000</v>
      </c>
      <c r="J2619" s="16">
        <v>1</v>
      </c>
      <c r="L2619" s="16" t="b">
        <v>1</v>
      </c>
    </row>
    <row r="2620" spans="1:12" x14ac:dyDescent="0.25">
      <c r="C2620" s="16">
        <v>104</v>
      </c>
      <c r="D2620" s="16" t="str">
        <f>VLOOKUP(C2620,[1]道具配置表!$A:$D,4,FALSE)</f>
        <v>1黄金</v>
      </c>
      <c r="E2620" s="16">
        <v>16000</v>
      </c>
      <c r="J2620" s="16">
        <v>1</v>
      </c>
      <c r="L2620" s="16" t="b">
        <v>1</v>
      </c>
    </row>
    <row r="2621" spans="1:12" x14ac:dyDescent="0.25">
      <c r="A2621" s="16">
        <f>A2618+1</f>
        <v>1923007</v>
      </c>
      <c r="B2621" s="16" t="s">
        <v>970</v>
      </c>
      <c r="C2621" s="16">
        <v>101</v>
      </c>
      <c r="D2621" s="16" t="str">
        <f>VLOOKUP(C2621,[1]道具配置表!$A:$D,4,FALSE)</f>
        <v>1木材</v>
      </c>
      <c r="E2621" s="16">
        <v>20000</v>
      </c>
      <c r="J2621" s="16">
        <v>1</v>
      </c>
      <c r="L2621" s="16" t="b">
        <v>1</v>
      </c>
    </row>
    <row r="2622" spans="1:12" x14ac:dyDescent="0.25">
      <c r="C2622" s="16">
        <v>103</v>
      </c>
      <c r="D2622" s="16" t="str">
        <f>VLOOKUP(C2622,[1]道具配置表!$A:$D,4,FALSE)</f>
        <v>1石头</v>
      </c>
      <c r="E2622" s="16">
        <v>20000</v>
      </c>
      <c r="J2622" s="16">
        <v>1</v>
      </c>
      <c r="L2622" s="16" t="b">
        <v>1</v>
      </c>
    </row>
    <row r="2623" spans="1:12" x14ac:dyDescent="0.25">
      <c r="C2623" s="16">
        <v>104</v>
      </c>
      <c r="D2623" s="16" t="str">
        <f>VLOOKUP(C2623,[1]道具配置表!$A:$D,4,FALSE)</f>
        <v>1黄金</v>
      </c>
      <c r="E2623" s="16">
        <v>20000</v>
      </c>
      <c r="J2623" s="16">
        <v>1</v>
      </c>
      <c r="L2623" s="16" t="b">
        <v>1</v>
      </c>
    </row>
    <row r="2624" spans="1:12" x14ac:dyDescent="0.25">
      <c r="A2624" s="16">
        <f>A2621+1</f>
        <v>1923008</v>
      </c>
      <c r="B2624" s="16" t="s">
        <v>971</v>
      </c>
      <c r="C2624" s="16">
        <v>101</v>
      </c>
      <c r="D2624" s="16" t="str">
        <f>VLOOKUP(C2624,[1]道具配置表!$A:$D,4,FALSE)</f>
        <v>1木材</v>
      </c>
      <c r="E2624" s="16">
        <v>30000</v>
      </c>
      <c r="J2624" s="16">
        <v>1</v>
      </c>
      <c r="L2624" s="16" t="b">
        <v>1</v>
      </c>
    </row>
    <row r="2625" spans="1:12" x14ac:dyDescent="0.25">
      <c r="C2625" s="16">
        <v>103</v>
      </c>
      <c r="D2625" s="16" t="str">
        <f>VLOOKUP(C2625,[1]道具配置表!$A:$D,4,FALSE)</f>
        <v>1石头</v>
      </c>
      <c r="E2625" s="16">
        <v>30000</v>
      </c>
      <c r="J2625" s="16">
        <v>1</v>
      </c>
      <c r="L2625" s="16" t="b">
        <v>1</v>
      </c>
    </row>
    <row r="2626" spans="1:12" x14ac:dyDescent="0.25">
      <c r="C2626" s="16">
        <v>104</v>
      </c>
      <c r="D2626" s="16" t="str">
        <f>VLOOKUP(C2626,[1]道具配置表!$A:$D,4,FALSE)</f>
        <v>1黄金</v>
      </c>
      <c r="E2626" s="16">
        <v>30000</v>
      </c>
      <c r="J2626" s="16">
        <v>1</v>
      </c>
      <c r="L2626" s="16" t="b">
        <v>1</v>
      </c>
    </row>
    <row r="2627" spans="1:12" x14ac:dyDescent="0.25">
      <c r="A2627" s="16">
        <f>A2624+1</f>
        <v>1923009</v>
      </c>
      <c r="B2627" s="16" t="s">
        <v>972</v>
      </c>
      <c r="C2627" s="16">
        <v>101</v>
      </c>
      <c r="D2627" s="16" t="str">
        <f>VLOOKUP(C2627,[1]道具配置表!$A:$D,4,FALSE)</f>
        <v>1木材</v>
      </c>
      <c r="E2627" s="16">
        <v>40000</v>
      </c>
      <c r="J2627" s="16">
        <v>1</v>
      </c>
      <c r="L2627" s="16" t="b">
        <v>1</v>
      </c>
    </row>
    <row r="2628" spans="1:12" x14ac:dyDescent="0.25">
      <c r="C2628" s="16">
        <v>103</v>
      </c>
      <c r="D2628" s="16" t="str">
        <f>VLOOKUP(C2628,[1]道具配置表!$A:$D,4,FALSE)</f>
        <v>1石头</v>
      </c>
      <c r="E2628" s="16">
        <v>40000</v>
      </c>
      <c r="J2628" s="16">
        <v>1</v>
      </c>
      <c r="L2628" s="16" t="b">
        <v>1</v>
      </c>
    </row>
    <row r="2629" spans="1:12" x14ac:dyDescent="0.25">
      <c r="C2629" s="16">
        <v>104</v>
      </c>
      <c r="D2629" s="16" t="str">
        <f>VLOOKUP(C2629,[1]道具配置表!$A:$D,4,FALSE)</f>
        <v>1黄金</v>
      </c>
      <c r="E2629" s="16">
        <v>40000</v>
      </c>
      <c r="J2629" s="16">
        <v>1</v>
      </c>
      <c r="L2629" s="16" t="b">
        <v>1</v>
      </c>
    </row>
    <row r="2630" spans="1:12" x14ac:dyDescent="0.25">
      <c r="A2630" s="16">
        <f>A2627+1</f>
        <v>1923010</v>
      </c>
      <c r="B2630" s="16" t="s">
        <v>973</v>
      </c>
      <c r="C2630" s="16">
        <v>101</v>
      </c>
      <c r="D2630" s="16" t="str">
        <f>VLOOKUP(C2630,[1]道具配置表!$A:$D,4,FALSE)</f>
        <v>1木材</v>
      </c>
      <c r="E2630" s="16">
        <v>50000</v>
      </c>
      <c r="J2630" s="16">
        <v>1</v>
      </c>
      <c r="L2630" s="16" t="b">
        <v>1</v>
      </c>
    </row>
    <row r="2631" spans="1:12" x14ac:dyDescent="0.25">
      <c r="C2631" s="16">
        <v>103</v>
      </c>
      <c r="D2631" s="16" t="str">
        <f>VLOOKUP(C2631,[1]道具配置表!$A:$D,4,FALSE)</f>
        <v>1石头</v>
      </c>
      <c r="E2631" s="16">
        <v>50000</v>
      </c>
      <c r="J2631" s="16">
        <v>1</v>
      </c>
      <c r="L2631" s="16" t="b">
        <v>1</v>
      </c>
    </row>
    <row r="2632" spans="1:12" x14ac:dyDescent="0.25">
      <c r="C2632" s="16">
        <v>104</v>
      </c>
      <c r="D2632" s="16" t="str">
        <f>VLOOKUP(C2632,[1]道具配置表!$A:$D,4,FALSE)</f>
        <v>1黄金</v>
      </c>
      <c r="E2632" s="16">
        <v>50000</v>
      </c>
      <c r="J2632" s="16">
        <v>1</v>
      </c>
      <c r="L2632" s="16" t="b">
        <v>1</v>
      </c>
    </row>
    <row r="2633" spans="1:12" s="34" customFormat="1" hidden="1" outlineLevel="1" x14ac:dyDescent="0.25">
      <c r="A2633" s="34">
        <v>1923101</v>
      </c>
      <c r="B2633" s="34" t="s">
        <v>974</v>
      </c>
      <c r="C2633" s="34">
        <v>102</v>
      </c>
      <c r="D2633" s="35" t="str">
        <f>VLOOKUP(C2633,[1]道具配置表!$A:$D,4,FALSE)</f>
        <v>1食物</v>
      </c>
      <c r="E2633" s="34">
        <v>40000</v>
      </c>
      <c r="J2633" s="34">
        <v>1</v>
      </c>
      <c r="L2633" s="35" t="b">
        <v>1</v>
      </c>
    </row>
    <row r="2634" spans="1:12" s="34" customFormat="1" hidden="1" outlineLevel="1" x14ac:dyDescent="0.25">
      <c r="C2634" s="34">
        <v>101</v>
      </c>
      <c r="D2634" s="35" t="str">
        <f>VLOOKUP(C2634,[1]道具配置表!$A:$D,4,FALSE)</f>
        <v>1木材</v>
      </c>
      <c r="E2634" s="34">
        <v>10000</v>
      </c>
      <c r="J2634" s="34">
        <v>1</v>
      </c>
      <c r="L2634" s="35" t="b">
        <v>1</v>
      </c>
    </row>
    <row r="2635" spans="1:12" s="34" customFormat="1" hidden="1" outlineLevel="1" x14ac:dyDescent="0.25">
      <c r="C2635" s="34">
        <v>103</v>
      </c>
      <c r="D2635" s="35" t="str">
        <f>VLOOKUP(C2635,[1]道具配置表!$A:$D,4,FALSE)</f>
        <v>1石头</v>
      </c>
      <c r="E2635" s="34">
        <v>10000</v>
      </c>
      <c r="J2635" s="34">
        <v>1</v>
      </c>
      <c r="L2635" s="35" t="b">
        <v>1</v>
      </c>
    </row>
    <row r="2636" spans="1:12" s="34" customFormat="1" hidden="1" outlineLevel="1" x14ac:dyDescent="0.25">
      <c r="C2636" s="34">
        <v>104</v>
      </c>
      <c r="D2636" s="35" t="str">
        <f>VLOOKUP(C2636,[1]道具配置表!$A:$D,4,FALSE)</f>
        <v>1黄金</v>
      </c>
      <c r="E2636" s="34">
        <v>10000</v>
      </c>
      <c r="J2636" s="34">
        <v>1</v>
      </c>
      <c r="L2636" s="35" t="b">
        <v>1</v>
      </c>
    </row>
    <row r="2637" spans="1:12" s="34" customFormat="1" hidden="1" outlineLevel="1" x14ac:dyDescent="0.25">
      <c r="C2637" s="34">
        <v>7010</v>
      </c>
      <c r="D2637" s="35" t="str">
        <f>VLOOKUP(C2637,[1]道具配置表!$A:$D,4,FALSE)</f>
        <v>军演币</v>
      </c>
      <c r="E2637" s="34">
        <v>10</v>
      </c>
      <c r="J2637" s="34">
        <v>1</v>
      </c>
      <c r="L2637" s="35" t="b">
        <v>1</v>
      </c>
    </row>
    <row r="2638" spans="1:12" s="34" customFormat="1" hidden="1" outlineLevel="1" x14ac:dyDescent="0.25">
      <c r="A2638" s="34">
        <v>1923102</v>
      </c>
      <c r="B2638" s="34" t="s">
        <v>975</v>
      </c>
      <c r="C2638" s="34">
        <v>102</v>
      </c>
      <c r="D2638" s="35" t="str">
        <f>VLOOKUP(C2638,[1]道具配置表!$A:$D,4,FALSE)</f>
        <v>1食物</v>
      </c>
      <c r="E2638" s="34">
        <v>40000</v>
      </c>
      <c r="J2638" s="34">
        <v>1</v>
      </c>
      <c r="L2638" s="35" t="b">
        <v>1</v>
      </c>
    </row>
    <row r="2639" spans="1:12" s="34" customFormat="1" hidden="1" outlineLevel="1" x14ac:dyDescent="0.25">
      <c r="C2639" s="34">
        <v>101</v>
      </c>
      <c r="D2639" s="35" t="str">
        <f>VLOOKUP(C2639,[1]道具配置表!$A:$D,4,FALSE)</f>
        <v>1木材</v>
      </c>
      <c r="E2639" s="34">
        <v>13000</v>
      </c>
      <c r="J2639" s="34">
        <v>1</v>
      </c>
      <c r="L2639" s="35" t="b">
        <v>1</v>
      </c>
    </row>
    <row r="2640" spans="1:12" s="34" customFormat="1" hidden="1" outlineLevel="1" x14ac:dyDescent="0.25">
      <c r="C2640" s="34">
        <v>103</v>
      </c>
      <c r="D2640" s="35" t="str">
        <f>VLOOKUP(C2640,[1]道具配置表!$A:$D,4,FALSE)</f>
        <v>1石头</v>
      </c>
      <c r="E2640" s="34">
        <v>13000</v>
      </c>
      <c r="J2640" s="34">
        <v>1</v>
      </c>
      <c r="L2640" s="35" t="b">
        <v>1</v>
      </c>
    </row>
    <row r="2641" spans="1:12" s="34" customFormat="1" hidden="1" outlineLevel="1" x14ac:dyDescent="0.25">
      <c r="C2641" s="34">
        <v>104</v>
      </c>
      <c r="D2641" s="35" t="str">
        <f>VLOOKUP(C2641,[1]道具配置表!$A:$D,4,FALSE)</f>
        <v>1黄金</v>
      </c>
      <c r="E2641" s="34">
        <v>13000</v>
      </c>
      <c r="J2641" s="34">
        <v>1</v>
      </c>
      <c r="L2641" s="35" t="b">
        <v>1</v>
      </c>
    </row>
    <row r="2642" spans="1:12" s="34" customFormat="1" hidden="1" outlineLevel="1" x14ac:dyDescent="0.25">
      <c r="C2642" s="34">
        <v>7010</v>
      </c>
      <c r="D2642" s="35" t="str">
        <f>VLOOKUP(C2642,[1]道具配置表!$A:$D,4,FALSE)</f>
        <v>军演币</v>
      </c>
      <c r="E2642" s="34">
        <v>15</v>
      </c>
      <c r="J2642" s="34">
        <v>1</v>
      </c>
      <c r="L2642" s="35" t="b">
        <v>1</v>
      </c>
    </row>
    <row r="2643" spans="1:12" s="34" customFormat="1" hidden="1" outlineLevel="1" x14ac:dyDescent="0.25">
      <c r="A2643" s="34">
        <v>1923103</v>
      </c>
      <c r="B2643" s="34" t="s">
        <v>976</v>
      </c>
      <c r="C2643" s="34">
        <v>102</v>
      </c>
      <c r="D2643" s="35" t="str">
        <f>VLOOKUP(C2643,[1]道具配置表!$A:$D,4,FALSE)</f>
        <v>1食物</v>
      </c>
      <c r="E2643" s="34">
        <v>40000</v>
      </c>
      <c r="J2643" s="34">
        <v>1</v>
      </c>
      <c r="L2643" s="35" t="b">
        <v>1</v>
      </c>
    </row>
    <row r="2644" spans="1:12" s="34" customFormat="1" hidden="1" outlineLevel="1" x14ac:dyDescent="0.25">
      <c r="C2644" s="34">
        <v>101</v>
      </c>
      <c r="D2644" s="35" t="str">
        <f>VLOOKUP(C2644,[1]道具配置表!$A:$D,4,FALSE)</f>
        <v>1木材</v>
      </c>
      <c r="E2644" s="34">
        <v>16000</v>
      </c>
      <c r="J2644" s="34">
        <v>1</v>
      </c>
      <c r="L2644" s="35" t="b">
        <v>1</v>
      </c>
    </row>
    <row r="2645" spans="1:12" s="34" customFormat="1" hidden="1" outlineLevel="1" x14ac:dyDescent="0.25">
      <c r="C2645" s="34">
        <v>103</v>
      </c>
      <c r="D2645" s="35" t="str">
        <f>VLOOKUP(C2645,[1]道具配置表!$A:$D,4,FALSE)</f>
        <v>1石头</v>
      </c>
      <c r="E2645" s="34">
        <v>16000</v>
      </c>
      <c r="J2645" s="34">
        <v>1</v>
      </c>
      <c r="L2645" s="35" t="b">
        <v>1</v>
      </c>
    </row>
    <row r="2646" spans="1:12" s="34" customFormat="1" hidden="1" outlineLevel="1" x14ac:dyDescent="0.25">
      <c r="C2646" s="34">
        <v>104</v>
      </c>
      <c r="D2646" s="35" t="str">
        <f>VLOOKUP(C2646,[1]道具配置表!$A:$D,4,FALSE)</f>
        <v>1黄金</v>
      </c>
      <c r="E2646" s="34">
        <v>16000</v>
      </c>
      <c r="J2646" s="34">
        <v>1</v>
      </c>
      <c r="L2646" s="35" t="b">
        <v>1</v>
      </c>
    </row>
    <row r="2647" spans="1:12" s="34" customFormat="1" hidden="1" outlineLevel="1" x14ac:dyDescent="0.25">
      <c r="C2647" s="34">
        <v>7010</v>
      </c>
      <c r="D2647" s="35" t="str">
        <f>VLOOKUP(C2647,[1]道具配置表!$A:$D,4,FALSE)</f>
        <v>军演币</v>
      </c>
      <c r="E2647" s="34">
        <v>20</v>
      </c>
      <c r="J2647" s="34">
        <v>1</v>
      </c>
      <c r="L2647" s="35" t="b">
        <v>1</v>
      </c>
    </row>
    <row r="2648" spans="1:12" s="34" customFormat="1" hidden="1" outlineLevel="1" x14ac:dyDescent="0.25">
      <c r="A2648" s="34">
        <v>1923104</v>
      </c>
      <c r="B2648" s="34" t="s">
        <v>977</v>
      </c>
      <c r="C2648" s="34">
        <v>102</v>
      </c>
      <c r="D2648" s="35" t="str">
        <f>VLOOKUP(C2648,[1]道具配置表!$A:$D,4,FALSE)</f>
        <v>1食物</v>
      </c>
      <c r="E2648" s="34">
        <v>40000</v>
      </c>
      <c r="J2648" s="34">
        <v>1</v>
      </c>
      <c r="L2648" s="35" t="b">
        <v>1</v>
      </c>
    </row>
    <row r="2649" spans="1:12" s="34" customFormat="1" hidden="1" outlineLevel="1" x14ac:dyDescent="0.25">
      <c r="C2649" s="34">
        <v>101</v>
      </c>
      <c r="D2649" s="35" t="str">
        <f>VLOOKUP(C2649,[1]道具配置表!$A:$D,4,FALSE)</f>
        <v>1木材</v>
      </c>
      <c r="E2649" s="34">
        <v>19000</v>
      </c>
      <c r="J2649" s="34">
        <v>1</v>
      </c>
      <c r="L2649" s="35" t="b">
        <v>1</v>
      </c>
    </row>
    <row r="2650" spans="1:12" s="34" customFormat="1" hidden="1" outlineLevel="1" x14ac:dyDescent="0.25">
      <c r="C2650" s="34">
        <v>103</v>
      </c>
      <c r="D2650" s="35" t="str">
        <f>VLOOKUP(C2650,[1]道具配置表!$A:$D,4,FALSE)</f>
        <v>1石头</v>
      </c>
      <c r="E2650" s="34">
        <v>19000</v>
      </c>
      <c r="J2650" s="34">
        <v>1</v>
      </c>
      <c r="L2650" s="35" t="b">
        <v>1</v>
      </c>
    </row>
    <row r="2651" spans="1:12" s="34" customFormat="1" hidden="1" outlineLevel="1" x14ac:dyDescent="0.25">
      <c r="C2651" s="34">
        <v>104</v>
      </c>
      <c r="D2651" s="35" t="str">
        <f>VLOOKUP(C2651,[1]道具配置表!$A:$D,4,FALSE)</f>
        <v>1黄金</v>
      </c>
      <c r="E2651" s="34">
        <v>19000</v>
      </c>
      <c r="J2651" s="34">
        <v>1</v>
      </c>
      <c r="L2651" s="35" t="b">
        <v>1</v>
      </c>
    </row>
    <row r="2652" spans="1:12" s="34" customFormat="1" hidden="1" outlineLevel="1" x14ac:dyDescent="0.25">
      <c r="C2652" s="34">
        <v>7010</v>
      </c>
      <c r="D2652" s="35" t="str">
        <f>VLOOKUP(C2652,[1]道具配置表!$A:$D,4,FALSE)</f>
        <v>军演币</v>
      </c>
      <c r="E2652" s="34">
        <v>25</v>
      </c>
      <c r="J2652" s="34">
        <v>1</v>
      </c>
      <c r="L2652" s="35" t="b">
        <v>1</v>
      </c>
    </row>
    <row r="2653" spans="1:12" s="34" customFormat="1" hidden="1" outlineLevel="1" x14ac:dyDescent="0.25">
      <c r="A2653" s="34">
        <v>1923105</v>
      </c>
      <c r="B2653" s="34" t="s">
        <v>978</v>
      </c>
      <c r="C2653" s="34">
        <v>102</v>
      </c>
      <c r="D2653" s="35" t="str">
        <f>VLOOKUP(C2653,[1]道具配置表!$A:$D,4,FALSE)</f>
        <v>1食物</v>
      </c>
      <c r="E2653" s="34">
        <v>40000</v>
      </c>
      <c r="J2653" s="34">
        <v>1</v>
      </c>
      <c r="L2653" s="35" t="b">
        <v>1</v>
      </c>
    </row>
    <row r="2654" spans="1:12" s="34" customFormat="1" hidden="1" outlineLevel="1" x14ac:dyDescent="0.25">
      <c r="C2654" s="34">
        <v>101</v>
      </c>
      <c r="D2654" s="35" t="str">
        <f>VLOOKUP(C2654,[1]道具配置表!$A:$D,4,FALSE)</f>
        <v>1木材</v>
      </c>
      <c r="E2654" s="34">
        <v>22000</v>
      </c>
      <c r="J2654" s="34">
        <v>1</v>
      </c>
      <c r="L2654" s="35" t="b">
        <v>1</v>
      </c>
    </row>
    <row r="2655" spans="1:12" s="34" customFormat="1" hidden="1" outlineLevel="1" x14ac:dyDescent="0.25">
      <c r="C2655" s="34">
        <v>103</v>
      </c>
      <c r="D2655" s="35" t="str">
        <f>VLOOKUP(C2655,[1]道具配置表!$A:$D,4,FALSE)</f>
        <v>1石头</v>
      </c>
      <c r="E2655" s="34">
        <v>22000</v>
      </c>
      <c r="J2655" s="34">
        <v>1</v>
      </c>
      <c r="L2655" s="35" t="b">
        <v>1</v>
      </c>
    </row>
    <row r="2656" spans="1:12" s="34" customFormat="1" hidden="1" outlineLevel="1" x14ac:dyDescent="0.25">
      <c r="C2656" s="34">
        <v>104</v>
      </c>
      <c r="D2656" s="35" t="str">
        <f>VLOOKUP(C2656,[1]道具配置表!$A:$D,4,FALSE)</f>
        <v>1黄金</v>
      </c>
      <c r="E2656" s="34">
        <v>22000</v>
      </c>
      <c r="J2656" s="34">
        <v>1</v>
      </c>
      <c r="L2656" s="35" t="b">
        <v>1</v>
      </c>
    </row>
    <row r="2657" spans="1:12" s="34" customFormat="1" hidden="1" outlineLevel="1" x14ac:dyDescent="0.25">
      <c r="C2657" s="34">
        <v>7010</v>
      </c>
      <c r="D2657" s="35" t="str">
        <f>VLOOKUP(C2657,[1]道具配置表!$A:$D,4,FALSE)</f>
        <v>军演币</v>
      </c>
      <c r="E2657" s="34">
        <v>30</v>
      </c>
      <c r="J2657" s="34">
        <v>1</v>
      </c>
      <c r="L2657" s="35" t="b">
        <v>1</v>
      </c>
    </row>
    <row r="2658" spans="1:12" s="34" customFormat="1" hidden="1" outlineLevel="1" x14ac:dyDescent="0.25">
      <c r="A2658" s="34">
        <v>1923106</v>
      </c>
      <c r="B2658" s="34" t="s">
        <v>979</v>
      </c>
      <c r="C2658" s="34">
        <v>102</v>
      </c>
      <c r="D2658" s="35" t="str">
        <f>VLOOKUP(C2658,[1]道具配置表!$A:$D,4,FALSE)</f>
        <v>1食物</v>
      </c>
      <c r="E2658" s="34">
        <v>40000</v>
      </c>
      <c r="J2658" s="34">
        <v>1</v>
      </c>
      <c r="L2658" s="35" t="b">
        <v>1</v>
      </c>
    </row>
    <row r="2659" spans="1:12" s="34" customFormat="1" hidden="1" outlineLevel="1" x14ac:dyDescent="0.25">
      <c r="C2659" s="34">
        <v>101</v>
      </c>
      <c r="D2659" s="35" t="str">
        <f>VLOOKUP(C2659,[1]道具配置表!$A:$D,4,FALSE)</f>
        <v>1木材</v>
      </c>
      <c r="E2659" s="34">
        <v>25000</v>
      </c>
      <c r="J2659" s="34">
        <v>1</v>
      </c>
      <c r="L2659" s="35" t="b">
        <v>1</v>
      </c>
    </row>
    <row r="2660" spans="1:12" s="34" customFormat="1" hidden="1" outlineLevel="1" x14ac:dyDescent="0.25">
      <c r="C2660" s="34">
        <v>103</v>
      </c>
      <c r="D2660" s="35" t="str">
        <f>VLOOKUP(C2660,[1]道具配置表!$A:$D,4,FALSE)</f>
        <v>1石头</v>
      </c>
      <c r="E2660" s="34">
        <v>25000</v>
      </c>
      <c r="J2660" s="34">
        <v>1</v>
      </c>
      <c r="L2660" s="35" t="b">
        <v>1</v>
      </c>
    </row>
    <row r="2661" spans="1:12" s="34" customFormat="1" hidden="1" outlineLevel="1" x14ac:dyDescent="0.25">
      <c r="C2661" s="34">
        <v>104</v>
      </c>
      <c r="D2661" s="35" t="str">
        <f>VLOOKUP(C2661,[1]道具配置表!$A:$D,4,FALSE)</f>
        <v>1黄金</v>
      </c>
      <c r="E2661" s="34">
        <v>25000</v>
      </c>
      <c r="J2661" s="34">
        <v>1</v>
      </c>
      <c r="L2661" s="35" t="b">
        <v>1</v>
      </c>
    </row>
    <row r="2662" spans="1:12" s="34" customFormat="1" hidden="1" outlineLevel="1" x14ac:dyDescent="0.25">
      <c r="C2662" s="34">
        <v>7010</v>
      </c>
      <c r="D2662" s="35" t="str">
        <f>VLOOKUP(C2662,[1]道具配置表!$A:$D,4,FALSE)</f>
        <v>军演币</v>
      </c>
      <c r="E2662" s="34">
        <v>35</v>
      </c>
      <c r="J2662" s="34">
        <v>1</v>
      </c>
      <c r="L2662" s="35" t="b">
        <v>1</v>
      </c>
    </row>
    <row r="2663" spans="1:12" s="34" customFormat="1" hidden="1" outlineLevel="1" x14ac:dyDescent="0.25">
      <c r="A2663" s="34">
        <v>1923107</v>
      </c>
      <c r="B2663" s="34" t="s">
        <v>980</v>
      </c>
      <c r="C2663" s="34">
        <v>102</v>
      </c>
      <c r="D2663" s="35" t="str">
        <f>VLOOKUP(C2663,[1]道具配置表!$A:$D,4,FALSE)</f>
        <v>1食物</v>
      </c>
      <c r="E2663" s="34">
        <v>40000</v>
      </c>
      <c r="J2663" s="34">
        <v>1</v>
      </c>
      <c r="L2663" s="35" t="b">
        <v>1</v>
      </c>
    </row>
    <row r="2664" spans="1:12" s="34" customFormat="1" hidden="1" outlineLevel="1" x14ac:dyDescent="0.25">
      <c r="C2664" s="34">
        <v>101</v>
      </c>
      <c r="D2664" s="35" t="str">
        <f>VLOOKUP(C2664,[1]道具配置表!$A:$D,4,FALSE)</f>
        <v>1木材</v>
      </c>
      <c r="E2664" s="34">
        <v>28000</v>
      </c>
      <c r="J2664" s="34">
        <v>1</v>
      </c>
      <c r="L2664" s="35" t="b">
        <v>1</v>
      </c>
    </row>
    <row r="2665" spans="1:12" s="34" customFormat="1" hidden="1" outlineLevel="1" x14ac:dyDescent="0.25">
      <c r="C2665" s="34">
        <v>103</v>
      </c>
      <c r="D2665" s="35" t="str">
        <f>VLOOKUP(C2665,[1]道具配置表!$A:$D,4,FALSE)</f>
        <v>1石头</v>
      </c>
      <c r="E2665" s="34">
        <v>28000</v>
      </c>
      <c r="J2665" s="34">
        <v>1</v>
      </c>
      <c r="L2665" s="35" t="b">
        <v>1</v>
      </c>
    </row>
    <row r="2666" spans="1:12" s="34" customFormat="1" hidden="1" outlineLevel="1" x14ac:dyDescent="0.25">
      <c r="C2666" s="34">
        <v>104</v>
      </c>
      <c r="D2666" s="35" t="str">
        <f>VLOOKUP(C2666,[1]道具配置表!$A:$D,4,FALSE)</f>
        <v>1黄金</v>
      </c>
      <c r="E2666" s="34">
        <v>28000</v>
      </c>
      <c r="J2666" s="34">
        <v>1</v>
      </c>
      <c r="L2666" s="35" t="b">
        <v>1</v>
      </c>
    </row>
    <row r="2667" spans="1:12" s="34" customFormat="1" hidden="1" outlineLevel="1" x14ac:dyDescent="0.25">
      <c r="C2667" s="34">
        <v>7010</v>
      </c>
      <c r="D2667" s="35" t="str">
        <f>VLOOKUP(C2667,[1]道具配置表!$A:$D,4,FALSE)</f>
        <v>军演币</v>
      </c>
      <c r="E2667" s="34">
        <v>40</v>
      </c>
      <c r="J2667" s="34">
        <v>1</v>
      </c>
      <c r="L2667" s="35" t="b">
        <v>1</v>
      </c>
    </row>
    <row r="2668" spans="1:12" s="34" customFormat="1" hidden="1" outlineLevel="1" x14ac:dyDescent="0.25">
      <c r="A2668" s="34">
        <v>1923108</v>
      </c>
      <c r="B2668" s="34" t="s">
        <v>981</v>
      </c>
      <c r="C2668" s="34">
        <v>102</v>
      </c>
      <c r="D2668" s="35" t="str">
        <f>VLOOKUP(C2668,[1]道具配置表!$A:$D,4,FALSE)</f>
        <v>1食物</v>
      </c>
      <c r="E2668" s="34">
        <v>40000</v>
      </c>
      <c r="J2668" s="34">
        <v>1</v>
      </c>
      <c r="L2668" s="35" t="b">
        <v>1</v>
      </c>
    </row>
    <row r="2669" spans="1:12" s="34" customFormat="1" hidden="1" outlineLevel="1" x14ac:dyDescent="0.25">
      <c r="C2669" s="34">
        <v>101</v>
      </c>
      <c r="D2669" s="35" t="str">
        <f>VLOOKUP(C2669,[1]道具配置表!$A:$D,4,FALSE)</f>
        <v>1木材</v>
      </c>
      <c r="E2669" s="34">
        <v>31000</v>
      </c>
      <c r="J2669" s="34">
        <v>1</v>
      </c>
      <c r="L2669" s="35" t="b">
        <v>1</v>
      </c>
    </row>
    <row r="2670" spans="1:12" s="34" customFormat="1" hidden="1" outlineLevel="1" x14ac:dyDescent="0.25">
      <c r="C2670" s="34">
        <v>103</v>
      </c>
      <c r="D2670" s="35" t="str">
        <f>VLOOKUP(C2670,[1]道具配置表!$A:$D,4,FALSE)</f>
        <v>1石头</v>
      </c>
      <c r="E2670" s="34">
        <v>31000</v>
      </c>
      <c r="J2670" s="34">
        <v>1</v>
      </c>
      <c r="L2670" s="35" t="b">
        <v>1</v>
      </c>
    </row>
    <row r="2671" spans="1:12" s="34" customFormat="1" hidden="1" outlineLevel="1" x14ac:dyDescent="0.25">
      <c r="C2671" s="34">
        <v>104</v>
      </c>
      <c r="D2671" s="35" t="str">
        <f>VLOOKUP(C2671,[1]道具配置表!$A:$D,4,FALSE)</f>
        <v>1黄金</v>
      </c>
      <c r="E2671" s="34">
        <v>31000</v>
      </c>
      <c r="J2671" s="34">
        <v>1</v>
      </c>
      <c r="L2671" s="35" t="b">
        <v>1</v>
      </c>
    </row>
    <row r="2672" spans="1:12" s="34" customFormat="1" hidden="1" outlineLevel="1" x14ac:dyDescent="0.25">
      <c r="C2672" s="34">
        <v>7010</v>
      </c>
      <c r="D2672" s="35" t="str">
        <f>VLOOKUP(C2672,[1]道具配置表!$A:$D,4,FALSE)</f>
        <v>军演币</v>
      </c>
      <c r="E2672" s="34">
        <v>45</v>
      </c>
      <c r="J2672" s="34">
        <v>1</v>
      </c>
      <c r="L2672" s="35" t="b">
        <v>1</v>
      </c>
    </row>
    <row r="2673" spans="1:12" s="34" customFormat="1" hidden="1" outlineLevel="1" x14ac:dyDescent="0.25">
      <c r="A2673" s="34">
        <v>1923109</v>
      </c>
      <c r="B2673" s="34" t="s">
        <v>982</v>
      </c>
      <c r="C2673" s="34">
        <v>102</v>
      </c>
      <c r="D2673" s="35" t="str">
        <f>VLOOKUP(C2673,[1]道具配置表!$A:$D,4,FALSE)</f>
        <v>1食物</v>
      </c>
      <c r="E2673" s="34">
        <v>40000</v>
      </c>
      <c r="J2673" s="34">
        <v>1</v>
      </c>
      <c r="L2673" s="35" t="b">
        <v>1</v>
      </c>
    </row>
    <row r="2674" spans="1:12" s="34" customFormat="1" hidden="1" outlineLevel="1" x14ac:dyDescent="0.25">
      <c r="C2674" s="34">
        <v>101</v>
      </c>
      <c r="D2674" s="35" t="str">
        <f>VLOOKUP(C2674,[1]道具配置表!$A:$D,4,FALSE)</f>
        <v>1木材</v>
      </c>
      <c r="E2674" s="34">
        <v>34000</v>
      </c>
      <c r="J2674" s="34">
        <v>1</v>
      </c>
      <c r="L2674" s="35" t="b">
        <v>1</v>
      </c>
    </row>
    <row r="2675" spans="1:12" s="34" customFormat="1" hidden="1" outlineLevel="1" x14ac:dyDescent="0.25">
      <c r="C2675" s="34">
        <v>103</v>
      </c>
      <c r="D2675" s="35" t="str">
        <f>VLOOKUP(C2675,[1]道具配置表!$A:$D,4,FALSE)</f>
        <v>1石头</v>
      </c>
      <c r="E2675" s="34">
        <v>34000</v>
      </c>
      <c r="J2675" s="34">
        <v>1</v>
      </c>
      <c r="L2675" s="35" t="b">
        <v>1</v>
      </c>
    </row>
    <row r="2676" spans="1:12" s="34" customFormat="1" hidden="1" outlineLevel="1" x14ac:dyDescent="0.25">
      <c r="C2676" s="34">
        <v>104</v>
      </c>
      <c r="D2676" s="35" t="str">
        <f>VLOOKUP(C2676,[1]道具配置表!$A:$D,4,FALSE)</f>
        <v>1黄金</v>
      </c>
      <c r="E2676" s="34">
        <v>34000</v>
      </c>
      <c r="J2676" s="34">
        <v>1</v>
      </c>
      <c r="L2676" s="35" t="b">
        <v>1</v>
      </c>
    </row>
    <row r="2677" spans="1:12" s="34" customFormat="1" hidden="1" outlineLevel="1" x14ac:dyDescent="0.25">
      <c r="C2677" s="34">
        <v>7010</v>
      </c>
      <c r="D2677" s="35" t="str">
        <f>VLOOKUP(C2677,[1]道具配置表!$A:$D,4,FALSE)</f>
        <v>军演币</v>
      </c>
      <c r="E2677" s="34">
        <v>50</v>
      </c>
      <c r="J2677" s="34">
        <v>1</v>
      </c>
      <c r="L2677" s="35" t="b">
        <v>1</v>
      </c>
    </row>
    <row r="2678" spans="1:12" s="34" customFormat="1" hidden="1" outlineLevel="1" x14ac:dyDescent="0.25">
      <c r="A2678" s="34">
        <v>1923110</v>
      </c>
      <c r="B2678" s="34" t="s">
        <v>983</v>
      </c>
      <c r="C2678" s="34">
        <v>102</v>
      </c>
      <c r="D2678" s="35" t="str">
        <f>VLOOKUP(C2678,[1]道具配置表!$A:$D,4,FALSE)</f>
        <v>1食物</v>
      </c>
      <c r="E2678" s="34">
        <v>40000</v>
      </c>
      <c r="J2678" s="34">
        <v>1</v>
      </c>
      <c r="L2678" s="35" t="b">
        <v>1</v>
      </c>
    </row>
    <row r="2679" spans="1:12" s="34" customFormat="1" hidden="1" outlineLevel="1" x14ac:dyDescent="0.25">
      <c r="C2679" s="34">
        <v>101</v>
      </c>
      <c r="D2679" s="35" t="str">
        <f>VLOOKUP(C2679,[1]道具配置表!$A:$D,4,FALSE)</f>
        <v>1木材</v>
      </c>
      <c r="E2679" s="34">
        <v>37000</v>
      </c>
      <c r="J2679" s="34">
        <v>1</v>
      </c>
      <c r="L2679" s="35" t="b">
        <v>1</v>
      </c>
    </row>
    <row r="2680" spans="1:12" s="34" customFormat="1" hidden="1" outlineLevel="1" x14ac:dyDescent="0.25">
      <c r="C2680" s="34">
        <v>103</v>
      </c>
      <c r="D2680" s="35" t="str">
        <f>VLOOKUP(C2680,[1]道具配置表!$A:$D,4,FALSE)</f>
        <v>1石头</v>
      </c>
      <c r="E2680" s="34">
        <v>37000</v>
      </c>
      <c r="J2680" s="34">
        <v>1</v>
      </c>
      <c r="L2680" s="35" t="b">
        <v>1</v>
      </c>
    </row>
    <row r="2681" spans="1:12" s="34" customFormat="1" hidden="1" outlineLevel="1" x14ac:dyDescent="0.25">
      <c r="C2681" s="34">
        <v>104</v>
      </c>
      <c r="D2681" s="35" t="str">
        <f>VLOOKUP(C2681,[1]道具配置表!$A:$D,4,FALSE)</f>
        <v>1黄金</v>
      </c>
      <c r="E2681" s="34">
        <v>37000</v>
      </c>
      <c r="J2681" s="34">
        <v>1</v>
      </c>
      <c r="L2681" s="35" t="b">
        <v>1</v>
      </c>
    </row>
    <row r="2682" spans="1:12" s="34" customFormat="1" hidden="1" outlineLevel="1" x14ac:dyDescent="0.25">
      <c r="C2682" s="34">
        <v>7010</v>
      </c>
      <c r="D2682" s="35" t="str">
        <f>VLOOKUP(C2682,[1]道具配置表!$A:$D,4,FALSE)</f>
        <v>军演币</v>
      </c>
      <c r="E2682" s="34">
        <v>55</v>
      </c>
      <c r="J2682" s="34">
        <v>1</v>
      </c>
      <c r="L2682" s="35" t="b">
        <v>1</v>
      </c>
    </row>
    <row r="2683" spans="1:12" s="34" customFormat="1" hidden="1" outlineLevel="1" x14ac:dyDescent="0.25">
      <c r="A2683" s="34">
        <v>1923111</v>
      </c>
      <c r="B2683" s="34" t="s">
        <v>984</v>
      </c>
      <c r="C2683" s="34">
        <v>102</v>
      </c>
      <c r="D2683" s="35" t="str">
        <f>VLOOKUP(C2683,[1]道具配置表!$A:$D,4,FALSE)</f>
        <v>1食物</v>
      </c>
      <c r="E2683" s="34">
        <v>40000</v>
      </c>
      <c r="J2683" s="34">
        <v>1</v>
      </c>
      <c r="L2683" s="35" t="b">
        <v>1</v>
      </c>
    </row>
    <row r="2684" spans="1:12" s="34" customFormat="1" hidden="1" outlineLevel="1" x14ac:dyDescent="0.25">
      <c r="C2684" s="34">
        <v>101</v>
      </c>
      <c r="D2684" s="35" t="str">
        <f>VLOOKUP(C2684,[1]道具配置表!$A:$D,4,FALSE)</f>
        <v>1木材</v>
      </c>
      <c r="E2684" s="34">
        <v>40000</v>
      </c>
      <c r="J2684" s="34">
        <v>1</v>
      </c>
      <c r="L2684" s="35" t="b">
        <v>1</v>
      </c>
    </row>
    <row r="2685" spans="1:12" s="34" customFormat="1" hidden="1" outlineLevel="1" x14ac:dyDescent="0.25">
      <c r="C2685" s="34">
        <v>103</v>
      </c>
      <c r="D2685" s="35" t="str">
        <f>VLOOKUP(C2685,[1]道具配置表!$A:$D,4,FALSE)</f>
        <v>1石头</v>
      </c>
      <c r="E2685" s="34">
        <v>40000</v>
      </c>
      <c r="J2685" s="34">
        <v>1</v>
      </c>
      <c r="L2685" s="35" t="b">
        <v>1</v>
      </c>
    </row>
    <row r="2686" spans="1:12" s="34" customFormat="1" hidden="1" outlineLevel="1" x14ac:dyDescent="0.25">
      <c r="C2686" s="34">
        <v>104</v>
      </c>
      <c r="D2686" s="35" t="str">
        <f>VLOOKUP(C2686,[1]道具配置表!$A:$D,4,FALSE)</f>
        <v>1黄金</v>
      </c>
      <c r="E2686" s="34">
        <v>40000</v>
      </c>
      <c r="J2686" s="34">
        <v>1</v>
      </c>
      <c r="L2686" s="35" t="b">
        <v>1</v>
      </c>
    </row>
    <row r="2687" spans="1:12" s="34" customFormat="1" hidden="1" outlineLevel="1" x14ac:dyDescent="0.25">
      <c r="C2687" s="34">
        <v>7010</v>
      </c>
      <c r="D2687" s="35" t="str">
        <f>VLOOKUP(C2687,[1]道具配置表!$A:$D,4,FALSE)</f>
        <v>军演币</v>
      </c>
      <c r="E2687" s="34">
        <v>60</v>
      </c>
      <c r="J2687" s="34">
        <v>1</v>
      </c>
      <c r="L2687" s="35" t="b">
        <v>1</v>
      </c>
    </row>
    <row r="2688" spans="1:12" s="34" customFormat="1" hidden="1" outlineLevel="1" x14ac:dyDescent="0.25">
      <c r="A2688" s="34">
        <v>1923112</v>
      </c>
      <c r="B2688" s="34" t="s">
        <v>985</v>
      </c>
      <c r="C2688" s="34">
        <v>102</v>
      </c>
      <c r="D2688" s="35" t="str">
        <f>VLOOKUP(C2688,[1]道具配置表!$A:$D,4,FALSE)</f>
        <v>1食物</v>
      </c>
      <c r="E2688" s="34">
        <v>40000</v>
      </c>
      <c r="J2688" s="34">
        <v>1</v>
      </c>
      <c r="L2688" s="35" t="b">
        <v>1</v>
      </c>
    </row>
    <row r="2689" spans="1:12" s="34" customFormat="1" hidden="1" outlineLevel="1" x14ac:dyDescent="0.25">
      <c r="C2689" s="34">
        <v>101</v>
      </c>
      <c r="D2689" s="35" t="str">
        <f>VLOOKUP(C2689,[1]道具配置表!$A:$D,4,FALSE)</f>
        <v>1木材</v>
      </c>
      <c r="E2689" s="34">
        <v>43000</v>
      </c>
      <c r="J2689" s="34">
        <v>1</v>
      </c>
      <c r="L2689" s="35" t="b">
        <v>1</v>
      </c>
    </row>
    <row r="2690" spans="1:12" s="34" customFormat="1" hidden="1" outlineLevel="1" x14ac:dyDescent="0.25">
      <c r="C2690" s="34">
        <v>103</v>
      </c>
      <c r="D2690" s="35" t="str">
        <f>VLOOKUP(C2690,[1]道具配置表!$A:$D,4,FALSE)</f>
        <v>1石头</v>
      </c>
      <c r="E2690" s="34">
        <v>43000</v>
      </c>
      <c r="J2690" s="34">
        <v>1</v>
      </c>
      <c r="L2690" s="35" t="b">
        <v>1</v>
      </c>
    </row>
    <row r="2691" spans="1:12" s="34" customFormat="1" hidden="1" outlineLevel="1" x14ac:dyDescent="0.25">
      <c r="C2691" s="34">
        <v>104</v>
      </c>
      <c r="D2691" s="35" t="str">
        <f>VLOOKUP(C2691,[1]道具配置表!$A:$D,4,FALSE)</f>
        <v>1黄金</v>
      </c>
      <c r="E2691" s="34">
        <v>43000</v>
      </c>
      <c r="J2691" s="34">
        <v>1</v>
      </c>
      <c r="L2691" s="35" t="b">
        <v>1</v>
      </c>
    </row>
    <row r="2692" spans="1:12" s="34" customFormat="1" hidden="1" outlineLevel="1" x14ac:dyDescent="0.25">
      <c r="C2692" s="34">
        <v>7010</v>
      </c>
      <c r="D2692" s="35" t="str">
        <f>VLOOKUP(C2692,[1]道具配置表!$A:$D,4,FALSE)</f>
        <v>军演币</v>
      </c>
      <c r="E2692" s="34">
        <v>65</v>
      </c>
      <c r="J2692" s="34">
        <v>1</v>
      </c>
      <c r="L2692" s="35" t="b">
        <v>1</v>
      </c>
    </row>
    <row r="2693" spans="1:12" s="34" customFormat="1" hidden="1" outlineLevel="1" x14ac:dyDescent="0.25">
      <c r="A2693" s="34">
        <v>1923113</v>
      </c>
      <c r="B2693" s="34" t="s">
        <v>986</v>
      </c>
      <c r="C2693" s="34">
        <v>102</v>
      </c>
      <c r="D2693" s="35" t="str">
        <f>VLOOKUP(C2693,[1]道具配置表!$A:$D,4,FALSE)</f>
        <v>1食物</v>
      </c>
      <c r="E2693" s="34">
        <v>40000</v>
      </c>
      <c r="J2693" s="34">
        <v>1</v>
      </c>
      <c r="L2693" s="35" t="b">
        <v>1</v>
      </c>
    </row>
    <row r="2694" spans="1:12" s="34" customFormat="1" hidden="1" outlineLevel="1" x14ac:dyDescent="0.25">
      <c r="C2694" s="34">
        <v>101</v>
      </c>
      <c r="D2694" s="35" t="str">
        <f>VLOOKUP(C2694,[1]道具配置表!$A:$D,4,FALSE)</f>
        <v>1木材</v>
      </c>
      <c r="E2694" s="34">
        <v>46000</v>
      </c>
      <c r="J2694" s="34">
        <v>1</v>
      </c>
      <c r="L2694" s="35" t="b">
        <v>1</v>
      </c>
    </row>
    <row r="2695" spans="1:12" s="34" customFormat="1" hidden="1" outlineLevel="1" x14ac:dyDescent="0.25">
      <c r="C2695" s="34">
        <v>103</v>
      </c>
      <c r="D2695" s="35" t="str">
        <f>VLOOKUP(C2695,[1]道具配置表!$A:$D,4,FALSE)</f>
        <v>1石头</v>
      </c>
      <c r="E2695" s="34">
        <v>46000</v>
      </c>
      <c r="J2695" s="34">
        <v>1</v>
      </c>
      <c r="L2695" s="35" t="b">
        <v>1</v>
      </c>
    </row>
    <row r="2696" spans="1:12" s="34" customFormat="1" hidden="1" outlineLevel="1" x14ac:dyDescent="0.25">
      <c r="C2696" s="34">
        <v>104</v>
      </c>
      <c r="D2696" s="35" t="str">
        <f>VLOOKUP(C2696,[1]道具配置表!$A:$D,4,FALSE)</f>
        <v>1黄金</v>
      </c>
      <c r="E2696" s="34">
        <v>46000</v>
      </c>
      <c r="J2696" s="34">
        <v>1</v>
      </c>
      <c r="L2696" s="35" t="b">
        <v>1</v>
      </c>
    </row>
    <row r="2697" spans="1:12" s="34" customFormat="1" hidden="1" outlineLevel="1" x14ac:dyDescent="0.25">
      <c r="C2697" s="34">
        <v>7010</v>
      </c>
      <c r="D2697" s="35" t="str">
        <f>VLOOKUP(C2697,[1]道具配置表!$A:$D,4,FALSE)</f>
        <v>军演币</v>
      </c>
      <c r="E2697" s="34">
        <v>70</v>
      </c>
      <c r="J2697" s="34">
        <v>1</v>
      </c>
      <c r="L2697" s="35" t="b">
        <v>1</v>
      </c>
    </row>
    <row r="2698" spans="1:12" s="34" customFormat="1" hidden="1" outlineLevel="1" x14ac:dyDescent="0.25">
      <c r="A2698" s="34">
        <v>1923114</v>
      </c>
      <c r="B2698" s="34" t="s">
        <v>987</v>
      </c>
      <c r="C2698" s="34">
        <v>102</v>
      </c>
      <c r="D2698" s="35" t="str">
        <f>VLOOKUP(C2698,[1]道具配置表!$A:$D,4,FALSE)</f>
        <v>1食物</v>
      </c>
      <c r="E2698" s="34">
        <v>40000</v>
      </c>
      <c r="J2698" s="34">
        <v>1</v>
      </c>
      <c r="L2698" s="35" t="b">
        <v>1</v>
      </c>
    </row>
    <row r="2699" spans="1:12" s="34" customFormat="1" hidden="1" outlineLevel="1" x14ac:dyDescent="0.25">
      <c r="C2699" s="34">
        <v>101</v>
      </c>
      <c r="D2699" s="35" t="str">
        <f>VLOOKUP(C2699,[1]道具配置表!$A:$D,4,FALSE)</f>
        <v>1木材</v>
      </c>
      <c r="E2699" s="34">
        <v>49000</v>
      </c>
      <c r="J2699" s="34">
        <v>1</v>
      </c>
      <c r="L2699" s="35" t="b">
        <v>1</v>
      </c>
    </row>
    <row r="2700" spans="1:12" s="34" customFormat="1" hidden="1" outlineLevel="1" x14ac:dyDescent="0.25">
      <c r="C2700" s="34">
        <v>103</v>
      </c>
      <c r="D2700" s="35" t="str">
        <f>VLOOKUP(C2700,[1]道具配置表!$A:$D,4,FALSE)</f>
        <v>1石头</v>
      </c>
      <c r="E2700" s="34">
        <v>49000</v>
      </c>
      <c r="J2700" s="34">
        <v>1</v>
      </c>
      <c r="L2700" s="35" t="b">
        <v>1</v>
      </c>
    </row>
    <row r="2701" spans="1:12" s="34" customFormat="1" hidden="1" outlineLevel="1" x14ac:dyDescent="0.25">
      <c r="C2701" s="34">
        <v>104</v>
      </c>
      <c r="D2701" s="35" t="str">
        <f>VLOOKUP(C2701,[1]道具配置表!$A:$D,4,FALSE)</f>
        <v>1黄金</v>
      </c>
      <c r="E2701" s="34">
        <v>49000</v>
      </c>
      <c r="J2701" s="34">
        <v>1</v>
      </c>
      <c r="L2701" s="35" t="b">
        <v>1</v>
      </c>
    </row>
    <row r="2702" spans="1:12" s="34" customFormat="1" hidden="1" outlineLevel="1" x14ac:dyDescent="0.25">
      <c r="C2702" s="34">
        <v>7010</v>
      </c>
      <c r="D2702" s="35" t="str">
        <f>VLOOKUP(C2702,[1]道具配置表!$A:$D,4,FALSE)</f>
        <v>军演币</v>
      </c>
      <c r="E2702" s="34">
        <v>75</v>
      </c>
      <c r="J2702" s="34">
        <v>1</v>
      </c>
      <c r="L2702" s="35" t="b">
        <v>1</v>
      </c>
    </row>
    <row r="2703" spans="1:12" s="34" customFormat="1" hidden="1" outlineLevel="1" x14ac:dyDescent="0.25">
      <c r="A2703" s="34">
        <v>1923115</v>
      </c>
      <c r="B2703" s="34" t="s">
        <v>988</v>
      </c>
      <c r="C2703" s="34">
        <v>102</v>
      </c>
      <c r="D2703" s="35" t="str">
        <f>VLOOKUP(C2703,[1]道具配置表!$A:$D,4,FALSE)</f>
        <v>1食物</v>
      </c>
      <c r="E2703" s="34">
        <v>40000</v>
      </c>
      <c r="J2703" s="34">
        <v>1</v>
      </c>
      <c r="L2703" s="35" t="b">
        <v>1</v>
      </c>
    </row>
    <row r="2704" spans="1:12" s="34" customFormat="1" hidden="1" outlineLevel="1" x14ac:dyDescent="0.25">
      <c r="C2704" s="34">
        <v>101</v>
      </c>
      <c r="D2704" s="35" t="str">
        <f>VLOOKUP(C2704,[1]道具配置表!$A:$D,4,FALSE)</f>
        <v>1木材</v>
      </c>
      <c r="E2704" s="34">
        <v>52000</v>
      </c>
      <c r="J2704" s="34">
        <v>1</v>
      </c>
      <c r="L2704" s="35" t="b">
        <v>1</v>
      </c>
    </row>
    <row r="2705" spans="1:12" s="34" customFormat="1" hidden="1" outlineLevel="1" x14ac:dyDescent="0.25">
      <c r="C2705" s="34">
        <v>103</v>
      </c>
      <c r="D2705" s="35" t="str">
        <f>VLOOKUP(C2705,[1]道具配置表!$A:$D,4,FALSE)</f>
        <v>1石头</v>
      </c>
      <c r="E2705" s="34">
        <v>52000</v>
      </c>
      <c r="J2705" s="34">
        <v>1</v>
      </c>
      <c r="L2705" s="35" t="b">
        <v>1</v>
      </c>
    </row>
    <row r="2706" spans="1:12" s="34" customFormat="1" hidden="1" outlineLevel="1" x14ac:dyDescent="0.25">
      <c r="C2706" s="34">
        <v>104</v>
      </c>
      <c r="D2706" s="35" t="str">
        <f>VLOOKUP(C2706,[1]道具配置表!$A:$D,4,FALSE)</f>
        <v>1黄金</v>
      </c>
      <c r="E2706" s="34">
        <v>52000</v>
      </c>
      <c r="J2706" s="34">
        <v>1</v>
      </c>
      <c r="L2706" s="35" t="b">
        <v>1</v>
      </c>
    </row>
    <row r="2707" spans="1:12" s="34" customFormat="1" hidden="1" outlineLevel="1" x14ac:dyDescent="0.25">
      <c r="C2707" s="34">
        <v>7010</v>
      </c>
      <c r="D2707" s="35" t="str">
        <f>VLOOKUP(C2707,[1]道具配置表!$A:$D,4,FALSE)</f>
        <v>军演币</v>
      </c>
      <c r="E2707" s="34">
        <v>80</v>
      </c>
      <c r="J2707" s="34">
        <v>1</v>
      </c>
      <c r="L2707" s="35" t="b">
        <v>1</v>
      </c>
    </row>
    <row r="2708" spans="1:12" s="34" customFormat="1" hidden="1" outlineLevel="1" x14ac:dyDescent="0.25">
      <c r="A2708" s="34">
        <v>1923116</v>
      </c>
      <c r="B2708" s="34" t="s">
        <v>989</v>
      </c>
      <c r="C2708" s="34">
        <v>102</v>
      </c>
      <c r="D2708" s="35" t="str">
        <f>VLOOKUP(C2708,[1]道具配置表!$A:$D,4,FALSE)</f>
        <v>1食物</v>
      </c>
      <c r="E2708" s="34">
        <v>40000</v>
      </c>
      <c r="J2708" s="34">
        <v>1</v>
      </c>
      <c r="L2708" s="35" t="b">
        <v>1</v>
      </c>
    </row>
    <row r="2709" spans="1:12" s="34" customFormat="1" hidden="1" outlineLevel="1" x14ac:dyDescent="0.25">
      <c r="C2709" s="34">
        <v>101</v>
      </c>
      <c r="D2709" s="35" t="str">
        <f>VLOOKUP(C2709,[1]道具配置表!$A:$D,4,FALSE)</f>
        <v>1木材</v>
      </c>
      <c r="E2709" s="34">
        <v>55000</v>
      </c>
      <c r="J2709" s="34">
        <v>1</v>
      </c>
      <c r="L2709" s="35" t="b">
        <v>1</v>
      </c>
    </row>
    <row r="2710" spans="1:12" s="34" customFormat="1" hidden="1" outlineLevel="1" x14ac:dyDescent="0.25">
      <c r="C2710" s="34">
        <v>103</v>
      </c>
      <c r="D2710" s="35" t="str">
        <f>VLOOKUP(C2710,[1]道具配置表!$A:$D,4,FALSE)</f>
        <v>1石头</v>
      </c>
      <c r="E2710" s="34">
        <v>55000</v>
      </c>
      <c r="J2710" s="34">
        <v>1</v>
      </c>
      <c r="L2710" s="35" t="b">
        <v>1</v>
      </c>
    </row>
    <row r="2711" spans="1:12" s="34" customFormat="1" hidden="1" outlineLevel="1" x14ac:dyDescent="0.25">
      <c r="C2711" s="34">
        <v>104</v>
      </c>
      <c r="D2711" s="35" t="str">
        <f>VLOOKUP(C2711,[1]道具配置表!$A:$D,4,FALSE)</f>
        <v>1黄金</v>
      </c>
      <c r="E2711" s="34">
        <v>55000</v>
      </c>
      <c r="J2711" s="34">
        <v>1</v>
      </c>
      <c r="L2711" s="35" t="b">
        <v>1</v>
      </c>
    </row>
    <row r="2712" spans="1:12" s="34" customFormat="1" hidden="1" outlineLevel="1" x14ac:dyDescent="0.25">
      <c r="C2712" s="34">
        <v>7010</v>
      </c>
      <c r="D2712" s="35" t="str">
        <f>VLOOKUP(C2712,[1]道具配置表!$A:$D,4,FALSE)</f>
        <v>军演币</v>
      </c>
      <c r="E2712" s="34">
        <v>85</v>
      </c>
      <c r="J2712" s="34">
        <v>1</v>
      </c>
      <c r="L2712" s="35" t="b">
        <v>1</v>
      </c>
    </row>
    <row r="2713" spans="1:12" s="34" customFormat="1" hidden="1" outlineLevel="1" x14ac:dyDescent="0.25">
      <c r="A2713" s="34">
        <v>1923117</v>
      </c>
      <c r="B2713" s="34" t="s">
        <v>990</v>
      </c>
      <c r="C2713" s="34">
        <v>102</v>
      </c>
      <c r="D2713" s="35" t="str">
        <f>VLOOKUP(C2713,[1]道具配置表!$A:$D,4,FALSE)</f>
        <v>1食物</v>
      </c>
      <c r="E2713" s="34">
        <v>40000</v>
      </c>
      <c r="J2713" s="34">
        <v>1</v>
      </c>
      <c r="L2713" s="35" t="b">
        <v>1</v>
      </c>
    </row>
    <row r="2714" spans="1:12" s="34" customFormat="1" hidden="1" outlineLevel="1" x14ac:dyDescent="0.25">
      <c r="C2714" s="34">
        <v>101</v>
      </c>
      <c r="D2714" s="35" t="str">
        <f>VLOOKUP(C2714,[1]道具配置表!$A:$D,4,FALSE)</f>
        <v>1木材</v>
      </c>
      <c r="E2714" s="34">
        <v>58000</v>
      </c>
      <c r="J2714" s="34">
        <v>1</v>
      </c>
      <c r="L2714" s="35" t="b">
        <v>1</v>
      </c>
    </row>
    <row r="2715" spans="1:12" s="34" customFormat="1" hidden="1" outlineLevel="1" x14ac:dyDescent="0.25">
      <c r="C2715" s="34">
        <v>103</v>
      </c>
      <c r="D2715" s="35" t="str">
        <f>VLOOKUP(C2715,[1]道具配置表!$A:$D,4,FALSE)</f>
        <v>1石头</v>
      </c>
      <c r="E2715" s="34">
        <v>58000</v>
      </c>
      <c r="J2715" s="34">
        <v>1</v>
      </c>
      <c r="L2715" s="35" t="b">
        <v>1</v>
      </c>
    </row>
    <row r="2716" spans="1:12" s="34" customFormat="1" hidden="1" outlineLevel="1" x14ac:dyDescent="0.25">
      <c r="C2716" s="34">
        <v>104</v>
      </c>
      <c r="D2716" s="35" t="str">
        <f>VLOOKUP(C2716,[1]道具配置表!$A:$D,4,FALSE)</f>
        <v>1黄金</v>
      </c>
      <c r="E2716" s="34">
        <v>58000</v>
      </c>
      <c r="J2716" s="34">
        <v>1</v>
      </c>
      <c r="L2716" s="35" t="b">
        <v>1</v>
      </c>
    </row>
    <row r="2717" spans="1:12" s="34" customFormat="1" hidden="1" outlineLevel="1" x14ac:dyDescent="0.25">
      <c r="C2717" s="34">
        <v>7010</v>
      </c>
      <c r="D2717" s="35" t="str">
        <f>VLOOKUP(C2717,[1]道具配置表!$A:$D,4,FALSE)</f>
        <v>军演币</v>
      </c>
      <c r="E2717" s="34">
        <v>90</v>
      </c>
      <c r="J2717" s="34">
        <v>1</v>
      </c>
      <c r="L2717" s="35" t="b">
        <v>1</v>
      </c>
    </row>
    <row r="2718" spans="1:12" s="34" customFormat="1" hidden="1" outlineLevel="1" x14ac:dyDescent="0.25">
      <c r="A2718" s="34">
        <v>1923118</v>
      </c>
      <c r="B2718" s="34" t="s">
        <v>991</v>
      </c>
      <c r="C2718" s="34">
        <v>102</v>
      </c>
      <c r="D2718" s="35" t="str">
        <f>VLOOKUP(C2718,[1]道具配置表!$A:$D,4,FALSE)</f>
        <v>1食物</v>
      </c>
      <c r="E2718" s="34">
        <v>40000</v>
      </c>
      <c r="J2718" s="34">
        <v>1</v>
      </c>
      <c r="L2718" s="35" t="b">
        <v>1</v>
      </c>
    </row>
    <row r="2719" spans="1:12" s="34" customFormat="1" hidden="1" outlineLevel="1" x14ac:dyDescent="0.25">
      <c r="C2719" s="34">
        <v>101</v>
      </c>
      <c r="D2719" s="35" t="str">
        <f>VLOOKUP(C2719,[1]道具配置表!$A:$D,4,FALSE)</f>
        <v>1木材</v>
      </c>
      <c r="E2719" s="34">
        <v>61000</v>
      </c>
      <c r="J2719" s="34">
        <v>1</v>
      </c>
      <c r="L2719" s="35" t="b">
        <v>1</v>
      </c>
    </row>
    <row r="2720" spans="1:12" s="34" customFormat="1" hidden="1" outlineLevel="1" x14ac:dyDescent="0.25">
      <c r="C2720" s="34">
        <v>103</v>
      </c>
      <c r="D2720" s="35" t="str">
        <f>VLOOKUP(C2720,[1]道具配置表!$A:$D,4,FALSE)</f>
        <v>1石头</v>
      </c>
      <c r="E2720" s="34">
        <v>61000</v>
      </c>
      <c r="J2720" s="34">
        <v>1</v>
      </c>
      <c r="L2720" s="35" t="b">
        <v>1</v>
      </c>
    </row>
    <row r="2721" spans="1:12" s="34" customFormat="1" hidden="1" outlineLevel="1" x14ac:dyDescent="0.25">
      <c r="C2721" s="34">
        <v>104</v>
      </c>
      <c r="D2721" s="35" t="str">
        <f>VLOOKUP(C2721,[1]道具配置表!$A:$D,4,FALSE)</f>
        <v>1黄金</v>
      </c>
      <c r="E2721" s="34">
        <v>61000</v>
      </c>
      <c r="J2721" s="34">
        <v>1</v>
      </c>
      <c r="L2721" s="35" t="b">
        <v>1</v>
      </c>
    </row>
    <row r="2722" spans="1:12" s="34" customFormat="1" hidden="1" outlineLevel="1" x14ac:dyDescent="0.25">
      <c r="C2722" s="34">
        <v>7010</v>
      </c>
      <c r="D2722" s="35" t="str">
        <f>VLOOKUP(C2722,[1]道具配置表!$A:$D,4,FALSE)</f>
        <v>军演币</v>
      </c>
      <c r="E2722" s="34">
        <v>95</v>
      </c>
      <c r="J2722" s="34">
        <v>1</v>
      </c>
      <c r="L2722" s="35" t="b">
        <v>1</v>
      </c>
    </row>
    <row r="2723" spans="1:12" s="34" customFormat="1" hidden="1" outlineLevel="1" x14ac:dyDescent="0.25">
      <c r="A2723" s="34">
        <v>1923119</v>
      </c>
      <c r="B2723" s="34" t="s">
        <v>992</v>
      </c>
      <c r="C2723" s="34">
        <v>102</v>
      </c>
      <c r="D2723" s="35" t="str">
        <f>VLOOKUP(C2723,[1]道具配置表!$A:$D,4,FALSE)</f>
        <v>1食物</v>
      </c>
      <c r="E2723" s="34">
        <v>40000</v>
      </c>
      <c r="J2723" s="34">
        <v>1</v>
      </c>
      <c r="L2723" s="35" t="b">
        <v>1</v>
      </c>
    </row>
    <row r="2724" spans="1:12" s="34" customFormat="1" hidden="1" outlineLevel="1" x14ac:dyDescent="0.25">
      <c r="C2724" s="34">
        <v>101</v>
      </c>
      <c r="D2724" s="35" t="str">
        <f>VLOOKUP(C2724,[1]道具配置表!$A:$D,4,FALSE)</f>
        <v>1木材</v>
      </c>
      <c r="E2724" s="34">
        <v>64000</v>
      </c>
      <c r="J2724" s="34">
        <v>1</v>
      </c>
      <c r="L2724" s="35" t="b">
        <v>1</v>
      </c>
    </row>
    <row r="2725" spans="1:12" s="34" customFormat="1" hidden="1" outlineLevel="1" x14ac:dyDescent="0.25">
      <c r="C2725" s="34">
        <v>103</v>
      </c>
      <c r="D2725" s="35" t="str">
        <f>VLOOKUP(C2725,[1]道具配置表!$A:$D,4,FALSE)</f>
        <v>1石头</v>
      </c>
      <c r="E2725" s="34">
        <v>64000</v>
      </c>
      <c r="J2725" s="34">
        <v>1</v>
      </c>
      <c r="L2725" s="35" t="b">
        <v>1</v>
      </c>
    </row>
    <row r="2726" spans="1:12" s="34" customFormat="1" hidden="1" outlineLevel="1" x14ac:dyDescent="0.25">
      <c r="C2726" s="34">
        <v>104</v>
      </c>
      <c r="D2726" s="35" t="str">
        <f>VLOOKUP(C2726,[1]道具配置表!$A:$D,4,FALSE)</f>
        <v>1黄金</v>
      </c>
      <c r="E2726" s="34">
        <v>64000</v>
      </c>
      <c r="J2726" s="34">
        <v>1</v>
      </c>
      <c r="L2726" s="35" t="b">
        <v>1</v>
      </c>
    </row>
    <row r="2727" spans="1:12" s="34" customFormat="1" hidden="1" outlineLevel="1" x14ac:dyDescent="0.25">
      <c r="C2727" s="34">
        <v>7010</v>
      </c>
      <c r="D2727" s="35" t="str">
        <f>VLOOKUP(C2727,[1]道具配置表!$A:$D,4,FALSE)</f>
        <v>军演币</v>
      </c>
      <c r="E2727" s="34">
        <v>100</v>
      </c>
      <c r="J2727" s="34">
        <v>1</v>
      </c>
      <c r="L2727" s="35" t="b">
        <v>1</v>
      </c>
    </row>
    <row r="2728" spans="1:12" s="34" customFormat="1" hidden="1" outlineLevel="1" x14ac:dyDescent="0.25">
      <c r="A2728" s="34">
        <v>1923120</v>
      </c>
      <c r="B2728" s="34" t="s">
        <v>993</v>
      </c>
      <c r="C2728" s="34">
        <v>102</v>
      </c>
      <c r="D2728" s="35" t="str">
        <f>VLOOKUP(C2728,[1]道具配置表!$A:$D,4,FALSE)</f>
        <v>1食物</v>
      </c>
      <c r="E2728" s="34">
        <v>40000</v>
      </c>
      <c r="J2728" s="34">
        <v>1</v>
      </c>
      <c r="L2728" s="35" t="b">
        <v>1</v>
      </c>
    </row>
    <row r="2729" spans="1:12" s="34" customFormat="1" hidden="1" outlineLevel="1" x14ac:dyDescent="0.25">
      <c r="C2729" s="34">
        <v>101</v>
      </c>
      <c r="D2729" s="35" t="str">
        <f>VLOOKUP(C2729,[1]道具配置表!$A:$D,4,FALSE)</f>
        <v>1木材</v>
      </c>
      <c r="E2729" s="34">
        <v>67000</v>
      </c>
      <c r="J2729" s="34">
        <v>1</v>
      </c>
      <c r="L2729" s="35" t="b">
        <v>1</v>
      </c>
    </row>
    <row r="2730" spans="1:12" s="34" customFormat="1" hidden="1" outlineLevel="1" x14ac:dyDescent="0.25">
      <c r="C2730" s="34">
        <v>103</v>
      </c>
      <c r="D2730" s="35" t="str">
        <f>VLOOKUP(C2730,[1]道具配置表!$A:$D,4,FALSE)</f>
        <v>1石头</v>
      </c>
      <c r="E2730" s="34">
        <v>67000</v>
      </c>
      <c r="J2730" s="34">
        <v>1</v>
      </c>
      <c r="L2730" s="35" t="b">
        <v>1</v>
      </c>
    </row>
    <row r="2731" spans="1:12" s="34" customFormat="1" hidden="1" outlineLevel="1" x14ac:dyDescent="0.25">
      <c r="C2731" s="34">
        <v>104</v>
      </c>
      <c r="D2731" s="35" t="str">
        <f>VLOOKUP(C2731,[1]道具配置表!$A:$D,4,FALSE)</f>
        <v>1黄金</v>
      </c>
      <c r="E2731" s="34">
        <v>67000</v>
      </c>
      <c r="J2731" s="34">
        <v>1</v>
      </c>
      <c r="L2731" s="35" t="b">
        <v>1</v>
      </c>
    </row>
    <row r="2732" spans="1:12" s="34" customFormat="1" hidden="1" outlineLevel="1" x14ac:dyDescent="0.25">
      <c r="C2732" s="34">
        <v>7010</v>
      </c>
      <c r="D2732" s="35" t="str">
        <f>VLOOKUP(C2732,[1]道具配置表!$A:$D,4,FALSE)</f>
        <v>军演币</v>
      </c>
      <c r="E2732" s="34">
        <v>110</v>
      </c>
      <c r="J2732" s="34">
        <v>1</v>
      </c>
      <c r="L2732" s="35" t="b">
        <v>1</v>
      </c>
    </row>
    <row r="2733" spans="1:12" s="34" customFormat="1" hidden="1" outlineLevel="1" x14ac:dyDescent="0.25">
      <c r="A2733" s="34">
        <v>1923121</v>
      </c>
      <c r="B2733" s="34" t="s">
        <v>994</v>
      </c>
      <c r="C2733" s="34">
        <v>102</v>
      </c>
      <c r="D2733" s="35" t="str">
        <f>VLOOKUP(C2733,[1]道具配置表!$A:$D,4,FALSE)</f>
        <v>1食物</v>
      </c>
      <c r="E2733" s="34">
        <v>40000</v>
      </c>
      <c r="J2733" s="34">
        <v>1</v>
      </c>
      <c r="L2733" s="35" t="b">
        <v>1</v>
      </c>
    </row>
    <row r="2734" spans="1:12" s="34" customFormat="1" hidden="1" outlineLevel="1" x14ac:dyDescent="0.25">
      <c r="C2734" s="34">
        <v>101</v>
      </c>
      <c r="D2734" s="35" t="str">
        <f>VLOOKUP(C2734,[1]道具配置表!$A:$D,4,FALSE)</f>
        <v>1木材</v>
      </c>
      <c r="E2734" s="34">
        <v>70000</v>
      </c>
      <c r="J2734" s="34">
        <v>1</v>
      </c>
      <c r="L2734" s="35" t="b">
        <v>1</v>
      </c>
    </row>
    <row r="2735" spans="1:12" s="34" customFormat="1" hidden="1" outlineLevel="1" x14ac:dyDescent="0.25">
      <c r="C2735" s="34">
        <v>103</v>
      </c>
      <c r="D2735" s="35" t="str">
        <f>VLOOKUP(C2735,[1]道具配置表!$A:$D,4,FALSE)</f>
        <v>1石头</v>
      </c>
      <c r="E2735" s="34">
        <v>70000</v>
      </c>
      <c r="J2735" s="34">
        <v>1</v>
      </c>
      <c r="L2735" s="35" t="b">
        <v>1</v>
      </c>
    </row>
    <row r="2736" spans="1:12" s="34" customFormat="1" hidden="1" outlineLevel="1" x14ac:dyDescent="0.25">
      <c r="C2736" s="34">
        <v>104</v>
      </c>
      <c r="D2736" s="35" t="str">
        <f>VLOOKUP(C2736,[1]道具配置表!$A:$D,4,FALSE)</f>
        <v>1黄金</v>
      </c>
      <c r="E2736" s="34">
        <v>70000</v>
      </c>
      <c r="J2736" s="34">
        <v>1</v>
      </c>
      <c r="L2736" s="35" t="b">
        <v>1</v>
      </c>
    </row>
    <row r="2737" spans="1:12" s="34" customFormat="1" hidden="1" outlineLevel="1" x14ac:dyDescent="0.25">
      <c r="C2737" s="34">
        <v>7010</v>
      </c>
      <c r="D2737" s="35" t="str">
        <f>VLOOKUP(C2737,[1]道具配置表!$A:$D,4,FALSE)</f>
        <v>军演币</v>
      </c>
      <c r="E2737" s="34">
        <v>120</v>
      </c>
      <c r="J2737" s="34">
        <v>1</v>
      </c>
      <c r="L2737" s="35" t="b">
        <v>1</v>
      </c>
    </row>
    <row r="2738" spans="1:12" s="34" customFormat="1" hidden="1" outlineLevel="1" x14ac:dyDescent="0.25">
      <c r="A2738" s="34">
        <v>1923122</v>
      </c>
      <c r="B2738" s="34" t="s">
        <v>995</v>
      </c>
      <c r="C2738" s="34">
        <v>102</v>
      </c>
      <c r="D2738" s="35" t="str">
        <f>VLOOKUP(C2738,[1]道具配置表!$A:$D,4,FALSE)</f>
        <v>1食物</v>
      </c>
      <c r="E2738" s="34">
        <v>40000</v>
      </c>
      <c r="J2738" s="34">
        <v>1</v>
      </c>
      <c r="L2738" s="35" t="b">
        <v>1</v>
      </c>
    </row>
    <row r="2739" spans="1:12" s="34" customFormat="1" hidden="1" outlineLevel="1" x14ac:dyDescent="0.25">
      <c r="C2739" s="34">
        <v>101</v>
      </c>
      <c r="D2739" s="35" t="str">
        <f>VLOOKUP(C2739,[1]道具配置表!$A:$D,4,FALSE)</f>
        <v>1木材</v>
      </c>
      <c r="E2739" s="34">
        <v>73000</v>
      </c>
      <c r="J2739" s="34">
        <v>1</v>
      </c>
      <c r="L2739" s="35" t="b">
        <v>1</v>
      </c>
    </row>
    <row r="2740" spans="1:12" s="34" customFormat="1" hidden="1" outlineLevel="1" x14ac:dyDescent="0.25">
      <c r="C2740" s="34">
        <v>103</v>
      </c>
      <c r="D2740" s="35" t="str">
        <f>VLOOKUP(C2740,[1]道具配置表!$A:$D,4,FALSE)</f>
        <v>1石头</v>
      </c>
      <c r="E2740" s="34">
        <v>73000</v>
      </c>
      <c r="J2740" s="34">
        <v>1</v>
      </c>
      <c r="L2740" s="35" t="b">
        <v>1</v>
      </c>
    </row>
    <row r="2741" spans="1:12" s="34" customFormat="1" hidden="1" outlineLevel="1" x14ac:dyDescent="0.25">
      <c r="C2741" s="34">
        <v>104</v>
      </c>
      <c r="D2741" s="35" t="str">
        <f>VLOOKUP(C2741,[1]道具配置表!$A:$D,4,FALSE)</f>
        <v>1黄金</v>
      </c>
      <c r="E2741" s="34">
        <v>73000</v>
      </c>
      <c r="J2741" s="34">
        <v>1</v>
      </c>
      <c r="L2741" s="35" t="b">
        <v>1</v>
      </c>
    </row>
    <row r="2742" spans="1:12" s="34" customFormat="1" hidden="1" outlineLevel="1" x14ac:dyDescent="0.25">
      <c r="C2742" s="34">
        <v>7010</v>
      </c>
      <c r="D2742" s="35" t="str">
        <f>VLOOKUP(C2742,[1]道具配置表!$A:$D,4,FALSE)</f>
        <v>军演币</v>
      </c>
      <c r="E2742" s="34">
        <v>130</v>
      </c>
      <c r="J2742" s="34">
        <v>1</v>
      </c>
      <c r="L2742" s="35" t="b">
        <v>1</v>
      </c>
    </row>
    <row r="2743" spans="1:12" s="34" customFormat="1" hidden="1" outlineLevel="1" x14ac:dyDescent="0.25">
      <c r="A2743" s="34">
        <v>1923123</v>
      </c>
      <c r="B2743" s="34" t="s">
        <v>996</v>
      </c>
      <c r="C2743" s="34">
        <v>102</v>
      </c>
      <c r="D2743" s="35" t="str">
        <f>VLOOKUP(C2743,[1]道具配置表!$A:$D,4,FALSE)</f>
        <v>1食物</v>
      </c>
      <c r="E2743" s="34">
        <v>40000</v>
      </c>
      <c r="J2743" s="34">
        <v>1</v>
      </c>
      <c r="L2743" s="35" t="b">
        <v>1</v>
      </c>
    </row>
    <row r="2744" spans="1:12" s="34" customFormat="1" hidden="1" outlineLevel="1" x14ac:dyDescent="0.25">
      <c r="C2744" s="34">
        <v>101</v>
      </c>
      <c r="D2744" s="35" t="str">
        <f>VLOOKUP(C2744,[1]道具配置表!$A:$D,4,FALSE)</f>
        <v>1木材</v>
      </c>
      <c r="E2744" s="34">
        <v>76000</v>
      </c>
      <c r="J2744" s="34">
        <v>1</v>
      </c>
      <c r="L2744" s="35" t="b">
        <v>1</v>
      </c>
    </row>
    <row r="2745" spans="1:12" s="34" customFormat="1" hidden="1" outlineLevel="1" x14ac:dyDescent="0.25">
      <c r="C2745" s="34">
        <v>103</v>
      </c>
      <c r="D2745" s="35" t="str">
        <f>VLOOKUP(C2745,[1]道具配置表!$A:$D,4,FALSE)</f>
        <v>1石头</v>
      </c>
      <c r="E2745" s="34">
        <v>76000</v>
      </c>
      <c r="J2745" s="34">
        <v>1</v>
      </c>
      <c r="L2745" s="35" t="b">
        <v>1</v>
      </c>
    </row>
    <row r="2746" spans="1:12" s="34" customFormat="1" hidden="1" outlineLevel="1" x14ac:dyDescent="0.25">
      <c r="C2746" s="34">
        <v>104</v>
      </c>
      <c r="D2746" s="35" t="str">
        <f>VLOOKUP(C2746,[1]道具配置表!$A:$D,4,FALSE)</f>
        <v>1黄金</v>
      </c>
      <c r="E2746" s="34">
        <v>76000</v>
      </c>
      <c r="J2746" s="34">
        <v>1</v>
      </c>
      <c r="L2746" s="35" t="b">
        <v>1</v>
      </c>
    </row>
    <row r="2747" spans="1:12" s="34" customFormat="1" hidden="1" outlineLevel="1" x14ac:dyDescent="0.25">
      <c r="C2747" s="34">
        <v>7010</v>
      </c>
      <c r="D2747" s="35" t="str">
        <f>VLOOKUP(C2747,[1]道具配置表!$A:$D,4,FALSE)</f>
        <v>军演币</v>
      </c>
      <c r="E2747" s="34">
        <v>140</v>
      </c>
      <c r="J2747" s="34">
        <v>1</v>
      </c>
      <c r="L2747" s="35" t="b">
        <v>1</v>
      </c>
    </row>
    <row r="2748" spans="1:12" s="34" customFormat="1" hidden="1" outlineLevel="1" x14ac:dyDescent="0.25">
      <c r="A2748" s="34">
        <v>1923124</v>
      </c>
      <c r="B2748" s="34" t="s">
        <v>997</v>
      </c>
      <c r="C2748" s="34">
        <v>102</v>
      </c>
      <c r="D2748" s="35" t="str">
        <f>VLOOKUP(C2748,[1]道具配置表!$A:$D,4,FALSE)</f>
        <v>1食物</v>
      </c>
      <c r="E2748" s="34">
        <v>40000</v>
      </c>
      <c r="J2748" s="34">
        <v>1</v>
      </c>
      <c r="L2748" s="35" t="b">
        <v>1</v>
      </c>
    </row>
    <row r="2749" spans="1:12" s="34" customFormat="1" hidden="1" outlineLevel="1" x14ac:dyDescent="0.25">
      <c r="C2749" s="34">
        <v>101</v>
      </c>
      <c r="D2749" s="35" t="str">
        <f>VLOOKUP(C2749,[1]道具配置表!$A:$D,4,FALSE)</f>
        <v>1木材</v>
      </c>
      <c r="E2749" s="34">
        <v>79000</v>
      </c>
      <c r="J2749" s="34">
        <v>1</v>
      </c>
      <c r="L2749" s="35" t="b">
        <v>1</v>
      </c>
    </row>
    <row r="2750" spans="1:12" s="34" customFormat="1" hidden="1" outlineLevel="1" x14ac:dyDescent="0.25">
      <c r="C2750" s="34">
        <v>103</v>
      </c>
      <c r="D2750" s="35" t="str">
        <f>VLOOKUP(C2750,[1]道具配置表!$A:$D,4,FALSE)</f>
        <v>1石头</v>
      </c>
      <c r="E2750" s="34">
        <v>79000</v>
      </c>
      <c r="J2750" s="34">
        <v>1</v>
      </c>
      <c r="L2750" s="35" t="b">
        <v>1</v>
      </c>
    </row>
    <row r="2751" spans="1:12" s="34" customFormat="1" hidden="1" outlineLevel="1" x14ac:dyDescent="0.25">
      <c r="C2751" s="34">
        <v>104</v>
      </c>
      <c r="D2751" s="35" t="str">
        <f>VLOOKUP(C2751,[1]道具配置表!$A:$D,4,FALSE)</f>
        <v>1黄金</v>
      </c>
      <c r="E2751" s="34">
        <v>79000</v>
      </c>
      <c r="J2751" s="34">
        <v>1</v>
      </c>
      <c r="L2751" s="35" t="b">
        <v>1</v>
      </c>
    </row>
    <row r="2752" spans="1:12" s="34" customFormat="1" hidden="1" outlineLevel="1" x14ac:dyDescent="0.25">
      <c r="C2752" s="34">
        <v>7010</v>
      </c>
      <c r="D2752" s="35" t="str">
        <f>VLOOKUP(C2752,[1]道具配置表!$A:$D,4,FALSE)</f>
        <v>军演币</v>
      </c>
      <c r="E2752" s="34">
        <v>150</v>
      </c>
      <c r="J2752" s="34">
        <v>1</v>
      </c>
      <c r="L2752" s="35" t="b">
        <v>1</v>
      </c>
    </row>
    <row r="2753" spans="1:12" s="34" customFormat="1" hidden="1" outlineLevel="1" x14ac:dyDescent="0.25">
      <c r="A2753" s="34">
        <v>1923125</v>
      </c>
      <c r="B2753" s="34" t="s">
        <v>998</v>
      </c>
      <c r="C2753" s="34">
        <v>102</v>
      </c>
      <c r="D2753" s="35" t="str">
        <f>VLOOKUP(C2753,[1]道具配置表!$A:$D,4,FALSE)</f>
        <v>1食物</v>
      </c>
      <c r="E2753" s="34">
        <v>40000</v>
      </c>
      <c r="J2753" s="34">
        <v>1</v>
      </c>
      <c r="L2753" s="35" t="b">
        <v>1</v>
      </c>
    </row>
    <row r="2754" spans="1:12" s="34" customFormat="1" hidden="1" outlineLevel="1" x14ac:dyDescent="0.25">
      <c r="C2754" s="34">
        <v>101</v>
      </c>
      <c r="D2754" s="35" t="str">
        <f>VLOOKUP(C2754,[1]道具配置表!$A:$D,4,FALSE)</f>
        <v>1木材</v>
      </c>
      <c r="E2754" s="34">
        <v>82000</v>
      </c>
      <c r="J2754" s="34">
        <v>1</v>
      </c>
      <c r="L2754" s="35" t="b">
        <v>1</v>
      </c>
    </row>
    <row r="2755" spans="1:12" s="34" customFormat="1" hidden="1" outlineLevel="1" x14ac:dyDescent="0.25">
      <c r="C2755" s="34">
        <v>103</v>
      </c>
      <c r="D2755" s="35" t="str">
        <f>VLOOKUP(C2755,[1]道具配置表!$A:$D,4,FALSE)</f>
        <v>1石头</v>
      </c>
      <c r="E2755" s="34">
        <v>82000</v>
      </c>
      <c r="J2755" s="34">
        <v>1</v>
      </c>
      <c r="L2755" s="35" t="b">
        <v>1</v>
      </c>
    </row>
    <row r="2756" spans="1:12" s="34" customFormat="1" hidden="1" outlineLevel="1" x14ac:dyDescent="0.25">
      <c r="C2756" s="34">
        <v>104</v>
      </c>
      <c r="D2756" s="35" t="str">
        <f>VLOOKUP(C2756,[1]道具配置表!$A:$D,4,FALSE)</f>
        <v>1黄金</v>
      </c>
      <c r="E2756" s="34">
        <v>82000</v>
      </c>
      <c r="J2756" s="34">
        <v>1</v>
      </c>
      <c r="L2756" s="35" t="b">
        <v>1</v>
      </c>
    </row>
    <row r="2757" spans="1:12" s="34" customFormat="1" hidden="1" outlineLevel="1" x14ac:dyDescent="0.25">
      <c r="C2757" s="34">
        <v>7010</v>
      </c>
      <c r="D2757" s="35" t="str">
        <f>VLOOKUP(C2757,[1]道具配置表!$A:$D,4,FALSE)</f>
        <v>军演币</v>
      </c>
      <c r="E2757" s="34">
        <v>160</v>
      </c>
      <c r="J2757" s="34">
        <v>1</v>
      </c>
      <c r="L2757" s="35" t="b">
        <v>1</v>
      </c>
    </row>
    <row r="2758" spans="1:12" s="34" customFormat="1" hidden="1" outlineLevel="1" x14ac:dyDescent="0.25">
      <c r="A2758" s="34">
        <v>1923126</v>
      </c>
      <c r="B2758" s="34" t="s">
        <v>999</v>
      </c>
      <c r="C2758" s="34">
        <v>102</v>
      </c>
      <c r="D2758" s="35" t="str">
        <f>VLOOKUP(C2758,[1]道具配置表!$A:$D,4,FALSE)</f>
        <v>1食物</v>
      </c>
      <c r="E2758" s="34">
        <v>40000</v>
      </c>
      <c r="J2758" s="34">
        <v>1</v>
      </c>
      <c r="L2758" s="35" t="b">
        <v>1</v>
      </c>
    </row>
    <row r="2759" spans="1:12" s="34" customFormat="1" hidden="1" outlineLevel="1" x14ac:dyDescent="0.25">
      <c r="C2759" s="34">
        <v>101</v>
      </c>
      <c r="D2759" s="35" t="str">
        <f>VLOOKUP(C2759,[1]道具配置表!$A:$D,4,FALSE)</f>
        <v>1木材</v>
      </c>
      <c r="E2759" s="34">
        <v>85000</v>
      </c>
      <c r="J2759" s="34">
        <v>1</v>
      </c>
      <c r="L2759" s="35" t="b">
        <v>1</v>
      </c>
    </row>
    <row r="2760" spans="1:12" s="34" customFormat="1" hidden="1" outlineLevel="1" x14ac:dyDescent="0.25">
      <c r="C2760" s="34">
        <v>103</v>
      </c>
      <c r="D2760" s="35" t="str">
        <f>VLOOKUP(C2760,[1]道具配置表!$A:$D,4,FALSE)</f>
        <v>1石头</v>
      </c>
      <c r="E2760" s="34">
        <v>85000</v>
      </c>
      <c r="J2760" s="34">
        <v>1</v>
      </c>
      <c r="L2760" s="35" t="b">
        <v>1</v>
      </c>
    </row>
    <row r="2761" spans="1:12" s="34" customFormat="1" hidden="1" outlineLevel="1" x14ac:dyDescent="0.25">
      <c r="C2761" s="34">
        <v>104</v>
      </c>
      <c r="D2761" s="35" t="str">
        <f>VLOOKUP(C2761,[1]道具配置表!$A:$D,4,FALSE)</f>
        <v>1黄金</v>
      </c>
      <c r="E2761" s="34">
        <v>85000</v>
      </c>
      <c r="J2761" s="34">
        <v>1</v>
      </c>
      <c r="L2761" s="35" t="b">
        <v>1</v>
      </c>
    </row>
    <row r="2762" spans="1:12" s="34" customFormat="1" hidden="1" outlineLevel="1" x14ac:dyDescent="0.25">
      <c r="C2762" s="34">
        <v>7010</v>
      </c>
      <c r="D2762" s="35" t="str">
        <f>VLOOKUP(C2762,[1]道具配置表!$A:$D,4,FALSE)</f>
        <v>军演币</v>
      </c>
      <c r="E2762" s="34">
        <v>170</v>
      </c>
      <c r="J2762" s="34">
        <v>1</v>
      </c>
      <c r="L2762" s="35" t="b">
        <v>1</v>
      </c>
    </row>
    <row r="2763" spans="1:12" s="34" customFormat="1" hidden="1" outlineLevel="1" x14ac:dyDescent="0.25">
      <c r="A2763" s="34">
        <v>1923127</v>
      </c>
      <c r="B2763" s="34" t="s">
        <v>1000</v>
      </c>
      <c r="C2763" s="34">
        <v>102</v>
      </c>
      <c r="D2763" s="35" t="str">
        <f>VLOOKUP(C2763,[1]道具配置表!$A:$D,4,FALSE)</f>
        <v>1食物</v>
      </c>
      <c r="E2763" s="34">
        <v>40000</v>
      </c>
      <c r="J2763" s="34">
        <v>1</v>
      </c>
      <c r="L2763" s="35" t="b">
        <v>1</v>
      </c>
    </row>
    <row r="2764" spans="1:12" s="34" customFormat="1" hidden="1" outlineLevel="1" x14ac:dyDescent="0.25">
      <c r="C2764" s="34">
        <v>101</v>
      </c>
      <c r="D2764" s="35" t="str">
        <f>VLOOKUP(C2764,[1]道具配置表!$A:$D,4,FALSE)</f>
        <v>1木材</v>
      </c>
      <c r="E2764" s="34">
        <v>88000</v>
      </c>
      <c r="J2764" s="34">
        <v>1</v>
      </c>
      <c r="L2764" s="35" t="b">
        <v>1</v>
      </c>
    </row>
    <row r="2765" spans="1:12" s="34" customFormat="1" hidden="1" outlineLevel="1" x14ac:dyDescent="0.25">
      <c r="C2765" s="34">
        <v>103</v>
      </c>
      <c r="D2765" s="35" t="str">
        <f>VLOOKUP(C2765,[1]道具配置表!$A:$D,4,FALSE)</f>
        <v>1石头</v>
      </c>
      <c r="E2765" s="34">
        <v>88000</v>
      </c>
      <c r="J2765" s="34">
        <v>1</v>
      </c>
      <c r="L2765" s="35" t="b">
        <v>1</v>
      </c>
    </row>
    <row r="2766" spans="1:12" s="34" customFormat="1" hidden="1" outlineLevel="1" x14ac:dyDescent="0.25">
      <c r="C2766" s="34">
        <v>104</v>
      </c>
      <c r="D2766" s="35" t="str">
        <f>VLOOKUP(C2766,[1]道具配置表!$A:$D,4,FALSE)</f>
        <v>1黄金</v>
      </c>
      <c r="E2766" s="34">
        <v>88000</v>
      </c>
      <c r="J2766" s="34">
        <v>1</v>
      </c>
      <c r="L2766" s="35" t="b">
        <v>1</v>
      </c>
    </row>
    <row r="2767" spans="1:12" s="34" customFormat="1" hidden="1" outlineLevel="1" x14ac:dyDescent="0.25">
      <c r="C2767" s="34">
        <v>7010</v>
      </c>
      <c r="D2767" s="35" t="str">
        <f>VLOOKUP(C2767,[1]道具配置表!$A:$D,4,FALSE)</f>
        <v>军演币</v>
      </c>
      <c r="E2767" s="34">
        <v>180</v>
      </c>
      <c r="J2767" s="34">
        <v>1</v>
      </c>
      <c r="L2767" s="35" t="b">
        <v>1</v>
      </c>
    </row>
    <row r="2768" spans="1:12" s="34" customFormat="1" hidden="1" outlineLevel="1" x14ac:dyDescent="0.25">
      <c r="A2768" s="34">
        <v>1923128</v>
      </c>
      <c r="B2768" s="34" t="s">
        <v>1001</v>
      </c>
      <c r="C2768" s="34">
        <v>102</v>
      </c>
      <c r="D2768" s="35" t="str">
        <f>VLOOKUP(C2768,[1]道具配置表!$A:$D,4,FALSE)</f>
        <v>1食物</v>
      </c>
      <c r="E2768" s="34">
        <v>40000</v>
      </c>
      <c r="J2768" s="34">
        <v>1</v>
      </c>
      <c r="L2768" s="35" t="b">
        <v>1</v>
      </c>
    </row>
    <row r="2769" spans="1:12" s="34" customFormat="1" hidden="1" outlineLevel="1" x14ac:dyDescent="0.25">
      <c r="C2769" s="34">
        <v>101</v>
      </c>
      <c r="D2769" s="35" t="str">
        <f>VLOOKUP(C2769,[1]道具配置表!$A:$D,4,FALSE)</f>
        <v>1木材</v>
      </c>
      <c r="E2769" s="34">
        <v>91000</v>
      </c>
      <c r="J2769" s="34">
        <v>1</v>
      </c>
      <c r="L2769" s="35" t="b">
        <v>1</v>
      </c>
    </row>
    <row r="2770" spans="1:12" s="34" customFormat="1" hidden="1" outlineLevel="1" x14ac:dyDescent="0.25">
      <c r="C2770" s="34">
        <v>103</v>
      </c>
      <c r="D2770" s="35" t="str">
        <f>VLOOKUP(C2770,[1]道具配置表!$A:$D,4,FALSE)</f>
        <v>1石头</v>
      </c>
      <c r="E2770" s="34">
        <v>91000</v>
      </c>
      <c r="J2770" s="34">
        <v>1</v>
      </c>
      <c r="L2770" s="35" t="b">
        <v>1</v>
      </c>
    </row>
    <row r="2771" spans="1:12" s="34" customFormat="1" hidden="1" outlineLevel="1" x14ac:dyDescent="0.25">
      <c r="C2771" s="34">
        <v>104</v>
      </c>
      <c r="D2771" s="35" t="str">
        <f>VLOOKUP(C2771,[1]道具配置表!$A:$D,4,FALSE)</f>
        <v>1黄金</v>
      </c>
      <c r="E2771" s="34">
        <v>91000</v>
      </c>
      <c r="J2771" s="34">
        <v>1</v>
      </c>
      <c r="L2771" s="35" t="b">
        <v>1</v>
      </c>
    </row>
    <row r="2772" spans="1:12" s="34" customFormat="1" hidden="1" outlineLevel="1" x14ac:dyDescent="0.25">
      <c r="C2772" s="34">
        <v>7010</v>
      </c>
      <c r="D2772" s="35" t="str">
        <f>VLOOKUP(C2772,[1]道具配置表!$A:$D,4,FALSE)</f>
        <v>军演币</v>
      </c>
      <c r="E2772" s="34">
        <v>190</v>
      </c>
      <c r="J2772" s="34">
        <v>1</v>
      </c>
      <c r="L2772" s="35" t="b">
        <v>1</v>
      </c>
    </row>
    <row r="2773" spans="1:12" s="34" customFormat="1" hidden="1" outlineLevel="1" x14ac:dyDescent="0.25">
      <c r="A2773" s="34">
        <v>1923129</v>
      </c>
      <c r="B2773" s="34" t="s">
        <v>1002</v>
      </c>
      <c r="C2773" s="34">
        <v>102</v>
      </c>
      <c r="D2773" s="35" t="str">
        <f>VLOOKUP(C2773,[1]道具配置表!$A:$D,4,FALSE)</f>
        <v>1食物</v>
      </c>
      <c r="E2773" s="34">
        <v>40000</v>
      </c>
      <c r="J2773" s="34">
        <v>1</v>
      </c>
      <c r="L2773" s="35" t="b">
        <v>1</v>
      </c>
    </row>
    <row r="2774" spans="1:12" s="34" customFormat="1" hidden="1" outlineLevel="1" x14ac:dyDescent="0.25">
      <c r="C2774" s="34">
        <v>101</v>
      </c>
      <c r="D2774" s="35" t="str">
        <f>VLOOKUP(C2774,[1]道具配置表!$A:$D,4,FALSE)</f>
        <v>1木材</v>
      </c>
      <c r="E2774" s="34">
        <v>94000</v>
      </c>
      <c r="J2774" s="34">
        <v>1</v>
      </c>
      <c r="L2774" s="35" t="b">
        <v>1</v>
      </c>
    </row>
    <row r="2775" spans="1:12" s="34" customFormat="1" hidden="1" outlineLevel="1" x14ac:dyDescent="0.25">
      <c r="C2775" s="34">
        <v>103</v>
      </c>
      <c r="D2775" s="35" t="str">
        <f>VLOOKUP(C2775,[1]道具配置表!$A:$D,4,FALSE)</f>
        <v>1石头</v>
      </c>
      <c r="E2775" s="34">
        <v>94000</v>
      </c>
      <c r="J2775" s="34">
        <v>1</v>
      </c>
      <c r="L2775" s="35" t="b">
        <v>1</v>
      </c>
    </row>
    <row r="2776" spans="1:12" s="34" customFormat="1" hidden="1" outlineLevel="1" x14ac:dyDescent="0.25">
      <c r="C2776" s="34">
        <v>104</v>
      </c>
      <c r="D2776" s="35" t="str">
        <f>VLOOKUP(C2776,[1]道具配置表!$A:$D,4,FALSE)</f>
        <v>1黄金</v>
      </c>
      <c r="E2776" s="34">
        <v>94000</v>
      </c>
      <c r="J2776" s="34">
        <v>1</v>
      </c>
      <c r="L2776" s="35" t="b">
        <v>1</v>
      </c>
    </row>
    <row r="2777" spans="1:12" s="34" customFormat="1" hidden="1" outlineLevel="1" x14ac:dyDescent="0.25">
      <c r="C2777" s="34">
        <v>7010</v>
      </c>
      <c r="D2777" s="35" t="str">
        <f>VLOOKUP(C2777,[1]道具配置表!$A:$D,4,FALSE)</f>
        <v>军演币</v>
      </c>
      <c r="E2777" s="34">
        <v>200</v>
      </c>
      <c r="J2777" s="34">
        <v>1</v>
      </c>
      <c r="L2777" s="35" t="b">
        <v>1</v>
      </c>
    </row>
    <row r="2778" spans="1:12" s="34" customFormat="1" hidden="1" outlineLevel="1" x14ac:dyDescent="0.25">
      <c r="A2778" s="34">
        <v>1923130</v>
      </c>
      <c r="B2778" s="34" t="s">
        <v>1003</v>
      </c>
      <c r="C2778" s="34">
        <v>102</v>
      </c>
      <c r="D2778" s="35" t="str">
        <f>VLOOKUP(C2778,[1]道具配置表!$A:$D,4,FALSE)</f>
        <v>1食物</v>
      </c>
      <c r="E2778" s="34">
        <v>40000</v>
      </c>
      <c r="J2778" s="34">
        <v>1</v>
      </c>
      <c r="L2778" s="35" t="b">
        <v>1</v>
      </c>
    </row>
    <row r="2779" spans="1:12" s="34" customFormat="1" hidden="1" outlineLevel="1" x14ac:dyDescent="0.25">
      <c r="C2779" s="34">
        <v>101</v>
      </c>
      <c r="D2779" s="35" t="str">
        <f>VLOOKUP(C2779,[1]道具配置表!$A:$D,4,FALSE)</f>
        <v>1木材</v>
      </c>
      <c r="E2779" s="34">
        <v>97000</v>
      </c>
      <c r="J2779" s="34">
        <v>1</v>
      </c>
      <c r="L2779" s="35" t="b">
        <v>1</v>
      </c>
    </row>
    <row r="2780" spans="1:12" s="34" customFormat="1" hidden="1" outlineLevel="1" x14ac:dyDescent="0.25">
      <c r="C2780" s="34">
        <v>103</v>
      </c>
      <c r="D2780" s="35" t="str">
        <f>VLOOKUP(C2780,[1]道具配置表!$A:$D,4,FALSE)</f>
        <v>1石头</v>
      </c>
      <c r="E2780" s="34">
        <v>97000</v>
      </c>
      <c r="J2780" s="34">
        <v>1</v>
      </c>
      <c r="L2780" s="35" t="b">
        <v>1</v>
      </c>
    </row>
    <row r="2781" spans="1:12" s="34" customFormat="1" hidden="1" outlineLevel="1" x14ac:dyDescent="0.25">
      <c r="C2781" s="34">
        <v>104</v>
      </c>
      <c r="D2781" s="35" t="str">
        <f>VLOOKUP(C2781,[1]道具配置表!$A:$D,4,FALSE)</f>
        <v>1黄金</v>
      </c>
      <c r="E2781" s="34">
        <v>97000</v>
      </c>
      <c r="J2781" s="34">
        <v>1</v>
      </c>
      <c r="L2781" s="35" t="b">
        <v>1</v>
      </c>
    </row>
    <row r="2782" spans="1:12" s="34" customFormat="1" hidden="1" outlineLevel="1" x14ac:dyDescent="0.25">
      <c r="C2782" s="34">
        <v>7010</v>
      </c>
      <c r="D2782" s="35" t="str">
        <f>VLOOKUP(C2782,[1]道具配置表!$A:$D,4,FALSE)</f>
        <v>军演币</v>
      </c>
      <c r="E2782" s="34">
        <v>210</v>
      </c>
      <c r="J2782" s="34">
        <v>1</v>
      </c>
      <c r="L2782" s="35" t="b">
        <v>1</v>
      </c>
    </row>
    <row r="2783" spans="1:12" s="34" customFormat="1" hidden="1" outlineLevel="1" x14ac:dyDescent="0.25">
      <c r="A2783" s="34">
        <v>1923131</v>
      </c>
      <c r="B2783" s="34" t="s">
        <v>1004</v>
      </c>
      <c r="C2783" s="34">
        <v>102</v>
      </c>
      <c r="D2783" s="35" t="str">
        <f>VLOOKUP(C2783,[1]道具配置表!$A:$D,4,FALSE)</f>
        <v>1食物</v>
      </c>
      <c r="E2783" s="34">
        <v>40000</v>
      </c>
      <c r="J2783" s="34">
        <v>1</v>
      </c>
      <c r="L2783" s="35" t="b">
        <v>1</v>
      </c>
    </row>
    <row r="2784" spans="1:12" s="34" customFormat="1" hidden="1" outlineLevel="1" x14ac:dyDescent="0.25">
      <c r="C2784" s="34">
        <v>101</v>
      </c>
      <c r="D2784" s="35" t="str">
        <f>VLOOKUP(C2784,[1]道具配置表!$A:$D,4,FALSE)</f>
        <v>1木材</v>
      </c>
      <c r="E2784" s="34">
        <v>100000</v>
      </c>
      <c r="J2784" s="34">
        <v>1</v>
      </c>
      <c r="L2784" s="35" t="b">
        <v>1</v>
      </c>
    </row>
    <row r="2785" spans="1:12" s="34" customFormat="1" hidden="1" outlineLevel="1" x14ac:dyDescent="0.25">
      <c r="C2785" s="34">
        <v>103</v>
      </c>
      <c r="D2785" s="35" t="str">
        <f>VLOOKUP(C2785,[1]道具配置表!$A:$D,4,FALSE)</f>
        <v>1石头</v>
      </c>
      <c r="E2785" s="34">
        <v>100000</v>
      </c>
      <c r="J2785" s="34">
        <v>1</v>
      </c>
      <c r="L2785" s="35" t="b">
        <v>1</v>
      </c>
    </row>
    <row r="2786" spans="1:12" s="34" customFormat="1" hidden="1" outlineLevel="1" x14ac:dyDescent="0.25">
      <c r="C2786" s="34">
        <v>104</v>
      </c>
      <c r="D2786" s="35" t="str">
        <f>VLOOKUP(C2786,[1]道具配置表!$A:$D,4,FALSE)</f>
        <v>1黄金</v>
      </c>
      <c r="E2786" s="34">
        <v>100000</v>
      </c>
      <c r="J2786" s="34">
        <v>1</v>
      </c>
      <c r="L2786" s="35" t="b">
        <v>1</v>
      </c>
    </row>
    <row r="2787" spans="1:12" s="34" customFormat="1" hidden="1" outlineLevel="1" x14ac:dyDescent="0.25">
      <c r="C2787" s="34">
        <v>7010</v>
      </c>
      <c r="D2787" s="35" t="str">
        <f>VLOOKUP(C2787,[1]道具配置表!$A:$D,4,FALSE)</f>
        <v>军演币</v>
      </c>
      <c r="E2787" s="34">
        <v>220</v>
      </c>
      <c r="J2787" s="34">
        <v>1</v>
      </c>
      <c r="L2787" s="35" t="b">
        <v>1</v>
      </c>
    </row>
    <row r="2788" spans="1:12" s="34" customFormat="1" hidden="1" outlineLevel="1" x14ac:dyDescent="0.25">
      <c r="A2788" s="34">
        <v>1923132</v>
      </c>
      <c r="B2788" s="34" t="s">
        <v>1005</v>
      </c>
      <c r="C2788" s="34">
        <v>102</v>
      </c>
      <c r="D2788" s="35" t="str">
        <f>VLOOKUP(C2788,[1]道具配置表!$A:$D,4,FALSE)</f>
        <v>1食物</v>
      </c>
      <c r="E2788" s="34">
        <v>40000</v>
      </c>
      <c r="J2788" s="34">
        <v>1</v>
      </c>
      <c r="L2788" s="35" t="b">
        <v>1</v>
      </c>
    </row>
    <row r="2789" spans="1:12" s="34" customFormat="1" hidden="1" outlineLevel="1" x14ac:dyDescent="0.25">
      <c r="C2789" s="34">
        <v>101</v>
      </c>
      <c r="D2789" s="35" t="str">
        <f>VLOOKUP(C2789,[1]道具配置表!$A:$D,4,FALSE)</f>
        <v>1木材</v>
      </c>
      <c r="E2789" s="34">
        <v>103000</v>
      </c>
      <c r="J2789" s="34">
        <v>1</v>
      </c>
      <c r="L2789" s="35" t="b">
        <v>1</v>
      </c>
    </row>
    <row r="2790" spans="1:12" s="34" customFormat="1" hidden="1" outlineLevel="1" x14ac:dyDescent="0.25">
      <c r="C2790" s="34">
        <v>103</v>
      </c>
      <c r="D2790" s="35" t="str">
        <f>VLOOKUP(C2790,[1]道具配置表!$A:$D,4,FALSE)</f>
        <v>1石头</v>
      </c>
      <c r="E2790" s="34">
        <v>103000</v>
      </c>
      <c r="J2790" s="34">
        <v>1</v>
      </c>
      <c r="L2790" s="35" t="b">
        <v>1</v>
      </c>
    </row>
    <row r="2791" spans="1:12" s="34" customFormat="1" hidden="1" outlineLevel="1" x14ac:dyDescent="0.25">
      <c r="C2791" s="34">
        <v>104</v>
      </c>
      <c r="D2791" s="35" t="str">
        <f>VLOOKUP(C2791,[1]道具配置表!$A:$D,4,FALSE)</f>
        <v>1黄金</v>
      </c>
      <c r="E2791" s="34">
        <v>103000</v>
      </c>
      <c r="J2791" s="34">
        <v>1</v>
      </c>
      <c r="L2791" s="35" t="b">
        <v>1</v>
      </c>
    </row>
    <row r="2792" spans="1:12" s="34" customFormat="1" hidden="1" outlineLevel="1" x14ac:dyDescent="0.25">
      <c r="C2792" s="34">
        <v>7010</v>
      </c>
      <c r="D2792" s="35" t="str">
        <f>VLOOKUP(C2792,[1]道具配置表!$A:$D,4,FALSE)</f>
        <v>军演币</v>
      </c>
      <c r="E2792" s="34">
        <v>230</v>
      </c>
      <c r="J2792" s="34">
        <v>1</v>
      </c>
      <c r="L2792" s="35" t="b">
        <v>1</v>
      </c>
    </row>
    <row r="2793" spans="1:12" s="34" customFormat="1" hidden="1" outlineLevel="1" x14ac:dyDescent="0.25">
      <c r="A2793" s="34">
        <v>1923133</v>
      </c>
      <c r="B2793" s="34" t="s">
        <v>1006</v>
      </c>
      <c r="C2793" s="34">
        <v>102</v>
      </c>
      <c r="D2793" s="35" t="str">
        <f>VLOOKUP(C2793,[1]道具配置表!$A:$D,4,FALSE)</f>
        <v>1食物</v>
      </c>
      <c r="E2793" s="34">
        <v>40000</v>
      </c>
      <c r="J2793" s="34">
        <v>1</v>
      </c>
      <c r="L2793" s="35" t="b">
        <v>1</v>
      </c>
    </row>
    <row r="2794" spans="1:12" s="34" customFormat="1" hidden="1" outlineLevel="1" x14ac:dyDescent="0.25">
      <c r="C2794" s="34">
        <v>101</v>
      </c>
      <c r="D2794" s="35" t="str">
        <f>VLOOKUP(C2794,[1]道具配置表!$A:$D,4,FALSE)</f>
        <v>1木材</v>
      </c>
      <c r="E2794" s="34">
        <v>106000</v>
      </c>
      <c r="J2794" s="34">
        <v>1</v>
      </c>
      <c r="L2794" s="35" t="b">
        <v>1</v>
      </c>
    </row>
    <row r="2795" spans="1:12" s="34" customFormat="1" hidden="1" outlineLevel="1" x14ac:dyDescent="0.25">
      <c r="C2795" s="34">
        <v>103</v>
      </c>
      <c r="D2795" s="35" t="str">
        <f>VLOOKUP(C2795,[1]道具配置表!$A:$D,4,FALSE)</f>
        <v>1石头</v>
      </c>
      <c r="E2795" s="34">
        <v>106000</v>
      </c>
      <c r="J2795" s="34">
        <v>1</v>
      </c>
      <c r="L2795" s="35" t="b">
        <v>1</v>
      </c>
    </row>
    <row r="2796" spans="1:12" s="34" customFormat="1" hidden="1" outlineLevel="1" x14ac:dyDescent="0.25">
      <c r="C2796" s="34">
        <v>104</v>
      </c>
      <c r="D2796" s="35" t="str">
        <f>VLOOKUP(C2796,[1]道具配置表!$A:$D,4,FALSE)</f>
        <v>1黄金</v>
      </c>
      <c r="E2796" s="34">
        <v>106000</v>
      </c>
      <c r="J2796" s="34">
        <v>1</v>
      </c>
      <c r="L2796" s="35" t="b">
        <v>1</v>
      </c>
    </row>
    <row r="2797" spans="1:12" s="34" customFormat="1" hidden="1" outlineLevel="1" x14ac:dyDescent="0.25">
      <c r="C2797" s="34">
        <v>7010</v>
      </c>
      <c r="D2797" s="35" t="str">
        <f>VLOOKUP(C2797,[1]道具配置表!$A:$D,4,FALSE)</f>
        <v>军演币</v>
      </c>
      <c r="E2797" s="34">
        <v>240</v>
      </c>
      <c r="J2797" s="34">
        <v>1</v>
      </c>
      <c r="L2797" s="35" t="b">
        <v>1</v>
      </c>
    </row>
    <row r="2798" spans="1:12" s="34" customFormat="1" hidden="1" outlineLevel="1" x14ac:dyDescent="0.25">
      <c r="A2798" s="34">
        <v>1923134</v>
      </c>
      <c r="B2798" s="34" t="s">
        <v>1007</v>
      </c>
      <c r="C2798" s="34">
        <v>102</v>
      </c>
      <c r="D2798" s="35" t="str">
        <f>VLOOKUP(C2798,[1]道具配置表!$A:$D,4,FALSE)</f>
        <v>1食物</v>
      </c>
      <c r="E2798" s="34">
        <v>40000</v>
      </c>
      <c r="J2798" s="34">
        <v>1</v>
      </c>
      <c r="L2798" s="35" t="b">
        <v>1</v>
      </c>
    </row>
    <row r="2799" spans="1:12" s="34" customFormat="1" hidden="1" outlineLevel="1" x14ac:dyDescent="0.25">
      <c r="C2799" s="34">
        <v>101</v>
      </c>
      <c r="D2799" s="35" t="str">
        <f>VLOOKUP(C2799,[1]道具配置表!$A:$D,4,FALSE)</f>
        <v>1木材</v>
      </c>
      <c r="E2799" s="34">
        <v>109000</v>
      </c>
      <c r="J2799" s="34">
        <v>1</v>
      </c>
      <c r="L2799" s="35" t="b">
        <v>1</v>
      </c>
    </row>
    <row r="2800" spans="1:12" s="34" customFormat="1" hidden="1" outlineLevel="1" x14ac:dyDescent="0.25">
      <c r="C2800" s="34">
        <v>103</v>
      </c>
      <c r="D2800" s="35" t="str">
        <f>VLOOKUP(C2800,[1]道具配置表!$A:$D,4,FALSE)</f>
        <v>1石头</v>
      </c>
      <c r="E2800" s="34">
        <v>109000</v>
      </c>
      <c r="J2800" s="34">
        <v>1</v>
      </c>
      <c r="L2800" s="35" t="b">
        <v>1</v>
      </c>
    </row>
    <row r="2801" spans="1:12" s="34" customFormat="1" hidden="1" outlineLevel="1" x14ac:dyDescent="0.25">
      <c r="C2801" s="34">
        <v>104</v>
      </c>
      <c r="D2801" s="35" t="str">
        <f>VLOOKUP(C2801,[1]道具配置表!$A:$D,4,FALSE)</f>
        <v>1黄金</v>
      </c>
      <c r="E2801" s="34">
        <v>109000</v>
      </c>
      <c r="J2801" s="34">
        <v>1</v>
      </c>
      <c r="L2801" s="35" t="b">
        <v>1</v>
      </c>
    </row>
    <row r="2802" spans="1:12" s="34" customFormat="1" hidden="1" outlineLevel="1" x14ac:dyDescent="0.25">
      <c r="C2802" s="34">
        <v>7010</v>
      </c>
      <c r="D2802" s="35" t="str">
        <f>VLOOKUP(C2802,[1]道具配置表!$A:$D,4,FALSE)</f>
        <v>军演币</v>
      </c>
      <c r="E2802" s="34">
        <v>250</v>
      </c>
      <c r="J2802" s="34">
        <v>1</v>
      </c>
      <c r="L2802" s="35" t="b">
        <v>1</v>
      </c>
    </row>
    <row r="2803" spans="1:12" s="34" customFormat="1" hidden="1" outlineLevel="1" x14ac:dyDescent="0.25">
      <c r="A2803" s="34">
        <v>1923135</v>
      </c>
      <c r="B2803" s="34" t="s">
        <v>1008</v>
      </c>
      <c r="C2803" s="34">
        <v>102</v>
      </c>
      <c r="D2803" s="35" t="str">
        <f>VLOOKUP(C2803,[1]道具配置表!$A:$D,4,FALSE)</f>
        <v>1食物</v>
      </c>
      <c r="E2803" s="34">
        <v>40000</v>
      </c>
      <c r="J2803" s="34">
        <v>1</v>
      </c>
      <c r="L2803" s="35" t="b">
        <v>1</v>
      </c>
    </row>
    <row r="2804" spans="1:12" s="34" customFormat="1" hidden="1" outlineLevel="1" x14ac:dyDescent="0.25">
      <c r="C2804" s="34">
        <v>101</v>
      </c>
      <c r="D2804" s="35" t="str">
        <f>VLOOKUP(C2804,[1]道具配置表!$A:$D,4,FALSE)</f>
        <v>1木材</v>
      </c>
      <c r="E2804" s="34">
        <v>112000</v>
      </c>
      <c r="J2804" s="34">
        <v>1</v>
      </c>
      <c r="L2804" s="35" t="b">
        <v>1</v>
      </c>
    </row>
    <row r="2805" spans="1:12" s="34" customFormat="1" hidden="1" outlineLevel="1" x14ac:dyDescent="0.25">
      <c r="C2805" s="34">
        <v>103</v>
      </c>
      <c r="D2805" s="35" t="str">
        <f>VLOOKUP(C2805,[1]道具配置表!$A:$D,4,FALSE)</f>
        <v>1石头</v>
      </c>
      <c r="E2805" s="34">
        <v>112000</v>
      </c>
      <c r="J2805" s="34">
        <v>1</v>
      </c>
      <c r="L2805" s="35" t="b">
        <v>1</v>
      </c>
    </row>
    <row r="2806" spans="1:12" s="34" customFormat="1" hidden="1" outlineLevel="1" x14ac:dyDescent="0.25">
      <c r="C2806" s="34">
        <v>104</v>
      </c>
      <c r="D2806" s="35" t="str">
        <f>VLOOKUP(C2806,[1]道具配置表!$A:$D,4,FALSE)</f>
        <v>1黄金</v>
      </c>
      <c r="E2806" s="34">
        <v>112000</v>
      </c>
      <c r="J2806" s="34">
        <v>1</v>
      </c>
      <c r="L2806" s="35" t="b">
        <v>1</v>
      </c>
    </row>
    <row r="2807" spans="1:12" s="34" customFormat="1" hidden="1" outlineLevel="1" x14ac:dyDescent="0.25">
      <c r="C2807" s="34">
        <v>7010</v>
      </c>
      <c r="D2807" s="35" t="str">
        <f>VLOOKUP(C2807,[1]道具配置表!$A:$D,4,FALSE)</f>
        <v>军演币</v>
      </c>
      <c r="E2807" s="34">
        <v>260</v>
      </c>
      <c r="J2807" s="34">
        <v>1</v>
      </c>
      <c r="L2807" s="35" t="b">
        <v>1</v>
      </c>
    </row>
    <row r="2808" spans="1:12" s="34" customFormat="1" hidden="1" outlineLevel="1" x14ac:dyDescent="0.25">
      <c r="A2808" s="34">
        <v>1923136</v>
      </c>
      <c r="B2808" s="34" t="s">
        <v>1009</v>
      </c>
      <c r="C2808" s="34">
        <v>102</v>
      </c>
      <c r="D2808" s="35" t="str">
        <f>VLOOKUP(C2808,[1]道具配置表!$A:$D,4,FALSE)</f>
        <v>1食物</v>
      </c>
      <c r="E2808" s="34">
        <v>40000</v>
      </c>
      <c r="J2808" s="34">
        <v>1</v>
      </c>
      <c r="L2808" s="35" t="b">
        <v>1</v>
      </c>
    </row>
    <row r="2809" spans="1:12" s="34" customFormat="1" hidden="1" outlineLevel="1" x14ac:dyDescent="0.25">
      <c r="C2809" s="34">
        <v>101</v>
      </c>
      <c r="D2809" s="35" t="str">
        <f>VLOOKUP(C2809,[1]道具配置表!$A:$D,4,FALSE)</f>
        <v>1木材</v>
      </c>
      <c r="E2809" s="34">
        <v>115000</v>
      </c>
      <c r="J2809" s="34">
        <v>1</v>
      </c>
      <c r="L2809" s="35" t="b">
        <v>1</v>
      </c>
    </row>
    <row r="2810" spans="1:12" s="34" customFormat="1" hidden="1" outlineLevel="1" x14ac:dyDescent="0.25">
      <c r="C2810" s="34">
        <v>103</v>
      </c>
      <c r="D2810" s="35" t="str">
        <f>VLOOKUP(C2810,[1]道具配置表!$A:$D,4,FALSE)</f>
        <v>1石头</v>
      </c>
      <c r="E2810" s="34">
        <v>115000</v>
      </c>
      <c r="J2810" s="34">
        <v>1</v>
      </c>
      <c r="L2810" s="35" t="b">
        <v>1</v>
      </c>
    </row>
    <row r="2811" spans="1:12" s="34" customFormat="1" hidden="1" outlineLevel="1" x14ac:dyDescent="0.25">
      <c r="C2811" s="34">
        <v>104</v>
      </c>
      <c r="D2811" s="35" t="str">
        <f>VLOOKUP(C2811,[1]道具配置表!$A:$D,4,FALSE)</f>
        <v>1黄金</v>
      </c>
      <c r="E2811" s="34">
        <v>115000</v>
      </c>
      <c r="J2811" s="34">
        <v>1</v>
      </c>
      <c r="L2811" s="35" t="b">
        <v>1</v>
      </c>
    </row>
    <row r="2812" spans="1:12" s="34" customFormat="1" hidden="1" outlineLevel="1" x14ac:dyDescent="0.25">
      <c r="C2812" s="34">
        <v>7010</v>
      </c>
      <c r="D2812" s="35" t="str">
        <f>VLOOKUP(C2812,[1]道具配置表!$A:$D,4,FALSE)</f>
        <v>军演币</v>
      </c>
      <c r="E2812" s="34">
        <v>270</v>
      </c>
      <c r="J2812" s="34">
        <v>1</v>
      </c>
      <c r="L2812" s="35" t="b">
        <v>1</v>
      </c>
    </row>
    <row r="2813" spans="1:12" s="34" customFormat="1" hidden="1" outlineLevel="1" x14ac:dyDescent="0.25">
      <c r="A2813" s="34">
        <v>1923137</v>
      </c>
      <c r="B2813" s="34" t="s">
        <v>1010</v>
      </c>
      <c r="C2813" s="34">
        <v>102</v>
      </c>
      <c r="D2813" s="35" t="str">
        <f>VLOOKUP(C2813,[1]道具配置表!$A:$D,4,FALSE)</f>
        <v>1食物</v>
      </c>
      <c r="E2813" s="34">
        <v>40000</v>
      </c>
      <c r="J2813" s="34">
        <v>1</v>
      </c>
      <c r="L2813" s="35" t="b">
        <v>1</v>
      </c>
    </row>
    <row r="2814" spans="1:12" s="34" customFormat="1" hidden="1" outlineLevel="1" x14ac:dyDescent="0.25">
      <c r="C2814" s="34">
        <v>101</v>
      </c>
      <c r="D2814" s="35" t="str">
        <f>VLOOKUP(C2814,[1]道具配置表!$A:$D,4,FALSE)</f>
        <v>1木材</v>
      </c>
      <c r="E2814" s="34">
        <v>118000</v>
      </c>
      <c r="J2814" s="34">
        <v>1</v>
      </c>
      <c r="L2814" s="35" t="b">
        <v>1</v>
      </c>
    </row>
    <row r="2815" spans="1:12" s="34" customFormat="1" hidden="1" outlineLevel="1" x14ac:dyDescent="0.25">
      <c r="C2815" s="34">
        <v>103</v>
      </c>
      <c r="D2815" s="35" t="str">
        <f>VLOOKUP(C2815,[1]道具配置表!$A:$D,4,FALSE)</f>
        <v>1石头</v>
      </c>
      <c r="E2815" s="34">
        <v>118000</v>
      </c>
      <c r="J2815" s="34">
        <v>1</v>
      </c>
      <c r="L2815" s="35" t="b">
        <v>1</v>
      </c>
    </row>
    <row r="2816" spans="1:12" s="34" customFormat="1" hidden="1" outlineLevel="1" x14ac:dyDescent="0.25">
      <c r="C2816" s="34">
        <v>104</v>
      </c>
      <c r="D2816" s="35" t="str">
        <f>VLOOKUP(C2816,[1]道具配置表!$A:$D,4,FALSE)</f>
        <v>1黄金</v>
      </c>
      <c r="E2816" s="34">
        <v>118000</v>
      </c>
      <c r="J2816" s="34">
        <v>1</v>
      </c>
      <c r="L2816" s="35" t="b">
        <v>1</v>
      </c>
    </row>
    <row r="2817" spans="1:12" s="34" customFormat="1" hidden="1" outlineLevel="1" x14ac:dyDescent="0.25">
      <c r="C2817" s="34">
        <v>7010</v>
      </c>
      <c r="D2817" s="35" t="str">
        <f>VLOOKUP(C2817,[1]道具配置表!$A:$D,4,FALSE)</f>
        <v>军演币</v>
      </c>
      <c r="E2817" s="34">
        <v>280</v>
      </c>
      <c r="J2817" s="34">
        <v>1</v>
      </c>
      <c r="L2817" s="35" t="b">
        <v>1</v>
      </c>
    </row>
    <row r="2818" spans="1:12" s="34" customFormat="1" hidden="1" outlineLevel="1" x14ac:dyDescent="0.25">
      <c r="A2818" s="34">
        <v>1923138</v>
      </c>
      <c r="B2818" s="34" t="s">
        <v>1011</v>
      </c>
      <c r="C2818" s="34">
        <v>102</v>
      </c>
      <c r="D2818" s="35" t="str">
        <f>VLOOKUP(C2818,[1]道具配置表!$A:$D,4,FALSE)</f>
        <v>1食物</v>
      </c>
      <c r="E2818" s="34">
        <v>40000</v>
      </c>
      <c r="J2818" s="34">
        <v>1</v>
      </c>
      <c r="L2818" s="35" t="b">
        <v>1</v>
      </c>
    </row>
    <row r="2819" spans="1:12" s="34" customFormat="1" hidden="1" outlineLevel="1" x14ac:dyDescent="0.25">
      <c r="C2819" s="34">
        <v>101</v>
      </c>
      <c r="D2819" s="35" t="str">
        <f>VLOOKUP(C2819,[1]道具配置表!$A:$D,4,FALSE)</f>
        <v>1木材</v>
      </c>
      <c r="E2819" s="34">
        <v>121000</v>
      </c>
      <c r="J2819" s="34">
        <v>1</v>
      </c>
      <c r="L2819" s="35" t="b">
        <v>1</v>
      </c>
    </row>
    <row r="2820" spans="1:12" s="34" customFormat="1" hidden="1" outlineLevel="1" x14ac:dyDescent="0.25">
      <c r="C2820" s="34">
        <v>103</v>
      </c>
      <c r="D2820" s="35" t="str">
        <f>VLOOKUP(C2820,[1]道具配置表!$A:$D,4,FALSE)</f>
        <v>1石头</v>
      </c>
      <c r="E2820" s="34">
        <v>121000</v>
      </c>
      <c r="J2820" s="34">
        <v>1</v>
      </c>
      <c r="L2820" s="35" t="b">
        <v>1</v>
      </c>
    </row>
    <row r="2821" spans="1:12" s="34" customFormat="1" hidden="1" outlineLevel="1" x14ac:dyDescent="0.25">
      <c r="C2821" s="34">
        <v>104</v>
      </c>
      <c r="D2821" s="35" t="str">
        <f>VLOOKUP(C2821,[1]道具配置表!$A:$D,4,FALSE)</f>
        <v>1黄金</v>
      </c>
      <c r="E2821" s="34">
        <v>121000</v>
      </c>
      <c r="J2821" s="34">
        <v>1</v>
      </c>
      <c r="L2821" s="35" t="b">
        <v>1</v>
      </c>
    </row>
    <row r="2822" spans="1:12" s="34" customFormat="1" hidden="1" outlineLevel="1" x14ac:dyDescent="0.25">
      <c r="C2822" s="34">
        <v>7010</v>
      </c>
      <c r="D2822" s="35" t="str">
        <f>VLOOKUP(C2822,[1]道具配置表!$A:$D,4,FALSE)</f>
        <v>军演币</v>
      </c>
      <c r="E2822" s="34">
        <v>290</v>
      </c>
      <c r="J2822" s="34">
        <v>1</v>
      </c>
      <c r="L2822" s="35" t="b">
        <v>1</v>
      </c>
    </row>
    <row r="2823" spans="1:12" s="34" customFormat="1" hidden="1" outlineLevel="1" x14ac:dyDescent="0.25">
      <c r="A2823" s="34">
        <v>1923139</v>
      </c>
      <c r="B2823" s="34" t="s">
        <v>1012</v>
      </c>
      <c r="C2823" s="34">
        <v>102</v>
      </c>
      <c r="D2823" s="35" t="str">
        <f>VLOOKUP(C2823,[1]道具配置表!$A:$D,4,FALSE)</f>
        <v>1食物</v>
      </c>
      <c r="E2823" s="34">
        <v>40000</v>
      </c>
      <c r="J2823" s="34">
        <v>1</v>
      </c>
      <c r="L2823" s="35" t="b">
        <v>1</v>
      </c>
    </row>
    <row r="2824" spans="1:12" s="34" customFormat="1" hidden="1" outlineLevel="1" x14ac:dyDescent="0.25">
      <c r="C2824" s="34">
        <v>101</v>
      </c>
      <c r="D2824" s="35" t="str">
        <f>VLOOKUP(C2824,[1]道具配置表!$A:$D,4,FALSE)</f>
        <v>1木材</v>
      </c>
      <c r="E2824" s="34">
        <v>124000</v>
      </c>
      <c r="J2824" s="34">
        <v>1</v>
      </c>
      <c r="L2824" s="35" t="b">
        <v>1</v>
      </c>
    </row>
    <row r="2825" spans="1:12" s="34" customFormat="1" hidden="1" outlineLevel="1" x14ac:dyDescent="0.25">
      <c r="C2825" s="34">
        <v>103</v>
      </c>
      <c r="D2825" s="35" t="str">
        <f>VLOOKUP(C2825,[1]道具配置表!$A:$D,4,FALSE)</f>
        <v>1石头</v>
      </c>
      <c r="E2825" s="34">
        <v>124000</v>
      </c>
      <c r="J2825" s="34">
        <v>1</v>
      </c>
      <c r="L2825" s="35" t="b">
        <v>1</v>
      </c>
    </row>
    <row r="2826" spans="1:12" s="34" customFormat="1" hidden="1" outlineLevel="1" x14ac:dyDescent="0.25">
      <c r="C2826" s="34">
        <v>104</v>
      </c>
      <c r="D2826" s="35" t="str">
        <f>VLOOKUP(C2826,[1]道具配置表!$A:$D,4,FALSE)</f>
        <v>1黄金</v>
      </c>
      <c r="E2826" s="34">
        <v>124000</v>
      </c>
      <c r="J2826" s="34">
        <v>1</v>
      </c>
      <c r="L2826" s="35" t="b">
        <v>1</v>
      </c>
    </row>
    <row r="2827" spans="1:12" s="34" customFormat="1" hidden="1" outlineLevel="1" x14ac:dyDescent="0.25">
      <c r="C2827" s="34">
        <v>7010</v>
      </c>
      <c r="D2827" s="35" t="str">
        <f>VLOOKUP(C2827,[1]道具配置表!$A:$D,4,FALSE)</f>
        <v>军演币</v>
      </c>
      <c r="E2827" s="34">
        <v>300</v>
      </c>
      <c r="J2827" s="34">
        <v>1</v>
      </c>
      <c r="L2827" s="35" t="b">
        <v>1</v>
      </c>
    </row>
    <row r="2828" spans="1:12" s="34" customFormat="1" hidden="1" outlineLevel="1" x14ac:dyDescent="0.25">
      <c r="A2828" s="34">
        <v>1923140</v>
      </c>
      <c r="B2828" s="34" t="s">
        <v>1013</v>
      </c>
      <c r="C2828" s="34">
        <v>102</v>
      </c>
      <c r="D2828" s="35" t="str">
        <f>VLOOKUP(C2828,[1]道具配置表!$A:$D,4,FALSE)</f>
        <v>1食物</v>
      </c>
      <c r="E2828" s="34">
        <v>40000</v>
      </c>
      <c r="J2828" s="34">
        <v>1</v>
      </c>
      <c r="L2828" s="35" t="b">
        <v>1</v>
      </c>
    </row>
    <row r="2829" spans="1:12" s="34" customFormat="1" hidden="1" outlineLevel="1" x14ac:dyDescent="0.25">
      <c r="C2829" s="34">
        <v>101</v>
      </c>
      <c r="D2829" s="35" t="str">
        <f>VLOOKUP(C2829,[1]道具配置表!$A:$D,4,FALSE)</f>
        <v>1木材</v>
      </c>
      <c r="E2829" s="34">
        <v>127000</v>
      </c>
      <c r="J2829" s="34">
        <v>1</v>
      </c>
      <c r="L2829" s="35" t="b">
        <v>1</v>
      </c>
    </row>
    <row r="2830" spans="1:12" s="34" customFormat="1" hidden="1" outlineLevel="1" x14ac:dyDescent="0.25">
      <c r="C2830" s="34">
        <v>103</v>
      </c>
      <c r="D2830" s="35" t="str">
        <f>VLOOKUP(C2830,[1]道具配置表!$A:$D,4,FALSE)</f>
        <v>1石头</v>
      </c>
      <c r="E2830" s="34">
        <v>127000</v>
      </c>
      <c r="J2830" s="34">
        <v>1</v>
      </c>
      <c r="L2830" s="35" t="b">
        <v>1</v>
      </c>
    </row>
    <row r="2831" spans="1:12" s="34" customFormat="1" hidden="1" outlineLevel="1" x14ac:dyDescent="0.25">
      <c r="C2831" s="34">
        <v>104</v>
      </c>
      <c r="D2831" s="35" t="str">
        <f>VLOOKUP(C2831,[1]道具配置表!$A:$D,4,FALSE)</f>
        <v>1黄金</v>
      </c>
      <c r="E2831" s="34">
        <v>127000</v>
      </c>
      <c r="J2831" s="34">
        <v>1</v>
      </c>
      <c r="L2831" s="35" t="b">
        <v>1</v>
      </c>
    </row>
    <row r="2832" spans="1:12" s="34" customFormat="1" hidden="1" outlineLevel="1" x14ac:dyDescent="0.25">
      <c r="C2832" s="34">
        <v>7010</v>
      </c>
      <c r="D2832" s="35" t="str">
        <f>VLOOKUP(C2832,[1]道具配置表!$A:$D,4,FALSE)</f>
        <v>军演币</v>
      </c>
      <c r="E2832" s="34">
        <v>310</v>
      </c>
      <c r="J2832" s="34">
        <v>1</v>
      </c>
      <c r="L2832" s="35" t="b">
        <v>1</v>
      </c>
    </row>
    <row r="2833" spans="1:12" s="34" customFormat="1" hidden="1" outlineLevel="1" x14ac:dyDescent="0.25">
      <c r="A2833" s="34">
        <v>1923141</v>
      </c>
      <c r="B2833" s="34" t="s">
        <v>1014</v>
      </c>
      <c r="C2833" s="34">
        <v>102</v>
      </c>
      <c r="D2833" s="35" t="str">
        <f>VLOOKUP(C2833,[1]道具配置表!$A:$D,4,FALSE)</f>
        <v>1食物</v>
      </c>
      <c r="E2833" s="34">
        <v>40000</v>
      </c>
      <c r="J2833" s="34">
        <v>1</v>
      </c>
      <c r="L2833" s="35" t="b">
        <v>1</v>
      </c>
    </row>
    <row r="2834" spans="1:12" s="34" customFormat="1" hidden="1" outlineLevel="1" x14ac:dyDescent="0.25">
      <c r="C2834" s="34">
        <v>101</v>
      </c>
      <c r="D2834" s="35" t="str">
        <f>VLOOKUP(C2834,[1]道具配置表!$A:$D,4,FALSE)</f>
        <v>1木材</v>
      </c>
      <c r="E2834" s="34">
        <v>130000</v>
      </c>
      <c r="J2834" s="34">
        <v>1</v>
      </c>
      <c r="L2834" s="35" t="b">
        <v>1</v>
      </c>
    </row>
    <row r="2835" spans="1:12" s="34" customFormat="1" hidden="1" outlineLevel="1" x14ac:dyDescent="0.25">
      <c r="C2835" s="34">
        <v>103</v>
      </c>
      <c r="D2835" s="35" t="str">
        <f>VLOOKUP(C2835,[1]道具配置表!$A:$D,4,FALSE)</f>
        <v>1石头</v>
      </c>
      <c r="E2835" s="34">
        <v>130000</v>
      </c>
      <c r="J2835" s="34">
        <v>1</v>
      </c>
      <c r="L2835" s="35" t="b">
        <v>1</v>
      </c>
    </row>
    <row r="2836" spans="1:12" s="34" customFormat="1" hidden="1" outlineLevel="1" x14ac:dyDescent="0.25">
      <c r="C2836" s="34">
        <v>104</v>
      </c>
      <c r="D2836" s="35" t="str">
        <f>VLOOKUP(C2836,[1]道具配置表!$A:$D,4,FALSE)</f>
        <v>1黄金</v>
      </c>
      <c r="E2836" s="34">
        <v>130000</v>
      </c>
      <c r="J2836" s="34">
        <v>1</v>
      </c>
      <c r="L2836" s="35" t="b">
        <v>1</v>
      </c>
    </row>
    <row r="2837" spans="1:12" s="34" customFormat="1" hidden="1" outlineLevel="1" x14ac:dyDescent="0.25">
      <c r="C2837" s="34">
        <v>7010</v>
      </c>
      <c r="D2837" s="35" t="str">
        <f>VLOOKUP(C2837,[1]道具配置表!$A:$D,4,FALSE)</f>
        <v>军演币</v>
      </c>
      <c r="E2837" s="34">
        <v>320</v>
      </c>
      <c r="J2837" s="34">
        <v>1</v>
      </c>
      <c r="L2837" s="35" t="b">
        <v>1</v>
      </c>
    </row>
    <row r="2838" spans="1:12" s="35" customFormat="1" hidden="1" outlineLevel="1" x14ac:dyDescent="0.25">
      <c r="A2838" s="35">
        <v>1923142</v>
      </c>
      <c r="B2838" s="35" t="s">
        <v>1015</v>
      </c>
      <c r="C2838" s="35">
        <v>102</v>
      </c>
      <c r="D2838" s="35" t="str">
        <f>VLOOKUP(C2838,[1]道具配置表!$A:$D,4,FALSE)</f>
        <v>1食物</v>
      </c>
      <c r="E2838" s="35">
        <v>40000</v>
      </c>
      <c r="J2838" s="34">
        <v>1</v>
      </c>
      <c r="L2838" s="35" t="b">
        <v>1</v>
      </c>
    </row>
    <row r="2839" spans="1:12" s="35" customFormat="1" hidden="1" outlineLevel="1" x14ac:dyDescent="0.25">
      <c r="C2839" s="35">
        <v>101</v>
      </c>
      <c r="D2839" s="35" t="str">
        <f>VLOOKUP(C2839,[1]道具配置表!$A:$D,4,FALSE)</f>
        <v>1木材</v>
      </c>
      <c r="E2839" s="35">
        <v>133000</v>
      </c>
      <c r="J2839" s="34">
        <v>1</v>
      </c>
      <c r="L2839" s="35" t="b">
        <v>1</v>
      </c>
    </row>
    <row r="2840" spans="1:12" s="35" customFormat="1" hidden="1" outlineLevel="1" x14ac:dyDescent="0.25">
      <c r="C2840" s="35">
        <v>103</v>
      </c>
      <c r="D2840" s="35" t="str">
        <f>VLOOKUP(C2840,[1]道具配置表!$A:$D,4,FALSE)</f>
        <v>1石头</v>
      </c>
      <c r="E2840" s="35">
        <v>133000</v>
      </c>
      <c r="J2840" s="34">
        <v>1</v>
      </c>
      <c r="L2840" s="35" t="b">
        <v>1</v>
      </c>
    </row>
    <row r="2841" spans="1:12" s="35" customFormat="1" hidden="1" outlineLevel="1" x14ac:dyDescent="0.25">
      <c r="C2841" s="35">
        <v>104</v>
      </c>
      <c r="D2841" s="35" t="str">
        <f>VLOOKUP(C2841,[1]道具配置表!$A:$D,4,FALSE)</f>
        <v>1黄金</v>
      </c>
      <c r="E2841" s="35">
        <v>133000</v>
      </c>
      <c r="J2841" s="34">
        <v>1</v>
      </c>
      <c r="L2841" s="35" t="b">
        <v>1</v>
      </c>
    </row>
    <row r="2842" spans="1:12" s="35" customFormat="1" hidden="1" outlineLevel="1" x14ac:dyDescent="0.25">
      <c r="C2842" s="35">
        <v>7010</v>
      </c>
      <c r="D2842" s="35" t="str">
        <f>VLOOKUP(C2842,[1]道具配置表!$A:$D,4,FALSE)</f>
        <v>军演币</v>
      </c>
      <c r="E2842" s="35">
        <v>330</v>
      </c>
      <c r="J2842" s="34">
        <v>1</v>
      </c>
      <c r="L2842" s="35" t="b">
        <v>1</v>
      </c>
    </row>
    <row r="2843" spans="1:12" s="35" customFormat="1" hidden="1" outlineLevel="1" x14ac:dyDescent="0.25">
      <c r="A2843" s="35">
        <v>1923143</v>
      </c>
      <c r="B2843" s="35" t="s">
        <v>1016</v>
      </c>
      <c r="C2843" s="35">
        <v>102</v>
      </c>
      <c r="D2843" s="35" t="str">
        <f>VLOOKUP(C2843,[1]道具配置表!$A:$D,4,FALSE)</f>
        <v>1食物</v>
      </c>
      <c r="E2843" s="35">
        <v>40000</v>
      </c>
      <c r="J2843" s="34">
        <v>1</v>
      </c>
      <c r="L2843" s="35" t="b">
        <v>1</v>
      </c>
    </row>
    <row r="2844" spans="1:12" s="35" customFormat="1" hidden="1" outlineLevel="1" x14ac:dyDescent="0.25">
      <c r="C2844" s="35">
        <v>101</v>
      </c>
      <c r="D2844" s="35" t="str">
        <f>VLOOKUP(C2844,[1]道具配置表!$A:$D,4,FALSE)</f>
        <v>1木材</v>
      </c>
      <c r="E2844" s="35">
        <v>136000</v>
      </c>
      <c r="J2844" s="34">
        <v>1</v>
      </c>
      <c r="L2844" s="35" t="b">
        <v>1</v>
      </c>
    </row>
    <row r="2845" spans="1:12" s="35" customFormat="1" hidden="1" outlineLevel="1" x14ac:dyDescent="0.25">
      <c r="C2845" s="35">
        <v>103</v>
      </c>
      <c r="D2845" s="35" t="str">
        <f>VLOOKUP(C2845,[1]道具配置表!$A:$D,4,FALSE)</f>
        <v>1石头</v>
      </c>
      <c r="E2845" s="35">
        <v>136000</v>
      </c>
      <c r="J2845" s="34">
        <v>1</v>
      </c>
      <c r="L2845" s="35" t="b">
        <v>1</v>
      </c>
    </row>
    <row r="2846" spans="1:12" s="35" customFormat="1" hidden="1" outlineLevel="1" x14ac:dyDescent="0.25">
      <c r="C2846" s="35">
        <v>104</v>
      </c>
      <c r="D2846" s="35" t="str">
        <f>VLOOKUP(C2846,[1]道具配置表!$A:$D,4,FALSE)</f>
        <v>1黄金</v>
      </c>
      <c r="E2846" s="35">
        <v>136000</v>
      </c>
      <c r="J2846" s="34">
        <v>1</v>
      </c>
      <c r="L2846" s="35" t="b">
        <v>1</v>
      </c>
    </row>
    <row r="2847" spans="1:12" s="35" customFormat="1" hidden="1" outlineLevel="1" x14ac:dyDescent="0.25">
      <c r="C2847" s="35">
        <v>7010</v>
      </c>
      <c r="D2847" s="35" t="str">
        <f>VLOOKUP(C2847,[1]道具配置表!$A:$D,4,FALSE)</f>
        <v>军演币</v>
      </c>
      <c r="E2847" s="35">
        <v>340</v>
      </c>
      <c r="J2847" s="34">
        <v>1</v>
      </c>
      <c r="L2847" s="35" t="b">
        <v>1</v>
      </c>
    </row>
    <row r="2848" spans="1:12" s="35" customFormat="1" hidden="1" outlineLevel="1" x14ac:dyDescent="0.25">
      <c r="A2848" s="35">
        <v>1923144</v>
      </c>
      <c r="B2848" s="35" t="s">
        <v>1017</v>
      </c>
      <c r="C2848" s="35">
        <v>102</v>
      </c>
      <c r="D2848" s="35" t="str">
        <f>VLOOKUP(C2848,[1]道具配置表!$A:$D,4,FALSE)</f>
        <v>1食物</v>
      </c>
      <c r="E2848" s="35">
        <v>40000</v>
      </c>
      <c r="J2848" s="34">
        <v>1</v>
      </c>
      <c r="L2848" s="35" t="b">
        <v>1</v>
      </c>
    </row>
    <row r="2849" spans="1:12" s="35" customFormat="1" hidden="1" outlineLevel="1" x14ac:dyDescent="0.25">
      <c r="C2849" s="35">
        <v>101</v>
      </c>
      <c r="D2849" s="35" t="str">
        <f>VLOOKUP(C2849,[1]道具配置表!$A:$D,4,FALSE)</f>
        <v>1木材</v>
      </c>
      <c r="E2849" s="35">
        <v>139000</v>
      </c>
      <c r="J2849" s="34">
        <v>1</v>
      </c>
      <c r="L2849" s="35" t="b">
        <v>1</v>
      </c>
    </row>
    <row r="2850" spans="1:12" s="35" customFormat="1" hidden="1" outlineLevel="1" x14ac:dyDescent="0.25">
      <c r="C2850" s="35">
        <v>103</v>
      </c>
      <c r="D2850" s="35" t="str">
        <f>VLOOKUP(C2850,[1]道具配置表!$A:$D,4,FALSE)</f>
        <v>1石头</v>
      </c>
      <c r="E2850" s="35">
        <v>139000</v>
      </c>
      <c r="J2850" s="34">
        <v>1</v>
      </c>
      <c r="L2850" s="35" t="b">
        <v>1</v>
      </c>
    </row>
    <row r="2851" spans="1:12" s="35" customFormat="1" hidden="1" outlineLevel="1" x14ac:dyDescent="0.25">
      <c r="C2851" s="35">
        <v>104</v>
      </c>
      <c r="D2851" s="35" t="str">
        <f>VLOOKUP(C2851,[1]道具配置表!$A:$D,4,FALSE)</f>
        <v>1黄金</v>
      </c>
      <c r="E2851" s="35">
        <v>139000</v>
      </c>
      <c r="J2851" s="34">
        <v>1</v>
      </c>
      <c r="L2851" s="35" t="b">
        <v>1</v>
      </c>
    </row>
    <row r="2852" spans="1:12" s="35" customFormat="1" hidden="1" outlineLevel="1" x14ac:dyDescent="0.25">
      <c r="C2852" s="35">
        <v>7010</v>
      </c>
      <c r="D2852" s="35" t="str">
        <f>VLOOKUP(C2852,[1]道具配置表!$A:$D,4,FALSE)</f>
        <v>军演币</v>
      </c>
      <c r="E2852" s="35">
        <v>350</v>
      </c>
      <c r="J2852" s="34">
        <v>1</v>
      </c>
      <c r="L2852" s="35" t="b">
        <v>1</v>
      </c>
    </row>
    <row r="2853" spans="1:12" s="35" customFormat="1" hidden="1" outlineLevel="1" x14ac:dyDescent="0.25">
      <c r="A2853" s="35">
        <v>1923145</v>
      </c>
      <c r="B2853" s="35" t="s">
        <v>1018</v>
      </c>
      <c r="C2853" s="35">
        <v>102</v>
      </c>
      <c r="D2853" s="35" t="str">
        <f>VLOOKUP(C2853,[1]道具配置表!$A:$D,4,FALSE)</f>
        <v>1食物</v>
      </c>
      <c r="E2853" s="35">
        <v>40000</v>
      </c>
      <c r="J2853" s="34">
        <v>1</v>
      </c>
      <c r="L2853" s="35" t="b">
        <v>1</v>
      </c>
    </row>
    <row r="2854" spans="1:12" s="35" customFormat="1" hidden="1" outlineLevel="1" x14ac:dyDescent="0.25">
      <c r="C2854" s="35">
        <v>101</v>
      </c>
      <c r="D2854" s="35" t="str">
        <f>VLOOKUP(C2854,[1]道具配置表!$A:$D,4,FALSE)</f>
        <v>1木材</v>
      </c>
      <c r="E2854" s="35">
        <v>142000</v>
      </c>
      <c r="J2854" s="34">
        <v>1</v>
      </c>
      <c r="L2854" s="35" t="b">
        <v>1</v>
      </c>
    </row>
    <row r="2855" spans="1:12" s="35" customFormat="1" hidden="1" outlineLevel="1" x14ac:dyDescent="0.25">
      <c r="C2855" s="35">
        <v>103</v>
      </c>
      <c r="D2855" s="35" t="str">
        <f>VLOOKUP(C2855,[1]道具配置表!$A:$D,4,FALSE)</f>
        <v>1石头</v>
      </c>
      <c r="E2855" s="35">
        <v>142000</v>
      </c>
      <c r="J2855" s="34">
        <v>1</v>
      </c>
      <c r="L2855" s="35" t="b">
        <v>1</v>
      </c>
    </row>
    <row r="2856" spans="1:12" s="35" customFormat="1" hidden="1" outlineLevel="1" x14ac:dyDescent="0.25">
      <c r="C2856" s="35">
        <v>104</v>
      </c>
      <c r="D2856" s="35" t="str">
        <f>VLOOKUP(C2856,[1]道具配置表!$A:$D,4,FALSE)</f>
        <v>1黄金</v>
      </c>
      <c r="E2856" s="35">
        <v>142000</v>
      </c>
      <c r="J2856" s="34">
        <v>1</v>
      </c>
      <c r="L2856" s="35" t="b">
        <v>1</v>
      </c>
    </row>
    <row r="2857" spans="1:12" s="35" customFormat="1" hidden="1" outlineLevel="1" x14ac:dyDescent="0.25">
      <c r="C2857" s="35">
        <v>7010</v>
      </c>
      <c r="D2857" s="35" t="str">
        <f>VLOOKUP(C2857,[1]道具配置表!$A:$D,4,FALSE)</f>
        <v>军演币</v>
      </c>
      <c r="E2857" s="35">
        <v>360</v>
      </c>
      <c r="J2857" s="34">
        <v>1</v>
      </c>
      <c r="L2857" s="35" t="b">
        <v>1</v>
      </c>
    </row>
    <row r="2858" spans="1:12" s="35" customFormat="1" hidden="1" outlineLevel="1" x14ac:dyDescent="0.25">
      <c r="A2858" s="35">
        <v>1923146</v>
      </c>
      <c r="B2858" s="35" t="s">
        <v>1019</v>
      </c>
      <c r="C2858" s="35">
        <v>102</v>
      </c>
      <c r="D2858" s="35" t="str">
        <f>VLOOKUP(C2858,[1]道具配置表!$A:$D,4,FALSE)</f>
        <v>1食物</v>
      </c>
      <c r="E2858" s="35">
        <v>40000</v>
      </c>
      <c r="J2858" s="34">
        <v>1</v>
      </c>
      <c r="L2858" s="35" t="b">
        <v>1</v>
      </c>
    </row>
    <row r="2859" spans="1:12" s="35" customFormat="1" hidden="1" outlineLevel="1" x14ac:dyDescent="0.25">
      <c r="C2859" s="35">
        <v>101</v>
      </c>
      <c r="D2859" s="35" t="str">
        <f>VLOOKUP(C2859,[1]道具配置表!$A:$D,4,FALSE)</f>
        <v>1木材</v>
      </c>
      <c r="E2859" s="35">
        <v>145000</v>
      </c>
      <c r="J2859" s="34">
        <v>1</v>
      </c>
      <c r="L2859" s="35" t="b">
        <v>1</v>
      </c>
    </row>
    <row r="2860" spans="1:12" s="35" customFormat="1" hidden="1" outlineLevel="1" x14ac:dyDescent="0.25">
      <c r="C2860" s="35">
        <v>103</v>
      </c>
      <c r="D2860" s="35" t="str">
        <f>VLOOKUP(C2860,[1]道具配置表!$A:$D,4,FALSE)</f>
        <v>1石头</v>
      </c>
      <c r="E2860" s="35">
        <v>145000</v>
      </c>
      <c r="J2860" s="34">
        <v>1</v>
      </c>
      <c r="L2860" s="35" t="b">
        <v>1</v>
      </c>
    </row>
    <row r="2861" spans="1:12" s="35" customFormat="1" hidden="1" outlineLevel="1" x14ac:dyDescent="0.25">
      <c r="C2861" s="35">
        <v>104</v>
      </c>
      <c r="D2861" s="35" t="str">
        <f>VLOOKUP(C2861,[1]道具配置表!$A:$D,4,FALSE)</f>
        <v>1黄金</v>
      </c>
      <c r="E2861" s="35">
        <v>145000</v>
      </c>
      <c r="J2861" s="34">
        <v>1</v>
      </c>
      <c r="L2861" s="35" t="b">
        <v>1</v>
      </c>
    </row>
    <row r="2862" spans="1:12" s="35" customFormat="1" hidden="1" outlineLevel="1" x14ac:dyDescent="0.25">
      <c r="C2862" s="35">
        <v>7010</v>
      </c>
      <c r="D2862" s="35" t="str">
        <f>VLOOKUP(C2862,[1]道具配置表!$A:$D,4,FALSE)</f>
        <v>军演币</v>
      </c>
      <c r="E2862" s="35">
        <v>370</v>
      </c>
      <c r="J2862" s="34">
        <v>1</v>
      </c>
      <c r="L2862" s="35" t="b">
        <v>1</v>
      </c>
    </row>
    <row r="2863" spans="1:12" s="35" customFormat="1" hidden="1" outlineLevel="1" x14ac:dyDescent="0.25">
      <c r="A2863" s="35">
        <v>1923147</v>
      </c>
      <c r="B2863" s="35" t="s">
        <v>1020</v>
      </c>
      <c r="C2863" s="35">
        <v>102</v>
      </c>
      <c r="D2863" s="35" t="str">
        <f>VLOOKUP(C2863,[1]道具配置表!$A:$D,4,FALSE)</f>
        <v>1食物</v>
      </c>
      <c r="E2863" s="35">
        <v>40000</v>
      </c>
      <c r="J2863" s="34">
        <v>1</v>
      </c>
      <c r="L2863" s="35" t="b">
        <v>1</v>
      </c>
    </row>
    <row r="2864" spans="1:12" s="35" customFormat="1" hidden="1" outlineLevel="1" x14ac:dyDescent="0.25">
      <c r="C2864" s="35">
        <v>101</v>
      </c>
      <c r="D2864" s="35" t="str">
        <f>VLOOKUP(C2864,[1]道具配置表!$A:$D,4,FALSE)</f>
        <v>1木材</v>
      </c>
      <c r="E2864" s="35">
        <v>148000</v>
      </c>
      <c r="J2864" s="34">
        <v>1</v>
      </c>
      <c r="L2864" s="35" t="b">
        <v>1</v>
      </c>
    </row>
    <row r="2865" spans="1:12" s="35" customFormat="1" hidden="1" outlineLevel="1" x14ac:dyDescent="0.25">
      <c r="C2865" s="35">
        <v>103</v>
      </c>
      <c r="D2865" s="35" t="str">
        <f>VLOOKUP(C2865,[1]道具配置表!$A:$D,4,FALSE)</f>
        <v>1石头</v>
      </c>
      <c r="E2865" s="35">
        <v>148000</v>
      </c>
      <c r="J2865" s="34">
        <v>1</v>
      </c>
      <c r="L2865" s="35" t="b">
        <v>1</v>
      </c>
    </row>
    <row r="2866" spans="1:12" s="35" customFormat="1" hidden="1" outlineLevel="1" x14ac:dyDescent="0.25">
      <c r="C2866" s="35">
        <v>104</v>
      </c>
      <c r="D2866" s="35" t="str">
        <f>VLOOKUP(C2866,[1]道具配置表!$A:$D,4,FALSE)</f>
        <v>1黄金</v>
      </c>
      <c r="E2866" s="35">
        <v>148000</v>
      </c>
      <c r="J2866" s="34">
        <v>1</v>
      </c>
      <c r="L2866" s="35" t="b">
        <v>1</v>
      </c>
    </row>
    <row r="2867" spans="1:12" s="35" customFormat="1" hidden="1" outlineLevel="1" x14ac:dyDescent="0.25">
      <c r="C2867" s="35">
        <v>7010</v>
      </c>
      <c r="D2867" s="35" t="str">
        <f>VLOOKUP(C2867,[1]道具配置表!$A:$D,4,FALSE)</f>
        <v>军演币</v>
      </c>
      <c r="E2867" s="35">
        <v>380</v>
      </c>
      <c r="J2867" s="34">
        <v>1</v>
      </c>
      <c r="L2867" s="35" t="b">
        <v>1</v>
      </c>
    </row>
    <row r="2868" spans="1:12" s="35" customFormat="1" hidden="1" outlineLevel="1" x14ac:dyDescent="0.25">
      <c r="A2868" s="35">
        <v>1923148</v>
      </c>
      <c r="B2868" s="35" t="s">
        <v>1021</v>
      </c>
      <c r="C2868" s="35">
        <v>102</v>
      </c>
      <c r="D2868" s="35" t="str">
        <f>VLOOKUP(C2868,[1]道具配置表!$A:$D,4,FALSE)</f>
        <v>1食物</v>
      </c>
      <c r="E2868" s="35">
        <v>40000</v>
      </c>
      <c r="J2868" s="34">
        <v>1</v>
      </c>
      <c r="L2868" s="35" t="b">
        <v>1</v>
      </c>
    </row>
    <row r="2869" spans="1:12" s="35" customFormat="1" hidden="1" outlineLevel="1" x14ac:dyDescent="0.25">
      <c r="C2869" s="35">
        <v>101</v>
      </c>
      <c r="D2869" s="35" t="str">
        <f>VLOOKUP(C2869,[1]道具配置表!$A:$D,4,FALSE)</f>
        <v>1木材</v>
      </c>
      <c r="E2869" s="35">
        <v>151000</v>
      </c>
      <c r="J2869" s="34">
        <v>1</v>
      </c>
      <c r="L2869" s="35" t="b">
        <v>1</v>
      </c>
    </row>
    <row r="2870" spans="1:12" s="35" customFormat="1" hidden="1" outlineLevel="1" x14ac:dyDescent="0.25">
      <c r="C2870" s="35">
        <v>103</v>
      </c>
      <c r="D2870" s="35" t="str">
        <f>VLOOKUP(C2870,[1]道具配置表!$A:$D,4,FALSE)</f>
        <v>1石头</v>
      </c>
      <c r="E2870" s="35">
        <v>151000</v>
      </c>
      <c r="J2870" s="34">
        <v>1</v>
      </c>
      <c r="L2870" s="35" t="b">
        <v>1</v>
      </c>
    </row>
    <row r="2871" spans="1:12" s="35" customFormat="1" hidden="1" outlineLevel="1" x14ac:dyDescent="0.25">
      <c r="C2871" s="35">
        <v>104</v>
      </c>
      <c r="D2871" s="35" t="str">
        <f>VLOOKUP(C2871,[1]道具配置表!$A:$D,4,FALSE)</f>
        <v>1黄金</v>
      </c>
      <c r="E2871" s="35">
        <v>151000</v>
      </c>
      <c r="J2871" s="34">
        <v>1</v>
      </c>
      <c r="L2871" s="35" t="b">
        <v>1</v>
      </c>
    </row>
    <row r="2872" spans="1:12" s="35" customFormat="1" hidden="1" outlineLevel="1" x14ac:dyDescent="0.25">
      <c r="C2872" s="35">
        <v>7010</v>
      </c>
      <c r="D2872" s="35" t="str">
        <f>VLOOKUP(C2872,[1]道具配置表!$A:$D,4,FALSE)</f>
        <v>军演币</v>
      </c>
      <c r="E2872" s="35">
        <v>390</v>
      </c>
      <c r="J2872" s="34">
        <v>1</v>
      </c>
      <c r="L2872" s="35" t="b">
        <v>1</v>
      </c>
    </row>
    <row r="2873" spans="1:12" s="35" customFormat="1" hidden="1" outlineLevel="1" x14ac:dyDescent="0.25">
      <c r="A2873" s="35">
        <v>1923149</v>
      </c>
      <c r="B2873" s="35" t="s">
        <v>1022</v>
      </c>
      <c r="C2873" s="35">
        <v>102</v>
      </c>
      <c r="D2873" s="35" t="str">
        <f>VLOOKUP(C2873,[1]道具配置表!$A:$D,4,FALSE)</f>
        <v>1食物</v>
      </c>
      <c r="E2873" s="35">
        <v>40000</v>
      </c>
      <c r="J2873" s="34">
        <v>1</v>
      </c>
      <c r="L2873" s="35" t="b">
        <v>1</v>
      </c>
    </row>
    <row r="2874" spans="1:12" s="35" customFormat="1" hidden="1" outlineLevel="1" x14ac:dyDescent="0.25">
      <c r="C2874" s="35">
        <v>101</v>
      </c>
      <c r="D2874" s="35" t="str">
        <f>VLOOKUP(C2874,[1]道具配置表!$A:$D,4,FALSE)</f>
        <v>1木材</v>
      </c>
      <c r="E2874" s="35">
        <v>154000</v>
      </c>
      <c r="J2874" s="34">
        <v>1</v>
      </c>
      <c r="L2874" s="35" t="b">
        <v>1</v>
      </c>
    </row>
    <row r="2875" spans="1:12" s="35" customFormat="1" hidden="1" outlineLevel="1" x14ac:dyDescent="0.25">
      <c r="C2875" s="35">
        <v>103</v>
      </c>
      <c r="D2875" s="35" t="str">
        <f>VLOOKUP(C2875,[1]道具配置表!$A:$D,4,FALSE)</f>
        <v>1石头</v>
      </c>
      <c r="E2875" s="35">
        <v>154000</v>
      </c>
      <c r="J2875" s="34">
        <v>1</v>
      </c>
      <c r="L2875" s="35" t="b">
        <v>1</v>
      </c>
    </row>
    <row r="2876" spans="1:12" s="35" customFormat="1" hidden="1" outlineLevel="1" x14ac:dyDescent="0.25">
      <c r="C2876" s="35">
        <v>104</v>
      </c>
      <c r="D2876" s="35" t="str">
        <f>VLOOKUP(C2876,[1]道具配置表!$A:$D,4,FALSE)</f>
        <v>1黄金</v>
      </c>
      <c r="E2876" s="35">
        <v>154000</v>
      </c>
      <c r="J2876" s="34">
        <v>1</v>
      </c>
      <c r="L2876" s="35" t="b">
        <v>1</v>
      </c>
    </row>
    <row r="2877" spans="1:12" s="35" customFormat="1" hidden="1" outlineLevel="1" x14ac:dyDescent="0.25">
      <c r="C2877" s="35">
        <v>7010</v>
      </c>
      <c r="D2877" s="35" t="str">
        <f>VLOOKUP(C2877,[1]道具配置表!$A:$D,4,FALSE)</f>
        <v>军演币</v>
      </c>
      <c r="E2877" s="35">
        <v>400</v>
      </c>
      <c r="J2877" s="34">
        <v>1</v>
      </c>
      <c r="L2877" s="35" t="b">
        <v>1</v>
      </c>
    </row>
    <row r="2878" spans="1:12" s="35" customFormat="1" hidden="1" outlineLevel="1" x14ac:dyDescent="0.25">
      <c r="A2878" s="35">
        <v>1923150</v>
      </c>
      <c r="B2878" s="35" t="s">
        <v>1023</v>
      </c>
      <c r="C2878" s="35">
        <v>102</v>
      </c>
      <c r="D2878" s="35" t="str">
        <f>VLOOKUP(C2878,[1]道具配置表!$A:$D,4,FALSE)</f>
        <v>1食物</v>
      </c>
      <c r="E2878" s="35">
        <v>40000</v>
      </c>
      <c r="J2878" s="34">
        <v>1</v>
      </c>
      <c r="L2878" s="35" t="b">
        <v>1</v>
      </c>
    </row>
    <row r="2879" spans="1:12" s="35" customFormat="1" hidden="1" outlineLevel="1" x14ac:dyDescent="0.25">
      <c r="C2879" s="35">
        <v>101</v>
      </c>
      <c r="D2879" s="35" t="str">
        <f>VLOOKUP(C2879,[1]道具配置表!$A:$D,4,FALSE)</f>
        <v>1木材</v>
      </c>
      <c r="E2879" s="35">
        <v>157000</v>
      </c>
      <c r="J2879" s="34">
        <v>1</v>
      </c>
      <c r="L2879" s="35" t="b">
        <v>1</v>
      </c>
    </row>
    <row r="2880" spans="1:12" s="35" customFormat="1" hidden="1" outlineLevel="1" x14ac:dyDescent="0.25">
      <c r="C2880" s="35">
        <v>103</v>
      </c>
      <c r="D2880" s="35" t="str">
        <f>VLOOKUP(C2880,[1]道具配置表!$A:$D,4,FALSE)</f>
        <v>1石头</v>
      </c>
      <c r="E2880" s="35">
        <v>157000</v>
      </c>
      <c r="J2880" s="34">
        <v>1</v>
      </c>
      <c r="L2880" s="35" t="b">
        <v>1</v>
      </c>
    </row>
    <row r="2881" spans="1:12" s="35" customFormat="1" hidden="1" outlineLevel="1" x14ac:dyDescent="0.25">
      <c r="C2881" s="35">
        <v>104</v>
      </c>
      <c r="D2881" s="35" t="str">
        <f>VLOOKUP(C2881,[1]道具配置表!$A:$D,4,FALSE)</f>
        <v>1黄金</v>
      </c>
      <c r="E2881" s="35">
        <v>157000</v>
      </c>
      <c r="J2881" s="34">
        <v>1</v>
      </c>
      <c r="L2881" s="35" t="b">
        <v>1</v>
      </c>
    </row>
    <row r="2882" spans="1:12" s="35" customFormat="1" hidden="1" outlineLevel="1" x14ac:dyDescent="0.25">
      <c r="C2882" s="35">
        <v>7010</v>
      </c>
      <c r="D2882" s="35" t="str">
        <f>VLOOKUP(C2882,[1]道具配置表!$A:$D,4,FALSE)</f>
        <v>军演币</v>
      </c>
      <c r="E2882" s="35">
        <v>410</v>
      </c>
      <c r="J2882" s="34">
        <v>1</v>
      </c>
      <c r="L2882" s="35" t="b">
        <v>1</v>
      </c>
    </row>
    <row r="2883" spans="1:12" s="35" customFormat="1" hidden="1" outlineLevel="1" collapsed="1" x14ac:dyDescent="0.25">
      <c r="A2883" s="35">
        <v>1923201</v>
      </c>
      <c r="B2883" s="35" t="s">
        <v>1024</v>
      </c>
      <c r="C2883" s="35">
        <v>7010</v>
      </c>
      <c r="D2883" s="35" t="str">
        <f>VLOOKUP(C2883,[1]道具配置表!$A:$D,4,FALSE)</f>
        <v>军演币</v>
      </c>
      <c r="E2883" s="35">
        <v>100</v>
      </c>
      <c r="J2883" s="34">
        <v>1</v>
      </c>
      <c r="L2883" s="35" t="b">
        <v>1</v>
      </c>
    </row>
    <row r="2884" spans="1:12" s="35" customFormat="1" hidden="1" outlineLevel="1" x14ac:dyDescent="0.25">
      <c r="A2884" s="35">
        <v>1923202</v>
      </c>
      <c r="B2884" s="35" t="s">
        <v>1025</v>
      </c>
      <c r="C2884" s="35">
        <v>7010</v>
      </c>
      <c r="D2884" s="35" t="str">
        <f>VLOOKUP(C2884,[1]道具配置表!$A:$D,4,FALSE)</f>
        <v>军演币</v>
      </c>
      <c r="E2884" s="35">
        <v>10</v>
      </c>
      <c r="J2884" s="34">
        <v>1</v>
      </c>
      <c r="L2884" s="35" t="b">
        <v>1</v>
      </c>
    </row>
    <row r="2885" spans="1:12" s="35" customFormat="1" hidden="1" outlineLevel="1" x14ac:dyDescent="0.25">
      <c r="A2885" s="35">
        <v>1923203</v>
      </c>
      <c r="B2885" s="35" t="s">
        <v>1026</v>
      </c>
      <c r="C2885" s="35">
        <v>7010</v>
      </c>
      <c r="D2885" s="35" t="str">
        <f>VLOOKUP(C2885,[1]道具配置表!$A:$D,4,FALSE)</f>
        <v>军演币</v>
      </c>
      <c r="E2885" s="35">
        <v>12</v>
      </c>
      <c r="J2885" s="34">
        <v>1</v>
      </c>
      <c r="L2885" s="35" t="b">
        <v>1</v>
      </c>
    </row>
    <row r="2886" spans="1:12" s="35" customFormat="1" hidden="1" outlineLevel="1" x14ac:dyDescent="0.25">
      <c r="A2886" s="35">
        <v>1923204</v>
      </c>
      <c r="B2886" s="35" t="s">
        <v>1027</v>
      </c>
      <c r="C2886" s="35">
        <v>7010</v>
      </c>
      <c r="D2886" s="35" t="str">
        <f>VLOOKUP(C2886,[1]道具配置表!$A:$D,4,FALSE)</f>
        <v>军演币</v>
      </c>
      <c r="E2886" s="35">
        <v>14</v>
      </c>
      <c r="J2886" s="34">
        <v>1</v>
      </c>
      <c r="L2886" s="35" t="b">
        <v>1</v>
      </c>
    </row>
    <row r="2887" spans="1:12" s="35" customFormat="1" hidden="1" outlineLevel="1" x14ac:dyDescent="0.25">
      <c r="A2887" s="35">
        <v>1923205</v>
      </c>
      <c r="B2887" s="35" t="s">
        <v>1028</v>
      </c>
      <c r="C2887" s="35">
        <v>7010</v>
      </c>
      <c r="D2887" s="35" t="str">
        <f>VLOOKUP(C2887,[1]道具配置表!$A:$D,4,FALSE)</f>
        <v>军演币</v>
      </c>
      <c r="E2887" s="35">
        <v>16</v>
      </c>
      <c r="J2887" s="34">
        <v>1</v>
      </c>
      <c r="L2887" s="35" t="b">
        <v>1</v>
      </c>
    </row>
    <row r="2888" spans="1:12" collapsed="1" x14ac:dyDescent="0.25">
      <c r="A2888" s="16">
        <v>1923301</v>
      </c>
      <c r="B2888" s="16" t="s">
        <v>1590</v>
      </c>
      <c r="C2888" s="25">
        <v>6165</v>
      </c>
      <c r="D2888" s="27" t="str">
        <f>VLOOKUP(C2888,[1]道具配置表!$A:$D,4,FALSE)</f>
        <v>60分钟训练加速</v>
      </c>
      <c r="E2888" s="15">
        <v>1</v>
      </c>
      <c r="J2888" s="15">
        <v>1</v>
      </c>
      <c r="K2888" s="25"/>
      <c r="L2888" s="25" t="b">
        <v>1</v>
      </c>
    </row>
    <row r="2889" spans="1:12" s="25" customFormat="1" x14ac:dyDescent="0.25">
      <c r="A2889" s="25">
        <v>1923302</v>
      </c>
      <c r="B2889" s="25" t="s">
        <v>1591</v>
      </c>
      <c r="C2889" s="26">
        <v>102</v>
      </c>
      <c r="D2889" s="27" t="str">
        <f>VLOOKUP(C2889,[1]道具配置表!$A:$D,4,FALSE)</f>
        <v>1食物</v>
      </c>
      <c r="E2889" s="15">
        <v>200000</v>
      </c>
      <c r="J2889" s="15">
        <v>1</v>
      </c>
      <c r="L2889" s="25" t="b">
        <v>1</v>
      </c>
    </row>
    <row r="2890" spans="1:12" s="25" customFormat="1" x14ac:dyDescent="0.25">
      <c r="A2890" s="25">
        <v>1923303</v>
      </c>
      <c r="B2890" s="25" t="s">
        <v>1592</v>
      </c>
      <c r="C2890" s="29">
        <v>6165</v>
      </c>
      <c r="D2890" s="27" t="str">
        <f>VLOOKUP(C2890,[1]道具配置表!$A:$D,4,FALSE)</f>
        <v>60分钟训练加速</v>
      </c>
      <c r="E2890" s="15">
        <v>2</v>
      </c>
      <c r="J2890" s="15">
        <v>1</v>
      </c>
      <c r="L2890" s="25" t="b">
        <v>1</v>
      </c>
    </row>
    <row r="2891" spans="1:12" s="25" customFormat="1" x14ac:dyDescent="0.25">
      <c r="A2891" s="25">
        <v>1923304</v>
      </c>
      <c r="B2891" s="25" t="s">
        <v>1593</v>
      </c>
      <c r="C2891" s="26">
        <v>102</v>
      </c>
      <c r="D2891" s="27" t="str">
        <f>VLOOKUP(C2891,[1]道具配置表!$A:$D,4,FALSE)</f>
        <v>1食物</v>
      </c>
      <c r="E2891" s="15">
        <v>300000</v>
      </c>
      <c r="J2891" s="15">
        <v>1</v>
      </c>
      <c r="L2891" s="25" t="b">
        <v>1</v>
      </c>
    </row>
    <row r="2892" spans="1:12" s="25" customFormat="1" x14ac:dyDescent="0.25">
      <c r="A2892" s="25">
        <v>1923305</v>
      </c>
      <c r="B2892" s="25" t="s">
        <v>1594</v>
      </c>
      <c r="C2892" s="29">
        <v>6165</v>
      </c>
      <c r="D2892" s="27" t="str">
        <f>VLOOKUP(C2892,[1]道具配置表!$A:$D,4,FALSE)</f>
        <v>60分钟训练加速</v>
      </c>
      <c r="E2892" s="15">
        <v>5</v>
      </c>
      <c r="J2892" s="15">
        <v>1</v>
      </c>
      <c r="L2892" s="25" t="b">
        <v>1</v>
      </c>
    </row>
    <row r="2893" spans="1:12" x14ac:dyDescent="0.25">
      <c r="A2893" s="25">
        <v>1923306</v>
      </c>
      <c r="B2893" s="25" t="s">
        <v>1595</v>
      </c>
      <c r="C2893" s="29">
        <v>6165</v>
      </c>
      <c r="D2893" s="27" t="str">
        <f>VLOOKUP(C2893,[1]道具配置表!$A:$D,4,FALSE)</f>
        <v>60分钟训练加速</v>
      </c>
      <c r="E2893" s="15">
        <f>E2888*2</f>
        <v>2</v>
      </c>
      <c r="F2893" s="25"/>
      <c r="G2893" s="25"/>
      <c r="H2893" s="25"/>
      <c r="I2893" s="25"/>
      <c r="J2893" s="15">
        <v>1</v>
      </c>
      <c r="K2893" s="25"/>
      <c r="L2893" s="25" t="b">
        <v>1</v>
      </c>
    </row>
    <row r="2894" spans="1:12" x14ac:dyDescent="0.25">
      <c r="A2894" s="25">
        <v>1923307</v>
      </c>
      <c r="B2894" s="25" t="s">
        <v>1596</v>
      </c>
      <c r="C2894" s="26">
        <v>102</v>
      </c>
      <c r="D2894" s="27" t="str">
        <f>VLOOKUP(C2894,[1]道具配置表!$A:$D,4,FALSE)</f>
        <v>1食物</v>
      </c>
      <c r="E2894" s="15">
        <f t="shared" ref="E2894:E2897" si="63">E2889*2</f>
        <v>400000</v>
      </c>
      <c r="F2894" s="25"/>
      <c r="G2894" s="25"/>
      <c r="H2894" s="25"/>
      <c r="I2894" s="25"/>
      <c r="J2894" s="15">
        <v>1</v>
      </c>
      <c r="K2894" s="25"/>
      <c r="L2894" s="25" t="b">
        <v>1</v>
      </c>
    </row>
    <row r="2895" spans="1:12" x14ac:dyDescent="0.25">
      <c r="A2895" s="25">
        <v>1923308</v>
      </c>
      <c r="B2895" s="25" t="s">
        <v>1597</v>
      </c>
      <c r="C2895" s="29">
        <v>6165</v>
      </c>
      <c r="D2895" s="27" t="str">
        <f>VLOOKUP(C2895,[1]道具配置表!$A:$D,4,FALSE)</f>
        <v>60分钟训练加速</v>
      </c>
      <c r="E2895" s="15">
        <f t="shared" si="63"/>
        <v>4</v>
      </c>
      <c r="F2895" s="25"/>
      <c r="G2895" s="25"/>
      <c r="H2895" s="25"/>
      <c r="I2895" s="25"/>
      <c r="J2895" s="15">
        <v>1</v>
      </c>
      <c r="K2895" s="25"/>
      <c r="L2895" s="25" t="b">
        <v>1</v>
      </c>
    </row>
    <row r="2896" spans="1:12" x14ac:dyDescent="0.25">
      <c r="A2896" s="25">
        <v>1923309</v>
      </c>
      <c r="B2896" s="25" t="s">
        <v>1598</v>
      </c>
      <c r="C2896" s="26">
        <v>102</v>
      </c>
      <c r="D2896" s="27" t="str">
        <f>VLOOKUP(C2896,[1]道具配置表!$A:$D,4,FALSE)</f>
        <v>1食物</v>
      </c>
      <c r="E2896" s="15">
        <f t="shared" si="63"/>
        <v>600000</v>
      </c>
      <c r="F2896" s="25"/>
      <c r="G2896" s="25"/>
      <c r="H2896" s="25"/>
      <c r="I2896" s="25"/>
      <c r="J2896" s="15">
        <v>1</v>
      </c>
      <c r="K2896" s="25"/>
      <c r="L2896" s="25" t="b">
        <v>1</v>
      </c>
    </row>
    <row r="2897" spans="1:12" x14ac:dyDescent="0.25">
      <c r="A2897" s="25">
        <v>1923310</v>
      </c>
      <c r="B2897" s="25" t="s">
        <v>1599</v>
      </c>
      <c r="C2897" s="29">
        <v>6165</v>
      </c>
      <c r="D2897" s="27" t="str">
        <f>VLOOKUP(C2897,[1]道具配置表!$A:$D,4,FALSE)</f>
        <v>60分钟训练加速</v>
      </c>
      <c r="E2897" s="15">
        <f t="shared" si="63"/>
        <v>10</v>
      </c>
      <c r="F2897" s="25"/>
      <c r="G2897" s="25"/>
      <c r="H2897" s="25"/>
      <c r="I2897" s="25"/>
      <c r="J2897" s="15">
        <v>1</v>
      </c>
      <c r="K2897" s="25"/>
      <c r="L2897" s="25" t="b">
        <v>1</v>
      </c>
    </row>
    <row r="2898" spans="1:12" x14ac:dyDescent="0.25">
      <c r="A2898" s="25">
        <v>1923311</v>
      </c>
      <c r="B2898" s="25" t="s">
        <v>1600</v>
      </c>
      <c r="C2898" s="29">
        <v>6165</v>
      </c>
      <c r="D2898" s="27" t="str">
        <f>VLOOKUP(C2898,[1]道具配置表!$A:$D,4,FALSE)</f>
        <v>60分钟训练加速</v>
      </c>
      <c r="E2898" s="15">
        <f>E2888*3</f>
        <v>3</v>
      </c>
      <c r="F2898" s="25"/>
      <c r="G2898" s="25"/>
      <c r="H2898" s="25"/>
      <c r="I2898" s="25"/>
      <c r="J2898" s="15">
        <v>1</v>
      </c>
      <c r="K2898" s="25"/>
      <c r="L2898" s="25" t="b">
        <v>1</v>
      </c>
    </row>
    <row r="2899" spans="1:12" x14ac:dyDescent="0.25">
      <c r="A2899" s="25">
        <v>1923312</v>
      </c>
      <c r="B2899" s="25" t="s">
        <v>1601</v>
      </c>
      <c r="C2899" s="26">
        <v>102</v>
      </c>
      <c r="D2899" s="27" t="str">
        <f>VLOOKUP(C2899,[1]道具配置表!$A:$D,4,FALSE)</f>
        <v>1食物</v>
      </c>
      <c r="E2899" s="15">
        <f t="shared" ref="E2899:E2902" si="64">E2889*3</f>
        <v>600000</v>
      </c>
      <c r="F2899" s="25"/>
      <c r="G2899" s="25"/>
      <c r="H2899" s="25"/>
      <c r="I2899" s="25"/>
      <c r="J2899" s="15">
        <v>1</v>
      </c>
      <c r="K2899" s="25"/>
      <c r="L2899" s="25" t="b">
        <v>1</v>
      </c>
    </row>
    <row r="2900" spans="1:12" x14ac:dyDescent="0.25">
      <c r="A2900" s="25">
        <v>1923313</v>
      </c>
      <c r="B2900" s="25" t="s">
        <v>1602</v>
      </c>
      <c r="C2900" s="29">
        <v>6165</v>
      </c>
      <c r="D2900" s="27" t="str">
        <f>VLOOKUP(C2900,[1]道具配置表!$A:$D,4,FALSE)</f>
        <v>60分钟训练加速</v>
      </c>
      <c r="E2900" s="15">
        <f t="shared" si="64"/>
        <v>6</v>
      </c>
      <c r="F2900" s="25"/>
      <c r="G2900" s="25"/>
      <c r="H2900" s="25"/>
      <c r="I2900" s="25"/>
      <c r="J2900" s="15">
        <v>1</v>
      </c>
      <c r="K2900" s="25"/>
      <c r="L2900" s="25" t="b">
        <v>1</v>
      </c>
    </row>
    <row r="2901" spans="1:12" x14ac:dyDescent="0.25">
      <c r="A2901" s="25">
        <v>1923314</v>
      </c>
      <c r="B2901" s="25" t="s">
        <v>1603</v>
      </c>
      <c r="C2901" s="26">
        <v>102</v>
      </c>
      <c r="D2901" s="27" t="str">
        <f>VLOOKUP(C2901,[1]道具配置表!$A:$D,4,FALSE)</f>
        <v>1食物</v>
      </c>
      <c r="E2901" s="15">
        <f t="shared" si="64"/>
        <v>900000</v>
      </c>
      <c r="F2901" s="25"/>
      <c r="G2901" s="25"/>
      <c r="H2901" s="25"/>
      <c r="I2901" s="25"/>
      <c r="J2901" s="15">
        <v>1</v>
      </c>
      <c r="K2901" s="25"/>
      <c r="L2901" s="25" t="b">
        <v>1</v>
      </c>
    </row>
    <row r="2902" spans="1:12" x14ac:dyDescent="0.25">
      <c r="A2902" s="25">
        <v>1923315</v>
      </c>
      <c r="B2902" s="25" t="s">
        <v>1604</v>
      </c>
      <c r="C2902" s="29">
        <v>6165</v>
      </c>
      <c r="D2902" s="27" t="str">
        <f>VLOOKUP(C2902,[1]道具配置表!$A:$D,4,FALSE)</f>
        <v>60分钟训练加速</v>
      </c>
      <c r="E2902" s="15">
        <f t="shared" si="64"/>
        <v>15</v>
      </c>
      <c r="F2902" s="25"/>
      <c r="G2902" s="25"/>
      <c r="H2902" s="25"/>
      <c r="I2902" s="25"/>
      <c r="J2902" s="15">
        <v>1</v>
      </c>
      <c r="K2902" s="25"/>
      <c r="L2902" s="25" t="b">
        <v>1</v>
      </c>
    </row>
    <row r="2903" spans="1:12" x14ac:dyDescent="0.25">
      <c r="A2903" s="25">
        <v>1923316</v>
      </c>
      <c r="B2903" s="16" t="s">
        <v>1605</v>
      </c>
      <c r="C2903" s="29">
        <v>6165</v>
      </c>
      <c r="D2903" s="27" t="str">
        <f>VLOOKUP(C2903,[1]道具配置表!$A:$D,4,FALSE)</f>
        <v>60分钟训练加速</v>
      </c>
      <c r="E2903" s="15">
        <f>E2888*4</f>
        <v>4</v>
      </c>
      <c r="F2903" s="25"/>
      <c r="G2903" s="25"/>
      <c r="H2903" s="25"/>
      <c r="I2903" s="25"/>
      <c r="J2903" s="15">
        <v>1</v>
      </c>
      <c r="K2903" s="25"/>
      <c r="L2903" s="25" t="b">
        <v>1</v>
      </c>
    </row>
    <row r="2904" spans="1:12" x14ac:dyDescent="0.25">
      <c r="A2904" s="25">
        <v>1923317</v>
      </c>
      <c r="B2904" s="25" t="s">
        <v>1606</v>
      </c>
      <c r="C2904" s="26">
        <v>102</v>
      </c>
      <c r="D2904" s="27" t="str">
        <f>VLOOKUP(C2904,[1]道具配置表!$A:$D,4,FALSE)</f>
        <v>1食物</v>
      </c>
      <c r="E2904" s="15">
        <f t="shared" ref="E2904:E2907" si="65">E2889*4</f>
        <v>800000</v>
      </c>
      <c r="F2904" s="25"/>
      <c r="G2904" s="25"/>
      <c r="H2904" s="25"/>
      <c r="I2904" s="25"/>
      <c r="J2904" s="15">
        <v>1</v>
      </c>
      <c r="K2904" s="25"/>
      <c r="L2904" s="25" t="b">
        <v>1</v>
      </c>
    </row>
    <row r="2905" spans="1:12" x14ac:dyDescent="0.25">
      <c r="A2905" s="25">
        <v>1923318</v>
      </c>
      <c r="B2905" s="25" t="s">
        <v>1607</v>
      </c>
      <c r="C2905" s="29">
        <v>6165</v>
      </c>
      <c r="D2905" s="27" t="str">
        <f>VLOOKUP(C2905,[1]道具配置表!$A:$D,4,FALSE)</f>
        <v>60分钟训练加速</v>
      </c>
      <c r="E2905" s="15">
        <f t="shared" si="65"/>
        <v>8</v>
      </c>
      <c r="F2905" s="25"/>
      <c r="G2905" s="25"/>
      <c r="H2905" s="25"/>
      <c r="I2905" s="25"/>
      <c r="J2905" s="15">
        <v>1</v>
      </c>
      <c r="K2905" s="25"/>
      <c r="L2905" s="25" t="b">
        <v>1</v>
      </c>
    </row>
    <row r="2906" spans="1:12" x14ac:dyDescent="0.25">
      <c r="A2906" s="25">
        <v>1923319</v>
      </c>
      <c r="B2906" s="25" t="s">
        <v>1608</v>
      </c>
      <c r="C2906" s="26">
        <v>102</v>
      </c>
      <c r="D2906" s="27" t="str">
        <f>VLOOKUP(C2906,[1]道具配置表!$A:$D,4,FALSE)</f>
        <v>1食物</v>
      </c>
      <c r="E2906" s="15">
        <f t="shared" si="65"/>
        <v>1200000</v>
      </c>
      <c r="F2906" s="25"/>
      <c r="G2906" s="25"/>
      <c r="H2906" s="25"/>
      <c r="I2906" s="25"/>
      <c r="J2906" s="15">
        <v>1</v>
      </c>
      <c r="K2906" s="25"/>
      <c r="L2906" s="25" t="b">
        <v>1</v>
      </c>
    </row>
    <row r="2907" spans="1:12" x14ac:dyDescent="0.25">
      <c r="A2907" s="25">
        <v>1923320</v>
      </c>
      <c r="B2907" s="25" t="s">
        <v>1609</v>
      </c>
      <c r="C2907" s="29">
        <v>6165</v>
      </c>
      <c r="D2907" s="27" t="str">
        <f>VLOOKUP(C2907,[1]道具配置表!$A:$D,4,FALSE)</f>
        <v>60分钟训练加速</v>
      </c>
      <c r="E2907" s="15">
        <f t="shared" si="65"/>
        <v>20</v>
      </c>
      <c r="F2907" s="25"/>
      <c r="G2907" s="25"/>
      <c r="H2907" s="25"/>
      <c r="I2907" s="25"/>
      <c r="J2907" s="15">
        <v>1</v>
      </c>
      <c r="K2907" s="25"/>
      <c r="L2907" s="25" t="b">
        <v>1</v>
      </c>
    </row>
    <row r="2908" spans="1:12" s="35" customFormat="1" hidden="1" outlineLevel="1" x14ac:dyDescent="0.25">
      <c r="A2908" s="35">
        <v>1923401</v>
      </c>
      <c r="B2908" s="35" t="s">
        <v>1610</v>
      </c>
      <c r="C2908" s="35">
        <v>101</v>
      </c>
      <c r="D2908" s="27" t="str">
        <f>VLOOKUP(C2908,[1]道具配置表!$A:$D,4,FALSE)</f>
        <v>1木材</v>
      </c>
      <c r="E2908" s="35">
        <v>20000</v>
      </c>
      <c r="J2908" s="34">
        <v>1</v>
      </c>
      <c r="L2908" s="35" t="b">
        <v>1</v>
      </c>
    </row>
    <row r="2909" spans="1:12" s="35" customFormat="1" hidden="1" outlineLevel="1" x14ac:dyDescent="0.25">
      <c r="C2909" s="35">
        <v>103</v>
      </c>
      <c r="D2909" s="27" t="str">
        <f>VLOOKUP(C2909,[1]道具配置表!$A:$D,4,FALSE)</f>
        <v>1石头</v>
      </c>
      <c r="E2909" s="35">
        <v>20000</v>
      </c>
      <c r="J2909" s="34">
        <v>1</v>
      </c>
      <c r="L2909" s="35" t="b">
        <v>1</v>
      </c>
    </row>
    <row r="2910" spans="1:12" s="35" customFormat="1" hidden="1" outlineLevel="1" x14ac:dyDescent="0.25">
      <c r="C2910" s="35">
        <v>104</v>
      </c>
      <c r="D2910" s="27" t="str">
        <f>VLOOKUP(C2910,[1]道具配置表!$A:$D,4,FALSE)</f>
        <v>1黄金</v>
      </c>
      <c r="E2910" s="35">
        <v>20000</v>
      </c>
      <c r="J2910" s="34">
        <v>1</v>
      </c>
      <c r="L2910" s="35" t="b">
        <v>1</v>
      </c>
    </row>
    <row r="2911" spans="1:12" s="35" customFormat="1" hidden="1" outlineLevel="1" x14ac:dyDescent="0.25">
      <c r="A2911" s="35">
        <f>A2908+1</f>
        <v>1923402</v>
      </c>
      <c r="B2911" s="35" t="s">
        <v>1611</v>
      </c>
      <c r="C2911" s="35">
        <v>101</v>
      </c>
      <c r="D2911" s="27" t="str">
        <f>VLOOKUP(C2911,[1]道具配置表!$A:$D,4,FALSE)</f>
        <v>1木材</v>
      </c>
      <c r="E2911" s="35">
        <v>40000</v>
      </c>
      <c r="J2911" s="34">
        <v>1</v>
      </c>
      <c r="L2911" s="35" t="b">
        <v>1</v>
      </c>
    </row>
    <row r="2912" spans="1:12" s="35" customFormat="1" hidden="1" outlineLevel="1" x14ac:dyDescent="0.25">
      <c r="C2912" s="35">
        <v>103</v>
      </c>
      <c r="D2912" s="27" t="str">
        <f>VLOOKUP(C2912,[1]道具配置表!$A:$D,4,FALSE)</f>
        <v>1石头</v>
      </c>
      <c r="E2912" s="35">
        <v>40000</v>
      </c>
      <c r="J2912" s="34">
        <v>1</v>
      </c>
      <c r="L2912" s="35" t="b">
        <v>1</v>
      </c>
    </row>
    <row r="2913" spans="1:12" s="35" customFormat="1" hidden="1" outlineLevel="1" x14ac:dyDescent="0.25">
      <c r="C2913" s="35">
        <v>104</v>
      </c>
      <c r="D2913" s="27" t="str">
        <f>VLOOKUP(C2913,[1]道具配置表!$A:$D,4,FALSE)</f>
        <v>1黄金</v>
      </c>
      <c r="E2913" s="35">
        <v>40000</v>
      </c>
      <c r="J2913" s="34">
        <v>1</v>
      </c>
      <c r="L2913" s="35" t="b">
        <v>1</v>
      </c>
    </row>
    <row r="2914" spans="1:12" s="35" customFormat="1" hidden="1" outlineLevel="1" x14ac:dyDescent="0.25">
      <c r="A2914" s="35">
        <f>A2911+1</f>
        <v>1923403</v>
      </c>
      <c r="B2914" s="35" t="s">
        <v>1612</v>
      </c>
      <c r="C2914" s="35">
        <v>1055</v>
      </c>
      <c r="D2914" s="27" t="str">
        <f>VLOOKUP(C2914,[1]道具配置表!$A:$D,4,FALSE)</f>
        <v>大卫王</v>
      </c>
      <c r="E2914" s="35">
        <v>1</v>
      </c>
      <c r="J2914" s="34">
        <v>1</v>
      </c>
      <c r="L2914" s="35" t="b">
        <v>1</v>
      </c>
    </row>
    <row r="2915" spans="1:12" s="35" customFormat="1" hidden="1" outlineLevel="1" x14ac:dyDescent="0.25">
      <c r="C2915" s="35">
        <v>101</v>
      </c>
      <c r="D2915" s="27" t="str">
        <f>VLOOKUP(C2915,[1]道具配置表!$A:$D,4,FALSE)</f>
        <v>1木材</v>
      </c>
      <c r="E2915" s="35">
        <v>40000</v>
      </c>
      <c r="J2915" s="34">
        <v>1</v>
      </c>
      <c r="L2915" s="35" t="b">
        <v>1</v>
      </c>
    </row>
    <row r="2916" spans="1:12" s="35" customFormat="1" hidden="1" outlineLevel="1" x14ac:dyDescent="0.25">
      <c r="C2916" s="35">
        <v>103</v>
      </c>
      <c r="D2916" s="27" t="str">
        <f>VLOOKUP(C2916,[1]道具配置表!$A:$D,4,FALSE)</f>
        <v>1石头</v>
      </c>
      <c r="E2916" s="35">
        <v>40000</v>
      </c>
      <c r="J2916" s="34">
        <v>1</v>
      </c>
      <c r="L2916" s="35" t="b">
        <v>1</v>
      </c>
    </row>
    <row r="2917" spans="1:12" s="35" customFormat="1" hidden="1" outlineLevel="1" x14ac:dyDescent="0.25">
      <c r="C2917" s="35">
        <v>104</v>
      </c>
      <c r="D2917" s="27" t="str">
        <f>VLOOKUP(C2917,[1]道具配置表!$A:$D,4,FALSE)</f>
        <v>1黄金</v>
      </c>
      <c r="E2917" s="35">
        <v>40000</v>
      </c>
      <c r="J2917" s="34">
        <v>1</v>
      </c>
      <c r="L2917" s="35" t="b">
        <v>1</v>
      </c>
    </row>
    <row r="2918" spans="1:12" s="35" customFormat="1" hidden="1" outlineLevel="1" x14ac:dyDescent="0.25">
      <c r="A2918" s="35">
        <f>A2914+1</f>
        <v>1923404</v>
      </c>
      <c r="B2918" s="35" t="s">
        <v>1613</v>
      </c>
      <c r="C2918" s="35">
        <v>101</v>
      </c>
      <c r="D2918" s="27" t="str">
        <f>VLOOKUP(C2918,[1]道具配置表!$A:$D,4,FALSE)</f>
        <v>1木材</v>
      </c>
      <c r="E2918" s="35">
        <v>40000</v>
      </c>
      <c r="J2918" s="34">
        <v>1</v>
      </c>
      <c r="L2918" s="35" t="b">
        <v>1</v>
      </c>
    </row>
    <row r="2919" spans="1:12" s="35" customFormat="1" hidden="1" outlineLevel="1" x14ac:dyDescent="0.25">
      <c r="C2919" s="35">
        <v>103</v>
      </c>
      <c r="D2919" s="27" t="str">
        <f>VLOOKUP(C2919,[1]道具配置表!$A:$D,4,FALSE)</f>
        <v>1石头</v>
      </c>
      <c r="E2919" s="35">
        <v>40000</v>
      </c>
      <c r="J2919" s="34">
        <v>1</v>
      </c>
      <c r="L2919" s="35" t="b">
        <v>1</v>
      </c>
    </row>
    <row r="2920" spans="1:12" s="35" customFormat="1" hidden="1" outlineLevel="1" x14ac:dyDescent="0.25">
      <c r="C2920" s="35">
        <v>104</v>
      </c>
      <c r="D2920" s="27" t="str">
        <f>VLOOKUP(C2920,[1]道具配置表!$A:$D,4,FALSE)</f>
        <v>1黄金</v>
      </c>
      <c r="E2920" s="35">
        <v>40000</v>
      </c>
      <c r="J2920" s="34">
        <v>1</v>
      </c>
      <c r="L2920" s="35" t="b">
        <v>1</v>
      </c>
    </row>
    <row r="2921" spans="1:12" s="35" customFormat="1" hidden="1" outlineLevel="1" x14ac:dyDescent="0.25">
      <c r="A2921" s="35">
        <f>A2918+1</f>
        <v>1923405</v>
      </c>
      <c r="B2921" s="35" t="s">
        <v>1614</v>
      </c>
      <c r="C2921" s="35">
        <v>101</v>
      </c>
      <c r="D2921" s="27" t="str">
        <f>VLOOKUP(C2921,[1]道具配置表!$A:$D,4,FALSE)</f>
        <v>1木材</v>
      </c>
      <c r="E2921" s="35">
        <v>40000</v>
      </c>
      <c r="J2921" s="34">
        <v>1</v>
      </c>
      <c r="L2921" s="35" t="b">
        <v>1</v>
      </c>
    </row>
    <row r="2922" spans="1:12" s="35" customFormat="1" hidden="1" outlineLevel="1" x14ac:dyDescent="0.25">
      <c r="C2922" s="35">
        <v>103</v>
      </c>
      <c r="D2922" s="27" t="str">
        <f>VLOOKUP(C2922,[1]道具配置表!$A:$D,4,FALSE)</f>
        <v>1石头</v>
      </c>
      <c r="E2922" s="35">
        <v>40000</v>
      </c>
      <c r="J2922" s="34">
        <v>1</v>
      </c>
      <c r="L2922" s="35" t="b">
        <v>1</v>
      </c>
    </row>
    <row r="2923" spans="1:12" s="35" customFormat="1" hidden="1" outlineLevel="1" x14ac:dyDescent="0.25">
      <c r="C2923" s="35">
        <v>104</v>
      </c>
      <c r="D2923" s="27" t="str">
        <f>VLOOKUP(C2923,[1]道具配置表!$A:$D,4,FALSE)</f>
        <v>1黄金</v>
      </c>
      <c r="E2923" s="35">
        <v>40000</v>
      </c>
      <c r="J2923" s="34">
        <v>1</v>
      </c>
      <c r="L2923" s="35" t="b">
        <v>1</v>
      </c>
    </row>
    <row r="2924" spans="1:12" s="35" customFormat="1" hidden="1" outlineLevel="1" x14ac:dyDescent="0.25">
      <c r="A2924" s="35">
        <f>A2921+1</f>
        <v>1923406</v>
      </c>
      <c r="B2924" s="35" t="s">
        <v>1615</v>
      </c>
      <c r="C2924" s="35">
        <v>1017</v>
      </c>
      <c r="D2924" s="27" t="str">
        <f>VLOOKUP(C2924,[1]道具配置表!$A:$D,4,FALSE)</f>
        <v>巴巴罗萨</v>
      </c>
      <c r="E2924" s="35">
        <v>1</v>
      </c>
      <c r="J2924" s="34">
        <v>1</v>
      </c>
      <c r="L2924" s="35" t="b">
        <v>1</v>
      </c>
    </row>
    <row r="2925" spans="1:12" s="35" customFormat="1" hidden="1" outlineLevel="1" x14ac:dyDescent="0.25">
      <c r="C2925" s="35">
        <v>101</v>
      </c>
      <c r="D2925" s="27" t="str">
        <f>VLOOKUP(C2925,[1]道具配置表!$A:$D,4,FALSE)</f>
        <v>1木材</v>
      </c>
      <c r="E2925" s="35">
        <v>60000</v>
      </c>
      <c r="J2925" s="34">
        <v>1</v>
      </c>
      <c r="L2925" s="35" t="b">
        <v>1</v>
      </c>
    </row>
    <row r="2926" spans="1:12" s="35" customFormat="1" hidden="1" outlineLevel="1" x14ac:dyDescent="0.25">
      <c r="C2926" s="35">
        <v>103</v>
      </c>
      <c r="D2926" s="27" t="str">
        <f>VLOOKUP(C2926,[1]道具配置表!$A:$D,4,FALSE)</f>
        <v>1石头</v>
      </c>
      <c r="E2926" s="35">
        <v>60000</v>
      </c>
      <c r="J2926" s="34">
        <v>1</v>
      </c>
      <c r="L2926" s="35" t="b">
        <v>1</v>
      </c>
    </row>
    <row r="2927" spans="1:12" s="35" customFormat="1" hidden="1" outlineLevel="1" x14ac:dyDescent="0.25">
      <c r="C2927" s="35">
        <v>104</v>
      </c>
      <c r="D2927" s="27" t="str">
        <f>VLOOKUP(C2927,[1]道具配置表!$A:$D,4,FALSE)</f>
        <v>1黄金</v>
      </c>
      <c r="E2927" s="35">
        <v>60000</v>
      </c>
      <c r="J2927" s="34">
        <v>1</v>
      </c>
      <c r="L2927" s="35" t="b">
        <v>1</v>
      </c>
    </row>
    <row r="2928" spans="1:12" s="35" customFormat="1" hidden="1" outlineLevel="1" x14ac:dyDescent="0.25">
      <c r="A2928" s="35">
        <f>A2924+1</f>
        <v>1923407</v>
      </c>
      <c r="B2928" s="35" t="s">
        <v>1616</v>
      </c>
      <c r="C2928" s="35">
        <v>101</v>
      </c>
      <c r="D2928" s="27" t="str">
        <f>VLOOKUP(C2928,[1]道具配置表!$A:$D,4,FALSE)</f>
        <v>1木材</v>
      </c>
      <c r="E2928" s="35">
        <v>40000</v>
      </c>
      <c r="J2928" s="34">
        <v>1</v>
      </c>
      <c r="L2928" s="35" t="b">
        <v>1</v>
      </c>
    </row>
    <row r="2929" spans="1:12" s="35" customFormat="1" hidden="1" outlineLevel="1" x14ac:dyDescent="0.25">
      <c r="C2929" s="35">
        <v>103</v>
      </c>
      <c r="D2929" s="27" t="str">
        <f>VLOOKUP(C2929,[1]道具配置表!$A:$D,4,FALSE)</f>
        <v>1石头</v>
      </c>
      <c r="E2929" s="35">
        <v>40000</v>
      </c>
      <c r="J2929" s="34">
        <v>1</v>
      </c>
      <c r="L2929" s="35" t="b">
        <v>1</v>
      </c>
    </row>
    <row r="2930" spans="1:12" s="35" customFormat="1" hidden="1" outlineLevel="1" x14ac:dyDescent="0.25">
      <c r="C2930" s="35">
        <v>104</v>
      </c>
      <c r="D2930" s="27" t="str">
        <f>VLOOKUP(C2930,[1]道具配置表!$A:$D,4,FALSE)</f>
        <v>1黄金</v>
      </c>
      <c r="E2930" s="35">
        <v>40000</v>
      </c>
      <c r="J2930" s="34">
        <v>1</v>
      </c>
      <c r="L2930" s="35" t="b">
        <v>1</v>
      </c>
    </row>
    <row r="2931" spans="1:12" s="35" customFormat="1" hidden="1" outlineLevel="1" x14ac:dyDescent="0.25">
      <c r="A2931" s="35">
        <f>A2928+1</f>
        <v>1923408</v>
      </c>
      <c r="B2931" s="35" t="s">
        <v>1617</v>
      </c>
      <c r="C2931" s="35">
        <v>101</v>
      </c>
      <c r="D2931" s="27" t="str">
        <f>VLOOKUP(C2931,[1]道具配置表!$A:$D,4,FALSE)</f>
        <v>1木材</v>
      </c>
      <c r="E2931" s="35">
        <v>40000</v>
      </c>
      <c r="J2931" s="34">
        <v>1</v>
      </c>
      <c r="L2931" s="35" t="b">
        <v>1</v>
      </c>
    </row>
    <row r="2932" spans="1:12" s="35" customFormat="1" hidden="1" outlineLevel="1" x14ac:dyDescent="0.25">
      <c r="C2932" s="35">
        <v>103</v>
      </c>
      <c r="D2932" s="27" t="str">
        <f>VLOOKUP(C2932,[1]道具配置表!$A:$D,4,FALSE)</f>
        <v>1石头</v>
      </c>
      <c r="E2932" s="35">
        <v>40000</v>
      </c>
      <c r="J2932" s="34">
        <v>1</v>
      </c>
      <c r="L2932" s="35" t="b">
        <v>1</v>
      </c>
    </row>
    <row r="2933" spans="1:12" s="35" customFormat="1" hidden="1" outlineLevel="1" x14ac:dyDescent="0.25">
      <c r="C2933" s="35">
        <v>104</v>
      </c>
      <c r="D2933" s="27" t="str">
        <f>VLOOKUP(C2933,[1]道具配置表!$A:$D,4,FALSE)</f>
        <v>1黄金</v>
      </c>
      <c r="E2933" s="35">
        <v>40000</v>
      </c>
      <c r="J2933" s="34">
        <v>1</v>
      </c>
      <c r="L2933" s="35" t="b">
        <v>1</v>
      </c>
    </row>
    <row r="2934" spans="1:12" s="35" customFormat="1" hidden="1" outlineLevel="1" x14ac:dyDescent="0.25">
      <c r="A2934" s="35">
        <f>A2931+1</f>
        <v>1923409</v>
      </c>
      <c r="B2934" s="35" t="s">
        <v>1618</v>
      </c>
      <c r="C2934" s="35">
        <v>1019</v>
      </c>
      <c r="D2934" s="27" t="str">
        <f>VLOOKUP(C2934,[1]道具配置表!$A:$D,4,FALSE)</f>
        <v>大流士一世</v>
      </c>
      <c r="E2934" s="35">
        <v>1</v>
      </c>
      <c r="J2934" s="34">
        <v>1</v>
      </c>
      <c r="L2934" s="35" t="b">
        <v>1</v>
      </c>
    </row>
    <row r="2935" spans="1:12" s="35" customFormat="1" hidden="1" outlineLevel="1" x14ac:dyDescent="0.25">
      <c r="C2935" s="35">
        <v>101</v>
      </c>
      <c r="D2935" s="27" t="str">
        <f>VLOOKUP(C2935,[1]道具配置表!$A:$D,4,FALSE)</f>
        <v>1木材</v>
      </c>
      <c r="E2935" s="35">
        <v>80000</v>
      </c>
      <c r="J2935" s="34">
        <v>1</v>
      </c>
      <c r="L2935" s="35" t="b">
        <v>1</v>
      </c>
    </row>
    <row r="2936" spans="1:12" s="35" customFormat="1" hidden="1" outlineLevel="1" x14ac:dyDescent="0.25">
      <c r="C2936" s="35">
        <v>103</v>
      </c>
      <c r="D2936" s="27" t="str">
        <f>VLOOKUP(C2936,[1]道具配置表!$A:$D,4,FALSE)</f>
        <v>1石头</v>
      </c>
      <c r="E2936" s="35">
        <v>80000</v>
      </c>
      <c r="J2936" s="34">
        <v>1</v>
      </c>
      <c r="L2936" s="35" t="b">
        <v>1</v>
      </c>
    </row>
    <row r="2937" spans="1:12" s="35" customFormat="1" hidden="1" outlineLevel="1" x14ac:dyDescent="0.25">
      <c r="C2937" s="35">
        <v>104</v>
      </c>
      <c r="D2937" s="27" t="str">
        <f>VLOOKUP(C2937,[1]道具配置表!$A:$D,4,FALSE)</f>
        <v>1黄金</v>
      </c>
      <c r="E2937" s="35">
        <v>80000</v>
      </c>
      <c r="J2937" s="34">
        <v>1</v>
      </c>
      <c r="L2937" s="35" t="b">
        <v>1</v>
      </c>
    </row>
    <row r="2938" spans="1:12" s="35" customFormat="1" hidden="1" outlineLevel="1" x14ac:dyDescent="0.25">
      <c r="A2938" s="35">
        <f>A2934+1</f>
        <v>1923410</v>
      </c>
      <c r="B2938" s="35" t="s">
        <v>1619</v>
      </c>
      <c r="C2938" s="35">
        <v>101</v>
      </c>
      <c r="D2938" s="27" t="str">
        <f>VLOOKUP(C2938,[1]道具配置表!$A:$D,4,FALSE)</f>
        <v>1木材</v>
      </c>
      <c r="E2938" s="35">
        <v>40000</v>
      </c>
      <c r="J2938" s="34">
        <v>1</v>
      </c>
      <c r="L2938" s="35" t="b">
        <v>1</v>
      </c>
    </row>
    <row r="2939" spans="1:12" s="35" customFormat="1" hidden="1" outlineLevel="1" x14ac:dyDescent="0.25">
      <c r="C2939" s="35">
        <v>103</v>
      </c>
      <c r="D2939" s="27" t="str">
        <f>VLOOKUP(C2939,[1]道具配置表!$A:$D,4,FALSE)</f>
        <v>1石头</v>
      </c>
      <c r="E2939" s="35">
        <v>40000</v>
      </c>
      <c r="J2939" s="34">
        <v>1</v>
      </c>
      <c r="L2939" s="35" t="b">
        <v>1</v>
      </c>
    </row>
    <row r="2940" spans="1:12" s="35" customFormat="1" hidden="1" outlineLevel="1" x14ac:dyDescent="0.25">
      <c r="C2940" s="35">
        <v>104</v>
      </c>
      <c r="D2940" s="27" t="str">
        <f>VLOOKUP(C2940,[1]道具配置表!$A:$D,4,FALSE)</f>
        <v>1黄金</v>
      </c>
      <c r="E2940" s="35">
        <v>40000</v>
      </c>
      <c r="J2940" s="34">
        <v>1</v>
      </c>
      <c r="L2940" s="35" t="b">
        <v>1</v>
      </c>
    </row>
    <row r="2941" spans="1:12" s="35" customFormat="1" hidden="1" outlineLevel="1" x14ac:dyDescent="0.25">
      <c r="A2941" s="35">
        <f>A2938+1</f>
        <v>1923411</v>
      </c>
      <c r="B2941" s="35" t="s">
        <v>1620</v>
      </c>
      <c r="C2941" s="35">
        <v>101</v>
      </c>
      <c r="D2941" s="27" t="str">
        <f>VLOOKUP(C2941,[1]道具配置表!$A:$D,4,FALSE)</f>
        <v>1木材</v>
      </c>
      <c r="E2941" s="35">
        <v>40000</v>
      </c>
      <c r="J2941" s="34">
        <v>1</v>
      </c>
      <c r="L2941" s="35" t="b">
        <v>1</v>
      </c>
    </row>
    <row r="2942" spans="1:12" s="35" customFormat="1" hidden="1" outlineLevel="1" x14ac:dyDescent="0.25">
      <c r="C2942" s="35">
        <v>103</v>
      </c>
      <c r="D2942" s="27" t="str">
        <f>VLOOKUP(C2942,[1]道具配置表!$A:$D,4,FALSE)</f>
        <v>1石头</v>
      </c>
      <c r="E2942" s="35">
        <v>40000</v>
      </c>
      <c r="J2942" s="34">
        <v>1</v>
      </c>
      <c r="L2942" s="35" t="b">
        <v>1</v>
      </c>
    </row>
    <row r="2943" spans="1:12" s="35" customFormat="1" hidden="1" outlineLevel="1" x14ac:dyDescent="0.25">
      <c r="C2943" s="35">
        <v>104</v>
      </c>
      <c r="D2943" s="27" t="str">
        <f>VLOOKUP(C2943,[1]道具配置表!$A:$D,4,FALSE)</f>
        <v>1黄金</v>
      </c>
      <c r="E2943" s="35">
        <v>40000</v>
      </c>
      <c r="J2943" s="34">
        <v>1</v>
      </c>
      <c r="L2943" s="35" t="b">
        <v>1</v>
      </c>
    </row>
    <row r="2944" spans="1:12" s="35" customFormat="1" hidden="1" outlineLevel="1" x14ac:dyDescent="0.25">
      <c r="A2944" s="35">
        <f>A2941+1</f>
        <v>1923412</v>
      </c>
      <c r="B2944" s="35" t="s">
        <v>1621</v>
      </c>
      <c r="C2944" s="35">
        <v>7003</v>
      </c>
      <c r="D2944" s="27" t="str">
        <f>VLOOKUP(C2944,[1]道具配置表!$A:$D,4,FALSE)</f>
        <v>1银币（立即使用，不进背包）</v>
      </c>
      <c r="E2944" s="35">
        <v>200</v>
      </c>
      <c r="J2944" s="34">
        <v>1</v>
      </c>
      <c r="L2944" s="35" t="b">
        <v>1</v>
      </c>
    </row>
    <row r="2945" spans="1:12" s="35" customFormat="1" hidden="1" outlineLevel="1" x14ac:dyDescent="0.25">
      <c r="C2945" s="35">
        <v>101</v>
      </c>
      <c r="D2945" s="27" t="str">
        <f>VLOOKUP(C2945,[1]道具配置表!$A:$D,4,FALSE)</f>
        <v>1木材</v>
      </c>
      <c r="E2945" s="35">
        <v>100000</v>
      </c>
      <c r="J2945" s="34">
        <v>1</v>
      </c>
      <c r="L2945" s="35" t="b">
        <v>1</v>
      </c>
    </row>
    <row r="2946" spans="1:12" s="35" customFormat="1" hidden="1" outlineLevel="1" x14ac:dyDescent="0.25">
      <c r="C2946" s="35">
        <v>103</v>
      </c>
      <c r="D2946" s="27" t="str">
        <f>VLOOKUP(C2946,[1]道具配置表!$A:$D,4,FALSE)</f>
        <v>1石头</v>
      </c>
      <c r="E2946" s="35">
        <v>100000</v>
      </c>
      <c r="J2946" s="34">
        <v>1</v>
      </c>
      <c r="L2946" s="35" t="b">
        <v>1</v>
      </c>
    </row>
    <row r="2947" spans="1:12" s="35" customFormat="1" hidden="1" outlineLevel="1" x14ac:dyDescent="0.25">
      <c r="C2947" s="35">
        <v>104</v>
      </c>
      <c r="D2947" s="27" t="str">
        <f>VLOOKUP(C2947,[1]道具配置表!$A:$D,4,FALSE)</f>
        <v>1黄金</v>
      </c>
      <c r="E2947" s="35">
        <v>100000</v>
      </c>
      <c r="J2947" s="34">
        <v>1</v>
      </c>
      <c r="L2947" s="35" t="b">
        <v>1</v>
      </c>
    </row>
    <row r="2948" spans="1:12" s="35" customFormat="1" hidden="1" outlineLevel="1" x14ac:dyDescent="0.25">
      <c r="A2948" s="35">
        <f>A2944+1</f>
        <v>1923413</v>
      </c>
      <c r="B2948" s="35" t="s">
        <v>1622</v>
      </c>
      <c r="C2948" s="35">
        <v>101</v>
      </c>
      <c r="D2948" s="27" t="str">
        <f>VLOOKUP(C2948,[1]道具配置表!$A:$D,4,FALSE)</f>
        <v>1木材</v>
      </c>
      <c r="E2948" s="35">
        <v>40000</v>
      </c>
      <c r="J2948" s="34">
        <v>1</v>
      </c>
      <c r="L2948" s="35" t="b">
        <v>1</v>
      </c>
    </row>
    <row r="2949" spans="1:12" s="35" customFormat="1" hidden="1" outlineLevel="1" x14ac:dyDescent="0.25">
      <c r="C2949" s="35">
        <v>103</v>
      </c>
      <c r="D2949" s="27" t="str">
        <f>VLOOKUP(C2949,[1]道具配置表!$A:$D,4,FALSE)</f>
        <v>1石头</v>
      </c>
      <c r="E2949" s="35">
        <v>40000</v>
      </c>
      <c r="J2949" s="34">
        <v>1</v>
      </c>
      <c r="L2949" s="35" t="b">
        <v>1</v>
      </c>
    </row>
    <row r="2950" spans="1:12" s="35" customFormat="1" hidden="1" outlineLevel="1" x14ac:dyDescent="0.25">
      <c r="C2950" s="35">
        <v>104</v>
      </c>
      <c r="D2950" s="27" t="str">
        <f>VLOOKUP(C2950,[1]道具配置表!$A:$D,4,FALSE)</f>
        <v>1黄金</v>
      </c>
      <c r="E2950" s="35">
        <v>40000</v>
      </c>
      <c r="J2950" s="34">
        <v>1</v>
      </c>
      <c r="L2950" s="35" t="b">
        <v>1</v>
      </c>
    </row>
    <row r="2951" spans="1:12" s="35" customFormat="1" hidden="1" outlineLevel="1" x14ac:dyDescent="0.25">
      <c r="A2951" s="35">
        <f>A2948+1</f>
        <v>1923414</v>
      </c>
      <c r="B2951" s="35" t="s">
        <v>1623</v>
      </c>
      <c r="C2951" s="35">
        <v>101</v>
      </c>
      <c r="D2951" s="27" t="str">
        <f>VLOOKUP(C2951,[1]道具配置表!$A:$D,4,FALSE)</f>
        <v>1木材</v>
      </c>
      <c r="E2951" s="35">
        <v>40000</v>
      </c>
      <c r="J2951" s="34">
        <v>1</v>
      </c>
      <c r="L2951" s="35" t="b">
        <v>1</v>
      </c>
    </row>
    <row r="2952" spans="1:12" s="35" customFormat="1" hidden="1" outlineLevel="1" x14ac:dyDescent="0.25">
      <c r="C2952" s="35">
        <v>103</v>
      </c>
      <c r="D2952" s="27" t="str">
        <f>VLOOKUP(C2952,[1]道具配置表!$A:$D,4,FALSE)</f>
        <v>1石头</v>
      </c>
      <c r="E2952" s="35">
        <v>40000</v>
      </c>
      <c r="J2952" s="34">
        <v>1</v>
      </c>
      <c r="L2952" s="35" t="b">
        <v>1</v>
      </c>
    </row>
    <row r="2953" spans="1:12" s="35" customFormat="1" hidden="1" outlineLevel="1" x14ac:dyDescent="0.25">
      <c r="C2953" s="35">
        <v>104</v>
      </c>
      <c r="D2953" s="27" t="str">
        <f>VLOOKUP(C2953,[1]道具配置表!$A:$D,4,FALSE)</f>
        <v>1黄金</v>
      </c>
      <c r="E2953" s="35">
        <v>40000</v>
      </c>
      <c r="J2953" s="34">
        <v>1</v>
      </c>
      <c r="L2953" s="35" t="b">
        <v>1</v>
      </c>
    </row>
    <row r="2954" spans="1:12" s="35" customFormat="1" hidden="1" outlineLevel="1" x14ac:dyDescent="0.25">
      <c r="A2954" s="35">
        <f>A2951+1</f>
        <v>1923415</v>
      </c>
      <c r="B2954" s="35" t="s">
        <v>1624</v>
      </c>
      <c r="C2954" s="35">
        <v>1036</v>
      </c>
      <c r="D2954" s="27" t="str">
        <f>VLOOKUP(C2954,[1]道具配置表!$A:$D,4,FALSE)</f>
        <v>安德莉娅</v>
      </c>
      <c r="E2954" s="35">
        <v>1</v>
      </c>
      <c r="J2954" s="34">
        <v>1</v>
      </c>
      <c r="L2954" s="35" t="b">
        <v>1</v>
      </c>
    </row>
    <row r="2955" spans="1:12" s="35" customFormat="1" hidden="1" outlineLevel="1" x14ac:dyDescent="0.25">
      <c r="C2955" s="35">
        <v>101</v>
      </c>
      <c r="D2955" s="27" t="str">
        <f>VLOOKUP(C2955,[1]道具配置表!$A:$D,4,FALSE)</f>
        <v>1木材</v>
      </c>
      <c r="E2955" s="35">
        <v>120000</v>
      </c>
      <c r="J2955" s="34">
        <v>1</v>
      </c>
      <c r="L2955" s="35" t="b">
        <v>1</v>
      </c>
    </row>
    <row r="2956" spans="1:12" s="35" customFormat="1" hidden="1" outlineLevel="1" x14ac:dyDescent="0.25">
      <c r="C2956" s="35">
        <v>103</v>
      </c>
      <c r="D2956" s="27" t="str">
        <f>VLOOKUP(C2956,[1]道具配置表!$A:$D,4,FALSE)</f>
        <v>1石头</v>
      </c>
      <c r="E2956" s="35">
        <v>120000</v>
      </c>
      <c r="J2956" s="34">
        <v>1</v>
      </c>
      <c r="L2956" s="35" t="b">
        <v>1</v>
      </c>
    </row>
    <row r="2957" spans="1:12" s="35" customFormat="1" hidden="1" outlineLevel="1" x14ac:dyDescent="0.25">
      <c r="C2957" s="35">
        <v>104</v>
      </c>
      <c r="D2957" s="27" t="str">
        <f>VLOOKUP(C2957,[1]道具配置表!$A:$D,4,FALSE)</f>
        <v>1黄金</v>
      </c>
      <c r="E2957" s="35">
        <v>120000</v>
      </c>
      <c r="J2957" s="34">
        <v>1</v>
      </c>
      <c r="L2957" s="35" t="b">
        <v>1</v>
      </c>
    </row>
    <row r="2958" spans="1:12" s="35" customFormat="1" hidden="1" outlineLevel="1" x14ac:dyDescent="0.25">
      <c r="A2958" s="35">
        <f>A2954+1</f>
        <v>1923416</v>
      </c>
      <c r="B2958" s="35" t="s">
        <v>1625</v>
      </c>
      <c r="C2958" s="35">
        <v>101</v>
      </c>
      <c r="D2958" s="27" t="str">
        <f>VLOOKUP(C2958,[1]道具配置表!$A:$D,4,FALSE)</f>
        <v>1木材</v>
      </c>
      <c r="E2958" s="35">
        <v>80000</v>
      </c>
      <c r="J2958" s="34">
        <v>1</v>
      </c>
      <c r="L2958" s="35" t="b">
        <v>1</v>
      </c>
    </row>
    <row r="2959" spans="1:12" s="35" customFormat="1" hidden="1" outlineLevel="1" x14ac:dyDescent="0.25">
      <c r="C2959" s="35">
        <v>103</v>
      </c>
      <c r="D2959" s="27" t="str">
        <f>VLOOKUP(C2959,[1]道具配置表!$A:$D,4,FALSE)</f>
        <v>1石头</v>
      </c>
      <c r="E2959" s="35">
        <v>80000</v>
      </c>
      <c r="J2959" s="34">
        <v>1</v>
      </c>
      <c r="L2959" s="35" t="b">
        <v>1</v>
      </c>
    </row>
    <row r="2960" spans="1:12" s="35" customFormat="1" hidden="1" outlineLevel="1" x14ac:dyDescent="0.25">
      <c r="C2960" s="35">
        <v>104</v>
      </c>
      <c r="D2960" s="27" t="str">
        <f>VLOOKUP(C2960,[1]道具配置表!$A:$D,4,FALSE)</f>
        <v>1黄金</v>
      </c>
      <c r="E2960" s="35">
        <v>80000</v>
      </c>
      <c r="J2960" s="34">
        <v>1</v>
      </c>
      <c r="L2960" s="35" t="b">
        <v>1</v>
      </c>
    </row>
    <row r="2961" spans="1:12" s="35" customFormat="1" hidden="1" outlineLevel="1" x14ac:dyDescent="0.25">
      <c r="A2961" s="35">
        <f>A2958+1</f>
        <v>1923417</v>
      </c>
      <c r="B2961" s="35" t="s">
        <v>1626</v>
      </c>
      <c r="C2961" s="35">
        <v>101</v>
      </c>
      <c r="D2961" s="27" t="str">
        <f>VLOOKUP(C2961,[1]道具配置表!$A:$D,4,FALSE)</f>
        <v>1木材</v>
      </c>
      <c r="E2961" s="35">
        <v>80000</v>
      </c>
      <c r="J2961" s="34">
        <v>1</v>
      </c>
      <c r="L2961" s="35" t="b">
        <v>1</v>
      </c>
    </row>
    <row r="2962" spans="1:12" s="35" customFormat="1" hidden="1" outlineLevel="1" x14ac:dyDescent="0.25">
      <c r="C2962" s="35">
        <v>103</v>
      </c>
      <c r="D2962" s="27" t="str">
        <f>VLOOKUP(C2962,[1]道具配置表!$A:$D,4,FALSE)</f>
        <v>1石头</v>
      </c>
      <c r="E2962" s="35">
        <v>80000</v>
      </c>
      <c r="J2962" s="34">
        <v>1</v>
      </c>
      <c r="L2962" s="35" t="b">
        <v>1</v>
      </c>
    </row>
    <row r="2963" spans="1:12" s="35" customFormat="1" hidden="1" outlineLevel="1" x14ac:dyDescent="0.25">
      <c r="C2963" s="35">
        <v>104</v>
      </c>
      <c r="D2963" s="27" t="str">
        <f>VLOOKUP(C2963,[1]道具配置表!$A:$D,4,FALSE)</f>
        <v>1黄金</v>
      </c>
      <c r="E2963" s="35">
        <v>80000</v>
      </c>
      <c r="J2963" s="34">
        <v>1</v>
      </c>
      <c r="L2963" s="35" t="b">
        <v>1</v>
      </c>
    </row>
    <row r="2964" spans="1:12" s="35" customFormat="1" hidden="1" outlineLevel="1" x14ac:dyDescent="0.25">
      <c r="A2964" s="35">
        <f>A2961+1</f>
        <v>1923418</v>
      </c>
      <c r="B2964" s="35" t="s">
        <v>1627</v>
      </c>
      <c r="C2964" s="35">
        <v>7003</v>
      </c>
      <c r="D2964" s="27" t="str">
        <f>VLOOKUP(C2964,[1]道具配置表!$A:$D,4,FALSE)</f>
        <v>1银币（立即使用，不进背包）</v>
      </c>
      <c r="E2964" s="35">
        <v>500</v>
      </c>
      <c r="J2964" s="34">
        <v>1</v>
      </c>
      <c r="L2964" s="35" t="b">
        <v>1</v>
      </c>
    </row>
    <row r="2965" spans="1:12" s="35" customFormat="1" hidden="1" outlineLevel="1" x14ac:dyDescent="0.25">
      <c r="C2965" s="35">
        <v>101</v>
      </c>
      <c r="D2965" s="27" t="str">
        <f>VLOOKUP(C2965,[1]道具配置表!$A:$D,4,FALSE)</f>
        <v>1木材</v>
      </c>
      <c r="E2965" s="35">
        <v>140000</v>
      </c>
      <c r="J2965" s="34">
        <v>1</v>
      </c>
      <c r="L2965" s="35" t="b">
        <v>1</v>
      </c>
    </row>
    <row r="2966" spans="1:12" s="35" customFormat="1" hidden="1" outlineLevel="1" x14ac:dyDescent="0.25">
      <c r="C2966" s="35">
        <v>103</v>
      </c>
      <c r="D2966" s="27" t="str">
        <f>VLOOKUP(C2966,[1]道具配置表!$A:$D,4,FALSE)</f>
        <v>1石头</v>
      </c>
      <c r="E2966" s="35">
        <v>140000</v>
      </c>
      <c r="J2966" s="34">
        <v>1</v>
      </c>
      <c r="L2966" s="35" t="b">
        <v>1</v>
      </c>
    </row>
    <row r="2967" spans="1:12" s="35" customFormat="1" hidden="1" outlineLevel="1" x14ac:dyDescent="0.25">
      <c r="C2967" s="35">
        <v>104</v>
      </c>
      <c r="D2967" s="27" t="str">
        <f>VLOOKUP(C2967,[1]道具配置表!$A:$D,4,FALSE)</f>
        <v>1黄金</v>
      </c>
      <c r="E2967" s="35">
        <v>140000</v>
      </c>
      <c r="J2967" s="34">
        <v>1</v>
      </c>
      <c r="L2967" s="35" t="b">
        <v>1</v>
      </c>
    </row>
    <row r="2968" spans="1:12" s="35" customFormat="1" hidden="1" outlineLevel="1" x14ac:dyDescent="0.25">
      <c r="A2968" s="35">
        <f>A2964+1</f>
        <v>1923419</v>
      </c>
      <c r="B2968" s="35" t="s">
        <v>1628</v>
      </c>
      <c r="C2968" s="35">
        <v>101</v>
      </c>
      <c r="D2968" s="27" t="str">
        <f>VLOOKUP(C2968,[1]道具配置表!$A:$D,4,FALSE)</f>
        <v>1木材</v>
      </c>
      <c r="E2968" s="35">
        <v>80000</v>
      </c>
      <c r="J2968" s="34">
        <v>1</v>
      </c>
      <c r="L2968" s="35" t="b">
        <v>1</v>
      </c>
    </row>
    <row r="2969" spans="1:12" s="35" customFormat="1" hidden="1" outlineLevel="1" x14ac:dyDescent="0.25">
      <c r="C2969" s="35">
        <v>103</v>
      </c>
      <c r="D2969" s="27" t="str">
        <f>VLOOKUP(C2969,[1]道具配置表!$A:$D,4,FALSE)</f>
        <v>1石头</v>
      </c>
      <c r="E2969" s="35">
        <v>80000</v>
      </c>
      <c r="J2969" s="34">
        <v>1</v>
      </c>
      <c r="L2969" s="35" t="b">
        <v>1</v>
      </c>
    </row>
    <row r="2970" spans="1:12" s="35" customFormat="1" hidden="1" outlineLevel="1" x14ac:dyDescent="0.25">
      <c r="C2970" s="35">
        <v>104</v>
      </c>
      <c r="D2970" s="27" t="str">
        <f>VLOOKUP(C2970,[1]道具配置表!$A:$D,4,FALSE)</f>
        <v>1黄金</v>
      </c>
      <c r="E2970" s="35">
        <v>80000</v>
      </c>
      <c r="J2970" s="34">
        <v>1</v>
      </c>
      <c r="L2970" s="35" t="b">
        <v>1</v>
      </c>
    </row>
    <row r="2971" spans="1:12" s="35" customFormat="1" hidden="1" outlineLevel="1" x14ac:dyDescent="0.25">
      <c r="A2971" s="35">
        <f>A2968+1</f>
        <v>1923420</v>
      </c>
      <c r="B2971" s="35" t="s">
        <v>1629</v>
      </c>
      <c r="C2971" s="35">
        <v>101</v>
      </c>
      <c r="D2971" s="27" t="str">
        <f>VLOOKUP(C2971,[1]道具配置表!$A:$D,4,FALSE)</f>
        <v>1木材</v>
      </c>
      <c r="E2971" s="35">
        <v>80000</v>
      </c>
      <c r="J2971" s="34">
        <v>1</v>
      </c>
      <c r="L2971" s="35" t="b">
        <v>1</v>
      </c>
    </row>
    <row r="2972" spans="1:12" s="35" customFormat="1" hidden="1" outlineLevel="1" x14ac:dyDescent="0.25">
      <c r="C2972" s="35">
        <v>103</v>
      </c>
      <c r="D2972" s="27" t="str">
        <f>VLOOKUP(C2972,[1]道具配置表!$A:$D,4,FALSE)</f>
        <v>1石头</v>
      </c>
      <c r="E2972" s="35">
        <v>80000</v>
      </c>
      <c r="J2972" s="34">
        <v>1</v>
      </c>
      <c r="L2972" s="35" t="b">
        <v>1</v>
      </c>
    </row>
    <row r="2973" spans="1:12" s="35" customFormat="1" hidden="1" outlineLevel="1" x14ac:dyDescent="0.25">
      <c r="C2973" s="35">
        <v>104</v>
      </c>
      <c r="D2973" s="27" t="str">
        <f>VLOOKUP(C2973,[1]道具配置表!$A:$D,4,FALSE)</f>
        <v>1黄金</v>
      </c>
      <c r="E2973" s="35">
        <v>80000</v>
      </c>
      <c r="J2973" s="34">
        <v>1</v>
      </c>
      <c r="L2973" s="35" t="b">
        <v>1</v>
      </c>
    </row>
    <row r="2974" spans="1:12" s="35" customFormat="1" hidden="1" outlineLevel="1" x14ac:dyDescent="0.25">
      <c r="A2974" s="35">
        <f>A2971+1</f>
        <v>1923421</v>
      </c>
      <c r="B2974" s="35" t="s">
        <v>1630</v>
      </c>
      <c r="C2974" s="35">
        <v>1061</v>
      </c>
      <c r="D2974" s="27" t="str">
        <f>VLOOKUP(C2974,[1]道具配置表!$A:$D,4,FALSE)</f>
        <v>汉谟拉比</v>
      </c>
      <c r="E2974" s="35">
        <v>1</v>
      </c>
      <c r="J2974" s="34">
        <v>1</v>
      </c>
      <c r="L2974" s="35" t="b">
        <v>1</v>
      </c>
    </row>
    <row r="2975" spans="1:12" s="35" customFormat="1" hidden="1" outlineLevel="1" x14ac:dyDescent="0.25">
      <c r="C2975" s="35">
        <v>101</v>
      </c>
      <c r="D2975" s="27" t="str">
        <f>VLOOKUP(C2975,[1]道具配置表!$A:$D,4,FALSE)</f>
        <v>1木材</v>
      </c>
      <c r="E2975" s="35">
        <v>180000</v>
      </c>
      <c r="J2975" s="34">
        <v>1</v>
      </c>
      <c r="L2975" s="35" t="b">
        <v>1</v>
      </c>
    </row>
    <row r="2976" spans="1:12" s="35" customFormat="1" hidden="1" outlineLevel="1" x14ac:dyDescent="0.25">
      <c r="C2976" s="35">
        <v>103</v>
      </c>
      <c r="D2976" s="27" t="str">
        <f>VLOOKUP(C2976,[1]道具配置表!$A:$D,4,FALSE)</f>
        <v>1石头</v>
      </c>
      <c r="E2976" s="35">
        <v>180000</v>
      </c>
      <c r="J2976" s="34">
        <v>1</v>
      </c>
      <c r="L2976" s="35" t="b">
        <v>1</v>
      </c>
    </row>
    <row r="2977" spans="1:31" s="35" customFormat="1" hidden="1" outlineLevel="1" x14ac:dyDescent="0.25">
      <c r="C2977" s="35">
        <v>104</v>
      </c>
      <c r="D2977" s="27" t="str">
        <f>VLOOKUP(C2977,[1]道具配置表!$A:$D,4,FALSE)</f>
        <v>1黄金</v>
      </c>
      <c r="E2977" s="35">
        <v>180000</v>
      </c>
      <c r="J2977" s="34">
        <v>1</v>
      </c>
      <c r="L2977" s="35" t="b">
        <v>1</v>
      </c>
    </row>
    <row r="2978" spans="1:31" collapsed="1" x14ac:dyDescent="0.25">
      <c r="A2978" s="37">
        <v>1933391</v>
      </c>
      <c r="B2978" s="37" t="s">
        <v>1642</v>
      </c>
      <c r="C2978" s="37">
        <v>2007</v>
      </c>
      <c r="D2978" s="27" t="s">
        <v>1643</v>
      </c>
      <c r="E2978" s="37">
        <v>1</v>
      </c>
      <c r="F2978" s="37"/>
      <c r="G2978" s="37"/>
      <c r="H2978" s="37"/>
      <c r="I2978" s="37"/>
      <c r="J2978" s="37">
        <v>1</v>
      </c>
      <c r="K2978" s="37"/>
      <c r="L2978" s="37" t="b">
        <v>1</v>
      </c>
      <c r="M2978" s="37"/>
      <c r="N2978" s="37"/>
      <c r="O2978" s="37"/>
      <c r="P2978" s="37"/>
      <c r="Q2978" s="37"/>
      <c r="R2978" s="37"/>
      <c r="S2978" s="37"/>
      <c r="T2978" s="37"/>
      <c r="U2978" s="37"/>
      <c r="V2978" s="37"/>
      <c r="W2978" s="37"/>
      <c r="X2978" s="37"/>
      <c r="Y2978" s="37"/>
      <c r="Z2978" s="37"/>
      <c r="AA2978" s="37"/>
      <c r="AB2978" s="37"/>
      <c r="AC2978" s="37"/>
      <c r="AD2978" s="37"/>
      <c r="AE2978" s="37"/>
    </row>
    <row r="2979" spans="1:31" x14ac:dyDescent="0.25">
      <c r="A2979" s="37"/>
      <c r="B2979" s="37"/>
      <c r="C2979" s="37">
        <v>7227</v>
      </c>
      <c r="D2979" s="27" t="s">
        <v>1644</v>
      </c>
      <c r="E2979" s="37">
        <v>10</v>
      </c>
      <c r="F2979" s="37"/>
      <c r="G2979" s="37"/>
      <c r="H2979" s="37"/>
      <c r="I2979" s="37"/>
      <c r="J2979" s="37">
        <v>1</v>
      </c>
      <c r="K2979" s="37"/>
      <c r="L2979" s="37" t="b">
        <v>1</v>
      </c>
      <c r="M2979" s="37"/>
      <c r="N2979" s="37"/>
      <c r="O2979" s="37"/>
      <c r="P2979" s="37"/>
      <c r="Q2979" s="37"/>
      <c r="R2979" s="37"/>
      <c r="S2979" s="37"/>
      <c r="T2979" s="37"/>
      <c r="U2979" s="37"/>
      <c r="V2979" s="37"/>
      <c r="W2979" s="37"/>
      <c r="X2979" s="37"/>
      <c r="Y2979" s="37"/>
      <c r="Z2979" s="37"/>
      <c r="AA2979" s="37"/>
      <c r="AB2979" s="37"/>
      <c r="AC2979" s="37"/>
      <c r="AD2979" s="37"/>
      <c r="AE2979" s="37"/>
    </row>
    <row r="2980" spans="1:31" x14ac:dyDescent="0.25">
      <c r="A2980" s="37"/>
      <c r="B2980" s="37"/>
      <c r="C2980" s="37">
        <v>9511</v>
      </c>
      <c r="D2980" s="27" t="s">
        <v>1659</v>
      </c>
      <c r="E2980" s="37">
        <v>200</v>
      </c>
      <c r="F2980" s="37"/>
      <c r="G2980" s="37"/>
      <c r="H2980" s="37"/>
      <c r="I2980" s="37"/>
      <c r="J2980" s="37">
        <v>1</v>
      </c>
      <c r="K2980" s="37"/>
      <c r="L2980" s="37" t="b">
        <v>1</v>
      </c>
      <c r="M2980" s="37"/>
      <c r="N2980" s="37"/>
      <c r="O2980" s="37"/>
      <c r="P2980" s="37"/>
      <c r="Q2980" s="37"/>
      <c r="R2980" s="37"/>
      <c r="S2980" s="37"/>
      <c r="T2980" s="37"/>
      <c r="U2980" s="37"/>
      <c r="V2980" s="37"/>
      <c r="W2980" s="37"/>
      <c r="X2980" s="37"/>
      <c r="Y2980" s="37"/>
      <c r="Z2980" s="37"/>
      <c r="AA2980" s="37"/>
      <c r="AB2980" s="37"/>
      <c r="AC2980" s="37"/>
      <c r="AD2980" s="37"/>
      <c r="AE2980" s="37"/>
    </row>
    <row r="2981" spans="1:31" x14ac:dyDescent="0.25">
      <c r="A2981" s="37"/>
      <c r="B2981" s="37"/>
      <c r="C2981" s="37">
        <v>9512</v>
      </c>
      <c r="D2981" s="27" t="s">
        <v>1660</v>
      </c>
      <c r="E2981" s="37">
        <v>200</v>
      </c>
      <c r="F2981" s="37"/>
      <c r="G2981" s="37"/>
      <c r="H2981" s="37"/>
      <c r="I2981" s="37"/>
      <c r="J2981" s="37">
        <v>1</v>
      </c>
      <c r="K2981" s="37"/>
      <c r="L2981" s="37" t="b">
        <v>1</v>
      </c>
      <c r="M2981" s="37"/>
      <c r="N2981" s="37"/>
      <c r="O2981" s="37"/>
      <c r="P2981" s="37"/>
      <c r="Q2981" s="37"/>
      <c r="R2981" s="37"/>
      <c r="S2981" s="37"/>
      <c r="T2981" s="37"/>
      <c r="U2981" s="37"/>
      <c r="V2981" s="37"/>
      <c r="W2981" s="37"/>
      <c r="X2981" s="37"/>
      <c r="Y2981" s="37"/>
      <c r="Z2981" s="37"/>
      <c r="AA2981" s="37"/>
      <c r="AB2981" s="37"/>
      <c r="AC2981" s="37"/>
      <c r="AD2981" s="37"/>
      <c r="AE2981" s="37"/>
    </row>
    <row r="2982" spans="1:31" x14ac:dyDescent="0.25">
      <c r="A2982" s="37"/>
      <c r="B2982" s="37"/>
      <c r="C2982" s="37">
        <v>9513</v>
      </c>
      <c r="D2982" s="27" t="s">
        <v>1661</v>
      </c>
      <c r="E2982" s="37">
        <v>200</v>
      </c>
      <c r="F2982" s="37"/>
      <c r="G2982" s="37"/>
      <c r="H2982" s="37"/>
      <c r="I2982" s="37"/>
      <c r="J2982" s="37">
        <v>1</v>
      </c>
      <c r="K2982" s="37"/>
      <c r="L2982" s="37" t="b">
        <v>1</v>
      </c>
      <c r="M2982" s="37"/>
      <c r="N2982" s="37"/>
      <c r="O2982" s="37"/>
      <c r="P2982" s="37"/>
      <c r="Q2982" s="37"/>
      <c r="R2982" s="37"/>
      <c r="S2982" s="37"/>
      <c r="T2982" s="37"/>
      <c r="U2982" s="37"/>
      <c r="V2982" s="37"/>
      <c r="W2982" s="37"/>
      <c r="X2982" s="37"/>
      <c r="Y2982" s="37"/>
      <c r="Z2982" s="37"/>
      <c r="AA2982" s="37"/>
      <c r="AB2982" s="37"/>
      <c r="AC2982" s="37"/>
      <c r="AD2982" s="37"/>
      <c r="AE2982" s="37"/>
    </row>
    <row r="2983" spans="1:31" x14ac:dyDescent="0.25">
      <c r="A2983" s="37"/>
      <c r="B2983" s="37"/>
      <c r="C2983" s="37">
        <v>9514</v>
      </c>
      <c r="D2983" s="27" t="s">
        <v>1662</v>
      </c>
      <c r="E2983" s="37">
        <v>200</v>
      </c>
      <c r="F2983" s="37"/>
      <c r="G2983" s="37"/>
      <c r="H2983" s="37"/>
      <c r="I2983" s="37"/>
      <c r="J2983" s="37">
        <v>1</v>
      </c>
      <c r="K2983" s="37"/>
      <c r="L2983" s="37" t="b">
        <v>1</v>
      </c>
      <c r="M2983" s="37"/>
      <c r="N2983" s="37"/>
      <c r="O2983" s="37"/>
      <c r="P2983" s="37"/>
      <c r="Q2983" s="37"/>
      <c r="R2983" s="37"/>
      <c r="S2983" s="37"/>
      <c r="T2983" s="37"/>
      <c r="U2983" s="37"/>
      <c r="V2983" s="37"/>
      <c r="W2983" s="37"/>
      <c r="X2983" s="37"/>
      <c r="Y2983" s="37"/>
      <c r="Z2983" s="37"/>
      <c r="AA2983" s="37"/>
      <c r="AB2983" s="37"/>
      <c r="AC2983" s="37"/>
      <c r="AD2983" s="37"/>
      <c r="AE2983" s="37"/>
    </row>
    <row r="2984" spans="1:31" x14ac:dyDescent="0.25">
      <c r="A2984" s="37">
        <f>A2978+1</f>
        <v>1933392</v>
      </c>
      <c r="B2984" s="37" t="s">
        <v>1645</v>
      </c>
      <c r="C2984" s="37">
        <v>2007</v>
      </c>
      <c r="D2984" s="27" t="s">
        <v>1643</v>
      </c>
      <c r="E2984" s="37">
        <v>1</v>
      </c>
      <c r="F2984" s="37"/>
      <c r="G2984" s="37"/>
      <c r="H2984" s="37"/>
      <c r="I2984" s="37"/>
      <c r="J2984" s="37">
        <v>1</v>
      </c>
      <c r="K2984" s="37"/>
      <c r="L2984" s="37" t="b">
        <v>1</v>
      </c>
      <c r="M2984" s="37"/>
      <c r="N2984" s="37"/>
      <c r="O2984" s="37"/>
      <c r="P2984" s="37"/>
      <c r="Q2984" s="37"/>
      <c r="R2984" s="37"/>
      <c r="S2984" s="37"/>
      <c r="T2984" s="37"/>
      <c r="U2984" s="37"/>
      <c r="V2984" s="37"/>
      <c r="W2984" s="37"/>
      <c r="X2984" s="37"/>
      <c r="Y2984" s="37"/>
      <c r="Z2984" s="37"/>
      <c r="AA2984" s="37"/>
      <c r="AB2984" s="37"/>
      <c r="AC2984" s="37"/>
      <c r="AD2984" s="37"/>
      <c r="AE2984" s="37"/>
    </row>
    <row r="2985" spans="1:31" x14ac:dyDescent="0.25">
      <c r="A2985" s="37"/>
      <c r="B2985" s="37"/>
      <c r="C2985" s="37">
        <v>7228</v>
      </c>
      <c r="D2985" s="27" t="s">
        <v>1646</v>
      </c>
      <c r="E2985" s="37">
        <v>13</v>
      </c>
      <c r="F2985" s="37"/>
      <c r="G2985" s="37"/>
      <c r="H2985" s="37"/>
      <c r="I2985" s="37"/>
      <c r="J2985" s="37">
        <v>1</v>
      </c>
      <c r="K2985" s="37"/>
      <c r="L2985" s="37" t="b">
        <v>1</v>
      </c>
      <c r="M2985" s="37"/>
      <c r="N2985" s="37"/>
      <c r="O2985" s="37"/>
      <c r="P2985" s="37"/>
      <c r="Q2985" s="37"/>
      <c r="R2985" s="37"/>
      <c r="S2985" s="37"/>
      <c r="T2985" s="37"/>
      <c r="U2985" s="37"/>
      <c r="V2985" s="37"/>
      <c r="W2985" s="37"/>
      <c r="X2985" s="37"/>
      <c r="Y2985" s="37"/>
      <c r="Z2985" s="37"/>
      <c r="AA2985" s="37"/>
      <c r="AB2985" s="37"/>
      <c r="AC2985" s="37"/>
      <c r="AD2985" s="37"/>
      <c r="AE2985" s="37"/>
    </row>
    <row r="2986" spans="1:31" x14ac:dyDescent="0.25">
      <c r="A2986" s="37"/>
      <c r="B2986" s="37"/>
      <c r="C2986" s="39">
        <v>9511</v>
      </c>
      <c r="D2986" s="27" t="s">
        <v>1659</v>
      </c>
      <c r="E2986" s="37">
        <v>250</v>
      </c>
      <c r="F2986" s="37"/>
      <c r="G2986" s="37"/>
      <c r="H2986" s="37"/>
      <c r="I2986" s="37"/>
      <c r="J2986" s="37">
        <v>1</v>
      </c>
      <c r="K2986" s="37"/>
      <c r="L2986" s="37" t="b">
        <v>1</v>
      </c>
      <c r="M2986" s="37"/>
      <c r="N2986" s="37"/>
      <c r="O2986" s="37"/>
      <c r="P2986" s="37"/>
      <c r="Q2986" s="37"/>
      <c r="R2986" s="37"/>
      <c r="S2986" s="37"/>
      <c r="T2986" s="37"/>
      <c r="U2986" s="37"/>
      <c r="V2986" s="37"/>
      <c r="W2986" s="37"/>
      <c r="X2986" s="37"/>
      <c r="Y2986" s="37"/>
      <c r="Z2986" s="37"/>
      <c r="AA2986" s="37"/>
      <c r="AB2986" s="37"/>
      <c r="AC2986" s="37"/>
      <c r="AD2986" s="37"/>
      <c r="AE2986" s="37"/>
    </row>
    <row r="2987" spans="1:31" x14ac:dyDescent="0.25">
      <c r="A2987" s="37"/>
      <c r="B2987" s="37"/>
      <c r="C2987" s="39">
        <v>9512</v>
      </c>
      <c r="D2987" s="27" t="s">
        <v>1660</v>
      </c>
      <c r="E2987" s="37">
        <v>250</v>
      </c>
      <c r="F2987" s="37"/>
      <c r="G2987" s="37"/>
      <c r="H2987" s="37"/>
      <c r="I2987" s="37"/>
      <c r="J2987" s="37">
        <v>1</v>
      </c>
      <c r="K2987" s="37"/>
      <c r="L2987" s="37" t="b">
        <v>1</v>
      </c>
      <c r="M2987" s="37"/>
      <c r="N2987" s="37"/>
      <c r="O2987" s="37"/>
      <c r="P2987" s="37"/>
      <c r="Q2987" s="37"/>
      <c r="R2987" s="37"/>
      <c r="S2987" s="37"/>
      <c r="T2987" s="37"/>
      <c r="U2987" s="37"/>
      <c r="V2987" s="37"/>
      <c r="W2987" s="37"/>
      <c r="X2987" s="37"/>
      <c r="Y2987" s="37"/>
      <c r="Z2987" s="37"/>
      <c r="AA2987" s="37"/>
      <c r="AB2987" s="37"/>
      <c r="AC2987" s="37"/>
      <c r="AD2987" s="37"/>
      <c r="AE2987" s="37"/>
    </row>
    <row r="2988" spans="1:31" x14ac:dyDescent="0.25">
      <c r="A2988" s="37"/>
      <c r="B2988" s="37"/>
      <c r="C2988" s="39">
        <v>9513</v>
      </c>
      <c r="D2988" s="27" t="s">
        <v>1661</v>
      </c>
      <c r="E2988" s="37">
        <v>250</v>
      </c>
      <c r="F2988" s="37"/>
      <c r="G2988" s="37"/>
      <c r="H2988" s="37"/>
      <c r="I2988" s="37"/>
      <c r="J2988" s="37">
        <v>1</v>
      </c>
      <c r="K2988" s="37"/>
      <c r="L2988" s="37" t="b">
        <v>1</v>
      </c>
      <c r="M2988" s="37"/>
      <c r="N2988" s="37"/>
      <c r="O2988" s="37"/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37"/>
      <c r="AA2988" s="37"/>
      <c r="AB2988" s="37"/>
      <c r="AC2988" s="37"/>
      <c r="AD2988" s="37"/>
      <c r="AE2988" s="37"/>
    </row>
    <row r="2989" spans="1:31" x14ac:dyDescent="0.25">
      <c r="A2989" s="37"/>
      <c r="B2989" s="37"/>
      <c r="C2989" s="39">
        <v>9514</v>
      </c>
      <c r="D2989" s="27" t="s">
        <v>1662</v>
      </c>
      <c r="E2989" s="37">
        <v>250</v>
      </c>
      <c r="F2989" s="37"/>
      <c r="G2989" s="37"/>
      <c r="H2989" s="37"/>
      <c r="I2989" s="37"/>
      <c r="J2989" s="37">
        <v>1</v>
      </c>
      <c r="K2989" s="37"/>
      <c r="L2989" s="37" t="b">
        <v>1</v>
      </c>
      <c r="M2989" s="37"/>
      <c r="N2989" s="37"/>
      <c r="O2989" s="37"/>
      <c r="P2989" s="37"/>
      <c r="Q2989" s="37"/>
      <c r="R2989" s="37"/>
      <c r="S2989" s="37"/>
      <c r="T2989" s="37"/>
      <c r="U2989" s="37"/>
      <c r="V2989" s="37"/>
      <c r="W2989" s="37"/>
      <c r="X2989" s="37"/>
      <c r="Y2989" s="37"/>
      <c r="Z2989" s="37"/>
      <c r="AA2989" s="37"/>
      <c r="AB2989" s="37"/>
      <c r="AC2989" s="37"/>
      <c r="AD2989" s="37"/>
      <c r="AE2989" s="37"/>
    </row>
    <row r="2990" spans="1:31" x14ac:dyDescent="0.25">
      <c r="A2990" s="38">
        <f>A2984+1</f>
        <v>1933393</v>
      </c>
      <c r="B2990" s="37" t="s">
        <v>1647</v>
      </c>
      <c r="C2990" s="37">
        <v>2007</v>
      </c>
      <c r="D2990" s="27" t="s">
        <v>1643</v>
      </c>
      <c r="E2990" s="37">
        <v>1</v>
      </c>
      <c r="F2990" s="37"/>
      <c r="G2990" s="37"/>
      <c r="H2990" s="37"/>
      <c r="I2990" s="37"/>
      <c r="J2990" s="37">
        <v>1</v>
      </c>
      <c r="K2990" s="37"/>
      <c r="L2990" s="37" t="b">
        <v>1</v>
      </c>
      <c r="M2990" s="37"/>
      <c r="N2990" s="37"/>
      <c r="O2990" s="37"/>
      <c r="P2990" s="37"/>
      <c r="Q2990" s="37"/>
      <c r="R2990" s="37"/>
      <c r="S2990" s="37"/>
      <c r="T2990" s="37"/>
      <c r="U2990" s="37"/>
      <c r="V2990" s="37"/>
      <c r="W2990" s="37"/>
      <c r="X2990" s="37"/>
      <c r="Y2990" s="37"/>
      <c r="Z2990" s="37"/>
      <c r="AA2990" s="37"/>
      <c r="AB2990" s="37"/>
      <c r="AC2990" s="37"/>
      <c r="AD2990" s="37"/>
      <c r="AE2990" s="37"/>
    </row>
    <row r="2991" spans="1:31" x14ac:dyDescent="0.25">
      <c r="A2991" s="37"/>
      <c r="B2991" s="37"/>
      <c r="C2991" s="37">
        <v>7228</v>
      </c>
      <c r="D2991" s="27" t="s">
        <v>1646</v>
      </c>
      <c r="E2991" s="37">
        <v>13</v>
      </c>
      <c r="F2991" s="37"/>
      <c r="G2991" s="37"/>
      <c r="H2991" s="37"/>
      <c r="I2991" s="37"/>
      <c r="J2991" s="37">
        <v>1</v>
      </c>
      <c r="K2991" s="37"/>
      <c r="L2991" s="37" t="b">
        <v>1</v>
      </c>
      <c r="M2991" s="37"/>
      <c r="N2991" s="37"/>
      <c r="O2991" s="37"/>
      <c r="P2991" s="37"/>
      <c r="Q2991" s="37"/>
      <c r="R2991" s="37"/>
      <c r="S2991" s="37"/>
      <c r="T2991" s="37"/>
      <c r="U2991" s="37"/>
      <c r="V2991" s="37"/>
      <c r="W2991" s="37"/>
      <c r="X2991" s="37"/>
      <c r="Y2991" s="37"/>
      <c r="Z2991" s="37"/>
      <c r="AA2991" s="37"/>
      <c r="AB2991" s="37"/>
      <c r="AC2991" s="37"/>
      <c r="AD2991" s="37"/>
      <c r="AE2991" s="37"/>
    </row>
    <row r="2992" spans="1:31" x14ac:dyDescent="0.25">
      <c r="A2992" s="37"/>
      <c r="B2992" s="37"/>
      <c r="C2992" s="39">
        <v>9511</v>
      </c>
      <c r="D2992" s="27" t="s">
        <v>1659</v>
      </c>
      <c r="E2992" s="37">
        <v>300</v>
      </c>
      <c r="F2992" s="37"/>
      <c r="G2992" s="37"/>
      <c r="H2992" s="37"/>
      <c r="I2992" s="37"/>
      <c r="J2992" s="37">
        <v>1</v>
      </c>
      <c r="K2992" s="37"/>
      <c r="L2992" s="37" t="b">
        <v>1</v>
      </c>
      <c r="M2992" s="37"/>
      <c r="N2992" s="37"/>
      <c r="O2992" s="37"/>
      <c r="P2992" s="37"/>
      <c r="Q2992" s="37"/>
      <c r="R2992" s="37"/>
      <c r="S2992" s="37"/>
      <c r="T2992" s="37"/>
      <c r="U2992" s="37"/>
      <c r="V2992" s="37"/>
      <c r="W2992" s="37"/>
      <c r="X2992" s="37"/>
      <c r="Y2992" s="37"/>
      <c r="Z2992" s="37"/>
      <c r="AA2992" s="37"/>
      <c r="AB2992" s="37"/>
      <c r="AC2992" s="37"/>
      <c r="AD2992" s="37"/>
      <c r="AE2992" s="37"/>
    </row>
    <row r="2993" spans="1:31" x14ac:dyDescent="0.25">
      <c r="A2993" s="37"/>
      <c r="B2993" s="37"/>
      <c r="C2993" s="39">
        <v>9512</v>
      </c>
      <c r="D2993" s="27" t="s">
        <v>1660</v>
      </c>
      <c r="E2993" s="37">
        <v>300</v>
      </c>
      <c r="F2993" s="37"/>
      <c r="G2993" s="37"/>
      <c r="H2993" s="37"/>
      <c r="I2993" s="37"/>
      <c r="J2993" s="37">
        <v>1</v>
      </c>
      <c r="K2993" s="37"/>
      <c r="L2993" s="37" t="b">
        <v>1</v>
      </c>
      <c r="M2993" s="37"/>
      <c r="N2993" s="37"/>
      <c r="O2993" s="37"/>
      <c r="P2993" s="37"/>
      <c r="Q2993" s="37"/>
      <c r="R2993" s="37"/>
      <c r="S2993" s="37"/>
      <c r="T2993" s="37"/>
      <c r="U2993" s="37"/>
      <c r="V2993" s="37"/>
      <c r="W2993" s="37"/>
      <c r="X2993" s="37"/>
      <c r="Y2993" s="37"/>
      <c r="Z2993" s="37"/>
      <c r="AA2993" s="37"/>
      <c r="AB2993" s="37"/>
      <c r="AC2993" s="37"/>
      <c r="AD2993" s="37"/>
      <c r="AE2993" s="37"/>
    </row>
    <row r="2994" spans="1:31" x14ac:dyDescent="0.25">
      <c r="A2994" s="37"/>
      <c r="B2994" s="37"/>
      <c r="C2994" s="39">
        <v>9513</v>
      </c>
      <c r="D2994" s="27" t="s">
        <v>1661</v>
      </c>
      <c r="E2994" s="37">
        <v>300</v>
      </c>
      <c r="F2994" s="37"/>
      <c r="G2994" s="37"/>
      <c r="H2994" s="37"/>
      <c r="I2994" s="37"/>
      <c r="J2994" s="37">
        <v>1</v>
      </c>
      <c r="K2994" s="37"/>
      <c r="L2994" s="37" t="b">
        <v>1</v>
      </c>
      <c r="M2994" s="37"/>
      <c r="N2994" s="37"/>
      <c r="O2994" s="37"/>
      <c r="P2994" s="37"/>
      <c r="Q2994" s="37"/>
      <c r="R2994" s="37"/>
      <c r="S2994" s="37"/>
      <c r="T2994" s="37"/>
      <c r="U2994" s="37"/>
      <c r="V2994" s="37"/>
      <c r="W2994" s="37"/>
      <c r="X2994" s="37"/>
      <c r="Y2994" s="37"/>
      <c r="Z2994" s="37"/>
      <c r="AA2994" s="37"/>
      <c r="AB2994" s="37"/>
      <c r="AC2994" s="37"/>
      <c r="AD2994" s="37"/>
      <c r="AE2994" s="37"/>
    </row>
    <row r="2995" spans="1:31" x14ac:dyDescent="0.25">
      <c r="A2995" s="37"/>
      <c r="B2995" s="37"/>
      <c r="C2995" s="39">
        <v>9514</v>
      </c>
      <c r="D2995" s="27" t="s">
        <v>1662</v>
      </c>
      <c r="E2995" s="37">
        <v>300</v>
      </c>
      <c r="F2995" s="37"/>
      <c r="G2995" s="37"/>
      <c r="H2995" s="37"/>
      <c r="I2995" s="37"/>
      <c r="J2995" s="37">
        <v>1</v>
      </c>
      <c r="K2995" s="37"/>
      <c r="L2995" s="37" t="b">
        <v>1</v>
      </c>
      <c r="M2995" s="37"/>
      <c r="N2995" s="37"/>
      <c r="O2995" s="37"/>
      <c r="P2995" s="37"/>
      <c r="Q2995" s="37"/>
      <c r="R2995" s="37"/>
      <c r="S2995" s="37"/>
      <c r="T2995" s="37"/>
      <c r="U2995" s="37"/>
      <c r="V2995" s="37"/>
      <c r="W2995" s="37"/>
      <c r="X2995" s="37"/>
      <c r="Y2995" s="37"/>
      <c r="Z2995" s="37"/>
      <c r="AA2995" s="37"/>
      <c r="AB2995" s="37"/>
      <c r="AC2995" s="37"/>
      <c r="AD2995" s="37"/>
      <c r="AE2995" s="37"/>
    </row>
    <row r="2996" spans="1:31" x14ac:dyDescent="0.25">
      <c r="A2996" s="38">
        <f>A2990+1</f>
        <v>1933394</v>
      </c>
      <c r="B2996" s="37" t="s">
        <v>1648</v>
      </c>
      <c r="C2996" s="37">
        <v>2007</v>
      </c>
      <c r="D2996" s="37" t="s">
        <v>1643</v>
      </c>
      <c r="E2996" s="37">
        <v>1</v>
      </c>
      <c r="F2996" s="37"/>
      <c r="G2996" s="37"/>
      <c r="H2996" s="37"/>
      <c r="I2996" s="37"/>
      <c r="J2996" s="37">
        <v>1</v>
      </c>
      <c r="K2996" s="37"/>
      <c r="L2996" s="37" t="b">
        <v>1</v>
      </c>
      <c r="M2996" s="37"/>
      <c r="N2996" s="37"/>
      <c r="O2996" s="37"/>
      <c r="P2996" s="37"/>
      <c r="Q2996" s="37"/>
      <c r="R2996" s="37"/>
      <c r="S2996" s="37"/>
      <c r="T2996" s="37"/>
      <c r="U2996" s="37"/>
      <c r="V2996" s="37"/>
      <c r="W2996" s="37"/>
      <c r="X2996" s="37"/>
      <c r="Y2996" s="37"/>
      <c r="Z2996" s="37"/>
      <c r="AA2996" s="37"/>
      <c r="AB2996" s="37"/>
      <c r="AC2996" s="37"/>
      <c r="AD2996" s="37"/>
      <c r="AE2996" s="37"/>
    </row>
    <row r="2997" spans="1:31" x14ac:dyDescent="0.25">
      <c r="A2997" s="37"/>
      <c r="B2997" s="37"/>
      <c r="C2997" s="37">
        <v>7228</v>
      </c>
      <c r="D2997" s="37" t="s">
        <v>1646</v>
      </c>
      <c r="E2997" s="37">
        <v>13</v>
      </c>
      <c r="F2997" s="37"/>
      <c r="G2997" s="37"/>
      <c r="H2997" s="37"/>
      <c r="I2997" s="37"/>
      <c r="J2997" s="37">
        <v>1</v>
      </c>
      <c r="K2997" s="37"/>
      <c r="L2997" s="37" t="b">
        <v>1</v>
      </c>
      <c r="M2997" s="37"/>
      <c r="N2997" s="37"/>
      <c r="O2997" s="37"/>
      <c r="P2997" s="37"/>
      <c r="Q2997" s="37"/>
      <c r="R2997" s="37"/>
      <c r="S2997" s="37"/>
      <c r="T2997" s="37"/>
      <c r="U2997" s="37"/>
      <c r="V2997" s="37"/>
      <c r="W2997" s="37"/>
      <c r="X2997" s="37"/>
      <c r="Y2997" s="37"/>
      <c r="Z2997" s="37"/>
      <c r="AA2997" s="37"/>
      <c r="AB2997" s="37"/>
      <c r="AC2997" s="37"/>
      <c r="AD2997" s="37"/>
      <c r="AE2997" s="37"/>
    </row>
    <row r="2998" spans="1:31" x14ac:dyDescent="0.25">
      <c r="A2998" s="37"/>
      <c r="B2998" s="37"/>
      <c r="C2998" s="39">
        <v>9511</v>
      </c>
      <c r="D2998" s="27" t="s">
        <v>1659</v>
      </c>
      <c r="E2998" s="37">
        <v>350</v>
      </c>
      <c r="F2998" s="37"/>
      <c r="G2998" s="37"/>
      <c r="H2998" s="37"/>
      <c r="I2998" s="37"/>
      <c r="J2998" s="37">
        <v>1</v>
      </c>
      <c r="K2998" s="37"/>
      <c r="L2998" s="37" t="b">
        <v>1</v>
      </c>
      <c r="M2998" s="37"/>
      <c r="N2998" s="37"/>
      <c r="O2998" s="37"/>
      <c r="P2998" s="37"/>
      <c r="Q2998" s="37"/>
      <c r="R2998" s="37"/>
      <c r="S2998" s="37"/>
      <c r="T2998" s="37"/>
      <c r="U2998" s="37"/>
      <c r="V2998" s="37"/>
      <c r="W2998" s="37"/>
      <c r="X2998" s="37"/>
      <c r="Y2998" s="37"/>
      <c r="Z2998" s="37"/>
      <c r="AA2998" s="37"/>
      <c r="AB2998" s="37"/>
      <c r="AC2998" s="37"/>
      <c r="AD2998" s="37"/>
      <c r="AE2998" s="37"/>
    </row>
    <row r="2999" spans="1:31" x14ac:dyDescent="0.25">
      <c r="A2999" s="37"/>
      <c r="B2999" s="37"/>
      <c r="C2999" s="39">
        <v>9512</v>
      </c>
      <c r="D2999" s="27" t="s">
        <v>1660</v>
      </c>
      <c r="E2999" s="37">
        <v>350</v>
      </c>
      <c r="F2999" s="37"/>
      <c r="G2999" s="37"/>
      <c r="H2999" s="37"/>
      <c r="I2999" s="37"/>
      <c r="J2999" s="37">
        <v>1</v>
      </c>
      <c r="K2999" s="37"/>
      <c r="L2999" s="37" t="b">
        <v>1</v>
      </c>
      <c r="M2999" s="37"/>
      <c r="N2999" s="37"/>
      <c r="O2999" s="37"/>
      <c r="P2999" s="37"/>
      <c r="Q2999" s="37"/>
      <c r="R2999" s="37"/>
      <c r="S2999" s="37"/>
      <c r="T2999" s="37"/>
      <c r="U2999" s="37"/>
      <c r="V2999" s="37"/>
      <c r="W2999" s="37"/>
      <c r="X2999" s="37"/>
      <c r="Y2999" s="37"/>
      <c r="Z2999" s="37"/>
      <c r="AA2999" s="37"/>
      <c r="AB2999" s="37"/>
      <c r="AC2999" s="37"/>
      <c r="AD2999" s="37"/>
      <c r="AE2999" s="37"/>
    </row>
    <row r="3000" spans="1:31" x14ac:dyDescent="0.25">
      <c r="A3000" s="37"/>
      <c r="B3000" s="37"/>
      <c r="C3000" s="39">
        <v>9513</v>
      </c>
      <c r="D3000" s="27" t="s">
        <v>1661</v>
      </c>
      <c r="E3000" s="37">
        <v>350</v>
      </c>
      <c r="F3000" s="37"/>
      <c r="G3000" s="37"/>
      <c r="H3000" s="37"/>
      <c r="I3000" s="37"/>
      <c r="J3000" s="37">
        <v>1</v>
      </c>
      <c r="K3000" s="37"/>
      <c r="L3000" s="37" t="b">
        <v>1</v>
      </c>
      <c r="M3000" s="37"/>
      <c r="N3000" s="37"/>
      <c r="O3000" s="37"/>
      <c r="P3000" s="37"/>
      <c r="Q3000" s="37"/>
      <c r="R3000" s="37"/>
      <c r="S3000" s="37"/>
      <c r="T3000" s="37"/>
      <c r="U3000" s="37"/>
      <c r="V3000" s="37"/>
      <c r="W3000" s="37"/>
      <c r="X3000" s="37"/>
      <c r="Y3000" s="37"/>
      <c r="Z3000" s="37"/>
      <c r="AA3000" s="37"/>
      <c r="AB3000" s="37"/>
      <c r="AC3000" s="37"/>
      <c r="AD3000" s="37"/>
      <c r="AE3000" s="37"/>
    </row>
    <row r="3001" spans="1:31" x14ac:dyDescent="0.25">
      <c r="A3001" s="37"/>
      <c r="B3001" s="37"/>
      <c r="C3001" s="39">
        <v>9514</v>
      </c>
      <c r="D3001" s="27" t="s">
        <v>1662</v>
      </c>
      <c r="E3001" s="37">
        <v>350</v>
      </c>
      <c r="F3001" s="37"/>
      <c r="G3001" s="37"/>
      <c r="H3001" s="37"/>
      <c r="I3001" s="37"/>
      <c r="J3001" s="37">
        <v>1</v>
      </c>
      <c r="K3001" s="37"/>
      <c r="L3001" s="37" t="b">
        <v>1</v>
      </c>
      <c r="M3001" s="37"/>
      <c r="N3001" s="37"/>
      <c r="O3001" s="37"/>
      <c r="P3001" s="37"/>
      <c r="Q3001" s="37"/>
      <c r="R3001" s="37"/>
      <c r="S3001" s="37"/>
      <c r="T3001" s="37"/>
      <c r="U3001" s="37"/>
      <c r="V3001" s="37"/>
      <c r="W3001" s="37"/>
      <c r="X3001" s="37"/>
      <c r="Y3001" s="37"/>
      <c r="Z3001" s="37"/>
      <c r="AA3001" s="37"/>
      <c r="AB3001" s="37"/>
      <c r="AC3001" s="37"/>
      <c r="AD3001" s="37"/>
      <c r="AE3001" s="37"/>
    </row>
    <row r="3002" spans="1:31" x14ac:dyDescent="0.25">
      <c r="A3002" s="38">
        <f>A2996+1</f>
        <v>1933395</v>
      </c>
      <c r="B3002" s="37" t="s">
        <v>1649</v>
      </c>
      <c r="C3002" s="37">
        <v>2007</v>
      </c>
      <c r="D3002" s="37" t="s">
        <v>1643</v>
      </c>
      <c r="E3002" s="37">
        <v>1</v>
      </c>
      <c r="F3002" s="37"/>
      <c r="G3002" s="37"/>
      <c r="H3002" s="37"/>
      <c r="I3002" s="37"/>
      <c r="J3002" s="37">
        <v>1</v>
      </c>
      <c r="K3002" s="37"/>
      <c r="L3002" s="37" t="b">
        <v>1</v>
      </c>
      <c r="M3002" s="37"/>
      <c r="N3002" s="37"/>
      <c r="O3002" s="37"/>
      <c r="P3002" s="37"/>
      <c r="Q3002" s="37"/>
      <c r="R3002" s="37"/>
      <c r="S3002" s="37"/>
      <c r="T3002" s="37"/>
      <c r="U3002" s="37"/>
      <c r="V3002" s="37"/>
      <c r="W3002" s="37"/>
      <c r="X3002" s="37"/>
      <c r="Y3002" s="37"/>
      <c r="Z3002" s="37"/>
      <c r="AA3002" s="37"/>
      <c r="AB3002" s="37"/>
      <c r="AC3002" s="37"/>
      <c r="AD3002" s="37"/>
      <c r="AE3002" s="37"/>
    </row>
    <row r="3003" spans="1:31" x14ac:dyDescent="0.25">
      <c r="A3003" s="37"/>
      <c r="B3003" s="37"/>
      <c r="C3003" s="37">
        <v>7228</v>
      </c>
      <c r="D3003" s="37" t="s">
        <v>1646</v>
      </c>
      <c r="E3003" s="37">
        <v>13</v>
      </c>
      <c r="F3003" s="37"/>
      <c r="G3003" s="37"/>
      <c r="H3003" s="37"/>
      <c r="I3003" s="37"/>
      <c r="J3003" s="37">
        <v>1</v>
      </c>
      <c r="K3003" s="37"/>
      <c r="L3003" s="37" t="b">
        <v>1</v>
      </c>
      <c r="M3003" s="37"/>
      <c r="N3003" s="37"/>
      <c r="O3003" s="37"/>
      <c r="P3003" s="37"/>
      <c r="Q3003" s="37"/>
      <c r="R3003" s="37"/>
      <c r="S3003" s="37"/>
      <c r="T3003" s="37"/>
      <c r="U3003" s="37"/>
      <c r="V3003" s="37"/>
      <c r="W3003" s="37"/>
      <c r="X3003" s="37"/>
      <c r="Y3003" s="37"/>
      <c r="Z3003" s="37"/>
      <c r="AA3003" s="37"/>
      <c r="AB3003" s="37"/>
      <c r="AC3003" s="37"/>
      <c r="AD3003" s="37"/>
      <c r="AE3003" s="37"/>
    </row>
    <row r="3004" spans="1:31" x14ac:dyDescent="0.25">
      <c r="A3004" s="37"/>
      <c r="B3004" s="37"/>
      <c r="C3004" s="39">
        <v>9511</v>
      </c>
      <c r="D3004" s="27" t="s">
        <v>1659</v>
      </c>
      <c r="E3004" s="37">
        <v>400</v>
      </c>
      <c r="F3004" s="37"/>
      <c r="G3004" s="37"/>
      <c r="H3004" s="37"/>
      <c r="I3004" s="37"/>
      <c r="J3004" s="37">
        <v>1</v>
      </c>
      <c r="K3004" s="37"/>
      <c r="L3004" s="37" t="b">
        <v>1</v>
      </c>
      <c r="M3004" s="37"/>
      <c r="N3004" s="37"/>
      <c r="O3004" s="37"/>
      <c r="P3004" s="37"/>
      <c r="Q3004" s="37"/>
      <c r="R3004" s="37"/>
      <c r="S3004" s="37"/>
      <c r="T3004" s="37"/>
      <c r="U3004" s="37"/>
      <c r="V3004" s="37"/>
      <c r="W3004" s="37"/>
      <c r="X3004" s="37"/>
      <c r="Y3004" s="37"/>
      <c r="Z3004" s="37"/>
      <c r="AA3004" s="37"/>
      <c r="AB3004" s="37"/>
      <c r="AC3004" s="37"/>
      <c r="AD3004" s="37"/>
      <c r="AE3004" s="37"/>
    </row>
    <row r="3005" spans="1:31" x14ac:dyDescent="0.25">
      <c r="A3005" s="37"/>
      <c r="B3005" s="37"/>
      <c r="C3005" s="39">
        <v>9512</v>
      </c>
      <c r="D3005" s="27" t="s">
        <v>1660</v>
      </c>
      <c r="E3005" s="37">
        <v>400</v>
      </c>
      <c r="F3005" s="37"/>
      <c r="G3005" s="37"/>
      <c r="H3005" s="37"/>
      <c r="I3005" s="37"/>
      <c r="J3005" s="37">
        <v>1</v>
      </c>
      <c r="K3005" s="37"/>
      <c r="L3005" s="37" t="b">
        <v>1</v>
      </c>
      <c r="M3005" s="37"/>
      <c r="N3005" s="37"/>
      <c r="O3005" s="37"/>
      <c r="P3005" s="37"/>
      <c r="Q3005" s="37"/>
      <c r="R3005" s="37"/>
      <c r="S3005" s="37"/>
      <c r="T3005" s="37"/>
      <c r="U3005" s="37"/>
      <c r="V3005" s="37"/>
      <c r="W3005" s="37"/>
      <c r="X3005" s="37"/>
      <c r="Y3005" s="37"/>
      <c r="Z3005" s="37"/>
      <c r="AA3005" s="37"/>
      <c r="AB3005" s="37"/>
      <c r="AC3005" s="37"/>
      <c r="AD3005" s="37"/>
      <c r="AE3005" s="37"/>
    </row>
    <row r="3006" spans="1:31" x14ac:dyDescent="0.25">
      <c r="A3006" s="37"/>
      <c r="B3006" s="37"/>
      <c r="C3006" s="39">
        <v>9513</v>
      </c>
      <c r="D3006" s="27" t="s">
        <v>1661</v>
      </c>
      <c r="E3006" s="37">
        <v>400</v>
      </c>
      <c r="F3006" s="37"/>
      <c r="G3006" s="37"/>
      <c r="H3006" s="37"/>
      <c r="I3006" s="37"/>
      <c r="J3006" s="37">
        <v>1</v>
      </c>
      <c r="K3006" s="37"/>
      <c r="L3006" s="37" t="b">
        <v>1</v>
      </c>
      <c r="M3006" s="37"/>
      <c r="N3006" s="37"/>
      <c r="O3006" s="37"/>
      <c r="P3006" s="37"/>
      <c r="Q3006" s="37"/>
      <c r="R3006" s="37"/>
      <c r="S3006" s="37"/>
      <c r="T3006" s="37"/>
      <c r="U3006" s="37"/>
      <c r="V3006" s="37"/>
      <c r="W3006" s="37"/>
      <c r="X3006" s="37"/>
      <c r="Y3006" s="37"/>
      <c r="Z3006" s="37"/>
      <c r="AA3006" s="37"/>
      <c r="AB3006" s="37"/>
      <c r="AC3006" s="37"/>
      <c r="AD3006" s="37"/>
      <c r="AE3006" s="37"/>
    </row>
    <row r="3007" spans="1:31" x14ac:dyDescent="0.25">
      <c r="A3007" s="37"/>
      <c r="B3007" s="37"/>
      <c r="C3007" s="39">
        <v>9514</v>
      </c>
      <c r="D3007" s="27" t="s">
        <v>1662</v>
      </c>
      <c r="E3007" s="37">
        <v>400</v>
      </c>
      <c r="F3007" s="37"/>
      <c r="G3007" s="37"/>
      <c r="H3007" s="37"/>
      <c r="I3007" s="37"/>
      <c r="J3007" s="37">
        <v>1</v>
      </c>
      <c r="K3007" s="37"/>
      <c r="L3007" s="37" t="b">
        <v>1</v>
      </c>
      <c r="M3007" s="37"/>
      <c r="N3007" s="37"/>
      <c r="O3007" s="37"/>
      <c r="P3007" s="37"/>
      <c r="Q3007" s="37"/>
      <c r="R3007" s="37"/>
      <c r="S3007" s="37"/>
      <c r="T3007" s="37"/>
      <c r="U3007" s="37"/>
      <c r="V3007" s="37"/>
      <c r="W3007" s="37"/>
      <c r="X3007" s="37"/>
      <c r="Y3007" s="37"/>
      <c r="Z3007" s="37"/>
      <c r="AA3007" s="37"/>
      <c r="AB3007" s="37"/>
      <c r="AC3007" s="37"/>
      <c r="AD3007" s="37"/>
      <c r="AE3007" s="37"/>
    </row>
    <row r="3008" spans="1:31" x14ac:dyDescent="0.25">
      <c r="A3008" s="38">
        <f>A3002+1</f>
        <v>1933396</v>
      </c>
      <c r="B3008" s="37" t="s">
        <v>1650</v>
      </c>
      <c r="C3008" s="37">
        <v>2007</v>
      </c>
      <c r="D3008" s="37" t="s">
        <v>1643</v>
      </c>
      <c r="E3008" s="37">
        <v>1</v>
      </c>
      <c r="F3008" s="37"/>
      <c r="G3008" s="37"/>
      <c r="H3008" s="37"/>
      <c r="I3008" s="37"/>
      <c r="J3008" s="37">
        <v>1</v>
      </c>
      <c r="K3008" s="37"/>
      <c r="L3008" s="37" t="b">
        <v>1</v>
      </c>
      <c r="M3008" s="37"/>
      <c r="N3008" s="37"/>
      <c r="O3008" s="37"/>
      <c r="P3008" s="37"/>
      <c r="Q3008" s="37"/>
      <c r="R3008" s="37"/>
      <c r="S3008" s="37"/>
      <c r="T3008" s="37"/>
      <c r="U3008" s="37"/>
      <c r="V3008" s="37"/>
      <c r="W3008" s="37"/>
      <c r="X3008" s="37"/>
      <c r="Y3008" s="37"/>
      <c r="Z3008" s="37"/>
      <c r="AA3008" s="37"/>
      <c r="AB3008" s="37"/>
      <c r="AC3008" s="37"/>
      <c r="AD3008" s="37"/>
      <c r="AE3008" s="37"/>
    </row>
    <row r="3009" spans="1:31" x14ac:dyDescent="0.25">
      <c r="A3009" s="37"/>
      <c r="B3009" s="37"/>
      <c r="C3009" s="37">
        <v>7228</v>
      </c>
      <c r="D3009" s="37" t="s">
        <v>1646</v>
      </c>
      <c r="E3009" s="37">
        <v>13</v>
      </c>
      <c r="F3009" s="37"/>
      <c r="G3009" s="37"/>
      <c r="H3009" s="37"/>
      <c r="I3009" s="37"/>
      <c r="J3009" s="37">
        <v>1</v>
      </c>
      <c r="K3009" s="37"/>
      <c r="L3009" s="37" t="b">
        <v>1</v>
      </c>
      <c r="M3009" s="37"/>
      <c r="N3009" s="37"/>
      <c r="O3009" s="37"/>
      <c r="P3009" s="37"/>
      <c r="Q3009" s="37"/>
      <c r="R3009" s="37"/>
      <c r="S3009" s="37"/>
      <c r="T3009" s="37"/>
      <c r="U3009" s="37"/>
      <c r="V3009" s="37"/>
      <c r="W3009" s="37"/>
      <c r="X3009" s="37"/>
      <c r="Y3009" s="37"/>
      <c r="Z3009" s="37"/>
      <c r="AA3009" s="37"/>
      <c r="AB3009" s="37"/>
      <c r="AC3009" s="37"/>
      <c r="AD3009" s="37"/>
      <c r="AE3009" s="37"/>
    </row>
    <row r="3010" spans="1:31" x14ac:dyDescent="0.25">
      <c r="A3010" s="37"/>
      <c r="B3010" s="37"/>
      <c r="C3010" s="39">
        <v>9511</v>
      </c>
      <c r="D3010" s="27" t="s">
        <v>1659</v>
      </c>
      <c r="E3010" s="37">
        <v>450</v>
      </c>
      <c r="F3010" s="37"/>
      <c r="G3010" s="37"/>
      <c r="H3010" s="37"/>
      <c r="I3010" s="37"/>
      <c r="J3010" s="37">
        <v>1</v>
      </c>
      <c r="K3010" s="37"/>
      <c r="L3010" s="37" t="b">
        <v>1</v>
      </c>
      <c r="M3010" s="37"/>
      <c r="N3010" s="37"/>
      <c r="O3010" s="37"/>
      <c r="P3010" s="37"/>
      <c r="Q3010" s="37"/>
      <c r="R3010" s="37"/>
      <c r="S3010" s="37"/>
      <c r="T3010" s="37"/>
      <c r="U3010" s="37"/>
      <c r="V3010" s="37"/>
      <c r="W3010" s="37"/>
      <c r="X3010" s="37"/>
      <c r="Y3010" s="37"/>
      <c r="Z3010" s="37"/>
      <c r="AA3010" s="37"/>
      <c r="AB3010" s="37"/>
      <c r="AC3010" s="37"/>
      <c r="AD3010" s="37"/>
      <c r="AE3010" s="37"/>
    </row>
    <row r="3011" spans="1:31" x14ac:dyDescent="0.25">
      <c r="A3011" s="37"/>
      <c r="B3011" s="37"/>
      <c r="C3011" s="39">
        <v>9512</v>
      </c>
      <c r="D3011" s="27" t="s">
        <v>1660</v>
      </c>
      <c r="E3011" s="37">
        <v>450</v>
      </c>
      <c r="F3011" s="37"/>
      <c r="G3011" s="37"/>
      <c r="H3011" s="37"/>
      <c r="I3011" s="37"/>
      <c r="J3011" s="37">
        <v>1</v>
      </c>
      <c r="K3011" s="37"/>
      <c r="L3011" s="37" t="b">
        <v>1</v>
      </c>
      <c r="M3011" s="37"/>
      <c r="N3011" s="37"/>
      <c r="O3011" s="37"/>
      <c r="P3011" s="37"/>
      <c r="Q3011" s="37"/>
      <c r="R3011" s="37"/>
      <c r="S3011" s="37"/>
      <c r="T3011" s="37"/>
      <c r="U3011" s="37"/>
      <c r="V3011" s="37"/>
      <c r="W3011" s="37"/>
      <c r="X3011" s="37"/>
      <c r="Y3011" s="37"/>
      <c r="Z3011" s="37"/>
      <c r="AA3011" s="37"/>
      <c r="AB3011" s="37"/>
      <c r="AC3011" s="37"/>
      <c r="AD3011" s="37"/>
      <c r="AE3011" s="37"/>
    </row>
    <row r="3012" spans="1:31" x14ac:dyDescent="0.25">
      <c r="A3012" s="37"/>
      <c r="B3012" s="37"/>
      <c r="C3012" s="39">
        <v>9513</v>
      </c>
      <c r="D3012" s="27" t="s">
        <v>1661</v>
      </c>
      <c r="E3012" s="37">
        <v>450</v>
      </c>
      <c r="F3012" s="37"/>
      <c r="G3012" s="37"/>
      <c r="H3012" s="37"/>
      <c r="I3012" s="37"/>
      <c r="J3012" s="37">
        <v>1</v>
      </c>
      <c r="K3012" s="37"/>
      <c r="L3012" s="37" t="b">
        <v>1</v>
      </c>
      <c r="M3012" s="37"/>
      <c r="N3012" s="37"/>
      <c r="O3012" s="37"/>
      <c r="P3012" s="37"/>
      <c r="Q3012" s="37"/>
      <c r="R3012" s="37"/>
      <c r="S3012" s="37"/>
      <c r="T3012" s="37"/>
      <c r="U3012" s="37"/>
      <c r="V3012" s="37"/>
      <c r="W3012" s="37"/>
      <c r="X3012" s="37"/>
      <c r="Y3012" s="37"/>
      <c r="Z3012" s="37"/>
      <c r="AA3012" s="37"/>
      <c r="AB3012" s="37"/>
      <c r="AC3012" s="37"/>
      <c r="AD3012" s="37"/>
      <c r="AE3012" s="37"/>
    </row>
    <row r="3013" spans="1:31" x14ac:dyDescent="0.25">
      <c r="A3013" s="37"/>
      <c r="B3013" s="37"/>
      <c r="C3013" s="39">
        <v>9514</v>
      </c>
      <c r="D3013" s="27" t="s">
        <v>1662</v>
      </c>
      <c r="E3013" s="37">
        <v>450</v>
      </c>
      <c r="F3013" s="37"/>
      <c r="G3013" s="37"/>
      <c r="H3013" s="37"/>
      <c r="I3013" s="37"/>
      <c r="J3013" s="37">
        <v>1</v>
      </c>
      <c r="K3013" s="37"/>
      <c r="L3013" s="37" t="b">
        <v>1</v>
      </c>
      <c r="M3013" s="37"/>
      <c r="N3013" s="37"/>
      <c r="O3013" s="37"/>
      <c r="P3013" s="37"/>
      <c r="Q3013" s="37"/>
      <c r="R3013" s="37"/>
      <c r="S3013" s="37"/>
      <c r="T3013" s="37"/>
      <c r="U3013" s="37"/>
      <c r="V3013" s="37"/>
      <c r="W3013" s="37"/>
      <c r="X3013" s="37"/>
      <c r="Y3013" s="37"/>
      <c r="Z3013" s="37"/>
      <c r="AA3013" s="37"/>
      <c r="AB3013" s="37"/>
      <c r="AC3013" s="37"/>
      <c r="AD3013" s="37"/>
      <c r="AE3013" s="37"/>
    </row>
    <row r="3014" spans="1:31" x14ac:dyDescent="0.25">
      <c r="A3014" s="38">
        <f>A3008+1</f>
        <v>1933397</v>
      </c>
      <c r="B3014" s="37" t="s">
        <v>1651</v>
      </c>
      <c r="C3014" s="37">
        <v>2007</v>
      </c>
      <c r="D3014" s="37" t="s">
        <v>1643</v>
      </c>
      <c r="E3014" s="37">
        <v>1</v>
      </c>
      <c r="F3014" s="37"/>
      <c r="G3014" s="37"/>
      <c r="H3014" s="37"/>
      <c r="I3014" s="37"/>
      <c r="J3014" s="37">
        <v>1</v>
      </c>
      <c r="K3014" s="37"/>
      <c r="L3014" s="37" t="b">
        <v>1</v>
      </c>
      <c r="M3014" s="37"/>
      <c r="N3014" s="37"/>
      <c r="O3014" s="37"/>
      <c r="P3014" s="37"/>
      <c r="Q3014" s="37"/>
      <c r="R3014" s="37"/>
      <c r="S3014" s="37"/>
      <c r="T3014" s="37"/>
      <c r="U3014" s="37"/>
      <c r="V3014" s="37"/>
      <c r="W3014" s="37"/>
      <c r="X3014" s="37"/>
      <c r="Y3014" s="37"/>
      <c r="Z3014" s="37"/>
      <c r="AA3014" s="37"/>
      <c r="AB3014" s="37"/>
      <c r="AC3014" s="37"/>
      <c r="AD3014" s="37"/>
      <c r="AE3014" s="37"/>
    </row>
    <row r="3015" spans="1:31" x14ac:dyDescent="0.25">
      <c r="A3015" s="37"/>
      <c r="B3015" s="37"/>
      <c r="C3015" s="39">
        <v>9511</v>
      </c>
      <c r="D3015" s="27" t="s">
        <v>1659</v>
      </c>
      <c r="E3015" s="37">
        <v>500</v>
      </c>
      <c r="F3015" s="37"/>
      <c r="G3015" s="37"/>
      <c r="H3015" s="37"/>
      <c r="I3015" s="37"/>
      <c r="J3015" s="37">
        <v>1</v>
      </c>
      <c r="K3015" s="37"/>
      <c r="L3015" s="37" t="b">
        <v>1</v>
      </c>
      <c r="M3015" s="37"/>
      <c r="N3015" s="37"/>
      <c r="O3015" s="37"/>
      <c r="P3015" s="37"/>
      <c r="Q3015" s="37"/>
      <c r="R3015" s="37"/>
      <c r="S3015" s="37"/>
      <c r="T3015" s="37"/>
      <c r="U3015" s="37"/>
      <c r="V3015" s="37"/>
      <c r="W3015" s="37"/>
      <c r="X3015" s="37"/>
      <c r="Y3015" s="37"/>
      <c r="Z3015" s="37"/>
      <c r="AA3015" s="37"/>
      <c r="AB3015" s="37"/>
      <c r="AC3015" s="37"/>
      <c r="AD3015" s="37"/>
      <c r="AE3015" s="37"/>
    </row>
    <row r="3016" spans="1:31" x14ac:dyDescent="0.25">
      <c r="A3016" s="37"/>
      <c r="B3016" s="37"/>
      <c r="C3016" s="39">
        <v>9512</v>
      </c>
      <c r="D3016" s="27" t="s">
        <v>1660</v>
      </c>
      <c r="E3016" s="37">
        <v>500</v>
      </c>
      <c r="F3016" s="37"/>
      <c r="G3016" s="37"/>
      <c r="H3016" s="37"/>
      <c r="I3016" s="37"/>
      <c r="J3016" s="37">
        <v>1</v>
      </c>
      <c r="K3016" s="37"/>
      <c r="L3016" s="37" t="b">
        <v>1</v>
      </c>
      <c r="M3016" s="37"/>
      <c r="N3016" s="37"/>
      <c r="O3016" s="37"/>
      <c r="P3016" s="37"/>
      <c r="Q3016" s="37"/>
      <c r="R3016" s="37"/>
      <c r="S3016" s="37"/>
      <c r="T3016" s="37"/>
      <c r="U3016" s="37"/>
      <c r="V3016" s="37"/>
      <c r="W3016" s="37"/>
      <c r="X3016" s="37"/>
      <c r="Y3016" s="37"/>
      <c r="Z3016" s="37"/>
      <c r="AA3016" s="37"/>
      <c r="AB3016" s="37"/>
      <c r="AC3016" s="37"/>
      <c r="AD3016" s="37"/>
      <c r="AE3016" s="37"/>
    </row>
    <row r="3017" spans="1:31" x14ac:dyDescent="0.25">
      <c r="A3017" s="37"/>
      <c r="B3017" s="37"/>
      <c r="C3017" s="39">
        <v>9513</v>
      </c>
      <c r="D3017" s="27" t="s">
        <v>1661</v>
      </c>
      <c r="E3017" s="37">
        <v>500</v>
      </c>
      <c r="F3017" s="37"/>
      <c r="G3017" s="37"/>
      <c r="H3017" s="37"/>
      <c r="I3017" s="37"/>
      <c r="J3017" s="37">
        <v>1</v>
      </c>
      <c r="K3017" s="37"/>
      <c r="L3017" s="37" t="b">
        <v>1</v>
      </c>
      <c r="M3017" s="37"/>
      <c r="N3017" s="37"/>
      <c r="O3017" s="37"/>
      <c r="P3017" s="37"/>
      <c r="Q3017" s="37"/>
      <c r="R3017" s="37"/>
      <c r="S3017" s="37"/>
      <c r="T3017" s="37"/>
      <c r="U3017" s="37"/>
      <c r="V3017" s="37"/>
      <c r="W3017" s="37"/>
      <c r="X3017" s="37"/>
      <c r="Y3017" s="37"/>
      <c r="Z3017" s="37"/>
      <c r="AA3017" s="37"/>
      <c r="AB3017" s="37"/>
      <c r="AC3017" s="37"/>
      <c r="AD3017" s="37"/>
      <c r="AE3017" s="37"/>
    </row>
    <row r="3018" spans="1:31" x14ac:dyDescent="0.25">
      <c r="A3018" s="37"/>
      <c r="B3018" s="37"/>
      <c r="C3018" s="39">
        <v>9514</v>
      </c>
      <c r="D3018" s="27" t="s">
        <v>1662</v>
      </c>
      <c r="E3018" s="37">
        <v>500</v>
      </c>
      <c r="F3018" s="37"/>
      <c r="G3018" s="37"/>
      <c r="H3018" s="37"/>
      <c r="I3018" s="37"/>
      <c r="J3018" s="37">
        <v>1</v>
      </c>
      <c r="K3018" s="37"/>
      <c r="L3018" s="37" t="b">
        <v>1</v>
      </c>
      <c r="M3018" s="37"/>
      <c r="N3018" s="37"/>
      <c r="O3018" s="37"/>
      <c r="P3018" s="37"/>
      <c r="Q3018" s="37"/>
      <c r="R3018" s="37"/>
      <c r="S3018" s="37"/>
      <c r="T3018" s="37"/>
      <c r="U3018" s="37"/>
      <c r="V3018" s="37"/>
      <c r="W3018" s="37"/>
      <c r="X3018" s="37"/>
      <c r="Y3018" s="37"/>
      <c r="Z3018" s="37"/>
      <c r="AA3018" s="37"/>
      <c r="AB3018" s="37"/>
      <c r="AC3018" s="37"/>
      <c r="AD3018" s="37"/>
      <c r="AE3018" s="37"/>
    </row>
    <row r="3019" spans="1:31" x14ac:dyDescent="0.25">
      <c r="A3019" s="38">
        <f>A3014+1</f>
        <v>1933398</v>
      </c>
      <c r="B3019" s="37" t="s">
        <v>1652</v>
      </c>
      <c r="C3019" s="37">
        <v>2007</v>
      </c>
      <c r="D3019" s="37" t="s">
        <v>1643</v>
      </c>
      <c r="E3019" s="37">
        <v>1</v>
      </c>
      <c r="F3019" s="37"/>
      <c r="G3019" s="37"/>
      <c r="H3019" s="37"/>
      <c r="I3019" s="37"/>
      <c r="J3019" s="37">
        <v>1</v>
      </c>
      <c r="K3019" s="37"/>
      <c r="L3019" s="37" t="b">
        <v>1</v>
      </c>
      <c r="M3019" s="37"/>
      <c r="N3019" s="37"/>
      <c r="O3019" s="37"/>
      <c r="P3019" s="37"/>
      <c r="Q3019" s="37"/>
      <c r="R3019" s="37"/>
      <c r="S3019" s="37"/>
      <c r="T3019" s="37"/>
      <c r="U3019" s="37"/>
      <c r="V3019" s="37"/>
      <c r="W3019" s="37"/>
      <c r="X3019" s="37"/>
      <c r="Y3019" s="37"/>
      <c r="Z3019" s="37"/>
      <c r="AA3019" s="37"/>
      <c r="AB3019" s="37"/>
      <c r="AC3019" s="37"/>
      <c r="AD3019" s="37"/>
      <c r="AE3019" s="37"/>
    </row>
    <row r="3020" spans="1:31" x14ac:dyDescent="0.25">
      <c r="A3020" s="37"/>
      <c r="B3020" s="37"/>
      <c r="C3020" s="39">
        <v>9511</v>
      </c>
      <c r="D3020" s="27" t="s">
        <v>1659</v>
      </c>
      <c r="E3020" s="37">
        <v>550</v>
      </c>
      <c r="F3020" s="37"/>
      <c r="G3020" s="37"/>
      <c r="H3020" s="37"/>
      <c r="I3020" s="37"/>
      <c r="J3020" s="37">
        <v>1</v>
      </c>
      <c r="K3020" s="37"/>
      <c r="L3020" s="37" t="b">
        <v>1</v>
      </c>
      <c r="M3020" s="37"/>
      <c r="N3020" s="37"/>
      <c r="O3020" s="37"/>
      <c r="P3020" s="37"/>
      <c r="Q3020" s="37"/>
      <c r="R3020" s="37"/>
      <c r="S3020" s="37"/>
      <c r="T3020" s="37"/>
      <c r="U3020" s="37"/>
      <c r="V3020" s="37"/>
      <c r="W3020" s="37"/>
      <c r="X3020" s="37"/>
      <c r="Y3020" s="37"/>
      <c r="Z3020" s="37"/>
      <c r="AA3020" s="37"/>
      <c r="AB3020" s="37"/>
      <c r="AC3020" s="37"/>
      <c r="AD3020" s="37"/>
      <c r="AE3020" s="37"/>
    </row>
    <row r="3021" spans="1:31" x14ac:dyDescent="0.25">
      <c r="A3021" s="37"/>
      <c r="B3021" s="37"/>
      <c r="C3021" s="39">
        <v>9512</v>
      </c>
      <c r="D3021" s="27" t="s">
        <v>1660</v>
      </c>
      <c r="E3021" s="37">
        <v>550</v>
      </c>
      <c r="F3021" s="37"/>
      <c r="G3021" s="37"/>
      <c r="H3021" s="37"/>
      <c r="I3021" s="37"/>
      <c r="J3021" s="37">
        <v>1</v>
      </c>
      <c r="K3021" s="37"/>
      <c r="L3021" s="37" t="b">
        <v>1</v>
      </c>
      <c r="M3021" s="37"/>
      <c r="N3021" s="37"/>
      <c r="O3021" s="37"/>
      <c r="P3021" s="37"/>
      <c r="Q3021" s="37"/>
      <c r="R3021" s="37"/>
      <c r="S3021" s="37"/>
      <c r="T3021" s="37"/>
      <c r="U3021" s="37"/>
      <c r="V3021" s="37"/>
      <c r="W3021" s="37"/>
      <c r="X3021" s="37"/>
      <c r="Y3021" s="37"/>
      <c r="Z3021" s="37"/>
      <c r="AA3021" s="37"/>
      <c r="AB3021" s="37"/>
      <c r="AC3021" s="37"/>
      <c r="AD3021" s="37"/>
      <c r="AE3021" s="37"/>
    </row>
    <row r="3022" spans="1:31" x14ac:dyDescent="0.25">
      <c r="A3022" s="37"/>
      <c r="B3022" s="37"/>
      <c r="C3022" s="39">
        <v>9513</v>
      </c>
      <c r="D3022" s="27" t="s">
        <v>1661</v>
      </c>
      <c r="E3022" s="37">
        <v>550</v>
      </c>
      <c r="F3022" s="37"/>
      <c r="G3022" s="37"/>
      <c r="H3022" s="37"/>
      <c r="I3022" s="37"/>
      <c r="J3022" s="37">
        <v>1</v>
      </c>
      <c r="K3022" s="37"/>
      <c r="L3022" s="37" t="b">
        <v>1</v>
      </c>
      <c r="M3022" s="37"/>
      <c r="N3022" s="37"/>
      <c r="O3022" s="37"/>
      <c r="P3022" s="37"/>
      <c r="Q3022" s="37"/>
      <c r="R3022" s="37"/>
      <c r="S3022" s="37"/>
      <c r="T3022" s="37"/>
      <c r="U3022" s="37"/>
      <c r="V3022" s="37"/>
      <c r="W3022" s="37"/>
      <c r="X3022" s="37"/>
      <c r="Y3022" s="37"/>
      <c r="Z3022" s="37"/>
      <c r="AA3022" s="37"/>
      <c r="AB3022" s="37"/>
      <c r="AC3022" s="37"/>
      <c r="AD3022" s="37"/>
      <c r="AE3022" s="37"/>
    </row>
    <row r="3023" spans="1:31" x14ac:dyDescent="0.25">
      <c r="A3023" s="37"/>
      <c r="B3023" s="37"/>
      <c r="C3023" s="39">
        <v>9514</v>
      </c>
      <c r="D3023" s="27" t="s">
        <v>1662</v>
      </c>
      <c r="E3023" s="37">
        <v>550</v>
      </c>
      <c r="F3023" s="37"/>
      <c r="G3023" s="37"/>
      <c r="H3023" s="37"/>
      <c r="I3023" s="37"/>
      <c r="J3023" s="37">
        <v>1</v>
      </c>
      <c r="K3023" s="37"/>
      <c r="L3023" s="37" t="b">
        <v>1</v>
      </c>
      <c r="M3023" s="37"/>
      <c r="N3023" s="37"/>
      <c r="O3023" s="37"/>
      <c r="P3023" s="37"/>
      <c r="Q3023" s="37"/>
      <c r="R3023" s="37"/>
      <c r="S3023" s="37"/>
      <c r="T3023" s="37"/>
      <c r="U3023" s="37"/>
      <c r="V3023" s="37"/>
      <c r="W3023" s="37"/>
      <c r="X3023" s="37"/>
      <c r="Y3023" s="37"/>
      <c r="Z3023" s="37"/>
      <c r="AA3023" s="37"/>
      <c r="AB3023" s="37"/>
      <c r="AC3023" s="37"/>
      <c r="AD3023" s="37"/>
      <c r="AE3023" s="37"/>
    </row>
    <row r="3024" spans="1:31" x14ac:dyDescent="0.25">
      <c r="A3024" s="38">
        <f>A3019+1</f>
        <v>1933399</v>
      </c>
      <c r="B3024" s="37" t="s">
        <v>1658</v>
      </c>
      <c r="C3024" s="37">
        <v>2007</v>
      </c>
      <c r="D3024" s="37" t="s">
        <v>1643</v>
      </c>
      <c r="E3024" s="37">
        <v>1</v>
      </c>
      <c r="F3024" s="37"/>
      <c r="G3024" s="37"/>
      <c r="H3024" s="37"/>
      <c r="I3024" s="37"/>
      <c r="J3024" s="37">
        <v>1</v>
      </c>
      <c r="K3024" s="37"/>
      <c r="L3024" s="37" t="b">
        <v>1</v>
      </c>
      <c r="M3024" s="37"/>
      <c r="N3024" s="37"/>
      <c r="O3024" s="37"/>
      <c r="P3024" s="37"/>
      <c r="Q3024" s="37"/>
      <c r="R3024" s="37"/>
      <c r="S3024" s="37"/>
      <c r="T3024" s="37"/>
      <c r="U3024" s="37"/>
      <c r="V3024" s="37"/>
      <c r="W3024" s="37"/>
      <c r="X3024" s="37"/>
      <c r="Y3024" s="37"/>
      <c r="Z3024" s="37"/>
      <c r="AA3024" s="37"/>
      <c r="AB3024" s="37"/>
      <c r="AC3024" s="37"/>
      <c r="AD3024" s="37"/>
      <c r="AE3024" s="37"/>
    </row>
    <row r="3025" spans="1:31" x14ac:dyDescent="0.25">
      <c r="A3025" s="37"/>
      <c r="B3025" s="37"/>
      <c r="C3025" s="40">
        <v>9511</v>
      </c>
      <c r="D3025" s="27" t="s">
        <v>1664</v>
      </c>
      <c r="E3025" s="37">
        <v>600</v>
      </c>
      <c r="F3025" s="37"/>
      <c r="G3025" s="37"/>
      <c r="H3025" s="37"/>
      <c r="I3025" s="37"/>
      <c r="J3025" s="37">
        <v>1</v>
      </c>
      <c r="K3025" s="37"/>
      <c r="L3025" s="37" t="b">
        <v>1</v>
      </c>
      <c r="M3025" s="37"/>
      <c r="N3025" s="37"/>
      <c r="O3025" s="37"/>
      <c r="P3025" s="37"/>
      <c r="Q3025" s="37"/>
      <c r="R3025" s="37"/>
      <c r="S3025" s="37"/>
      <c r="T3025" s="37"/>
      <c r="U3025" s="37"/>
      <c r="V3025" s="37"/>
      <c r="W3025" s="37"/>
      <c r="X3025" s="37"/>
      <c r="Y3025" s="37"/>
      <c r="Z3025" s="37"/>
      <c r="AA3025" s="37"/>
      <c r="AB3025" s="37"/>
      <c r="AC3025" s="37"/>
      <c r="AD3025" s="37"/>
      <c r="AE3025" s="37"/>
    </row>
    <row r="3026" spans="1:31" x14ac:dyDescent="0.25">
      <c r="A3026" s="37"/>
      <c r="B3026" s="37"/>
      <c r="C3026" s="39">
        <v>9512</v>
      </c>
      <c r="D3026" s="27" t="s">
        <v>1660</v>
      </c>
      <c r="E3026" s="37">
        <v>600</v>
      </c>
      <c r="F3026" s="37"/>
      <c r="G3026" s="37"/>
      <c r="H3026" s="37"/>
      <c r="I3026" s="37"/>
      <c r="J3026" s="37">
        <v>1</v>
      </c>
      <c r="K3026" s="37"/>
      <c r="L3026" s="37" t="b">
        <v>1</v>
      </c>
      <c r="M3026" s="37"/>
      <c r="N3026" s="37"/>
      <c r="O3026" s="37"/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37"/>
      <c r="AA3026" s="37"/>
      <c r="AB3026" s="37"/>
      <c r="AC3026" s="37"/>
      <c r="AD3026" s="37"/>
      <c r="AE3026" s="37"/>
    </row>
    <row r="3027" spans="1:31" x14ac:dyDescent="0.25">
      <c r="A3027" s="37"/>
      <c r="B3027" s="37"/>
      <c r="C3027" s="39">
        <v>9513</v>
      </c>
      <c r="D3027" s="27" t="s">
        <v>1661</v>
      </c>
      <c r="E3027" s="37">
        <v>600</v>
      </c>
      <c r="F3027" s="37"/>
      <c r="G3027" s="37"/>
      <c r="H3027" s="37"/>
      <c r="I3027" s="37"/>
      <c r="J3027" s="37">
        <v>1</v>
      </c>
      <c r="K3027" s="37"/>
      <c r="L3027" s="37" t="b">
        <v>1</v>
      </c>
      <c r="M3027" s="37"/>
      <c r="N3027" s="37"/>
      <c r="O3027" s="37"/>
      <c r="P3027" s="37"/>
      <c r="Q3027" s="37"/>
      <c r="R3027" s="37"/>
      <c r="S3027" s="37"/>
      <c r="T3027" s="37"/>
      <c r="U3027" s="37"/>
      <c r="V3027" s="37"/>
      <c r="W3027" s="37"/>
      <c r="X3027" s="37"/>
      <c r="Y3027" s="37"/>
      <c r="Z3027" s="37"/>
      <c r="AA3027" s="37"/>
      <c r="AB3027" s="37"/>
      <c r="AC3027" s="37"/>
      <c r="AD3027" s="37"/>
      <c r="AE3027" s="37"/>
    </row>
    <row r="3028" spans="1:31" x14ac:dyDescent="0.25">
      <c r="A3028" s="37"/>
      <c r="B3028" s="37"/>
      <c r="C3028" s="39">
        <v>9514</v>
      </c>
      <c r="D3028" s="27" t="s">
        <v>1662</v>
      </c>
      <c r="E3028" s="37">
        <v>600</v>
      </c>
      <c r="F3028" s="37"/>
      <c r="G3028" s="37"/>
      <c r="H3028" s="37"/>
      <c r="I3028" s="37"/>
      <c r="J3028" s="37">
        <v>1</v>
      </c>
      <c r="K3028" s="37"/>
      <c r="L3028" s="37" t="b">
        <v>1</v>
      </c>
      <c r="M3028" s="37"/>
      <c r="N3028" s="37"/>
      <c r="O3028" s="37"/>
      <c r="P3028" s="37"/>
      <c r="Q3028" s="37"/>
      <c r="R3028" s="37"/>
      <c r="S3028" s="37"/>
      <c r="T3028" s="37"/>
      <c r="U3028" s="37"/>
      <c r="V3028" s="37"/>
      <c r="W3028" s="37"/>
      <c r="X3028" s="37"/>
      <c r="Y3028" s="37"/>
      <c r="Z3028" s="37"/>
      <c r="AA3028" s="37"/>
      <c r="AB3028" s="37"/>
      <c r="AC3028" s="37"/>
      <c r="AD3028" s="37"/>
      <c r="AE3028" s="37"/>
    </row>
    <row r="3029" spans="1:31" x14ac:dyDescent="0.25">
      <c r="A3029" s="38">
        <f>A3024+1</f>
        <v>1933400</v>
      </c>
      <c r="B3029" s="37" t="s">
        <v>1653</v>
      </c>
      <c r="C3029" s="37">
        <v>2007</v>
      </c>
      <c r="D3029" s="37" t="s">
        <v>1643</v>
      </c>
      <c r="E3029" s="37">
        <v>1</v>
      </c>
      <c r="F3029" s="37"/>
      <c r="G3029" s="37"/>
      <c r="H3029" s="37"/>
      <c r="I3029" s="37"/>
      <c r="J3029" s="37">
        <v>1</v>
      </c>
      <c r="K3029" s="37"/>
      <c r="L3029" s="37" t="b">
        <v>1</v>
      </c>
      <c r="M3029" s="37"/>
      <c r="N3029" s="37"/>
      <c r="O3029" s="37"/>
      <c r="P3029" s="37"/>
      <c r="Q3029" s="37"/>
      <c r="R3029" s="37"/>
      <c r="S3029" s="37"/>
      <c r="T3029" s="37"/>
      <c r="U3029" s="37"/>
      <c r="V3029" s="37"/>
      <c r="W3029" s="37"/>
      <c r="X3029" s="37"/>
      <c r="Y3029" s="37"/>
      <c r="Z3029" s="37"/>
      <c r="AA3029" s="37"/>
      <c r="AB3029" s="37"/>
      <c r="AC3029" s="37"/>
      <c r="AD3029" s="37"/>
      <c r="AE3029" s="37"/>
    </row>
    <row r="3030" spans="1:31" x14ac:dyDescent="0.25">
      <c r="A3030" s="37"/>
      <c r="B3030" s="37"/>
      <c r="C3030" s="40">
        <v>9521</v>
      </c>
      <c r="D3030" s="27" t="s">
        <v>1663</v>
      </c>
      <c r="E3030" s="37">
        <v>650</v>
      </c>
      <c r="F3030" s="37"/>
      <c r="G3030" s="37"/>
      <c r="H3030" s="37"/>
      <c r="I3030" s="37"/>
      <c r="J3030" s="37">
        <v>1</v>
      </c>
      <c r="K3030" s="37"/>
      <c r="L3030" s="37" t="b">
        <v>1</v>
      </c>
      <c r="M3030" s="37"/>
      <c r="N3030" s="37"/>
      <c r="O3030" s="37"/>
      <c r="P3030" s="37"/>
      <c r="Q3030" s="37"/>
      <c r="R3030" s="37"/>
      <c r="S3030" s="37"/>
      <c r="T3030" s="37"/>
      <c r="U3030" s="37"/>
      <c r="V3030" s="37"/>
      <c r="W3030" s="37"/>
      <c r="X3030" s="37"/>
      <c r="Y3030" s="37"/>
      <c r="Z3030" s="37"/>
      <c r="AA3030" s="37"/>
      <c r="AB3030" s="37"/>
      <c r="AC3030" s="37"/>
      <c r="AD3030" s="37"/>
      <c r="AE3030" s="37"/>
    </row>
    <row r="3031" spans="1:31" x14ac:dyDescent="0.25">
      <c r="A3031" s="37"/>
      <c r="B3031" s="37"/>
      <c r="C3031" s="39">
        <v>9512</v>
      </c>
      <c r="D3031" s="27" t="s">
        <v>1660</v>
      </c>
      <c r="E3031" s="37">
        <v>650</v>
      </c>
      <c r="F3031" s="37"/>
      <c r="G3031" s="37"/>
      <c r="H3031" s="37"/>
      <c r="I3031" s="37"/>
      <c r="J3031" s="37">
        <v>1</v>
      </c>
      <c r="K3031" s="37"/>
      <c r="L3031" s="37" t="b">
        <v>1</v>
      </c>
      <c r="M3031" s="37"/>
      <c r="N3031" s="37"/>
      <c r="O3031" s="37"/>
      <c r="P3031" s="37"/>
      <c r="Q3031" s="37"/>
      <c r="R3031" s="37"/>
      <c r="S3031" s="37"/>
      <c r="T3031" s="37"/>
      <c r="U3031" s="37"/>
      <c r="V3031" s="37"/>
      <c r="W3031" s="37"/>
      <c r="X3031" s="37"/>
      <c r="Y3031" s="37"/>
      <c r="Z3031" s="37"/>
      <c r="AA3031" s="37"/>
      <c r="AB3031" s="37"/>
      <c r="AC3031" s="37"/>
      <c r="AD3031" s="37"/>
      <c r="AE3031" s="37"/>
    </row>
    <row r="3032" spans="1:31" x14ac:dyDescent="0.25">
      <c r="A3032" s="37"/>
      <c r="B3032" s="37"/>
      <c r="C3032" s="39">
        <v>9513</v>
      </c>
      <c r="D3032" s="27" t="s">
        <v>1661</v>
      </c>
      <c r="E3032" s="37">
        <v>650</v>
      </c>
      <c r="F3032" s="37"/>
      <c r="G3032" s="37"/>
      <c r="H3032" s="37"/>
      <c r="I3032" s="37"/>
      <c r="J3032" s="37">
        <v>1</v>
      </c>
      <c r="K3032" s="37"/>
      <c r="L3032" s="37" t="b">
        <v>1</v>
      </c>
      <c r="M3032" s="37"/>
      <c r="N3032" s="37"/>
      <c r="O3032" s="37"/>
      <c r="P3032" s="37"/>
      <c r="Q3032" s="37"/>
      <c r="R3032" s="37"/>
      <c r="S3032" s="37"/>
      <c r="T3032" s="37"/>
      <c r="U3032" s="37"/>
      <c r="V3032" s="37"/>
      <c r="W3032" s="37"/>
      <c r="X3032" s="37"/>
      <c r="Y3032" s="37"/>
      <c r="Z3032" s="37"/>
      <c r="AA3032" s="37"/>
      <c r="AB3032" s="37"/>
      <c r="AC3032" s="37"/>
      <c r="AD3032" s="37"/>
      <c r="AE3032" s="37"/>
    </row>
    <row r="3033" spans="1:31" x14ac:dyDescent="0.25">
      <c r="A3033" s="37"/>
      <c r="B3033" s="37"/>
      <c r="C3033" s="39">
        <v>9514</v>
      </c>
      <c r="D3033" s="27" t="s">
        <v>1662</v>
      </c>
      <c r="E3033" s="37">
        <v>650</v>
      </c>
      <c r="F3033" s="37"/>
      <c r="G3033" s="37"/>
      <c r="H3033" s="37"/>
      <c r="I3033" s="37"/>
      <c r="J3033" s="37">
        <v>1</v>
      </c>
      <c r="K3033" s="37"/>
      <c r="L3033" s="37" t="b">
        <v>1</v>
      </c>
      <c r="M3033" s="37"/>
      <c r="N3033" s="37"/>
      <c r="O3033" s="37"/>
      <c r="P3033" s="37"/>
      <c r="Q3033" s="37"/>
      <c r="R3033" s="37"/>
      <c r="S3033" s="37"/>
      <c r="T3033" s="37"/>
      <c r="U3033" s="37"/>
      <c r="V3033" s="37"/>
      <c r="W3033" s="37"/>
      <c r="X3033" s="37"/>
      <c r="Y3033" s="37"/>
      <c r="Z3033" s="37"/>
      <c r="AA3033" s="37"/>
      <c r="AB3033" s="37"/>
      <c r="AC3033" s="37"/>
      <c r="AD3033" s="37"/>
      <c r="AE3033" s="37"/>
    </row>
    <row r="3034" spans="1:31" x14ac:dyDescent="0.25">
      <c r="A3034" s="38">
        <f>A3029+1</f>
        <v>1933401</v>
      </c>
      <c r="B3034" s="37" t="s">
        <v>1654</v>
      </c>
      <c r="C3034" s="37">
        <v>2007</v>
      </c>
      <c r="D3034" s="37" t="s">
        <v>1643</v>
      </c>
      <c r="E3034" s="37">
        <v>1</v>
      </c>
      <c r="F3034" s="37"/>
      <c r="G3034" s="37"/>
      <c r="H3034" s="37"/>
      <c r="I3034" s="37"/>
      <c r="J3034" s="37">
        <v>1</v>
      </c>
      <c r="K3034" s="37"/>
      <c r="L3034" s="37" t="b">
        <v>1</v>
      </c>
      <c r="M3034" s="37"/>
      <c r="N3034" s="37"/>
      <c r="O3034" s="37"/>
      <c r="P3034" s="37"/>
      <c r="Q3034" s="37"/>
      <c r="R3034" s="37"/>
      <c r="S3034" s="37"/>
      <c r="T3034" s="37"/>
      <c r="U3034" s="37"/>
      <c r="V3034" s="37"/>
      <c r="W3034" s="37"/>
      <c r="X3034" s="37"/>
      <c r="Y3034" s="37"/>
      <c r="Z3034" s="37"/>
      <c r="AA3034" s="37"/>
      <c r="AB3034" s="37"/>
      <c r="AC3034" s="37"/>
      <c r="AD3034" s="37"/>
      <c r="AE3034" s="37"/>
    </row>
    <row r="3035" spans="1:31" x14ac:dyDescent="0.25">
      <c r="A3035" s="37"/>
      <c r="B3035" s="37"/>
      <c r="C3035" s="39">
        <v>9511</v>
      </c>
      <c r="D3035" s="27" t="s">
        <v>1659</v>
      </c>
      <c r="E3035" s="37">
        <v>700</v>
      </c>
      <c r="F3035" s="37"/>
      <c r="G3035" s="37"/>
      <c r="H3035" s="37"/>
      <c r="I3035" s="37"/>
      <c r="J3035" s="37">
        <v>1</v>
      </c>
      <c r="K3035" s="37"/>
      <c r="L3035" s="37" t="b">
        <v>1</v>
      </c>
      <c r="M3035" s="37"/>
      <c r="N3035" s="37"/>
      <c r="O3035" s="37"/>
      <c r="P3035" s="37"/>
      <c r="Q3035" s="37"/>
      <c r="R3035" s="37"/>
      <c r="S3035" s="37"/>
      <c r="T3035" s="37"/>
      <c r="U3035" s="37"/>
      <c r="V3035" s="37"/>
      <c r="W3035" s="37"/>
      <c r="X3035" s="37"/>
      <c r="Y3035" s="37"/>
      <c r="Z3035" s="37"/>
      <c r="AA3035" s="37"/>
      <c r="AB3035" s="37"/>
      <c r="AC3035" s="37"/>
      <c r="AD3035" s="37"/>
      <c r="AE3035" s="37"/>
    </row>
    <row r="3036" spans="1:31" x14ac:dyDescent="0.25">
      <c r="A3036" s="37"/>
      <c r="B3036" s="37"/>
      <c r="C3036" s="39">
        <v>9512</v>
      </c>
      <c r="D3036" s="27" t="s">
        <v>1660</v>
      </c>
      <c r="E3036" s="37">
        <v>700</v>
      </c>
      <c r="F3036" s="37"/>
      <c r="G3036" s="37"/>
      <c r="H3036" s="37"/>
      <c r="I3036" s="37"/>
      <c r="J3036" s="37">
        <v>1</v>
      </c>
      <c r="K3036" s="37"/>
      <c r="L3036" s="37" t="b">
        <v>1</v>
      </c>
      <c r="M3036" s="37"/>
      <c r="N3036" s="37"/>
      <c r="O3036" s="37"/>
      <c r="P3036" s="37"/>
      <c r="Q3036" s="37"/>
      <c r="R3036" s="37"/>
      <c r="S3036" s="37"/>
      <c r="T3036" s="37"/>
      <c r="U3036" s="37"/>
      <c r="V3036" s="37"/>
      <c r="W3036" s="37"/>
      <c r="X3036" s="37"/>
      <c r="Y3036" s="37"/>
      <c r="Z3036" s="37"/>
      <c r="AA3036" s="37"/>
      <c r="AB3036" s="37"/>
      <c r="AC3036" s="37"/>
      <c r="AD3036" s="37"/>
      <c r="AE3036" s="37"/>
    </row>
    <row r="3037" spans="1:31" x14ac:dyDescent="0.25">
      <c r="A3037" s="37"/>
      <c r="B3037" s="37"/>
      <c r="C3037" s="39">
        <v>9513</v>
      </c>
      <c r="D3037" s="27" t="s">
        <v>1661</v>
      </c>
      <c r="E3037" s="37">
        <v>700</v>
      </c>
      <c r="F3037" s="37"/>
      <c r="G3037" s="37"/>
      <c r="H3037" s="37"/>
      <c r="I3037" s="37"/>
      <c r="J3037" s="37">
        <v>1</v>
      </c>
      <c r="K3037" s="37"/>
      <c r="L3037" s="37" t="b">
        <v>1</v>
      </c>
      <c r="M3037" s="37"/>
      <c r="N3037" s="37"/>
      <c r="O3037" s="37"/>
      <c r="P3037" s="37"/>
      <c r="Q3037" s="37"/>
      <c r="R3037" s="37"/>
      <c r="S3037" s="37"/>
      <c r="T3037" s="37"/>
      <c r="U3037" s="37"/>
      <c r="V3037" s="37"/>
      <c r="W3037" s="37"/>
      <c r="X3037" s="37"/>
      <c r="Y3037" s="37"/>
      <c r="Z3037" s="37"/>
      <c r="AA3037" s="37"/>
      <c r="AB3037" s="37"/>
      <c r="AC3037" s="37"/>
      <c r="AD3037" s="37"/>
      <c r="AE3037" s="37"/>
    </row>
    <row r="3038" spans="1:31" x14ac:dyDescent="0.25">
      <c r="A3038" s="37"/>
      <c r="B3038" s="37"/>
      <c r="C3038" s="39">
        <v>9514</v>
      </c>
      <c r="D3038" s="27" t="s">
        <v>1662</v>
      </c>
      <c r="E3038" s="37">
        <v>700</v>
      </c>
      <c r="F3038" s="37"/>
      <c r="G3038" s="37"/>
      <c r="H3038" s="37"/>
      <c r="I3038" s="37"/>
      <c r="J3038" s="37">
        <v>1</v>
      </c>
      <c r="K3038" s="37"/>
      <c r="L3038" s="37" t="b">
        <v>1</v>
      </c>
      <c r="M3038" s="37"/>
      <c r="N3038" s="37"/>
      <c r="O3038" s="37"/>
      <c r="P3038" s="37"/>
      <c r="Q3038" s="37"/>
      <c r="R3038" s="37"/>
      <c r="S3038" s="37"/>
      <c r="T3038" s="37"/>
      <c r="U3038" s="37"/>
      <c r="V3038" s="37"/>
      <c r="W3038" s="37"/>
      <c r="X3038" s="37"/>
      <c r="Y3038" s="37"/>
      <c r="Z3038" s="37"/>
      <c r="AA3038" s="37"/>
      <c r="AB3038" s="37"/>
      <c r="AC3038" s="37"/>
      <c r="AD3038" s="37"/>
      <c r="AE3038" s="37"/>
    </row>
    <row r="3039" spans="1:31" x14ac:dyDescent="0.25">
      <c r="A3039" s="38">
        <f>A3034+1</f>
        <v>1933402</v>
      </c>
      <c r="B3039" s="37" t="s">
        <v>1655</v>
      </c>
      <c r="C3039" s="37">
        <v>2007</v>
      </c>
      <c r="D3039" s="37" t="s">
        <v>1643</v>
      </c>
      <c r="E3039" s="37">
        <v>1</v>
      </c>
      <c r="F3039" s="37"/>
      <c r="G3039" s="37"/>
      <c r="H3039" s="37"/>
      <c r="I3039" s="37"/>
      <c r="J3039" s="37">
        <v>1</v>
      </c>
      <c r="K3039" s="37"/>
      <c r="L3039" s="37" t="b">
        <v>1</v>
      </c>
      <c r="M3039" s="37"/>
      <c r="N3039" s="37"/>
      <c r="O3039" s="37"/>
      <c r="P3039" s="37"/>
      <c r="Q3039" s="37"/>
      <c r="R3039" s="37"/>
      <c r="S3039" s="37"/>
      <c r="T3039" s="37"/>
      <c r="U3039" s="37"/>
      <c r="V3039" s="37"/>
      <c r="W3039" s="37"/>
      <c r="X3039" s="37"/>
      <c r="Y3039" s="37"/>
      <c r="Z3039" s="37"/>
      <c r="AA3039" s="37"/>
      <c r="AB3039" s="37"/>
      <c r="AC3039" s="37"/>
      <c r="AD3039" s="37"/>
      <c r="AE3039" s="37"/>
    </row>
    <row r="3040" spans="1:31" x14ac:dyDescent="0.25">
      <c r="A3040" s="37"/>
      <c r="B3040" s="37"/>
      <c r="C3040" s="39">
        <v>9511</v>
      </c>
      <c r="D3040" s="27" t="s">
        <v>1659</v>
      </c>
      <c r="E3040" s="37">
        <v>750</v>
      </c>
      <c r="F3040" s="37"/>
      <c r="G3040" s="37"/>
      <c r="H3040" s="37"/>
      <c r="I3040" s="37"/>
      <c r="J3040" s="37">
        <v>1</v>
      </c>
      <c r="K3040" s="37"/>
      <c r="L3040" s="37" t="b">
        <v>1</v>
      </c>
      <c r="M3040" s="37"/>
      <c r="N3040" s="37"/>
      <c r="O3040" s="37"/>
      <c r="P3040" s="37"/>
      <c r="Q3040" s="37"/>
      <c r="R3040" s="37"/>
      <c r="S3040" s="37"/>
      <c r="T3040" s="37"/>
      <c r="U3040" s="37"/>
      <c r="V3040" s="37"/>
      <c r="W3040" s="37"/>
      <c r="X3040" s="37"/>
      <c r="Y3040" s="37"/>
      <c r="Z3040" s="37"/>
      <c r="AA3040" s="37"/>
      <c r="AB3040" s="37"/>
      <c r="AC3040" s="37"/>
      <c r="AD3040" s="37"/>
      <c r="AE3040" s="37"/>
    </row>
    <row r="3041" spans="1:31" x14ac:dyDescent="0.25">
      <c r="A3041" s="37"/>
      <c r="B3041" s="37"/>
      <c r="C3041" s="39">
        <v>9512</v>
      </c>
      <c r="D3041" s="27" t="s">
        <v>1660</v>
      </c>
      <c r="E3041" s="37">
        <v>750</v>
      </c>
      <c r="F3041" s="37"/>
      <c r="G3041" s="37"/>
      <c r="H3041" s="37"/>
      <c r="I3041" s="37"/>
      <c r="J3041" s="37">
        <v>1</v>
      </c>
      <c r="K3041" s="37"/>
      <c r="L3041" s="37" t="b">
        <v>1</v>
      </c>
      <c r="M3041" s="37"/>
      <c r="N3041" s="37"/>
      <c r="O3041" s="37"/>
      <c r="P3041" s="37"/>
      <c r="Q3041" s="37"/>
      <c r="R3041" s="37"/>
      <c r="S3041" s="37"/>
      <c r="T3041" s="37"/>
      <c r="U3041" s="37"/>
      <c r="V3041" s="37"/>
      <c r="W3041" s="37"/>
      <c r="X3041" s="37"/>
      <c r="Y3041" s="37"/>
      <c r="Z3041" s="37"/>
      <c r="AA3041" s="37"/>
      <c r="AB3041" s="37"/>
      <c r="AC3041" s="37"/>
      <c r="AD3041" s="37"/>
      <c r="AE3041" s="37"/>
    </row>
    <row r="3042" spans="1:31" x14ac:dyDescent="0.25">
      <c r="A3042" s="37"/>
      <c r="B3042" s="37"/>
      <c r="C3042" s="39">
        <v>9513</v>
      </c>
      <c r="D3042" s="27" t="s">
        <v>1661</v>
      </c>
      <c r="E3042" s="37">
        <v>750</v>
      </c>
      <c r="F3042" s="37"/>
      <c r="G3042" s="37"/>
      <c r="H3042" s="37"/>
      <c r="I3042" s="37"/>
      <c r="J3042" s="37">
        <v>1</v>
      </c>
      <c r="K3042" s="37"/>
      <c r="L3042" s="37" t="b">
        <v>1</v>
      </c>
      <c r="M3042" s="37"/>
      <c r="N3042" s="37"/>
      <c r="O3042" s="37"/>
      <c r="P3042" s="37"/>
      <c r="Q3042" s="37"/>
      <c r="R3042" s="37"/>
      <c r="S3042" s="37"/>
      <c r="T3042" s="37"/>
      <c r="U3042" s="37"/>
      <c r="V3042" s="37"/>
      <c r="W3042" s="37"/>
      <c r="X3042" s="37"/>
      <c r="Y3042" s="37"/>
      <c r="Z3042" s="37"/>
      <c r="AA3042" s="37"/>
      <c r="AB3042" s="37"/>
      <c r="AC3042" s="37"/>
      <c r="AD3042" s="37"/>
      <c r="AE3042" s="37"/>
    </row>
    <row r="3043" spans="1:31" x14ac:dyDescent="0.25">
      <c r="A3043" s="37"/>
      <c r="B3043" s="37"/>
      <c r="C3043" s="39">
        <v>9514</v>
      </c>
      <c r="D3043" s="27" t="s">
        <v>1662</v>
      </c>
      <c r="E3043" s="37">
        <v>750</v>
      </c>
      <c r="F3043" s="37"/>
      <c r="G3043" s="37"/>
      <c r="H3043" s="37"/>
      <c r="I3043" s="37"/>
      <c r="J3043" s="37">
        <v>1</v>
      </c>
      <c r="K3043" s="37"/>
      <c r="L3043" s="37" t="b">
        <v>1</v>
      </c>
      <c r="M3043" s="37"/>
      <c r="N3043" s="37"/>
      <c r="O3043" s="37"/>
      <c r="P3043" s="37"/>
      <c r="Q3043" s="37"/>
      <c r="R3043" s="37"/>
      <c r="S3043" s="37"/>
      <c r="T3043" s="37"/>
      <c r="U3043" s="37"/>
      <c r="V3043" s="37"/>
      <c r="W3043" s="37"/>
      <c r="X3043" s="37"/>
      <c r="Y3043" s="37"/>
      <c r="Z3043" s="37"/>
      <c r="AA3043" s="37"/>
      <c r="AB3043" s="37"/>
      <c r="AC3043" s="37"/>
      <c r="AD3043" s="37"/>
      <c r="AE3043" s="37"/>
    </row>
    <row r="3044" spans="1:31" x14ac:dyDescent="0.25">
      <c r="A3044" s="38">
        <f>A3039+1</f>
        <v>1933403</v>
      </c>
      <c r="B3044" s="37" t="s">
        <v>1656</v>
      </c>
      <c r="C3044" s="37">
        <v>2007</v>
      </c>
      <c r="D3044" s="37" t="s">
        <v>1643</v>
      </c>
      <c r="E3044" s="37">
        <v>1</v>
      </c>
      <c r="F3044" s="37"/>
      <c r="G3044" s="37"/>
      <c r="H3044" s="37"/>
      <c r="I3044" s="37"/>
      <c r="J3044" s="37">
        <v>1</v>
      </c>
      <c r="K3044" s="37"/>
      <c r="L3044" s="37" t="b">
        <v>1</v>
      </c>
      <c r="M3044" s="37"/>
      <c r="N3044" s="37"/>
      <c r="O3044" s="37"/>
      <c r="P3044" s="37"/>
      <c r="Q3044" s="37"/>
      <c r="R3044" s="37"/>
      <c r="S3044" s="37"/>
      <c r="T3044" s="37"/>
      <c r="U3044" s="37"/>
      <c r="V3044" s="37"/>
      <c r="W3044" s="37"/>
      <c r="X3044" s="37"/>
      <c r="Y3044" s="37"/>
      <c r="Z3044" s="37"/>
      <c r="AA3044" s="37"/>
      <c r="AB3044" s="37"/>
      <c r="AC3044" s="37"/>
      <c r="AD3044" s="37"/>
      <c r="AE3044" s="37"/>
    </row>
    <row r="3045" spans="1:31" x14ac:dyDescent="0.25">
      <c r="A3045" s="37"/>
      <c r="B3045" s="37"/>
      <c r="C3045" s="39">
        <v>9511</v>
      </c>
      <c r="D3045" s="27" t="s">
        <v>1659</v>
      </c>
      <c r="E3045" s="37">
        <v>800</v>
      </c>
      <c r="F3045" s="37"/>
      <c r="G3045" s="37"/>
      <c r="H3045" s="37"/>
      <c r="I3045" s="37"/>
      <c r="J3045" s="37">
        <v>1</v>
      </c>
      <c r="K3045" s="37"/>
      <c r="L3045" s="37" t="b">
        <v>1</v>
      </c>
      <c r="M3045" s="37"/>
      <c r="N3045" s="37"/>
      <c r="O3045" s="37"/>
      <c r="P3045" s="37"/>
      <c r="Q3045" s="37"/>
      <c r="R3045" s="37"/>
      <c r="S3045" s="37"/>
      <c r="T3045" s="37"/>
      <c r="U3045" s="37"/>
      <c r="V3045" s="37"/>
      <c r="W3045" s="37"/>
      <c r="X3045" s="37"/>
      <c r="Y3045" s="37"/>
      <c r="Z3045" s="37"/>
      <c r="AA3045" s="37"/>
      <c r="AB3045" s="37"/>
      <c r="AC3045" s="37"/>
      <c r="AD3045" s="37"/>
      <c r="AE3045" s="37"/>
    </row>
    <row r="3046" spans="1:31" x14ac:dyDescent="0.25">
      <c r="A3046" s="37"/>
      <c r="B3046" s="37"/>
      <c r="C3046" s="39">
        <v>9512</v>
      </c>
      <c r="D3046" s="27" t="s">
        <v>1660</v>
      </c>
      <c r="E3046" s="37">
        <v>800</v>
      </c>
      <c r="F3046" s="37"/>
      <c r="G3046" s="37"/>
      <c r="H3046" s="37"/>
      <c r="I3046" s="37"/>
      <c r="J3046" s="37">
        <v>1</v>
      </c>
      <c r="K3046" s="37"/>
      <c r="L3046" s="37" t="b">
        <v>1</v>
      </c>
      <c r="M3046" s="37"/>
      <c r="N3046" s="37"/>
      <c r="O3046" s="37"/>
      <c r="P3046" s="37"/>
      <c r="Q3046" s="37"/>
      <c r="R3046" s="37"/>
      <c r="S3046" s="37"/>
      <c r="T3046" s="37"/>
      <c r="U3046" s="37"/>
      <c r="V3046" s="37"/>
      <c r="W3046" s="37"/>
      <c r="X3046" s="37"/>
      <c r="Y3046" s="37"/>
      <c r="Z3046" s="37"/>
      <c r="AA3046" s="37"/>
      <c r="AB3046" s="37"/>
      <c r="AC3046" s="37"/>
      <c r="AD3046" s="37"/>
      <c r="AE3046" s="37"/>
    </row>
    <row r="3047" spans="1:31" x14ac:dyDescent="0.25">
      <c r="A3047" s="37"/>
      <c r="B3047" s="37"/>
      <c r="C3047" s="39">
        <v>9513</v>
      </c>
      <c r="D3047" s="27" t="s">
        <v>1661</v>
      </c>
      <c r="E3047" s="37">
        <v>800</v>
      </c>
      <c r="F3047" s="37"/>
      <c r="G3047" s="37"/>
      <c r="H3047" s="37"/>
      <c r="I3047" s="37"/>
      <c r="J3047" s="37">
        <v>1</v>
      </c>
      <c r="K3047" s="37"/>
      <c r="L3047" s="37" t="b">
        <v>1</v>
      </c>
      <c r="M3047" s="37"/>
      <c r="N3047" s="37"/>
      <c r="O3047" s="37"/>
      <c r="P3047" s="37"/>
      <c r="Q3047" s="37"/>
      <c r="R3047" s="37"/>
      <c r="S3047" s="37"/>
      <c r="T3047" s="37"/>
      <c r="U3047" s="37"/>
      <c r="V3047" s="37"/>
      <c r="W3047" s="37"/>
      <c r="X3047" s="37"/>
      <c r="Y3047" s="37"/>
      <c r="Z3047" s="37"/>
      <c r="AA3047" s="37"/>
      <c r="AB3047" s="37"/>
      <c r="AC3047" s="37"/>
      <c r="AD3047" s="37"/>
      <c r="AE3047" s="37"/>
    </row>
    <row r="3048" spans="1:31" x14ac:dyDescent="0.25">
      <c r="A3048" s="37"/>
      <c r="B3048" s="37"/>
      <c r="C3048" s="39">
        <v>9514</v>
      </c>
      <c r="D3048" s="27" t="s">
        <v>1662</v>
      </c>
      <c r="E3048" s="37">
        <v>800</v>
      </c>
      <c r="F3048" s="37"/>
      <c r="G3048" s="37"/>
      <c r="H3048" s="37"/>
      <c r="I3048" s="37"/>
      <c r="J3048" s="37">
        <v>1</v>
      </c>
      <c r="K3048" s="37"/>
      <c r="L3048" s="37" t="b">
        <v>1</v>
      </c>
      <c r="M3048" s="37"/>
      <c r="N3048" s="37"/>
      <c r="O3048" s="37"/>
      <c r="P3048" s="37"/>
      <c r="Q3048" s="37"/>
      <c r="R3048" s="37"/>
      <c r="S3048" s="37"/>
      <c r="T3048" s="37"/>
      <c r="U3048" s="37"/>
      <c r="V3048" s="37"/>
      <c r="W3048" s="37"/>
      <c r="X3048" s="37"/>
      <c r="Y3048" s="37"/>
      <c r="Z3048" s="37"/>
      <c r="AA3048" s="37"/>
      <c r="AB3048" s="37"/>
      <c r="AC3048" s="37"/>
      <c r="AD3048" s="37"/>
      <c r="AE3048" s="37"/>
    </row>
    <row r="3049" spans="1:31" x14ac:dyDescent="0.25">
      <c r="A3049" s="38">
        <f>A3044+1</f>
        <v>1933404</v>
      </c>
      <c r="B3049" s="37" t="s">
        <v>1657</v>
      </c>
      <c r="C3049" s="37">
        <v>2007</v>
      </c>
      <c r="D3049" s="37" t="s">
        <v>1643</v>
      </c>
      <c r="E3049" s="37">
        <v>1</v>
      </c>
      <c r="F3049" s="37"/>
      <c r="G3049" s="37"/>
      <c r="H3049" s="37"/>
      <c r="I3049" s="37"/>
      <c r="J3049" s="37">
        <v>1</v>
      </c>
      <c r="K3049" s="37"/>
      <c r="L3049" s="37" t="b">
        <v>1</v>
      </c>
      <c r="M3049" s="37"/>
      <c r="N3049" s="37"/>
      <c r="O3049" s="37"/>
      <c r="P3049" s="37"/>
      <c r="Q3049" s="37"/>
      <c r="R3049" s="37"/>
      <c r="S3049" s="37"/>
      <c r="T3049" s="37"/>
      <c r="U3049" s="37"/>
      <c r="V3049" s="37"/>
      <c r="W3049" s="37"/>
      <c r="X3049" s="37"/>
      <c r="Y3049" s="37"/>
      <c r="Z3049" s="37"/>
      <c r="AA3049" s="37"/>
      <c r="AB3049" s="37"/>
      <c r="AC3049" s="37"/>
      <c r="AD3049" s="37"/>
      <c r="AE3049" s="37"/>
    </row>
    <row r="3050" spans="1:31" x14ac:dyDescent="0.25">
      <c r="A3050" s="37"/>
      <c r="B3050" s="37"/>
      <c r="C3050" s="39">
        <v>9511</v>
      </c>
      <c r="D3050" s="27" t="s">
        <v>1659</v>
      </c>
      <c r="E3050" s="37">
        <v>900</v>
      </c>
      <c r="F3050" s="37"/>
      <c r="G3050" s="37"/>
      <c r="H3050" s="37"/>
      <c r="I3050" s="37"/>
      <c r="J3050" s="37">
        <v>1</v>
      </c>
      <c r="K3050" s="37"/>
      <c r="L3050" s="37" t="b">
        <v>1</v>
      </c>
      <c r="M3050" s="37"/>
      <c r="N3050" s="37"/>
      <c r="O3050" s="37"/>
      <c r="P3050" s="37"/>
      <c r="Q3050" s="37"/>
      <c r="R3050" s="37"/>
      <c r="S3050" s="37"/>
      <c r="T3050" s="37"/>
      <c r="U3050" s="37"/>
      <c r="V3050" s="37"/>
      <c r="W3050" s="37"/>
      <c r="X3050" s="37"/>
      <c r="Y3050" s="37"/>
      <c r="Z3050" s="37"/>
      <c r="AA3050" s="37"/>
      <c r="AB3050" s="37"/>
      <c r="AC3050" s="37"/>
      <c r="AD3050" s="37"/>
      <c r="AE3050" s="37"/>
    </row>
    <row r="3051" spans="1:31" x14ac:dyDescent="0.25">
      <c r="A3051" s="37"/>
      <c r="B3051" s="37"/>
      <c r="C3051" s="39">
        <v>9512</v>
      </c>
      <c r="D3051" s="27" t="s">
        <v>1660</v>
      </c>
      <c r="E3051" s="37">
        <v>900</v>
      </c>
      <c r="F3051" s="37"/>
      <c r="G3051" s="37"/>
      <c r="H3051" s="37"/>
      <c r="I3051" s="37"/>
      <c r="J3051" s="37">
        <v>1</v>
      </c>
      <c r="K3051" s="37"/>
      <c r="L3051" s="37" t="b">
        <v>1</v>
      </c>
      <c r="M3051" s="37"/>
      <c r="N3051" s="37"/>
      <c r="O3051" s="37"/>
      <c r="P3051" s="37"/>
      <c r="Q3051" s="37"/>
      <c r="R3051" s="37"/>
      <c r="S3051" s="37"/>
      <c r="T3051" s="37"/>
      <c r="U3051" s="37"/>
      <c r="V3051" s="37"/>
      <c r="W3051" s="37"/>
      <c r="X3051" s="37"/>
      <c r="Y3051" s="37"/>
      <c r="Z3051" s="37"/>
      <c r="AA3051" s="37"/>
      <c r="AB3051" s="37"/>
      <c r="AC3051" s="37"/>
      <c r="AD3051" s="37"/>
      <c r="AE3051" s="37"/>
    </row>
    <row r="3052" spans="1:31" x14ac:dyDescent="0.25">
      <c r="A3052" s="37"/>
      <c r="B3052" s="37"/>
      <c r="C3052" s="39">
        <v>9513</v>
      </c>
      <c r="D3052" s="27" t="s">
        <v>1661</v>
      </c>
      <c r="E3052" s="37">
        <v>900</v>
      </c>
      <c r="F3052" s="37"/>
      <c r="G3052" s="37"/>
      <c r="H3052" s="37"/>
      <c r="I3052" s="37"/>
      <c r="J3052" s="37">
        <v>1</v>
      </c>
      <c r="K3052" s="37"/>
      <c r="L3052" s="37" t="b">
        <v>1</v>
      </c>
      <c r="M3052" s="37"/>
      <c r="N3052" s="37"/>
      <c r="O3052" s="37"/>
      <c r="P3052" s="37"/>
      <c r="Q3052" s="37"/>
      <c r="R3052" s="37"/>
      <c r="S3052" s="37"/>
      <c r="T3052" s="37"/>
      <c r="U3052" s="37"/>
      <c r="V3052" s="37"/>
      <c r="W3052" s="37"/>
      <c r="X3052" s="37"/>
      <c r="Y3052" s="37"/>
      <c r="Z3052" s="37"/>
      <c r="AA3052" s="37"/>
      <c r="AB3052" s="37"/>
      <c r="AC3052" s="37"/>
      <c r="AD3052" s="37"/>
      <c r="AE3052" s="37"/>
    </row>
    <row r="3053" spans="1:31" x14ac:dyDescent="0.25">
      <c r="A3053" s="37"/>
      <c r="B3053" s="37"/>
      <c r="C3053" s="39">
        <v>9514</v>
      </c>
      <c r="D3053" s="27" t="s">
        <v>1662</v>
      </c>
      <c r="E3053" s="37">
        <v>900</v>
      </c>
      <c r="F3053" s="37"/>
      <c r="G3053" s="37"/>
      <c r="H3053" s="37"/>
      <c r="I3053" s="37"/>
      <c r="J3053" s="37">
        <v>1</v>
      </c>
      <c r="K3053" s="37"/>
      <c r="L3053" s="37" t="b">
        <v>1</v>
      </c>
      <c r="M3053" s="37"/>
      <c r="N3053" s="37"/>
      <c r="O3053" s="37"/>
      <c r="P3053" s="37"/>
      <c r="Q3053" s="37"/>
      <c r="R3053" s="37"/>
      <c r="S3053" s="37"/>
      <c r="T3053" s="37"/>
      <c r="U3053" s="37"/>
      <c r="V3053" s="37"/>
      <c r="W3053" s="37"/>
      <c r="X3053" s="37"/>
      <c r="Y3053" s="37"/>
      <c r="Z3053" s="37"/>
      <c r="AA3053" s="37"/>
      <c r="AB3053" s="37"/>
      <c r="AC3053" s="37"/>
      <c r="AD3053" s="37"/>
      <c r="AE3053" s="37"/>
    </row>
  </sheetData>
  <autoFilter ref="A2:L2977" xr:uid="{00000000-0001-0000-0000-000000000000}"/>
  <mergeCells count="1">
    <mergeCell ref="F1:I1"/>
  </mergeCells>
  <phoneticPr fontId="1" type="noConversion"/>
  <conditionalFormatting sqref="C28:C29">
    <cfRule type="duplicateValues" dxfId="281" priority="292"/>
  </conditionalFormatting>
  <conditionalFormatting sqref="B28:B29">
    <cfRule type="duplicateValues" dxfId="280" priority="229"/>
  </conditionalFormatting>
  <conditionalFormatting sqref="A28:A29">
    <cfRule type="duplicateValues" dxfId="279" priority="228"/>
  </conditionalFormatting>
  <conditionalFormatting sqref="E28:E29">
    <cfRule type="duplicateValues" dxfId="278" priority="227"/>
  </conditionalFormatting>
  <conditionalFormatting sqref="A2633">
    <cfRule type="duplicateValues" dxfId="277" priority="224"/>
    <cfRule type="duplicateValues" dxfId="276" priority="225"/>
    <cfRule type="duplicateValues" dxfId="275" priority="226"/>
  </conditionalFormatting>
  <conditionalFormatting sqref="A2637">
    <cfRule type="duplicateValues" dxfId="274" priority="221"/>
    <cfRule type="duplicateValues" dxfId="273" priority="222"/>
    <cfRule type="duplicateValues" dxfId="272" priority="223"/>
  </conditionalFormatting>
  <conditionalFormatting sqref="A2643">
    <cfRule type="duplicateValues" dxfId="271" priority="218"/>
    <cfRule type="duplicateValues" dxfId="270" priority="219"/>
    <cfRule type="duplicateValues" dxfId="269" priority="220"/>
  </conditionalFormatting>
  <conditionalFormatting sqref="A2641">
    <cfRule type="duplicateValues" dxfId="268" priority="215"/>
    <cfRule type="duplicateValues" dxfId="267" priority="216"/>
    <cfRule type="duplicateValues" dxfId="266" priority="217"/>
  </conditionalFormatting>
  <conditionalFormatting sqref="A2645">
    <cfRule type="duplicateValues" dxfId="265" priority="212"/>
    <cfRule type="duplicateValues" dxfId="264" priority="213"/>
    <cfRule type="duplicateValues" dxfId="263" priority="214"/>
  </conditionalFormatting>
  <conditionalFormatting sqref="A2651">
    <cfRule type="duplicateValues" dxfId="262" priority="209"/>
    <cfRule type="duplicateValues" dxfId="261" priority="210"/>
    <cfRule type="duplicateValues" dxfId="260" priority="211"/>
  </conditionalFormatting>
  <conditionalFormatting sqref="A2649">
    <cfRule type="duplicateValues" dxfId="259" priority="206"/>
    <cfRule type="duplicateValues" dxfId="258" priority="207"/>
    <cfRule type="duplicateValues" dxfId="257" priority="208"/>
  </conditionalFormatting>
  <conditionalFormatting sqref="A2653">
    <cfRule type="duplicateValues" dxfId="256" priority="203"/>
    <cfRule type="duplicateValues" dxfId="255" priority="204"/>
    <cfRule type="duplicateValues" dxfId="254" priority="205"/>
  </conditionalFormatting>
  <conditionalFormatting sqref="A2659">
    <cfRule type="duplicateValues" dxfId="253" priority="200"/>
    <cfRule type="duplicateValues" dxfId="252" priority="201"/>
    <cfRule type="duplicateValues" dxfId="251" priority="202"/>
  </conditionalFormatting>
  <conditionalFormatting sqref="A2657">
    <cfRule type="duplicateValues" dxfId="250" priority="197"/>
    <cfRule type="duplicateValues" dxfId="249" priority="198"/>
    <cfRule type="duplicateValues" dxfId="248" priority="199"/>
  </conditionalFormatting>
  <conditionalFormatting sqref="A2661">
    <cfRule type="duplicateValues" dxfId="247" priority="194"/>
    <cfRule type="duplicateValues" dxfId="246" priority="195"/>
    <cfRule type="duplicateValues" dxfId="245" priority="196"/>
  </conditionalFormatting>
  <conditionalFormatting sqref="A2667">
    <cfRule type="duplicateValues" dxfId="244" priority="191"/>
    <cfRule type="duplicateValues" dxfId="243" priority="192"/>
    <cfRule type="duplicateValues" dxfId="242" priority="193"/>
  </conditionalFormatting>
  <conditionalFormatting sqref="A2665">
    <cfRule type="duplicateValues" dxfId="241" priority="188"/>
    <cfRule type="duplicateValues" dxfId="240" priority="189"/>
    <cfRule type="duplicateValues" dxfId="239" priority="190"/>
  </conditionalFormatting>
  <conditionalFormatting sqref="A2669">
    <cfRule type="duplicateValues" dxfId="238" priority="185"/>
    <cfRule type="duplicateValues" dxfId="237" priority="186"/>
    <cfRule type="duplicateValues" dxfId="236" priority="187"/>
  </conditionalFormatting>
  <conditionalFormatting sqref="A2675">
    <cfRule type="duplicateValues" dxfId="235" priority="182"/>
    <cfRule type="duplicateValues" dxfId="234" priority="183"/>
    <cfRule type="duplicateValues" dxfId="233" priority="184"/>
  </conditionalFormatting>
  <conditionalFormatting sqref="A2673">
    <cfRule type="duplicateValues" dxfId="232" priority="179"/>
    <cfRule type="duplicateValues" dxfId="231" priority="180"/>
    <cfRule type="duplicateValues" dxfId="230" priority="181"/>
  </conditionalFormatting>
  <conditionalFormatting sqref="A2677">
    <cfRule type="duplicateValues" dxfId="229" priority="176"/>
    <cfRule type="duplicateValues" dxfId="228" priority="177"/>
    <cfRule type="duplicateValues" dxfId="227" priority="178"/>
  </conditionalFormatting>
  <conditionalFormatting sqref="A2683">
    <cfRule type="duplicateValues" dxfId="226" priority="173"/>
    <cfRule type="duplicateValues" dxfId="225" priority="174"/>
    <cfRule type="duplicateValues" dxfId="224" priority="175"/>
  </conditionalFormatting>
  <conditionalFormatting sqref="A2681">
    <cfRule type="duplicateValues" dxfId="223" priority="170"/>
    <cfRule type="duplicateValues" dxfId="222" priority="171"/>
    <cfRule type="duplicateValues" dxfId="221" priority="172"/>
  </conditionalFormatting>
  <conditionalFormatting sqref="A2685">
    <cfRule type="duplicateValues" dxfId="220" priority="167"/>
    <cfRule type="duplicateValues" dxfId="219" priority="168"/>
    <cfRule type="duplicateValues" dxfId="218" priority="169"/>
  </conditionalFormatting>
  <conditionalFormatting sqref="A2691">
    <cfRule type="duplicateValues" dxfId="217" priority="164"/>
    <cfRule type="duplicateValues" dxfId="216" priority="165"/>
    <cfRule type="duplicateValues" dxfId="215" priority="166"/>
  </conditionalFormatting>
  <conditionalFormatting sqref="A2689">
    <cfRule type="duplicateValues" dxfId="214" priority="161"/>
    <cfRule type="duplicateValues" dxfId="213" priority="162"/>
    <cfRule type="duplicateValues" dxfId="212" priority="163"/>
  </conditionalFormatting>
  <conditionalFormatting sqref="A2693">
    <cfRule type="duplicateValues" dxfId="211" priority="158"/>
    <cfRule type="duplicateValues" dxfId="210" priority="159"/>
    <cfRule type="duplicateValues" dxfId="209" priority="160"/>
  </conditionalFormatting>
  <conditionalFormatting sqref="A2697">
    <cfRule type="duplicateValues" dxfId="208" priority="155"/>
    <cfRule type="duplicateValues" dxfId="207" priority="156"/>
    <cfRule type="duplicateValues" dxfId="206" priority="157"/>
  </conditionalFormatting>
  <conditionalFormatting sqref="A2701">
    <cfRule type="duplicateValues" dxfId="205" priority="152"/>
    <cfRule type="duplicateValues" dxfId="204" priority="153"/>
    <cfRule type="duplicateValues" dxfId="203" priority="154"/>
  </conditionalFormatting>
  <conditionalFormatting sqref="A2707">
    <cfRule type="duplicateValues" dxfId="202" priority="149"/>
    <cfRule type="duplicateValues" dxfId="201" priority="150"/>
    <cfRule type="duplicateValues" dxfId="200" priority="151"/>
  </conditionalFormatting>
  <conditionalFormatting sqref="A2705">
    <cfRule type="duplicateValues" dxfId="199" priority="146"/>
    <cfRule type="duplicateValues" dxfId="198" priority="147"/>
    <cfRule type="duplicateValues" dxfId="197" priority="148"/>
  </conditionalFormatting>
  <conditionalFormatting sqref="A2709">
    <cfRule type="duplicateValues" dxfId="196" priority="143"/>
    <cfRule type="duplicateValues" dxfId="195" priority="144"/>
    <cfRule type="duplicateValues" dxfId="194" priority="145"/>
  </conditionalFormatting>
  <conditionalFormatting sqref="A2715">
    <cfRule type="duplicateValues" dxfId="193" priority="140"/>
    <cfRule type="duplicateValues" dxfId="192" priority="141"/>
    <cfRule type="duplicateValues" dxfId="191" priority="142"/>
  </conditionalFormatting>
  <conditionalFormatting sqref="A2713">
    <cfRule type="duplicateValues" dxfId="190" priority="137"/>
    <cfRule type="duplicateValues" dxfId="189" priority="138"/>
    <cfRule type="duplicateValues" dxfId="188" priority="139"/>
  </conditionalFormatting>
  <conditionalFormatting sqref="A2717">
    <cfRule type="duplicateValues" dxfId="187" priority="134"/>
    <cfRule type="duplicateValues" dxfId="186" priority="135"/>
    <cfRule type="duplicateValues" dxfId="185" priority="136"/>
  </conditionalFormatting>
  <conditionalFormatting sqref="A2723">
    <cfRule type="duplicateValues" dxfId="184" priority="131"/>
    <cfRule type="duplicateValues" dxfId="183" priority="132"/>
    <cfRule type="duplicateValues" dxfId="182" priority="133"/>
  </conditionalFormatting>
  <conditionalFormatting sqref="A2721">
    <cfRule type="duplicateValues" dxfId="181" priority="128"/>
    <cfRule type="duplicateValues" dxfId="180" priority="129"/>
    <cfRule type="duplicateValues" dxfId="179" priority="130"/>
  </conditionalFormatting>
  <conditionalFormatting sqref="A2725">
    <cfRule type="duplicateValues" dxfId="178" priority="125"/>
    <cfRule type="duplicateValues" dxfId="177" priority="126"/>
    <cfRule type="duplicateValues" dxfId="176" priority="127"/>
  </conditionalFormatting>
  <conditionalFormatting sqref="A2731">
    <cfRule type="duplicateValues" dxfId="175" priority="122"/>
    <cfRule type="duplicateValues" dxfId="174" priority="123"/>
    <cfRule type="duplicateValues" dxfId="173" priority="124"/>
  </conditionalFormatting>
  <conditionalFormatting sqref="A2729">
    <cfRule type="duplicateValues" dxfId="172" priority="119"/>
    <cfRule type="duplicateValues" dxfId="171" priority="120"/>
    <cfRule type="duplicateValues" dxfId="170" priority="121"/>
  </conditionalFormatting>
  <conditionalFormatting sqref="A2733">
    <cfRule type="duplicateValues" dxfId="169" priority="116"/>
    <cfRule type="duplicateValues" dxfId="168" priority="117"/>
    <cfRule type="duplicateValues" dxfId="167" priority="118"/>
  </conditionalFormatting>
  <conditionalFormatting sqref="A2739">
    <cfRule type="duplicateValues" dxfId="166" priority="113"/>
    <cfRule type="duplicateValues" dxfId="165" priority="114"/>
    <cfRule type="duplicateValues" dxfId="164" priority="115"/>
  </conditionalFormatting>
  <conditionalFormatting sqref="A2737">
    <cfRule type="duplicateValues" dxfId="163" priority="110"/>
    <cfRule type="duplicateValues" dxfId="162" priority="111"/>
    <cfRule type="duplicateValues" dxfId="161" priority="112"/>
  </conditionalFormatting>
  <conditionalFormatting sqref="A2741">
    <cfRule type="duplicateValues" dxfId="160" priority="107"/>
    <cfRule type="duplicateValues" dxfId="159" priority="108"/>
    <cfRule type="duplicateValues" dxfId="158" priority="109"/>
  </conditionalFormatting>
  <conditionalFormatting sqref="A2747">
    <cfRule type="duplicateValues" dxfId="157" priority="104"/>
    <cfRule type="duplicateValues" dxfId="156" priority="105"/>
    <cfRule type="duplicateValues" dxfId="155" priority="106"/>
  </conditionalFormatting>
  <conditionalFormatting sqref="A2745">
    <cfRule type="duplicateValues" dxfId="154" priority="101"/>
    <cfRule type="duplicateValues" dxfId="153" priority="102"/>
    <cfRule type="duplicateValues" dxfId="152" priority="103"/>
  </conditionalFormatting>
  <conditionalFormatting sqref="A2749">
    <cfRule type="duplicateValues" dxfId="151" priority="98"/>
    <cfRule type="duplicateValues" dxfId="150" priority="99"/>
    <cfRule type="duplicateValues" dxfId="149" priority="100"/>
  </conditionalFormatting>
  <conditionalFormatting sqref="A2755">
    <cfRule type="duplicateValues" dxfId="148" priority="95"/>
    <cfRule type="duplicateValues" dxfId="147" priority="96"/>
    <cfRule type="duplicateValues" dxfId="146" priority="97"/>
  </conditionalFormatting>
  <conditionalFormatting sqref="A2753">
    <cfRule type="duplicateValues" dxfId="145" priority="92"/>
    <cfRule type="duplicateValues" dxfId="144" priority="93"/>
    <cfRule type="duplicateValues" dxfId="143" priority="94"/>
  </conditionalFormatting>
  <conditionalFormatting sqref="A2757">
    <cfRule type="duplicateValues" dxfId="142" priority="89"/>
    <cfRule type="duplicateValues" dxfId="141" priority="90"/>
    <cfRule type="duplicateValues" dxfId="140" priority="91"/>
  </conditionalFormatting>
  <conditionalFormatting sqref="A2761">
    <cfRule type="duplicateValues" dxfId="139" priority="86"/>
    <cfRule type="duplicateValues" dxfId="138" priority="87"/>
    <cfRule type="duplicateValues" dxfId="137" priority="88"/>
  </conditionalFormatting>
  <conditionalFormatting sqref="A2765">
    <cfRule type="duplicateValues" dxfId="136" priority="83"/>
    <cfRule type="duplicateValues" dxfId="135" priority="84"/>
    <cfRule type="duplicateValues" dxfId="134" priority="85"/>
  </conditionalFormatting>
  <conditionalFormatting sqref="A2771">
    <cfRule type="duplicateValues" dxfId="133" priority="80"/>
    <cfRule type="duplicateValues" dxfId="132" priority="81"/>
    <cfRule type="duplicateValues" dxfId="131" priority="82"/>
  </conditionalFormatting>
  <conditionalFormatting sqref="A2769">
    <cfRule type="duplicateValues" dxfId="130" priority="77"/>
    <cfRule type="duplicateValues" dxfId="129" priority="78"/>
    <cfRule type="duplicateValues" dxfId="128" priority="79"/>
  </conditionalFormatting>
  <conditionalFormatting sqref="A2773">
    <cfRule type="duplicateValues" dxfId="127" priority="74"/>
    <cfRule type="duplicateValues" dxfId="126" priority="75"/>
    <cfRule type="duplicateValues" dxfId="125" priority="76"/>
  </conditionalFormatting>
  <conditionalFormatting sqref="A2779">
    <cfRule type="duplicateValues" dxfId="124" priority="71"/>
    <cfRule type="duplicateValues" dxfId="123" priority="72"/>
    <cfRule type="duplicateValues" dxfId="122" priority="73"/>
  </conditionalFormatting>
  <conditionalFormatting sqref="A2777">
    <cfRule type="duplicateValues" dxfId="121" priority="68"/>
    <cfRule type="duplicateValues" dxfId="120" priority="69"/>
    <cfRule type="duplicateValues" dxfId="119" priority="70"/>
  </conditionalFormatting>
  <conditionalFormatting sqref="A2781">
    <cfRule type="duplicateValues" dxfId="118" priority="65"/>
    <cfRule type="duplicateValues" dxfId="117" priority="66"/>
    <cfRule type="duplicateValues" dxfId="116" priority="67"/>
  </conditionalFormatting>
  <conditionalFormatting sqref="A2787">
    <cfRule type="duplicateValues" dxfId="115" priority="62"/>
    <cfRule type="duplicateValues" dxfId="114" priority="63"/>
    <cfRule type="duplicateValues" dxfId="113" priority="64"/>
  </conditionalFormatting>
  <conditionalFormatting sqref="A2785">
    <cfRule type="duplicateValues" dxfId="112" priority="59"/>
    <cfRule type="duplicateValues" dxfId="111" priority="60"/>
    <cfRule type="duplicateValues" dxfId="110" priority="61"/>
  </conditionalFormatting>
  <conditionalFormatting sqref="A2789">
    <cfRule type="duplicateValues" dxfId="109" priority="56"/>
    <cfRule type="duplicateValues" dxfId="108" priority="57"/>
    <cfRule type="duplicateValues" dxfId="107" priority="58"/>
  </conditionalFormatting>
  <conditionalFormatting sqref="A2795">
    <cfRule type="duplicateValues" dxfId="106" priority="53"/>
    <cfRule type="duplicateValues" dxfId="105" priority="54"/>
    <cfRule type="duplicateValues" dxfId="104" priority="55"/>
  </conditionalFormatting>
  <conditionalFormatting sqref="A2793">
    <cfRule type="duplicateValues" dxfId="103" priority="50"/>
    <cfRule type="duplicateValues" dxfId="102" priority="51"/>
    <cfRule type="duplicateValues" dxfId="101" priority="52"/>
  </conditionalFormatting>
  <conditionalFormatting sqref="A2797">
    <cfRule type="duplicateValues" dxfId="100" priority="47"/>
    <cfRule type="duplicateValues" dxfId="99" priority="48"/>
    <cfRule type="duplicateValues" dxfId="98" priority="49"/>
  </conditionalFormatting>
  <conditionalFormatting sqref="A2803">
    <cfRule type="duplicateValues" dxfId="97" priority="44"/>
    <cfRule type="duplicateValues" dxfId="96" priority="45"/>
    <cfRule type="duplicateValues" dxfId="95" priority="46"/>
  </conditionalFormatting>
  <conditionalFormatting sqref="A2801">
    <cfRule type="duplicateValues" dxfId="94" priority="41"/>
    <cfRule type="duplicateValues" dxfId="93" priority="42"/>
    <cfRule type="duplicateValues" dxfId="92" priority="43"/>
  </conditionalFormatting>
  <conditionalFormatting sqref="A2805">
    <cfRule type="duplicateValues" dxfId="91" priority="38"/>
    <cfRule type="duplicateValues" dxfId="90" priority="39"/>
    <cfRule type="duplicateValues" dxfId="89" priority="40"/>
  </conditionalFormatting>
  <conditionalFormatting sqref="A2811">
    <cfRule type="duplicateValues" dxfId="88" priority="35"/>
    <cfRule type="duplicateValues" dxfId="87" priority="36"/>
    <cfRule type="duplicateValues" dxfId="86" priority="37"/>
  </conditionalFormatting>
  <conditionalFormatting sqref="A2809">
    <cfRule type="duplicateValues" dxfId="85" priority="32"/>
    <cfRule type="duplicateValues" dxfId="84" priority="33"/>
    <cfRule type="duplicateValues" dxfId="83" priority="34"/>
  </conditionalFormatting>
  <conditionalFormatting sqref="A2813">
    <cfRule type="duplicateValues" dxfId="82" priority="29"/>
    <cfRule type="duplicateValues" dxfId="81" priority="30"/>
    <cfRule type="duplicateValues" dxfId="80" priority="31"/>
  </conditionalFormatting>
  <conditionalFormatting sqref="A2819">
    <cfRule type="duplicateValues" dxfId="79" priority="26"/>
    <cfRule type="duplicateValues" dxfId="78" priority="27"/>
    <cfRule type="duplicateValues" dxfId="77" priority="28"/>
  </conditionalFormatting>
  <conditionalFormatting sqref="A2817">
    <cfRule type="duplicateValues" dxfId="76" priority="23"/>
    <cfRule type="duplicateValues" dxfId="75" priority="24"/>
    <cfRule type="duplicateValues" dxfId="74" priority="25"/>
  </conditionalFormatting>
  <conditionalFormatting sqref="A2821">
    <cfRule type="duplicateValues" dxfId="73" priority="20"/>
    <cfRule type="duplicateValues" dxfId="72" priority="21"/>
    <cfRule type="duplicateValues" dxfId="71" priority="22"/>
  </conditionalFormatting>
  <conditionalFormatting sqref="A2825">
    <cfRule type="duplicateValues" dxfId="70" priority="17"/>
    <cfRule type="duplicateValues" dxfId="69" priority="18"/>
    <cfRule type="duplicateValues" dxfId="68" priority="19"/>
  </conditionalFormatting>
  <conditionalFormatting sqref="A2829">
    <cfRule type="duplicateValues" dxfId="67" priority="14"/>
    <cfRule type="duplicateValues" dxfId="66" priority="15"/>
    <cfRule type="duplicateValues" dxfId="65" priority="16"/>
  </conditionalFormatting>
  <conditionalFormatting sqref="A2833 A2835 A2837">
    <cfRule type="duplicateValues" dxfId="64" priority="10"/>
  </conditionalFormatting>
  <conditionalFormatting sqref="A2834 A2836">
    <cfRule type="duplicateValues" dxfId="63" priority="11"/>
    <cfRule type="duplicateValues" dxfId="62" priority="12"/>
    <cfRule type="duplicateValues" dxfId="61" priority="13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workbookViewId="0">
      <selection activeCell="L24" sqref="L24"/>
    </sheetView>
  </sheetViews>
  <sheetFormatPr defaultColWidth="9" defaultRowHeight="14" x14ac:dyDescent="0.25"/>
  <cols>
    <col min="1" max="9" width="9" style="1" customWidth="1"/>
    <col min="10" max="10" width="24.7265625" style="17" bestFit="1" customWidth="1"/>
    <col min="11" max="11" width="23.7265625" style="17" customWidth="1"/>
    <col min="12" max="12" width="20.453125" style="17" bestFit="1" customWidth="1"/>
    <col min="13" max="13" width="25.26953125" style="2" customWidth="1"/>
    <col min="14" max="14" width="9" style="2" customWidth="1"/>
    <col min="15" max="15" width="9" style="1" customWidth="1"/>
    <col min="16" max="16384" width="9" style="1"/>
  </cols>
  <sheetData>
    <row r="1" spans="1:12" x14ac:dyDescent="0.25">
      <c r="A1" s="1" t="s">
        <v>1029</v>
      </c>
    </row>
    <row r="2" spans="1:12" x14ac:dyDescent="0.25">
      <c r="B2" s="1" t="s">
        <v>1030</v>
      </c>
    </row>
    <row r="3" spans="1:12" x14ac:dyDescent="0.25">
      <c r="B3" s="1" t="s">
        <v>1031</v>
      </c>
    </row>
    <row r="4" spans="1:12" x14ac:dyDescent="0.25">
      <c r="B4" s="1" t="s">
        <v>1032</v>
      </c>
    </row>
    <row r="5" spans="1:12" x14ac:dyDescent="0.25">
      <c r="B5" s="1" t="s">
        <v>1033</v>
      </c>
    </row>
    <row r="10" spans="1:12" x14ac:dyDescent="0.25">
      <c r="K10" s="17" t="s">
        <v>1034</v>
      </c>
    </row>
    <row r="12" spans="1:12" ht="28.4" customHeight="1" x14ac:dyDescent="0.25">
      <c r="J12" s="19" t="s">
        <v>1035</v>
      </c>
      <c r="K12" s="20" t="s">
        <v>1036</v>
      </c>
      <c r="L12" s="21" t="s">
        <v>1037</v>
      </c>
    </row>
    <row r="13" spans="1:12" x14ac:dyDescent="0.25">
      <c r="J13" s="19"/>
      <c r="K13" s="20"/>
    </row>
    <row r="14" spans="1:12" ht="42.65" customHeight="1" x14ac:dyDescent="0.25">
      <c r="J14" s="19" t="s">
        <v>1038</v>
      </c>
      <c r="K14" s="20" t="s">
        <v>1039</v>
      </c>
    </row>
    <row r="15" spans="1:12" x14ac:dyDescent="0.25">
      <c r="J15" s="19"/>
      <c r="K15" s="20"/>
    </row>
    <row r="16" spans="1:12" ht="42.65" customHeight="1" x14ac:dyDescent="0.25">
      <c r="J16" s="19" t="s">
        <v>1040</v>
      </c>
      <c r="K16" s="20" t="s">
        <v>1041</v>
      </c>
    </row>
    <row r="17" spans="11:11" x14ac:dyDescent="0.25">
      <c r="K17" s="20"/>
    </row>
    <row r="18" spans="11:11" ht="42.65" customHeight="1" x14ac:dyDescent="0.25">
      <c r="K18" s="20" t="s">
        <v>1042</v>
      </c>
    </row>
    <row r="19" spans="11:11" x14ac:dyDescent="0.25">
      <c r="K19" s="20"/>
    </row>
    <row r="20" spans="11:11" ht="42.65" customHeight="1" x14ac:dyDescent="0.25">
      <c r="K20" s="20" t="s">
        <v>1043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3"/>
  <sheetViews>
    <sheetView topLeftCell="A337" workbookViewId="0">
      <selection activeCell="K359" sqref="K359"/>
    </sheetView>
  </sheetViews>
  <sheetFormatPr defaultRowHeight="16.5" x14ac:dyDescent="0.25"/>
  <cols>
    <col min="1" max="1" width="9.7265625" style="13" customWidth="1"/>
    <col min="2" max="2" width="27.26953125" style="13" customWidth="1"/>
    <col min="3" max="3" width="9.7265625" style="13" customWidth="1"/>
    <col min="8" max="8" width="20.7265625" style="18" bestFit="1" customWidth="1"/>
  </cols>
  <sheetData>
    <row r="1" spans="1:10" x14ac:dyDescent="0.25">
      <c r="A1" s="7" t="s">
        <v>1044</v>
      </c>
      <c r="B1" s="7"/>
      <c r="C1" s="7" t="s">
        <v>1044</v>
      </c>
    </row>
    <row r="2" spans="1:10" ht="15.65" customHeight="1" x14ac:dyDescent="0.25">
      <c r="A2" s="9" t="s">
        <v>1045</v>
      </c>
      <c r="B2" s="9" t="s">
        <v>1046</v>
      </c>
      <c r="C2" s="9" t="s">
        <v>1045</v>
      </c>
    </row>
    <row r="3" spans="1:10" x14ac:dyDescent="0.25">
      <c r="A3" s="10" t="s">
        <v>14</v>
      </c>
      <c r="B3" s="10" t="s">
        <v>1047</v>
      </c>
      <c r="C3" s="10" t="s">
        <v>14</v>
      </c>
    </row>
    <row r="4" spans="1:10" x14ac:dyDescent="0.25">
      <c r="A4" s="7">
        <v>1</v>
      </c>
      <c r="B4" s="7" t="s">
        <v>1048</v>
      </c>
      <c r="C4" s="7">
        <v>1</v>
      </c>
    </row>
    <row r="5" spans="1:10" x14ac:dyDescent="0.25">
      <c r="A5" s="7">
        <v>2</v>
      </c>
      <c r="B5" s="7" t="s">
        <v>1049</v>
      </c>
      <c r="C5" s="7">
        <v>2</v>
      </c>
      <c r="H5" s="6" t="s">
        <v>1050</v>
      </c>
      <c r="I5">
        <v>100</v>
      </c>
      <c r="J5" s="22">
        <f t="shared" ref="J5:J36" si="0">I5/SUM($I$5:$I$81)</f>
        <v>4.6146746654360866E-2</v>
      </c>
    </row>
    <row r="6" spans="1:10" x14ac:dyDescent="0.25">
      <c r="A6" s="7">
        <v>3</v>
      </c>
      <c r="B6" s="7" t="s">
        <v>1051</v>
      </c>
      <c r="C6" s="7">
        <v>3</v>
      </c>
      <c r="H6" s="6" t="s">
        <v>1052</v>
      </c>
      <c r="I6">
        <v>100</v>
      </c>
      <c r="J6" s="22">
        <f t="shared" si="0"/>
        <v>4.6146746654360866E-2</v>
      </c>
    </row>
    <row r="7" spans="1:10" x14ac:dyDescent="0.25">
      <c r="A7" s="7">
        <v>4</v>
      </c>
      <c r="B7" s="7" t="s">
        <v>1053</v>
      </c>
      <c r="C7" s="7">
        <v>4</v>
      </c>
      <c r="H7" s="6" t="s">
        <v>1054</v>
      </c>
      <c r="I7">
        <v>100</v>
      </c>
      <c r="J7" s="22">
        <f t="shared" si="0"/>
        <v>4.6146746654360866E-2</v>
      </c>
    </row>
    <row r="8" spans="1:10" x14ac:dyDescent="0.25">
      <c r="A8" s="7">
        <v>5</v>
      </c>
      <c r="B8" s="7" t="s">
        <v>1055</v>
      </c>
      <c r="C8" s="7">
        <v>5</v>
      </c>
      <c r="H8" s="6" t="s">
        <v>1056</v>
      </c>
      <c r="I8">
        <v>100</v>
      </c>
      <c r="J8" s="22">
        <f t="shared" si="0"/>
        <v>4.6146746654360866E-2</v>
      </c>
    </row>
    <row r="9" spans="1:10" x14ac:dyDescent="0.25">
      <c r="A9" s="7">
        <v>6</v>
      </c>
      <c r="B9" s="7" t="s">
        <v>1057</v>
      </c>
      <c r="C9" s="7">
        <v>6</v>
      </c>
      <c r="H9" s="6" t="s">
        <v>1058</v>
      </c>
      <c r="I9">
        <v>100</v>
      </c>
      <c r="J9" s="22">
        <f t="shared" si="0"/>
        <v>4.6146746654360866E-2</v>
      </c>
    </row>
    <row r="10" spans="1:10" x14ac:dyDescent="0.25">
      <c r="A10" s="7">
        <v>7</v>
      </c>
      <c r="B10" s="7" t="s">
        <v>1059</v>
      </c>
      <c r="C10" s="7">
        <v>7</v>
      </c>
      <c r="H10" s="6" t="s">
        <v>1060</v>
      </c>
      <c r="I10">
        <v>50</v>
      </c>
      <c r="J10" s="22">
        <f t="shared" si="0"/>
        <v>2.3073373327180433E-2</v>
      </c>
    </row>
    <row r="11" spans="1:10" x14ac:dyDescent="0.25">
      <c r="A11" s="7">
        <v>8</v>
      </c>
      <c r="B11" s="7" t="s">
        <v>1053</v>
      </c>
      <c r="C11" s="7">
        <v>8</v>
      </c>
      <c r="H11" s="6" t="s">
        <v>1061</v>
      </c>
      <c r="I11">
        <v>10</v>
      </c>
      <c r="J11" s="22">
        <f t="shared" si="0"/>
        <v>4.6146746654360865E-3</v>
      </c>
    </row>
    <row r="12" spans="1:10" x14ac:dyDescent="0.25">
      <c r="A12" s="7">
        <v>11</v>
      </c>
      <c r="B12" s="7" t="s">
        <v>1055</v>
      </c>
      <c r="C12" s="7">
        <v>11</v>
      </c>
      <c r="H12" s="6" t="s">
        <v>1062</v>
      </c>
      <c r="I12">
        <v>5</v>
      </c>
      <c r="J12" s="22">
        <f t="shared" si="0"/>
        <v>2.3073373327180432E-3</v>
      </c>
    </row>
    <row r="13" spans="1:10" x14ac:dyDescent="0.25">
      <c r="A13" s="7">
        <v>12</v>
      </c>
      <c r="B13" s="7" t="s">
        <v>1057</v>
      </c>
      <c r="C13" s="7">
        <v>12</v>
      </c>
      <c r="H13" s="6" t="s">
        <v>1063</v>
      </c>
      <c r="I13">
        <v>2</v>
      </c>
      <c r="J13" s="22">
        <f t="shared" si="0"/>
        <v>9.2293493308721734E-4</v>
      </c>
    </row>
    <row r="14" spans="1:10" x14ac:dyDescent="0.25">
      <c r="A14" s="7">
        <v>13</v>
      </c>
      <c r="B14" s="7" t="s">
        <v>1059</v>
      </c>
      <c r="C14" s="7">
        <v>13</v>
      </c>
      <c r="H14" s="6" t="s">
        <v>1064</v>
      </c>
      <c r="I14">
        <v>1</v>
      </c>
      <c r="J14" s="22">
        <f t="shared" si="0"/>
        <v>4.6146746654360867E-4</v>
      </c>
    </row>
    <row r="15" spans="1:10" x14ac:dyDescent="0.25">
      <c r="A15" s="7">
        <v>14</v>
      </c>
      <c r="B15" s="7" t="s">
        <v>1065</v>
      </c>
      <c r="C15" s="7">
        <v>14</v>
      </c>
      <c r="H15" s="6" t="s">
        <v>1066</v>
      </c>
      <c r="I15">
        <v>1</v>
      </c>
      <c r="J15" s="22">
        <f t="shared" si="0"/>
        <v>4.6146746654360867E-4</v>
      </c>
    </row>
    <row r="16" spans="1:10" x14ac:dyDescent="0.25">
      <c r="A16" s="7">
        <v>15</v>
      </c>
      <c r="B16" s="7" t="s">
        <v>1067</v>
      </c>
      <c r="C16" s="7">
        <v>15</v>
      </c>
      <c r="H16" s="6" t="s">
        <v>1068</v>
      </c>
      <c r="I16">
        <v>50</v>
      </c>
      <c r="J16" s="22">
        <f t="shared" si="0"/>
        <v>2.3073373327180433E-2</v>
      </c>
    </row>
    <row r="17" spans="1:10" x14ac:dyDescent="0.25">
      <c r="A17" s="7">
        <v>16</v>
      </c>
      <c r="B17" s="7" t="s">
        <v>1069</v>
      </c>
      <c r="C17" s="7">
        <v>16</v>
      </c>
      <c r="H17" s="6" t="s">
        <v>1070</v>
      </c>
      <c r="I17">
        <v>10</v>
      </c>
      <c r="J17" s="22">
        <f t="shared" si="0"/>
        <v>4.6146746654360865E-3</v>
      </c>
    </row>
    <row r="18" spans="1:10" x14ac:dyDescent="0.25">
      <c r="A18" s="7">
        <v>17</v>
      </c>
      <c r="B18" s="7" t="s">
        <v>1071</v>
      </c>
      <c r="C18" s="7">
        <v>17</v>
      </c>
      <c r="H18" s="6" t="s">
        <v>1072</v>
      </c>
      <c r="I18">
        <v>5</v>
      </c>
      <c r="J18" s="22">
        <f t="shared" si="0"/>
        <v>2.3073373327180432E-3</v>
      </c>
    </row>
    <row r="19" spans="1:10" x14ac:dyDescent="0.25">
      <c r="A19" s="7">
        <v>18</v>
      </c>
      <c r="B19" s="7" t="s">
        <v>1073</v>
      </c>
      <c r="C19" s="7">
        <v>18</v>
      </c>
      <c r="H19" s="6" t="s">
        <v>1074</v>
      </c>
      <c r="I19">
        <v>2</v>
      </c>
      <c r="J19" s="22">
        <f t="shared" si="0"/>
        <v>9.2293493308721734E-4</v>
      </c>
    </row>
    <row r="20" spans="1:10" x14ac:dyDescent="0.25">
      <c r="A20" s="7">
        <v>21</v>
      </c>
      <c r="B20" s="7" t="s">
        <v>1075</v>
      </c>
      <c r="C20" s="7">
        <v>21</v>
      </c>
      <c r="H20" s="6" t="s">
        <v>1076</v>
      </c>
      <c r="I20">
        <v>1</v>
      </c>
      <c r="J20" s="22">
        <f t="shared" si="0"/>
        <v>4.6146746654360867E-4</v>
      </c>
    </row>
    <row r="21" spans="1:10" x14ac:dyDescent="0.25">
      <c r="A21" s="7">
        <v>22</v>
      </c>
      <c r="B21" s="7" t="s">
        <v>1077</v>
      </c>
      <c r="C21" s="7">
        <v>22</v>
      </c>
      <c r="H21" s="6" t="s">
        <v>1078</v>
      </c>
      <c r="I21">
        <v>1</v>
      </c>
      <c r="J21" s="22">
        <f t="shared" si="0"/>
        <v>4.6146746654360867E-4</v>
      </c>
    </row>
    <row r="22" spans="1:10" x14ac:dyDescent="0.25">
      <c r="A22" s="7">
        <v>23</v>
      </c>
      <c r="B22" s="7" t="s">
        <v>1079</v>
      </c>
      <c r="C22" s="7">
        <v>23</v>
      </c>
      <c r="H22" s="6" t="s">
        <v>1080</v>
      </c>
      <c r="I22">
        <v>50</v>
      </c>
      <c r="J22" s="22">
        <f t="shared" si="0"/>
        <v>2.3073373327180433E-2</v>
      </c>
    </row>
    <row r="23" spans="1:10" x14ac:dyDescent="0.25">
      <c r="A23" s="7">
        <v>24</v>
      </c>
      <c r="B23" s="7" t="s">
        <v>1081</v>
      </c>
      <c r="C23" s="7">
        <v>24</v>
      </c>
      <c r="H23" s="6" t="s">
        <v>1082</v>
      </c>
      <c r="I23">
        <v>10</v>
      </c>
      <c r="J23" s="22">
        <f t="shared" si="0"/>
        <v>4.6146746654360865E-3</v>
      </c>
    </row>
    <row r="24" spans="1:10" x14ac:dyDescent="0.25">
      <c r="A24" s="7">
        <v>31</v>
      </c>
      <c r="B24" s="7" t="s">
        <v>1083</v>
      </c>
      <c r="C24" s="7">
        <v>31</v>
      </c>
      <c r="H24" s="6" t="s">
        <v>1084</v>
      </c>
      <c r="I24">
        <v>5</v>
      </c>
      <c r="J24" s="22">
        <f t="shared" si="0"/>
        <v>2.3073373327180432E-3</v>
      </c>
    </row>
    <row r="25" spans="1:10" x14ac:dyDescent="0.25">
      <c r="A25" s="7">
        <v>32</v>
      </c>
      <c r="B25" s="7" t="s">
        <v>1085</v>
      </c>
      <c r="C25" s="7">
        <v>32</v>
      </c>
      <c r="H25" s="6" t="s">
        <v>1086</v>
      </c>
      <c r="I25">
        <v>2</v>
      </c>
      <c r="J25" s="22">
        <f t="shared" si="0"/>
        <v>9.2293493308721734E-4</v>
      </c>
    </row>
    <row r="26" spans="1:10" x14ac:dyDescent="0.25">
      <c r="A26" s="7">
        <v>33</v>
      </c>
      <c r="B26" s="7" t="s">
        <v>1087</v>
      </c>
      <c r="C26" s="7">
        <v>33</v>
      </c>
      <c r="H26" s="6" t="s">
        <v>1088</v>
      </c>
      <c r="I26">
        <v>1</v>
      </c>
      <c r="J26" s="22">
        <f t="shared" si="0"/>
        <v>4.6146746654360867E-4</v>
      </c>
    </row>
    <row r="27" spans="1:10" x14ac:dyDescent="0.25">
      <c r="A27" s="7">
        <v>34</v>
      </c>
      <c r="B27" s="7" t="s">
        <v>1089</v>
      </c>
      <c r="C27" s="7">
        <v>34</v>
      </c>
      <c r="H27" s="6" t="s">
        <v>1090</v>
      </c>
      <c r="I27">
        <v>1</v>
      </c>
      <c r="J27" s="22">
        <f t="shared" si="0"/>
        <v>4.6146746654360867E-4</v>
      </c>
    </row>
    <row r="28" spans="1:10" x14ac:dyDescent="0.25">
      <c r="A28" s="7">
        <v>41</v>
      </c>
      <c r="B28" s="7" t="s">
        <v>1091</v>
      </c>
      <c r="C28" s="7">
        <v>41</v>
      </c>
      <c r="H28" s="6" t="s">
        <v>1092</v>
      </c>
      <c r="I28">
        <v>50</v>
      </c>
      <c r="J28" s="22">
        <f t="shared" si="0"/>
        <v>2.3073373327180433E-2</v>
      </c>
    </row>
    <row r="29" spans="1:10" x14ac:dyDescent="0.25">
      <c r="A29" s="7">
        <v>42</v>
      </c>
      <c r="B29" s="7" t="s">
        <v>1093</v>
      </c>
      <c r="C29" s="7">
        <v>42</v>
      </c>
      <c r="H29" s="6" t="s">
        <v>1094</v>
      </c>
      <c r="I29">
        <v>10</v>
      </c>
      <c r="J29" s="22">
        <f t="shared" si="0"/>
        <v>4.6146746654360865E-3</v>
      </c>
    </row>
    <row r="30" spans="1:10" x14ac:dyDescent="0.25">
      <c r="A30" s="7">
        <v>43</v>
      </c>
      <c r="B30" s="7" t="s">
        <v>1095</v>
      </c>
      <c r="C30" s="7">
        <v>43</v>
      </c>
      <c r="H30" s="6" t="s">
        <v>1096</v>
      </c>
      <c r="I30">
        <v>5</v>
      </c>
      <c r="J30" s="22">
        <f t="shared" si="0"/>
        <v>2.3073373327180432E-3</v>
      </c>
    </row>
    <row r="31" spans="1:10" x14ac:dyDescent="0.25">
      <c r="A31" s="7">
        <v>44</v>
      </c>
      <c r="B31" s="7" t="s">
        <v>1097</v>
      </c>
      <c r="C31" s="7">
        <v>44</v>
      </c>
      <c r="H31" s="6" t="s">
        <v>1098</v>
      </c>
      <c r="I31">
        <v>2</v>
      </c>
      <c r="J31" s="22">
        <f t="shared" si="0"/>
        <v>9.2293493308721734E-4</v>
      </c>
    </row>
    <row r="32" spans="1:10" x14ac:dyDescent="0.25">
      <c r="A32" s="7">
        <v>51</v>
      </c>
      <c r="B32" s="7" t="s">
        <v>1099</v>
      </c>
      <c r="C32" s="7">
        <v>51</v>
      </c>
      <c r="H32" s="6" t="s">
        <v>1100</v>
      </c>
      <c r="I32">
        <v>1</v>
      </c>
      <c r="J32" s="22">
        <f t="shared" si="0"/>
        <v>4.6146746654360867E-4</v>
      </c>
    </row>
    <row r="33" spans="1:10" x14ac:dyDescent="0.25">
      <c r="A33" s="7">
        <v>52</v>
      </c>
      <c r="B33" s="7" t="s">
        <v>1101</v>
      </c>
      <c r="C33" s="7">
        <v>52</v>
      </c>
      <c r="H33" s="6" t="s">
        <v>1102</v>
      </c>
      <c r="I33">
        <v>1</v>
      </c>
      <c r="J33" s="22">
        <f t="shared" si="0"/>
        <v>4.6146746654360867E-4</v>
      </c>
    </row>
    <row r="34" spans="1:10" x14ac:dyDescent="0.25">
      <c r="A34" s="7">
        <v>53</v>
      </c>
      <c r="B34" s="7" t="s">
        <v>1103</v>
      </c>
      <c r="C34" s="7">
        <v>53</v>
      </c>
      <c r="H34" s="6" t="s">
        <v>1104</v>
      </c>
      <c r="I34">
        <v>50</v>
      </c>
      <c r="J34" s="22">
        <f t="shared" si="0"/>
        <v>2.3073373327180433E-2</v>
      </c>
    </row>
    <row r="35" spans="1:10" x14ac:dyDescent="0.25">
      <c r="A35" s="7">
        <v>54</v>
      </c>
      <c r="B35" s="7" t="s">
        <v>1105</v>
      </c>
      <c r="C35" s="7">
        <v>54</v>
      </c>
      <c r="H35" s="6" t="s">
        <v>1106</v>
      </c>
      <c r="I35">
        <v>10</v>
      </c>
      <c r="J35" s="22">
        <f t="shared" si="0"/>
        <v>4.6146746654360865E-3</v>
      </c>
    </row>
    <row r="36" spans="1:10" x14ac:dyDescent="0.25">
      <c r="A36" s="7">
        <v>61</v>
      </c>
      <c r="B36" s="7" t="s">
        <v>1048</v>
      </c>
      <c r="C36" s="7">
        <v>61</v>
      </c>
      <c r="H36" s="6" t="s">
        <v>1107</v>
      </c>
      <c r="I36">
        <v>5</v>
      </c>
      <c r="J36" s="22">
        <f t="shared" si="0"/>
        <v>2.3073373327180432E-3</v>
      </c>
    </row>
    <row r="37" spans="1:10" x14ac:dyDescent="0.25">
      <c r="A37" s="7">
        <v>62</v>
      </c>
      <c r="B37" s="7" t="s">
        <v>1049</v>
      </c>
      <c r="C37" s="7">
        <v>62</v>
      </c>
      <c r="H37" s="6" t="s">
        <v>1108</v>
      </c>
      <c r="I37">
        <v>2</v>
      </c>
      <c r="J37" s="22">
        <f t="shared" ref="J37:J68" si="1">I37/SUM($I$5:$I$81)</f>
        <v>9.2293493308721734E-4</v>
      </c>
    </row>
    <row r="38" spans="1:10" x14ac:dyDescent="0.25">
      <c r="A38" s="7">
        <v>63</v>
      </c>
      <c r="B38" s="7" t="s">
        <v>1051</v>
      </c>
      <c r="C38" s="7">
        <v>63</v>
      </c>
      <c r="H38" s="6" t="s">
        <v>1109</v>
      </c>
      <c r="I38">
        <v>1</v>
      </c>
      <c r="J38" s="22">
        <f t="shared" si="1"/>
        <v>4.6146746654360867E-4</v>
      </c>
    </row>
    <row r="39" spans="1:10" x14ac:dyDescent="0.25">
      <c r="A39" s="7">
        <v>64</v>
      </c>
      <c r="B39" s="7" t="s">
        <v>1053</v>
      </c>
      <c r="C39" s="7">
        <v>64</v>
      </c>
      <c r="H39" s="6" t="s">
        <v>1110</v>
      </c>
      <c r="I39">
        <v>1</v>
      </c>
      <c r="J39" s="22">
        <f t="shared" si="1"/>
        <v>4.6146746654360867E-4</v>
      </c>
    </row>
    <row r="40" spans="1:10" x14ac:dyDescent="0.25">
      <c r="A40" s="7">
        <v>101</v>
      </c>
      <c r="B40" s="7" t="s">
        <v>1111</v>
      </c>
      <c r="C40" s="7">
        <v>101</v>
      </c>
      <c r="H40" s="6" t="s">
        <v>1112</v>
      </c>
      <c r="I40">
        <v>50</v>
      </c>
      <c r="J40" s="22">
        <f t="shared" si="1"/>
        <v>2.3073373327180433E-2</v>
      </c>
    </row>
    <row r="41" spans="1:10" x14ac:dyDescent="0.25">
      <c r="A41" s="7">
        <v>102</v>
      </c>
      <c r="B41" s="7" t="s">
        <v>1113</v>
      </c>
      <c r="C41" s="7">
        <v>102</v>
      </c>
      <c r="H41" s="6" t="s">
        <v>1049</v>
      </c>
      <c r="I41">
        <v>50</v>
      </c>
      <c r="J41" s="22">
        <f t="shared" si="1"/>
        <v>2.3073373327180433E-2</v>
      </c>
    </row>
    <row r="42" spans="1:10" x14ac:dyDescent="0.25">
      <c r="A42" s="7">
        <v>103</v>
      </c>
      <c r="B42" s="7" t="s">
        <v>1114</v>
      </c>
      <c r="C42" s="7">
        <v>103</v>
      </c>
      <c r="H42" s="6" t="s">
        <v>1051</v>
      </c>
      <c r="I42">
        <v>50</v>
      </c>
      <c r="J42" s="22">
        <f t="shared" si="1"/>
        <v>2.3073373327180433E-2</v>
      </c>
    </row>
    <row r="43" spans="1:10" x14ac:dyDescent="0.25">
      <c r="A43" s="7">
        <v>501</v>
      </c>
      <c r="B43" s="7" t="s">
        <v>1115</v>
      </c>
      <c r="C43" s="7">
        <v>501</v>
      </c>
      <c r="H43" s="6" t="s">
        <v>1116</v>
      </c>
      <c r="I43">
        <v>50</v>
      </c>
      <c r="J43" s="22">
        <f t="shared" si="1"/>
        <v>2.3073373327180433E-2</v>
      </c>
    </row>
    <row r="44" spans="1:10" x14ac:dyDescent="0.25">
      <c r="A44" s="7">
        <v>502</v>
      </c>
      <c r="B44" s="7" t="s">
        <v>1117</v>
      </c>
      <c r="C44" s="7">
        <v>502</v>
      </c>
      <c r="H44" s="6" t="s">
        <v>1118</v>
      </c>
      <c r="I44">
        <v>100</v>
      </c>
      <c r="J44" s="22">
        <f t="shared" si="1"/>
        <v>4.6146746654360866E-2</v>
      </c>
    </row>
    <row r="45" spans="1:10" x14ac:dyDescent="0.25">
      <c r="A45" s="7">
        <v>503</v>
      </c>
      <c r="B45" s="7" t="s">
        <v>1119</v>
      </c>
      <c r="C45" s="7">
        <v>503</v>
      </c>
      <c r="H45" s="6" t="s">
        <v>1057</v>
      </c>
      <c r="I45">
        <v>100</v>
      </c>
      <c r="J45" s="22">
        <f t="shared" si="1"/>
        <v>4.6146746654360866E-2</v>
      </c>
    </row>
    <row r="46" spans="1:10" x14ac:dyDescent="0.25">
      <c r="A46" s="7">
        <v>504</v>
      </c>
      <c r="B46" s="7" t="s">
        <v>1120</v>
      </c>
      <c r="C46" s="7">
        <v>504</v>
      </c>
      <c r="H46" s="6" t="s">
        <v>1059</v>
      </c>
      <c r="I46">
        <v>100</v>
      </c>
      <c r="J46" s="22">
        <f t="shared" si="1"/>
        <v>4.6146746654360866E-2</v>
      </c>
    </row>
    <row r="47" spans="1:10" x14ac:dyDescent="0.25">
      <c r="A47" s="7">
        <v>505</v>
      </c>
      <c r="B47" s="7" t="s">
        <v>1121</v>
      </c>
      <c r="C47" s="7">
        <v>505</v>
      </c>
      <c r="H47" s="6" t="s">
        <v>1053</v>
      </c>
      <c r="I47">
        <v>50</v>
      </c>
      <c r="J47" s="22">
        <f t="shared" si="1"/>
        <v>2.3073373327180433E-2</v>
      </c>
    </row>
    <row r="48" spans="1:10" x14ac:dyDescent="0.25">
      <c r="A48" s="7">
        <v>506</v>
      </c>
      <c r="B48" s="7" t="s">
        <v>1122</v>
      </c>
      <c r="C48" s="7">
        <v>506</v>
      </c>
      <c r="H48" s="6" t="s">
        <v>1118</v>
      </c>
      <c r="I48">
        <v>100</v>
      </c>
      <c r="J48" s="22">
        <f t="shared" si="1"/>
        <v>4.6146746654360866E-2</v>
      </c>
    </row>
    <row r="49" spans="1:10" x14ac:dyDescent="0.25">
      <c r="A49" s="7">
        <v>507</v>
      </c>
      <c r="B49" s="7" t="s">
        <v>1123</v>
      </c>
      <c r="C49" s="7">
        <v>507</v>
      </c>
      <c r="H49" s="6" t="s">
        <v>1057</v>
      </c>
      <c r="I49">
        <v>100</v>
      </c>
      <c r="J49" s="22">
        <f t="shared" si="1"/>
        <v>4.6146746654360866E-2</v>
      </c>
    </row>
    <row r="50" spans="1:10" x14ac:dyDescent="0.25">
      <c r="A50" s="7">
        <v>508</v>
      </c>
      <c r="B50" s="7" t="s">
        <v>1124</v>
      </c>
      <c r="C50" s="7">
        <v>508</v>
      </c>
      <c r="H50" s="6" t="s">
        <v>1059</v>
      </c>
      <c r="I50">
        <v>100</v>
      </c>
      <c r="J50" s="22">
        <f t="shared" si="1"/>
        <v>4.6146746654360866E-2</v>
      </c>
    </row>
    <row r="51" spans="1:10" x14ac:dyDescent="0.25">
      <c r="A51" s="7">
        <v>509</v>
      </c>
      <c r="B51" s="7" t="s">
        <v>1125</v>
      </c>
      <c r="C51" s="7">
        <v>509</v>
      </c>
      <c r="H51" s="6" t="s">
        <v>1065</v>
      </c>
      <c r="I51">
        <v>100</v>
      </c>
      <c r="J51" s="22">
        <f t="shared" si="1"/>
        <v>4.6146746654360866E-2</v>
      </c>
    </row>
    <row r="52" spans="1:10" x14ac:dyDescent="0.25">
      <c r="A52" s="7">
        <v>510</v>
      </c>
      <c r="B52" s="7" t="s">
        <v>1126</v>
      </c>
      <c r="C52" s="7">
        <v>510</v>
      </c>
      <c r="H52" s="6" t="s">
        <v>1127</v>
      </c>
      <c r="I52">
        <v>5</v>
      </c>
      <c r="J52" s="22">
        <f t="shared" si="1"/>
        <v>2.3073373327180432E-3</v>
      </c>
    </row>
    <row r="53" spans="1:10" x14ac:dyDescent="0.25">
      <c r="A53" s="7">
        <v>511</v>
      </c>
      <c r="B53" s="7" t="s">
        <v>1128</v>
      </c>
      <c r="C53" s="7">
        <v>511</v>
      </c>
      <c r="H53" s="6" t="s">
        <v>1069</v>
      </c>
      <c r="I53">
        <v>5</v>
      </c>
      <c r="J53" s="22">
        <f t="shared" si="1"/>
        <v>2.3073373327180432E-3</v>
      </c>
    </row>
    <row r="54" spans="1:10" x14ac:dyDescent="0.25">
      <c r="A54" s="7">
        <v>512</v>
      </c>
      <c r="B54" s="7" t="s">
        <v>1129</v>
      </c>
      <c r="C54" s="7">
        <v>512</v>
      </c>
      <c r="H54" s="6" t="s">
        <v>1071</v>
      </c>
      <c r="I54">
        <v>5</v>
      </c>
      <c r="J54" s="22">
        <f t="shared" si="1"/>
        <v>2.3073373327180432E-3</v>
      </c>
    </row>
    <row r="55" spans="1:10" x14ac:dyDescent="0.25">
      <c r="A55" s="7">
        <v>590</v>
      </c>
      <c r="B55" s="7" t="s">
        <v>1130</v>
      </c>
      <c r="C55" s="7">
        <v>590</v>
      </c>
      <c r="H55" s="6" t="s">
        <v>1073</v>
      </c>
      <c r="I55">
        <v>5</v>
      </c>
      <c r="J55" s="22">
        <f t="shared" si="1"/>
        <v>2.3073373327180432E-3</v>
      </c>
    </row>
    <row r="56" spans="1:10" x14ac:dyDescent="0.25">
      <c r="A56" s="7">
        <v>591</v>
      </c>
      <c r="B56" s="7" t="s">
        <v>1131</v>
      </c>
      <c r="C56" s="7">
        <v>591</v>
      </c>
      <c r="H56" s="6" t="s">
        <v>1132</v>
      </c>
      <c r="I56">
        <v>10</v>
      </c>
      <c r="J56" s="22">
        <f t="shared" si="1"/>
        <v>4.6146746654360865E-3</v>
      </c>
    </row>
    <row r="57" spans="1:10" x14ac:dyDescent="0.25">
      <c r="A57" s="7">
        <v>592</v>
      </c>
      <c r="B57" s="7" t="s">
        <v>1133</v>
      </c>
      <c r="C57" s="7">
        <v>592</v>
      </c>
      <c r="H57" s="6" t="s">
        <v>1077</v>
      </c>
      <c r="I57">
        <v>10</v>
      </c>
      <c r="J57" s="22">
        <f t="shared" si="1"/>
        <v>4.6146746654360865E-3</v>
      </c>
    </row>
    <row r="58" spans="1:10" x14ac:dyDescent="0.25">
      <c r="A58" s="7">
        <v>593</v>
      </c>
      <c r="B58" s="7" t="s">
        <v>1134</v>
      </c>
      <c r="C58" s="7">
        <v>593</v>
      </c>
      <c r="H58" s="6" t="s">
        <v>1079</v>
      </c>
      <c r="I58">
        <v>10</v>
      </c>
      <c r="J58" s="22">
        <f t="shared" si="1"/>
        <v>4.6146746654360865E-3</v>
      </c>
    </row>
    <row r="59" spans="1:10" x14ac:dyDescent="0.25">
      <c r="A59" s="7">
        <v>594</v>
      </c>
      <c r="B59" s="7" t="s">
        <v>1135</v>
      </c>
      <c r="C59" s="7">
        <v>594</v>
      </c>
      <c r="H59" s="6" t="s">
        <v>1081</v>
      </c>
      <c r="I59">
        <v>10</v>
      </c>
      <c r="J59" s="22">
        <f t="shared" si="1"/>
        <v>4.6146746654360865E-3</v>
      </c>
    </row>
    <row r="60" spans="1:10" x14ac:dyDescent="0.25">
      <c r="A60" s="7">
        <v>600</v>
      </c>
      <c r="B60" s="7" t="s">
        <v>1631</v>
      </c>
      <c r="C60" s="7">
        <v>600</v>
      </c>
      <c r="H60" s="6" t="s">
        <v>1137</v>
      </c>
      <c r="I60">
        <v>5</v>
      </c>
      <c r="J60" s="22">
        <f t="shared" si="1"/>
        <v>2.3073373327180432E-3</v>
      </c>
    </row>
    <row r="61" spans="1:10" x14ac:dyDescent="0.25">
      <c r="A61" s="7">
        <v>601</v>
      </c>
      <c r="B61" s="7" t="s">
        <v>1632</v>
      </c>
      <c r="C61" s="7">
        <v>601</v>
      </c>
      <c r="H61" s="6" t="s">
        <v>1085</v>
      </c>
      <c r="I61">
        <v>5</v>
      </c>
      <c r="J61" s="22">
        <f t="shared" si="1"/>
        <v>2.3073373327180432E-3</v>
      </c>
    </row>
    <row r="62" spans="1:10" x14ac:dyDescent="0.25">
      <c r="A62" s="7">
        <v>602</v>
      </c>
      <c r="B62" s="7" t="s">
        <v>1633</v>
      </c>
      <c r="C62" s="7">
        <v>602</v>
      </c>
      <c r="H62" s="6" t="s">
        <v>1087</v>
      </c>
      <c r="I62">
        <v>5</v>
      </c>
      <c r="J62" s="22">
        <f t="shared" si="1"/>
        <v>2.3073373327180432E-3</v>
      </c>
    </row>
    <row r="63" spans="1:10" x14ac:dyDescent="0.25">
      <c r="A63" s="7">
        <v>603</v>
      </c>
      <c r="B63" s="7" t="s">
        <v>1425</v>
      </c>
      <c r="C63" s="7">
        <v>603</v>
      </c>
      <c r="H63" s="6" t="s">
        <v>1089</v>
      </c>
      <c r="I63">
        <v>5</v>
      </c>
      <c r="J63" s="22">
        <f t="shared" si="1"/>
        <v>2.3073373327180432E-3</v>
      </c>
    </row>
    <row r="64" spans="1:10" x14ac:dyDescent="0.25">
      <c r="A64" s="7">
        <v>650</v>
      </c>
      <c r="B64" s="7" t="s">
        <v>1136</v>
      </c>
      <c r="C64" s="7">
        <v>650</v>
      </c>
      <c r="H64" s="6" t="s">
        <v>1142</v>
      </c>
      <c r="I64">
        <v>1</v>
      </c>
      <c r="J64" s="22">
        <f t="shared" si="1"/>
        <v>4.6146746654360867E-4</v>
      </c>
    </row>
    <row r="65" spans="1:10" x14ac:dyDescent="0.25">
      <c r="A65" s="7">
        <v>651</v>
      </c>
      <c r="B65" s="7" t="s">
        <v>1138</v>
      </c>
      <c r="C65" s="7">
        <v>651</v>
      </c>
      <c r="H65" s="6" t="s">
        <v>1093</v>
      </c>
      <c r="I65">
        <v>1</v>
      </c>
      <c r="J65" s="22">
        <f t="shared" si="1"/>
        <v>4.6146746654360867E-4</v>
      </c>
    </row>
    <row r="66" spans="1:10" x14ac:dyDescent="0.25">
      <c r="A66" s="7">
        <v>652</v>
      </c>
      <c r="B66" s="7" t="s">
        <v>1139</v>
      </c>
      <c r="C66" s="7">
        <v>652</v>
      </c>
      <c r="H66" s="6" t="s">
        <v>1095</v>
      </c>
      <c r="I66">
        <v>1</v>
      </c>
      <c r="J66" s="22">
        <f t="shared" si="1"/>
        <v>4.6146746654360867E-4</v>
      </c>
    </row>
    <row r="67" spans="1:10" x14ac:dyDescent="0.25">
      <c r="A67" s="7">
        <v>701</v>
      </c>
      <c r="B67" s="7" t="s">
        <v>1140</v>
      </c>
      <c r="C67" s="7">
        <v>701</v>
      </c>
      <c r="H67" s="6" t="s">
        <v>1097</v>
      </c>
      <c r="I67">
        <v>1</v>
      </c>
      <c r="J67" s="22">
        <f t="shared" si="1"/>
        <v>4.6146746654360867E-4</v>
      </c>
    </row>
    <row r="68" spans="1:10" x14ac:dyDescent="0.25">
      <c r="A68" s="7">
        <v>702</v>
      </c>
      <c r="B68" s="7" t="s">
        <v>1141</v>
      </c>
      <c r="C68" s="7">
        <v>702</v>
      </c>
      <c r="H68" s="6" t="s">
        <v>1147</v>
      </c>
      <c r="I68">
        <v>100</v>
      </c>
      <c r="J68" s="22">
        <f t="shared" si="1"/>
        <v>4.6146746654360866E-2</v>
      </c>
    </row>
    <row r="69" spans="1:10" x14ac:dyDescent="0.25">
      <c r="A69" s="7">
        <v>703</v>
      </c>
      <c r="B69" s="7" t="s">
        <v>1143</v>
      </c>
      <c r="C69" s="7">
        <v>703</v>
      </c>
      <c r="H69" s="6" t="s">
        <v>1149</v>
      </c>
      <c r="I69">
        <v>50</v>
      </c>
      <c r="J69" s="22">
        <f t="shared" ref="J69:J81" si="2">I69/SUM($I$5:$I$81)</f>
        <v>2.3073373327180433E-2</v>
      </c>
    </row>
    <row r="70" spans="1:10" x14ac:dyDescent="0.25">
      <c r="A70" s="7">
        <v>704</v>
      </c>
      <c r="B70" s="7" t="s">
        <v>1144</v>
      </c>
      <c r="C70" s="7">
        <v>704</v>
      </c>
      <c r="H70" s="6" t="s">
        <v>1151</v>
      </c>
      <c r="I70">
        <v>10</v>
      </c>
      <c r="J70" s="22">
        <f t="shared" si="2"/>
        <v>4.6146746654360865E-3</v>
      </c>
    </row>
    <row r="71" spans="1:10" x14ac:dyDescent="0.25">
      <c r="A71" s="7">
        <v>705</v>
      </c>
      <c r="B71" s="7" t="s">
        <v>1145</v>
      </c>
      <c r="C71" s="7">
        <v>705</v>
      </c>
      <c r="H71" s="6" t="s">
        <v>1153</v>
      </c>
      <c r="I71">
        <v>5</v>
      </c>
      <c r="J71" s="22">
        <f t="shared" si="2"/>
        <v>2.3073373327180432E-3</v>
      </c>
    </row>
    <row r="72" spans="1:10" x14ac:dyDescent="0.25">
      <c r="A72" s="7">
        <v>706</v>
      </c>
      <c r="B72" s="7" t="s">
        <v>1146</v>
      </c>
      <c r="C72" s="7">
        <v>706</v>
      </c>
      <c r="H72" s="6" t="s">
        <v>1155</v>
      </c>
      <c r="I72">
        <v>1</v>
      </c>
      <c r="J72" s="22">
        <f t="shared" si="2"/>
        <v>4.6146746654360867E-4</v>
      </c>
    </row>
    <row r="73" spans="1:10" x14ac:dyDescent="0.25">
      <c r="A73" s="7">
        <v>707</v>
      </c>
      <c r="B73" s="7" t="s">
        <v>1148</v>
      </c>
      <c r="C73" s="7">
        <v>707</v>
      </c>
      <c r="H73" s="6" t="s">
        <v>1157</v>
      </c>
      <c r="I73">
        <v>10</v>
      </c>
      <c r="J73" s="22">
        <f t="shared" si="2"/>
        <v>4.6146746654360865E-3</v>
      </c>
    </row>
    <row r="74" spans="1:10" x14ac:dyDescent="0.25">
      <c r="A74" s="7">
        <v>708</v>
      </c>
      <c r="B74" s="7" t="s">
        <v>1150</v>
      </c>
      <c r="C74" s="7">
        <v>708</v>
      </c>
      <c r="H74" s="6" t="s">
        <v>1159</v>
      </c>
      <c r="I74">
        <v>10</v>
      </c>
      <c r="J74" s="22">
        <f t="shared" si="2"/>
        <v>4.6146746654360865E-3</v>
      </c>
    </row>
    <row r="75" spans="1:10" x14ac:dyDescent="0.25">
      <c r="A75" s="7">
        <v>709</v>
      </c>
      <c r="B75" s="7" t="s">
        <v>1152</v>
      </c>
      <c r="C75" s="7">
        <v>709</v>
      </c>
      <c r="H75" s="6" t="s">
        <v>1161</v>
      </c>
      <c r="I75">
        <v>10</v>
      </c>
      <c r="J75" s="22">
        <f t="shared" si="2"/>
        <v>4.6146746654360865E-3</v>
      </c>
    </row>
    <row r="76" spans="1:10" x14ac:dyDescent="0.25">
      <c r="A76" s="7">
        <v>710</v>
      </c>
      <c r="B76" s="7" t="s">
        <v>1154</v>
      </c>
      <c r="C76" s="7">
        <v>710</v>
      </c>
      <c r="H76" s="6" t="s">
        <v>1163</v>
      </c>
      <c r="I76">
        <v>10</v>
      </c>
      <c r="J76" s="22">
        <f t="shared" si="2"/>
        <v>4.6146746654360865E-3</v>
      </c>
    </row>
    <row r="77" spans="1:10" x14ac:dyDescent="0.25">
      <c r="A77" s="7">
        <v>711</v>
      </c>
      <c r="B77" s="7" t="s">
        <v>1156</v>
      </c>
      <c r="C77" s="7">
        <v>711</v>
      </c>
      <c r="H77" s="6" t="s">
        <v>1165</v>
      </c>
      <c r="I77">
        <v>20</v>
      </c>
      <c r="J77" s="22">
        <f t="shared" si="2"/>
        <v>9.2293493308721729E-3</v>
      </c>
    </row>
    <row r="78" spans="1:10" x14ac:dyDescent="0.25">
      <c r="A78" s="7">
        <v>712</v>
      </c>
      <c r="B78" s="7" t="s">
        <v>1158</v>
      </c>
      <c r="C78" s="7">
        <v>712</v>
      </c>
      <c r="H78" s="6" t="s">
        <v>1167</v>
      </c>
      <c r="I78">
        <v>20</v>
      </c>
      <c r="J78" s="22">
        <f t="shared" si="2"/>
        <v>9.2293493308721729E-3</v>
      </c>
    </row>
    <row r="79" spans="1:10" x14ac:dyDescent="0.25">
      <c r="A79" s="7">
        <v>713</v>
      </c>
      <c r="B79" s="7" t="s">
        <v>1160</v>
      </c>
      <c r="C79" s="7">
        <v>713</v>
      </c>
      <c r="H79" s="6" t="s">
        <v>1169</v>
      </c>
      <c r="I79">
        <v>20</v>
      </c>
      <c r="J79" s="22">
        <f t="shared" si="2"/>
        <v>9.2293493308721729E-3</v>
      </c>
    </row>
    <row r="80" spans="1:10" x14ac:dyDescent="0.25">
      <c r="A80" s="7">
        <v>714</v>
      </c>
      <c r="B80" s="7" t="s">
        <v>1162</v>
      </c>
      <c r="C80" s="7">
        <v>714</v>
      </c>
      <c r="H80" s="6" t="s">
        <v>1171</v>
      </c>
      <c r="I80">
        <v>20</v>
      </c>
      <c r="J80" s="22">
        <f t="shared" si="2"/>
        <v>9.2293493308721729E-3</v>
      </c>
    </row>
    <row r="81" spans="1:10" x14ac:dyDescent="0.25">
      <c r="A81" s="7">
        <v>715</v>
      </c>
      <c r="B81" s="7" t="s">
        <v>1164</v>
      </c>
      <c r="C81" s="7">
        <v>715</v>
      </c>
      <c r="H81" s="6" t="s">
        <v>1173</v>
      </c>
      <c r="I81">
        <v>2</v>
      </c>
      <c r="J81" s="22">
        <f t="shared" si="2"/>
        <v>9.2293493308721734E-4</v>
      </c>
    </row>
    <row r="82" spans="1:10" x14ac:dyDescent="0.25">
      <c r="A82" s="7">
        <v>716</v>
      </c>
      <c r="B82" s="7" t="s">
        <v>1166</v>
      </c>
      <c r="C82" s="7">
        <v>716</v>
      </c>
    </row>
    <row r="83" spans="1:10" x14ac:dyDescent="0.25">
      <c r="A83" s="7">
        <v>717</v>
      </c>
      <c r="B83" s="7" t="s">
        <v>1168</v>
      </c>
      <c r="C83" s="7">
        <v>717</v>
      </c>
    </row>
    <row r="84" spans="1:10" x14ac:dyDescent="0.25">
      <c r="A84" s="7">
        <v>718</v>
      </c>
      <c r="B84" s="7" t="s">
        <v>1170</v>
      </c>
      <c r="C84" s="7">
        <v>718</v>
      </c>
    </row>
    <row r="85" spans="1:10" x14ac:dyDescent="0.25">
      <c r="A85" s="7">
        <v>719</v>
      </c>
      <c r="B85" s="7" t="s">
        <v>1172</v>
      </c>
      <c r="C85" s="7">
        <v>719</v>
      </c>
    </row>
    <row r="86" spans="1:10" x14ac:dyDescent="0.25">
      <c r="A86" s="7">
        <v>720</v>
      </c>
      <c r="B86" s="7" t="s">
        <v>1174</v>
      </c>
      <c r="C86" s="7">
        <v>720</v>
      </c>
    </row>
    <row r="87" spans="1:10" x14ac:dyDescent="0.25">
      <c r="A87" s="7">
        <v>721</v>
      </c>
      <c r="B87" s="7" t="s">
        <v>1175</v>
      </c>
      <c r="C87" s="7">
        <v>721</v>
      </c>
    </row>
    <row r="88" spans="1:10" x14ac:dyDescent="0.25">
      <c r="A88" s="7">
        <v>722</v>
      </c>
      <c r="B88" s="7" t="s">
        <v>1176</v>
      </c>
      <c r="C88" s="7">
        <v>722</v>
      </c>
    </row>
    <row r="89" spans="1:10" x14ac:dyDescent="0.25">
      <c r="A89" s="7">
        <v>723</v>
      </c>
      <c r="B89" s="7" t="s">
        <v>1177</v>
      </c>
      <c r="C89" s="7">
        <v>723</v>
      </c>
    </row>
    <row r="90" spans="1:10" x14ac:dyDescent="0.25">
      <c r="A90" s="7">
        <v>724</v>
      </c>
      <c r="B90" s="7" t="s">
        <v>1178</v>
      </c>
      <c r="C90" s="7">
        <v>724</v>
      </c>
    </row>
    <row r="91" spans="1:10" x14ac:dyDescent="0.25">
      <c r="A91" s="7">
        <v>725</v>
      </c>
      <c r="B91" s="7" t="s">
        <v>1179</v>
      </c>
      <c r="C91" s="7">
        <v>725</v>
      </c>
    </row>
    <row r="92" spans="1:10" x14ac:dyDescent="0.25">
      <c r="A92" s="7">
        <v>726</v>
      </c>
      <c r="B92" s="7" t="s">
        <v>1180</v>
      </c>
      <c r="C92" s="7">
        <v>726</v>
      </c>
    </row>
    <row r="93" spans="1:10" x14ac:dyDescent="0.25">
      <c r="A93" s="7">
        <v>727</v>
      </c>
      <c r="B93" s="7" t="s">
        <v>1181</v>
      </c>
      <c r="C93" s="7">
        <v>727</v>
      </c>
    </row>
    <row r="94" spans="1:10" x14ac:dyDescent="0.25">
      <c r="A94" s="7">
        <v>728</v>
      </c>
      <c r="B94" s="7" t="s">
        <v>1182</v>
      </c>
      <c r="C94" s="7">
        <v>728</v>
      </c>
    </row>
    <row r="95" spans="1:10" x14ac:dyDescent="0.25">
      <c r="A95" s="7">
        <v>729</v>
      </c>
      <c r="B95" s="7" t="s">
        <v>1183</v>
      </c>
      <c r="C95" s="7">
        <v>729</v>
      </c>
    </row>
    <row r="96" spans="1:10" x14ac:dyDescent="0.25">
      <c r="A96" s="7">
        <v>730</v>
      </c>
      <c r="B96" s="7" t="s">
        <v>1184</v>
      </c>
      <c r="C96" s="7">
        <v>730</v>
      </c>
    </row>
    <row r="97" spans="1:3" x14ac:dyDescent="0.25">
      <c r="A97" s="7">
        <v>731</v>
      </c>
      <c r="B97" s="7" t="s">
        <v>1185</v>
      </c>
      <c r="C97" s="7">
        <v>731</v>
      </c>
    </row>
    <row r="98" spans="1:3" x14ac:dyDescent="0.25">
      <c r="A98" s="7">
        <v>732</v>
      </c>
      <c r="B98" s="7" t="s">
        <v>1186</v>
      </c>
      <c r="C98" s="7">
        <v>732</v>
      </c>
    </row>
    <row r="99" spans="1:3" x14ac:dyDescent="0.25">
      <c r="A99" s="7">
        <v>733</v>
      </c>
      <c r="B99" s="7" t="s">
        <v>1187</v>
      </c>
      <c r="C99" s="7">
        <v>733</v>
      </c>
    </row>
    <row r="100" spans="1:3" x14ac:dyDescent="0.25">
      <c r="A100" s="7">
        <v>734</v>
      </c>
      <c r="B100" s="7" t="s">
        <v>1188</v>
      </c>
      <c r="C100" s="7">
        <v>734</v>
      </c>
    </row>
    <row r="101" spans="1:3" x14ac:dyDescent="0.25">
      <c r="A101" s="7">
        <v>735</v>
      </c>
      <c r="B101" s="7" t="s">
        <v>1189</v>
      </c>
      <c r="C101" s="7">
        <v>735</v>
      </c>
    </row>
    <row r="102" spans="1:3" x14ac:dyDescent="0.25">
      <c r="A102" s="7">
        <v>736</v>
      </c>
      <c r="B102" s="7" t="s">
        <v>1190</v>
      </c>
      <c r="C102" s="7">
        <v>736</v>
      </c>
    </row>
    <row r="103" spans="1:3" x14ac:dyDescent="0.25">
      <c r="A103" s="7">
        <v>737</v>
      </c>
      <c r="B103" s="7" t="s">
        <v>1191</v>
      </c>
      <c r="C103" s="7">
        <v>737</v>
      </c>
    </row>
    <row r="104" spans="1:3" x14ac:dyDescent="0.25">
      <c r="A104" s="7">
        <v>738</v>
      </c>
      <c r="B104" s="7" t="s">
        <v>1192</v>
      </c>
      <c r="C104" s="7">
        <v>738</v>
      </c>
    </row>
    <row r="105" spans="1:3" x14ac:dyDescent="0.25">
      <c r="A105" s="7">
        <v>739</v>
      </c>
      <c r="B105" s="7" t="s">
        <v>1193</v>
      </c>
      <c r="C105" s="7">
        <v>739</v>
      </c>
    </row>
    <row r="106" spans="1:3" x14ac:dyDescent="0.25">
      <c r="A106" s="7">
        <v>740</v>
      </c>
      <c r="B106" s="7" t="s">
        <v>1194</v>
      </c>
      <c r="C106" s="7">
        <v>740</v>
      </c>
    </row>
    <row r="107" spans="1:3" x14ac:dyDescent="0.25">
      <c r="A107" s="7">
        <v>741</v>
      </c>
      <c r="B107" s="7" t="s">
        <v>1195</v>
      </c>
      <c r="C107" s="7">
        <v>741</v>
      </c>
    </row>
    <row r="108" spans="1:3" x14ac:dyDescent="0.25">
      <c r="A108" s="7">
        <v>742</v>
      </c>
      <c r="B108" s="7" t="s">
        <v>1196</v>
      </c>
      <c r="C108" s="7">
        <v>742</v>
      </c>
    </row>
    <row r="109" spans="1:3" x14ac:dyDescent="0.25">
      <c r="A109" s="7">
        <v>743</v>
      </c>
      <c r="B109" s="7" t="s">
        <v>1197</v>
      </c>
      <c r="C109" s="7">
        <v>743</v>
      </c>
    </row>
    <row r="110" spans="1:3" x14ac:dyDescent="0.25">
      <c r="A110" s="7">
        <v>744</v>
      </c>
      <c r="B110" s="7" t="s">
        <v>1198</v>
      </c>
      <c r="C110" s="7">
        <v>744</v>
      </c>
    </row>
    <row r="111" spans="1:3" x14ac:dyDescent="0.25">
      <c r="A111" s="7">
        <v>745</v>
      </c>
      <c r="B111" s="7" t="s">
        <v>1199</v>
      </c>
      <c r="C111" s="7">
        <v>745</v>
      </c>
    </row>
    <row r="112" spans="1:3" x14ac:dyDescent="0.25">
      <c r="A112" s="7">
        <v>746</v>
      </c>
      <c r="B112" s="7" t="s">
        <v>1200</v>
      </c>
      <c r="C112" s="7">
        <v>746</v>
      </c>
    </row>
    <row r="113" spans="1:3" x14ac:dyDescent="0.25">
      <c r="A113" s="7">
        <v>747</v>
      </c>
      <c r="B113" s="7" t="s">
        <v>1201</v>
      </c>
      <c r="C113" s="7">
        <v>747</v>
      </c>
    </row>
    <row r="114" spans="1:3" x14ac:dyDescent="0.25">
      <c r="A114" s="7">
        <v>748</v>
      </c>
      <c r="B114" s="7" t="s">
        <v>1202</v>
      </c>
      <c r="C114" s="7">
        <v>748</v>
      </c>
    </row>
    <row r="115" spans="1:3" x14ac:dyDescent="0.25">
      <c r="A115" s="7">
        <v>749</v>
      </c>
      <c r="B115" s="7" t="s">
        <v>1203</v>
      </c>
      <c r="C115" s="7">
        <v>749</v>
      </c>
    </row>
    <row r="116" spans="1:3" x14ac:dyDescent="0.25">
      <c r="A116" s="7">
        <v>750</v>
      </c>
      <c r="B116" s="7" t="s">
        <v>1204</v>
      </c>
      <c r="C116" s="7">
        <v>750</v>
      </c>
    </row>
    <row r="117" spans="1:3" x14ac:dyDescent="0.25">
      <c r="A117" s="7">
        <v>751</v>
      </c>
      <c r="B117" s="7" t="s">
        <v>1205</v>
      </c>
      <c r="C117" s="7">
        <v>751</v>
      </c>
    </row>
    <row r="118" spans="1:3" x14ac:dyDescent="0.25">
      <c r="A118" s="7">
        <v>752</v>
      </c>
      <c r="B118" s="7" t="s">
        <v>1206</v>
      </c>
      <c r="C118" s="7">
        <v>752</v>
      </c>
    </row>
    <row r="119" spans="1:3" x14ac:dyDescent="0.25">
      <c r="A119" s="7">
        <v>753</v>
      </c>
      <c r="B119" s="7" t="s">
        <v>1207</v>
      </c>
      <c r="C119" s="7">
        <v>753</v>
      </c>
    </row>
    <row r="120" spans="1:3" x14ac:dyDescent="0.25">
      <c r="A120" s="7">
        <v>754</v>
      </c>
      <c r="B120" s="7" t="s">
        <v>1208</v>
      </c>
      <c r="C120" s="7">
        <v>754</v>
      </c>
    </row>
    <row r="121" spans="1:3" x14ac:dyDescent="0.25">
      <c r="A121" s="7">
        <v>755</v>
      </c>
      <c r="B121" s="7" t="s">
        <v>1209</v>
      </c>
      <c r="C121" s="7">
        <v>755</v>
      </c>
    </row>
    <row r="122" spans="1:3" x14ac:dyDescent="0.25">
      <c r="A122" s="7">
        <v>756</v>
      </c>
      <c r="B122" s="7" t="s">
        <v>1210</v>
      </c>
      <c r="C122" s="7">
        <v>756</v>
      </c>
    </row>
    <row r="123" spans="1:3" x14ac:dyDescent="0.25">
      <c r="A123" s="7">
        <v>757</v>
      </c>
      <c r="B123" s="7" t="s">
        <v>1211</v>
      </c>
      <c r="C123" s="7">
        <v>757</v>
      </c>
    </row>
    <row r="124" spans="1:3" x14ac:dyDescent="0.25">
      <c r="A124" s="7">
        <v>758</v>
      </c>
      <c r="B124" s="7" t="s">
        <v>1212</v>
      </c>
      <c r="C124" s="7">
        <v>758</v>
      </c>
    </row>
    <row r="125" spans="1:3" x14ac:dyDescent="0.25">
      <c r="A125" s="7">
        <v>759</v>
      </c>
      <c r="B125" s="7" t="s">
        <v>1213</v>
      </c>
      <c r="C125" s="7">
        <v>759</v>
      </c>
    </row>
    <row r="126" spans="1:3" x14ac:dyDescent="0.25">
      <c r="A126" s="7">
        <v>760</v>
      </c>
      <c r="B126" s="7" t="s">
        <v>1214</v>
      </c>
      <c r="C126" s="7">
        <v>760</v>
      </c>
    </row>
    <row r="127" spans="1:3" x14ac:dyDescent="0.25">
      <c r="A127" s="7">
        <v>761</v>
      </c>
      <c r="B127" s="7" t="s">
        <v>1215</v>
      </c>
      <c r="C127" s="7">
        <v>761</v>
      </c>
    </row>
    <row r="128" spans="1:3" x14ac:dyDescent="0.25">
      <c r="A128" s="7">
        <v>762</v>
      </c>
      <c r="B128" s="7" t="s">
        <v>1216</v>
      </c>
      <c r="C128" s="7">
        <v>762</v>
      </c>
    </row>
    <row r="129" spans="1:3" x14ac:dyDescent="0.25">
      <c r="A129" s="7">
        <v>763</v>
      </c>
      <c r="B129" s="7" t="s">
        <v>1217</v>
      </c>
      <c r="C129" s="7">
        <v>763</v>
      </c>
    </row>
    <row r="130" spans="1:3" x14ac:dyDescent="0.25">
      <c r="A130" s="7">
        <v>764</v>
      </c>
      <c r="B130" s="7" t="s">
        <v>1218</v>
      </c>
      <c r="C130" s="7">
        <v>764</v>
      </c>
    </row>
    <row r="131" spans="1:3" x14ac:dyDescent="0.25">
      <c r="A131" s="7">
        <v>765</v>
      </c>
      <c r="B131" s="7" t="s">
        <v>1219</v>
      </c>
      <c r="C131" s="7">
        <v>765</v>
      </c>
    </row>
    <row r="132" spans="1:3" x14ac:dyDescent="0.25">
      <c r="A132" s="7">
        <v>766</v>
      </c>
      <c r="B132" s="7" t="s">
        <v>1220</v>
      </c>
      <c r="C132" s="7">
        <v>766</v>
      </c>
    </row>
    <row r="133" spans="1:3" x14ac:dyDescent="0.25">
      <c r="A133" s="7">
        <v>767</v>
      </c>
      <c r="B133" s="7" t="s">
        <v>1221</v>
      </c>
      <c r="C133" s="7">
        <v>767</v>
      </c>
    </row>
    <row r="134" spans="1:3" x14ac:dyDescent="0.25">
      <c r="A134" s="7">
        <v>768</v>
      </c>
      <c r="B134" s="7" t="s">
        <v>1222</v>
      </c>
      <c r="C134" s="7">
        <v>768</v>
      </c>
    </row>
    <row r="135" spans="1:3" x14ac:dyDescent="0.25">
      <c r="A135" s="7">
        <v>769</v>
      </c>
      <c r="B135" s="7" t="s">
        <v>1223</v>
      </c>
      <c r="C135" s="7">
        <v>769</v>
      </c>
    </row>
    <row r="136" spans="1:3" x14ac:dyDescent="0.25">
      <c r="A136" s="7">
        <v>770</v>
      </c>
      <c r="B136" s="7" t="s">
        <v>1224</v>
      </c>
      <c r="C136" s="7">
        <v>770</v>
      </c>
    </row>
    <row r="137" spans="1:3" x14ac:dyDescent="0.25">
      <c r="A137" s="7">
        <v>771</v>
      </c>
      <c r="B137" s="7" t="s">
        <v>1225</v>
      </c>
      <c r="C137" s="7">
        <v>771</v>
      </c>
    </row>
    <row r="138" spans="1:3" x14ac:dyDescent="0.25">
      <c r="A138" s="7">
        <v>772</v>
      </c>
      <c r="B138" s="7" t="s">
        <v>1226</v>
      </c>
      <c r="C138" s="7">
        <v>772</v>
      </c>
    </row>
    <row r="139" spans="1:3" x14ac:dyDescent="0.25">
      <c r="A139" s="7">
        <v>773</v>
      </c>
      <c r="B139" s="7" t="s">
        <v>1227</v>
      </c>
      <c r="C139" s="7">
        <v>773</v>
      </c>
    </row>
    <row r="140" spans="1:3" x14ac:dyDescent="0.25">
      <c r="A140" s="7">
        <v>774</v>
      </c>
      <c r="B140" s="7" t="s">
        <v>1228</v>
      </c>
      <c r="C140" s="7">
        <v>774</v>
      </c>
    </row>
    <row r="141" spans="1:3" x14ac:dyDescent="0.25">
      <c r="A141" s="7">
        <v>775</v>
      </c>
      <c r="B141" s="7" t="s">
        <v>1229</v>
      </c>
      <c r="C141" s="7">
        <v>775</v>
      </c>
    </row>
    <row r="142" spans="1:3" x14ac:dyDescent="0.25">
      <c r="A142" s="7">
        <v>776</v>
      </c>
      <c r="B142" s="7" t="s">
        <v>1230</v>
      </c>
      <c r="C142" s="7">
        <v>776</v>
      </c>
    </row>
    <row r="143" spans="1:3" x14ac:dyDescent="0.25">
      <c r="A143" s="7">
        <v>777</v>
      </c>
      <c r="B143" s="7" t="s">
        <v>1231</v>
      </c>
      <c r="C143" s="7">
        <v>777</v>
      </c>
    </row>
    <row r="144" spans="1:3" x14ac:dyDescent="0.25">
      <c r="A144" s="7">
        <v>778</v>
      </c>
      <c r="B144" s="7" t="s">
        <v>1232</v>
      </c>
      <c r="C144" s="7">
        <v>778</v>
      </c>
    </row>
    <row r="145" spans="1:3" x14ac:dyDescent="0.25">
      <c r="A145" s="7">
        <v>779</v>
      </c>
      <c r="B145" s="7" t="s">
        <v>1233</v>
      </c>
      <c r="C145" s="7">
        <v>779</v>
      </c>
    </row>
    <row r="146" spans="1:3" x14ac:dyDescent="0.25">
      <c r="A146" s="7">
        <v>780</v>
      </c>
      <c r="B146" s="7" t="s">
        <v>1234</v>
      </c>
      <c r="C146" s="7">
        <v>780</v>
      </c>
    </row>
    <row r="147" spans="1:3" x14ac:dyDescent="0.25">
      <c r="A147" s="7">
        <v>781</v>
      </c>
      <c r="B147" s="7" t="s">
        <v>1235</v>
      </c>
      <c r="C147" s="7">
        <v>781</v>
      </c>
    </row>
    <row r="148" spans="1:3" x14ac:dyDescent="0.25">
      <c r="A148" s="7">
        <v>782</v>
      </c>
      <c r="B148" s="7" t="s">
        <v>1236</v>
      </c>
      <c r="C148" s="7">
        <v>782</v>
      </c>
    </row>
    <row r="149" spans="1:3" x14ac:dyDescent="0.25">
      <c r="A149" s="7">
        <v>783</v>
      </c>
      <c r="B149" s="7" t="s">
        <v>1237</v>
      </c>
      <c r="C149" s="7">
        <v>783</v>
      </c>
    </row>
    <row r="150" spans="1:3" x14ac:dyDescent="0.25">
      <c r="A150" s="7">
        <v>784</v>
      </c>
      <c r="B150" s="7" t="s">
        <v>1238</v>
      </c>
      <c r="C150" s="7">
        <v>784</v>
      </c>
    </row>
    <row r="151" spans="1:3" x14ac:dyDescent="0.25">
      <c r="A151" s="7">
        <v>785</v>
      </c>
      <c r="B151" s="7" t="s">
        <v>1239</v>
      </c>
      <c r="C151" s="7">
        <v>785</v>
      </c>
    </row>
    <row r="152" spans="1:3" x14ac:dyDescent="0.25">
      <c r="A152" s="7">
        <v>786</v>
      </c>
      <c r="B152" s="7" t="s">
        <v>1240</v>
      </c>
      <c r="C152" s="7">
        <v>786</v>
      </c>
    </row>
    <row r="153" spans="1:3" x14ac:dyDescent="0.25">
      <c r="A153" s="7">
        <v>787</v>
      </c>
      <c r="B153" s="7" t="s">
        <v>1241</v>
      </c>
      <c r="C153" s="7">
        <v>787</v>
      </c>
    </row>
    <row r="154" spans="1:3" x14ac:dyDescent="0.25">
      <c r="A154" s="7">
        <v>788</v>
      </c>
      <c r="B154" s="7" t="s">
        <v>1242</v>
      </c>
      <c r="C154" s="7">
        <v>788</v>
      </c>
    </row>
    <row r="155" spans="1:3" x14ac:dyDescent="0.25">
      <c r="A155" s="7">
        <v>789</v>
      </c>
      <c r="B155" s="7" t="s">
        <v>1243</v>
      </c>
      <c r="C155" s="7">
        <v>789</v>
      </c>
    </row>
    <row r="156" spans="1:3" x14ac:dyDescent="0.25">
      <c r="A156" s="7">
        <v>790</v>
      </c>
      <c r="B156" s="7" t="s">
        <v>1244</v>
      </c>
      <c r="C156" s="7">
        <v>790</v>
      </c>
    </row>
    <row r="157" spans="1:3" x14ac:dyDescent="0.25">
      <c r="A157" s="7">
        <v>791</v>
      </c>
      <c r="B157" s="7" t="s">
        <v>1245</v>
      </c>
      <c r="C157" s="7">
        <v>791</v>
      </c>
    </row>
    <row r="158" spans="1:3" x14ac:dyDescent="0.25">
      <c r="A158" s="7">
        <v>792</v>
      </c>
      <c r="B158" s="7" t="s">
        <v>1246</v>
      </c>
      <c r="C158" s="7">
        <v>792</v>
      </c>
    </row>
    <row r="159" spans="1:3" x14ac:dyDescent="0.25">
      <c r="A159" s="7">
        <v>793</v>
      </c>
      <c r="B159" s="7" t="s">
        <v>1247</v>
      </c>
      <c r="C159" s="7">
        <v>793</v>
      </c>
    </row>
    <row r="160" spans="1:3" x14ac:dyDescent="0.25">
      <c r="A160" s="7">
        <v>794</v>
      </c>
      <c r="B160" s="7" t="s">
        <v>1248</v>
      </c>
      <c r="C160" s="7">
        <v>794</v>
      </c>
    </row>
    <row r="161" spans="1:3" x14ac:dyDescent="0.25">
      <c r="A161" s="7">
        <v>795</v>
      </c>
      <c r="B161" s="7" t="s">
        <v>1249</v>
      </c>
      <c r="C161" s="7">
        <v>795</v>
      </c>
    </row>
    <row r="162" spans="1:3" x14ac:dyDescent="0.25">
      <c r="A162" s="7">
        <v>796</v>
      </c>
      <c r="B162" s="7" t="s">
        <v>1250</v>
      </c>
      <c r="C162" s="7">
        <v>796</v>
      </c>
    </row>
    <row r="163" spans="1:3" x14ac:dyDescent="0.25">
      <c r="A163" s="7">
        <v>797</v>
      </c>
      <c r="B163" s="7" t="s">
        <v>1251</v>
      </c>
      <c r="C163" s="7">
        <v>797</v>
      </c>
    </row>
    <row r="164" spans="1:3" x14ac:dyDescent="0.25">
      <c r="A164" s="7">
        <v>798</v>
      </c>
      <c r="B164" s="7" t="s">
        <v>1252</v>
      </c>
      <c r="C164" s="7">
        <v>798</v>
      </c>
    </row>
    <row r="165" spans="1:3" x14ac:dyDescent="0.25">
      <c r="A165" s="7">
        <v>799</v>
      </c>
      <c r="B165" s="7" t="s">
        <v>1253</v>
      </c>
      <c r="C165" s="7">
        <v>799</v>
      </c>
    </row>
    <row r="166" spans="1:3" x14ac:dyDescent="0.25">
      <c r="A166" s="7">
        <v>800</v>
      </c>
      <c r="B166" s="7" t="s">
        <v>1254</v>
      </c>
      <c r="C166" s="7">
        <v>800</v>
      </c>
    </row>
    <row r="167" spans="1:3" x14ac:dyDescent="0.25">
      <c r="A167" s="7">
        <v>801</v>
      </c>
      <c r="B167" s="7" t="s">
        <v>1255</v>
      </c>
      <c r="C167" s="7">
        <v>801</v>
      </c>
    </row>
    <row r="168" spans="1:3" x14ac:dyDescent="0.25">
      <c r="A168" s="7">
        <v>802</v>
      </c>
      <c r="B168" s="7" t="s">
        <v>1256</v>
      </c>
      <c r="C168" s="7">
        <v>802</v>
      </c>
    </row>
    <row r="169" spans="1:3" x14ac:dyDescent="0.25">
      <c r="A169" s="7">
        <v>803</v>
      </c>
      <c r="B169" s="7" t="s">
        <v>1257</v>
      </c>
      <c r="C169" s="7">
        <v>803</v>
      </c>
    </row>
    <row r="170" spans="1:3" x14ac:dyDescent="0.25">
      <c r="A170" s="7">
        <v>804</v>
      </c>
      <c r="B170" s="7" t="s">
        <v>1258</v>
      </c>
      <c r="C170" s="7">
        <v>804</v>
      </c>
    </row>
    <row r="171" spans="1:3" x14ac:dyDescent="0.25">
      <c r="A171" s="7">
        <v>805</v>
      </c>
      <c r="B171" s="7" t="s">
        <v>1259</v>
      </c>
      <c r="C171" s="7">
        <v>805</v>
      </c>
    </row>
    <row r="172" spans="1:3" x14ac:dyDescent="0.25">
      <c r="A172" s="7">
        <v>806</v>
      </c>
      <c r="B172" s="7" t="s">
        <v>1260</v>
      </c>
      <c r="C172" s="7">
        <v>806</v>
      </c>
    </row>
    <row r="173" spans="1:3" x14ac:dyDescent="0.25">
      <c r="A173" s="7">
        <v>807</v>
      </c>
      <c r="B173" s="7" t="s">
        <v>1261</v>
      </c>
      <c r="C173" s="7">
        <v>807</v>
      </c>
    </row>
    <row r="174" spans="1:3" x14ac:dyDescent="0.25">
      <c r="A174" s="7">
        <v>808</v>
      </c>
      <c r="B174" s="7" t="s">
        <v>1262</v>
      </c>
      <c r="C174" s="7">
        <v>808</v>
      </c>
    </row>
    <row r="175" spans="1:3" x14ac:dyDescent="0.25">
      <c r="A175" s="7">
        <v>809</v>
      </c>
      <c r="B175" s="7" t="s">
        <v>1263</v>
      </c>
      <c r="C175" s="7">
        <v>809</v>
      </c>
    </row>
    <row r="176" spans="1:3" x14ac:dyDescent="0.25">
      <c r="A176" s="7">
        <v>810</v>
      </c>
      <c r="B176" s="7" t="s">
        <v>1264</v>
      </c>
      <c r="C176" s="7">
        <v>810</v>
      </c>
    </row>
    <row r="177" spans="1:3" x14ac:dyDescent="0.25">
      <c r="A177" s="7">
        <v>811</v>
      </c>
      <c r="B177" s="7" t="s">
        <v>1265</v>
      </c>
      <c r="C177" s="7">
        <v>811</v>
      </c>
    </row>
    <row r="178" spans="1:3" x14ac:dyDescent="0.25">
      <c r="A178" s="7">
        <v>812</v>
      </c>
      <c r="B178" s="7" t="s">
        <v>1266</v>
      </c>
      <c r="C178" s="7">
        <v>812</v>
      </c>
    </row>
    <row r="179" spans="1:3" x14ac:dyDescent="0.25">
      <c r="A179" s="7">
        <v>813</v>
      </c>
      <c r="B179" s="7" t="s">
        <v>1267</v>
      </c>
      <c r="C179" s="7">
        <v>813</v>
      </c>
    </row>
    <row r="180" spans="1:3" x14ac:dyDescent="0.25">
      <c r="A180" s="7">
        <v>814</v>
      </c>
      <c r="B180" s="7" t="s">
        <v>1268</v>
      </c>
      <c r="C180" s="7">
        <v>814</v>
      </c>
    </row>
    <row r="181" spans="1:3" x14ac:dyDescent="0.25">
      <c r="A181" s="7">
        <v>815</v>
      </c>
      <c r="B181" s="7" t="s">
        <v>1269</v>
      </c>
      <c r="C181" s="7">
        <v>815</v>
      </c>
    </row>
    <row r="182" spans="1:3" x14ac:dyDescent="0.25">
      <c r="A182" s="7">
        <v>816</v>
      </c>
      <c r="B182" s="7" t="s">
        <v>1270</v>
      </c>
      <c r="C182" s="7">
        <v>816</v>
      </c>
    </row>
    <row r="183" spans="1:3" x14ac:dyDescent="0.25">
      <c r="A183" s="7">
        <v>817</v>
      </c>
      <c r="B183" s="7" t="s">
        <v>1271</v>
      </c>
      <c r="C183" s="7">
        <v>817</v>
      </c>
    </row>
    <row r="184" spans="1:3" x14ac:dyDescent="0.25">
      <c r="A184" s="7">
        <v>818</v>
      </c>
      <c r="B184" s="7" t="s">
        <v>1272</v>
      </c>
      <c r="C184" s="7">
        <v>818</v>
      </c>
    </row>
    <row r="185" spans="1:3" x14ac:dyDescent="0.25">
      <c r="A185" s="7">
        <v>819</v>
      </c>
      <c r="B185" s="7" t="s">
        <v>1273</v>
      </c>
      <c r="C185" s="7">
        <v>819</v>
      </c>
    </row>
    <row r="186" spans="1:3" x14ac:dyDescent="0.25">
      <c r="A186" s="7">
        <v>820</v>
      </c>
      <c r="B186" s="7" t="s">
        <v>1274</v>
      </c>
      <c r="C186" s="7">
        <v>820</v>
      </c>
    </row>
    <row r="187" spans="1:3" x14ac:dyDescent="0.25">
      <c r="A187" s="7">
        <v>821</v>
      </c>
      <c r="B187" s="7" t="s">
        <v>1275</v>
      </c>
      <c r="C187" s="7">
        <v>821</v>
      </c>
    </row>
    <row r="188" spans="1:3" x14ac:dyDescent="0.25">
      <c r="A188" s="7">
        <v>822</v>
      </c>
      <c r="B188" s="7" t="s">
        <v>1276</v>
      </c>
      <c r="C188" s="7">
        <v>822</v>
      </c>
    </row>
    <row r="189" spans="1:3" x14ac:dyDescent="0.25">
      <c r="A189" s="7">
        <v>823</v>
      </c>
      <c r="B189" s="7" t="s">
        <v>1277</v>
      </c>
      <c r="C189" s="7">
        <v>823</v>
      </c>
    </row>
    <row r="190" spans="1:3" x14ac:dyDescent="0.25">
      <c r="A190" s="7">
        <v>824</v>
      </c>
      <c r="B190" s="7" t="s">
        <v>1278</v>
      </c>
      <c r="C190" s="7">
        <v>824</v>
      </c>
    </row>
    <row r="191" spans="1:3" x14ac:dyDescent="0.25">
      <c r="A191" s="7">
        <v>825</v>
      </c>
      <c r="B191" s="7" t="s">
        <v>1279</v>
      </c>
      <c r="C191" s="7">
        <v>825</v>
      </c>
    </row>
    <row r="192" spans="1:3" x14ac:dyDescent="0.25">
      <c r="A192" s="7">
        <v>826</v>
      </c>
      <c r="B192" s="7" t="s">
        <v>1280</v>
      </c>
      <c r="C192" s="7">
        <v>826</v>
      </c>
    </row>
    <row r="193" spans="1:3" x14ac:dyDescent="0.25">
      <c r="A193" s="7">
        <v>827</v>
      </c>
      <c r="B193" s="7" t="s">
        <v>1281</v>
      </c>
      <c r="C193" s="7">
        <v>827</v>
      </c>
    </row>
    <row r="194" spans="1:3" x14ac:dyDescent="0.25">
      <c r="A194" s="7">
        <v>828</v>
      </c>
      <c r="B194" s="7" t="s">
        <v>1282</v>
      </c>
      <c r="C194" s="7">
        <v>828</v>
      </c>
    </row>
    <row r="195" spans="1:3" x14ac:dyDescent="0.25">
      <c r="A195" s="7">
        <v>829</v>
      </c>
      <c r="B195" s="7" t="s">
        <v>1283</v>
      </c>
      <c r="C195" s="7">
        <v>829</v>
      </c>
    </row>
    <row r="196" spans="1:3" x14ac:dyDescent="0.25">
      <c r="A196" s="7">
        <v>830</v>
      </c>
      <c r="B196" s="7" t="s">
        <v>1284</v>
      </c>
      <c r="C196" s="7">
        <v>830</v>
      </c>
    </row>
    <row r="197" spans="1:3" x14ac:dyDescent="0.25">
      <c r="A197" s="7">
        <v>831</v>
      </c>
      <c r="B197" s="7" t="s">
        <v>1285</v>
      </c>
      <c r="C197" s="7">
        <v>831</v>
      </c>
    </row>
    <row r="198" spans="1:3" x14ac:dyDescent="0.25">
      <c r="A198" s="7">
        <v>832</v>
      </c>
      <c r="B198" s="7" t="s">
        <v>1286</v>
      </c>
      <c r="C198" s="7">
        <v>832</v>
      </c>
    </row>
    <row r="199" spans="1:3" x14ac:dyDescent="0.25">
      <c r="A199" s="7">
        <v>833</v>
      </c>
      <c r="B199" s="7" t="s">
        <v>1287</v>
      </c>
      <c r="C199" s="7">
        <v>833</v>
      </c>
    </row>
    <row r="200" spans="1:3" x14ac:dyDescent="0.25">
      <c r="A200" s="7">
        <v>834</v>
      </c>
      <c r="B200" s="7" t="s">
        <v>1288</v>
      </c>
      <c r="C200" s="7">
        <v>834</v>
      </c>
    </row>
    <row r="201" spans="1:3" x14ac:dyDescent="0.25">
      <c r="A201" s="7">
        <v>835</v>
      </c>
      <c r="B201" s="7" t="s">
        <v>1289</v>
      </c>
      <c r="C201" s="7">
        <v>835</v>
      </c>
    </row>
    <row r="202" spans="1:3" x14ac:dyDescent="0.25">
      <c r="A202" s="7">
        <v>836</v>
      </c>
      <c r="B202" s="7" t="s">
        <v>1290</v>
      </c>
      <c r="C202" s="7">
        <v>836</v>
      </c>
    </row>
    <row r="203" spans="1:3" x14ac:dyDescent="0.25">
      <c r="A203" s="7">
        <v>837</v>
      </c>
      <c r="B203" s="7" t="s">
        <v>1291</v>
      </c>
      <c r="C203" s="7">
        <v>837</v>
      </c>
    </row>
    <row r="204" spans="1:3" x14ac:dyDescent="0.25">
      <c r="A204" s="7">
        <v>838</v>
      </c>
      <c r="B204" s="7" t="s">
        <v>1292</v>
      </c>
      <c r="C204" s="7">
        <v>838</v>
      </c>
    </row>
    <row r="205" spans="1:3" x14ac:dyDescent="0.25">
      <c r="A205" s="7">
        <v>839</v>
      </c>
      <c r="B205" s="7" t="s">
        <v>1293</v>
      </c>
      <c r="C205" s="7">
        <v>839</v>
      </c>
    </row>
    <row r="206" spans="1:3" x14ac:dyDescent="0.25">
      <c r="A206" s="7">
        <v>840</v>
      </c>
      <c r="B206" s="7" t="s">
        <v>1294</v>
      </c>
      <c r="C206" s="7">
        <v>840</v>
      </c>
    </row>
    <row r="207" spans="1:3" x14ac:dyDescent="0.25">
      <c r="A207" s="7">
        <v>841</v>
      </c>
      <c r="B207" s="7" t="s">
        <v>1295</v>
      </c>
      <c r="C207" s="7">
        <v>841</v>
      </c>
    </row>
    <row r="208" spans="1:3" x14ac:dyDescent="0.25">
      <c r="A208" s="7">
        <v>842</v>
      </c>
      <c r="B208" s="7" t="s">
        <v>1296</v>
      </c>
      <c r="C208" s="7">
        <v>842</v>
      </c>
    </row>
    <row r="209" spans="1:3" x14ac:dyDescent="0.25">
      <c r="A209" s="7">
        <v>843</v>
      </c>
      <c r="B209" s="7" t="s">
        <v>1297</v>
      </c>
      <c r="C209" s="7">
        <v>843</v>
      </c>
    </row>
    <row r="210" spans="1:3" x14ac:dyDescent="0.25">
      <c r="A210" s="7">
        <v>844</v>
      </c>
      <c r="B210" s="7" t="s">
        <v>1298</v>
      </c>
      <c r="C210" s="7">
        <v>844</v>
      </c>
    </row>
    <row r="211" spans="1:3" x14ac:dyDescent="0.25">
      <c r="A211" s="7">
        <v>845</v>
      </c>
      <c r="B211" s="7" t="s">
        <v>1299</v>
      </c>
      <c r="C211" s="7">
        <v>845</v>
      </c>
    </row>
    <row r="212" spans="1:3" x14ac:dyDescent="0.25">
      <c r="A212" s="7">
        <v>846</v>
      </c>
      <c r="B212" s="7" t="s">
        <v>1300</v>
      </c>
      <c r="C212" s="7">
        <v>846</v>
      </c>
    </row>
    <row r="213" spans="1:3" x14ac:dyDescent="0.25">
      <c r="A213" s="7">
        <v>847</v>
      </c>
      <c r="B213" s="7" t="s">
        <v>1301</v>
      </c>
      <c r="C213" s="7">
        <v>847</v>
      </c>
    </row>
    <row r="214" spans="1:3" x14ac:dyDescent="0.25">
      <c r="A214" s="7">
        <v>848</v>
      </c>
      <c r="B214" s="7" t="s">
        <v>1302</v>
      </c>
      <c r="C214" s="7">
        <v>848</v>
      </c>
    </row>
    <row r="215" spans="1:3" x14ac:dyDescent="0.25">
      <c r="A215" s="7">
        <v>849</v>
      </c>
      <c r="B215" s="7" t="s">
        <v>1303</v>
      </c>
      <c r="C215" s="7">
        <v>849</v>
      </c>
    </row>
    <row r="216" spans="1:3" x14ac:dyDescent="0.25">
      <c r="A216" s="7">
        <v>850</v>
      </c>
      <c r="B216" s="7" t="s">
        <v>1304</v>
      </c>
      <c r="C216" s="7">
        <v>850</v>
      </c>
    </row>
    <row r="217" spans="1:3" x14ac:dyDescent="0.25">
      <c r="A217" s="7">
        <v>851</v>
      </c>
      <c r="B217" s="7" t="s">
        <v>1305</v>
      </c>
      <c r="C217" s="7">
        <v>851</v>
      </c>
    </row>
    <row r="218" spans="1:3" x14ac:dyDescent="0.25">
      <c r="A218" s="7">
        <v>852</v>
      </c>
      <c r="B218" s="7" t="s">
        <v>1306</v>
      </c>
      <c r="C218" s="7">
        <v>852</v>
      </c>
    </row>
    <row r="219" spans="1:3" x14ac:dyDescent="0.25">
      <c r="A219" s="7">
        <v>853</v>
      </c>
      <c r="B219" s="7" t="s">
        <v>1307</v>
      </c>
      <c r="C219" s="7">
        <v>853</v>
      </c>
    </row>
    <row r="220" spans="1:3" x14ac:dyDescent="0.25">
      <c r="A220" s="7">
        <v>854</v>
      </c>
      <c r="B220" s="7" t="s">
        <v>1308</v>
      </c>
      <c r="C220" s="7">
        <v>854</v>
      </c>
    </row>
    <row r="221" spans="1:3" x14ac:dyDescent="0.25">
      <c r="A221" s="7">
        <v>855</v>
      </c>
      <c r="B221" s="7" t="s">
        <v>1309</v>
      </c>
      <c r="C221" s="7">
        <v>855</v>
      </c>
    </row>
    <row r="222" spans="1:3" x14ac:dyDescent="0.25">
      <c r="A222" s="7">
        <v>856</v>
      </c>
      <c r="B222" s="7" t="s">
        <v>1310</v>
      </c>
      <c r="C222" s="7">
        <v>856</v>
      </c>
    </row>
    <row r="223" spans="1:3" x14ac:dyDescent="0.25">
      <c r="A223" s="7">
        <v>857</v>
      </c>
      <c r="B223" s="7" t="s">
        <v>1311</v>
      </c>
      <c r="C223" s="7">
        <v>857</v>
      </c>
    </row>
    <row r="224" spans="1:3" x14ac:dyDescent="0.25">
      <c r="A224" s="7">
        <v>858</v>
      </c>
      <c r="B224" s="7" t="s">
        <v>1312</v>
      </c>
      <c r="C224" s="7">
        <v>858</v>
      </c>
    </row>
    <row r="225" spans="1:3" x14ac:dyDescent="0.25">
      <c r="A225" s="7">
        <v>859</v>
      </c>
      <c r="B225" s="7" t="s">
        <v>1313</v>
      </c>
      <c r="C225" s="7">
        <v>859</v>
      </c>
    </row>
    <row r="226" spans="1:3" x14ac:dyDescent="0.25">
      <c r="A226" s="7">
        <v>860</v>
      </c>
      <c r="B226" s="7" t="s">
        <v>1314</v>
      </c>
      <c r="C226" s="7">
        <v>860</v>
      </c>
    </row>
    <row r="227" spans="1:3" x14ac:dyDescent="0.25">
      <c r="A227" s="7">
        <v>861</v>
      </c>
      <c r="B227" s="7" t="s">
        <v>1315</v>
      </c>
      <c r="C227" s="7">
        <v>861</v>
      </c>
    </row>
    <row r="228" spans="1:3" x14ac:dyDescent="0.25">
      <c r="A228" s="7">
        <v>862</v>
      </c>
      <c r="B228" s="7" t="s">
        <v>1316</v>
      </c>
      <c r="C228" s="7">
        <v>862</v>
      </c>
    </row>
    <row r="229" spans="1:3" x14ac:dyDescent="0.25">
      <c r="A229" s="7">
        <v>863</v>
      </c>
      <c r="B229" s="7" t="s">
        <v>1317</v>
      </c>
      <c r="C229" s="7">
        <v>863</v>
      </c>
    </row>
    <row r="230" spans="1:3" x14ac:dyDescent="0.25">
      <c r="A230" s="7">
        <v>864</v>
      </c>
      <c r="B230" s="7" t="s">
        <v>1318</v>
      </c>
      <c r="C230" s="7">
        <v>864</v>
      </c>
    </row>
    <row r="231" spans="1:3" x14ac:dyDescent="0.25">
      <c r="A231" s="7">
        <v>865</v>
      </c>
      <c r="B231" s="7" t="s">
        <v>1319</v>
      </c>
      <c r="C231" s="7">
        <v>865</v>
      </c>
    </row>
    <row r="232" spans="1:3" x14ac:dyDescent="0.25">
      <c r="A232" s="7">
        <v>866</v>
      </c>
      <c r="B232" s="7" t="s">
        <v>1320</v>
      </c>
      <c r="C232" s="7">
        <v>866</v>
      </c>
    </row>
    <row r="233" spans="1:3" x14ac:dyDescent="0.25">
      <c r="A233" s="7">
        <v>867</v>
      </c>
      <c r="B233" s="7" t="s">
        <v>1321</v>
      </c>
      <c r="C233" s="7">
        <v>867</v>
      </c>
    </row>
    <row r="234" spans="1:3" x14ac:dyDescent="0.25">
      <c r="A234" s="7">
        <v>868</v>
      </c>
      <c r="B234" s="7" t="s">
        <v>1322</v>
      </c>
      <c r="C234" s="7">
        <v>868</v>
      </c>
    </row>
    <row r="235" spans="1:3" x14ac:dyDescent="0.25">
      <c r="A235" s="7">
        <v>869</v>
      </c>
      <c r="B235" s="7" t="s">
        <v>1323</v>
      </c>
      <c r="C235" s="7">
        <v>869</v>
      </c>
    </row>
    <row r="236" spans="1:3" x14ac:dyDescent="0.25">
      <c r="A236" s="7">
        <v>870</v>
      </c>
      <c r="B236" s="7" t="s">
        <v>1324</v>
      </c>
      <c r="C236" s="7">
        <v>870</v>
      </c>
    </row>
    <row r="237" spans="1:3" x14ac:dyDescent="0.25">
      <c r="A237" s="7">
        <v>871</v>
      </c>
      <c r="B237" s="7" t="s">
        <v>1325</v>
      </c>
      <c r="C237" s="7">
        <v>871</v>
      </c>
    </row>
    <row r="238" spans="1:3" x14ac:dyDescent="0.25">
      <c r="A238" s="7">
        <v>872</v>
      </c>
      <c r="B238" s="7" t="s">
        <v>1326</v>
      </c>
      <c r="C238" s="7">
        <v>872</v>
      </c>
    </row>
    <row r="239" spans="1:3" x14ac:dyDescent="0.25">
      <c r="A239" s="7">
        <v>873</v>
      </c>
      <c r="B239" s="7" t="s">
        <v>1327</v>
      </c>
      <c r="C239" s="7">
        <v>873</v>
      </c>
    </row>
    <row r="240" spans="1:3" x14ac:dyDescent="0.25">
      <c r="A240" s="7">
        <v>874</v>
      </c>
      <c r="B240" s="7" t="s">
        <v>1328</v>
      </c>
      <c r="C240" s="7">
        <v>874</v>
      </c>
    </row>
    <row r="241" spans="1:3" x14ac:dyDescent="0.25">
      <c r="A241" s="7">
        <v>875</v>
      </c>
      <c r="B241" s="7" t="s">
        <v>1329</v>
      </c>
      <c r="C241" s="7">
        <v>875</v>
      </c>
    </row>
    <row r="242" spans="1:3" x14ac:dyDescent="0.25">
      <c r="A242" s="7">
        <v>876</v>
      </c>
      <c r="B242" s="7" t="s">
        <v>1330</v>
      </c>
      <c r="C242" s="7">
        <v>876</v>
      </c>
    </row>
    <row r="243" spans="1:3" x14ac:dyDescent="0.25">
      <c r="A243" s="7">
        <v>877</v>
      </c>
      <c r="B243" s="7" t="s">
        <v>1331</v>
      </c>
      <c r="C243" s="7">
        <v>877</v>
      </c>
    </row>
    <row r="244" spans="1:3" x14ac:dyDescent="0.25">
      <c r="A244" s="7">
        <v>878</v>
      </c>
      <c r="B244" s="7" t="s">
        <v>1332</v>
      </c>
      <c r="C244" s="7">
        <v>878</v>
      </c>
    </row>
    <row r="245" spans="1:3" x14ac:dyDescent="0.25">
      <c r="A245" s="7">
        <v>879</v>
      </c>
      <c r="B245" s="7" t="s">
        <v>1333</v>
      </c>
      <c r="C245" s="7">
        <v>879</v>
      </c>
    </row>
    <row r="246" spans="1:3" x14ac:dyDescent="0.25">
      <c r="A246" s="7">
        <v>880</v>
      </c>
      <c r="B246" s="7" t="s">
        <v>1334</v>
      </c>
      <c r="C246" s="7">
        <v>880</v>
      </c>
    </row>
    <row r="247" spans="1:3" x14ac:dyDescent="0.25">
      <c r="A247" s="7">
        <v>881</v>
      </c>
      <c r="B247" s="7" t="s">
        <v>1335</v>
      </c>
      <c r="C247" s="7">
        <v>881</v>
      </c>
    </row>
    <row r="248" spans="1:3" x14ac:dyDescent="0.25">
      <c r="A248" s="7">
        <v>882</v>
      </c>
      <c r="B248" s="7" t="s">
        <v>1336</v>
      </c>
      <c r="C248" s="7">
        <v>882</v>
      </c>
    </row>
    <row r="249" spans="1:3" x14ac:dyDescent="0.25">
      <c r="A249" s="7">
        <v>883</v>
      </c>
      <c r="B249" s="7" t="s">
        <v>1337</v>
      </c>
      <c r="C249" s="7">
        <v>883</v>
      </c>
    </row>
    <row r="250" spans="1:3" x14ac:dyDescent="0.25">
      <c r="A250" s="7">
        <v>884</v>
      </c>
      <c r="B250" s="7" t="s">
        <v>1338</v>
      </c>
      <c r="C250" s="7">
        <v>884</v>
      </c>
    </row>
    <row r="251" spans="1:3" x14ac:dyDescent="0.25">
      <c r="A251" s="7">
        <v>885</v>
      </c>
      <c r="B251" s="7" t="s">
        <v>1339</v>
      </c>
      <c r="C251" s="7">
        <v>885</v>
      </c>
    </row>
    <row r="252" spans="1:3" x14ac:dyDescent="0.25">
      <c r="A252" s="7">
        <v>886</v>
      </c>
      <c r="B252" s="7" t="s">
        <v>1340</v>
      </c>
      <c r="C252" s="7">
        <v>886</v>
      </c>
    </row>
    <row r="253" spans="1:3" x14ac:dyDescent="0.25">
      <c r="A253" s="7">
        <v>887</v>
      </c>
      <c r="B253" s="7" t="s">
        <v>1341</v>
      </c>
      <c r="C253" s="7">
        <v>887</v>
      </c>
    </row>
    <row r="254" spans="1:3" x14ac:dyDescent="0.25">
      <c r="A254" s="7">
        <v>888</v>
      </c>
      <c r="B254" s="7" t="s">
        <v>1342</v>
      </c>
      <c r="C254" s="7">
        <v>888</v>
      </c>
    </row>
    <row r="255" spans="1:3" x14ac:dyDescent="0.25">
      <c r="A255" s="7">
        <v>889</v>
      </c>
      <c r="B255" s="7" t="s">
        <v>1343</v>
      </c>
      <c r="C255" s="7">
        <v>889</v>
      </c>
    </row>
    <row r="256" spans="1:3" x14ac:dyDescent="0.25">
      <c r="A256" s="7">
        <v>890</v>
      </c>
      <c r="B256" s="7" t="s">
        <v>1344</v>
      </c>
      <c r="C256" s="7">
        <v>890</v>
      </c>
    </row>
    <row r="257" spans="1:3" x14ac:dyDescent="0.25">
      <c r="A257" s="7">
        <v>891</v>
      </c>
      <c r="B257" s="7" t="s">
        <v>1345</v>
      </c>
      <c r="C257" s="7">
        <v>891</v>
      </c>
    </row>
    <row r="258" spans="1:3" x14ac:dyDescent="0.25">
      <c r="A258" s="7">
        <v>892</v>
      </c>
      <c r="B258" s="7" t="s">
        <v>1346</v>
      </c>
      <c r="C258" s="7">
        <v>892</v>
      </c>
    </row>
    <row r="259" spans="1:3" x14ac:dyDescent="0.25">
      <c r="A259" s="7">
        <v>893</v>
      </c>
      <c r="B259" s="7" t="s">
        <v>1347</v>
      </c>
      <c r="C259" s="7">
        <v>893</v>
      </c>
    </row>
    <row r="260" spans="1:3" x14ac:dyDescent="0.25">
      <c r="A260" s="7">
        <v>894</v>
      </c>
      <c r="B260" s="7" t="s">
        <v>1348</v>
      </c>
      <c r="C260" s="7">
        <v>894</v>
      </c>
    </row>
    <row r="261" spans="1:3" x14ac:dyDescent="0.25">
      <c r="A261" s="7">
        <v>895</v>
      </c>
      <c r="B261" s="7" t="s">
        <v>1349</v>
      </c>
      <c r="C261" s="7">
        <v>895</v>
      </c>
    </row>
    <row r="262" spans="1:3" x14ac:dyDescent="0.25">
      <c r="A262" s="7">
        <v>896</v>
      </c>
      <c r="B262" s="7" t="s">
        <v>1350</v>
      </c>
      <c r="C262" s="7">
        <v>896</v>
      </c>
    </row>
    <row r="263" spans="1:3" x14ac:dyDescent="0.25">
      <c r="A263" s="7">
        <v>897</v>
      </c>
      <c r="B263" s="7" t="s">
        <v>1351</v>
      </c>
      <c r="C263" s="7">
        <v>897</v>
      </c>
    </row>
    <row r="264" spans="1:3" x14ac:dyDescent="0.25">
      <c r="A264" s="7">
        <v>898</v>
      </c>
      <c r="B264" s="7" t="s">
        <v>1352</v>
      </c>
      <c r="C264" s="7">
        <v>898</v>
      </c>
    </row>
    <row r="265" spans="1:3" x14ac:dyDescent="0.25">
      <c r="A265" s="7">
        <v>899</v>
      </c>
      <c r="B265" s="7" t="s">
        <v>1353</v>
      </c>
      <c r="C265" s="7">
        <v>899</v>
      </c>
    </row>
    <row r="266" spans="1:3" x14ac:dyDescent="0.25">
      <c r="A266" s="7">
        <v>900</v>
      </c>
      <c r="B266" s="7" t="s">
        <v>1354</v>
      </c>
      <c r="C266" s="7">
        <v>900</v>
      </c>
    </row>
    <row r="267" spans="1:3" x14ac:dyDescent="0.25">
      <c r="A267" s="7">
        <v>901</v>
      </c>
      <c r="B267" s="7" t="s">
        <v>1355</v>
      </c>
      <c r="C267" s="7">
        <v>901</v>
      </c>
    </row>
    <row r="268" spans="1:3" x14ac:dyDescent="0.25">
      <c r="A268" s="7">
        <v>902</v>
      </c>
      <c r="B268" s="7" t="s">
        <v>1356</v>
      </c>
      <c r="C268" s="7">
        <v>902</v>
      </c>
    </row>
    <row r="269" spans="1:3" x14ac:dyDescent="0.25">
      <c r="A269" s="7">
        <v>903</v>
      </c>
      <c r="B269" s="7" t="s">
        <v>1357</v>
      </c>
      <c r="C269" s="7">
        <v>903</v>
      </c>
    </row>
    <row r="270" spans="1:3" x14ac:dyDescent="0.25">
      <c r="A270" s="7">
        <v>904</v>
      </c>
      <c r="B270" s="7" t="s">
        <v>1358</v>
      </c>
      <c r="C270" s="7">
        <v>904</v>
      </c>
    </row>
    <row r="271" spans="1:3" x14ac:dyDescent="0.25">
      <c r="A271" s="7">
        <v>905</v>
      </c>
      <c r="B271" s="7" t="s">
        <v>1359</v>
      </c>
      <c r="C271" s="7">
        <v>905</v>
      </c>
    </row>
    <row r="272" spans="1:3" x14ac:dyDescent="0.25">
      <c r="A272" s="7">
        <v>906</v>
      </c>
      <c r="B272" s="7" t="s">
        <v>1360</v>
      </c>
      <c r="C272" s="7">
        <v>906</v>
      </c>
    </row>
    <row r="273" spans="1:3" x14ac:dyDescent="0.25">
      <c r="A273" s="7">
        <v>907</v>
      </c>
      <c r="B273" s="7" t="s">
        <v>1361</v>
      </c>
      <c r="C273" s="7">
        <v>907</v>
      </c>
    </row>
    <row r="274" spans="1:3" x14ac:dyDescent="0.25">
      <c r="A274" s="7">
        <v>908</v>
      </c>
      <c r="B274" s="7" t="s">
        <v>1362</v>
      </c>
      <c r="C274" s="7">
        <v>908</v>
      </c>
    </row>
    <row r="275" spans="1:3" x14ac:dyDescent="0.25">
      <c r="A275" s="7">
        <v>909</v>
      </c>
      <c r="B275" s="7" t="s">
        <v>1363</v>
      </c>
      <c r="C275" s="7">
        <v>909</v>
      </c>
    </row>
    <row r="276" spans="1:3" x14ac:dyDescent="0.25">
      <c r="A276" s="7">
        <v>910</v>
      </c>
      <c r="B276" s="7" t="s">
        <v>1364</v>
      </c>
      <c r="C276" s="7">
        <v>910</v>
      </c>
    </row>
    <row r="277" spans="1:3" x14ac:dyDescent="0.25">
      <c r="A277" s="7">
        <v>911</v>
      </c>
      <c r="B277" s="7" t="s">
        <v>1365</v>
      </c>
      <c r="C277" s="7">
        <v>911</v>
      </c>
    </row>
    <row r="278" spans="1:3" x14ac:dyDescent="0.25">
      <c r="A278" s="7">
        <v>912</v>
      </c>
      <c r="B278" s="7" t="s">
        <v>1366</v>
      </c>
      <c r="C278" s="7">
        <v>912</v>
      </c>
    </row>
    <row r="279" spans="1:3" x14ac:dyDescent="0.25">
      <c r="A279" s="7">
        <v>913</v>
      </c>
      <c r="B279" s="7" t="s">
        <v>1367</v>
      </c>
      <c r="C279" s="7">
        <v>913</v>
      </c>
    </row>
    <row r="280" spans="1:3" x14ac:dyDescent="0.25">
      <c r="A280" s="7">
        <v>914</v>
      </c>
      <c r="B280" s="7" t="s">
        <v>1368</v>
      </c>
      <c r="C280" s="7">
        <v>914</v>
      </c>
    </row>
    <row r="281" spans="1:3" x14ac:dyDescent="0.25">
      <c r="A281" s="7">
        <v>915</v>
      </c>
      <c r="B281" s="7" t="s">
        <v>1369</v>
      </c>
      <c r="C281" s="7">
        <v>915</v>
      </c>
    </row>
    <row r="282" spans="1:3" x14ac:dyDescent="0.25">
      <c r="A282" s="7">
        <v>916</v>
      </c>
      <c r="B282" s="7" t="s">
        <v>1370</v>
      </c>
      <c r="C282" s="7">
        <v>916</v>
      </c>
    </row>
    <row r="283" spans="1:3" x14ac:dyDescent="0.25">
      <c r="A283" s="7">
        <v>917</v>
      </c>
      <c r="B283" s="7" t="s">
        <v>1371</v>
      </c>
      <c r="C283" s="7">
        <v>917</v>
      </c>
    </row>
    <row r="284" spans="1:3" x14ac:dyDescent="0.25">
      <c r="A284" s="7">
        <v>918</v>
      </c>
      <c r="B284" s="7" t="s">
        <v>1372</v>
      </c>
      <c r="C284" s="7">
        <v>918</v>
      </c>
    </row>
    <row r="285" spans="1:3" x14ac:dyDescent="0.25">
      <c r="A285" s="7">
        <v>919</v>
      </c>
      <c r="B285" s="7" t="s">
        <v>1373</v>
      </c>
      <c r="C285" s="7">
        <v>919</v>
      </c>
    </row>
    <row r="286" spans="1:3" x14ac:dyDescent="0.25">
      <c r="A286" s="7">
        <v>920</v>
      </c>
      <c r="B286" s="7" t="s">
        <v>1374</v>
      </c>
      <c r="C286" s="7">
        <v>920</v>
      </c>
    </row>
    <row r="287" spans="1:3" x14ac:dyDescent="0.25">
      <c r="A287" s="7">
        <v>921</v>
      </c>
      <c r="B287" s="7" t="s">
        <v>1375</v>
      </c>
      <c r="C287" s="7">
        <v>921</v>
      </c>
    </row>
    <row r="288" spans="1:3" x14ac:dyDescent="0.25">
      <c r="A288" s="7">
        <v>922</v>
      </c>
      <c r="B288" s="7" t="s">
        <v>1376</v>
      </c>
      <c r="C288" s="7">
        <v>922</v>
      </c>
    </row>
    <row r="289" spans="1:3" x14ac:dyDescent="0.25">
      <c r="A289" s="7">
        <v>923</v>
      </c>
      <c r="B289" s="7" t="s">
        <v>1377</v>
      </c>
      <c r="C289" s="7">
        <v>923</v>
      </c>
    </row>
    <row r="290" spans="1:3" x14ac:dyDescent="0.25">
      <c r="A290" s="7">
        <v>924</v>
      </c>
      <c r="B290" s="7" t="s">
        <v>1378</v>
      </c>
      <c r="C290" s="7">
        <v>924</v>
      </c>
    </row>
    <row r="291" spans="1:3" x14ac:dyDescent="0.25">
      <c r="A291" s="7">
        <v>925</v>
      </c>
      <c r="B291" s="7" t="s">
        <v>1379</v>
      </c>
      <c r="C291" s="7">
        <v>925</v>
      </c>
    </row>
    <row r="292" spans="1:3" x14ac:dyDescent="0.25">
      <c r="A292" s="7">
        <v>1001</v>
      </c>
      <c r="B292" s="7" t="s">
        <v>1380</v>
      </c>
      <c r="C292" s="7">
        <v>1001</v>
      </c>
    </row>
    <row r="293" spans="1:3" x14ac:dyDescent="0.25">
      <c r="A293" s="7">
        <v>1002</v>
      </c>
      <c r="B293" s="7" t="s">
        <v>1381</v>
      </c>
      <c r="C293" s="7">
        <v>1002</v>
      </c>
    </row>
    <row r="294" spans="1:3" x14ac:dyDescent="0.25">
      <c r="A294" s="7">
        <v>1003</v>
      </c>
      <c r="B294" s="7" t="s">
        <v>1382</v>
      </c>
      <c r="C294" s="7">
        <v>1003</v>
      </c>
    </row>
    <row r="295" spans="1:3" x14ac:dyDescent="0.25">
      <c r="A295" s="7">
        <v>1004</v>
      </c>
      <c r="B295" s="7" t="s">
        <v>1383</v>
      </c>
      <c r="C295" s="7">
        <v>1004</v>
      </c>
    </row>
    <row r="296" spans="1:3" x14ac:dyDescent="0.25">
      <c r="A296" s="7">
        <v>1101</v>
      </c>
      <c r="B296" s="7" t="s">
        <v>1384</v>
      </c>
      <c r="C296" s="7">
        <v>1101</v>
      </c>
    </row>
    <row r="297" spans="1:3" x14ac:dyDescent="0.25">
      <c r="A297" s="7">
        <v>1102</v>
      </c>
      <c r="B297" s="7" t="s">
        <v>1385</v>
      </c>
      <c r="C297" s="7">
        <v>1102</v>
      </c>
    </row>
    <row r="298" spans="1:3" x14ac:dyDescent="0.25">
      <c r="A298" s="7">
        <v>1103</v>
      </c>
      <c r="B298" s="7" t="s">
        <v>1386</v>
      </c>
      <c r="C298" s="7">
        <v>1103</v>
      </c>
    </row>
    <row r="299" spans="1:3" x14ac:dyDescent="0.25">
      <c r="A299" s="7">
        <v>1104</v>
      </c>
      <c r="B299" s="7" t="s">
        <v>1387</v>
      </c>
      <c r="C299" s="7">
        <v>1104</v>
      </c>
    </row>
    <row r="300" spans="1:3" x14ac:dyDescent="0.25">
      <c r="A300" s="7">
        <v>1105</v>
      </c>
      <c r="B300" s="7" t="s">
        <v>1388</v>
      </c>
      <c r="C300" s="7">
        <v>1105</v>
      </c>
    </row>
    <row r="301" spans="1:3" x14ac:dyDescent="0.25">
      <c r="A301" s="7">
        <v>1106</v>
      </c>
      <c r="B301" s="7" t="s">
        <v>1389</v>
      </c>
      <c r="C301" s="7">
        <v>1106</v>
      </c>
    </row>
    <row r="302" spans="1:3" x14ac:dyDescent="0.25">
      <c r="A302" s="7">
        <v>1107</v>
      </c>
      <c r="B302" s="7" t="s">
        <v>1390</v>
      </c>
      <c r="C302" s="7">
        <v>1107</v>
      </c>
    </row>
    <row r="303" spans="1:3" x14ac:dyDescent="0.25">
      <c r="A303" s="7">
        <v>1108</v>
      </c>
      <c r="B303" s="7" t="s">
        <v>1391</v>
      </c>
      <c r="C303" s="7">
        <v>1108</v>
      </c>
    </row>
    <row r="304" spans="1:3" x14ac:dyDescent="0.25">
      <c r="A304" s="7">
        <v>1109</v>
      </c>
      <c r="B304" s="7" t="s">
        <v>1392</v>
      </c>
      <c r="C304" s="7">
        <v>1109</v>
      </c>
    </row>
    <row r="305" spans="1:3" x14ac:dyDescent="0.25">
      <c r="A305" s="7">
        <v>1110</v>
      </c>
      <c r="B305" s="7" t="s">
        <v>1393</v>
      </c>
      <c r="C305" s="7">
        <v>1110</v>
      </c>
    </row>
    <row r="306" spans="1:3" x14ac:dyDescent="0.25">
      <c r="A306" s="7">
        <v>1111</v>
      </c>
      <c r="B306" s="7" t="s">
        <v>1394</v>
      </c>
      <c r="C306" s="7">
        <v>1111</v>
      </c>
    </row>
    <row r="307" spans="1:3" x14ac:dyDescent="0.25">
      <c r="A307" s="7">
        <v>1112</v>
      </c>
      <c r="B307" s="7" t="s">
        <v>1395</v>
      </c>
      <c r="C307" s="7">
        <v>1112</v>
      </c>
    </row>
    <row r="308" spans="1:3" x14ac:dyDescent="0.25">
      <c r="A308" s="7">
        <v>1113</v>
      </c>
      <c r="B308" s="7" t="s">
        <v>1396</v>
      </c>
      <c r="C308" s="7">
        <v>1113</v>
      </c>
    </row>
    <row r="309" spans="1:3" x14ac:dyDescent="0.25">
      <c r="A309" s="7">
        <v>1114</v>
      </c>
      <c r="B309" s="7" t="s">
        <v>1397</v>
      </c>
      <c r="C309" s="7">
        <v>1114</v>
      </c>
    </row>
    <row r="310" spans="1:3" x14ac:dyDescent="0.25">
      <c r="A310" s="7">
        <v>1115</v>
      </c>
      <c r="B310" s="7" t="s">
        <v>1398</v>
      </c>
      <c r="C310" s="7">
        <v>1115</v>
      </c>
    </row>
    <row r="311" spans="1:3" x14ac:dyDescent="0.25">
      <c r="A311" s="7">
        <v>1116</v>
      </c>
      <c r="B311" s="7" t="s">
        <v>1399</v>
      </c>
      <c r="C311" s="7">
        <v>1116</v>
      </c>
    </row>
    <row r="312" spans="1:3" x14ac:dyDescent="0.25">
      <c r="A312" s="7">
        <v>1117</v>
      </c>
      <c r="B312" s="7" t="s">
        <v>1400</v>
      </c>
      <c r="C312" s="7">
        <v>1117</v>
      </c>
    </row>
    <row r="313" spans="1:3" x14ac:dyDescent="0.25">
      <c r="A313" s="7">
        <v>1501</v>
      </c>
      <c r="B313" s="7" t="s">
        <v>1401</v>
      </c>
      <c r="C313" s="7">
        <v>1501</v>
      </c>
    </row>
    <row r="314" spans="1:3" x14ac:dyDescent="0.25">
      <c r="A314" s="7">
        <v>1502</v>
      </c>
      <c r="B314" s="7" t="s">
        <v>1402</v>
      </c>
      <c r="C314" s="7">
        <v>1502</v>
      </c>
    </row>
    <row r="315" spans="1:3" x14ac:dyDescent="0.25">
      <c r="A315" s="7">
        <v>1503</v>
      </c>
      <c r="B315" s="7" t="s">
        <v>1403</v>
      </c>
      <c r="C315" s="7">
        <v>1503</v>
      </c>
    </row>
    <row r="316" spans="1:3" x14ac:dyDescent="0.25">
      <c r="A316" s="7">
        <v>2001</v>
      </c>
      <c r="B316" s="7" t="s">
        <v>1404</v>
      </c>
      <c r="C316" s="7">
        <v>2001</v>
      </c>
    </row>
    <row r="317" spans="1:3" x14ac:dyDescent="0.25">
      <c r="A317" s="7">
        <v>2002</v>
      </c>
      <c r="B317" s="7" t="s">
        <v>1405</v>
      </c>
      <c r="C317" s="7">
        <v>2002</v>
      </c>
    </row>
    <row r="318" spans="1:3" x14ac:dyDescent="0.25">
      <c r="A318" s="7">
        <v>2003</v>
      </c>
      <c r="B318" s="7" t="s">
        <v>1406</v>
      </c>
      <c r="C318" s="7">
        <v>2003</v>
      </c>
    </row>
    <row r="319" spans="1:3" x14ac:dyDescent="0.25">
      <c r="A319" s="7">
        <v>2004</v>
      </c>
      <c r="B319" s="7" t="s">
        <v>1407</v>
      </c>
      <c r="C319" s="7">
        <v>2004</v>
      </c>
    </row>
    <row r="320" spans="1:3" x14ac:dyDescent="0.25">
      <c r="A320" s="7">
        <v>2005</v>
      </c>
      <c r="B320" s="7" t="s">
        <v>1408</v>
      </c>
      <c r="C320" s="7">
        <v>2005</v>
      </c>
    </row>
    <row r="321" spans="1:3" x14ac:dyDescent="0.45">
      <c r="A321" s="7">
        <v>3000</v>
      </c>
      <c r="B321" s="8" t="s">
        <v>1147</v>
      </c>
      <c r="C321" s="7">
        <v>3000</v>
      </c>
    </row>
    <row r="322" spans="1:3" x14ac:dyDescent="0.45">
      <c r="A322" s="7">
        <v>3001</v>
      </c>
      <c r="B322" s="8" t="s">
        <v>1149</v>
      </c>
      <c r="C322" s="7">
        <v>3001</v>
      </c>
    </row>
    <row r="323" spans="1:3" x14ac:dyDescent="0.45">
      <c r="A323" s="7">
        <v>3002</v>
      </c>
      <c r="B323" s="8" t="s">
        <v>1151</v>
      </c>
      <c r="C323" s="7">
        <v>3002</v>
      </c>
    </row>
    <row r="324" spans="1:3" x14ac:dyDescent="0.45">
      <c r="A324" s="7">
        <v>3003</v>
      </c>
      <c r="B324" s="8" t="s">
        <v>1153</v>
      </c>
      <c r="C324" s="7">
        <v>3003</v>
      </c>
    </row>
    <row r="325" spans="1:3" x14ac:dyDescent="0.45">
      <c r="A325" s="7">
        <v>3004</v>
      </c>
      <c r="B325" s="8" t="s">
        <v>1155</v>
      </c>
      <c r="C325" s="7">
        <v>3004</v>
      </c>
    </row>
    <row r="326" spans="1:3" x14ac:dyDescent="0.45">
      <c r="A326" s="7">
        <v>3005</v>
      </c>
      <c r="B326" s="8" t="s">
        <v>1409</v>
      </c>
      <c r="C326" s="7">
        <v>3005</v>
      </c>
    </row>
    <row r="327" spans="1:3" x14ac:dyDescent="0.45">
      <c r="A327" s="7">
        <v>3049</v>
      </c>
      <c r="B327" s="8" t="s">
        <v>1410</v>
      </c>
      <c r="C327" s="7">
        <v>3049</v>
      </c>
    </row>
    <row r="328" spans="1:3" x14ac:dyDescent="0.45">
      <c r="A328" s="7">
        <v>3050</v>
      </c>
      <c r="B328" s="8" t="s">
        <v>1411</v>
      </c>
      <c r="C328" s="7">
        <v>3050</v>
      </c>
    </row>
    <row r="329" spans="1:3" x14ac:dyDescent="0.45">
      <c r="A329" s="7">
        <v>3051</v>
      </c>
      <c r="B329" s="8" t="s">
        <v>1412</v>
      </c>
      <c r="C329" s="7">
        <v>3051</v>
      </c>
    </row>
    <row r="330" spans="1:3" x14ac:dyDescent="0.45">
      <c r="A330" s="7">
        <v>3052</v>
      </c>
      <c r="B330" s="8" t="s">
        <v>1413</v>
      </c>
      <c r="C330" s="7">
        <v>3052</v>
      </c>
    </row>
    <row r="331" spans="1:3" x14ac:dyDescent="0.45">
      <c r="A331" s="7">
        <v>3053</v>
      </c>
      <c r="B331" s="8" t="s">
        <v>1414</v>
      </c>
      <c r="C331" s="7">
        <v>3053</v>
      </c>
    </row>
    <row r="332" spans="1:3" x14ac:dyDescent="0.45">
      <c r="A332" s="7">
        <v>3054</v>
      </c>
      <c r="B332" s="8" t="s">
        <v>1415</v>
      </c>
      <c r="C332" s="7">
        <v>3054</v>
      </c>
    </row>
    <row r="333" spans="1:3" x14ac:dyDescent="0.45">
      <c r="A333" s="7">
        <v>3055</v>
      </c>
      <c r="B333" s="8" t="s">
        <v>1416</v>
      </c>
      <c r="C333" s="7">
        <v>3055</v>
      </c>
    </row>
    <row r="334" spans="1:3" x14ac:dyDescent="0.45">
      <c r="A334" s="7">
        <v>3060</v>
      </c>
      <c r="B334" s="8" t="s">
        <v>1417</v>
      </c>
      <c r="C334" s="7">
        <v>3060</v>
      </c>
    </row>
    <row r="335" spans="1:3" x14ac:dyDescent="0.45">
      <c r="A335" s="7">
        <v>3061</v>
      </c>
      <c r="B335" s="8" t="s">
        <v>1418</v>
      </c>
      <c r="C335" s="7">
        <v>3061</v>
      </c>
    </row>
    <row r="336" spans="1:3" x14ac:dyDescent="0.45">
      <c r="A336" s="7">
        <v>3062</v>
      </c>
      <c r="B336" s="8" t="s">
        <v>1412</v>
      </c>
      <c r="C336" s="7">
        <v>3062</v>
      </c>
    </row>
    <row r="337" spans="1:3" x14ac:dyDescent="0.45">
      <c r="A337" s="7">
        <v>3063</v>
      </c>
      <c r="B337" s="8" t="s">
        <v>1419</v>
      </c>
      <c r="C337" s="7">
        <v>3063</v>
      </c>
    </row>
    <row r="338" spans="1:3" x14ac:dyDescent="0.45">
      <c r="A338" s="7">
        <v>3064</v>
      </c>
      <c r="B338" s="8" t="s">
        <v>1420</v>
      </c>
      <c r="C338" s="7">
        <v>3064</v>
      </c>
    </row>
    <row r="339" spans="1:3" x14ac:dyDescent="0.25">
      <c r="A339" s="7">
        <v>3080</v>
      </c>
      <c r="B339" s="7" t="s">
        <v>1421</v>
      </c>
      <c r="C339" s="7">
        <v>3080</v>
      </c>
    </row>
    <row r="340" spans="1:3" x14ac:dyDescent="0.25">
      <c r="A340" s="7">
        <v>3081</v>
      </c>
      <c r="B340" s="7" t="s">
        <v>1422</v>
      </c>
      <c r="C340" s="7">
        <v>3081</v>
      </c>
    </row>
    <row r="341" spans="1:3" x14ac:dyDescent="0.25">
      <c r="A341" s="7">
        <v>5001</v>
      </c>
      <c r="B341" s="7" t="s">
        <v>1423</v>
      </c>
      <c r="C341" s="7">
        <v>5001</v>
      </c>
    </row>
    <row r="342" spans="1:3" x14ac:dyDescent="0.25">
      <c r="A342" s="7">
        <v>5002</v>
      </c>
      <c r="B342" s="7" t="s">
        <v>1424</v>
      </c>
      <c r="C342" s="7">
        <v>5002</v>
      </c>
    </row>
    <row r="343" spans="1:3" x14ac:dyDescent="0.25">
      <c r="A343" s="7">
        <v>603</v>
      </c>
      <c r="B343" s="7" t="s">
        <v>1425</v>
      </c>
      <c r="C343" s="7">
        <v>603</v>
      </c>
    </row>
    <row r="344" spans="1:3" x14ac:dyDescent="0.25">
      <c r="A344" s="7">
        <v>600</v>
      </c>
      <c r="B344" s="7" t="s">
        <v>1640</v>
      </c>
      <c r="C344" s="7">
        <v>600</v>
      </c>
    </row>
    <row r="345" spans="1:3" x14ac:dyDescent="0.25">
      <c r="A345" s="7">
        <v>50070</v>
      </c>
      <c r="B345" s="7" t="s">
        <v>1636</v>
      </c>
      <c r="C345" s="7">
        <v>50070</v>
      </c>
    </row>
    <row r="346" spans="1:3" x14ac:dyDescent="0.25">
      <c r="A346" s="7">
        <v>50080</v>
      </c>
      <c r="B346" s="7" t="s">
        <v>1637</v>
      </c>
      <c r="C346" s="7">
        <v>50080</v>
      </c>
    </row>
    <row r="347" spans="1:3" x14ac:dyDescent="0.25">
      <c r="A347" s="7">
        <v>50090</v>
      </c>
      <c r="B347" s="7" t="s">
        <v>1638</v>
      </c>
      <c r="C347" s="7">
        <v>50090</v>
      </c>
    </row>
    <row r="348" spans="1:3" x14ac:dyDescent="0.25">
      <c r="A348" s="7">
        <v>50100</v>
      </c>
      <c r="B348" s="7" t="s">
        <v>1639</v>
      </c>
      <c r="C348" s="7">
        <v>50100</v>
      </c>
    </row>
    <row r="349" spans="1:3" x14ac:dyDescent="0.25">
      <c r="A349" s="11">
        <v>5011</v>
      </c>
      <c r="B349" s="11" t="s">
        <v>1426</v>
      </c>
      <c r="C349" s="11">
        <v>5011</v>
      </c>
    </row>
    <row r="350" spans="1:3" x14ac:dyDescent="0.25">
      <c r="A350" s="7">
        <v>5012</v>
      </c>
      <c r="B350" s="7" t="s">
        <v>1427</v>
      </c>
      <c r="C350" s="7">
        <v>5012</v>
      </c>
    </row>
    <row r="351" spans="1:3" x14ac:dyDescent="0.25">
      <c r="A351" s="7">
        <v>5013</v>
      </c>
      <c r="B351" s="7" t="s">
        <v>1428</v>
      </c>
      <c r="C351" s="7">
        <v>5013</v>
      </c>
    </row>
    <row r="352" spans="1:3" x14ac:dyDescent="0.25">
      <c r="A352" s="7">
        <v>5014</v>
      </c>
      <c r="B352" s="7" t="s">
        <v>1429</v>
      </c>
      <c r="C352" s="7">
        <v>5014</v>
      </c>
    </row>
    <row r="353" spans="1:3" x14ac:dyDescent="0.25">
      <c r="A353" s="7">
        <v>5015</v>
      </c>
      <c r="B353" s="7" t="s">
        <v>1430</v>
      </c>
      <c r="C353" s="7">
        <v>5015</v>
      </c>
    </row>
    <row r="354" spans="1:3" x14ac:dyDescent="0.25">
      <c r="A354" s="7">
        <v>5016</v>
      </c>
      <c r="B354" s="7" t="s">
        <v>1431</v>
      </c>
      <c r="C354" s="7">
        <v>5016</v>
      </c>
    </row>
    <row r="355" spans="1:3" x14ac:dyDescent="0.25">
      <c r="A355" s="7">
        <v>5017</v>
      </c>
      <c r="B355" s="7" t="s">
        <v>1432</v>
      </c>
      <c r="C355" s="7">
        <v>5017</v>
      </c>
    </row>
    <row r="356" spans="1:3" x14ac:dyDescent="0.25">
      <c r="A356" s="7">
        <v>5018</v>
      </c>
      <c r="B356" s="7" t="s">
        <v>1433</v>
      </c>
      <c r="C356" s="7">
        <v>5018</v>
      </c>
    </row>
    <row r="357" spans="1:3" x14ac:dyDescent="0.25">
      <c r="A357" s="7">
        <v>5019</v>
      </c>
      <c r="B357" s="7" t="s">
        <v>1434</v>
      </c>
      <c r="C357" s="7">
        <v>5019</v>
      </c>
    </row>
    <row r="358" spans="1:3" x14ac:dyDescent="0.25">
      <c r="A358" s="7">
        <v>5020</v>
      </c>
      <c r="B358" s="7" t="s">
        <v>1435</v>
      </c>
      <c r="C358" s="7">
        <v>5020</v>
      </c>
    </row>
    <row r="359" spans="1:3" x14ac:dyDescent="0.25">
      <c r="A359" s="7">
        <v>5021</v>
      </c>
      <c r="B359" s="7" t="s">
        <v>1436</v>
      </c>
      <c r="C359" s="7">
        <v>5021</v>
      </c>
    </row>
    <row r="360" spans="1:3" x14ac:dyDescent="0.25">
      <c r="A360" s="7">
        <v>5101</v>
      </c>
      <c r="B360" s="7" t="s">
        <v>1437</v>
      </c>
      <c r="C360" s="7">
        <v>5101</v>
      </c>
    </row>
    <row r="361" spans="1:3" x14ac:dyDescent="0.25">
      <c r="A361" s="7">
        <v>5102</v>
      </c>
      <c r="B361" s="7" t="s">
        <v>1438</v>
      </c>
      <c r="C361" s="7">
        <v>5102</v>
      </c>
    </row>
    <row r="362" spans="1:3" x14ac:dyDescent="0.25">
      <c r="A362" s="7">
        <v>5103</v>
      </c>
      <c r="B362" s="7" t="s">
        <v>1439</v>
      </c>
      <c r="C362" s="7">
        <v>5103</v>
      </c>
    </row>
    <row r="363" spans="1:3" x14ac:dyDescent="0.25">
      <c r="A363" s="7">
        <v>5104</v>
      </c>
      <c r="B363" s="7" t="s">
        <v>1440</v>
      </c>
      <c r="C363" s="7">
        <v>5104</v>
      </c>
    </row>
    <row r="364" spans="1:3" x14ac:dyDescent="0.25">
      <c r="A364" s="7">
        <v>5200</v>
      </c>
      <c r="B364" s="7" t="s">
        <v>1441</v>
      </c>
      <c r="C364" s="7">
        <v>5200</v>
      </c>
    </row>
    <row r="365" spans="1:3" x14ac:dyDescent="0.25">
      <c r="A365" s="7">
        <v>5201</v>
      </c>
      <c r="B365" s="7" t="s">
        <v>1442</v>
      </c>
      <c r="C365" s="7">
        <v>5201</v>
      </c>
    </row>
    <row r="366" spans="1:3" x14ac:dyDescent="0.25">
      <c r="A366" s="7">
        <v>5202</v>
      </c>
      <c r="B366" s="7" t="s">
        <v>1443</v>
      </c>
      <c r="C366" s="7">
        <v>5202</v>
      </c>
    </row>
    <row r="367" spans="1:3" x14ac:dyDescent="0.25">
      <c r="A367" s="7">
        <v>5203</v>
      </c>
      <c r="B367" s="7" t="s">
        <v>1444</v>
      </c>
      <c r="C367" s="7">
        <v>5203</v>
      </c>
    </row>
    <row r="368" spans="1:3" x14ac:dyDescent="0.25">
      <c r="A368" s="7">
        <v>5300</v>
      </c>
      <c r="B368" s="7" t="s">
        <v>1445</v>
      </c>
      <c r="C368" s="7">
        <v>5300</v>
      </c>
    </row>
    <row r="369" spans="1:3" x14ac:dyDescent="0.25">
      <c r="A369" s="7">
        <v>5301</v>
      </c>
      <c r="B369" s="7" t="s">
        <v>1446</v>
      </c>
      <c r="C369" s="7">
        <v>5301</v>
      </c>
    </row>
    <row r="370" spans="1:3" x14ac:dyDescent="0.25">
      <c r="A370" s="7">
        <v>5302</v>
      </c>
      <c r="B370" s="7" t="s">
        <v>1447</v>
      </c>
      <c r="C370" s="7">
        <v>5302</v>
      </c>
    </row>
    <row r="371" spans="1:3" x14ac:dyDescent="0.25">
      <c r="A371" s="7">
        <v>5303</v>
      </c>
      <c r="B371" s="7" t="s">
        <v>1448</v>
      </c>
      <c r="C371" s="7">
        <v>5303</v>
      </c>
    </row>
    <row r="372" spans="1:3" x14ac:dyDescent="0.25">
      <c r="A372" s="12">
        <v>5400</v>
      </c>
      <c r="B372" s="7" t="s">
        <v>1449</v>
      </c>
      <c r="C372" s="12">
        <v>5400</v>
      </c>
    </row>
    <row r="373" spans="1:3" x14ac:dyDescent="0.25">
      <c r="A373" s="12">
        <v>5401</v>
      </c>
      <c r="B373" s="7" t="s">
        <v>1450</v>
      </c>
      <c r="C373" s="12">
        <v>5401</v>
      </c>
    </row>
    <row r="374" spans="1:3" x14ac:dyDescent="0.25">
      <c r="A374" s="12">
        <v>5402</v>
      </c>
      <c r="B374" s="7" t="s">
        <v>1451</v>
      </c>
      <c r="C374" s="12">
        <v>5402</v>
      </c>
    </row>
    <row r="375" spans="1:3" x14ac:dyDescent="0.25">
      <c r="A375" s="12">
        <v>5403</v>
      </c>
      <c r="B375" s="7" t="s">
        <v>1452</v>
      </c>
      <c r="C375" s="12">
        <v>5403</v>
      </c>
    </row>
    <row r="376" spans="1:3" x14ac:dyDescent="0.25">
      <c r="A376" s="7">
        <v>5411</v>
      </c>
      <c r="B376" s="7" t="s">
        <v>1453</v>
      </c>
      <c r="C376" s="7">
        <v>5411</v>
      </c>
    </row>
    <row r="377" spans="1:3" x14ac:dyDescent="0.25">
      <c r="A377" s="7">
        <v>17000</v>
      </c>
      <c r="B377" s="7" t="s">
        <v>1454</v>
      </c>
      <c r="C377" s="7">
        <v>17000</v>
      </c>
    </row>
    <row r="378" spans="1:3" x14ac:dyDescent="0.25">
      <c r="A378" s="7"/>
      <c r="B378" s="7"/>
      <c r="C378" s="7"/>
    </row>
    <row r="379" spans="1:3" x14ac:dyDescent="0.25">
      <c r="A379" s="7"/>
      <c r="B379" s="7"/>
      <c r="C379" s="7"/>
    </row>
    <row r="380" spans="1:3" x14ac:dyDescent="0.25">
      <c r="A380" s="7"/>
      <c r="B380" s="7"/>
      <c r="C380" s="7"/>
    </row>
    <row r="381" spans="1:3" x14ac:dyDescent="0.25">
      <c r="A381" s="7"/>
      <c r="B381" s="7"/>
      <c r="C381" s="7"/>
    </row>
    <row r="382" spans="1:3" x14ac:dyDescent="0.25">
      <c r="A382" s="7"/>
      <c r="B382" s="7"/>
      <c r="C382" s="7"/>
    </row>
    <row r="383" spans="1:3" x14ac:dyDescent="0.25">
      <c r="A383" s="7"/>
      <c r="B383" s="7"/>
      <c r="C383" s="7"/>
    </row>
    <row r="384" spans="1:3" x14ac:dyDescent="0.25">
      <c r="A384" s="7">
        <v>5412</v>
      </c>
      <c r="B384" s="7" t="s">
        <v>1455</v>
      </c>
      <c r="C384" s="7">
        <v>5412</v>
      </c>
    </row>
    <row r="385" spans="1:3" x14ac:dyDescent="0.25">
      <c r="A385" s="7"/>
      <c r="B385" s="7"/>
      <c r="C385" s="7"/>
    </row>
    <row r="386" spans="1:3" x14ac:dyDescent="0.25">
      <c r="A386" s="7"/>
      <c r="B386" s="7"/>
      <c r="C386" s="7"/>
    </row>
    <row r="387" spans="1:3" x14ac:dyDescent="0.25">
      <c r="A387" s="7"/>
      <c r="B387" s="7"/>
      <c r="C387" s="7"/>
    </row>
    <row r="388" spans="1:3" x14ac:dyDescent="0.25">
      <c r="A388" s="7"/>
      <c r="B388" s="7"/>
      <c r="C388" s="7"/>
    </row>
    <row r="389" spans="1:3" x14ac:dyDescent="0.25">
      <c r="A389" s="7"/>
      <c r="B389" s="7"/>
      <c r="C389" s="7"/>
    </row>
    <row r="390" spans="1:3" x14ac:dyDescent="0.25">
      <c r="A390" s="7"/>
      <c r="B390" s="7"/>
      <c r="C390" s="7"/>
    </row>
    <row r="391" spans="1:3" x14ac:dyDescent="0.25">
      <c r="A391" s="7"/>
      <c r="B391" s="7"/>
      <c r="C391" s="7"/>
    </row>
    <row r="392" spans="1:3" x14ac:dyDescent="0.25">
      <c r="A392" s="12">
        <v>5800</v>
      </c>
      <c r="B392" s="7" t="s">
        <v>1456</v>
      </c>
      <c r="C392" s="12">
        <v>5800</v>
      </c>
    </row>
    <row r="393" spans="1:3" x14ac:dyDescent="0.25">
      <c r="A393" s="7">
        <v>6000</v>
      </c>
      <c r="B393" s="7" t="s">
        <v>1050</v>
      </c>
      <c r="C393" s="7">
        <v>6000</v>
      </c>
    </row>
    <row r="394" spans="1:3" x14ac:dyDescent="0.25">
      <c r="A394" s="7">
        <v>6001</v>
      </c>
      <c r="B394" s="7" t="s">
        <v>1052</v>
      </c>
      <c r="C394" s="7">
        <v>6001</v>
      </c>
    </row>
    <row r="395" spans="1:3" x14ac:dyDescent="0.25">
      <c r="A395" s="7">
        <v>6002</v>
      </c>
      <c r="B395" s="7" t="s">
        <v>1457</v>
      </c>
      <c r="C395" s="7">
        <v>6002</v>
      </c>
    </row>
    <row r="396" spans="1:3" x14ac:dyDescent="0.25">
      <c r="A396" s="7">
        <v>6003</v>
      </c>
      <c r="B396" s="7" t="s">
        <v>1056</v>
      </c>
      <c r="C396" s="7">
        <v>6003</v>
      </c>
    </row>
    <row r="397" spans="1:3" x14ac:dyDescent="0.25">
      <c r="A397" s="7">
        <v>6004</v>
      </c>
      <c r="B397" s="7" t="s">
        <v>1458</v>
      </c>
      <c r="C397" s="7">
        <v>6004</v>
      </c>
    </row>
    <row r="398" spans="1:3" x14ac:dyDescent="0.25">
      <c r="A398" s="7">
        <v>6010</v>
      </c>
      <c r="B398" s="7" t="s">
        <v>1060</v>
      </c>
      <c r="C398" s="7">
        <v>6010</v>
      </c>
    </row>
    <row r="399" spans="1:3" x14ac:dyDescent="0.25">
      <c r="A399" s="7">
        <v>6011</v>
      </c>
      <c r="B399" s="7" t="s">
        <v>1061</v>
      </c>
      <c r="C399" s="7">
        <v>6011</v>
      </c>
    </row>
    <row r="400" spans="1:3" x14ac:dyDescent="0.25">
      <c r="A400" s="7">
        <v>6012</v>
      </c>
      <c r="B400" s="7" t="s">
        <v>1062</v>
      </c>
      <c r="C400" s="7">
        <v>6012</v>
      </c>
    </row>
    <row r="401" spans="1:3" x14ac:dyDescent="0.25">
      <c r="A401" s="7">
        <v>6013</v>
      </c>
      <c r="B401" s="7" t="s">
        <v>1063</v>
      </c>
      <c r="C401" s="7">
        <v>6013</v>
      </c>
    </row>
    <row r="402" spans="1:3" x14ac:dyDescent="0.25">
      <c r="A402" s="7">
        <v>6014</v>
      </c>
      <c r="B402" s="7" t="s">
        <v>1064</v>
      </c>
      <c r="C402" s="7">
        <v>6014</v>
      </c>
    </row>
    <row r="403" spans="1:3" x14ac:dyDescent="0.25">
      <c r="A403" s="7">
        <v>6015</v>
      </c>
      <c r="B403" s="7" t="s">
        <v>1066</v>
      </c>
      <c r="C403" s="7">
        <v>6015</v>
      </c>
    </row>
    <row r="404" spans="1:3" x14ac:dyDescent="0.25">
      <c r="A404" s="7">
        <v>6020</v>
      </c>
      <c r="B404" s="7" t="s">
        <v>1068</v>
      </c>
      <c r="C404" s="7">
        <v>6020</v>
      </c>
    </row>
    <row r="405" spans="1:3" x14ac:dyDescent="0.25">
      <c r="A405" s="7">
        <v>6021</v>
      </c>
      <c r="B405" s="7" t="s">
        <v>1070</v>
      </c>
      <c r="C405" s="7">
        <v>6021</v>
      </c>
    </row>
    <row r="406" spans="1:3" x14ac:dyDescent="0.25">
      <c r="A406" s="7">
        <v>6022</v>
      </c>
      <c r="B406" s="7" t="s">
        <v>1072</v>
      </c>
      <c r="C406" s="7">
        <v>6022</v>
      </c>
    </row>
    <row r="407" spans="1:3" x14ac:dyDescent="0.25">
      <c r="A407" s="7">
        <v>6023</v>
      </c>
      <c r="B407" s="7" t="s">
        <v>1074</v>
      </c>
      <c r="C407" s="7">
        <v>6023</v>
      </c>
    </row>
    <row r="408" spans="1:3" x14ac:dyDescent="0.25">
      <c r="A408" s="7">
        <v>6024</v>
      </c>
      <c r="B408" s="7" t="s">
        <v>1076</v>
      </c>
      <c r="C408" s="7">
        <v>6024</v>
      </c>
    </row>
    <row r="409" spans="1:3" x14ac:dyDescent="0.25">
      <c r="A409" s="7">
        <v>6025</v>
      </c>
      <c r="B409" s="7" t="s">
        <v>1078</v>
      </c>
      <c r="C409" s="7">
        <v>6025</v>
      </c>
    </row>
    <row r="410" spans="1:3" x14ac:dyDescent="0.25">
      <c r="A410" s="7">
        <v>6030</v>
      </c>
      <c r="B410" s="7" t="s">
        <v>1459</v>
      </c>
      <c r="C410" s="7">
        <v>6030</v>
      </c>
    </row>
    <row r="411" spans="1:3" x14ac:dyDescent="0.25">
      <c r="A411" s="7">
        <v>6031</v>
      </c>
      <c r="B411" s="7" t="s">
        <v>1460</v>
      </c>
      <c r="C411" s="7">
        <v>6031</v>
      </c>
    </row>
    <row r="412" spans="1:3" x14ac:dyDescent="0.25">
      <c r="A412" s="7">
        <v>6032</v>
      </c>
      <c r="B412" s="7" t="s">
        <v>1461</v>
      </c>
      <c r="C412" s="7">
        <v>6032</v>
      </c>
    </row>
    <row r="413" spans="1:3" x14ac:dyDescent="0.25">
      <c r="A413" s="7">
        <v>6033</v>
      </c>
      <c r="B413" s="7" t="s">
        <v>1462</v>
      </c>
      <c r="C413" s="7">
        <v>6033</v>
      </c>
    </row>
    <row r="414" spans="1:3" x14ac:dyDescent="0.25">
      <c r="A414" s="7">
        <v>6034</v>
      </c>
      <c r="B414" s="7" t="s">
        <v>1463</v>
      </c>
      <c r="C414" s="7">
        <v>6034</v>
      </c>
    </row>
    <row r="415" spans="1:3" x14ac:dyDescent="0.25">
      <c r="A415" s="7">
        <v>6035</v>
      </c>
      <c r="B415" s="7" t="s">
        <v>1464</v>
      </c>
      <c r="C415" s="7">
        <v>6035</v>
      </c>
    </row>
    <row r="416" spans="1:3" x14ac:dyDescent="0.25">
      <c r="A416" s="7">
        <v>6040</v>
      </c>
      <c r="B416" s="7" t="s">
        <v>1092</v>
      </c>
      <c r="C416" s="7">
        <v>6040</v>
      </c>
    </row>
    <row r="417" spans="1:3" x14ac:dyDescent="0.25">
      <c r="A417" s="7">
        <v>6041</v>
      </c>
      <c r="B417" s="7" t="s">
        <v>1094</v>
      </c>
      <c r="C417" s="7">
        <v>6041</v>
      </c>
    </row>
    <row r="418" spans="1:3" x14ac:dyDescent="0.25">
      <c r="A418" s="7">
        <v>6042</v>
      </c>
      <c r="B418" s="7" t="s">
        <v>1096</v>
      </c>
      <c r="C418" s="7">
        <v>6042</v>
      </c>
    </row>
    <row r="419" spans="1:3" x14ac:dyDescent="0.25">
      <c r="A419" s="7">
        <v>6043</v>
      </c>
      <c r="B419" s="7" t="s">
        <v>1465</v>
      </c>
      <c r="C419" s="7">
        <v>6043</v>
      </c>
    </row>
    <row r="420" spans="1:3" x14ac:dyDescent="0.25">
      <c r="A420" s="7">
        <v>6044</v>
      </c>
      <c r="B420" s="7" t="s">
        <v>1100</v>
      </c>
      <c r="C420" s="7">
        <v>6044</v>
      </c>
    </row>
    <row r="421" spans="1:3" x14ac:dyDescent="0.25">
      <c r="A421" s="7">
        <v>6045</v>
      </c>
      <c r="B421" s="7" t="s">
        <v>1102</v>
      </c>
      <c r="C421" s="7">
        <v>6045</v>
      </c>
    </row>
    <row r="422" spans="1:3" x14ac:dyDescent="0.25">
      <c r="A422" s="7">
        <v>6050</v>
      </c>
      <c r="B422" s="7" t="s">
        <v>1104</v>
      </c>
      <c r="C422" s="7">
        <v>6050</v>
      </c>
    </row>
    <row r="423" spans="1:3" x14ac:dyDescent="0.25">
      <c r="A423" s="7">
        <v>6051</v>
      </c>
      <c r="B423" s="7" t="s">
        <v>1106</v>
      </c>
      <c r="C423" s="7">
        <v>6051</v>
      </c>
    </row>
    <row r="424" spans="1:3" x14ac:dyDescent="0.25">
      <c r="A424" s="7">
        <v>6052</v>
      </c>
      <c r="B424" s="7" t="s">
        <v>1107</v>
      </c>
      <c r="C424" s="7">
        <v>6052</v>
      </c>
    </row>
    <row r="425" spans="1:3" x14ac:dyDescent="0.25">
      <c r="A425" s="7">
        <v>6053</v>
      </c>
      <c r="B425" s="7" t="s">
        <v>1108</v>
      </c>
      <c r="C425" s="7">
        <v>6053</v>
      </c>
    </row>
    <row r="426" spans="1:3" x14ac:dyDescent="0.25">
      <c r="A426" s="7">
        <v>6054</v>
      </c>
      <c r="B426" s="7" t="s">
        <v>1109</v>
      </c>
      <c r="C426" s="7">
        <v>6054</v>
      </c>
    </row>
    <row r="427" spans="1:3" x14ac:dyDescent="0.25">
      <c r="A427" s="7">
        <v>6055</v>
      </c>
      <c r="B427" s="7" t="s">
        <v>1110</v>
      </c>
      <c r="C427" s="7">
        <v>6055</v>
      </c>
    </row>
    <row r="428" spans="1:3" x14ac:dyDescent="0.25">
      <c r="A428" s="7">
        <v>6056</v>
      </c>
      <c r="B428" s="7" t="s">
        <v>1050</v>
      </c>
      <c r="C428" s="7">
        <v>6056</v>
      </c>
    </row>
    <row r="429" spans="1:3" x14ac:dyDescent="0.25">
      <c r="A429" s="7">
        <v>6057</v>
      </c>
      <c r="B429" s="7" t="s">
        <v>1052</v>
      </c>
      <c r="C429" s="7">
        <v>6057</v>
      </c>
    </row>
    <row r="430" spans="1:3" x14ac:dyDescent="0.25">
      <c r="A430" s="7">
        <v>6058</v>
      </c>
      <c r="B430" s="7" t="s">
        <v>1457</v>
      </c>
      <c r="C430" s="7">
        <v>6058</v>
      </c>
    </row>
    <row r="431" spans="1:3" x14ac:dyDescent="0.25">
      <c r="A431" s="7">
        <v>6059</v>
      </c>
      <c r="B431" s="7" t="s">
        <v>1056</v>
      </c>
      <c r="C431" s="7">
        <v>6059</v>
      </c>
    </row>
    <row r="432" spans="1:3" x14ac:dyDescent="0.25">
      <c r="A432" s="7">
        <v>6060</v>
      </c>
      <c r="B432" s="7" t="s">
        <v>1458</v>
      </c>
      <c r="C432" s="7">
        <v>6060</v>
      </c>
    </row>
    <row r="433" spans="1:3" x14ac:dyDescent="0.25">
      <c r="A433" s="7">
        <v>6061</v>
      </c>
      <c r="B433" s="7" t="s">
        <v>1055</v>
      </c>
      <c r="C433" s="7">
        <v>6061</v>
      </c>
    </row>
    <row r="434" spans="1:3" x14ac:dyDescent="0.25">
      <c r="A434" s="7">
        <v>6062</v>
      </c>
      <c r="B434" s="7" t="s">
        <v>1057</v>
      </c>
      <c r="C434" s="7">
        <v>6062</v>
      </c>
    </row>
    <row r="435" spans="1:3" x14ac:dyDescent="0.25">
      <c r="A435" s="7">
        <v>6063</v>
      </c>
      <c r="B435" s="7" t="s">
        <v>1059</v>
      </c>
      <c r="C435" s="7">
        <v>6063</v>
      </c>
    </row>
    <row r="436" spans="1:3" x14ac:dyDescent="0.25">
      <c r="A436" s="7">
        <v>6064</v>
      </c>
      <c r="B436" s="7" t="s">
        <v>1053</v>
      </c>
      <c r="C436" s="7">
        <v>6064</v>
      </c>
    </row>
    <row r="437" spans="1:3" x14ac:dyDescent="0.45">
      <c r="A437" s="7">
        <v>6065</v>
      </c>
      <c r="B437" s="8" t="s">
        <v>1466</v>
      </c>
      <c r="C437" s="7">
        <v>6065</v>
      </c>
    </row>
    <row r="438" spans="1:3" x14ac:dyDescent="0.25">
      <c r="A438" s="7">
        <v>6066</v>
      </c>
      <c r="B438" s="7" t="s">
        <v>1173</v>
      </c>
      <c r="C438" s="7">
        <v>6066</v>
      </c>
    </row>
    <row r="439" spans="1:3" x14ac:dyDescent="0.25">
      <c r="A439" s="7">
        <v>6067</v>
      </c>
      <c r="B439" s="7" t="s">
        <v>1401</v>
      </c>
      <c r="C439" s="7">
        <v>6067</v>
      </c>
    </row>
    <row r="440" spans="1:3" x14ac:dyDescent="0.45">
      <c r="A440" s="7">
        <v>6501</v>
      </c>
      <c r="B440" s="8" t="s">
        <v>1467</v>
      </c>
      <c r="C440" s="7">
        <v>6501</v>
      </c>
    </row>
    <row r="441" spans="1:3" x14ac:dyDescent="0.45">
      <c r="A441" s="7">
        <v>6502</v>
      </c>
      <c r="B441" s="8" t="s">
        <v>1468</v>
      </c>
      <c r="C441" s="7">
        <v>6502</v>
      </c>
    </row>
    <row r="442" spans="1:3" x14ac:dyDescent="0.25">
      <c r="A442" s="7">
        <v>6601</v>
      </c>
      <c r="B442" s="7" t="s">
        <v>1469</v>
      </c>
      <c r="C442" s="7">
        <v>6601</v>
      </c>
    </row>
    <row r="443" spans="1:3" x14ac:dyDescent="0.25">
      <c r="A443" s="7">
        <v>6602</v>
      </c>
      <c r="B443" s="7" t="s">
        <v>1470</v>
      </c>
      <c r="C443" s="7">
        <v>6602</v>
      </c>
    </row>
    <row r="444" spans="1:3" x14ac:dyDescent="0.25">
      <c r="A444" s="7">
        <v>6666</v>
      </c>
      <c r="B444" s="7" t="s">
        <v>1471</v>
      </c>
      <c r="C444" s="7">
        <v>6666</v>
      </c>
    </row>
    <row r="445" spans="1:3" x14ac:dyDescent="0.25">
      <c r="A445" s="7">
        <v>6667</v>
      </c>
      <c r="B445" s="7" t="s">
        <v>1472</v>
      </c>
      <c r="C445" s="7">
        <v>6667</v>
      </c>
    </row>
    <row r="446" spans="1:3" x14ac:dyDescent="0.25">
      <c r="A446" s="7">
        <v>6668</v>
      </c>
      <c r="B446" s="7" t="s">
        <v>1471</v>
      </c>
      <c r="C446" s="7">
        <v>6668</v>
      </c>
    </row>
    <row r="447" spans="1:3" x14ac:dyDescent="0.25">
      <c r="A447" s="7">
        <v>6669</v>
      </c>
      <c r="B447" s="7" t="s">
        <v>1473</v>
      </c>
      <c r="C447" s="7">
        <v>6669</v>
      </c>
    </row>
    <row r="448" spans="1:3" x14ac:dyDescent="0.25">
      <c r="A448" s="7">
        <v>6671</v>
      </c>
      <c r="B448" s="7" t="s">
        <v>1474</v>
      </c>
      <c r="C448" s="7">
        <v>6671</v>
      </c>
    </row>
    <row r="449" spans="1:3" x14ac:dyDescent="0.25">
      <c r="A449" s="7">
        <v>6672</v>
      </c>
      <c r="B449" s="7" t="s">
        <v>1475</v>
      </c>
      <c r="C449" s="7">
        <v>6672</v>
      </c>
    </row>
    <row r="450" spans="1:3" x14ac:dyDescent="0.25">
      <c r="A450" s="7">
        <v>6673</v>
      </c>
      <c r="B450" s="7" t="s">
        <v>1476</v>
      </c>
      <c r="C450" s="7">
        <v>6673</v>
      </c>
    </row>
    <row r="451" spans="1:3" x14ac:dyDescent="0.25">
      <c r="A451" s="7">
        <v>6680</v>
      </c>
      <c r="B451" s="7" t="s">
        <v>1477</v>
      </c>
      <c r="C451" s="7">
        <v>6680</v>
      </c>
    </row>
    <row r="452" spans="1:3" x14ac:dyDescent="0.25">
      <c r="A452" s="7">
        <v>7000</v>
      </c>
      <c r="B452" s="7" t="s">
        <v>1473</v>
      </c>
      <c r="C452" s="7">
        <v>7000</v>
      </c>
    </row>
    <row r="453" spans="1:3" x14ac:dyDescent="0.25">
      <c r="A453" s="7">
        <v>7001</v>
      </c>
      <c r="B453" s="7" t="s">
        <v>1472</v>
      </c>
      <c r="C453" s="7">
        <v>7001</v>
      </c>
    </row>
    <row r="454" spans="1:3" x14ac:dyDescent="0.45">
      <c r="A454" s="7">
        <v>7002</v>
      </c>
      <c r="B454" s="8" t="s">
        <v>1478</v>
      </c>
      <c r="C454" s="7">
        <v>7002</v>
      </c>
    </row>
    <row r="455" spans="1:3" x14ac:dyDescent="0.25">
      <c r="A455" s="7">
        <v>7008</v>
      </c>
      <c r="B455" s="7" t="s">
        <v>1479</v>
      </c>
      <c r="C455" s="7">
        <v>7008</v>
      </c>
    </row>
    <row r="456" spans="1:3" x14ac:dyDescent="0.25">
      <c r="A456" s="7">
        <v>7004</v>
      </c>
      <c r="B456" s="7" t="s">
        <v>1480</v>
      </c>
      <c r="C456" s="7">
        <v>7004</v>
      </c>
    </row>
    <row r="457" spans="1:3" x14ac:dyDescent="0.25">
      <c r="A457" s="7">
        <v>7005</v>
      </c>
      <c r="B457" s="7" t="s">
        <v>1481</v>
      </c>
      <c r="C457" s="7">
        <v>7005</v>
      </c>
    </row>
    <row r="458" spans="1:3" x14ac:dyDescent="0.25">
      <c r="A458" s="7">
        <v>7006</v>
      </c>
      <c r="B458" s="7" t="s">
        <v>1482</v>
      </c>
      <c r="C458" s="7">
        <v>7006</v>
      </c>
    </row>
    <row r="459" spans="1:3" x14ac:dyDescent="0.25">
      <c r="A459" s="7">
        <v>7007</v>
      </c>
      <c r="B459" s="7" t="s">
        <v>1483</v>
      </c>
      <c r="C459" s="7">
        <v>7007</v>
      </c>
    </row>
    <row r="460" spans="1:3" x14ac:dyDescent="0.25">
      <c r="A460" s="7">
        <v>7100</v>
      </c>
      <c r="B460" s="7" t="s">
        <v>1484</v>
      </c>
      <c r="C460" s="7">
        <v>7100</v>
      </c>
    </row>
    <row r="461" spans="1:3" x14ac:dyDescent="0.25">
      <c r="A461" s="7">
        <v>8001</v>
      </c>
      <c r="B461" s="7" t="s">
        <v>1485</v>
      </c>
      <c r="C461" s="7">
        <v>8001</v>
      </c>
    </row>
    <row r="462" spans="1:3" x14ac:dyDescent="0.25">
      <c r="A462" s="13">
        <v>9001</v>
      </c>
      <c r="B462" s="13" t="s">
        <v>1486</v>
      </c>
      <c r="C462" s="13">
        <v>9001</v>
      </c>
    </row>
    <row r="463" spans="1:3" x14ac:dyDescent="0.25">
      <c r="A463" s="13">
        <v>9002</v>
      </c>
      <c r="B463" s="13" t="s">
        <v>1487</v>
      </c>
      <c r="C463" s="13">
        <v>9002</v>
      </c>
    </row>
    <row r="464" spans="1:3" x14ac:dyDescent="0.25">
      <c r="A464" s="13">
        <v>9003</v>
      </c>
      <c r="B464" s="13" t="s">
        <v>1488</v>
      </c>
      <c r="C464" s="13">
        <v>9003</v>
      </c>
    </row>
    <row r="465" spans="1:3" x14ac:dyDescent="0.25">
      <c r="A465" s="13">
        <v>9004</v>
      </c>
      <c r="B465" s="13" t="s">
        <v>1489</v>
      </c>
      <c r="C465" s="13">
        <v>9004</v>
      </c>
    </row>
    <row r="466" spans="1:3" x14ac:dyDescent="0.25">
      <c r="A466" s="13">
        <v>9005</v>
      </c>
      <c r="B466" s="13" t="s">
        <v>1490</v>
      </c>
      <c r="C466" s="13">
        <v>9005</v>
      </c>
    </row>
    <row r="467" spans="1:3" x14ac:dyDescent="0.25">
      <c r="A467" s="13">
        <v>9006</v>
      </c>
      <c r="B467" s="13" t="s">
        <v>1491</v>
      </c>
      <c r="C467" s="13">
        <v>9006</v>
      </c>
    </row>
    <row r="468" spans="1:3" x14ac:dyDescent="0.25">
      <c r="A468" s="13">
        <v>9007</v>
      </c>
      <c r="B468" s="13" t="s">
        <v>1492</v>
      </c>
      <c r="C468" s="13">
        <v>9007</v>
      </c>
    </row>
    <row r="469" spans="1:3" x14ac:dyDescent="0.25">
      <c r="A469" s="13">
        <v>9008</v>
      </c>
      <c r="B469" s="13" t="s">
        <v>1493</v>
      </c>
      <c r="C469" s="13">
        <v>9008</v>
      </c>
    </row>
    <row r="470" spans="1:3" x14ac:dyDescent="0.25">
      <c r="A470" s="13">
        <v>9009</v>
      </c>
      <c r="B470" s="13" t="s">
        <v>1494</v>
      </c>
      <c r="C470" s="13">
        <v>9009</v>
      </c>
    </row>
    <row r="471" spans="1:3" x14ac:dyDescent="0.25">
      <c r="A471" s="13">
        <v>9010</v>
      </c>
      <c r="B471" s="13" t="s">
        <v>1495</v>
      </c>
      <c r="C471" s="13">
        <v>9010</v>
      </c>
    </row>
    <row r="472" spans="1:3" x14ac:dyDescent="0.25">
      <c r="A472" s="13">
        <v>9011</v>
      </c>
      <c r="B472" s="13" t="s">
        <v>1496</v>
      </c>
      <c r="C472" s="13">
        <v>9011</v>
      </c>
    </row>
    <row r="473" spans="1:3" x14ac:dyDescent="0.25">
      <c r="A473" s="13">
        <v>9012</v>
      </c>
      <c r="B473" s="13" t="s">
        <v>1497</v>
      </c>
      <c r="C473" s="13">
        <v>9012</v>
      </c>
    </row>
    <row r="474" spans="1:3" x14ac:dyDescent="0.25">
      <c r="A474" s="13">
        <v>9013</v>
      </c>
      <c r="B474" s="13" t="s">
        <v>1498</v>
      </c>
      <c r="C474" s="13">
        <v>9013</v>
      </c>
    </row>
    <row r="475" spans="1:3" x14ac:dyDescent="0.25">
      <c r="A475" s="13">
        <v>9014</v>
      </c>
      <c r="B475" s="13" t="s">
        <v>1499</v>
      </c>
      <c r="C475" s="13">
        <v>9014</v>
      </c>
    </row>
    <row r="476" spans="1:3" x14ac:dyDescent="0.25">
      <c r="A476" s="13">
        <v>9015</v>
      </c>
      <c r="B476" s="13" t="s">
        <v>1500</v>
      </c>
      <c r="C476" s="13">
        <v>9015</v>
      </c>
    </row>
    <row r="477" spans="1:3" x14ac:dyDescent="0.25">
      <c r="A477" s="13">
        <v>9016</v>
      </c>
      <c r="B477" s="13" t="s">
        <v>1501</v>
      </c>
      <c r="C477" s="13">
        <v>9016</v>
      </c>
    </row>
    <row r="478" spans="1:3" x14ac:dyDescent="0.25">
      <c r="A478" s="13">
        <v>9017</v>
      </c>
      <c r="B478" s="13" t="s">
        <v>1502</v>
      </c>
      <c r="C478" s="13">
        <v>9017</v>
      </c>
    </row>
    <row r="479" spans="1:3" x14ac:dyDescent="0.25">
      <c r="A479" s="13">
        <v>9018</v>
      </c>
      <c r="B479" s="13" t="s">
        <v>1486</v>
      </c>
      <c r="C479" s="13">
        <v>9018</v>
      </c>
    </row>
    <row r="480" spans="1:3" x14ac:dyDescent="0.25">
      <c r="A480" s="13">
        <v>9019</v>
      </c>
      <c r="B480" s="13" t="s">
        <v>1487</v>
      </c>
      <c r="C480" s="13">
        <v>9019</v>
      </c>
    </row>
    <row r="481" spans="1:3" x14ac:dyDescent="0.25">
      <c r="A481" s="13">
        <v>9020</v>
      </c>
      <c r="B481" s="13" t="s">
        <v>1488</v>
      </c>
      <c r="C481" s="13">
        <v>9020</v>
      </c>
    </row>
    <row r="482" spans="1:3" x14ac:dyDescent="0.25">
      <c r="A482" s="13">
        <v>9021</v>
      </c>
      <c r="B482" s="13" t="s">
        <v>1489</v>
      </c>
      <c r="C482" s="13">
        <v>9021</v>
      </c>
    </row>
    <row r="483" spans="1:3" x14ac:dyDescent="0.25">
      <c r="A483" s="13">
        <v>9022</v>
      </c>
      <c r="B483" s="13" t="s">
        <v>1490</v>
      </c>
      <c r="C483" s="13">
        <v>9022</v>
      </c>
    </row>
    <row r="484" spans="1:3" x14ac:dyDescent="0.25">
      <c r="A484" s="13">
        <v>9023</v>
      </c>
      <c r="B484" s="13" t="s">
        <v>1491</v>
      </c>
      <c r="C484" s="13">
        <v>9023</v>
      </c>
    </row>
    <row r="485" spans="1:3" x14ac:dyDescent="0.25">
      <c r="A485" s="13">
        <v>9024</v>
      </c>
      <c r="B485" s="13" t="s">
        <v>1492</v>
      </c>
      <c r="C485" s="13">
        <v>9024</v>
      </c>
    </row>
    <row r="486" spans="1:3" x14ac:dyDescent="0.25">
      <c r="A486" s="13">
        <v>9025</v>
      </c>
      <c r="B486" s="13" t="s">
        <v>1493</v>
      </c>
      <c r="C486" s="13">
        <v>9025</v>
      </c>
    </row>
    <row r="487" spans="1:3" x14ac:dyDescent="0.25">
      <c r="A487" s="13">
        <v>9026</v>
      </c>
      <c r="B487" s="13" t="s">
        <v>1494</v>
      </c>
      <c r="C487" s="13">
        <v>9026</v>
      </c>
    </row>
    <row r="488" spans="1:3" x14ac:dyDescent="0.25">
      <c r="A488" s="13">
        <v>9027</v>
      </c>
      <c r="B488" s="13" t="s">
        <v>1495</v>
      </c>
      <c r="C488" s="13">
        <v>9027</v>
      </c>
    </row>
    <row r="489" spans="1:3" x14ac:dyDescent="0.25">
      <c r="A489" s="13">
        <v>9028</v>
      </c>
      <c r="B489" s="13" t="s">
        <v>1496</v>
      </c>
      <c r="C489" s="13">
        <v>9028</v>
      </c>
    </row>
    <row r="490" spans="1:3" x14ac:dyDescent="0.25">
      <c r="A490" s="13">
        <v>9029</v>
      </c>
      <c r="B490" s="13" t="s">
        <v>1497</v>
      </c>
      <c r="C490" s="13">
        <v>9029</v>
      </c>
    </row>
    <row r="491" spans="1:3" x14ac:dyDescent="0.25">
      <c r="A491" s="13">
        <v>9030</v>
      </c>
      <c r="B491" s="13" t="s">
        <v>1498</v>
      </c>
      <c r="C491" s="13">
        <v>9030</v>
      </c>
    </row>
    <row r="492" spans="1:3" x14ac:dyDescent="0.25">
      <c r="A492" s="13">
        <v>9031</v>
      </c>
      <c r="B492" s="13" t="s">
        <v>1499</v>
      </c>
      <c r="C492" s="13">
        <v>9031</v>
      </c>
    </row>
    <row r="493" spans="1:3" x14ac:dyDescent="0.25">
      <c r="A493" s="13">
        <v>9032</v>
      </c>
      <c r="B493" s="13" t="s">
        <v>1500</v>
      </c>
      <c r="C493" s="13">
        <v>9032</v>
      </c>
    </row>
    <row r="494" spans="1:3" x14ac:dyDescent="0.25">
      <c r="A494" s="13">
        <v>9033</v>
      </c>
      <c r="B494" s="13" t="s">
        <v>1501</v>
      </c>
      <c r="C494" s="13">
        <v>9033</v>
      </c>
    </row>
    <row r="495" spans="1:3" x14ac:dyDescent="0.25">
      <c r="A495" s="13">
        <v>9034</v>
      </c>
      <c r="B495" s="13" t="s">
        <v>1502</v>
      </c>
      <c r="C495" s="13">
        <v>9034</v>
      </c>
    </row>
    <row r="496" spans="1:3" x14ac:dyDescent="0.45">
      <c r="A496" s="7">
        <v>10001</v>
      </c>
      <c r="B496" s="8" t="s">
        <v>1478</v>
      </c>
      <c r="C496" s="7">
        <v>10001</v>
      </c>
    </row>
    <row r="497" spans="1:3" x14ac:dyDescent="0.25">
      <c r="A497" s="7"/>
      <c r="B497" s="7"/>
      <c r="C497" s="7"/>
    </row>
    <row r="498" spans="1:3" x14ac:dyDescent="0.25">
      <c r="A498" s="7"/>
      <c r="B498" s="7"/>
      <c r="C498" s="7"/>
    </row>
    <row r="499" spans="1:3" x14ac:dyDescent="0.25">
      <c r="A499" s="7"/>
      <c r="B499" s="7"/>
      <c r="C499" s="7"/>
    </row>
    <row r="500" spans="1:3" x14ac:dyDescent="0.25">
      <c r="A500" s="7"/>
      <c r="B500" s="7"/>
      <c r="C500" s="7"/>
    </row>
    <row r="501" spans="1:3" x14ac:dyDescent="0.25">
      <c r="A501" s="7"/>
      <c r="B501" s="7"/>
      <c r="C501" s="7"/>
    </row>
    <row r="502" spans="1:3" x14ac:dyDescent="0.25">
      <c r="A502" s="7"/>
      <c r="B502" s="7"/>
      <c r="C502" s="7"/>
    </row>
    <row r="503" spans="1:3" x14ac:dyDescent="0.25">
      <c r="A503" s="7"/>
      <c r="B503" s="7"/>
      <c r="C503" s="7"/>
    </row>
    <row r="504" spans="1:3" x14ac:dyDescent="0.25">
      <c r="A504" s="7"/>
      <c r="B504" s="7"/>
      <c r="C504" s="7"/>
    </row>
    <row r="505" spans="1:3" x14ac:dyDescent="0.25">
      <c r="A505" s="7"/>
      <c r="B505" s="7"/>
      <c r="C505" s="7"/>
    </row>
    <row r="506" spans="1:3" x14ac:dyDescent="0.25">
      <c r="A506" s="7"/>
      <c r="B506" s="7"/>
      <c r="C506" s="7"/>
    </row>
    <row r="507" spans="1:3" x14ac:dyDescent="0.25">
      <c r="A507" s="7"/>
      <c r="B507" s="7"/>
      <c r="C507" s="7"/>
    </row>
    <row r="508" spans="1:3" x14ac:dyDescent="0.25">
      <c r="A508" s="7"/>
      <c r="B508" s="7"/>
      <c r="C508" s="7"/>
    </row>
    <row r="509" spans="1:3" x14ac:dyDescent="0.25">
      <c r="A509" s="7"/>
      <c r="B509" s="7"/>
      <c r="C509" s="7"/>
    </row>
    <row r="510" spans="1:3" x14ac:dyDescent="0.25">
      <c r="A510" s="7"/>
      <c r="B510" s="7"/>
      <c r="C510" s="7"/>
    </row>
    <row r="511" spans="1:3" x14ac:dyDescent="0.25">
      <c r="A511" s="13">
        <v>11001</v>
      </c>
      <c r="B511" s="13" t="s">
        <v>1503</v>
      </c>
      <c r="C511" s="13">
        <v>11001</v>
      </c>
    </row>
    <row r="512" spans="1:3" x14ac:dyDescent="0.25">
      <c r="A512" s="13">
        <v>11002</v>
      </c>
      <c r="B512" s="13" t="s">
        <v>1503</v>
      </c>
      <c r="C512" s="13">
        <v>11002</v>
      </c>
    </row>
    <row r="513" spans="1:3" x14ac:dyDescent="0.25">
      <c r="A513" s="13">
        <v>11003</v>
      </c>
      <c r="B513" s="13" t="s">
        <v>1503</v>
      </c>
      <c r="C513" s="13">
        <v>11003</v>
      </c>
    </row>
    <row r="514" spans="1:3" x14ac:dyDescent="0.25">
      <c r="A514" s="13">
        <v>11004</v>
      </c>
      <c r="B514" s="13" t="s">
        <v>1503</v>
      </c>
      <c r="C514" s="13">
        <v>11004</v>
      </c>
    </row>
    <row r="515" spans="1:3" x14ac:dyDescent="0.25">
      <c r="A515" s="13">
        <v>11005</v>
      </c>
      <c r="B515" s="13" t="s">
        <v>1503</v>
      </c>
      <c r="C515" s="13">
        <v>11005</v>
      </c>
    </row>
    <row r="516" spans="1:3" x14ac:dyDescent="0.25">
      <c r="A516" s="13">
        <v>11006</v>
      </c>
      <c r="B516" s="13" t="s">
        <v>1504</v>
      </c>
      <c r="C516" s="13">
        <v>11006</v>
      </c>
    </row>
    <row r="517" spans="1:3" x14ac:dyDescent="0.25">
      <c r="A517" s="13">
        <v>11007</v>
      </c>
      <c r="B517" s="13" t="s">
        <v>1504</v>
      </c>
      <c r="C517" s="13">
        <v>11007</v>
      </c>
    </row>
    <row r="518" spans="1:3" x14ac:dyDescent="0.25">
      <c r="A518" s="13">
        <v>11008</v>
      </c>
      <c r="B518" s="13" t="s">
        <v>1504</v>
      </c>
      <c r="C518" s="13">
        <v>11008</v>
      </c>
    </row>
    <row r="519" spans="1:3" x14ac:dyDescent="0.25">
      <c r="A519" s="13">
        <v>11009</v>
      </c>
      <c r="B519" s="13" t="s">
        <v>1504</v>
      </c>
      <c r="C519" s="13">
        <v>11009</v>
      </c>
    </row>
    <row r="520" spans="1:3" x14ac:dyDescent="0.25">
      <c r="A520" s="13">
        <v>11010</v>
      </c>
      <c r="B520" s="13" t="s">
        <v>1504</v>
      </c>
      <c r="C520" s="13">
        <v>11010</v>
      </c>
    </row>
    <row r="522" spans="1:3" x14ac:dyDescent="0.25">
      <c r="A522" s="13">
        <v>12001</v>
      </c>
      <c r="B522" s="13" t="s">
        <v>1505</v>
      </c>
      <c r="C522" s="13">
        <v>12001</v>
      </c>
    </row>
    <row r="523" spans="1:3" x14ac:dyDescent="0.25">
      <c r="A523" s="13">
        <v>12002</v>
      </c>
      <c r="B523" s="13" t="s">
        <v>1506</v>
      </c>
      <c r="C523" s="13">
        <v>12002</v>
      </c>
    </row>
    <row r="524" spans="1:3" x14ac:dyDescent="0.25">
      <c r="A524" s="13">
        <v>12003</v>
      </c>
      <c r="B524" s="13" t="s">
        <v>1507</v>
      </c>
      <c r="C524" s="13">
        <v>12003</v>
      </c>
    </row>
    <row r="525" spans="1:3" x14ac:dyDescent="0.25">
      <c r="A525" s="13">
        <v>12004</v>
      </c>
      <c r="B525" s="13" t="s">
        <v>1508</v>
      </c>
      <c r="C525" s="13">
        <v>12004</v>
      </c>
    </row>
    <row r="526" spans="1:3" x14ac:dyDescent="0.25">
      <c r="A526" s="13">
        <v>12005</v>
      </c>
      <c r="B526" s="13" t="s">
        <v>1509</v>
      </c>
      <c r="C526" s="13">
        <v>12005</v>
      </c>
    </row>
    <row r="527" spans="1:3" x14ac:dyDescent="0.25">
      <c r="A527" s="13">
        <v>12011</v>
      </c>
      <c r="B527" s="13" t="s">
        <v>1510</v>
      </c>
      <c r="C527" s="13">
        <v>12011</v>
      </c>
    </row>
    <row r="528" spans="1:3" x14ac:dyDescent="0.25">
      <c r="A528" s="13">
        <v>12012</v>
      </c>
      <c r="B528" s="13" t="s">
        <v>1511</v>
      </c>
      <c r="C528" s="13">
        <v>12012</v>
      </c>
    </row>
    <row r="529" spans="1:3" x14ac:dyDescent="0.25">
      <c r="A529" s="13">
        <v>12013</v>
      </c>
      <c r="B529" s="13" t="s">
        <v>1512</v>
      </c>
      <c r="C529" s="13">
        <v>12013</v>
      </c>
    </row>
    <row r="530" spans="1:3" x14ac:dyDescent="0.25">
      <c r="A530" s="13">
        <v>12014</v>
      </c>
      <c r="B530" s="13" t="s">
        <v>1513</v>
      </c>
      <c r="C530" s="13">
        <v>12014</v>
      </c>
    </row>
    <row r="531" spans="1:3" x14ac:dyDescent="0.25">
      <c r="A531" s="13">
        <v>12015</v>
      </c>
      <c r="B531" s="13" t="s">
        <v>1514</v>
      </c>
      <c r="C531" s="13">
        <v>12015</v>
      </c>
    </row>
    <row r="532" spans="1:3" x14ac:dyDescent="0.25">
      <c r="A532" s="13">
        <v>12021</v>
      </c>
      <c r="B532" s="13" t="s">
        <v>1515</v>
      </c>
      <c r="C532" s="13">
        <v>12021</v>
      </c>
    </row>
    <row r="533" spans="1:3" x14ac:dyDescent="0.25">
      <c r="A533" s="13">
        <v>12022</v>
      </c>
      <c r="B533" s="13" t="s">
        <v>1516</v>
      </c>
      <c r="C533" s="13">
        <v>12022</v>
      </c>
    </row>
    <row r="534" spans="1:3" x14ac:dyDescent="0.25">
      <c r="A534" s="13">
        <v>12023</v>
      </c>
      <c r="B534" s="13" t="s">
        <v>1517</v>
      </c>
      <c r="C534" s="13">
        <v>12023</v>
      </c>
    </row>
    <row r="535" spans="1:3" x14ac:dyDescent="0.25">
      <c r="A535" s="13">
        <v>12024</v>
      </c>
      <c r="B535" s="13" t="s">
        <v>1518</v>
      </c>
      <c r="C535" s="13">
        <v>12024</v>
      </c>
    </row>
    <row r="536" spans="1:3" x14ac:dyDescent="0.25">
      <c r="A536" s="13">
        <v>12025</v>
      </c>
      <c r="B536" s="13" t="s">
        <v>1519</v>
      </c>
      <c r="C536" s="13">
        <v>12025</v>
      </c>
    </row>
    <row r="537" spans="1:3" x14ac:dyDescent="0.25">
      <c r="A537" s="13">
        <v>12031</v>
      </c>
      <c r="B537" s="13" t="s">
        <v>1520</v>
      </c>
      <c r="C537" s="13">
        <v>12031</v>
      </c>
    </row>
    <row r="538" spans="1:3" x14ac:dyDescent="0.25">
      <c r="A538" s="13">
        <v>12032</v>
      </c>
      <c r="B538" s="13" t="s">
        <v>1521</v>
      </c>
      <c r="C538" s="13">
        <v>12032</v>
      </c>
    </row>
    <row r="539" spans="1:3" x14ac:dyDescent="0.25">
      <c r="A539" s="13">
        <v>12033</v>
      </c>
      <c r="B539" s="13" t="s">
        <v>1522</v>
      </c>
      <c r="C539" s="13">
        <v>12033</v>
      </c>
    </row>
    <row r="540" spans="1:3" x14ac:dyDescent="0.25">
      <c r="A540" s="13">
        <v>12034</v>
      </c>
      <c r="B540" s="13" t="s">
        <v>1523</v>
      </c>
      <c r="C540" s="13">
        <v>12034</v>
      </c>
    </row>
    <row r="541" spans="1:3" x14ac:dyDescent="0.25">
      <c r="A541" s="13">
        <v>12035</v>
      </c>
      <c r="B541" s="13" t="s">
        <v>1524</v>
      </c>
      <c r="C541" s="13">
        <v>12035</v>
      </c>
    </row>
    <row r="542" spans="1:3" x14ac:dyDescent="0.25">
      <c r="A542" s="7">
        <v>13001</v>
      </c>
      <c r="B542" s="14" t="s">
        <v>1525</v>
      </c>
      <c r="C542" s="7">
        <v>13001</v>
      </c>
    </row>
    <row r="543" spans="1:3" x14ac:dyDescent="0.25">
      <c r="A543" s="7">
        <v>13002</v>
      </c>
      <c r="B543" s="14" t="s">
        <v>1526</v>
      </c>
      <c r="C543" s="7">
        <v>13002</v>
      </c>
    </row>
    <row r="544" spans="1:3" x14ac:dyDescent="0.25">
      <c r="A544" s="7">
        <v>13003</v>
      </c>
      <c r="B544" s="14" t="s">
        <v>1527</v>
      </c>
      <c r="C544" s="7">
        <v>13003</v>
      </c>
    </row>
    <row r="545" spans="1:3" x14ac:dyDescent="0.25">
      <c r="A545" s="7">
        <v>13004</v>
      </c>
      <c r="B545" s="14" t="s">
        <v>1528</v>
      </c>
      <c r="C545" s="7">
        <v>13004</v>
      </c>
    </row>
    <row r="546" spans="1:3" x14ac:dyDescent="0.25">
      <c r="A546" s="7">
        <v>13005</v>
      </c>
      <c r="B546" s="14" t="s">
        <v>1529</v>
      </c>
      <c r="C546" s="7">
        <v>13005</v>
      </c>
    </row>
    <row r="547" spans="1:3" x14ac:dyDescent="0.25">
      <c r="A547" s="7">
        <v>13006</v>
      </c>
      <c r="B547" s="14" t="s">
        <v>1530</v>
      </c>
      <c r="C547" s="7">
        <v>13006</v>
      </c>
    </row>
    <row r="548" spans="1:3" x14ac:dyDescent="0.25">
      <c r="A548" s="7">
        <v>13007</v>
      </c>
      <c r="B548" s="14" t="s">
        <v>1531</v>
      </c>
      <c r="C548" s="7">
        <v>13007</v>
      </c>
    </row>
    <row r="549" spans="1:3" x14ac:dyDescent="0.25">
      <c r="A549" s="7">
        <v>13008</v>
      </c>
      <c r="B549" s="14" t="s">
        <v>1532</v>
      </c>
      <c r="C549" s="7">
        <v>13008</v>
      </c>
    </row>
    <row r="550" spans="1:3" x14ac:dyDescent="0.25">
      <c r="A550" s="7">
        <v>13009</v>
      </c>
      <c r="B550" s="14" t="s">
        <v>1533</v>
      </c>
      <c r="C550" s="7">
        <v>13009</v>
      </c>
    </row>
    <row r="551" spans="1:3" x14ac:dyDescent="0.25">
      <c r="A551" s="13">
        <v>14001</v>
      </c>
      <c r="B551" s="13" t="s">
        <v>1534</v>
      </c>
      <c r="C551" s="13">
        <v>14001</v>
      </c>
    </row>
    <row r="552" spans="1:3" x14ac:dyDescent="0.25">
      <c r="A552" s="13">
        <v>14002</v>
      </c>
      <c r="B552" s="13" t="s">
        <v>1535</v>
      </c>
      <c r="C552" s="13">
        <v>14002</v>
      </c>
    </row>
    <row r="553" spans="1:3" x14ac:dyDescent="0.25">
      <c r="A553" s="13">
        <v>14003</v>
      </c>
      <c r="B553" s="13" t="s">
        <v>1536</v>
      </c>
      <c r="C553" s="13">
        <v>14003</v>
      </c>
    </row>
    <row r="554" spans="1:3" x14ac:dyDescent="0.25">
      <c r="A554" s="13">
        <v>14004</v>
      </c>
      <c r="B554" s="13" t="s">
        <v>1537</v>
      </c>
      <c r="C554" s="13">
        <v>14004</v>
      </c>
    </row>
    <row r="555" spans="1:3" x14ac:dyDescent="0.25">
      <c r="A555" s="13">
        <v>14005</v>
      </c>
      <c r="B555" s="13" t="s">
        <v>1538</v>
      </c>
      <c r="C555" s="13">
        <v>14005</v>
      </c>
    </row>
    <row r="556" spans="1:3" x14ac:dyDescent="0.25">
      <c r="A556" s="13">
        <v>14006</v>
      </c>
      <c r="B556" s="13" t="s">
        <v>1539</v>
      </c>
      <c r="C556" s="13">
        <v>14006</v>
      </c>
    </row>
    <row r="557" spans="1:3" x14ac:dyDescent="0.25">
      <c r="A557" s="13">
        <v>14011</v>
      </c>
      <c r="B557" s="13" t="s">
        <v>1540</v>
      </c>
      <c r="C557" s="13">
        <v>14011</v>
      </c>
    </row>
    <row r="558" spans="1:3" x14ac:dyDescent="0.25">
      <c r="A558" s="13">
        <v>14012</v>
      </c>
      <c r="B558" s="13" t="s">
        <v>1541</v>
      </c>
      <c r="C558" s="13">
        <v>14012</v>
      </c>
    </row>
    <row r="559" spans="1:3" x14ac:dyDescent="0.25">
      <c r="A559" s="13">
        <v>14013</v>
      </c>
      <c r="B559" s="13" t="s">
        <v>1542</v>
      </c>
      <c r="C559" s="13">
        <v>14013</v>
      </c>
    </row>
    <row r="560" spans="1:3" x14ac:dyDescent="0.25">
      <c r="A560" s="13">
        <v>14014</v>
      </c>
      <c r="B560" s="13" t="s">
        <v>1543</v>
      </c>
      <c r="C560" s="13">
        <v>14014</v>
      </c>
    </row>
    <row r="561" spans="1:3" x14ac:dyDescent="0.25">
      <c r="A561" s="13">
        <v>14050</v>
      </c>
      <c r="B561" s="13" t="s">
        <v>1544</v>
      </c>
      <c r="C561" s="13">
        <v>14050</v>
      </c>
    </row>
    <row r="562" spans="1:3" x14ac:dyDescent="0.25">
      <c r="A562" s="13">
        <v>14051</v>
      </c>
      <c r="B562" s="13" t="s">
        <v>1545</v>
      </c>
      <c r="C562" s="13">
        <v>14051</v>
      </c>
    </row>
    <row r="563" spans="1:3" x14ac:dyDescent="0.25">
      <c r="A563" s="13">
        <v>14052</v>
      </c>
      <c r="B563" s="13" t="s">
        <v>1546</v>
      </c>
      <c r="C563" s="13">
        <v>14052</v>
      </c>
    </row>
    <row r="564" spans="1:3" x14ac:dyDescent="0.25">
      <c r="A564" s="13">
        <v>14053</v>
      </c>
      <c r="B564" s="13" t="s">
        <v>1547</v>
      </c>
      <c r="C564" s="13">
        <v>14053</v>
      </c>
    </row>
    <row r="565" spans="1:3" x14ac:dyDescent="0.25">
      <c r="A565" s="13">
        <v>14101</v>
      </c>
      <c r="B565" s="13" t="s">
        <v>1548</v>
      </c>
      <c r="C565" s="13">
        <v>14101</v>
      </c>
    </row>
    <row r="566" spans="1:3" x14ac:dyDescent="0.25">
      <c r="A566" s="13">
        <v>14102</v>
      </c>
      <c r="B566" s="13" t="s">
        <v>1549</v>
      </c>
      <c r="C566" s="13">
        <v>14102</v>
      </c>
    </row>
    <row r="567" spans="1:3" x14ac:dyDescent="0.25">
      <c r="A567" s="13">
        <v>14103</v>
      </c>
      <c r="B567" s="13" t="s">
        <v>1550</v>
      </c>
      <c r="C567" s="13">
        <v>14103</v>
      </c>
    </row>
    <row r="568" spans="1:3" x14ac:dyDescent="0.25">
      <c r="A568" s="13">
        <v>14104</v>
      </c>
      <c r="B568" s="13" t="s">
        <v>1551</v>
      </c>
      <c r="C568" s="13">
        <v>14104</v>
      </c>
    </row>
    <row r="569" spans="1:3" x14ac:dyDescent="0.25">
      <c r="A569" s="13">
        <v>14105</v>
      </c>
      <c r="B569" s="13" t="s">
        <v>1552</v>
      </c>
      <c r="C569" s="13">
        <v>14105</v>
      </c>
    </row>
    <row r="570" spans="1:3" x14ac:dyDescent="0.25">
      <c r="A570" s="13">
        <v>14106</v>
      </c>
      <c r="B570" s="13" t="s">
        <v>1553</v>
      </c>
      <c r="C570" s="13">
        <v>14106</v>
      </c>
    </row>
    <row r="571" spans="1:3" x14ac:dyDescent="0.25">
      <c r="A571" s="13">
        <v>14107</v>
      </c>
      <c r="B571" s="13" t="s">
        <v>1554</v>
      </c>
      <c r="C571" s="13">
        <v>14107</v>
      </c>
    </row>
    <row r="572" spans="1:3" x14ac:dyDescent="0.25">
      <c r="A572" s="13">
        <v>14108</v>
      </c>
      <c r="B572" s="13" t="s">
        <v>1555</v>
      </c>
      <c r="C572" s="13">
        <v>14108</v>
      </c>
    </row>
    <row r="573" spans="1:3" x14ac:dyDescent="0.25">
      <c r="A573" s="13">
        <v>14109</v>
      </c>
      <c r="B573" s="13" t="s">
        <v>1556</v>
      </c>
      <c r="C573" s="13">
        <v>14109</v>
      </c>
    </row>
    <row r="574" spans="1:3" x14ac:dyDescent="0.25">
      <c r="A574" s="13">
        <v>14201</v>
      </c>
      <c r="B574" s="13" t="s">
        <v>1557</v>
      </c>
      <c r="C574" s="13">
        <v>14201</v>
      </c>
    </row>
    <row r="575" spans="1:3" x14ac:dyDescent="0.25">
      <c r="A575" s="13">
        <v>14202</v>
      </c>
      <c r="B575" s="13" t="s">
        <v>1558</v>
      </c>
      <c r="C575" s="13">
        <v>14202</v>
      </c>
    </row>
    <row r="576" spans="1:3" x14ac:dyDescent="0.25">
      <c r="A576" s="13">
        <v>14203</v>
      </c>
      <c r="B576" s="13" t="s">
        <v>1559</v>
      </c>
      <c r="C576" s="13">
        <v>14203</v>
      </c>
    </row>
    <row r="577" spans="1:3" x14ac:dyDescent="0.25">
      <c r="A577" s="13">
        <v>14204</v>
      </c>
      <c r="B577" s="13" t="s">
        <v>1560</v>
      </c>
      <c r="C577" s="13">
        <v>14204</v>
      </c>
    </row>
    <row r="578" spans="1:3" x14ac:dyDescent="0.25">
      <c r="A578" s="13">
        <v>14205</v>
      </c>
      <c r="B578" s="13" t="s">
        <v>1561</v>
      </c>
      <c r="C578" s="13">
        <v>14205</v>
      </c>
    </row>
    <row r="579" spans="1:3" x14ac:dyDescent="0.25">
      <c r="A579" s="13">
        <v>14206</v>
      </c>
      <c r="B579" s="13" t="s">
        <v>1562</v>
      </c>
      <c r="C579" s="13">
        <v>14206</v>
      </c>
    </row>
    <row r="580" spans="1:3" x14ac:dyDescent="0.25">
      <c r="A580" s="13">
        <v>14207</v>
      </c>
      <c r="B580" s="13" t="s">
        <v>1563</v>
      </c>
      <c r="C580" s="13">
        <v>14207</v>
      </c>
    </row>
    <row r="581" spans="1:3" x14ac:dyDescent="0.25">
      <c r="A581" s="13">
        <v>14301</v>
      </c>
      <c r="B581" s="13" t="s">
        <v>1564</v>
      </c>
      <c r="C581" s="13">
        <v>14301</v>
      </c>
    </row>
    <row r="582" spans="1:3" x14ac:dyDescent="0.25">
      <c r="A582" s="13">
        <v>14302</v>
      </c>
      <c r="B582" s="13" t="s">
        <v>1565</v>
      </c>
      <c r="C582" s="13">
        <v>14302</v>
      </c>
    </row>
    <row r="583" spans="1:3" x14ac:dyDescent="0.25">
      <c r="A583" s="13">
        <v>14303</v>
      </c>
      <c r="B583" s="13" t="s">
        <v>1566</v>
      </c>
      <c r="C583" s="13">
        <v>14303</v>
      </c>
    </row>
    <row r="584" spans="1:3" x14ac:dyDescent="0.25">
      <c r="A584" s="13">
        <v>14304</v>
      </c>
      <c r="B584" s="13" t="s">
        <v>1567</v>
      </c>
      <c r="C584" s="13">
        <v>14304</v>
      </c>
    </row>
    <row r="585" spans="1:3" x14ac:dyDescent="0.25">
      <c r="A585" s="13">
        <v>14305</v>
      </c>
      <c r="B585" s="13" t="s">
        <v>1568</v>
      </c>
      <c r="C585" s="13">
        <v>14305</v>
      </c>
    </row>
    <row r="586" spans="1:3" x14ac:dyDescent="0.25">
      <c r="A586" s="13">
        <v>14306</v>
      </c>
      <c r="B586" s="13" t="s">
        <v>1569</v>
      </c>
      <c r="C586" s="13">
        <v>14306</v>
      </c>
    </row>
    <row r="587" spans="1:3" x14ac:dyDescent="0.25">
      <c r="A587" s="13">
        <v>14307</v>
      </c>
      <c r="B587" s="13" t="s">
        <v>1570</v>
      </c>
      <c r="C587" s="13">
        <v>14307</v>
      </c>
    </row>
    <row r="588" spans="1:3" x14ac:dyDescent="0.25">
      <c r="A588" s="13">
        <v>15001</v>
      </c>
      <c r="B588" s="13" t="s">
        <v>1571</v>
      </c>
      <c r="C588" s="13">
        <v>15001</v>
      </c>
    </row>
    <row r="589" spans="1:3" x14ac:dyDescent="0.25">
      <c r="A589" s="13">
        <v>15002</v>
      </c>
      <c r="B589" s="13" t="s">
        <v>1571</v>
      </c>
      <c r="C589" s="13">
        <v>15002</v>
      </c>
    </row>
    <row r="590" spans="1:3" x14ac:dyDescent="0.25">
      <c r="A590" s="13">
        <v>15003</v>
      </c>
      <c r="B590" s="13" t="s">
        <v>1571</v>
      </c>
      <c r="C590" s="13">
        <v>15003</v>
      </c>
    </row>
    <row r="591" spans="1:3" x14ac:dyDescent="0.25">
      <c r="A591" s="13">
        <v>15004</v>
      </c>
      <c r="B591" s="13" t="s">
        <v>1572</v>
      </c>
      <c r="C591" s="13">
        <v>15004</v>
      </c>
    </row>
    <row r="592" spans="1:3" x14ac:dyDescent="0.25">
      <c r="A592" s="13">
        <v>15005</v>
      </c>
      <c r="B592" s="13" t="s">
        <v>1572</v>
      </c>
      <c r="C592" s="13">
        <v>15005</v>
      </c>
    </row>
    <row r="593" spans="1:3" x14ac:dyDescent="0.25">
      <c r="A593" s="13">
        <v>15006</v>
      </c>
      <c r="B593" s="13" t="s">
        <v>1572</v>
      </c>
      <c r="C593" s="13">
        <v>15006</v>
      </c>
    </row>
    <row r="594" spans="1:3" x14ac:dyDescent="0.25">
      <c r="A594" s="13">
        <v>15007</v>
      </c>
      <c r="B594" s="13" t="s">
        <v>1573</v>
      </c>
      <c r="C594" s="13">
        <v>15007</v>
      </c>
    </row>
    <row r="595" spans="1:3" x14ac:dyDescent="0.25">
      <c r="A595" s="13">
        <v>15008</v>
      </c>
      <c r="B595" s="13" t="s">
        <v>1573</v>
      </c>
      <c r="C595" s="13">
        <v>15008</v>
      </c>
    </row>
    <row r="596" spans="1:3" x14ac:dyDescent="0.25">
      <c r="A596" s="13">
        <v>15009</v>
      </c>
      <c r="B596" s="13" t="s">
        <v>1573</v>
      </c>
      <c r="C596" s="13">
        <v>15009</v>
      </c>
    </row>
    <row r="597" spans="1:3" x14ac:dyDescent="0.25">
      <c r="A597" s="13">
        <v>15010</v>
      </c>
      <c r="B597" s="13" t="s">
        <v>1574</v>
      </c>
      <c r="C597" s="13">
        <v>15010</v>
      </c>
    </row>
    <row r="598" spans="1:3" x14ac:dyDescent="0.25">
      <c r="A598" s="13">
        <v>15011</v>
      </c>
      <c r="B598" s="13" t="s">
        <v>1574</v>
      </c>
      <c r="C598" s="13">
        <v>15011</v>
      </c>
    </row>
    <row r="599" spans="1:3" x14ac:dyDescent="0.25">
      <c r="A599" s="13">
        <v>15012</v>
      </c>
      <c r="B599" s="13" t="s">
        <v>1574</v>
      </c>
      <c r="C599" s="13">
        <v>15012</v>
      </c>
    </row>
    <row r="600" spans="1:3" x14ac:dyDescent="0.25">
      <c r="A600" s="13">
        <v>15013</v>
      </c>
      <c r="B600" s="13" t="s">
        <v>1575</v>
      </c>
      <c r="C600" s="13">
        <v>15013</v>
      </c>
    </row>
    <row r="601" spans="1:3" x14ac:dyDescent="0.25">
      <c r="A601" s="13">
        <v>15014</v>
      </c>
      <c r="B601" s="13" t="s">
        <v>1575</v>
      </c>
      <c r="C601" s="13">
        <v>15014</v>
      </c>
    </row>
    <row r="602" spans="1:3" x14ac:dyDescent="0.25">
      <c r="A602" s="13">
        <v>15015</v>
      </c>
      <c r="B602" s="13" t="s">
        <v>1575</v>
      </c>
      <c r="C602" s="13">
        <v>15015</v>
      </c>
    </row>
    <row r="603" spans="1:3" x14ac:dyDescent="0.25">
      <c r="A603" s="13">
        <v>15101</v>
      </c>
      <c r="B603" s="13" t="s">
        <v>1576</v>
      </c>
      <c r="C603" s="13">
        <v>15101</v>
      </c>
    </row>
    <row r="604" spans="1:3" x14ac:dyDescent="0.25">
      <c r="A604" s="13">
        <v>15102</v>
      </c>
      <c r="B604" s="13" t="s">
        <v>1576</v>
      </c>
      <c r="C604" s="13">
        <v>15102</v>
      </c>
    </row>
    <row r="605" spans="1:3" x14ac:dyDescent="0.25">
      <c r="A605" s="13">
        <v>15103</v>
      </c>
      <c r="B605" s="13" t="s">
        <v>1576</v>
      </c>
      <c r="C605" s="13">
        <v>15103</v>
      </c>
    </row>
    <row r="606" spans="1:3" x14ac:dyDescent="0.25">
      <c r="A606" s="13">
        <v>15104</v>
      </c>
      <c r="B606" s="13" t="s">
        <v>1577</v>
      </c>
      <c r="C606" s="13">
        <v>15104</v>
      </c>
    </row>
    <row r="607" spans="1:3" x14ac:dyDescent="0.25">
      <c r="A607" s="13">
        <v>15105</v>
      </c>
      <c r="B607" s="13" t="s">
        <v>1577</v>
      </c>
      <c r="C607" s="13">
        <v>15105</v>
      </c>
    </row>
    <row r="608" spans="1:3" x14ac:dyDescent="0.25">
      <c r="A608" s="13">
        <v>15106</v>
      </c>
      <c r="B608" s="13" t="s">
        <v>1577</v>
      </c>
      <c r="C608" s="13">
        <v>15106</v>
      </c>
    </row>
    <row r="609" spans="1:3" x14ac:dyDescent="0.25">
      <c r="A609" s="13">
        <v>15107</v>
      </c>
      <c r="B609" s="13" t="s">
        <v>1578</v>
      </c>
      <c r="C609" s="13">
        <v>15107</v>
      </c>
    </row>
    <row r="610" spans="1:3" x14ac:dyDescent="0.25">
      <c r="A610" s="13">
        <v>15108</v>
      </c>
      <c r="B610" s="13" t="s">
        <v>1578</v>
      </c>
      <c r="C610" s="13">
        <v>15108</v>
      </c>
    </row>
    <row r="611" spans="1:3" x14ac:dyDescent="0.25">
      <c r="A611" s="13">
        <v>15109</v>
      </c>
      <c r="B611" s="13" t="s">
        <v>1578</v>
      </c>
      <c r="C611" s="13">
        <v>15109</v>
      </c>
    </row>
    <row r="612" spans="1:3" x14ac:dyDescent="0.25">
      <c r="A612" s="13">
        <v>15110</v>
      </c>
      <c r="B612" s="13" t="s">
        <v>1579</v>
      </c>
      <c r="C612" s="13">
        <v>15110</v>
      </c>
    </row>
    <row r="613" spans="1:3" x14ac:dyDescent="0.25">
      <c r="A613" s="13">
        <v>15111</v>
      </c>
      <c r="B613" s="13" t="s">
        <v>1579</v>
      </c>
      <c r="C613" s="13">
        <v>15111</v>
      </c>
    </row>
    <row r="614" spans="1:3" x14ac:dyDescent="0.25">
      <c r="A614" s="13">
        <v>15112</v>
      </c>
      <c r="B614" s="13" t="s">
        <v>1579</v>
      </c>
      <c r="C614" s="13">
        <v>15112</v>
      </c>
    </row>
    <row r="615" spans="1:3" x14ac:dyDescent="0.25">
      <c r="A615" s="13">
        <v>15113</v>
      </c>
      <c r="B615" s="13" t="s">
        <v>1580</v>
      </c>
      <c r="C615" s="13">
        <v>15113</v>
      </c>
    </row>
    <row r="616" spans="1:3" x14ac:dyDescent="0.25">
      <c r="A616" s="13">
        <v>15114</v>
      </c>
      <c r="B616" s="13" t="s">
        <v>1580</v>
      </c>
      <c r="C616" s="13">
        <v>15114</v>
      </c>
    </row>
    <row r="617" spans="1:3" x14ac:dyDescent="0.25">
      <c r="A617" s="13">
        <v>15115</v>
      </c>
      <c r="B617" s="13" t="s">
        <v>1580</v>
      </c>
      <c r="C617" s="13">
        <v>15115</v>
      </c>
    </row>
    <row r="618" spans="1:3" x14ac:dyDescent="0.25">
      <c r="A618" s="13">
        <v>15301</v>
      </c>
      <c r="B618" s="13" t="s">
        <v>1581</v>
      </c>
      <c r="C618" s="13">
        <v>15301</v>
      </c>
    </row>
    <row r="619" spans="1:3" x14ac:dyDescent="0.25">
      <c r="A619" s="13">
        <v>15302</v>
      </c>
      <c r="B619" s="13" t="s">
        <v>1581</v>
      </c>
      <c r="C619" s="13">
        <v>15302</v>
      </c>
    </row>
    <row r="620" spans="1:3" x14ac:dyDescent="0.25">
      <c r="A620" s="13">
        <v>15303</v>
      </c>
      <c r="B620" s="13" t="s">
        <v>1581</v>
      </c>
      <c r="C620" s="13">
        <v>15303</v>
      </c>
    </row>
    <row r="621" spans="1:3" x14ac:dyDescent="0.25">
      <c r="A621" s="13">
        <v>15304</v>
      </c>
      <c r="B621" s="13" t="s">
        <v>1582</v>
      </c>
      <c r="C621" s="13">
        <v>15304</v>
      </c>
    </row>
    <row r="622" spans="1:3" x14ac:dyDescent="0.25">
      <c r="A622" s="13">
        <v>15305</v>
      </c>
      <c r="B622" s="13" t="s">
        <v>1582</v>
      </c>
      <c r="C622" s="13">
        <v>15305</v>
      </c>
    </row>
    <row r="623" spans="1:3" x14ac:dyDescent="0.25">
      <c r="A623" s="13">
        <v>15306</v>
      </c>
      <c r="B623" s="13" t="s">
        <v>1582</v>
      </c>
      <c r="C623" s="13">
        <v>15306</v>
      </c>
    </row>
    <row r="624" spans="1:3" x14ac:dyDescent="0.25">
      <c r="A624" s="13">
        <v>15307</v>
      </c>
      <c r="B624" s="13" t="s">
        <v>1583</v>
      </c>
      <c r="C624" s="13">
        <v>15307</v>
      </c>
    </row>
    <row r="625" spans="1:3" x14ac:dyDescent="0.25">
      <c r="A625" s="13">
        <v>15308</v>
      </c>
      <c r="B625" s="13" t="s">
        <v>1583</v>
      </c>
      <c r="C625" s="13">
        <v>15308</v>
      </c>
    </row>
    <row r="626" spans="1:3" x14ac:dyDescent="0.25">
      <c r="A626" s="13">
        <v>15309</v>
      </c>
      <c r="B626" s="13" t="s">
        <v>1583</v>
      </c>
      <c r="C626" s="13">
        <v>15309</v>
      </c>
    </row>
    <row r="627" spans="1:3" x14ac:dyDescent="0.25">
      <c r="A627" s="13">
        <v>15310</v>
      </c>
      <c r="B627" s="13" t="s">
        <v>1584</v>
      </c>
      <c r="C627" s="13">
        <v>15310</v>
      </c>
    </row>
    <row r="628" spans="1:3" x14ac:dyDescent="0.25">
      <c r="A628" s="13">
        <v>15311</v>
      </c>
      <c r="B628" s="13" t="s">
        <v>1584</v>
      </c>
      <c r="C628" s="13">
        <v>15311</v>
      </c>
    </row>
    <row r="629" spans="1:3" x14ac:dyDescent="0.25">
      <c r="A629" s="13">
        <v>15312</v>
      </c>
      <c r="B629" s="13" t="s">
        <v>1584</v>
      </c>
      <c r="C629" s="13">
        <v>15312</v>
      </c>
    </row>
    <row r="630" spans="1:3" x14ac:dyDescent="0.25">
      <c r="A630" s="13">
        <v>15313</v>
      </c>
      <c r="B630" s="13" t="s">
        <v>1585</v>
      </c>
      <c r="C630" s="13">
        <v>15313</v>
      </c>
    </row>
    <row r="631" spans="1:3" x14ac:dyDescent="0.25">
      <c r="A631" s="13">
        <v>15314</v>
      </c>
      <c r="B631" s="13" t="s">
        <v>1585</v>
      </c>
      <c r="C631" s="13">
        <v>15314</v>
      </c>
    </row>
    <row r="632" spans="1:3" x14ac:dyDescent="0.25">
      <c r="A632" s="13">
        <v>15315</v>
      </c>
      <c r="B632" s="13" t="s">
        <v>1585</v>
      </c>
      <c r="C632" s="13">
        <v>15315</v>
      </c>
    </row>
    <row r="633" spans="1:3" x14ac:dyDescent="0.25">
      <c r="A633" s="7">
        <v>16000</v>
      </c>
      <c r="B633" s="7" t="s">
        <v>1586</v>
      </c>
      <c r="C633" s="7">
        <v>16000</v>
      </c>
    </row>
  </sheetData>
  <phoneticPr fontId="1" type="noConversion"/>
  <conditionalFormatting sqref="A550">
    <cfRule type="duplicateValues" dxfId="60" priority="33"/>
    <cfRule type="duplicateValues" dxfId="59" priority="34"/>
    <cfRule type="duplicateValues" dxfId="58" priority="35"/>
    <cfRule type="duplicateValues" dxfId="57" priority="36"/>
  </conditionalFormatting>
  <conditionalFormatting sqref="A36:A39">
    <cfRule type="duplicateValues" dxfId="56" priority="41"/>
    <cfRule type="duplicateValues" dxfId="55" priority="42"/>
    <cfRule type="duplicateValues" dxfId="54" priority="43"/>
    <cfRule type="duplicateValues" dxfId="53" priority="44"/>
  </conditionalFormatting>
  <conditionalFormatting sqref="A4:A7">
    <cfRule type="duplicateValues" dxfId="52" priority="58"/>
    <cfRule type="duplicateValues" dxfId="51" priority="59"/>
    <cfRule type="duplicateValues" dxfId="50" priority="60"/>
    <cfRule type="duplicateValues" dxfId="49" priority="61"/>
  </conditionalFormatting>
  <conditionalFormatting sqref="A8:A35 A40:A42">
    <cfRule type="duplicateValues" dxfId="48" priority="54"/>
    <cfRule type="duplicateValues" dxfId="47" priority="55"/>
    <cfRule type="duplicateValues" dxfId="46" priority="56"/>
    <cfRule type="duplicateValues" dxfId="45" priority="57"/>
  </conditionalFormatting>
  <conditionalFormatting sqref="A64:A65 A43:A56">
    <cfRule type="duplicateValues" dxfId="44" priority="50"/>
    <cfRule type="duplicateValues" dxfId="43" priority="51"/>
    <cfRule type="duplicateValues" dxfId="42" priority="52"/>
    <cfRule type="duplicateValues" dxfId="41" priority="53"/>
  </conditionalFormatting>
  <conditionalFormatting sqref="A99:A100">
    <cfRule type="duplicateValues" dxfId="40" priority="48"/>
  </conditionalFormatting>
  <conditionalFormatting sqref="A99:A103">
    <cfRule type="duplicateValues" dxfId="39" priority="45"/>
    <cfRule type="duplicateValues" dxfId="38" priority="46"/>
    <cfRule type="duplicateValues" dxfId="37" priority="47"/>
  </conditionalFormatting>
  <conditionalFormatting sqref="A101:A103">
    <cfRule type="duplicateValues" dxfId="36" priority="49"/>
  </conditionalFormatting>
  <conditionalFormatting sqref="A542:A549">
    <cfRule type="duplicateValues" dxfId="35" priority="37"/>
    <cfRule type="duplicateValues" dxfId="34" priority="38"/>
    <cfRule type="duplicateValues" dxfId="33" priority="39"/>
    <cfRule type="duplicateValues" dxfId="32" priority="40"/>
  </conditionalFormatting>
  <conditionalFormatting sqref="B339">
    <cfRule type="duplicateValues" dxfId="31" priority="32"/>
  </conditionalFormatting>
  <conditionalFormatting sqref="B340">
    <cfRule type="duplicateValues" dxfId="30" priority="31"/>
  </conditionalFormatting>
  <conditionalFormatting sqref="B352:B359">
    <cfRule type="duplicateValues" dxfId="29" priority="30"/>
  </conditionalFormatting>
  <conditionalFormatting sqref="C550">
    <cfRule type="duplicateValues" dxfId="28" priority="1"/>
    <cfRule type="duplicateValues" dxfId="27" priority="2"/>
    <cfRule type="duplicateValues" dxfId="26" priority="3"/>
    <cfRule type="duplicateValues" dxfId="25" priority="4"/>
  </conditionalFormatting>
  <conditionalFormatting sqref="C36:C39">
    <cfRule type="duplicateValues" dxfId="24" priority="9"/>
    <cfRule type="duplicateValues" dxfId="23" priority="10"/>
    <cfRule type="duplicateValues" dxfId="22" priority="11"/>
    <cfRule type="duplicateValues" dxfId="21" priority="12"/>
  </conditionalFormatting>
  <conditionalFormatting sqref="C4:C7">
    <cfRule type="duplicateValues" dxfId="20" priority="26"/>
    <cfRule type="duplicateValues" dxfId="19" priority="27"/>
    <cfRule type="duplicateValues" dxfId="18" priority="28"/>
    <cfRule type="duplicateValues" dxfId="17" priority="29"/>
  </conditionalFormatting>
  <conditionalFormatting sqref="C8:C35 C40:C42">
    <cfRule type="duplicateValues" dxfId="16" priority="22"/>
    <cfRule type="duplicateValues" dxfId="15" priority="23"/>
    <cfRule type="duplicateValues" dxfId="14" priority="24"/>
    <cfRule type="duplicateValues" dxfId="13" priority="25"/>
  </conditionalFormatting>
  <conditionalFormatting sqref="C64:C65 C43:C56">
    <cfRule type="duplicateValues" dxfId="12" priority="18"/>
    <cfRule type="duplicateValues" dxfId="11" priority="19"/>
    <cfRule type="duplicateValues" dxfId="10" priority="20"/>
    <cfRule type="duplicateValues" dxfId="9" priority="21"/>
  </conditionalFormatting>
  <conditionalFormatting sqref="C99:C100">
    <cfRule type="duplicateValues" dxfId="8" priority="16"/>
  </conditionalFormatting>
  <conditionalFormatting sqref="C99:C103">
    <cfRule type="duplicateValues" dxfId="7" priority="13"/>
    <cfRule type="duplicateValues" dxfId="6" priority="14"/>
    <cfRule type="duplicateValues" dxfId="5" priority="15"/>
  </conditionalFormatting>
  <conditionalFormatting sqref="C101:C103">
    <cfRule type="duplicateValues" dxfId="4" priority="17"/>
  </conditionalFormatting>
  <conditionalFormatting sqref="C542:C549"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" x14ac:dyDescent="0.25"/>
  <cols>
    <col min="1" max="3" width="80" style="18" customWidth="1"/>
  </cols>
  <sheetData>
    <row r="1" spans="1:3" x14ac:dyDescent="0.25">
      <c r="A1" t="s">
        <v>1587</v>
      </c>
      <c r="B1" t="s">
        <v>1588</v>
      </c>
      <c r="C1" t="s">
        <v>1589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奖励配置表</vt:lpstr>
      <vt:lpstr>#配表须知</vt:lpstr>
      <vt:lpstr>#道具ID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T144256</cp:lastModifiedBy>
  <dcterms:created xsi:type="dcterms:W3CDTF">2006-09-13T11:21:00Z</dcterms:created>
  <dcterms:modified xsi:type="dcterms:W3CDTF">2024-08-26T07:20:14Z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</Properties>
</file>