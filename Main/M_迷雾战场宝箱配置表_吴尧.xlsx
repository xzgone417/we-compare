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Empire_OS\Trunk_OS_Art\common\excel\xls\Main\"/>
    </mc:Choice>
  </mc:AlternateContent>
  <xr:revisionPtr revIDLastSave="0" documentId="13_ncr:1_{21B43C98-2EEF-422B-9C85-AF8E37E7BD0B}" xr6:coauthVersionLast="47" xr6:coauthVersionMax="47" xr10:uidLastSave="{00000000-0000-0000-0000-000000000000}"/>
  <bookViews>
    <workbookView xWindow="-120" yWindow="-120" windowWidth="38640" windowHeight="20625" xr2:uid="{00000000-000D-0000-FFFF-FFFF00000000}"/>
  </bookViews>
  <sheets>
    <sheet name="宝箱奖励配置" sheetId="3" r:id="rId1"/>
    <sheet name="宝箱刷新配置" sheetId="1" r:id="rId2"/>
    <sheet name="寻宝位置配置" sheetId="4" r:id="rId3"/>
    <sheet name="buff奖励池表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3" l="1"/>
  <c r="H8" i="3"/>
  <c r="H12" i="3"/>
  <c r="H10" i="3"/>
  <c r="H9" i="3"/>
  <c r="H7" i="3"/>
  <c r="H6" i="3"/>
  <c r="H5" i="3"/>
  <c r="H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loopli(李军)</author>
  </authors>
  <commentList>
    <comment ref="J2" authorId="0" shapeId="0" xr:uid="{4F312B65-7AD2-4605-9125-0AE9DAE9B604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索引buff奖励池表，每个池中选一个buff掉落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loopli(李军)</author>
  </authors>
  <commentList>
    <comment ref="C2" authorId="0" shapeId="0" xr:uid="{F33A8C76-685C-481C-A593-5858E6EE421D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此处关联得是子关卡id</t>
        </r>
      </text>
    </comment>
  </commentList>
</comments>
</file>

<file path=xl/sharedStrings.xml><?xml version="1.0" encoding="utf-8"?>
<sst xmlns="http://schemas.openxmlformats.org/spreadsheetml/2006/main" count="281" uniqueCount="206">
  <si>
    <t>刷新单元X坐标</t>
  </si>
  <si>
    <t>刷新单元Y坐标</t>
  </si>
  <si>
    <t>刷新数量</t>
  </si>
  <si>
    <t>区域边长X</t>
  </si>
  <si>
    <t>区域边长Y</t>
  </si>
  <si>
    <t>fogWarLevel</t>
    <phoneticPr fontId="7" type="noConversion"/>
  </si>
  <si>
    <t>迷雾战场关卡</t>
    <phoneticPr fontId="7" type="noConversion"/>
  </si>
  <si>
    <t>刷新配置id</t>
    <phoneticPr fontId="7" type="noConversion"/>
  </si>
  <si>
    <t>宝箱奖励配置id和权重</t>
    <phoneticPr fontId="7" type="noConversion"/>
  </si>
  <si>
    <t>宝箱id</t>
    <phoneticPr fontId="7" type="noConversion"/>
  </si>
  <si>
    <t>rewardIds[;]</t>
    <phoneticPr fontId="7" type="noConversion"/>
  </si>
  <si>
    <t>奖励列表</t>
    <phoneticPr fontId="7" type="noConversion"/>
  </si>
  <si>
    <t>unitX</t>
    <phoneticPr fontId="7" type="noConversion"/>
  </si>
  <si>
    <t>boxConfIdAndWeight[|]{key;value}</t>
    <phoneticPr fontId="7" type="noConversion"/>
  </si>
  <si>
    <t>boxType</t>
    <phoneticPr fontId="7" type="noConversion"/>
  </si>
  <si>
    <t>宝箱类型</t>
    <phoneticPr fontId="7" type="noConversion"/>
  </si>
  <si>
    <t>boxRefreshConfId</t>
    <phoneticPr fontId="7" type="noConversion"/>
  </si>
  <si>
    <t>boxConfId</t>
    <phoneticPr fontId="7" type="noConversion"/>
  </si>
  <si>
    <t>宝箱模型</t>
    <phoneticPr fontId="7" type="noConversion"/>
  </si>
  <si>
    <t>path</t>
    <phoneticPr fontId="7" type="noConversion"/>
  </si>
  <si>
    <t>refreshSecs</t>
    <phoneticPr fontId="7" type="noConversion"/>
  </si>
  <si>
    <t>模型半径（用于移动）</t>
    <phoneticPr fontId="7" type="noConversion"/>
  </si>
  <si>
    <t>prefabRadius</t>
    <phoneticPr fontId="7" type="noConversion"/>
  </si>
  <si>
    <t>animName</t>
    <phoneticPr fontId="7" type="noConversion"/>
  </si>
  <si>
    <t>动画名称</t>
    <phoneticPr fontId="7" type="noConversion"/>
  </si>
  <si>
    <t>关联宝箱奖励配置id和权重</t>
    <phoneticPr fontId="7" type="noConversion"/>
  </si>
  <si>
    <t>subBoxConfIdAndWeight[|]{key;value}</t>
    <phoneticPr fontId="7" type="noConversion"/>
  </si>
  <si>
    <t>level</t>
    <phoneticPr fontId="7" type="noConversion"/>
  </si>
  <si>
    <t>刷新位置x</t>
    <phoneticPr fontId="7" type="noConversion"/>
  </si>
  <si>
    <t>刷新位置y</t>
    <phoneticPr fontId="7" type="noConversion"/>
  </si>
  <si>
    <t>宝箱领取后刷新秒数</t>
    <phoneticPr fontId="7" type="noConversion"/>
  </si>
  <si>
    <t>名称</t>
    <phoneticPr fontId="7" type="noConversion"/>
  </si>
  <si>
    <t>name</t>
    <phoneticPr fontId="7" type="noConversion"/>
  </si>
  <si>
    <t>playAnimMills</t>
    <phoneticPr fontId="7" type="noConversion"/>
  </si>
  <si>
    <t>pickMills</t>
    <phoneticPr fontId="7" type="noConversion"/>
  </si>
  <si>
    <t>拾取毫秒数</t>
    <phoneticPr fontId="7" type="noConversion"/>
  </si>
  <si>
    <t>动画播放毫秒</t>
    <phoneticPr fontId="7" type="noConversion"/>
  </si>
  <si>
    <t>读条时间毫秒</t>
    <phoneticPr fontId="7" type="noConversion"/>
  </si>
  <si>
    <t>策划备注</t>
    <phoneticPr fontId="7" type="noConversion"/>
  </si>
  <si>
    <t>模型缩放</t>
    <phoneticPr fontId="7" type="noConversion"/>
  </si>
  <si>
    <t>scale</t>
    <phoneticPr fontId="7" type="noConversion"/>
  </si>
  <si>
    <t>旋转角度</t>
    <phoneticPr fontId="7" type="noConversion"/>
  </si>
  <si>
    <t>rotation</t>
    <phoneticPr fontId="7" type="noConversion"/>
  </si>
  <si>
    <t>宝箱特效path</t>
    <phoneticPr fontId="7" type="noConversion"/>
  </si>
  <si>
    <t>effectPrefabId</t>
    <phoneticPr fontId="7" type="noConversion"/>
  </si>
  <si>
    <t>宝箱描述</t>
    <phoneticPr fontId="7" type="noConversion"/>
  </si>
  <si>
    <t>desc</t>
    <phoneticPr fontId="7" type="noConversion"/>
  </si>
  <si>
    <t>unitY</t>
    <phoneticPr fontId="7" type="noConversion"/>
  </si>
  <si>
    <t>cnt</t>
    <phoneticPr fontId="7" type="noConversion"/>
  </si>
  <si>
    <t>widthX</t>
    <phoneticPr fontId="7" type="noConversion"/>
  </si>
  <si>
    <t>widthY</t>
    <phoneticPr fontId="7" type="noConversion"/>
  </si>
  <si>
    <t>名称(文本）</t>
    <phoneticPr fontId="7" type="noConversion"/>
  </si>
  <si>
    <t>boxPos.grid.x</t>
    <phoneticPr fontId="7" type="noConversion"/>
  </si>
  <si>
    <t>boxPos.grid.y</t>
    <phoneticPr fontId="7" type="noConversion"/>
  </si>
  <si>
    <t>boxPos.boxConfId</t>
    <phoneticPr fontId="7" type="noConversion"/>
  </si>
  <si>
    <t>宝箱配置id</t>
    <phoneticPr fontId="7" type="noConversion"/>
  </si>
  <si>
    <t>宝箱特效缩放</t>
    <phoneticPr fontId="7" type="noConversion"/>
  </si>
  <si>
    <t>effectScale</t>
    <phoneticPr fontId="7" type="noConversion"/>
  </si>
  <si>
    <t>id</t>
  </si>
  <si>
    <t>备注</t>
  </si>
  <si>
    <t>组合卡池 1</t>
  </si>
  <si>
    <t>组合卡池 2</t>
  </si>
  <si>
    <t>组合卡池 3</t>
  </si>
  <si>
    <t>组合卡池 4</t>
  </si>
  <si>
    <t>技能1 id</t>
  </si>
  <si>
    <t>技能2 id</t>
  </si>
  <si>
    <t>技能3 id</t>
  </si>
  <si>
    <t>技能4 id</t>
  </si>
  <si>
    <t>技能5 id</t>
  </si>
  <si>
    <t>技能6 id</t>
  </si>
  <si>
    <t>技能7 id</t>
  </si>
  <si>
    <t>技能8 id</t>
  </si>
  <si>
    <t>技能9 id</t>
  </si>
  <si>
    <t>技能10 id</t>
  </si>
  <si>
    <t>技能11 id</t>
  </si>
  <si>
    <t>技能12 id</t>
  </si>
  <si>
    <t>技能13 id</t>
  </si>
  <si>
    <t>技能14 id</t>
  </si>
  <si>
    <t>技能15 id</t>
  </si>
  <si>
    <t>技能16 id</t>
  </si>
  <si>
    <t>技能17 id</t>
  </si>
  <si>
    <t>技能18 id</t>
  </si>
  <si>
    <t>技能19 id</t>
  </si>
  <si>
    <t>技能20 id</t>
  </si>
  <si>
    <t>技能21 id</t>
  </si>
  <si>
    <t>技能22 id</t>
  </si>
  <si>
    <t>技能23 id</t>
  </si>
  <si>
    <t>技能24 id</t>
  </si>
  <si>
    <t>技能25 id</t>
  </si>
  <si>
    <t>技能26 id</t>
  </si>
  <si>
    <t>技能27 id</t>
  </si>
  <si>
    <t>技能28 id</t>
  </si>
  <si>
    <t>技能29 id</t>
  </si>
  <si>
    <t>技能30 id</t>
  </si>
  <si>
    <t>技能31 id</t>
  </si>
  <si>
    <t>技能32 id</t>
  </si>
  <si>
    <t>技能33 id</t>
  </si>
  <si>
    <t>技能34 id</t>
  </si>
  <si>
    <t>技能35 id</t>
  </si>
  <si>
    <t>技能36 id</t>
  </si>
  <si>
    <t>技能37 id</t>
  </si>
  <si>
    <t>技能38 id</t>
  </si>
  <si>
    <t>技能39 id</t>
  </si>
  <si>
    <t>技能40 id</t>
  </si>
  <si>
    <t>技能41 id</t>
  </si>
  <si>
    <t>技能42 id</t>
  </si>
  <si>
    <t>技能43 id</t>
  </si>
  <si>
    <t>技能44 id</t>
  </si>
  <si>
    <t>技能45 id</t>
  </si>
  <si>
    <t>技能46 id</t>
  </si>
  <si>
    <t>技能47 id</t>
  </si>
  <si>
    <t>技能48 id</t>
  </si>
  <si>
    <t>技能49 id</t>
  </si>
  <si>
    <t>技能50 id</t>
  </si>
  <si>
    <t>compositePool[1]{id;weightFactor}</t>
  </si>
  <si>
    <t>compositePool[2]{id;weightFactor}</t>
  </si>
  <si>
    <t>compositePool[3]{id;weightFactor}</t>
  </si>
  <si>
    <t>compositePool[4]{id;weightFactor}</t>
  </si>
  <si>
    <t>buffs[1]{id;weight;showBuffInfo}</t>
  </si>
  <si>
    <t>buffs[2]{id;weight;showBuffInfo}</t>
  </si>
  <si>
    <t>buffs[3]{id;weight;showBuffInfo}</t>
  </si>
  <si>
    <t>buffs[4]{id;weight;showBuffInfo}</t>
  </si>
  <si>
    <t>buffs[5]{id;weight;showBuffInfo}</t>
  </si>
  <si>
    <t>buffs[6]{id;weight;showBuffInfo}</t>
  </si>
  <si>
    <t>buffs[7]{id;weight;showBuffInfo}</t>
  </si>
  <si>
    <t>buffs[8]{id;weight;showBuffInfo}</t>
  </si>
  <si>
    <t>buffs[9]{id;weight;showBuffInfo}</t>
  </si>
  <si>
    <t>buffs[10]{id;weight;showBuffInfo}</t>
  </si>
  <si>
    <t>buffs[11]{id;weight;showBuffInfo}</t>
  </si>
  <si>
    <t>buffs[12]{id;weight;showBuffInfo}</t>
  </si>
  <si>
    <t>buffs[13]{id;weight;showBuffInfo}</t>
  </si>
  <si>
    <t>buffs[14]{id;weight;showBuffInfo}</t>
  </si>
  <si>
    <t>buffs[15]{id;weight;showBuffInfo}</t>
  </si>
  <si>
    <t>buffs[16]{id;weight;showBuffInfo}</t>
  </si>
  <si>
    <t>buffs[17]{id;weight;showBuffInfo}</t>
  </si>
  <si>
    <t>buffs[18]{id;weight;showBuffInfo}</t>
  </si>
  <si>
    <t>buffs[19]{id;weight;showBuffInfo}</t>
  </si>
  <si>
    <t>buffs[20]{id;weight;showBuffInfo}</t>
  </si>
  <si>
    <t>buffs[21]{id;weight;showBuffInfo}</t>
  </si>
  <si>
    <t>buffs[22]{id;weight;showBuffInfo}</t>
  </si>
  <si>
    <t>buffs[23]{id;weight;showBuffInfo}</t>
  </si>
  <si>
    <t>buffs[24]{id;weight;showBuffInfo}</t>
  </si>
  <si>
    <t>buffs[25]{id;weight;showBuffInfo}</t>
  </si>
  <si>
    <t>buffs[26]{id;weight;showBuffInfo}</t>
  </si>
  <si>
    <t>buffs[27]{id;weight;showBuffInfo}</t>
  </si>
  <si>
    <t>buffs[28]{id;weight;showBuffInfo}</t>
  </si>
  <si>
    <t>buffs[29]{id;weight;showBuffInfo}</t>
  </si>
  <si>
    <t>buffs[30]{id;weight;showBuffInfo}</t>
  </si>
  <si>
    <t>buffs[31]{id;weight;showBuffInfo}</t>
  </si>
  <si>
    <t>buffs[32]{id;weight;showBuffInfo}</t>
  </si>
  <si>
    <t>buffs[33]{id;weight;showBuffInfo}</t>
  </si>
  <si>
    <t>buffs[34]{id;weight;showBuffInfo}</t>
  </si>
  <si>
    <t>buffs[35]{id;weight;showBuffInfo}</t>
  </si>
  <si>
    <t>buffs[36]{id;weight;showBuffInfo}</t>
  </si>
  <si>
    <t>buffs[37]{id;weight;showBuffInfo}</t>
  </si>
  <si>
    <t>buffs[38]{id;weight;showBuffInfo}</t>
  </si>
  <si>
    <t>buffs[39]{id;weight;showBuffInfo}</t>
  </si>
  <si>
    <t>buffs[40]{id;weight;showBuffInfo}</t>
  </si>
  <si>
    <t>buffs[41]{id;weight;showBuffInfo}</t>
  </si>
  <si>
    <t>buffs[42]{id;weight;showBuffInfo}</t>
  </si>
  <si>
    <t>buffs[43]{id;weight;showBuffInfo}</t>
  </si>
  <si>
    <t>buffs[44]{id;weight;showBuffInfo}</t>
  </si>
  <si>
    <t>buffs[45]{id;weight;showBuffInfo}</t>
  </si>
  <si>
    <t>buffs[46]{id;weight;showBuffInfo}</t>
  </si>
  <si>
    <t>buffs[47]{id;weight;showBuffInfo}</t>
  </si>
  <si>
    <t>buffs[48]{id;weight;showBuffInfo}</t>
  </si>
  <si>
    <t>buffs[49]{id;weight;showBuffInfo}</t>
  </si>
  <si>
    <t>buffs[50]{id;weight;showBuffInfo}</t>
  </si>
  <si>
    <t>rewardBuffPoolIds[;]</t>
    <phoneticPr fontId="7" type="noConversion"/>
  </si>
  <si>
    <t>buff掉落列表</t>
    <phoneticPr fontId="7" type="noConversion"/>
  </si>
  <si>
    <t>MERGE_PBIN</t>
    <phoneticPr fontId="7" type="noConversion"/>
  </si>
  <si>
    <t>convert(ResFogWar.proto,table_FogWarTreasureBoxConf, FogWarTreasureBoxConf_4.pbin)</t>
    <phoneticPr fontId="7" type="noConversion"/>
  </si>
  <si>
    <t>convert(ResFogWar.proto,table_FogWarTreasureBoxRefreshConf, FogWarTreasureBoxRefreshConf_4.pbin)</t>
    <phoneticPr fontId="7" type="noConversion"/>
  </si>
  <si>
    <t>convert(ResFogWar.proto,table_FogWarSearchTreasureConf, FogWarSearchTreasureConf_4.pbin)</t>
    <phoneticPr fontId="7" type="noConversion"/>
  </si>
  <si>
    <t>convert(ResFogWar.proto, table_FogWarBuffPoolConf, FogWarBuffPoolConf_4.pbin)</t>
    <phoneticPr fontId="7" type="noConversion"/>
  </si>
  <si>
    <t>常驻宝箱</t>
    <phoneticPr fontId="7" type="noConversion"/>
  </si>
  <si>
    <t>普通遗迹宝箱</t>
  </si>
  <si>
    <t>用木头和金属打造的坚实宝箱，储藏着被蛮族劫掠的遗迹宝藏。</t>
  </si>
  <si>
    <t>TID_FOGBATTLE_TREASURE_DESC</t>
  </si>
  <si>
    <t>action3</t>
    <phoneticPr fontId="7" type="noConversion"/>
  </si>
  <si>
    <t>关卡2常驻buff</t>
    <phoneticPr fontId="7" type="noConversion"/>
  </si>
  <si>
    <t>史诗遗迹宝箱</t>
  </si>
  <si>
    <t>60003;60003;60003</t>
    <phoneticPr fontId="7" type="noConversion"/>
  </si>
  <si>
    <t>传奇遗迹宝箱</t>
    <phoneticPr fontId="7" type="noConversion"/>
  </si>
  <si>
    <t>60002;60002;60002</t>
    <phoneticPr fontId="7" type="noConversion"/>
  </si>
  <si>
    <t>野怪掉落宝箱</t>
    <phoneticPr fontId="7" type="noConversion"/>
  </si>
  <si>
    <t>关卡2普通怪</t>
    <phoneticPr fontId="7" type="noConversion"/>
  </si>
  <si>
    <t>关卡2BOSS</t>
    <phoneticPr fontId="7" type="noConversion"/>
  </si>
  <si>
    <t>传奇遗迹宝箱</t>
  </si>
  <si>
    <t>action1</t>
    <phoneticPr fontId="7" type="noConversion"/>
  </si>
  <si>
    <t>TID_FOGBATTLE_TREASURE_NAME_1</t>
  </si>
  <si>
    <t>TID_FOGBATTLE_TREASURE_NAME_2</t>
  </si>
  <si>
    <t>TID_FOGBATTLE_TREASURE_NAME_3</t>
  </si>
  <si>
    <t>TID_FOGBATTLE_TREASURE_NAME_3</t>
    <phoneticPr fontId="7" type="noConversion"/>
  </si>
  <si>
    <t>TID_FOGBATTLE_TREASURE_NAME_4</t>
  </si>
  <si>
    <t>遗迹宝箱</t>
  </si>
  <si>
    <t>2102;1</t>
    <phoneticPr fontId="7" type="noConversion"/>
  </si>
  <si>
    <t>2103;1</t>
    <phoneticPr fontId="7" type="noConversion"/>
  </si>
  <si>
    <t>撤离点金色宝箱</t>
    <phoneticPr fontId="7" type="noConversion"/>
  </si>
  <si>
    <t>2104;1</t>
    <phoneticPr fontId="7" type="noConversion"/>
  </si>
  <si>
    <t>buff</t>
    <phoneticPr fontId="7" type="noConversion"/>
  </si>
  <si>
    <t>关卡2常驻支线蓝图</t>
    <phoneticPr fontId="7" type="noConversion"/>
  </si>
  <si>
    <t>关卡2常驻关底</t>
    <phoneticPr fontId="7" type="noConversion"/>
  </si>
  <si>
    <t>关卡2常驻（暂无）</t>
    <phoneticPr fontId="7" type="noConversion"/>
  </si>
  <si>
    <t>关卡2精英怪1</t>
    <phoneticPr fontId="7" type="noConversion"/>
  </si>
  <si>
    <t>关卡2精英怪2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</si>
</sst>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textRotation="255"/>
    </xf>
    <xf numFmtId="0" fontId="6" fillId="0" borderId="0" xfId="0" applyFont="1" applyAlignment="1">
      <alignment horizontal="center" vertical="center" textRotation="255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textRotation="255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</cellXfs>
  <cellStyles count="1">
    <cellStyle name="常规" xfId="0" builtinId="0"/>
  </cellStyles>
  <dxfs count="5"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8C1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R17" sqref="R17"/>
    </sheetView>
  </sheetViews>
  <sheetFormatPr defaultColWidth="9" defaultRowHeight="16.5" x14ac:dyDescent="0.2"/>
  <cols>
    <col min="1" max="1" width="9.875" style="6" customWidth="1"/>
    <col min="2" max="3" width="16.25" style="6" customWidth="1"/>
    <col min="4" max="4" width="14" style="6" customWidth="1"/>
    <col min="5" max="5" width="37.75" style="6" customWidth="1"/>
    <col min="6" max="8" width="14" style="6" customWidth="1"/>
    <col min="9" max="10" width="14.375" style="6" customWidth="1"/>
    <col min="11" max="11" width="13.125" style="6" customWidth="1"/>
    <col min="12" max="12" width="11" style="6" customWidth="1"/>
    <col min="13" max="13" width="12.875" style="6" customWidth="1"/>
    <col min="14" max="14" width="17.25" style="6" customWidth="1"/>
    <col min="15" max="15" width="11.375" style="6" customWidth="1"/>
    <col min="16" max="16" width="13.5" style="6" customWidth="1"/>
    <col min="17" max="18" width="11" style="6" customWidth="1"/>
    <col min="19" max="19" width="17.375" style="6" customWidth="1"/>
    <col min="20" max="20" width="16.5" style="6" customWidth="1"/>
    <col min="21" max="16384" width="9" style="6"/>
  </cols>
  <sheetData>
    <row r="1" spans="1:26" x14ac:dyDescent="0.2">
      <c r="A1" s="18" t="s">
        <v>171</v>
      </c>
      <c r="B1" s="18" t="s">
        <v>170</v>
      </c>
      <c r="C1" s="7"/>
      <c r="E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26" s="9" customFormat="1" ht="196.5" x14ac:dyDescent="0.2">
      <c r="A2" s="4" t="s">
        <v>9</v>
      </c>
      <c r="B2" s="4" t="s">
        <v>15</v>
      </c>
      <c r="C2" s="4" t="s">
        <v>38</v>
      </c>
      <c r="D2" s="4" t="s">
        <v>51</v>
      </c>
      <c r="E2" s="4" t="s">
        <v>31</v>
      </c>
      <c r="F2" s="4" t="s">
        <v>45</v>
      </c>
      <c r="G2" s="4" t="s">
        <v>45</v>
      </c>
      <c r="H2" s="4" t="s">
        <v>35</v>
      </c>
      <c r="I2" s="4" t="s">
        <v>11</v>
      </c>
      <c r="J2" s="4" t="s">
        <v>169</v>
      </c>
      <c r="K2" s="4" t="s">
        <v>18</v>
      </c>
      <c r="L2" s="4" t="s">
        <v>39</v>
      </c>
      <c r="M2" s="4" t="s">
        <v>21</v>
      </c>
      <c r="N2" s="4" t="s">
        <v>25</v>
      </c>
      <c r="O2" s="4" t="s">
        <v>24</v>
      </c>
      <c r="P2" s="4" t="s">
        <v>36</v>
      </c>
      <c r="Q2" s="4" t="s">
        <v>41</v>
      </c>
      <c r="R2" s="4" t="s">
        <v>37</v>
      </c>
      <c r="S2" s="4" t="s">
        <v>43</v>
      </c>
      <c r="T2" s="4" t="s">
        <v>56</v>
      </c>
    </row>
    <row r="3" spans="1:26" x14ac:dyDescent="0.2">
      <c r="A3" s="7" t="s">
        <v>17</v>
      </c>
      <c r="B3" s="7" t="s">
        <v>14</v>
      </c>
      <c r="C3" s="7"/>
      <c r="D3" s="7"/>
      <c r="E3" s="7" t="s">
        <v>32</v>
      </c>
      <c r="F3" s="8"/>
      <c r="G3" s="8" t="s">
        <v>46</v>
      </c>
      <c r="H3" s="7" t="s">
        <v>34</v>
      </c>
      <c r="I3" s="7" t="s">
        <v>10</v>
      </c>
      <c r="J3" s="17" t="s">
        <v>168</v>
      </c>
      <c r="K3" s="7" t="s">
        <v>19</v>
      </c>
      <c r="L3" s="8" t="s">
        <v>40</v>
      </c>
      <c r="M3" s="7" t="s">
        <v>22</v>
      </c>
      <c r="N3" s="17" t="s">
        <v>26</v>
      </c>
      <c r="O3" s="7" t="s">
        <v>23</v>
      </c>
      <c r="P3" s="7" t="s">
        <v>33</v>
      </c>
      <c r="Q3" s="8" t="s">
        <v>42</v>
      </c>
      <c r="R3" s="7"/>
      <c r="S3" s="8" t="s">
        <v>44</v>
      </c>
      <c r="T3" s="8" t="s">
        <v>57</v>
      </c>
    </row>
    <row r="4" spans="1:26" s="22" customFormat="1" x14ac:dyDescent="0.2">
      <c r="A4" s="20">
        <v>2101</v>
      </c>
      <c r="B4" s="20" t="s">
        <v>175</v>
      </c>
      <c r="C4" s="20" t="s">
        <v>203</v>
      </c>
      <c r="D4" s="20" t="s">
        <v>176</v>
      </c>
      <c r="E4" s="20" t="s">
        <v>190</v>
      </c>
      <c r="F4" s="21" t="s">
        <v>177</v>
      </c>
      <c r="G4" s="21" t="s">
        <v>178</v>
      </c>
      <c r="H4" s="20">
        <f t="shared" ref="H4:H12" si="0">P4+R4</f>
        <v>1533</v>
      </c>
      <c r="I4" s="20">
        <v>2600201</v>
      </c>
      <c r="J4" s="20"/>
      <c r="K4" s="20">
        <v>900011</v>
      </c>
      <c r="L4" s="20">
        <v>0.64</v>
      </c>
      <c r="M4" s="20">
        <v>100</v>
      </c>
      <c r="N4" s="20"/>
      <c r="O4" s="20" t="s">
        <v>179</v>
      </c>
      <c r="P4" s="20">
        <v>1533</v>
      </c>
      <c r="Q4" s="20">
        <v>180</v>
      </c>
      <c r="R4" s="20">
        <v>0</v>
      </c>
      <c r="S4" s="20">
        <v>900014</v>
      </c>
      <c r="T4" s="20">
        <v>0.64</v>
      </c>
    </row>
    <row r="5" spans="1:26" s="22" customFormat="1" x14ac:dyDescent="0.2">
      <c r="A5" s="20">
        <v>2102</v>
      </c>
      <c r="B5" s="20" t="s">
        <v>175</v>
      </c>
      <c r="C5" s="20" t="s">
        <v>180</v>
      </c>
      <c r="D5" s="20" t="s">
        <v>181</v>
      </c>
      <c r="E5" s="20" t="s">
        <v>191</v>
      </c>
      <c r="F5" s="21" t="s">
        <v>177</v>
      </c>
      <c r="G5" s="21" t="s">
        <v>178</v>
      </c>
      <c r="H5" s="20">
        <f t="shared" si="0"/>
        <v>1533</v>
      </c>
      <c r="I5" s="20"/>
      <c r="J5" s="20" t="s">
        <v>182</v>
      </c>
      <c r="K5" s="20">
        <v>900012</v>
      </c>
      <c r="L5" s="20">
        <v>0.64</v>
      </c>
      <c r="M5" s="20">
        <v>100</v>
      </c>
      <c r="N5" s="20"/>
      <c r="O5" s="20" t="s">
        <v>179</v>
      </c>
      <c r="P5" s="20">
        <v>1533</v>
      </c>
      <c r="Q5" s="20">
        <v>180</v>
      </c>
      <c r="R5" s="20">
        <v>0</v>
      </c>
      <c r="S5" s="20">
        <v>900015</v>
      </c>
      <c r="T5" s="20">
        <v>0.64</v>
      </c>
    </row>
    <row r="6" spans="1:26" s="22" customFormat="1" x14ac:dyDescent="0.2">
      <c r="A6" s="20">
        <v>2103</v>
      </c>
      <c r="B6" s="20" t="s">
        <v>175</v>
      </c>
      <c r="C6" s="20" t="s">
        <v>202</v>
      </c>
      <c r="D6" s="20" t="s">
        <v>183</v>
      </c>
      <c r="E6" s="20" t="s">
        <v>193</v>
      </c>
      <c r="F6" s="21" t="s">
        <v>177</v>
      </c>
      <c r="G6" s="21" t="s">
        <v>178</v>
      </c>
      <c r="H6" s="20">
        <f t="shared" si="0"/>
        <v>1533</v>
      </c>
      <c r="I6" s="20">
        <v>2600204</v>
      </c>
      <c r="J6" s="20"/>
      <c r="K6" s="20">
        <v>900012</v>
      </c>
      <c r="L6" s="20">
        <v>0.64</v>
      </c>
      <c r="M6" s="20">
        <v>100</v>
      </c>
      <c r="N6" s="20"/>
      <c r="O6" s="20" t="s">
        <v>179</v>
      </c>
      <c r="P6" s="20">
        <v>1533</v>
      </c>
      <c r="Q6" s="20">
        <v>180</v>
      </c>
      <c r="R6" s="20">
        <v>0</v>
      </c>
      <c r="S6" s="20">
        <v>900016</v>
      </c>
      <c r="T6" s="20">
        <v>0.64</v>
      </c>
      <c r="V6" s="22">
        <v>900014</v>
      </c>
      <c r="W6" s="23" t="s">
        <v>190</v>
      </c>
      <c r="X6" s="22" t="s">
        <v>176</v>
      </c>
      <c r="Y6" s="23" t="s">
        <v>190</v>
      </c>
      <c r="Z6" s="22">
        <v>900014</v>
      </c>
    </row>
    <row r="7" spans="1:26" s="22" customFormat="1" x14ac:dyDescent="0.2">
      <c r="A7" s="20">
        <v>2104</v>
      </c>
      <c r="B7" s="20" t="s">
        <v>175</v>
      </c>
      <c r="C7" s="20" t="s">
        <v>180</v>
      </c>
      <c r="D7" s="20" t="s">
        <v>176</v>
      </c>
      <c r="E7" s="20" t="s">
        <v>190</v>
      </c>
      <c r="F7" s="21" t="s">
        <v>177</v>
      </c>
      <c r="G7" s="21" t="s">
        <v>178</v>
      </c>
      <c r="H7" s="20">
        <f t="shared" si="0"/>
        <v>1533</v>
      </c>
      <c r="I7" s="20"/>
      <c r="J7" s="20" t="s">
        <v>184</v>
      </c>
      <c r="K7" s="20">
        <v>900011</v>
      </c>
      <c r="L7" s="20">
        <v>0.64</v>
      </c>
      <c r="M7" s="20">
        <v>100</v>
      </c>
      <c r="N7" s="20"/>
      <c r="O7" s="20" t="s">
        <v>179</v>
      </c>
      <c r="P7" s="20">
        <v>1533</v>
      </c>
      <c r="Q7" s="20">
        <v>180</v>
      </c>
      <c r="R7" s="20">
        <v>0</v>
      </c>
      <c r="S7" s="20">
        <v>900014</v>
      </c>
      <c r="T7" s="20">
        <v>0.64</v>
      </c>
      <c r="V7" s="22">
        <v>900015</v>
      </c>
      <c r="W7" s="23" t="s">
        <v>191</v>
      </c>
      <c r="X7" s="22" t="s">
        <v>181</v>
      </c>
      <c r="Y7" s="23" t="s">
        <v>191</v>
      </c>
      <c r="Z7" s="22">
        <v>900015</v>
      </c>
    </row>
    <row r="8" spans="1:26" s="22" customFormat="1" x14ac:dyDescent="0.2">
      <c r="A8" s="20">
        <v>2105</v>
      </c>
      <c r="B8" s="20" t="s">
        <v>175</v>
      </c>
      <c r="C8" s="20" t="s">
        <v>201</v>
      </c>
      <c r="D8" s="20" t="s">
        <v>181</v>
      </c>
      <c r="E8" s="20" t="s">
        <v>190</v>
      </c>
      <c r="F8" s="21" t="s">
        <v>177</v>
      </c>
      <c r="G8" s="21" t="s">
        <v>178</v>
      </c>
      <c r="H8" s="20">
        <f t="shared" ref="H8" si="1">P8+R8</f>
        <v>1533</v>
      </c>
      <c r="I8" s="20">
        <v>2600201</v>
      </c>
      <c r="J8" s="20"/>
      <c r="K8" s="20">
        <v>900012</v>
      </c>
      <c r="L8" s="20">
        <v>0.64</v>
      </c>
      <c r="M8" s="20">
        <v>100</v>
      </c>
      <c r="N8" s="20"/>
      <c r="O8" s="20" t="s">
        <v>179</v>
      </c>
      <c r="P8" s="20">
        <v>1533</v>
      </c>
      <c r="Q8" s="20">
        <v>180</v>
      </c>
      <c r="R8" s="20">
        <v>0</v>
      </c>
      <c r="S8" s="20">
        <v>900015</v>
      </c>
      <c r="T8" s="20">
        <v>0.64</v>
      </c>
      <c r="W8" s="23"/>
      <c r="Y8" s="23"/>
    </row>
    <row r="9" spans="1:26" s="22" customFormat="1" x14ac:dyDescent="0.2">
      <c r="A9" s="20">
        <v>2201</v>
      </c>
      <c r="B9" s="20" t="s">
        <v>185</v>
      </c>
      <c r="C9" s="20" t="s">
        <v>186</v>
      </c>
      <c r="D9" s="20" t="s">
        <v>176</v>
      </c>
      <c r="E9" s="20" t="s">
        <v>191</v>
      </c>
      <c r="F9" s="21" t="s">
        <v>177</v>
      </c>
      <c r="G9" s="21" t="s">
        <v>178</v>
      </c>
      <c r="H9" s="20">
        <f t="shared" si="0"/>
        <v>1533</v>
      </c>
      <c r="I9" s="20">
        <v>2600201</v>
      </c>
      <c r="J9" s="20"/>
      <c r="K9" s="20">
        <v>900011</v>
      </c>
      <c r="L9" s="20">
        <v>0.64</v>
      </c>
      <c r="M9" s="20">
        <v>100</v>
      </c>
      <c r="N9" s="20"/>
      <c r="O9" s="20" t="s">
        <v>179</v>
      </c>
      <c r="P9" s="20">
        <v>1533</v>
      </c>
      <c r="Q9" s="20">
        <v>180</v>
      </c>
      <c r="R9" s="20">
        <v>0</v>
      </c>
      <c r="S9" s="20">
        <v>900014</v>
      </c>
      <c r="T9" s="20">
        <v>0.64</v>
      </c>
      <c r="V9" s="22">
        <v>900016</v>
      </c>
      <c r="W9" s="23" t="s">
        <v>192</v>
      </c>
      <c r="X9" s="22" t="s">
        <v>188</v>
      </c>
      <c r="Y9" s="23" t="s">
        <v>192</v>
      </c>
      <c r="Z9" s="22">
        <v>900016</v>
      </c>
    </row>
    <row r="10" spans="1:26" s="22" customFormat="1" x14ac:dyDescent="0.2">
      <c r="A10" s="20">
        <v>2202</v>
      </c>
      <c r="B10" s="20" t="s">
        <v>185</v>
      </c>
      <c r="C10" s="20" t="s">
        <v>204</v>
      </c>
      <c r="D10" s="20" t="s">
        <v>181</v>
      </c>
      <c r="E10" s="20" t="s">
        <v>191</v>
      </c>
      <c r="F10" s="21" t="s">
        <v>177</v>
      </c>
      <c r="G10" s="21" t="s">
        <v>178</v>
      </c>
      <c r="H10" s="20">
        <f t="shared" si="0"/>
        <v>1533</v>
      </c>
      <c r="I10" s="20">
        <v>2600202</v>
      </c>
      <c r="J10" s="20"/>
      <c r="K10" s="20">
        <v>900012</v>
      </c>
      <c r="L10" s="20">
        <v>0.64</v>
      </c>
      <c r="M10" s="20">
        <v>100</v>
      </c>
      <c r="N10" s="20"/>
      <c r="O10" s="20" t="s">
        <v>179</v>
      </c>
      <c r="P10" s="20">
        <v>1533</v>
      </c>
      <c r="Q10" s="20">
        <v>180</v>
      </c>
      <c r="R10" s="20">
        <v>0</v>
      </c>
      <c r="S10" s="20">
        <v>900015</v>
      </c>
      <c r="T10" s="20">
        <v>0.64</v>
      </c>
      <c r="W10" s="23" t="s">
        <v>194</v>
      </c>
      <c r="X10" s="22" t="s">
        <v>195</v>
      </c>
      <c r="Y10" s="23" t="s">
        <v>194</v>
      </c>
    </row>
    <row r="11" spans="1:26" s="22" customFormat="1" x14ac:dyDescent="0.2">
      <c r="A11" s="20">
        <v>2203</v>
      </c>
      <c r="B11" s="20" t="s">
        <v>185</v>
      </c>
      <c r="C11" s="20" t="s">
        <v>205</v>
      </c>
      <c r="D11" s="20" t="s">
        <v>181</v>
      </c>
      <c r="E11" s="20" t="s">
        <v>191</v>
      </c>
      <c r="F11" s="21" t="s">
        <v>177</v>
      </c>
      <c r="G11" s="21" t="s">
        <v>178</v>
      </c>
      <c r="H11" s="20">
        <f t="shared" ref="H11" si="2">P11+R11</f>
        <v>1533</v>
      </c>
      <c r="I11" s="20">
        <v>2600203</v>
      </c>
      <c r="J11" s="20"/>
      <c r="K11" s="20">
        <v>900012</v>
      </c>
      <c r="L11" s="20">
        <v>0.64</v>
      </c>
      <c r="M11" s="20">
        <v>100</v>
      </c>
      <c r="N11" s="20"/>
      <c r="O11" s="20" t="s">
        <v>179</v>
      </c>
      <c r="P11" s="20">
        <v>1533</v>
      </c>
      <c r="Q11" s="20">
        <v>180</v>
      </c>
      <c r="R11" s="20">
        <v>0</v>
      </c>
      <c r="S11" s="20">
        <v>900015</v>
      </c>
      <c r="T11" s="20">
        <v>0.64</v>
      </c>
      <c r="W11" s="23" t="s">
        <v>194</v>
      </c>
      <c r="X11" s="22" t="s">
        <v>195</v>
      </c>
      <c r="Y11" s="23" t="s">
        <v>194</v>
      </c>
    </row>
    <row r="12" spans="1:26" s="22" customFormat="1" x14ac:dyDescent="0.2">
      <c r="A12" s="20">
        <v>2204</v>
      </c>
      <c r="B12" s="20" t="s">
        <v>185</v>
      </c>
      <c r="C12" s="20" t="s">
        <v>187</v>
      </c>
      <c r="D12" s="20" t="s">
        <v>188</v>
      </c>
      <c r="E12" s="20" t="s">
        <v>192</v>
      </c>
      <c r="F12" s="21" t="s">
        <v>177</v>
      </c>
      <c r="G12" s="21" t="s">
        <v>178</v>
      </c>
      <c r="H12" s="20">
        <f t="shared" si="0"/>
        <v>2500</v>
      </c>
      <c r="I12" s="20">
        <v>2600205</v>
      </c>
      <c r="J12" s="20"/>
      <c r="K12" s="20">
        <v>900012</v>
      </c>
      <c r="L12" s="20">
        <v>0.64</v>
      </c>
      <c r="M12" s="20">
        <v>100</v>
      </c>
      <c r="N12" s="20"/>
      <c r="O12" s="20" t="s">
        <v>189</v>
      </c>
      <c r="P12" s="20">
        <v>2500</v>
      </c>
      <c r="Q12" s="20">
        <v>180</v>
      </c>
      <c r="R12" s="20">
        <v>0</v>
      </c>
      <c r="S12" s="20">
        <v>900016</v>
      </c>
      <c r="T12" s="20">
        <v>0.64</v>
      </c>
    </row>
    <row r="16" spans="1:26" x14ac:dyDescent="0.2">
      <c r="I16" s="22"/>
    </row>
    <row r="17" spans="9:9" x14ac:dyDescent="0.2">
      <c r="I17" s="22"/>
    </row>
  </sheetData>
  <phoneticPr fontId="7" type="noConversion"/>
  <conditionalFormatting sqref="I10:I11">
    <cfRule type="duplicateValues" dxfId="4" priority="1"/>
  </conditionalFormatting>
  <conditionalFormatting sqref="I16:I17">
    <cfRule type="duplicateValues" dxfId="3" priority="2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7" sqref="F27"/>
    </sheetView>
  </sheetViews>
  <sheetFormatPr defaultColWidth="9" defaultRowHeight="16.5" x14ac:dyDescent="0.2"/>
  <cols>
    <col min="1" max="1" width="16" style="1" customWidth="1"/>
    <col min="2" max="2" width="13.75" style="1" customWidth="1"/>
    <col min="3" max="3" width="19.5" style="1" customWidth="1"/>
    <col min="4" max="5" width="13.375" style="1" customWidth="1"/>
    <col min="6" max="9" width="11.375" style="1" customWidth="1"/>
    <col min="10" max="10" width="22.875" style="1" customWidth="1"/>
    <col min="11" max="11" width="15.625" style="1" customWidth="1"/>
    <col min="12" max="12" width="15" style="1" customWidth="1"/>
    <col min="13" max="14" width="9" style="1"/>
    <col min="15" max="15" width="12.25" style="1" customWidth="1"/>
    <col min="16" max="16384" width="9" style="1"/>
  </cols>
  <sheetData>
    <row r="1" spans="1:12" x14ac:dyDescent="0.2">
      <c r="A1" s="19" t="s">
        <v>172</v>
      </c>
      <c r="B1" s="18" t="s">
        <v>170</v>
      </c>
      <c r="C1" s="3"/>
      <c r="D1" s="3"/>
      <c r="E1" s="3"/>
      <c r="F1" s="3"/>
      <c r="G1" s="3"/>
      <c r="H1" s="3"/>
      <c r="I1" s="3"/>
      <c r="J1" s="3"/>
      <c r="K1" s="3"/>
    </row>
    <row r="2" spans="1:12" s="5" customFormat="1" ht="166.5" x14ac:dyDescent="0.2">
      <c r="A2" s="4" t="s">
        <v>7</v>
      </c>
      <c r="B2" s="4" t="s">
        <v>15</v>
      </c>
      <c r="C2" s="4" t="s">
        <v>6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41</v>
      </c>
      <c r="J2" s="4" t="s">
        <v>8</v>
      </c>
      <c r="K2" s="4" t="s">
        <v>30</v>
      </c>
    </row>
    <row r="3" spans="1:12" x14ac:dyDescent="0.2">
      <c r="A3" s="8" t="s">
        <v>16</v>
      </c>
      <c r="B3" s="8" t="s">
        <v>14</v>
      </c>
      <c r="C3" s="8" t="s">
        <v>5</v>
      </c>
      <c r="D3" s="8" t="s">
        <v>12</v>
      </c>
      <c r="E3" s="8" t="s">
        <v>47</v>
      </c>
      <c r="F3" s="8" t="s">
        <v>48</v>
      </c>
      <c r="G3" s="8" t="s">
        <v>49</v>
      </c>
      <c r="H3" s="8" t="s">
        <v>50</v>
      </c>
      <c r="I3" s="8" t="s">
        <v>42</v>
      </c>
      <c r="J3" s="8" t="s">
        <v>13</v>
      </c>
      <c r="K3" s="8" t="s">
        <v>20</v>
      </c>
    </row>
    <row r="4" spans="1:12" x14ac:dyDescent="0.2">
      <c r="A4" s="20">
        <v>20001</v>
      </c>
      <c r="B4" s="20" t="s">
        <v>175</v>
      </c>
      <c r="C4" s="20">
        <v>2</v>
      </c>
      <c r="D4" s="20">
        <v>89</v>
      </c>
      <c r="E4" s="20">
        <v>184</v>
      </c>
      <c r="F4" s="20">
        <v>1</v>
      </c>
      <c r="G4" s="20">
        <v>1</v>
      </c>
      <c r="H4" s="20">
        <v>1</v>
      </c>
      <c r="I4" s="20">
        <v>90</v>
      </c>
      <c r="J4" s="20" t="s">
        <v>196</v>
      </c>
      <c r="K4" s="20">
        <v>60000</v>
      </c>
      <c r="L4" s="22" t="s">
        <v>200</v>
      </c>
    </row>
    <row r="5" spans="1:12" x14ac:dyDescent="0.2">
      <c r="A5" s="20">
        <v>20002</v>
      </c>
      <c r="B5" s="20" t="s">
        <v>175</v>
      </c>
      <c r="C5" s="20">
        <v>9999</v>
      </c>
      <c r="D5" s="20">
        <v>119</v>
      </c>
      <c r="E5" s="20">
        <v>183</v>
      </c>
      <c r="F5" s="20">
        <v>1</v>
      </c>
      <c r="G5" s="20">
        <v>1</v>
      </c>
      <c r="H5" s="20">
        <v>1</v>
      </c>
      <c r="I5" s="20">
        <v>90</v>
      </c>
      <c r="J5" s="20" t="s">
        <v>196</v>
      </c>
      <c r="K5" s="20">
        <v>60000</v>
      </c>
    </row>
    <row r="6" spans="1:12" x14ac:dyDescent="0.2">
      <c r="A6" s="20">
        <v>20003</v>
      </c>
      <c r="B6" s="20" t="s">
        <v>175</v>
      </c>
      <c r="C6" s="20">
        <v>2</v>
      </c>
      <c r="D6" s="20">
        <v>95</v>
      </c>
      <c r="E6" s="20">
        <v>161</v>
      </c>
      <c r="F6" s="20">
        <v>1</v>
      </c>
      <c r="G6" s="20">
        <v>1</v>
      </c>
      <c r="H6" s="20">
        <v>1</v>
      </c>
      <c r="I6" s="20">
        <v>180</v>
      </c>
      <c r="J6" s="20" t="s">
        <v>197</v>
      </c>
      <c r="K6" s="20">
        <v>60000</v>
      </c>
      <c r="L6" s="22" t="s">
        <v>198</v>
      </c>
    </row>
    <row r="7" spans="1:12" x14ac:dyDescent="0.2">
      <c r="A7" s="20">
        <v>20004</v>
      </c>
      <c r="B7" s="20" t="s">
        <v>175</v>
      </c>
      <c r="C7" s="20">
        <v>2</v>
      </c>
      <c r="D7" s="20">
        <v>97</v>
      </c>
      <c r="E7" s="20">
        <v>211</v>
      </c>
      <c r="F7" s="20">
        <v>1</v>
      </c>
      <c r="G7" s="20">
        <v>1</v>
      </c>
      <c r="H7" s="20">
        <v>1</v>
      </c>
      <c r="I7" s="20">
        <v>180</v>
      </c>
      <c r="J7" s="20" t="s">
        <v>199</v>
      </c>
      <c r="K7" s="20">
        <v>60000</v>
      </c>
      <c r="L7" s="22" t="s">
        <v>200</v>
      </c>
    </row>
    <row r="8" spans="1:12" x14ac:dyDescent="0.2">
      <c r="A8" s="20">
        <v>20005</v>
      </c>
      <c r="B8" s="20" t="s">
        <v>175</v>
      </c>
      <c r="C8" s="20">
        <v>9999</v>
      </c>
      <c r="D8" s="20">
        <v>84</v>
      </c>
      <c r="E8" s="20">
        <v>200</v>
      </c>
      <c r="F8" s="20">
        <v>1</v>
      </c>
      <c r="G8" s="20">
        <v>1</v>
      </c>
      <c r="H8" s="20">
        <v>1</v>
      </c>
      <c r="I8" s="20">
        <v>220</v>
      </c>
      <c r="J8" s="20" t="s">
        <v>197</v>
      </c>
      <c r="K8" s="20">
        <v>60000</v>
      </c>
      <c r="L8" s="22"/>
    </row>
    <row r="402" spans="1:15" x14ac:dyDescent="0.2">
      <c r="O402" s="2"/>
    </row>
    <row r="407" spans="1:15" x14ac:dyDescent="0.2">
      <c r="A407" s="2"/>
      <c r="B407" s="2"/>
      <c r="C407" s="2"/>
      <c r="D407" s="2"/>
      <c r="E407" s="2"/>
      <c r="F407" s="2"/>
      <c r="G407" s="2"/>
    </row>
    <row r="862" spans="15:15" x14ac:dyDescent="0.2">
      <c r="O862" s="2"/>
    </row>
    <row r="867" spans="1:7" x14ac:dyDescent="0.2">
      <c r="A867" s="2"/>
      <c r="B867" s="2"/>
      <c r="C867" s="2"/>
      <c r="D867" s="2"/>
      <c r="E867" s="2"/>
      <c r="F867" s="2"/>
      <c r="G867" s="2"/>
    </row>
    <row r="1322" spans="1:15" x14ac:dyDescent="0.2">
      <c r="O1322" s="2"/>
    </row>
    <row r="1327" spans="1:15" x14ac:dyDescent="0.2">
      <c r="A1327" s="2"/>
      <c r="B1327" s="2"/>
      <c r="C1327" s="2"/>
      <c r="D1327" s="2"/>
      <c r="E1327" s="2"/>
      <c r="F1327" s="2"/>
      <c r="G1327" s="2"/>
    </row>
    <row r="1782" spans="1:15" x14ac:dyDescent="0.2">
      <c r="O1782" s="2"/>
    </row>
    <row r="1787" spans="1:15" x14ac:dyDescent="0.2">
      <c r="A1787" s="2"/>
      <c r="B1787" s="2"/>
      <c r="C1787" s="2"/>
      <c r="D1787" s="2"/>
      <c r="E1787" s="2"/>
      <c r="F1787" s="2"/>
      <c r="G1787" s="2"/>
    </row>
    <row r="2242" spans="1:15" x14ac:dyDescent="0.2">
      <c r="O2242" s="2"/>
    </row>
    <row r="2247" spans="1:15" x14ac:dyDescent="0.2">
      <c r="A2247" s="2"/>
      <c r="B2247" s="2"/>
      <c r="C2247" s="2"/>
      <c r="D2247" s="2"/>
      <c r="E2247" s="2"/>
      <c r="F2247" s="2"/>
      <c r="G2247" s="2"/>
    </row>
    <row r="2702" spans="15:15" x14ac:dyDescent="0.2">
      <c r="O2702" s="2"/>
    </row>
    <row r="2707" spans="1:7" x14ac:dyDescent="0.2">
      <c r="A2707" s="2"/>
      <c r="B2707" s="2"/>
      <c r="C2707" s="2"/>
      <c r="D2707" s="2"/>
      <c r="E2707" s="2"/>
      <c r="F2707" s="2"/>
      <c r="G2707" s="2"/>
    </row>
    <row r="3162" spans="1:15" x14ac:dyDescent="0.2">
      <c r="O3162" s="2"/>
    </row>
    <row r="3167" spans="1:15" x14ac:dyDescent="0.2">
      <c r="A3167" s="2"/>
      <c r="B3167" s="2"/>
      <c r="C3167" s="2"/>
      <c r="D3167" s="2"/>
      <c r="E3167" s="2"/>
      <c r="F3167" s="2"/>
      <c r="G3167" s="2"/>
    </row>
    <row r="3622" spans="1:15" x14ac:dyDescent="0.2">
      <c r="O3622" s="2"/>
    </row>
    <row r="3627" spans="1:15" x14ac:dyDescent="0.2">
      <c r="A3627" s="2"/>
      <c r="B3627" s="2"/>
      <c r="C3627" s="2"/>
      <c r="D3627" s="2"/>
      <c r="E3627" s="2"/>
      <c r="F3627" s="2"/>
      <c r="G3627" s="2"/>
    </row>
  </sheetData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3FDA-02CB-4B65-A5FB-B2D5B198607C}">
  <dimension ref="A1:D4"/>
  <sheetViews>
    <sheetView workbookViewId="0">
      <selection activeCell="A12" sqref="A12"/>
    </sheetView>
  </sheetViews>
  <sheetFormatPr defaultRowHeight="14.25" x14ac:dyDescent="0.2"/>
  <cols>
    <col min="1" max="1" width="27.5" customWidth="1"/>
    <col min="2" max="2" width="12.375" customWidth="1"/>
    <col min="3" max="3" width="10.875" customWidth="1"/>
    <col min="4" max="4" width="12.125" customWidth="1"/>
  </cols>
  <sheetData>
    <row r="1" spans="1:4" ht="16.5" x14ac:dyDescent="0.2">
      <c r="A1" t="s">
        <v>173</v>
      </c>
      <c r="B1" s="18" t="s">
        <v>170</v>
      </c>
    </row>
    <row r="2" spans="1:4" x14ac:dyDescent="0.2">
      <c r="A2" t="s">
        <v>6</v>
      </c>
      <c r="B2" t="s">
        <v>28</v>
      </c>
      <c r="C2" t="s">
        <v>29</v>
      </c>
      <c r="D2" t="s">
        <v>55</v>
      </c>
    </row>
    <row r="3" spans="1:4" x14ac:dyDescent="0.2">
      <c r="A3" t="s">
        <v>27</v>
      </c>
      <c r="B3" t="s">
        <v>52</v>
      </c>
      <c r="C3" t="s">
        <v>53</v>
      </c>
      <c r="D3" t="s">
        <v>54</v>
      </c>
    </row>
    <row r="4" spans="1:4" x14ac:dyDescent="0.2">
      <c r="A4">
        <v>2</v>
      </c>
      <c r="B4">
        <v>115</v>
      </c>
      <c r="C4">
        <v>173</v>
      </c>
      <c r="D4">
        <v>9999</v>
      </c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0C8F-6FCA-460F-AEBB-C528009277EE}">
  <dimension ref="A1:BH3"/>
  <sheetViews>
    <sheetView workbookViewId="0">
      <selection activeCell="M38" sqref="M38"/>
    </sheetView>
  </sheetViews>
  <sheetFormatPr defaultColWidth="8.625" defaultRowHeight="14.25" x14ac:dyDescent="0.2"/>
  <cols>
    <col min="1" max="1" width="8.625" style="10"/>
    <col min="2" max="10" width="12.875" style="10" customWidth="1"/>
    <col min="11" max="11" width="20.75" style="10" customWidth="1"/>
    <col min="12" max="28" width="15.625" style="10" customWidth="1"/>
    <col min="29" max="16384" width="8.625" style="10"/>
  </cols>
  <sheetData>
    <row r="1" spans="1:60" ht="16.5" x14ac:dyDescent="0.2">
      <c r="A1" s="10" t="s">
        <v>174</v>
      </c>
      <c r="B1" s="18" t="s">
        <v>170</v>
      </c>
    </row>
    <row r="2" spans="1:60" s="11" customFormat="1" x14ac:dyDescent="0.2">
      <c r="A2" s="11" t="s">
        <v>58</v>
      </c>
      <c r="B2" s="11" t="s">
        <v>59</v>
      </c>
      <c r="C2" s="11" t="s">
        <v>59</v>
      </c>
      <c r="E2" s="11" t="s">
        <v>59</v>
      </c>
      <c r="F2" s="11" t="s">
        <v>59</v>
      </c>
      <c r="G2" s="12" t="s">
        <v>60</v>
      </c>
      <c r="H2" s="12" t="s">
        <v>61</v>
      </c>
      <c r="I2" s="12" t="s">
        <v>62</v>
      </c>
      <c r="J2" s="12" t="s">
        <v>63</v>
      </c>
      <c r="K2" s="13" t="s">
        <v>64</v>
      </c>
      <c r="L2" s="13" t="s">
        <v>65</v>
      </c>
      <c r="M2" s="13" t="s">
        <v>66</v>
      </c>
      <c r="N2" s="13" t="s">
        <v>67</v>
      </c>
      <c r="O2" s="13" t="s">
        <v>68</v>
      </c>
      <c r="P2" s="13" t="s">
        <v>69</v>
      </c>
      <c r="Q2" s="13" t="s">
        <v>70</v>
      </c>
      <c r="R2" s="13" t="s">
        <v>71</v>
      </c>
      <c r="S2" s="13" t="s">
        <v>72</v>
      </c>
      <c r="T2" s="13" t="s">
        <v>73</v>
      </c>
      <c r="U2" s="13" t="s">
        <v>74</v>
      </c>
      <c r="V2" s="13" t="s">
        <v>75</v>
      </c>
      <c r="W2" s="13" t="s">
        <v>76</v>
      </c>
      <c r="X2" s="13" t="s">
        <v>77</v>
      </c>
      <c r="Y2" s="13" t="s">
        <v>78</v>
      </c>
      <c r="Z2" s="13" t="s">
        <v>79</v>
      </c>
      <c r="AA2" s="13" t="s">
        <v>80</v>
      </c>
      <c r="AB2" s="13" t="s">
        <v>81</v>
      </c>
      <c r="AC2" s="13" t="s">
        <v>82</v>
      </c>
      <c r="AD2" s="13" t="s">
        <v>83</v>
      </c>
      <c r="AE2" s="13" t="s">
        <v>84</v>
      </c>
      <c r="AF2" s="13" t="s">
        <v>85</v>
      </c>
      <c r="AG2" s="13" t="s">
        <v>86</v>
      </c>
      <c r="AH2" s="13" t="s">
        <v>87</v>
      </c>
      <c r="AI2" s="13" t="s">
        <v>88</v>
      </c>
      <c r="AJ2" s="13" t="s">
        <v>89</v>
      </c>
      <c r="AK2" s="13" t="s">
        <v>90</v>
      </c>
      <c r="AL2" s="13" t="s">
        <v>91</v>
      </c>
      <c r="AM2" s="13" t="s">
        <v>92</v>
      </c>
      <c r="AN2" s="13" t="s">
        <v>93</v>
      </c>
      <c r="AO2" s="13" t="s">
        <v>94</v>
      </c>
      <c r="AP2" s="13" t="s">
        <v>95</v>
      </c>
      <c r="AQ2" s="13" t="s">
        <v>96</v>
      </c>
      <c r="AR2" s="13" t="s">
        <v>97</v>
      </c>
      <c r="AS2" s="13" t="s">
        <v>98</v>
      </c>
      <c r="AT2" s="13" t="s">
        <v>99</v>
      </c>
      <c r="AU2" s="13" t="s">
        <v>100</v>
      </c>
      <c r="AV2" s="13" t="s">
        <v>101</v>
      </c>
      <c r="AW2" s="13" t="s">
        <v>102</v>
      </c>
      <c r="AX2" s="13" t="s">
        <v>103</v>
      </c>
      <c r="AY2" s="13" t="s">
        <v>104</v>
      </c>
      <c r="AZ2" s="13" t="s">
        <v>105</v>
      </c>
      <c r="BA2" s="13" t="s">
        <v>106</v>
      </c>
      <c r="BB2" s="13" t="s">
        <v>107</v>
      </c>
      <c r="BC2" s="13" t="s">
        <v>108</v>
      </c>
      <c r="BD2" s="13" t="s">
        <v>109</v>
      </c>
      <c r="BE2" s="13" t="s">
        <v>110</v>
      </c>
      <c r="BF2" s="13" t="s">
        <v>111</v>
      </c>
      <c r="BG2" s="13" t="s">
        <v>112</v>
      </c>
      <c r="BH2" s="13" t="s">
        <v>113</v>
      </c>
    </row>
    <row r="3" spans="1:60" s="15" customFormat="1" x14ac:dyDescent="0.2">
      <c r="A3" s="14" t="s">
        <v>58</v>
      </c>
      <c r="G3" s="16" t="s">
        <v>114</v>
      </c>
      <c r="H3" s="16" t="s">
        <v>115</v>
      </c>
      <c r="I3" s="16" t="s">
        <v>116</v>
      </c>
      <c r="J3" s="16" t="s">
        <v>117</v>
      </c>
      <c r="K3" s="15" t="s">
        <v>118</v>
      </c>
      <c r="L3" s="15" t="s">
        <v>119</v>
      </c>
      <c r="M3" s="15" t="s">
        <v>120</v>
      </c>
      <c r="N3" s="15" t="s">
        <v>121</v>
      </c>
      <c r="O3" s="15" t="s">
        <v>122</v>
      </c>
      <c r="P3" s="15" t="s">
        <v>123</v>
      </c>
      <c r="Q3" s="15" t="s">
        <v>124</v>
      </c>
      <c r="R3" s="15" t="s">
        <v>125</v>
      </c>
      <c r="S3" s="15" t="s">
        <v>126</v>
      </c>
      <c r="T3" s="15" t="s">
        <v>127</v>
      </c>
      <c r="U3" s="15" t="s">
        <v>128</v>
      </c>
      <c r="V3" s="15" t="s">
        <v>129</v>
      </c>
      <c r="W3" s="15" t="s">
        <v>130</v>
      </c>
      <c r="X3" s="15" t="s">
        <v>131</v>
      </c>
      <c r="Y3" s="15" t="s">
        <v>132</v>
      </c>
      <c r="Z3" s="15" t="s">
        <v>133</v>
      </c>
      <c r="AA3" s="15" t="s">
        <v>134</v>
      </c>
      <c r="AB3" s="15" t="s">
        <v>135</v>
      </c>
      <c r="AC3" s="15" t="s">
        <v>136</v>
      </c>
      <c r="AD3" s="15" t="s">
        <v>137</v>
      </c>
      <c r="AE3" s="15" t="s">
        <v>138</v>
      </c>
      <c r="AF3" s="15" t="s">
        <v>139</v>
      </c>
      <c r="AG3" s="15" t="s">
        <v>140</v>
      </c>
      <c r="AH3" s="15" t="s">
        <v>141</v>
      </c>
      <c r="AI3" s="15" t="s">
        <v>142</v>
      </c>
      <c r="AJ3" s="15" t="s">
        <v>143</v>
      </c>
      <c r="AK3" s="15" t="s">
        <v>144</v>
      </c>
      <c r="AL3" s="15" t="s">
        <v>145</v>
      </c>
      <c r="AM3" s="15" t="s">
        <v>146</v>
      </c>
      <c r="AN3" s="15" t="s">
        <v>147</v>
      </c>
      <c r="AO3" s="15" t="s">
        <v>148</v>
      </c>
      <c r="AP3" s="15" t="s">
        <v>149</v>
      </c>
      <c r="AQ3" s="15" t="s">
        <v>150</v>
      </c>
      <c r="AR3" s="15" t="s">
        <v>151</v>
      </c>
      <c r="AS3" s="15" t="s">
        <v>152</v>
      </c>
      <c r="AT3" s="15" t="s">
        <v>153</v>
      </c>
      <c r="AU3" s="15" t="s">
        <v>154</v>
      </c>
      <c r="AV3" s="15" t="s">
        <v>155</v>
      </c>
      <c r="AW3" s="15" t="s">
        <v>156</v>
      </c>
      <c r="AX3" s="15" t="s">
        <v>157</v>
      </c>
      <c r="AY3" s="15" t="s">
        <v>158</v>
      </c>
      <c r="AZ3" s="15" t="s">
        <v>159</v>
      </c>
      <c r="BA3" s="15" t="s">
        <v>160</v>
      </c>
      <c r="BB3" s="15" t="s">
        <v>161</v>
      </c>
      <c r="BC3" s="15" t="s">
        <v>162</v>
      </c>
      <c r="BD3" s="15" t="s">
        <v>163</v>
      </c>
      <c r="BE3" s="15" t="s">
        <v>164</v>
      </c>
      <c r="BF3" s="15" t="s">
        <v>165</v>
      </c>
      <c r="BG3" s="15" t="s">
        <v>166</v>
      </c>
      <c r="BH3" s="15" t="s">
        <v>167</v>
      </c>
    </row>
  </sheetData>
  <phoneticPr fontId="7" type="noConversion"/>
  <conditionalFormatting sqref="E1:E1048576">
    <cfRule type="containsText" dxfId="2" priority="1" operator="containsText" text="橙">
      <formula>NOT(ISERROR(SEARCH("橙",E1)))</formula>
    </cfRule>
    <cfRule type="containsText" dxfId="1" priority="2" operator="containsText" text="紫">
      <formula>NOT(ISERROR(SEARCH("紫",E1)))</formula>
    </cfRule>
    <cfRule type="containsText" dxfId="0" priority="3" operator="containsText" text="蓝">
      <formula>NOT(ISERROR(SEARCH("蓝",E1)))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宝箱奖励配置</vt:lpstr>
      <vt:lpstr>宝箱刷新配置</vt:lpstr>
      <vt:lpstr>寻宝位置配置</vt:lpstr>
      <vt:lpstr>buff奖励池表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尧 吴</cp:lastModifiedBy>
  <dcterms:created xsi:type="dcterms:W3CDTF">2015-06-05T18:19:34Z</dcterms:created>
  <dcterms:modified xsi:type="dcterms:W3CDTF">2024-05-14T12:00:13Z</dcterms:modified>
</cp:coreProperties>
</file>